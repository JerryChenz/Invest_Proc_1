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D5CD5D-590F-47D8-983C-611D0E53800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DCF!$B$89:$N$89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D76" i="3"/>
  <c r="C19" i="3"/>
  <c r="C21" i="4"/>
  <c r="D21" i="4"/>
  <c r="C25" i="4"/>
  <c r="D25" i="4"/>
  <c r="E25" i="4"/>
  <c r="C28" i="4"/>
  <c r="C29" i="4"/>
  <c r="C30" i="4"/>
  <c r="C32" i="4"/>
  <c r="C1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L51" i="8"/>
  <c r="L22" i="8"/>
  <c r="L28" i="8"/>
  <c r="L27" i="8"/>
  <c r="L39" i="8"/>
  <c r="L38" i="8"/>
  <c r="L21" i="8"/>
  <c r="L43" i="8"/>
  <c r="L29" i="8"/>
  <c r="L47" i="8"/>
  <c r="L37" i="8"/>
  <c r="L46" i="8"/>
  <c r="L35" i="8"/>
  <c r="L45" i="8"/>
  <c r="L31" i="8"/>
  <c r="L36" i="8"/>
  <c r="L44" i="8"/>
  <c r="L30" i="8"/>
  <c r="L50" i="8"/>
  <c r="L42" i="8"/>
  <c r="L34" i="8"/>
  <c r="L26" i="8"/>
  <c r="L49" i="8"/>
  <c r="L41" i="8"/>
  <c r="L33" i="8"/>
  <c r="L25" i="8"/>
  <c r="L48" i="8"/>
  <c r="L40" i="8"/>
  <c r="L32" i="8"/>
  <c r="L24" i="8"/>
  <c r="L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5" i="12" l="1"/>
  <c r="C47" i="2"/>
  <c r="C33" i="9"/>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C31" i="4" l="1"/>
  <c r="C104" i="2"/>
  <c r="C25" i="2"/>
  <c r="C24" i="2"/>
  <c r="Q117" i="2"/>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G51" i="2"/>
  <c r="M95" i="2"/>
  <c r="O95" i="2"/>
  <c r="P95" i="2"/>
  <c r="N95" i="2"/>
  <c r="L95" i="2"/>
  <c r="G95" i="2"/>
  <c r="I95" i="2"/>
  <c r="C100" i="2"/>
  <c r="C118" i="2" s="1"/>
  <c r="C116" i="2" s="1"/>
  <c r="C77" i="2" s="1"/>
  <c r="C11"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3" i="3" l="1"/>
  <c r="D73" i="3" s="1"/>
  <c r="G38"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G118" i="2" l="1"/>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I53" i="2"/>
  <c r="H53" i="2"/>
  <c r="J53" i="2"/>
  <c r="G53" i="2"/>
  <c r="C7" i="9"/>
  <c r="K53" i="2"/>
  <c r="C13" i="9"/>
  <c r="G75" i="2"/>
  <c r="L72" i="2"/>
  <c r="I72" i="2"/>
  <c r="H72" i="2"/>
  <c r="G72" i="2"/>
  <c r="K72" i="2"/>
  <c r="J72" i="2"/>
  <c r="C103" i="2"/>
  <c r="F17" i="8" l="1"/>
  <c r="E51" i="8" s="1"/>
  <c r="D55" i="3"/>
  <c r="G29" i="3"/>
  <c r="D62" i="3" s="1"/>
  <c r="D51" i="3" l="1"/>
  <c r="C46" i="3"/>
  <c r="C47" i="3" s="1"/>
  <c r="C62" i="3"/>
  <c r="I9" i="8" l="1"/>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C49" i="6"/>
  <c r="C74" i="3"/>
  <c r="F1" i="3"/>
  <c r="H1" i="2"/>
  <c r="E1" i="4"/>
  <c r="F1" i="4" s="1"/>
  <c r="G1" i="4" s="1"/>
  <c r="H1" i="4" s="1"/>
  <c r="I1" i="4" s="1"/>
  <c r="J1" i="4" s="1"/>
  <c r="K1" i="4" s="1"/>
  <c r="L1" i="4" s="1"/>
  <c r="M1" i="4" s="1"/>
  <c r="I42" i="8" l="1"/>
  <c r="J42" i="8"/>
  <c r="I37" i="8"/>
  <c r="J37" i="8"/>
  <c r="I44" i="8"/>
  <c r="J44" i="8"/>
  <c r="I45" i="8"/>
  <c r="J45" i="8"/>
  <c r="I40" i="8"/>
  <c r="J40" i="8"/>
  <c r="I49" i="8"/>
  <c r="J49" i="8"/>
  <c r="I39" i="8"/>
  <c r="J39" i="8"/>
  <c r="I36" i="8"/>
  <c r="J36" i="8"/>
  <c r="I48" i="8"/>
  <c r="J48" i="8"/>
  <c r="I47" i="8"/>
  <c r="J47" i="8"/>
  <c r="I50" i="8"/>
  <c r="J50" i="8"/>
  <c r="I38" i="8"/>
  <c r="J38" i="8"/>
  <c r="I43" i="8"/>
  <c r="J43" i="8"/>
  <c r="I41" i="8"/>
  <c r="J41" i="8"/>
  <c r="I46" i="8"/>
  <c r="J46" i="8"/>
  <c r="K42" i="8"/>
  <c r="K39" i="8"/>
  <c r="K46" i="8"/>
  <c r="K45" i="8"/>
  <c r="K38" i="8"/>
  <c r="K49" i="8"/>
  <c r="K44" i="8"/>
  <c r="K40" i="8"/>
  <c r="K37" i="8"/>
  <c r="K36" i="8"/>
  <c r="K50" i="8"/>
  <c r="K48" i="8"/>
  <c r="K43" i="8"/>
  <c r="K47" i="8"/>
  <c r="K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Q115" i="2" l="1"/>
  <c r="C41" i="3" l="1"/>
  <c r="C31" i="3" l="1"/>
  <c r="C32" i="3" l="1"/>
  <c r="G31" i="3"/>
  <c r="B1" i="2"/>
  <c r="F4" i="8" l="1"/>
  <c r="C45" i="2"/>
  <c r="C86" i="3"/>
  <c r="C80" i="6"/>
  <c r="C80" i="12"/>
  <c r="D68" i="6"/>
  <c r="D68" i="12"/>
  <c r="G52" i="2"/>
  <c r="D86" i="3" l="1"/>
  <c r="C78" i="12"/>
  <c r="C79" i="12" s="1"/>
  <c r="C78" i="6"/>
  <c r="C79" i="6" s="1"/>
  <c r="C45" i="12"/>
  <c r="C45" i="6" l="1"/>
  <c r="I1" i="2"/>
  <c r="J1" i="2" l="1"/>
  <c r="K1" i="2" s="1"/>
  <c r="L1" i="2" s="1"/>
  <c r="M1" i="2" s="1"/>
  <c r="N1" i="2" s="1"/>
  <c r="O1" i="2" s="1"/>
  <c r="P1" i="2" s="1"/>
  <c r="Q1" i="2" s="1"/>
  <c r="C12" i="2" l="1"/>
  <c r="C52" i="6" s="1"/>
  <c r="C68" i="6"/>
  <c r="C68" i="12"/>
  <c r="C14" i="2" l="1"/>
  <c r="C19" i="2" s="1"/>
  <c r="C90" i="2" s="1"/>
  <c r="F63" i="12" s="1"/>
  <c r="C52" i="12"/>
  <c r="C66" i="6"/>
  <c r="C66" i="12"/>
  <c r="C4" i="8" l="1"/>
  <c r="C61" i="12"/>
  <c r="F63" i="6"/>
  <c r="C72" i="8" l="1"/>
  <c r="G36" i="8" l="1"/>
  <c r="C37" i="8"/>
  <c r="G37" i="8" l="1"/>
  <c r="C38" i="8"/>
  <c r="G38" i="8" l="1"/>
  <c r="C39" i="8"/>
  <c r="G39" i="8" l="1"/>
  <c r="C40" i="8"/>
  <c r="C41" i="8" s="1"/>
  <c r="H74" i="2"/>
  <c r="C42" i="8" l="1"/>
  <c r="G41" i="8"/>
  <c r="G40" i="8"/>
  <c r="G42" i="8" l="1"/>
  <c r="C43" i="8"/>
  <c r="G74" i="2"/>
  <c r="D54" i="3"/>
  <c r="D50" i="3"/>
  <c r="G43" i="8" l="1"/>
  <c r="C44" i="8"/>
  <c r="C45" i="8" l="1"/>
  <c r="G44" i="8"/>
  <c r="J74" i="2"/>
  <c r="I74" i="2"/>
  <c r="N74" i="2"/>
  <c r="L74" i="2"/>
  <c r="M74" i="2"/>
  <c r="K74" i="2"/>
  <c r="G45" i="8" l="1"/>
  <c r="C46" i="8"/>
  <c r="C47" i="8" l="1"/>
  <c r="G46" i="8"/>
  <c r="C48" i="8" l="1"/>
  <c r="G47" i="8"/>
  <c r="C78" i="2"/>
  <c r="C49" i="8" l="1"/>
  <c r="G48" i="8"/>
  <c r="C67" i="12"/>
  <c r="C123" i="2"/>
  <c r="G49" i="8" l="1"/>
  <c r="C50" i="8"/>
  <c r="C67" i="6"/>
  <c r="C80" i="2"/>
  <c r="C9" i="9"/>
  <c r="G50" i="8" l="1"/>
  <c r="C61" i="6"/>
  <c r="C124" i="2"/>
  <c r="C85" i="2"/>
  <c r="C62" i="6" l="1"/>
  <c r="C62" i="12"/>
  <c r="C6" i="8"/>
  <c r="M46" i="8" l="1"/>
  <c r="M49" i="8"/>
  <c r="M43" i="8"/>
  <c r="M47" i="8"/>
  <c r="M44" i="8"/>
  <c r="M45" i="8"/>
  <c r="M50" i="8"/>
  <c r="M48" i="8"/>
  <c r="M41" i="8"/>
  <c r="M42" i="8"/>
  <c r="M36" i="8"/>
  <c r="M39" i="8"/>
  <c r="M40" i="8"/>
  <c r="M38" i="8"/>
  <c r="M37" i="8"/>
  <c r="C36" i="8"/>
  <c r="F36" i="8"/>
  <c r="F37" i="8"/>
  <c r="F38" i="8"/>
  <c r="F39" i="8"/>
  <c r="F40" i="8"/>
  <c r="F41" i="8"/>
  <c r="F42" i="8"/>
  <c r="F43" i="8"/>
  <c r="F44" i="8"/>
  <c r="F45" i="8"/>
  <c r="F46" i="8"/>
  <c r="F47" i="8"/>
  <c r="F48" i="8"/>
  <c r="F49" i="8"/>
  <c r="F50" i="8"/>
  <c r="D74" i="3"/>
  <c r="D75" i="3" s="1"/>
  <c r="C46" i="2" s="1"/>
  <c r="N46" i="2" l="1"/>
  <c r="N48" i="2" s="1"/>
  <c r="N10" i="2" s="1"/>
  <c r="C48" i="2"/>
  <c r="C10" i="2" s="1"/>
  <c r="C76" i="2" s="1"/>
  <c r="N11" i="2"/>
  <c r="N76" i="2"/>
  <c r="N41" i="2"/>
  <c r="L46" i="2"/>
  <c r="L48" i="2" s="1"/>
  <c r="L10" i="2" s="1"/>
  <c r="P46" i="2"/>
  <c r="P48" i="2" s="1"/>
  <c r="P10" i="2" s="1"/>
  <c r="H46" i="2"/>
  <c r="H48" i="2" s="1"/>
  <c r="H10" i="2" s="1"/>
  <c r="K46" i="2"/>
  <c r="K48" i="2" s="1"/>
  <c r="K10" i="2" s="1"/>
  <c r="J46" i="2"/>
  <c r="J48" i="2" s="1"/>
  <c r="J10" i="2" s="1"/>
  <c r="O46" i="2"/>
  <c r="O48" i="2" s="1"/>
  <c r="O10" i="2" s="1"/>
  <c r="I46" i="2"/>
  <c r="I48" i="2" s="1"/>
  <c r="I10" i="2" s="1"/>
  <c r="M46" i="2"/>
  <c r="M48" i="2" s="1"/>
  <c r="M10" i="2" s="1"/>
  <c r="C44" i="6"/>
  <c r="C44" i="12"/>
  <c r="D66" i="3"/>
  <c r="F5" i="8" s="1"/>
  <c r="G46" i="2"/>
  <c r="G48" i="2" s="1"/>
  <c r="G10" i="2" s="1"/>
  <c r="K41" i="2" l="1"/>
  <c r="K76" i="2"/>
  <c r="K11" i="2"/>
  <c r="C87" i="3"/>
  <c r="C84" i="6"/>
  <c r="C86" i="6" s="1"/>
  <c r="C84" i="12"/>
  <c r="C86" i="12" s="1"/>
  <c r="F7" i="8"/>
  <c r="P76" i="2"/>
  <c r="P41" i="2"/>
  <c r="P11" i="2"/>
  <c r="J11" i="2"/>
  <c r="J76" i="2"/>
  <c r="J41" i="2"/>
  <c r="H76" i="2"/>
  <c r="H41" i="2"/>
  <c r="H11" i="2"/>
  <c r="I8" i="8"/>
  <c r="I6" i="8" s="1"/>
  <c r="C74" i="2"/>
  <c r="C46" i="12"/>
  <c r="C8" i="2"/>
  <c r="C46" i="6"/>
  <c r="G41" i="2"/>
  <c r="G11" i="2"/>
  <c r="G76" i="2"/>
  <c r="L11" i="2"/>
  <c r="L41" i="2"/>
  <c r="L76" i="2"/>
  <c r="M41" i="2"/>
  <c r="M76" i="2"/>
  <c r="M11" i="2"/>
  <c r="I76" i="2"/>
  <c r="I41" i="2"/>
  <c r="I11" i="2"/>
  <c r="O41" i="2"/>
  <c r="O76" i="2"/>
  <c r="O11" i="2"/>
  <c r="N119" i="2"/>
  <c r="N115" i="2" s="1"/>
  <c r="N77" i="2"/>
  <c r="N116" i="2" s="1"/>
  <c r="N96" i="2"/>
  <c r="N14" i="2"/>
  <c r="C16" i="2" l="1"/>
  <c r="H119" i="2"/>
  <c r="H115" i="2" s="1"/>
  <c r="H77" i="2"/>
  <c r="H116" i="2" s="1"/>
  <c r="H14" i="2"/>
  <c r="H96" i="2"/>
  <c r="N19" i="2"/>
  <c r="N123" i="2"/>
  <c r="N124" i="2" s="1"/>
  <c r="N80" i="2"/>
  <c r="C96" i="2"/>
  <c r="G14" i="2"/>
  <c r="G96" i="2"/>
  <c r="G77" i="2"/>
  <c r="G116" i="2" s="1"/>
  <c r="G119" i="2"/>
  <c r="C89" i="3"/>
  <c r="D87" i="3"/>
  <c r="D89" i="3" s="1"/>
  <c r="F8" i="8"/>
  <c r="F84" i="8"/>
  <c r="E90" i="8" s="1"/>
  <c r="B84" i="8"/>
  <c r="E94" i="8" s="1"/>
  <c r="C79" i="8"/>
  <c r="E74" i="8"/>
  <c r="F81" i="8"/>
  <c r="E77" i="8"/>
  <c r="B82" i="8"/>
  <c r="C87" i="8"/>
  <c r="B85" i="8"/>
  <c r="E80" i="8"/>
  <c r="D84" i="8"/>
  <c r="E92" i="8" s="1"/>
  <c r="F74" i="8"/>
  <c r="C86" i="8"/>
  <c r="E86" i="8"/>
  <c r="F79" i="8"/>
  <c r="F80" i="8"/>
  <c r="B83" i="8"/>
  <c r="D79" i="8"/>
  <c r="C74" i="8"/>
  <c r="E76" i="8"/>
  <c r="C84" i="8"/>
  <c r="E93" i="8" s="1"/>
  <c r="E87" i="8"/>
  <c r="B79" i="8"/>
  <c r="C85" i="8"/>
  <c r="B75" i="8"/>
  <c r="B78" i="8"/>
  <c r="E81" i="8"/>
  <c r="F76" i="8"/>
  <c r="C80" i="8"/>
  <c r="B76" i="8"/>
  <c r="B74" i="8"/>
  <c r="E78" i="8"/>
  <c r="F86" i="8"/>
  <c r="F75" i="8"/>
  <c r="B81" i="8"/>
  <c r="D83" i="8"/>
  <c r="B86" i="8"/>
  <c r="D85" i="8"/>
  <c r="F83" i="8"/>
  <c r="E85" i="8"/>
  <c r="F87" i="8"/>
  <c r="B80" i="8"/>
  <c r="C82" i="8"/>
  <c r="D87" i="8"/>
  <c r="C78" i="8"/>
  <c r="C7" i="8"/>
  <c r="C8" i="8" s="1"/>
  <c r="C10" i="8" s="1"/>
  <c r="C11" i="8" s="1"/>
  <c r="D75" i="8"/>
  <c r="C81" i="8"/>
  <c r="F77" i="8"/>
  <c r="C77" i="8"/>
  <c r="D86" i="8"/>
  <c r="F82" i="8"/>
  <c r="D82" i="8"/>
  <c r="F78" i="8"/>
  <c r="E82" i="8"/>
  <c r="D74" i="8"/>
  <c r="E84" i="8"/>
  <c r="E91" i="8" s="1"/>
  <c r="C75" i="8"/>
  <c r="D81" i="8"/>
  <c r="D80" i="8"/>
  <c r="C76" i="8"/>
  <c r="E75" i="8"/>
  <c r="C83" i="8"/>
  <c r="B87" i="8"/>
  <c r="D78" i="8"/>
  <c r="E79" i="8"/>
  <c r="D77" i="8"/>
  <c r="D76" i="8"/>
  <c r="F85" i="8"/>
  <c r="E83" i="8"/>
  <c r="B77" i="8"/>
  <c r="J96" i="2"/>
  <c r="J119" i="2"/>
  <c r="J115" i="2" s="1"/>
  <c r="J77" i="2"/>
  <c r="J116" i="2" s="1"/>
  <c r="J14" i="2"/>
  <c r="K119" i="2"/>
  <c r="K115" i="2" s="1"/>
  <c r="K96" i="2"/>
  <c r="K14" i="2"/>
  <c r="K77" i="2"/>
  <c r="K116" i="2" s="1"/>
  <c r="O96" i="2"/>
  <c r="O77" i="2"/>
  <c r="O116" i="2" s="1"/>
  <c r="O119" i="2"/>
  <c r="O115" i="2" s="1"/>
  <c r="O14" i="2"/>
  <c r="P77" i="2"/>
  <c r="P116" i="2" s="1"/>
  <c r="P119" i="2"/>
  <c r="P115" i="2" s="1"/>
  <c r="P14" i="2"/>
  <c r="M119" i="2"/>
  <c r="M115" i="2" s="1"/>
  <c r="M96" i="2"/>
  <c r="M77" i="2"/>
  <c r="M116" i="2" s="1"/>
  <c r="M14" i="2"/>
  <c r="C50" i="3"/>
  <c r="C54" i="3"/>
  <c r="C53" i="2"/>
  <c r="C6" i="2"/>
  <c r="C26" i="2" s="1"/>
  <c r="C5" i="2" s="1"/>
  <c r="C34" i="12"/>
  <c r="C34" i="6"/>
  <c r="I96" i="2"/>
  <c r="I77" i="2"/>
  <c r="I116" i="2" s="1"/>
  <c r="I119" i="2"/>
  <c r="I115" i="2" s="1"/>
  <c r="I14" i="2"/>
  <c r="L96" i="2"/>
  <c r="L119" i="2"/>
  <c r="L115" i="2" s="1"/>
  <c r="L77" i="2"/>
  <c r="L116" i="2" s="1"/>
  <c r="L14" i="2"/>
  <c r="C18" i="8" l="1"/>
  <c r="P123" i="2"/>
  <c r="P124" i="2" s="1"/>
  <c r="P19" i="2"/>
  <c r="P80" i="2"/>
  <c r="K123" i="2"/>
  <c r="K124" i="2" s="1"/>
  <c r="K80" i="2"/>
  <c r="K19" i="2"/>
  <c r="E24" i="9"/>
  <c r="D121" i="6"/>
  <c r="E121" i="12"/>
  <c r="I123" i="2"/>
  <c r="I124" i="2" s="1"/>
  <c r="I80" i="2"/>
  <c r="I19" i="2"/>
  <c r="C38" i="6"/>
  <c r="C38" i="12"/>
  <c r="N85" i="2"/>
  <c r="N90" i="2"/>
  <c r="N113" i="2"/>
  <c r="C81" i="12"/>
  <c r="C81" i="6"/>
  <c r="O123" i="2"/>
  <c r="O124" i="2" s="1"/>
  <c r="O80" i="2"/>
  <c r="O19" i="2"/>
  <c r="J123" i="2"/>
  <c r="J124" i="2" s="1"/>
  <c r="J19" i="2"/>
  <c r="J80" i="2"/>
  <c r="E23" i="9"/>
  <c r="D120" i="6"/>
  <c r="E120" i="12"/>
  <c r="G115" i="2"/>
  <c r="D66" i="6"/>
  <c r="D66" i="12"/>
  <c r="M80" i="2"/>
  <c r="M123" i="2"/>
  <c r="M124" i="2" s="1"/>
  <c r="M19" i="2"/>
  <c r="E122" i="12"/>
  <c r="E30" i="9"/>
  <c r="D122" i="6"/>
  <c r="D67" i="6"/>
  <c r="D67" i="12"/>
  <c r="H123" i="2"/>
  <c r="H124" i="2" s="1"/>
  <c r="H19" i="2"/>
  <c r="H80" i="2"/>
  <c r="C73" i="8"/>
  <c r="F73" i="8"/>
  <c r="C35" i="9"/>
  <c r="B73" i="8"/>
  <c r="D73" i="8"/>
  <c r="E73" i="8"/>
  <c r="C112" i="6"/>
  <c r="C112" i="12"/>
  <c r="D118" i="6"/>
  <c r="E29" i="9"/>
  <c r="E118" i="12"/>
  <c r="C72" i="2"/>
  <c r="E22" i="9"/>
  <c r="D119" i="6"/>
  <c r="E119" i="12"/>
  <c r="L19" i="2"/>
  <c r="L123" i="2"/>
  <c r="L124" i="2" s="1"/>
  <c r="L80" i="2"/>
  <c r="C92" i="6"/>
  <c r="C92" i="12"/>
  <c r="G19" i="2"/>
  <c r="G80" i="2"/>
  <c r="G123" i="2"/>
  <c r="G124" i="2" s="1"/>
  <c r="C36" i="9" l="1"/>
  <c r="F53" i="9" s="1"/>
  <c r="C53" i="9" s="1"/>
  <c r="L113" i="2"/>
  <c r="L85" i="2"/>
  <c r="L90" i="2"/>
  <c r="O113" i="2"/>
  <c r="O85" i="2"/>
  <c r="O90" i="2"/>
  <c r="H113" i="2"/>
  <c r="H90" i="2"/>
  <c r="H85" i="2"/>
  <c r="M90" i="2"/>
  <c r="M85" i="2"/>
  <c r="M113" i="2"/>
  <c r="K90" i="2"/>
  <c r="K85" i="2"/>
  <c r="K113" i="2"/>
  <c r="C8" i="9"/>
  <c r="C60" i="6"/>
  <c r="G90" i="2"/>
  <c r="G85" i="2"/>
  <c r="C14" i="9"/>
  <c r="G113" i="2"/>
  <c r="C60" i="12"/>
  <c r="I90" i="2"/>
  <c r="I113" i="2"/>
  <c r="I85" i="2"/>
  <c r="C25" i="9"/>
  <c r="C32" i="2"/>
  <c r="C71" i="2"/>
  <c r="J90" i="2"/>
  <c r="J113" i="2"/>
  <c r="J85" i="2"/>
  <c r="P85" i="2"/>
  <c r="P113" i="2"/>
  <c r="P90" i="2"/>
  <c r="C17" i="8" l="1"/>
  <c r="C29" i="2"/>
  <c r="C23" i="2" s="1"/>
  <c r="C125" i="6"/>
  <c r="C18" i="6" s="1"/>
  <c r="F119" i="6" s="1"/>
  <c r="F34" i="9"/>
  <c r="E10" i="12" s="1"/>
  <c r="D67" i="9"/>
  <c r="D145" i="12" s="1"/>
  <c r="D66" i="9"/>
  <c r="D144" i="6" s="1"/>
  <c r="D62" i="9"/>
  <c r="D140" i="6" s="1"/>
  <c r="D63" i="9"/>
  <c r="D141" i="6" s="1"/>
  <c r="C125" i="12"/>
  <c r="C18" i="12" s="1"/>
  <c r="C50" i="9"/>
  <c r="F35" i="9"/>
  <c r="F14" i="8"/>
  <c r="E21" i="8"/>
  <c r="F121" i="6"/>
  <c r="F118" i="6"/>
  <c r="F120" i="6"/>
  <c r="C51" i="9" l="1"/>
  <c r="C19" i="12" s="1"/>
  <c r="E66" i="9"/>
  <c r="E144" i="6" s="1"/>
  <c r="C24" i="6" s="1"/>
  <c r="D144" i="12"/>
  <c r="D145" i="6"/>
  <c r="E10" i="6"/>
  <c r="F122" i="6"/>
  <c r="E67" i="9"/>
  <c r="G67" i="9" s="1"/>
  <c r="E63" i="9"/>
  <c r="G63" i="9" s="1"/>
  <c r="E62" i="9"/>
  <c r="G62" i="9" s="1"/>
  <c r="D140" i="12"/>
  <c r="D141" i="12"/>
  <c r="E15" i="8"/>
  <c r="B39" i="9"/>
  <c r="B14" i="6" s="1"/>
  <c r="F18" i="8"/>
  <c r="H51" i="8" s="1"/>
  <c r="F15" i="8"/>
  <c r="E145" i="6" l="1"/>
  <c r="C25" i="6" s="1"/>
  <c r="E144" i="12"/>
  <c r="C24" i="12" s="1"/>
  <c r="G66" i="9"/>
  <c r="C49" i="9"/>
  <c r="E141" i="12"/>
  <c r="C23" i="12" s="1"/>
  <c r="E145" i="12"/>
  <c r="C25" i="12" s="1"/>
  <c r="E140" i="12"/>
  <c r="C22" i="12" s="1"/>
  <c r="E140" i="6"/>
  <c r="C22" i="6" s="1"/>
  <c r="E141" i="6"/>
  <c r="C23" i="6" s="1"/>
  <c r="A33" i="8"/>
  <c r="E26" i="8"/>
  <c r="E33" i="8"/>
  <c r="A22" i="8"/>
  <c r="E24" i="8"/>
  <c r="A34" i="8"/>
  <c r="A26" i="8"/>
  <c r="E34" i="8"/>
  <c r="A32" i="8"/>
  <c r="A31" i="8"/>
  <c r="E35" i="8"/>
  <c r="E23" i="8"/>
  <c r="A28" i="8"/>
  <c r="A27" i="8"/>
  <c r="A23" i="8"/>
  <c r="E27" i="8"/>
  <c r="E25" i="8"/>
  <c r="A30" i="8"/>
  <c r="A29" i="8"/>
  <c r="A21" i="8"/>
  <c r="E29" i="8"/>
  <c r="E30" i="8"/>
  <c r="A25" i="8"/>
  <c r="E31" i="8"/>
  <c r="E32" i="8"/>
  <c r="E28" i="8"/>
  <c r="A24" i="8"/>
  <c r="E22" i="8"/>
  <c r="A35" i="8"/>
  <c r="H26" i="8" l="1"/>
  <c r="D26" i="8"/>
  <c r="D34" i="8"/>
  <c r="H34" i="8"/>
  <c r="D25" i="8"/>
  <c r="H25" i="8"/>
  <c r="H35" i="8"/>
  <c r="D35" i="8"/>
  <c r="H22" i="8"/>
  <c r="D22" i="8"/>
  <c r="D28" i="8"/>
  <c r="H28" i="8"/>
  <c r="D29" i="8"/>
  <c r="H29" i="8"/>
  <c r="H23" i="8"/>
  <c r="D23" i="8"/>
  <c r="D21" i="8"/>
  <c r="H21" i="8"/>
  <c r="H30" i="8"/>
  <c r="D30" i="8"/>
  <c r="D31" i="8"/>
  <c r="H31" i="8"/>
  <c r="D27" i="8"/>
  <c r="H27" i="8"/>
  <c r="D24" i="8"/>
  <c r="H24" i="8"/>
  <c r="H32" i="8"/>
  <c r="D32" i="8"/>
  <c r="H33" i="8"/>
  <c r="D33" i="8"/>
  <c r="F21" i="8" l="1"/>
  <c r="F22" i="8" s="1"/>
  <c r="F23" i="8" s="1"/>
  <c r="F24" i="8" s="1"/>
  <c r="F25" i="8" s="1"/>
  <c r="F26" i="8" s="1"/>
  <c r="F27" i="8" s="1"/>
  <c r="F28" i="8" s="1"/>
  <c r="F29" i="8" s="1"/>
  <c r="F30" i="8" s="1"/>
  <c r="F31" i="8" s="1"/>
  <c r="F32" i="8" s="1"/>
  <c r="F33" i="8" s="1"/>
  <c r="F34" i="8" s="1"/>
  <c r="F35" i="8" s="1"/>
  <c r="F51" i="8" s="1"/>
  <c r="C21" i="8"/>
  <c r="G21" i="8" l="1"/>
  <c r="I21" i="8" s="1"/>
  <c r="J21" i="8" s="1"/>
  <c r="C22" i="8"/>
  <c r="C23" i="8" l="1"/>
  <c r="G22" i="8"/>
  <c r="I22" i="8" s="1"/>
  <c r="J22" i="8" s="1"/>
  <c r="M21" i="8"/>
  <c r="K21" i="8"/>
  <c r="M22" i="8" l="1"/>
  <c r="K22" i="8"/>
  <c r="C24" i="8"/>
  <c r="G23" i="8"/>
  <c r="I23" i="8" s="1"/>
  <c r="J23" i="8" s="1"/>
  <c r="G24" i="8" l="1"/>
  <c r="I24" i="8" s="1"/>
  <c r="J24" i="8" s="1"/>
  <c r="C25" i="8"/>
  <c r="M23" i="8"/>
  <c r="K23" i="8"/>
  <c r="C26" i="8" l="1"/>
  <c r="G25" i="8"/>
  <c r="I25" i="8" s="1"/>
  <c r="J25" i="8" s="1"/>
  <c r="M24" i="8"/>
  <c r="K24" i="8"/>
  <c r="M25" i="8" l="1"/>
  <c r="K25" i="8"/>
  <c r="G26" i="8"/>
  <c r="I26" i="8" s="1"/>
  <c r="J26" i="8" s="1"/>
  <c r="C27" i="8"/>
  <c r="M26" i="8" l="1"/>
  <c r="K26" i="8"/>
  <c r="G27" i="8"/>
  <c r="I27" i="8" s="1"/>
  <c r="J27" i="8" s="1"/>
  <c r="C28" i="8"/>
  <c r="G28" i="8" l="1"/>
  <c r="I28" i="8" s="1"/>
  <c r="J28" i="8" s="1"/>
  <c r="C29" i="8"/>
  <c r="M27" i="8"/>
  <c r="K27" i="8"/>
  <c r="C30" i="8" l="1"/>
  <c r="G29" i="8"/>
  <c r="I29" i="8" s="1"/>
  <c r="J29" i="8" s="1"/>
  <c r="M28" i="8"/>
  <c r="K28" i="8"/>
  <c r="M29" i="8" l="1"/>
  <c r="K29" i="8"/>
  <c r="C31" i="8"/>
  <c r="G30" i="8"/>
  <c r="I30" i="8" s="1"/>
  <c r="J30" i="8" s="1"/>
  <c r="M30" i="8" l="1"/>
  <c r="K30" i="8"/>
  <c r="C32" i="8"/>
  <c r="G31" i="8"/>
  <c r="I31" i="8" s="1"/>
  <c r="J31" i="8" s="1"/>
  <c r="M31" i="8" l="1"/>
  <c r="K31" i="8"/>
  <c r="C33" i="8"/>
  <c r="G32" i="8"/>
  <c r="I32" i="8" s="1"/>
  <c r="J32" i="8" s="1"/>
  <c r="M32" i="8" l="1"/>
  <c r="K32" i="8"/>
  <c r="G33" i="8"/>
  <c r="I33" i="8" s="1"/>
  <c r="J33" i="8" s="1"/>
  <c r="C34" i="8"/>
  <c r="G34" i="8" l="1"/>
  <c r="I34" i="8" s="1"/>
  <c r="J34" i="8" s="1"/>
  <c r="C35" i="8"/>
  <c r="M33" i="8"/>
  <c r="K33" i="8"/>
  <c r="C51" i="8" l="1"/>
  <c r="G51" i="8" s="1"/>
  <c r="G35" i="8"/>
  <c r="I35" i="8" s="1"/>
  <c r="J35" i="8" s="1"/>
  <c r="M34" i="8"/>
  <c r="K34" i="8"/>
  <c r="M35" i="8" l="1"/>
  <c r="K35" i="8"/>
  <c r="I51" i="8"/>
  <c r="M51" i="8" s="1"/>
  <c r="K51" i="8"/>
  <c r="M52" i="8" l="1"/>
  <c r="I18" i="8" s="1"/>
  <c r="C47" i="9" s="1"/>
  <c r="A55" i="8"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<sst xmlns="http://schemas.openxmlformats.org/spreadsheetml/2006/main" count="767" uniqueCount="557">
  <si>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</si>
  <si>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</si>
  <si>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</si>
  <si>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</si>
  <si>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</si>
  <si>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</si>
  <si>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</si>
  <si>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</si>
  <si>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</si>
  <si>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</si>
  <si>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</si>
  <si>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</si>
  <si>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</si>
  <si>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</si>
  <si>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</si>
  <si>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</si>
  <si>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</si>
  <si>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</si>
  <si>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</si>
  <si>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</si>
  <si>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</si>
  <si>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</si>
  <si>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</si>
  <si>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</si>
  <si>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</si>
  <si>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</si>
  <si>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</si>
  <si>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</si>
  <si>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</si>
  <si>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</si>
  <si>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</si>
  <si>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</si>
  <si>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</si>
  <si>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</si>
  <si>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</si>
  <si>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</si>
  <si>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</si>
  <si>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</si>
  <si>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</si>
  <si>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</si>
  <si>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</si>
  <si>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</si>
  <si>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</si>
  <si>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</si>
  <si>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</si>
  <si>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</si>
  <si>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</si>
  <si>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</si>
  <si>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</si>
  <si>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</si>
  <si>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</si>
  <si>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</si>
  <si>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</si>
  <si>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</si>
  <si>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</si>
  <si>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</si>
  <si>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</si>
  <si>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</si>
  <si>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</si>
  <si>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</si>
  <si>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</si>
  <si>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</si>
  <si>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</si>
  <si>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</si>
  <si>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</si>
  <si>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</si>
  <si>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</si>
  <si>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</si>
  <si>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</si>
  <si>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</si>
  <si>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</si>
  <si>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</si>
  <si>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</si>
  <si>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</si>
  <si>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</si>
  <si>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</si>
  <si>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</si>
  <si>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</si>
  <si>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</si>
  <si>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</si>
  <si>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</si>
  <si>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</si>
  <si>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</si>
  <si>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</si>
  <si>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</si>
  <si>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</si>
  <si>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</si>
  <si>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</si>
  <si>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</si>
  <si>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</si>
  <si>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</si>
  <si>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</si>
  <si>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</si>
  <si>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</si>
  <si>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</si>
  <si>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</si>
  <si>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</si>
  <si>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</si>
  <si>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</si>
  <si>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</si>
  <si>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</si>
  <si>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</si>
  <si>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</si>
  <si>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</si>
  <si>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</si>
  <si>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</si>
  <si>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</si>
  <si>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</si>
  <si>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</si>
  <si>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</si>
  <si>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</si>
  <si>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</si>
  <si>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</si>
  <si>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</si>
  <si>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</si>
  <si>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</si>
  <si>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</si>
  <si>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</si>
  <si>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</si>
  <si>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</si>
  <si>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</si>
  <si>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</si>
  <si>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</si>
  <si>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</si>
  <si>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</si>
  <si>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</si>
  <si>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</si>
  <si>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</si>
  <si>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</si>
  <si>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</si>
  <si>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</si>
  <si>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</si>
  <si>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</si>
  <si>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</si>
  <si>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</si>
  <si>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</si>
  <si>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</si>
  <si>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</si>
  <si>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</si>
  <si>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</si>
  <si>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</si>
  <si>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</si>
  <si>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</si>
  <si>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</si>
  <si>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</si>
  <si>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</si>
  <si>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</si>
  <si>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</si>
  <si>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</si>
  <si>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</si>
  <si>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</si>
  <si>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</si>
  <si>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</si>
  <si>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</si>
  <si>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</si>
  <si>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</si>
  <si>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</si>
  <si>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</si>
  <si>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</si>
  <si>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</si>
  <si>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</si>
  <si>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</si>
  <si>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</si>
  <si>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</si>
  <si>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</si>
  <si>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</si>
  <si>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</si>
  <si>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</si>
  <si>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</si>
  <si>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</si>
  <si>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</si>
  <si>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</si>
  <si>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</si>
  <si>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</si>
  <si>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</si>
  <si>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</si>
  <si>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</si>
  <si>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</si>
  <si>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</si>
  <si>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</si>
  <si>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</si>
  <si>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</si>
  <si>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</si>
  <si>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</si>
  <si>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</si>
  <si>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</si>
  <si>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</si>
  <si>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</si>
  <si>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</si>
  <si>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</si>
  <si>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</si>
  <si>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</si>
  <si>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</si>
  <si>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</si>
  <si>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</si>
  <si>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</si>
  <si>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</si>
  <si>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</si>
  <si>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</si>
  <si>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</si>
  <si>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</si>
  <si>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</si>
  <si>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</si>
  <si>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</si>
  <si>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</si>
  <si>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</si>
  <si>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</si>
  <si>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</si>
  <si>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</si>
  <si>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</si>
  <si>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</si>
  <si>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</si>
  <si>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</si>
  <si>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</si>
  <si>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</si>
  <si>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</si>
  <si>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</si>
  <si>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</si>
  <si>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</si>
  <si>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</si>
  <si>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</si>
  <si>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</si>
  <si>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</si>
  <si>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</si>
  <si>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</si>
  <si>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</si>
  <si>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</si>
  <si>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</si>
  <si>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</si>
  <si>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</si>
  <si>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</si>
  <si>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</si>
  <si>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</si>
  <si>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</si>
  <si>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</si>
  <si>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</si>
  <si>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</si>
  <si>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</si>
  <si>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</si>
  <si>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</si>
  <si>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</si>
  <si>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</si>
  <si>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</si>
  <si>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</si>
  <si>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</si>
  <si>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</si>
  <si>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</si>
  <si>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</si>
  <si>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</si>
  <si>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</si>
  <si>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</si>
  <si>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</si>
  <si>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</si>
  <si>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</si>
  <si>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</si>
  <si>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</si>
  <si>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</si>
  <si>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</si>
  <si>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</si>
  <si>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</si>
  <si>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</si>
  <si>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</si>
  <si>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</si>
  <si>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</si>
  <si>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</si>
  <si>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</si>
  <si>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</si>
  <si>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</si>
  <si>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</si>
  <si>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</si>
  <si>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</si>
  <si>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</si>
  <si>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</si>
  <si>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</si>
  <si>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</si>
  <si>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</si>
  <si>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</si>
  <si>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</si>
  <si>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</si>
  <si>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</si>
  <si>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</si>
  <si>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</si>
  <si>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</si>
  <si>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</si>
  <si>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</si>
  <si>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</si>
  <si>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</si>
  <si>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</si>
  <si>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</si>
  <si>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</si>
  <si>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</si>
  <si>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</si>
  <si>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</si>
  <si>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</si>
  <si>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</si>
  <si>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</si>
  <si>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</si>
  <si>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</si>
  <si>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</si>
  <si>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</si>
  <si>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</si>
  <si>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</si>
  <si>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</si>
  <si>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</si>
  <si>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</si>
  <si>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</si>
  <si>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</si>
  <si>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</si>
  <si>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</si>
  <si>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</si>
  <si>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</si>
  <si>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</si>
  <si>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</si>
  <si>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</si>
  <si>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</si>
  <si>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</si>
  <si>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</si>
  <si>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</si>
  <si>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</si>
  <si>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</si>
  <si>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</si>
  <si>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</si>
  <si>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</si>
  <si>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</si>
  <si>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</si>
  <si>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</si>
  <si>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</si>
  <si>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</si>
  <si>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</si>
  <si>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</si>
  <si>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</si>
  <si>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</si>
  <si>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</si>
  <si>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</si>
  <si>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</si>
  <si>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</si>
  <si>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</si>
  <si>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</si>
  <si>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</si>
  <si>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</si>
  <si>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</si>
  <si>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</si>
  <si>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</si>
  <si>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</si>
  <si>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</si>
  <si>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</si>
  <si>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</si>
  <si>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</si>
  <si>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</si>
  <si>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</si>
  <si>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</si>
  <si>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</si>
  <si>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</si>
  <si>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</si>
  <si>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</si>
  <si>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</si>
  <si>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</si>
  <si>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</si>
  <si>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</si>
  <si>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</si>
  <si>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</si>
  <si>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</si>
  <si>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</si>
  <si>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</si>
  <si>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</si>
  <si>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</si>
  <si>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</si>
  <si>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</si>
  <si>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</si>
  <si>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</si>
  <si>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</si>
  <si>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</si>
  <si>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</si>
  <si>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</si>
  <si>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</si>
  <si>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</si>
  <si>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</si>
  <si>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</si>
  <si>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</si>
  <si>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</si>
  <si>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</si>
  <si>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</si>
  <si>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</si>
  <si>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</si>
  <si>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</si>
  <si>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</si>
  <si>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</si>
  <si>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</si>
  <si>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</si>
  <si>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</si>
  <si>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</si>
  <si>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</si>
  <si>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</si>
  <si>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</si>
  <si>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</si>
  <si>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</si>
  <si>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</si>
  <si>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</si>
  <si>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</si>
  <si>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</si>
  <si>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</si>
  <si>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</si>
  <si>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</si>
  <si>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</si>
  <si>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</si>
  <si>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</si>
  <si>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</si>
  <si>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</si>
  <si>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</si>
  <si>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</si>
  <si>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</si>
  <si>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</si>
  <si>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</si>
  <si>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</si>
  <si>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</si>
  <si>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</si>
  <si>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</si>
  <si>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</si>
  <si>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</si>
  <si>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</si>
  <si>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</si>
  <si>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</si>
  <si>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</si>
  <si>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</si>
  <si>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</si>
  <si>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</si>
  <si>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</si>
  <si>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</si>
  <si>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</si>
  <si>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</si>
  <si>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</si>
  <si>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</si>
  <si>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</si>
  <si>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</si>
  <si>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</si>
  <si>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</si>
  <si>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</si>
  <si>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</si>
  <si>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</si>
  <si>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</si>
  <si>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</si>
  <si>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</si>
  <si>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</si>
  <si>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</si>
  <si>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</si>
  <si>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</si>
  <si>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</si>
  <si>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</si>
  <si>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</si>
  <si>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</si>
  <si>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</si>
  <si>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</si>
  <si>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</si>
  <si>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</si>
  <si>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</si>
  <si>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</si>
  <si>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</si>
  <si>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</si>
  <si>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</si>
  <si>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</si>
  <si>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</si>
  <si>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</si>
  <si>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</si>
  <si>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</si>
  <si>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</si>
  <si>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</si>
  <si>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</si>
  <si>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</si>
  <si>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</si>
  <si>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</si>
  <si>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</si>
  <si>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</si>
  <si>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</si>
  <si>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</si>
  <si>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</si>
  <si>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</si>
  <si>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</si>
  <si>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</si>
  <si>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</si>
  <si>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</si>
  <si>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</si>
  <si>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</si>
  <si>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</si>
  <si>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</si>
  <si>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</si>
  <si>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</si>
  <si>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</si>
  <si>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</si>
  <si>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</si>
  <si>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</si>
  <si>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</si>
  <si>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</si>
  <si>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</si>
  <si>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</si>
  <si>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</si>
  <si>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</si>
  <si>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</si>
  <si>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</si>
  <si>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</si>
  <si>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</si>
  <si>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</si>
  <si>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</si>
  <si>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</si>
  <si>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</si>
  <si>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</si>
  <si>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</si>
  <si>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</si>
  <si>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</si>
  <si>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</si>
  <si>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</si>
  <si>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</si>
  <si>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</si>
  <si>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</si>
  <si>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</si>
  <si>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</si>
  <si>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</si>
  <si>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</si>
  <si>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</si>
  <si>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</si>
  <si>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</si>
  <si>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</si>
  <si>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</si>
  <si>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</si>
  <si>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</si>
  <si>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</si>
  <si>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</si>
  <si>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</si>
  <si>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</si>
  <si>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</si>
  <si>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</si>
  <si>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</si>
  <si>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</si>
  <si>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</si>
  <si>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</si>
  <si>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</si>
  <si>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</si>
  <si>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</si>
  <si>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</si>
  <si>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</si>
  <si>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</si>
  <si>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</si>
  <si>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</si>
  <si>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</si>
  <si>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</si>
  <si>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</si>
  <si>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</si>
  <si>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</si>
  <si>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</si>
  <si>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</si>
  <si>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</si>
  <si>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</si>
  <si>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</si>
  <si>
    <t>Sales/Total Assets</t>
  </si>
  <si>
    <t>Pre-tax Profit ROE</t>
  </si>
  <si>
    <t>Total Assets/Equity</t>
  </si>
  <si>
    <t>FCFE</t>
  </si>
  <si>
    <t>FCFE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</si>
</sst>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8" fillId="0" borderId="1" xfId="0" applyNumberFormat="1" applyFont="1" applyBorder="1" applyAlignment="1">
      <alignment wrapText="1"/>
    </xf>
    <xf numFmtId="181" fontId="0" fillId="7" borderId="3" xfId="0" applyNumberFormat="1" applyFill="1" applyBorder="1"/>
    <xf numFmtId="10" fontId="1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3" sqref="B33:F3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199" t="s">
        <v>222</v>
      </c>
      <c r="B2" s="34"/>
      <c r="C2" s="34"/>
      <c r="D2" s="34"/>
      <c r="E2" s="34"/>
      <c r="F2" s="34"/>
      <c r="G2" s="21"/>
      <c r="H2" s="21"/>
      <c r="I2" s="21"/>
    </row>
    <row r="3" spans="1:9">
      <c r="E3" s="431" t="s">
        <v>537</v>
      </c>
      <c r="F3" s="432">
        <v>46038</v>
      </c>
    </row>
    <row r="4" spans="1:9" ht="12.4">
      <c r="B4" s="424" t="s">
        <v>532</v>
      </c>
      <c r="C4" s="423" t="s">
        <v>549</v>
      </c>
      <c r="E4" s="433" t="s">
        <v>536</v>
      </c>
      <c r="F4" s="434" t="s">
        <v>321</v>
      </c>
    </row>
    <row r="5" spans="1:9">
      <c r="B5" s="1" t="s">
        <v>346</v>
      </c>
      <c r="C5" s="46" t="s">
        <v>550</v>
      </c>
      <c r="E5" s="436" t="s">
        <v>538</v>
      </c>
      <c r="F5" s="435" t="s">
        <v>496</v>
      </c>
    </row>
    <row r="6" spans="1:9">
      <c r="B6" s="2" t="s">
        <v>53</v>
      </c>
      <c r="C6" s="45" t="s">
        <v>551</v>
      </c>
      <c r="D6" s="45"/>
      <c r="E6" s="45"/>
    </row>
    <row r="7" spans="1:9">
      <c r="B7" s="1" t="s">
        <v>348</v>
      </c>
      <c r="C7" s="45" t="s">
        <v>305</v>
      </c>
      <c r="D7" s="45"/>
      <c r="E7" s="45"/>
    </row>
    <row r="8" spans="1:9">
      <c r="B8" s="4" t="s">
        <v>347</v>
      </c>
      <c r="C8" s="47">
        <v>4.74</v>
      </c>
      <c r="E8" s="32"/>
    </row>
    <row r="9" spans="1:9">
      <c r="B9" s="4" t="s">
        <v>343</v>
      </c>
      <c r="C9" s="48">
        <v>580004033</v>
      </c>
    </row>
    <row r="10" spans="1:9">
      <c r="B10" s="4" t="s">
        <v>349</v>
      </c>
      <c r="C10" s="33">
        <f>Thesis!C8*Common_Shares/1000000</f>
        <v>2749.2191164199999</v>
      </c>
      <c r="D10" s="1" t="s">
        <v>527</v>
      </c>
      <c r="E10" s="306">
        <f>Scenarios!F34</f>
        <v>0.20248380603638749</v>
      </c>
    </row>
    <row r="11" spans="1:9">
      <c r="D11" s="5"/>
      <c r="E11" s="5"/>
    </row>
    <row r="12" spans="1:9" ht="24.5" customHeight="1">
      <c r="B12" s="461" t="s">
        <v>352</v>
      </c>
      <c r="C12" s="461"/>
      <c r="D12" s="461"/>
      <c r="E12" s="461"/>
      <c r="F12" s="461"/>
    </row>
    <row r="14" spans="1:9">
      <c r="B14" s="42" t="str">
        <f>Scenarios!B39&amp;" Valuation Conclusion"</f>
        <v>2-stage DCF Valuation Conclusion</v>
      </c>
      <c r="C14" s="43"/>
    </row>
    <row r="15" spans="1:9">
      <c r="B15" s="1" t="s">
        <v>316</v>
      </c>
      <c r="C15" s="420" t="s">
        <v>546</v>
      </c>
      <c r="D15" s="4" t="s">
        <v>350</v>
      </c>
      <c r="E15" s="255" t="str">
        <f>IF(E17=C7,C7,E17&amp;"/"&amp;C7)</f>
        <v>HKD</v>
      </c>
    </row>
    <row r="16" spans="1:9">
      <c r="B16" s="1" t="s">
        <v>317</v>
      </c>
      <c r="C16" s="420" t="s">
        <v>546</v>
      </c>
      <c r="D16" s="4" t="s">
        <v>351</v>
      </c>
      <c r="E16" s="419">
        <v>1</v>
      </c>
    </row>
    <row r="17" spans="1:6">
      <c r="B17" s="1" t="s">
        <v>531</v>
      </c>
      <c r="C17" s="458">
        <v>0.01</v>
      </c>
      <c r="D17" s="4" t="s">
        <v>271</v>
      </c>
      <c r="E17" s="223" t="s">
        <v>305</v>
      </c>
    </row>
    <row r="18" spans="1:6">
      <c r="B18" s="1" t="str">
        <f>"Expected Equity Value ("&amp;C7&amp;") :"</f>
        <v>Expected Equity Value (HKD) :</v>
      </c>
      <c r="C18" s="254">
        <f>C125</f>
        <v>7.1471504119406184</v>
      </c>
      <c r="D18" s="2" t="s">
        <v>344</v>
      </c>
      <c r="E18" s="421">
        <v>6</v>
      </c>
    </row>
    <row r="19" spans="1:6">
      <c r="B19" s="2" t="s">
        <v>272</v>
      </c>
      <c r="C19" s="31" t="str">
        <f>IF(Terminal_Growth&lt;2%, "Lower than Inflation rate", IF(Terminal_Growth&lt;5%, "Low growth", IF(Terminal_Growth&lt;8%, "Medium growth", "High growth")))</f>
        <v>Lower than Inflation rate</v>
      </c>
      <c r="D19" s="1" t="s">
        <v>345</v>
      </c>
      <c r="E19" s="422">
        <f>EOMONTH(EDATE(BS!C1,E18+2),0)</f>
        <v>46173</v>
      </c>
    </row>
    <row r="20" spans="1:6">
      <c r="D20" s="5"/>
      <c r="E20" s="5"/>
    </row>
    <row r="21" spans="1:6">
      <c r="B21" s="42" t="s">
        <v>403</v>
      </c>
      <c r="C21" s="256" t="str">
        <f>C138&amp;" ("&amp;Market_currency&amp;")"</f>
        <v xml:space="preserve"> (HKD)</v>
      </c>
      <c r="D21" s="31" t="s">
        <v>313</v>
      </c>
      <c r="E21" s="445">
        <v>3</v>
      </c>
    </row>
    <row r="22" spans="1:6">
      <c r="B22" s="1" t="s">
        <v>309</v>
      </c>
      <c r="C22" s="257">
        <f>E140</f>
        <v>3.8425731741881606</v>
      </c>
      <c r="D22" s="38" t="s">
        <v>405</v>
      </c>
      <c r="E22" s="78">
        <v>0.29465259038036601</v>
      </c>
    </row>
    <row r="23" spans="1:6">
      <c r="B23" s="1" t="s">
        <v>310</v>
      </c>
      <c r="C23" s="258">
        <f>E141</f>
        <v>4.7595191116554512</v>
      </c>
      <c r="D23" s="38" t="s">
        <v>406</v>
      </c>
      <c r="E23" s="446">
        <v>0.20075184365903001</v>
      </c>
    </row>
    <row r="24" spans="1:6">
      <c r="B24" s="1" t="s">
        <v>312</v>
      </c>
      <c r="C24" s="258">
        <f>E144</f>
        <v>5.8465752759800615</v>
      </c>
      <c r="D24" s="38" t="s">
        <v>407</v>
      </c>
      <c r="E24" s="446">
        <v>0.1174</v>
      </c>
    </row>
    <row r="25" spans="1:6">
      <c r="B25" s="1" t="s">
        <v>311</v>
      </c>
      <c r="C25" s="258">
        <f>E145</f>
        <v>6.5772126757176244</v>
      </c>
      <c r="D25" s="38" t="s">
        <v>408</v>
      </c>
      <c r="E25" s="447">
        <v>7.2499999999999995E-2</v>
      </c>
    </row>
    <row r="26" spans="1:6">
      <c r="D26" s="5"/>
      <c r="E26" s="5"/>
    </row>
    <row r="27" spans="1:6" ht="13.9">
      <c r="A27" s="199" t="s">
        <v>277</v>
      </c>
      <c r="B27" s="34"/>
      <c r="C27" s="34"/>
      <c r="D27" s="34"/>
      <c r="E27" s="34"/>
      <c r="F27" s="34"/>
    </row>
    <row r="29" spans="1:6">
      <c r="B29" s="461" t="s">
        <v>353</v>
      </c>
      <c r="C29" s="461"/>
      <c r="D29" s="461"/>
      <c r="E29" s="461"/>
      <c r="F29" s="461"/>
    </row>
    <row r="30" spans="1:6" ht="24.5" customHeight="1">
      <c r="B30" s="465" t="s">
        <v>263</v>
      </c>
      <c r="C30" s="465"/>
      <c r="D30" s="465"/>
      <c r="E30" s="465"/>
      <c r="F30" s="465"/>
    </row>
    <row r="32" spans="1:6">
      <c r="B32" s="191" t="s">
        <v>192</v>
      </c>
      <c r="C32" s="104">
        <f>scaling_factor</f>
        <v>1000</v>
      </c>
    </row>
    <row r="33" spans="2:6" ht="24.5" customHeight="1">
      <c r="B33" s="462" t="s">
        <v>193</v>
      </c>
      <c r="C33" s="462"/>
      <c r="D33" s="462"/>
      <c r="E33" s="462"/>
      <c r="F33" s="462"/>
    </row>
    <row r="34" spans="2:6">
      <c r="B34" s="44" t="s">
        <v>194</v>
      </c>
      <c r="C34" s="288">
        <f>Normalized_FCF!C8</f>
        <v>399900.44817177404</v>
      </c>
      <c r="D34" s="1" t="str">
        <f>Reporting_currency</f>
        <v>HKD</v>
      </c>
    </row>
    <row r="35" spans="2:6">
      <c r="B35" s="44"/>
      <c r="C35" s="72"/>
    </row>
    <row r="36" spans="2:6" ht="24.5" customHeight="1">
      <c r="B36" s="462" t="s">
        <v>195</v>
      </c>
      <c r="C36" s="462"/>
      <c r="D36" s="462"/>
      <c r="E36" s="462"/>
      <c r="F36" s="462"/>
    </row>
    <row r="37" spans="2:6">
      <c r="B37" s="44" t="s">
        <v>196</v>
      </c>
      <c r="C37" s="288">
        <f>Normalized_FCF!C15</f>
        <v>378473</v>
      </c>
      <c r="D37" s="1" t="str">
        <f>Reporting_currency</f>
        <v>HKD</v>
      </c>
    </row>
    <row r="38" spans="2:6">
      <c r="B38" s="49" t="s">
        <v>197</v>
      </c>
      <c r="C38" s="288">
        <f>Normalized_FCF!C16</f>
        <v>-378473</v>
      </c>
      <c r="D38" s="1" t="str">
        <f>Reporting_currency</f>
        <v>HKD</v>
      </c>
    </row>
    <row r="40" spans="2:6">
      <c r="B40" s="462" t="s">
        <v>198</v>
      </c>
      <c r="C40" s="462"/>
      <c r="D40" s="462"/>
      <c r="E40" s="462"/>
      <c r="F40" s="462"/>
    </row>
    <row r="41" spans="2:6">
      <c r="B41" s="44" t="s">
        <v>199</v>
      </c>
      <c r="C41" s="288">
        <f>Normalized_FCF!C9</f>
        <v>0</v>
      </c>
      <c r="D41" s="1" t="str">
        <f>Reporting_currency</f>
        <v>HKD</v>
      </c>
    </row>
    <row r="43" spans="2:6">
      <c r="B43" s="462" t="s">
        <v>202</v>
      </c>
      <c r="C43" s="462"/>
      <c r="D43" s="462"/>
      <c r="E43" s="462"/>
      <c r="F43" s="462"/>
    </row>
    <row r="44" spans="2:6">
      <c r="B44" s="44" t="s">
        <v>264</v>
      </c>
      <c r="C44" s="289">
        <f>Normalized_FCF!C46</f>
        <v>6977.6303429583331</v>
      </c>
      <c r="D44" s="1" t="str">
        <f>Reporting_currency</f>
        <v>HKD</v>
      </c>
      <c r="E44" s="246"/>
      <c r="F44" s="246"/>
    </row>
    <row r="45" spans="2:6">
      <c r="B45" s="44" t="s">
        <v>265</v>
      </c>
      <c r="C45" s="289">
        <f>Normalized_FCF!C45</f>
        <v>-89319.428</v>
      </c>
      <c r="D45" s="1" t="str">
        <f>Reporting_currency</f>
        <v>HKD</v>
      </c>
      <c r="E45" s="246"/>
      <c r="F45" s="246"/>
    </row>
    <row r="46" spans="2:6">
      <c r="B46" s="44" t="s">
        <v>200</v>
      </c>
      <c r="C46" s="288">
        <f>Normalized_FCF!C10</f>
        <v>-82341.797657041665</v>
      </c>
      <c r="D46" s="1" t="str">
        <f>Reporting_currency</f>
        <v>HKD</v>
      </c>
    </row>
    <row r="48" spans="2:6">
      <c r="B48" s="1" t="s">
        <v>208</v>
      </c>
    </row>
    <row r="49" spans="2:6">
      <c r="B49" s="44" t="s">
        <v>220</v>
      </c>
      <c r="C49" s="288">
        <f>Normalized_FCF!C13</f>
        <v>-29412.617008902169</v>
      </c>
      <c r="D49" s="1" t="str">
        <f>Reporting_currency</f>
        <v>HKD</v>
      </c>
    </row>
    <row r="51" spans="2:6">
      <c r="B51" s="462" t="s">
        <v>203</v>
      </c>
      <c r="C51" s="462"/>
      <c r="D51" s="462"/>
      <c r="E51" s="462"/>
      <c r="F51" s="462"/>
    </row>
    <row r="52" spans="2:6">
      <c r="B52" s="44" t="s">
        <v>201</v>
      </c>
      <c r="C52" s="288">
        <f>Normalized_FCF!C12</f>
        <v>-52397.177334930842</v>
      </c>
      <c r="D52" s="1" t="str">
        <f>Reporting_currency</f>
        <v>HKD</v>
      </c>
    </row>
    <row r="54" spans="2:6">
      <c r="B54" s="462" t="s">
        <v>262</v>
      </c>
      <c r="C54" s="463"/>
      <c r="D54" s="463"/>
      <c r="E54" s="463"/>
      <c r="F54" s="463"/>
    </row>
    <row r="55" spans="2:6">
      <c r="B55" s="44" t="s">
        <v>204</v>
      </c>
      <c r="C55" s="288">
        <f>Normalized_FCF!C17</f>
        <v>0</v>
      </c>
      <c r="D55" s="1" t="str">
        <f>Reporting_currency</f>
        <v>HKD</v>
      </c>
    </row>
    <row r="57" spans="2:6" ht="24.5" customHeight="1">
      <c r="B57" s="461" t="s">
        <v>267</v>
      </c>
      <c r="C57" s="461"/>
      <c r="D57" s="461"/>
      <c r="E57" s="461"/>
      <c r="F57" s="461"/>
    </row>
    <row r="58" spans="2:6" ht="24.5" customHeight="1">
      <c r="B58" s="461" t="s">
        <v>279</v>
      </c>
      <c r="C58" s="461"/>
      <c r="D58" s="461"/>
      <c r="E58" s="461"/>
      <c r="F58" s="461"/>
    </row>
    <row r="60" spans="2:6">
      <c r="B60" s="44" t="s">
        <v>224</v>
      </c>
      <c r="C60" s="288">
        <f>Normalized_FCF!G19</f>
        <v>293091.35434234177</v>
      </c>
      <c r="D60" s="1" t="str">
        <f>Reporting_currency</f>
        <v>HKD</v>
      </c>
    </row>
    <row r="61" spans="2:6">
      <c r="B61" s="44" t="s">
        <v>210</v>
      </c>
      <c r="C61" s="288">
        <f>Normalized_FCF!C19</f>
        <v>235748.85617089932</v>
      </c>
      <c r="D61" s="1" t="str">
        <f>Reporting_currency</f>
        <v>HKD</v>
      </c>
    </row>
    <row r="62" spans="2:6">
      <c r="B62" s="203" t="s">
        <v>299</v>
      </c>
      <c r="C62" s="88">
        <f>Normalized_FCF!C124</f>
        <v>8.5751206501826105E-2</v>
      </c>
      <c r="F62" s="259"/>
    </row>
    <row r="63" spans="2:6">
      <c r="B63" s="203" t="s">
        <v>329</v>
      </c>
      <c r="C63" s="88">
        <f>Normalized_FCF!C92</f>
        <v>6.3291139240506333E-2</v>
      </c>
      <c r="E63" s="44" t="s">
        <v>319</v>
      </c>
      <c r="F63" s="260">
        <f>Normalized_FCF!C90</f>
        <v>0.7380787025912986</v>
      </c>
    </row>
    <row r="65" spans="1:6">
      <c r="B65" s="191" t="s">
        <v>322</v>
      </c>
      <c r="C65" s="266" t="s">
        <v>324</v>
      </c>
      <c r="D65" s="266" t="s">
        <v>325</v>
      </c>
    </row>
    <row r="66" spans="1:6">
      <c r="B66" s="44" t="s">
        <v>323</v>
      </c>
      <c r="C66" s="88">
        <f>Normalized_FCF!C119</f>
        <v>0.12</v>
      </c>
      <c r="D66" s="88">
        <f>Normalized_FCF!G119</f>
        <v>0.12384516757726732</v>
      </c>
    </row>
    <row r="67" spans="1:6">
      <c r="B67" s="228" t="str">
        <f>Normalized_FCF!B116</f>
        <v>Pre-tax Profit/Sales</v>
      </c>
      <c r="C67" s="265">
        <f>Normalized_FCF!C116</f>
        <v>3.7061963337109531E-2</v>
      </c>
      <c r="D67" s="265">
        <f>Normalized_FCF!G116</f>
        <v>3.8253761426233622E-2</v>
      </c>
    </row>
    <row r="68" spans="1:6">
      <c r="B68" s="228" t="str">
        <f>Normalized_FCF!B117</f>
        <v>Sales/Total Assets</v>
      </c>
      <c r="C68" s="267">
        <f>Normalized_FCF!C117</f>
        <v>1.48</v>
      </c>
      <c r="D68" s="267">
        <f>Normalized_FCF!G117</f>
        <v>1.4798367611150316</v>
      </c>
    </row>
    <row r="69" spans="1:6">
      <c r="B69" s="228" t="str">
        <f>Normalized_FCF!B118</f>
        <v>Total Assets/Equity</v>
      </c>
      <c r="C69" s="267">
        <f>Normalized_FCF!C118</f>
        <v>2.187716833659914</v>
      </c>
      <c r="D69" s="267">
        <f>Normalized_FCF!G118</f>
        <v>2.187716833659914</v>
      </c>
    </row>
    <row r="71" spans="1:6" ht="13.9">
      <c r="A71" s="199" t="s">
        <v>476</v>
      </c>
      <c r="B71" s="34"/>
      <c r="C71" s="34"/>
      <c r="D71" s="34"/>
      <c r="E71" s="34"/>
      <c r="F71" s="34"/>
    </row>
    <row r="72" spans="1:6">
      <c r="A72" s="190"/>
    </row>
    <row r="73" spans="1:6">
      <c r="A73" s="190"/>
      <c r="B73" s="461" t="s">
        <v>477</v>
      </c>
      <c r="C73" s="461"/>
      <c r="D73" s="461"/>
      <c r="E73" s="461"/>
      <c r="F73" s="461"/>
    </row>
    <row r="74" spans="1:6">
      <c r="A74" s="190"/>
      <c r="B74" s="1" t="s">
        <v>464</v>
      </c>
    </row>
    <row r="75" spans="1:6">
      <c r="A75" s="190"/>
    </row>
    <row r="76" spans="1:6">
      <c r="A76" s="190"/>
      <c r="B76" s="191" t="s">
        <v>192</v>
      </c>
    </row>
    <row r="77" spans="1:6">
      <c r="A77" s="190"/>
      <c r="B77" s="461" t="s">
        <v>268</v>
      </c>
      <c r="C77" s="461"/>
      <c r="D77" s="461"/>
      <c r="E77" s="461"/>
      <c r="F77" s="461"/>
    </row>
    <row r="78" spans="1:6">
      <c r="A78" s="190"/>
      <c r="B78" s="1" t="s">
        <v>212</v>
      </c>
      <c r="C78" s="288">
        <f>DCF!F4</f>
        <v>-2029987</v>
      </c>
      <c r="D78" s="1" t="str">
        <f>Reporting_currency</f>
        <v>HKD</v>
      </c>
    </row>
    <row r="79" spans="1:6">
      <c r="A79" s="190"/>
      <c r="B79" s="44" t="s">
        <v>231</v>
      </c>
      <c r="C79" s="200">
        <f>C78*scaling_factor*Exchange_Rate/Common_Shares</f>
        <v>-3.4999532494630086</v>
      </c>
      <c r="D79" s="1" t="str">
        <f>Market_currency</f>
        <v>HKD</v>
      </c>
    </row>
    <row r="80" spans="1:6">
      <c r="A80" s="190"/>
      <c r="B80" s="228" t="s">
        <v>306</v>
      </c>
      <c r="C80" s="340">
        <f>IF(BS!G31/BS!G27&gt;300%,"nm",BS!G31/BS!G27)</f>
        <v>0.76701287002940366</v>
      </c>
    </row>
    <row r="81" spans="1:6">
      <c r="A81" s="190"/>
      <c r="B81" s="228" t="s">
        <v>308</v>
      </c>
      <c r="C81" s="341">
        <f>IF(BS!C50&gt;30,"nm",BS!C50)</f>
        <v>5.0762308701590531</v>
      </c>
    </row>
    <row r="82" spans="1:6">
      <c r="A82" s="190"/>
    </row>
    <row r="83" spans="1:6">
      <c r="A83" s="190"/>
      <c r="B83" s="1" t="s">
        <v>465</v>
      </c>
    </row>
    <row r="84" spans="1:6">
      <c r="A84" s="190"/>
      <c r="B84" s="1" t="s">
        <v>221</v>
      </c>
      <c r="C84" s="288">
        <f>DCF!F5</f>
        <v>267503.96570416668</v>
      </c>
      <c r="D84" s="1" t="str">
        <f>Reporting_currency</f>
        <v>HKD</v>
      </c>
    </row>
    <row r="85" spans="1:6">
      <c r="A85" s="190"/>
      <c r="B85" s="228" t="s">
        <v>219</v>
      </c>
      <c r="C85" s="294">
        <f>BS!C66</f>
        <v>965267</v>
      </c>
      <c r="D85" s="342" t="str">
        <f>Reporting_currency</f>
        <v>HKD</v>
      </c>
    </row>
    <row r="86" spans="1:6">
      <c r="A86" s="190"/>
      <c r="B86" s="44" t="s">
        <v>232</v>
      </c>
      <c r="C86" s="200">
        <f>C84*scaling_factor*Exchange_Rate/Common_Shares</f>
        <v>0.4612105269691576</v>
      </c>
      <c r="D86" s="1" t="str">
        <f>Market_currency</f>
        <v>HKD</v>
      </c>
    </row>
    <row r="87" spans="1:6">
      <c r="A87" s="190"/>
    </row>
    <row r="88" spans="1:6">
      <c r="A88" s="190"/>
      <c r="B88" s="1" t="s">
        <v>213</v>
      </c>
    </row>
    <row r="89" spans="1:6">
      <c r="A89" s="190"/>
      <c r="B89" s="1" t="s">
        <v>214</v>
      </c>
      <c r="C89" s="288">
        <f>DCF!F6</f>
        <v>61077</v>
      </c>
      <c r="D89" s="1" t="str">
        <f>Reporting_currency</f>
        <v>HKD</v>
      </c>
    </row>
    <row r="90" spans="1:6">
      <c r="A90" s="190"/>
      <c r="B90" s="44" t="s">
        <v>233</v>
      </c>
      <c r="C90" s="200">
        <f>C89*scaling_factor*Exchange_Rate/Common_Shares</f>
        <v>0.10530444018481507</v>
      </c>
      <c r="D90" s="1" t="str">
        <f>Market_currency</f>
        <v>HKD</v>
      </c>
    </row>
    <row r="91" spans="1:6">
      <c r="A91" s="190"/>
    </row>
    <row r="92" spans="1:6">
      <c r="A92" s="190"/>
      <c r="B92" s="44" t="s">
        <v>468</v>
      </c>
      <c r="C92" s="215">
        <f>DCF!F8</f>
        <v>-2.9334382823090355</v>
      </c>
      <c r="D92" s="44" t="str">
        <f>Market_currency</f>
        <v>HKD</v>
      </c>
    </row>
    <row r="94" spans="1:6" ht="13.9">
      <c r="A94" s="199" t="s">
        <v>469</v>
      </c>
      <c r="B94" s="34"/>
      <c r="C94" s="34"/>
      <c r="D94" s="34"/>
      <c r="E94" s="34"/>
      <c r="F94" s="34"/>
    </row>
    <row r="95" spans="1:6">
      <c r="A95" s="190"/>
    </row>
    <row r="96" spans="1:6" ht="11.75" customHeight="1">
      <c r="B96" s="461" t="s">
        <v>484</v>
      </c>
      <c r="C96" s="461"/>
      <c r="D96" s="461"/>
      <c r="E96" s="461"/>
      <c r="F96" s="461"/>
    </row>
    <row r="97" spans="2:6">
      <c r="B97" s="465" t="s">
        <v>483</v>
      </c>
      <c r="C97" s="465"/>
      <c r="D97" s="465"/>
      <c r="E97" s="465"/>
      <c r="F97" s="465"/>
    </row>
    <row r="98" spans="2:6">
      <c r="B98" s="465" t="s">
        <v>482</v>
      </c>
      <c r="C98" s="465"/>
      <c r="D98" s="465"/>
      <c r="E98" s="465"/>
      <c r="F98" s="465"/>
    </row>
    <row r="100" spans="2:6">
      <c r="B100" s="191" t="s">
        <v>192</v>
      </c>
    </row>
    <row r="101" spans="2:6">
      <c r="B101" s="49" t="s">
        <v>466</v>
      </c>
      <c r="C101" s="210">
        <f>E25+C103</f>
        <v>7.2499999999999995E-2</v>
      </c>
    </row>
    <row r="102" spans="2:6">
      <c r="B102" s="228" t="s">
        <v>315</v>
      </c>
      <c r="C102" s="265">
        <f>E25</f>
        <v>7.2499999999999995E-2</v>
      </c>
    </row>
    <row r="103" spans="2:6">
      <c r="B103" s="228" t="s">
        <v>314</v>
      </c>
      <c r="C103" s="265">
        <f>IF(C15="Y",1%,0)+IF(C16="Y",1%,0)</f>
        <v>0</v>
      </c>
    </row>
    <row r="104" spans="2:6">
      <c r="B104" s="44" t="s">
        <v>211</v>
      </c>
      <c r="C104" s="210">
        <f>Terminal_Growth</f>
        <v>0.01</v>
      </c>
    </row>
    <row r="106" spans="2:6">
      <c r="B106" s="252" t="s">
        <v>278</v>
      </c>
      <c r="C106" s="115"/>
    </row>
    <row r="107" spans="2:6">
      <c r="B107" s="461" t="s">
        <v>280</v>
      </c>
      <c r="C107" s="461"/>
      <c r="D107" s="461"/>
      <c r="E107" s="461"/>
      <c r="F107" s="461"/>
    </row>
    <row r="108" spans="2:6">
      <c r="B108" s="461" t="s">
        <v>281</v>
      </c>
      <c r="C108" s="461"/>
      <c r="D108" s="461"/>
      <c r="E108" s="461"/>
      <c r="F108" s="461"/>
    </row>
    <row r="110" spans="2:6">
      <c r="B110" s="191" t="s">
        <v>486</v>
      </c>
    </row>
    <row r="111" spans="2:6">
      <c r="B111" s="49" t="s">
        <v>467</v>
      </c>
      <c r="C111" s="215">
        <f>BS!D47</f>
        <v>-2.4800067209187837</v>
      </c>
      <c r="D111" s="1" t="str">
        <f>Market_currency</f>
        <v>HKD</v>
      </c>
    </row>
    <row r="112" spans="2:6">
      <c r="B112" s="44" t="s">
        <v>320</v>
      </c>
      <c r="C112" s="215">
        <f>DCF!C11</f>
        <v>3.6349669338004422</v>
      </c>
      <c r="D112" s="1" t="str">
        <f>Market_currency</f>
        <v>HKD</v>
      </c>
    </row>
    <row r="114" spans="2:6" ht="24.5" customHeight="1">
      <c r="B114" s="461" t="s">
        <v>490</v>
      </c>
      <c r="C114" s="461"/>
      <c r="D114" s="461"/>
      <c r="E114" s="461"/>
      <c r="F114" s="461"/>
    </row>
    <row r="116" spans="2:6">
      <c r="B116" s="191" t="s">
        <v>487</v>
      </c>
    </row>
    <row r="117" spans="2:6" ht="12.4">
      <c r="B117" s="345" t="s">
        <v>99</v>
      </c>
      <c r="C117" s="345" t="s">
        <v>108</v>
      </c>
      <c r="D117" s="345" t="s">
        <v>216</v>
      </c>
      <c r="E117" s="345" t="s">
        <v>122</v>
      </c>
      <c r="F117" s="345" t="s">
        <v>545</v>
      </c>
    </row>
    <row r="118" spans="2:6">
      <c r="B118" s="204" t="str">
        <f>DCF!B90&amp;" ("&amp;DCF!D90&amp;"yrs)"</f>
        <v>Snowball Scenario (15yrs)</v>
      </c>
      <c r="C118" s="205">
        <f>DCF!C90</f>
        <v>0.04</v>
      </c>
      <c r="D118" s="206" t="str">
        <f>ROUND(DCF!E90,2)&amp;" "&amp;Market_currency</f>
        <v>9.92 HKD</v>
      </c>
      <c r="E118" s="207">
        <f>DCF!F90</f>
        <v>0.05</v>
      </c>
      <c r="F118" s="207">
        <f>RATE(Holding_Period,Scenarios!C$58,-DCF!E90,C$18)</f>
        <v>-6.9650495515150027E-2</v>
      </c>
    </row>
    <row r="119" spans="2:6">
      <c r="B119" s="204" t="str">
        <f>DCF!B91&amp;" ("&amp;DCF!D91&amp;"yrs)"</f>
        <v>Optimistic (15yrs)</v>
      </c>
      <c r="C119" s="197">
        <f>DCF!C91</f>
        <v>0.03</v>
      </c>
      <c r="D119" s="206" t="str">
        <f>ROUND(DCF!E91,2)&amp;" "&amp;Market_currency</f>
        <v>8.42 HKD</v>
      </c>
      <c r="E119" s="198">
        <f>DCF!F91</f>
        <v>0.18</v>
      </c>
      <c r="F119" s="207">
        <f>RATE(Holding_Period,Scenarios!C$58,-DCF!E91,C$18)</f>
        <v>-1.5574200047847191E-2</v>
      </c>
    </row>
    <row r="120" spans="2:6">
      <c r="B120" s="204" t="str">
        <f>DCF!B92&amp;" ("&amp;DCF!D92&amp;"yrs)"</f>
        <v>Base (15yrs)</v>
      </c>
      <c r="C120" s="197">
        <f>DCF!C92</f>
        <v>0.02</v>
      </c>
      <c r="D120" s="206" t="str">
        <f>ROUND(DCF!E92,2)&amp;" "&amp;Market_currency</f>
        <v>7.09 HKD</v>
      </c>
      <c r="E120" s="198">
        <f>DCF!F92</f>
        <v>0.53999999999999992</v>
      </c>
      <c r="F120" s="207">
        <f>RATE(Holding_Period,Scenarios!C$58,-DCF!E92,C$18)</f>
        <v>4.484813260515387E-2</v>
      </c>
    </row>
    <row r="121" spans="2:6">
      <c r="B121" s="204" t="str">
        <f>DCF!B93&amp;" ("&amp;DCF!D93&amp;"yrs)"</f>
        <v>Pessimistic (15yrs)</v>
      </c>
      <c r="C121" s="197">
        <f>DCF!C93</f>
        <v>0.01</v>
      </c>
      <c r="D121" s="206" t="str">
        <f>ROUND(DCF!E93,2)&amp;" "&amp;Market_currency</f>
        <v>5.91 HKD</v>
      </c>
      <c r="E121" s="198">
        <f>DCF!F93</f>
        <v>0.18</v>
      </c>
      <c r="F121" s="207">
        <f>RATE(Holding_Period,Scenarios!C$58,-DCF!E93,C$18)</f>
        <v>0.11325780047835202</v>
      </c>
    </row>
    <row r="122" spans="2:6">
      <c r="B122" s="204" t="str">
        <f>DCF!B94&amp;" ("&amp;DCF!D94&amp;"yrs)"</f>
        <v>Devil's advocate (15yrs)</v>
      </c>
      <c r="C122" s="197">
        <f>DCF!C94</f>
        <v>0</v>
      </c>
      <c r="D122" s="206" t="str">
        <f>ROUND(DCF!E94,2)&amp;" "&amp;Market_currency</f>
        <v>4.86 HKD</v>
      </c>
      <c r="E122" s="198">
        <f>DCF!F94</f>
        <v>0.05</v>
      </c>
      <c r="F122" s="207">
        <f>RATE(Holding_Period,Scenarios!C$58,-DCF!E94,C$18)</f>
        <v>0.19202664043094642</v>
      </c>
    </row>
    <row r="124" spans="2:6">
      <c r="B124" s="462" t="s">
        <v>354</v>
      </c>
      <c r="C124" s="462"/>
      <c r="D124" s="462"/>
      <c r="E124" s="462"/>
      <c r="F124" s="462"/>
    </row>
    <row r="125" spans="2:6">
      <c r="B125" s="192" t="s">
        <v>215</v>
      </c>
      <c r="C125" s="196">
        <f>Scenarios!C36</f>
        <v>7.1471504119406184</v>
      </c>
      <c r="D125" s="193" t="str">
        <f>Market_currency</f>
        <v>HKD</v>
      </c>
    </row>
    <row r="127" spans="2:6" ht="24.5" customHeight="1">
      <c r="B127" s="464" t="s">
        <v>355</v>
      </c>
      <c r="C127" s="464"/>
      <c r="D127" s="464"/>
      <c r="E127" s="464"/>
      <c r="F127" s="464"/>
    </row>
    <row r="129" spans="1:6" ht="13.9">
      <c r="A129" s="199" t="s">
        <v>473</v>
      </c>
      <c r="B129" s="34"/>
      <c r="C129" s="34"/>
      <c r="D129" s="34"/>
      <c r="E129" s="34"/>
      <c r="F129" s="34"/>
    </row>
    <row r="131" spans="1:6">
      <c r="B131" s="466" t="s">
        <v>282</v>
      </c>
      <c r="C131" s="466"/>
      <c r="D131" s="466"/>
      <c r="E131" s="466"/>
      <c r="F131" s="466"/>
    </row>
    <row r="132" spans="1:6">
      <c r="B132" s="461" t="s">
        <v>356</v>
      </c>
      <c r="C132" s="461"/>
      <c r="D132" s="461"/>
      <c r="E132" s="461"/>
      <c r="F132" s="461"/>
    </row>
    <row r="134" spans="1:6">
      <c r="B134" s="191" t="s">
        <v>192</v>
      </c>
    </row>
    <row r="135" spans="1:6">
      <c r="B135" s="1" t="s">
        <v>218</v>
      </c>
      <c r="C135" s="201">
        <f>E21</f>
        <v>3</v>
      </c>
    </row>
    <row r="136" spans="1:6">
      <c r="B136" s="193" t="s">
        <v>217</v>
      </c>
      <c r="C136" s="194">
        <f>Scenarios!C58</f>
        <v>0.30000000000000004</v>
      </c>
      <c r="D136" s="193" t="str">
        <f>Market_currency</f>
        <v>HKD</v>
      </c>
    </row>
    <row r="138" spans="1:6">
      <c r="B138" s="191" t="s">
        <v>493</v>
      </c>
      <c r="C138" s="213"/>
      <c r="D138" s="214"/>
    </row>
    <row r="139" spans="1:6" ht="12.4">
      <c r="B139" s="343" t="s">
        <v>461</v>
      </c>
      <c r="C139" s="343" t="str">
        <f>"PV("&amp;Holding_Period&amp;" yrs of Dividends)"</f>
        <v>PV(3 yrs of Dividends)</v>
      </c>
      <c r="D139" s="343" t="s">
        <v>470</v>
      </c>
      <c r="E139" s="344" t="str">
        <f>"Buy below ("&amp;Market_currency&amp;")"</f>
        <v>Buy below (HKD)</v>
      </c>
      <c r="F139" s="344" t="s">
        <v>471</v>
      </c>
    </row>
    <row r="140" spans="1:6">
      <c r="B140" s="339" t="s">
        <v>309</v>
      </c>
      <c r="C140" s="336">
        <f>Scenarios!C62</f>
        <v>0.54895547283303603</v>
      </c>
      <c r="D140" s="336">
        <f>Scenarios!D62</f>
        <v>3.2936177013551244</v>
      </c>
      <c r="E140" s="337">
        <f>Scenarios!E62</f>
        <v>3.8425731741881606</v>
      </c>
      <c r="F140" s="338">
        <f>E22</f>
        <v>0.29465259038036601</v>
      </c>
    </row>
    <row r="141" spans="1:6">
      <c r="B141" s="339" t="s">
        <v>310</v>
      </c>
      <c r="C141" s="336">
        <f>Scenarios!C63</f>
        <v>0.6312011841807238</v>
      </c>
      <c r="D141" s="336">
        <f>Scenarios!D63</f>
        <v>4.1283179274747273</v>
      </c>
      <c r="E141" s="337">
        <f>Scenarios!E63</f>
        <v>4.7595191116554512</v>
      </c>
      <c r="F141" s="338">
        <f>Scenarios!F63</f>
        <v>0.20075184365903001</v>
      </c>
    </row>
    <row r="142" spans="1:6">
      <c r="B142" s="193"/>
      <c r="C142" s="193"/>
      <c r="D142" s="193"/>
      <c r="E142" s="193"/>
      <c r="F142" s="193"/>
    </row>
    <row r="143" spans="1:6" ht="12.4">
      <c r="B143" s="343" t="s">
        <v>462</v>
      </c>
      <c r="C143" s="343" t="str">
        <f>"PV("&amp;Holding_Period&amp;" yrs of Dividends)"</f>
        <v>PV(3 yrs of Dividends)</v>
      </c>
      <c r="D143" s="343" t="s">
        <v>470</v>
      </c>
      <c r="E143" s="344" t="str">
        <f>"Sell above ("&amp;Market_currency&amp;")"</f>
        <v>Sell above (HKD)</v>
      </c>
      <c r="F143" s="344" t="s">
        <v>471</v>
      </c>
    </row>
    <row r="144" spans="1:6">
      <c r="B144" s="339" t="s">
        <v>312</v>
      </c>
      <c r="C144" s="336">
        <f>Scenarios!C66</f>
        <v>0.7237809377815948</v>
      </c>
      <c r="D144" s="336">
        <f>Scenarios!D66</f>
        <v>5.1227943381984664</v>
      </c>
      <c r="E144" s="337">
        <f>Scenarios!E66</f>
        <v>5.8465752759800615</v>
      </c>
      <c r="F144" s="338">
        <f>E24</f>
        <v>0.1174</v>
      </c>
    </row>
    <row r="145" spans="1:6">
      <c r="B145" s="339" t="s">
        <v>311</v>
      </c>
      <c r="C145" s="336">
        <f>Scenarios!C67</f>
        <v>0.78371256815190493</v>
      </c>
      <c r="D145" s="336">
        <f>Scenarios!D67</f>
        <v>5.7935001075657198</v>
      </c>
      <c r="E145" s="337">
        <f>Scenarios!E67</f>
        <v>6.5772126757176244</v>
      </c>
      <c r="F145" s="338">
        <f>Scenarios!F67</f>
        <v>7.2499999999999995E-2</v>
      </c>
    </row>
    <row r="147" spans="1:6" ht="13.9">
      <c r="A147" s="199" t="s">
        <v>474</v>
      </c>
      <c r="B147" s="34"/>
      <c r="C147" s="34"/>
      <c r="D147" s="34"/>
      <c r="E147" s="34"/>
      <c r="F147" s="34"/>
    </row>
    <row r="149" spans="1:6">
      <c r="B149" s="460" t="s">
        <v>357</v>
      </c>
      <c r="C149" s="461"/>
      <c r="D149" s="461"/>
      <c r="E149" s="461"/>
      <c r="F149" s="461"/>
    </row>
    <row r="151" spans="1:6">
      <c r="B151" s="191" t="s">
        <v>286</v>
      </c>
    </row>
    <row r="152" spans="1:6">
      <c r="B152" s="463" t="s">
        <v>290</v>
      </c>
      <c r="C152" s="463"/>
      <c r="D152" s="463"/>
      <c r="E152" s="463"/>
      <c r="F152" s="463"/>
    </row>
    <row r="153" spans="1:6">
      <c r="B153" s="195" t="s">
        <v>287</v>
      </c>
    </row>
    <row r="154" spans="1:6">
      <c r="B154" s="195" t="s">
        <v>288</v>
      </c>
    </row>
    <row r="155" spans="1:6">
      <c r="B155" s="195" t="s">
        <v>289</v>
      </c>
    </row>
    <row r="157" spans="1:6">
      <c r="B157" s="1" t="s">
        <v>293</v>
      </c>
    </row>
    <row r="158" spans="1:6" ht="34.25" customHeight="1">
      <c r="B158" s="462" t="s">
        <v>437</v>
      </c>
      <c r="C158" s="462"/>
      <c r="D158" s="462"/>
      <c r="E158" s="462"/>
      <c r="F158" s="462"/>
    </row>
    <row r="160" spans="1:6">
      <c r="B160" s="1" t="s">
        <v>294</v>
      </c>
    </row>
    <row r="161" spans="2:6" ht="24.5" customHeight="1">
      <c r="B161" s="459" t="s">
        <v>291</v>
      </c>
      <c r="C161" s="459"/>
      <c r="D161" s="459"/>
      <c r="E161" s="459"/>
      <c r="F161" s="459"/>
    </row>
    <row r="162" spans="2:6" ht="24.5" customHeight="1">
      <c r="B162" s="459" t="s">
        <v>292</v>
      </c>
      <c r="C162" s="459"/>
      <c r="D162" s="459"/>
      <c r="E162" s="459"/>
      <c r="F162" s="459"/>
    </row>
    <row r="164" spans="2:6">
      <c r="B164" s="1" t="s">
        <v>298</v>
      </c>
    </row>
    <row r="165" spans="2:6">
      <c r="B165" s="195" t="s">
        <v>295</v>
      </c>
    </row>
    <row r="166" spans="2:6">
      <c r="B166" s="195" t="s">
        <v>296</v>
      </c>
    </row>
    <row r="167" spans="2:6">
      <c r="B167" s="195" t="s">
        <v>297</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52" sqref="C5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6" t="str">
        <f>Thesis!E17</f>
        <v>HKD</v>
      </c>
      <c r="C1" s="100">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91</v>
      </c>
      <c r="C2" s="35"/>
      <c r="D2" s="35"/>
      <c r="E2" s="35"/>
      <c r="F2" s="35"/>
      <c r="G2" s="35"/>
      <c r="H2" s="35"/>
      <c r="I2" s="35"/>
      <c r="J2" s="35"/>
      <c r="K2" s="35"/>
      <c r="L2" s="35"/>
      <c r="M2" s="35"/>
    </row>
    <row r="3" spans="2:13">
      <c r="B3" s="16" t="s">
        <v>25</v>
      </c>
      <c r="C3" s="102">
        <v>1000</v>
      </c>
    </row>
    <row r="4" spans="2:13">
      <c r="B4" s="31" t="s">
        <v>0</v>
      </c>
      <c r="C4" s="290">
        <v>8568317</v>
      </c>
      <c r="D4" s="290">
        <v>8691449</v>
      </c>
      <c r="E4" s="290">
        <v>8024044</v>
      </c>
      <c r="F4" s="290">
        <v>7508753</v>
      </c>
      <c r="G4" s="290">
        <v>6714255</v>
      </c>
      <c r="H4" s="290">
        <v>7963097</v>
      </c>
      <c r="I4" s="290">
        <v>8493883</v>
      </c>
      <c r="J4" s="290">
        <v>8427399</v>
      </c>
      <c r="K4" s="290">
        <v>7895262</v>
      </c>
      <c r="L4" s="290">
        <v>7567176</v>
      </c>
      <c r="M4" s="290"/>
    </row>
    <row r="5" spans="2:13">
      <c r="B5" s="38" t="s">
        <v>40</v>
      </c>
      <c r="C5" s="290">
        <v>7675662</v>
      </c>
      <c r="D5" s="290">
        <v>7702163</v>
      </c>
      <c r="E5" s="290">
        <v>7321395</v>
      </c>
      <c r="F5" s="290">
        <v>6961032</v>
      </c>
      <c r="G5" s="290">
        <v>6339067</v>
      </c>
      <c r="H5" s="290">
        <v>7232445</v>
      </c>
      <c r="I5" s="290">
        <v>7356665</v>
      </c>
      <c r="J5" s="290">
        <v>7385291</v>
      </c>
      <c r="K5" s="290">
        <v>6838442</v>
      </c>
      <c r="L5" s="290">
        <v>6522504</v>
      </c>
      <c r="M5" s="290"/>
    </row>
    <row r="6" spans="2:13">
      <c r="B6" s="38" t="s">
        <v>51</v>
      </c>
      <c r="C6" s="290">
        <v>494493</v>
      </c>
      <c r="D6" s="290">
        <v>503213</v>
      </c>
      <c r="E6" s="290">
        <v>486079</v>
      </c>
      <c r="F6" s="290">
        <v>458843</v>
      </c>
      <c r="G6" s="290">
        <v>462619</v>
      </c>
      <c r="H6" s="290">
        <v>481414</v>
      </c>
      <c r="I6" s="290">
        <v>447788</v>
      </c>
      <c r="J6" s="290">
        <v>458819</v>
      </c>
      <c r="K6" s="290">
        <v>430609</v>
      </c>
      <c r="L6" s="290">
        <v>430039</v>
      </c>
      <c r="M6" s="290"/>
    </row>
    <row r="7" spans="2:13">
      <c r="B7" s="65" t="s">
        <v>58</v>
      </c>
      <c r="C7" s="291"/>
      <c r="D7" s="291"/>
      <c r="E7" s="291"/>
      <c r="F7" s="291"/>
      <c r="G7" s="291"/>
      <c r="H7" s="291"/>
      <c r="I7" s="291"/>
      <c r="J7" s="291"/>
      <c r="K7" s="291"/>
      <c r="L7" s="291"/>
      <c r="M7" s="291"/>
    </row>
    <row r="8" spans="2:13">
      <c r="B8" s="38" t="s">
        <v>46</v>
      </c>
      <c r="C8" s="290"/>
      <c r="D8" s="290"/>
      <c r="E8" s="290"/>
      <c r="F8" s="290"/>
      <c r="G8" s="290"/>
      <c r="H8" s="290"/>
      <c r="I8" s="290"/>
      <c r="J8" s="290"/>
      <c r="K8" s="290"/>
      <c r="L8" s="290"/>
      <c r="M8" s="290"/>
    </row>
    <row r="9" spans="2:13">
      <c r="B9" s="38" t="s">
        <v>132</v>
      </c>
      <c r="C9" s="290"/>
      <c r="D9" s="290"/>
      <c r="E9" s="290"/>
      <c r="F9" s="290"/>
      <c r="G9" s="290"/>
      <c r="H9" s="290"/>
      <c r="I9" s="290"/>
      <c r="J9" s="290"/>
      <c r="K9" s="290"/>
      <c r="L9" s="290"/>
      <c r="M9" s="290"/>
    </row>
    <row r="10" spans="2:13">
      <c r="B10" s="38" t="s">
        <v>136</v>
      </c>
      <c r="C10" s="290"/>
      <c r="D10" s="290"/>
      <c r="E10" s="290"/>
      <c r="F10" s="290"/>
      <c r="G10" s="290"/>
      <c r="H10" s="290"/>
      <c r="I10" s="290"/>
      <c r="J10" s="290"/>
      <c r="K10" s="290"/>
      <c r="L10" s="290"/>
      <c r="M10" s="290"/>
    </row>
    <row r="11" spans="2:13">
      <c r="B11" s="38" t="s">
        <v>131</v>
      </c>
      <c r="C11" s="290"/>
      <c r="D11" s="290"/>
      <c r="E11" s="290"/>
      <c r="F11" s="290"/>
      <c r="G11" s="290"/>
      <c r="H11" s="290"/>
      <c r="I11" s="290"/>
      <c r="J11" s="290"/>
      <c r="K11" s="290"/>
      <c r="L11" s="290"/>
      <c r="M11" s="290"/>
    </row>
    <row r="12" spans="2:13">
      <c r="B12" s="38" t="s">
        <v>37</v>
      </c>
      <c r="C12" s="290">
        <v>104115</v>
      </c>
      <c r="D12" s="290">
        <v>108592</v>
      </c>
      <c r="E12" s="290">
        <v>98508</v>
      </c>
      <c r="F12" s="290">
        <v>88044</v>
      </c>
      <c r="G12" s="290"/>
      <c r="H12" s="290"/>
      <c r="I12" s="290"/>
      <c r="J12" s="290"/>
      <c r="K12" s="290"/>
      <c r="L12" s="290"/>
      <c r="M12" s="290"/>
    </row>
    <row r="13" spans="2:13">
      <c r="B13" s="38" t="s">
        <v>64</v>
      </c>
      <c r="C13" s="290">
        <v>46652</v>
      </c>
      <c r="D13" s="290">
        <v>45304</v>
      </c>
      <c r="E13" s="290">
        <v>38847</v>
      </c>
      <c r="F13" s="290">
        <v>7659</v>
      </c>
      <c r="G13" s="290"/>
      <c r="H13" s="290"/>
      <c r="I13" s="290"/>
      <c r="J13" s="290"/>
      <c r="K13" s="290"/>
      <c r="L13" s="290"/>
      <c r="M13" s="290"/>
    </row>
    <row r="14" spans="2:13">
      <c r="B14" s="38" t="s">
        <v>47</v>
      </c>
      <c r="C14" s="290">
        <v>32312</v>
      </c>
      <c r="D14" s="290">
        <v>56313</v>
      </c>
      <c r="E14" s="290">
        <v>32989</v>
      </c>
      <c r="F14" s="290">
        <v>27939</v>
      </c>
      <c r="G14" s="290">
        <v>29996</v>
      </c>
      <c r="H14" s="290">
        <v>39872</v>
      </c>
      <c r="I14" s="290">
        <v>129810</v>
      </c>
      <c r="J14" s="290">
        <v>121949</v>
      </c>
      <c r="K14" s="290">
        <v>108832</v>
      </c>
      <c r="L14" s="290">
        <v>110223</v>
      </c>
      <c r="M14" s="290"/>
    </row>
    <row r="15" spans="2:13">
      <c r="B15" s="41" t="s">
        <v>39</v>
      </c>
      <c r="C15" s="292">
        <v>235111</v>
      </c>
      <c r="D15" s="292">
        <v>333215</v>
      </c>
      <c r="E15" s="292">
        <v>111187</v>
      </c>
      <c r="F15" s="292">
        <v>22850</v>
      </c>
      <c r="G15" s="292">
        <v>360550</v>
      </c>
      <c r="H15" s="292">
        <v>74386</v>
      </c>
      <c r="I15" s="292">
        <v>592110</v>
      </c>
      <c r="J15" s="292">
        <v>459295</v>
      </c>
      <c r="K15" s="292">
        <v>503850</v>
      </c>
      <c r="L15" s="292">
        <v>517860</v>
      </c>
      <c r="M15" s="292"/>
    </row>
    <row r="16" spans="2:13">
      <c r="B16" s="27" t="s">
        <v>41</v>
      </c>
      <c r="C16" s="290">
        <v>2367</v>
      </c>
      <c r="D16" s="290">
        <v>2761</v>
      </c>
      <c r="E16" s="290">
        <v>834</v>
      </c>
      <c r="F16" s="290">
        <v>1636</v>
      </c>
      <c r="G16" s="290">
        <v>1420</v>
      </c>
      <c r="H16" s="290">
        <v>752</v>
      </c>
      <c r="I16" s="290">
        <v>1825</v>
      </c>
      <c r="J16" s="290">
        <v>1240</v>
      </c>
      <c r="K16" s="290">
        <v>23</v>
      </c>
      <c r="L16" s="290">
        <v>-122</v>
      </c>
      <c r="M16" s="290"/>
    </row>
    <row r="18" spans="2:13">
      <c r="B18" s="16" t="s">
        <v>48</v>
      </c>
      <c r="C18" s="9"/>
    </row>
    <row r="19" spans="2:13">
      <c r="B19" s="26" t="s">
        <v>44</v>
      </c>
      <c r="C19" s="290">
        <v>378473</v>
      </c>
      <c r="D19" s="290">
        <v>394190</v>
      </c>
      <c r="E19" s="290"/>
      <c r="F19" s="290"/>
      <c r="G19" s="290"/>
      <c r="H19" s="290"/>
      <c r="I19" s="290"/>
      <c r="J19" s="290"/>
      <c r="K19" s="290"/>
      <c r="L19" s="290"/>
      <c r="M19" s="290"/>
    </row>
    <row r="20" spans="2:13">
      <c r="B20" s="26" t="s">
        <v>50</v>
      </c>
      <c r="C20" s="290">
        <v>305069</v>
      </c>
      <c r="D20" s="290">
        <v>316358</v>
      </c>
      <c r="E20" s="290"/>
      <c r="F20" s="290"/>
      <c r="G20" s="290"/>
      <c r="H20" s="290"/>
      <c r="I20" s="290"/>
      <c r="J20" s="290"/>
      <c r="K20" s="290"/>
      <c r="L20" s="290"/>
      <c r="M20" s="290"/>
    </row>
    <row r="21" spans="2:13">
      <c r="B21" s="26" t="s">
        <v>49</v>
      </c>
      <c r="C21" s="290">
        <f>1620363-1596408</f>
        <v>23955</v>
      </c>
      <c r="D21" s="290">
        <f>1695309-1694297</f>
        <v>1012</v>
      </c>
      <c r="E21" s="290"/>
      <c r="F21" s="290"/>
      <c r="G21" s="290"/>
      <c r="H21" s="290"/>
      <c r="I21" s="290"/>
      <c r="J21" s="290"/>
      <c r="K21" s="290"/>
      <c r="L21" s="290"/>
      <c r="M21" s="290"/>
    </row>
    <row r="22" spans="2:13">
      <c r="B22" s="26" t="s">
        <v>283</v>
      </c>
      <c r="C22" s="290">
        <v>1510999</v>
      </c>
      <c r="D22" s="290">
        <v>1663154</v>
      </c>
      <c r="E22" s="290">
        <v>1698885</v>
      </c>
      <c r="F22" s="290">
        <v>1164441</v>
      </c>
      <c r="G22" s="290">
        <v>1692931</v>
      </c>
      <c r="H22" s="290">
        <v>1417017</v>
      </c>
      <c r="I22" s="290">
        <v>952115</v>
      </c>
      <c r="J22" s="290">
        <v>892669</v>
      </c>
      <c r="K22" s="290">
        <v>875824</v>
      </c>
      <c r="L22" s="290">
        <v>781447</v>
      </c>
      <c r="M22" s="290"/>
    </row>
    <row r="23" spans="2:13">
      <c r="B23" s="26" t="s">
        <v>285</v>
      </c>
      <c r="C23" s="290">
        <v>-254050</v>
      </c>
      <c r="D23" s="290">
        <v>-263006</v>
      </c>
      <c r="E23" s="290">
        <v>-407351</v>
      </c>
      <c r="F23" s="290">
        <v>-456030</v>
      </c>
      <c r="G23" s="290">
        <v>-273175</v>
      </c>
      <c r="H23" s="290">
        <v>-434207</v>
      </c>
      <c r="I23" s="290">
        <v>-198683</v>
      </c>
      <c r="J23" s="290">
        <v>-456669</v>
      </c>
      <c r="K23" s="290">
        <v>-592640</v>
      </c>
      <c r="L23" s="290">
        <v>-179257</v>
      </c>
      <c r="M23" s="290"/>
    </row>
    <row r="24" spans="2:13">
      <c r="B24" s="26" t="s">
        <v>284</v>
      </c>
      <c r="C24" s="290">
        <v>-1460236</v>
      </c>
      <c r="D24" s="290">
        <v>-1802477</v>
      </c>
      <c r="E24" s="290">
        <v>-1192662</v>
      </c>
      <c r="F24" s="290">
        <v>-1206590</v>
      </c>
      <c r="G24" s="290">
        <v>287961</v>
      </c>
      <c r="H24" s="290">
        <v>-1461178</v>
      </c>
      <c r="I24" s="290">
        <v>-690622</v>
      </c>
      <c r="J24" s="290">
        <v>-465820</v>
      </c>
      <c r="K24" s="290">
        <v>-661826</v>
      </c>
      <c r="L24" s="290">
        <v>-463395</v>
      </c>
      <c r="M24" s="290"/>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3" t="s">
        <v>547</v>
      </c>
    </row>
    <row r="28" spans="2:13">
      <c r="B28" s="25" t="s">
        <v>22</v>
      </c>
      <c r="C28" s="273">
        <f>BS!C4</f>
        <v>100361</v>
      </c>
      <c r="D28" s="290">
        <v>89430</v>
      </c>
      <c r="E28" s="290">
        <v>75868</v>
      </c>
      <c r="F28" s="290">
        <v>51007</v>
      </c>
      <c r="G28" s="290">
        <v>37326</v>
      </c>
      <c r="H28" s="290">
        <v>50182</v>
      </c>
      <c r="I28" s="290">
        <v>70869</v>
      </c>
      <c r="J28" s="290">
        <v>65261</v>
      </c>
      <c r="K28" s="290">
        <v>45658</v>
      </c>
      <c r="L28" s="290">
        <v>43197</v>
      </c>
      <c r="M28" s="290"/>
    </row>
    <row r="29" spans="2:13">
      <c r="B29" s="25" t="s">
        <v>30</v>
      </c>
      <c r="C29" s="273">
        <f>BS!C6</f>
        <v>227738</v>
      </c>
      <c r="D29" s="290">
        <v>230288</v>
      </c>
      <c r="E29" s="290">
        <v>268243</v>
      </c>
      <c r="F29" s="290">
        <v>303542</v>
      </c>
      <c r="G29" s="290">
        <v>234924</v>
      </c>
      <c r="H29" s="290">
        <v>260626</v>
      </c>
      <c r="I29" s="290">
        <v>241325</v>
      </c>
      <c r="J29" s="290">
        <v>234362</v>
      </c>
      <c r="K29" s="290">
        <v>240154</v>
      </c>
      <c r="L29" s="290">
        <v>214551</v>
      </c>
      <c r="M29" s="290"/>
    </row>
    <row r="30" spans="2:13">
      <c r="B30" s="28" t="s">
        <v>38</v>
      </c>
      <c r="C30" s="274">
        <f>BS!C33+BS!C42</f>
        <v>3143428</v>
      </c>
      <c r="D30" s="292">
        <v>3603411</v>
      </c>
      <c r="E30" s="292">
        <v>4383277</v>
      </c>
      <c r="F30" s="292">
        <v>4045470</v>
      </c>
      <c r="G30" s="292">
        <v>4119837</v>
      </c>
      <c r="H30" s="292">
        <v>3549446</v>
      </c>
      <c r="I30" s="292">
        <v>1072340</v>
      </c>
      <c r="J30" s="292">
        <v>1042829</v>
      </c>
      <c r="K30" s="292">
        <v>945690</v>
      </c>
      <c r="L30" s="292">
        <v>903190</v>
      </c>
      <c r="M30" s="292"/>
    </row>
    <row r="31" spans="2:13">
      <c r="B31" s="28" t="s">
        <v>28</v>
      </c>
      <c r="C31" s="274">
        <f>BS!G27</f>
        <v>2646614</v>
      </c>
      <c r="D31" s="292">
        <v>2910513</v>
      </c>
      <c r="E31" s="292">
        <v>2792063</v>
      </c>
      <c r="F31" s="292">
        <v>2826376</v>
      </c>
      <c r="G31" s="292">
        <v>3034836</v>
      </c>
      <c r="H31" s="292">
        <v>2671312</v>
      </c>
      <c r="I31" s="292">
        <v>3421750</v>
      </c>
      <c r="J31" s="292">
        <v>3573500</v>
      </c>
      <c r="K31" s="292">
        <v>3491120</v>
      </c>
      <c r="L31" s="292">
        <v>3541997</v>
      </c>
      <c r="M31" s="292"/>
    </row>
    <row r="32" spans="2:13">
      <c r="B32" s="25" t="s">
        <v>141</v>
      </c>
      <c r="C32" s="273">
        <f>BS!G28</f>
        <v>9054</v>
      </c>
      <c r="D32" s="290">
        <v>10665</v>
      </c>
      <c r="E32" s="290">
        <v>8469</v>
      </c>
      <c r="F32" s="290">
        <v>7635</v>
      </c>
      <c r="G32" s="290">
        <v>5999</v>
      </c>
      <c r="H32" s="290">
        <v>4579</v>
      </c>
      <c r="I32" s="290">
        <v>6262</v>
      </c>
      <c r="J32" s="290">
        <v>3819</v>
      </c>
      <c r="K32" s="290">
        <v>3743</v>
      </c>
      <c r="L32" s="290">
        <v>3720</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8568317</v>
      </c>
      <c r="D36" s="273">
        <f t="shared" si="1"/>
        <v>8691449</v>
      </c>
      <c r="E36" s="273">
        <f t="shared" si="1"/>
        <v>8024044</v>
      </c>
      <c r="F36" s="273">
        <f t="shared" si="1"/>
        <v>7508753</v>
      </c>
      <c r="G36" s="273">
        <f t="shared" si="1"/>
        <v>6714255</v>
      </c>
      <c r="H36" s="273">
        <f t="shared" si="1"/>
        <v>7963097</v>
      </c>
      <c r="I36" s="273">
        <f t="shared" si="1"/>
        <v>8493883</v>
      </c>
      <c r="J36" s="273">
        <f t="shared" si="1"/>
        <v>8427399</v>
      </c>
      <c r="K36" s="273">
        <f t="shared" si="1"/>
        <v>7895262</v>
      </c>
      <c r="L36" s="273">
        <f t="shared" si="1"/>
        <v>7567176</v>
      </c>
      <c r="M36" s="273" t="str">
        <f t="shared" si="1"/>
        <v/>
      </c>
    </row>
    <row r="37" spans="2:13">
      <c r="B37" s="38" t="s">
        <v>40</v>
      </c>
      <c r="C37" s="273">
        <f t="shared" ref="C37:M37" si="2">IF(C$4="","",-C5)</f>
        <v>-7675662</v>
      </c>
      <c r="D37" s="273">
        <f t="shared" si="2"/>
        <v>-7702163</v>
      </c>
      <c r="E37" s="273">
        <f t="shared" si="2"/>
        <v>-7321395</v>
      </c>
      <c r="F37" s="273">
        <f t="shared" si="2"/>
        <v>-6961032</v>
      </c>
      <c r="G37" s="273">
        <f t="shared" si="2"/>
        <v>-6339067</v>
      </c>
      <c r="H37" s="273">
        <f t="shared" si="2"/>
        <v>-7232445</v>
      </c>
      <c r="I37" s="273">
        <f t="shared" si="2"/>
        <v>-7356665</v>
      </c>
      <c r="J37" s="273">
        <f t="shared" si="2"/>
        <v>-7385291</v>
      </c>
      <c r="K37" s="273">
        <f t="shared" si="2"/>
        <v>-6838442</v>
      </c>
      <c r="L37" s="273">
        <f t="shared" si="2"/>
        <v>-6522504</v>
      </c>
      <c r="M37" s="273" t="str">
        <f t="shared" si="2"/>
        <v/>
      </c>
    </row>
    <row r="38" spans="2:13">
      <c r="B38" s="30" t="s">
        <v>55</v>
      </c>
      <c r="C38" s="270">
        <f>IF(C36="","",C36+C37)</f>
        <v>892655</v>
      </c>
      <c r="D38" s="270">
        <f t="shared" ref="D38" si="3">IF(D36="","",D36+D37)</f>
        <v>989286</v>
      </c>
      <c r="E38" s="270">
        <f t="shared" ref="E38" si="4">IF(E36="","",E36+E37)</f>
        <v>702649</v>
      </c>
      <c r="F38" s="270">
        <f t="shared" ref="F38" si="5">IF(F36="","",F36+F37)</f>
        <v>547721</v>
      </c>
      <c r="G38" s="270">
        <f t="shared" ref="G38" si="6">IF(G36="","",G36+G37)</f>
        <v>375188</v>
      </c>
      <c r="H38" s="270">
        <f t="shared" ref="H38" si="7">IF(H36="","",H36+H37)</f>
        <v>730652</v>
      </c>
      <c r="I38" s="270">
        <f t="shared" ref="I38" si="8">IF(I36="","",I36+I37)</f>
        <v>1137218</v>
      </c>
      <c r="J38" s="270">
        <f t="shared" ref="J38" si="9">IF(J36="","",J36+J37)</f>
        <v>1042108</v>
      </c>
      <c r="K38" s="270">
        <f t="shared" ref="K38" si="10">IF(K36="","",K36+K37)</f>
        <v>1056820</v>
      </c>
      <c r="L38" s="270">
        <f t="shared" ref="L38" si="11">IF(L36="","",L36+L37)</f>
        <v>1044672</v>
      </c>
      <c r="M38" s="270" t="str">
        <f t="shared" ref="M38" si="12">IF(M36="","",M36+M37)</f>
        <v/>
      </c>
    </row>
    <row r="39" spans="2:13">
      <c r="B39" s="38" t="s">
        <v>51</v>
      </c>
      <c r="C39" s="273">
        <f t="shared" ref="C39:M39" si="13">IF(C$4="","",-C6)</f>
        <v>-494493</v>
      </c>
      <c r="D39" s="273">
        <f t="shared" si="13"/>
        <v>-503213</v>
      </c>
      <c r="E39" s="273">
        <f t="shared" si="13"/>
        <v>-486079</v>
      </c>
      <c r="F39" s="273">
        <f t="shared" si="13"/>
        <v>-458843</v>
      </c>
      <c r="G39" s="273">
        <f t="shared" si="13"/>
        <v>-462619</v>
      </c>
      <c r="H39" s="273">
        <f t="shared" si="13"/>
        <v>-481414</v>
      </c>
      <c r="I39" s="273">
        <f t="shared" si="13"/>
        <v>-447788</v>
      </c>
      <c r="J39" s="273">
        <f t="shared" si="13"/>
        <v>-458819</v>
      </c>
      <c r="K39" s="273">
        <f t="shared" si="13"/>
        <v>-430609</v>
      </c>
      <c r="L39" s="273">
        <f t="shared" si="13"/>
        <v>-430039</v>
      </c>
      <c r="M39" s="273" t="str">
        <f t="shared" si="13"/>
        <v/>
      </c>
    </row>
    <row r="40" spans="2:13">
      <c r="B40" s="65" t="s">
        <v>58</v>
      </c>
      <c r="C40" s="285">
        <f t="shared" ref="C40:M40" si="14">IF(C$4="","",-C7)</f>
        <v>0</v>
      </c>
      <c r="D40" s="285">
        <f t="shared" si="14"/>
        <v>0</v>
      </c>
      <c r="E40" s="285">
        <f t="shared" si="14"/>
        <v>0</v>
      </c>
      <c r="F40" s="285">
        <f t="shared" si="14"/>
        <v>0</v>
      </c>
      <c r="G40" s="285">
        <f t="shared" si="14"/>
        <v>0</v>
      </c>
      <c r="H40" s="285">
        <f t="shared" si="14"/>
        <v>0</v>
      </c>
      <c r="I40" s="285">
        <f t="shared" si="14"/>
        <v>0</v>
      </c>
      <c r="J40" s="285">
        <f t="shared" si="14"/>
        <v>0</v>
      </c>
      <c r="K40" s="285">
        <f t="shared" si="14"/>
        <v>0</v>
      </c>
      <c r="L40" s="285">
        <f t="shared" si="14"/>
        <v>0</v>
      </c>
      <c r="M40" s="285" t="str">
        <f t="shared" si="14"/>
        <v/>
      </c>
    </row>
    <row r="41" spans="2:13">
      <c r="B41" s="65" t="s">
        <v>61</v>
      </c>
      <c r="C41" s="285">
        <f>IF(C$4="","",C39-C40)</f>
        <v>-494493</v>
      </c>
      <c r="D41" s="285">
        <f t="shared" ref="D41:M41" si="15">IF(D$4="","",D39-D40)</f>
        <v>-503213</v>
      </c>
      <c r="E41" s="285">
        <f t="shared" si="15"/>
        <v>-486079</v>
      </c>
      <c r="F41" s="285">
        <f t="shared" si="15"/>
        <v>-458843</v>
      </c>
      <c r="G41" s="285">
        <f t="shared" si="15"/>
        <v>-462619</v>
      </c>
      <c r="H41" s="285">
        <f t="shared" si="15"/>
        <v>-481414</v>
      </c>
      <c r="I41" s="285">
        <f t="shared" si="15"/>
        <v>-447788</v>
      </c>
      <c r="J41" s="285">
        <f t="shared" si="15"/>
        <v>-458819</v>
      </c>
      <c r="K41" s="285">
        <f t="shared" si="15"/>
        <v>-430609</v>
      </c>
      <c r="L41" s="285">
        <f t="shared" si="15"/>
        <v>-430039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125</v>
      </c>
      <c r="C43" s="274">
        <f>IF(C$4="","",C38+C39+C42)</f>
        <v>398162</v>
      </c>
      <c r="D43" s="274">
        <f t="shared" ref="D43:M43" si="17">IF(D$4="","",D38+D39+D42)</f>
        <v>486073</v>
      </c>
      <c r="E43" s="274">
        <f t="shared" si="17"/>
        <v>216570</v>
      </c>
      <c r="F43" s="274">
        <f t="shared" si="17"/>
        <v>88878</v>
      </c>
      <c r="G43" s="274">
        <f t="shared" si="17"/>
        <v>-87431</v>
      </c>
      <c r="H43" s="274">
        <f t="shared" si="17"/>
        <v>249238</v>
      </c>
      <c r="I43" s="274">
        <f t="shared" si="17"/>
        <v>689430</v>
      </c>
      <c r="J43" s="274">
        <f t="shared" si="17"/>
        <v>583289</v>
      </c>
      <c r="K43" s="274">
        <f t="shared" si="17"/>
        <v>626211</v>
      </c>
      <c r="L43" s="274">
        <f t="shared" si="17"/>
        <v>614633</v>
      </c>
      <c r="M43" s="274" t="str">
        <f t="shared" si="17"/>
        <v/>
      </c>
    </row>
    <row r="44" spans="2:13">
      <c r="B44" s="41" t="s">
        <v>137</v>
      </c>
      <c r="C44" s="293">
        <f t="shared" ref="C44:M44" si="18">IF(C$4="","",C47-C46-C45-C43)</f>
        <v>-73276</v>
      </c>
      <c r="D44" s="293">
        <f t="shared" si="18"/>
        <v>-33257</v>
      </c>
      <c r="E44" s="293">
        <f t="shared" si="18"/>
        <v>-12733</v>
      </c>
      <c r="F44" s="293">
        <f t="shared" si="18"/>
        <v>42296</v>
      </c>
      <c r="G44" s="293">
        <f t="shared" si="18"/>
        <v>477977</v>
      </c>
      <c r="H44" s="293">
        <f t="shared" si="18"/>
        <v>-134980</v>
      </c>
      <c r="I44" s="293">
        <f t="shared" si="18"/>
        <v>32490</v>
      </c>
      <c r="J44" s="293">
        <f t="shared" si="18"/>
        <v>-2045</v>
      </c>
      <c r="K44" s="293">
        <f t="shared" si="18"/>
        <v>-13529</v>
      </c>
      <c r="L44" s="293">
        <f t="shared" si="18"/>
        <v>13450</v>
      </c>
      <c r="M44" s="293" t="str">
        <f t="shared" si="18"/>
        <v/>
      </c>
    </row>
    <row r="45" spans="2:13">
      <c r="B45" s="38" t="s">
        <v>65</v>
      </c>
      <c r="C45" s="288">
        <f t="shared" ref="C45:M45" si="19">IF(C$4="","",C51+C52)</f>
        <v>-57463</v>
      </c>
      <c r="D45" s="288">
        <f t="shared" si="19"/>
        <v>-63288</v>
      </c>
      <c r="E45" s="288">
        <f t="shared" si="19"/>
        <v>-59661</v>
      </c>
      <c r="F45" s="288">
        <f t="shared" si="19"/>
        <v>-80385</v>
      </c>
      <c r="G45" s="288">
        <f t="shared" si="19"/>
        <v>0</v>
      </c>
      <c r="H45" s="288">
        <f t="shared" si="19"/>
        <v>0</v>
      </c>
      <c r="I45" s="288">
        <f t="shared" si="19"/>
        <v>0</v>
      </c>
      <c r="J45" s="288">
        <f t="shared" si="19"/>
        <v>0</v>
      </c>
      <c r="K45" s="288">
        <f t="shared" si="19"/>
        <v>0</v>
      </c>
      <c r="L45" s="288">
        <f t="shared" si="19"/>
        <v>0</v>
      </c>
      <c r="M45" s="288" t="str">
        <f t="shared" si="19"/>
        <v/>
      </c>
    </row>
    <row r="46" spans="2:13">
      <c r="B46" s="38" t="s">
        <v>47</v>
      </c>
      <c r="C46" s="273">
        <f>IF(C$4="","",-C14)</f>
        <v>-32312</v>
      </c>
      <c r="D46" s="273">
        <f t="shared" ref="D46:M46" si="20">IF(D$4="","",-D14)</f>
        <v>-56313</v>
      </c>
      <c r="E46" s="273">
        <f t="shared" si="20"/>
        <v>-32989</v>
      </c>
      <c r="F46" s="273">
        <f t="shared" si="20"/>
        <v>-27939</v>
      </c>
      <c r="G46" s="273">
        <f t="shared" si="20"/>
        <v>-29996</v>
      </c>
      <c r="H46" s="273">
        <f t="shared" si="20"/>
        <v>-39872</v>
      </c>
      <c r="I46" s="273">
        <f t="shared" si="20"/>
        <v>-129810</v>
      </c>
      <c r="J46" s="273">
        <f t="shared" si="20"/>
        <v>-121949</v>
      </c>
      <c r="K46" s="273">
        <f t="shared" si="20"/>
        <v>-108832</v>
      </c>
      <c r="L46" s="273">
        <f t="shared" si="20"/>
        <v>-110223</v>
      </c>
      <c r="M46" s="273" t="str">
        <f t="shared" si="20"/>
        <v/>
      </c>
    </row>
    <row r="47" spans="2:13">
      <c r="B47" s="41" t="s">
        <v>39</v>
      </c>
      <c r="C47" s="274">
        <f t="shared" ref="C47:M47" si="21">IF(C$4="","",C15)</f>
        <v>235111</v>
      </c>
      <c r="D47" s="274">
        <f t="shared" si="21"/>
        <v>333215</v>
      </c>
      <c r="E47" s="274">
        <f t="shared" si="21"/>
        <v>111187</v>
      </c>
      <c r="F47" s="274">
        <f t="shared" si="21"/>
        <v>22850</v>
      </c>
      <c r="G47" s="274">
        <f t="shared" si="21"/>
        <v>360550</v>
      </c>
      <c r="H47" s="274">
        <f t="shared" si="21"/>
        <v>74386</v>
      </c>
      <c r="I47" s="274">
        <f t="shared" si="21"/>
        <v>592110</v>
      </c>
      <c r="J47" s="274">
        <f t="shared" si="21"/>
        <v>459295</v>
      </c>
      <c r="K47" s="274">
        <f t="shared" si="21"/>
        <v>503850</v>
      </c>
      <c r="L47" s="274">
        <f t="shared" si="21"/>
        <v>517860</v>
      </c>
      <c r="M47" s="274" t="str">
        <f t="shared" si="21"/>
        <v/>
      </c>
    </row>
    <row r="48" spans="2:13">
      <c r="B48" s="27" t="s">
        <v>41</v>
      </c>
      <c r="C48" s="273">
        <f t="shared" ref="C48:M48" si="22">IF(C$4="","",MIN(-C16,0))</f>
        <v>-2367</v>
      </c>
      <c r="D48" s="273">
        <f t="shared" si="22"/>
        <v>-2761</v>
      </c>
      <c r="E48" s="273">
        <f t="shared" si="22"/>
        <v>-834</v>
      </c>
      <c r="F48" s="273">
        <f t="shared" si="22"/>
        <v>-1636</v>
      </c>
      <c r="G48" s="273">
        <f t="shared" si="22"/>
        <v>-1420</v>
      </c>
      <c r="H48" s="273">
        <f t="shared" si="22"/>
        <v>-752</v>
      </c>
      <c r="I48" s="273">
        <f t="shared" si="22"/>
        <v>-1825</v>
      </c>
      <c r="J48" s="273">
        <f t="shared" si="22"/>
        <v>-1240</v>
      </c>
      <c r="K48" s="273">
        <f t="shared" si="22"/>
        <v>-23</v>
      </c>
      <c r="L48" s="273">
        <f t="shared" si="22"/>
        <v>0</v>
      </c>
      <c r="M48" s="273" t="str">
        <f t="shared" si="22"/>
        <v/>
      </c>
    </row>
    <row r="50" spans="2:13">
      <c r="B50" s="16" t="s">
        <v>65</v>
      </c>
    </row>
    <row r="51" spans="2:13">
      <c r="B51" s="38" t="s">
        <v>37</v>
      </c>
      <c r="C51" s="273">
        <f t="shared" ref="C51:M51" si="23">IF(C$4="","",-C12)</f>
        <v>-104115</v>
      </c>
      <c r="D51" s="273">
        <f t="shared" si="23"/>
        <v>-108592</v>
      </c>
      <c r="E51" s="273">
        <f t="shared" si="23"/>
        <v>-98508</v>
      </c>
      <c r="F51" s="273">
        <f t="shared" si="23"/>
        <v>-88044</v>
      </c>
      <c r="G51" s="273">
        <f t="shared" si="23"/>
        <v>0</v>
      </c>
      <c r="H51" s="273">
        <f t="shared" si="23"/>
        <v>0</v>
      </c>
      <c r="I51" s="273">
        <f t="shared" si="23"/>
        <v>0</v>
      </c>
      <c r="J51" s="273">
        <f t="shared" si="23"/>
        <v>0</v>
      </c>
      <c r="K51" s="273">
        <f t="shared" si="23"/>
        <v>0</v>
      </c>
      <c r="L51" s="273">
        <f t="shared" si="23"/>
        <v>0</v>
      </c>
      <c r="M51" s="273" t="str">
        <f t="shared" si="23"/>
        <v/>
      </c>
    </row>
    <row r="52" spans="2:13">
      <c r="B52" s="38" t="s">
        <v>64</v>
      </c>
      <c r="C52" s="273">
        <f>IF(C$4="","",C13)</f>
        <v>46652</v>
      </c>
      <c r="D52" s="273">
        <f t="shared" ref="D52:M52" si="24">IF(D$4="","",D13)</f>
        <v>45304</v>
      </c>
      <c r="E52" s="273">
        <f t="shared" si="24"/>
        <v>38847</v>
      </c>
      <c r="F52" s="273">
        <f t="shared" si="24"/>
        <v>7659</v>
      </c>
      <c r="G52" s="273">
        <f t="shared" si="24"/>
        <v>0</v>
      </c>
      <c r="H52" s="273">
        <f t="shared" si="24"/>
        <v>0</v>
      </c>
      <c r="I52" s="273">
        <f t="shared" si="24"/>
        <v>0</v>
      </c>
      <c r="J52" s="273">
        <f t="shared" si="24"/>
        <v>0</v>
      </c>
      <c r="K52" s="273">
        <f t="shared" si="24"/>
        <v>0</v>
      </c>
      <c r="L52" s="273">
        <f t="shared" si="24"/>
        <v>0</v>
      </c>
      <c r="M52" s="273" t="str">
        <f t="shared" si="24"/>
        <v/>
      </c>
    </row>
    <row r="54" spans="2:13">
      <c r="B54" s="155" t="s">
        <v>137</v>
      </c>
    </row>
    <row r="55" spans="2:13">
      <c r="B55" s="38" t="s">
        <v>132</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136</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131</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133</v>
      </c>
      <c r="C58" s="288">
        <f>IF(C$4="","",C44-C55-C56-C57)</f>
        <v>-73276</v>
      </c>
      <c r="D58" s="288">
        <f t="shared" ref="D58:M58" si="28">IF(D$4="","",D44-D55-D56-D57)</f>
        <v>-33257</v>
      </c>
      <c r="E58" s="288">
        <f t="shared" si="28"/>
        <v>-12733</v>
      </c>
      <c r="F58" s="288">
        <f t="shared" si="28"/>
        <v>42296</v>
      </c>
      <c r="G58" s="288">
        <f t="shared" si="28"/>
        <v>477977</v>
      </c>
      <c r="H58" s="288">
        <f t="shared" si="28"/>
        <v>-134980</v>
      </c>
      <c r="I58" s="288">
        <f t="shared" si="28"/>
        <v>32490</v>
      </c>
      <c r="J58" s="288">
        <f t="shared" si="28"/>
        <v>-2045</v>
      </c>
      <c r="K58" s="288">
        <f t="shared" si="28"/>
        <v>-13529</v>
      </c>
      <c r="L58" s="288">
        <f t="shared" si="28"/>
        <v>13450</v>
      </c>
      <c r="M58" s="288" t="str">
        <f t="shared" si="28"/>
        <v/>
      </c>
    </row>
    <row r="60" spans="2:13">
      <c r="B60" s="16" t="s">
        <v>48</v>
      </c>
      <c r="C60" s="9"/>
    </row>
    <row r="61" spans="2:13">
      <c r="B61" s="26" t="s">
        <v>44</v>
      </c>
      <c r="C61" s="273">
        <f>IF(C$4="","",-C19)</f>
        <v>-378473</v>
      </c>
      <c r="D61" s="273">
        <f t="shared" ref="D61:M61" si="29">IF(D$4="","",-D19)</f>
        <v>-394190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-305069</v>
      </c>
      <c r="D62" s="273">
        <f t="shared" ref="D62:M62" si="30">IF(D$4="","",IF(D20=0,D61,-D20))</f>
        <v>-316358</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-23955</v>
      </c>
      <c r="D63" s="273">
        <f t="shared" ref="D63:M63" si="31">IF(D$4="","",-D21)</f>
        <v>-1012</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302</v>
      </c>
      <c r="C64" s="273">
        <f>IF(C$4="","",C22+C23+C24)</f>
        <v>-203287</v>
      </c>
      <c r="D64" s="273">
        <f t="shared" ref="D64:M64" si="32">IF(D$4="","",D22+D23+D24)</f>
        <v>-402329</v>
      </c>
      <c r="E64" s="273">
        <f t="shared" si="32"/>
        <v>98872</v>
      </c>
      <c r="F64" s="273">
        <f t="shared" si="32"/>
        <v>-498179</v>
      </c>
      <c r="G64" s="273">
        <f t="shared" si="32"/>
        <v>1707717</v>
      </c>
      <c r="H64" s="273">
        <f t="shared" si="32"/>
        <v>-478368</v>
      </c>
      <c r="I64" s="273">
        <f t="shared" si="32"/>
        <v>62810</v>
      </c>
      <c r="J64" s="273">
        <f t="shared" si="32"/>
        <v>-29820</v>
      </c>
      <c r="K64" s="273">
        <f t="shared" si="32"/>
        <v>-378642</v>
      </c>
      <c r="L64" s="273">
        <f t="shared" si="32"/>
        <v>138795</v>
      </c>
      <c r="M64" s="273" t="str">
        <f t="shared" si="32"/>
        <v/>
      </c>
    </row>
    <row r="65" spans="2:13">
      <c r="B65" s="23" t="s">
        <v>34</v>
      </c>
      <c r="C65" s="69">
        <f>IF(C$4="","",C25)</f>
        <v>0.35</v>
      </c>
      <c r="D65" s="69">
        <f t="shared" ref="D65:M65" si="33">IF(D$4="","",D25)</f>
        <v>0.56999999999999995</v>
      </c>
      <c r="E65" s="69">
        <f t="shared" si="33"/>
        <v>0.38</v>
      </c>
      <c r="F65" s="69">
        <f t="shared" si="33"/>
        <v>0.38</v>
      </c>
      <c r="G65" s="69">
        <f t="shared" si="33"/>
        <v>0</v>
      </c>
      <c r="H65" s="69">
        <f t="shared" si="33"/>
        <v>0</v>
      </c>
      <c r="I65" s="69">
        <f t="shared" si="33"/>
        <v>0</v>
      </c>
      <c r="J65" s="69">
        <f t="shared" si="33"/>
        <v>0</v>
      </c>
      <c r="K65" s="69">
        <f t="shared" si="33"/>
        <v>0</v>
      </c>
      <c r="L65" s="69">
        <f t="shared" si="33"/>
        <v>0</v>
      </c>
      <c r="M65" s="69" t="str">
        <f t="shared" si="33"/>
        <v/>
      </c>
    </row>
    <row r="67" spans="2:13">
      <c r="B67" s="87" t="s">
        <v>80</v>
      </c>
    </row>
    <row r="68" spans="2:13">
      <c r="B68" s="1" t="str">
        <f>B36</f>
        <v>Sales</v>
      </c>
      <c r="C68" s="88">
        <f t="shared" ref="C68:M68" si="34">IF(D$36="","",C36/D36-1)</f>
        <v>-1.4167027845414459E-2</v>
      </c>
      <c r="D68" s="88">
        <f t="shared" si="34"/>
        <v>8.3175640612140223E-2</v>
      </c>
      <c r="E68" s="88">
        <f t="shared" si="34"/>
        <v>6.862537627752574E-2</v>
      </c>
      <c r="F68" s="88">
        <f t="shared" si="34"/>
        <v>0.11833003065865078</v>
      </c>
      <c r="G68" s="88">
        <f t="shared" si="34"/>
        <v>-0.15682868110233994</v>
      </c>
      <c r="H68" s="88">
        <f t="shared" si="34"/>
        <v>-6.2490382784881726E-2</v>
      </c>
      <c r="I68" s="88">
        <f t="shared" si="34"/>
        <v>7.8890295807758637E-3</v>
      </c>
      <c r="J68" s="88">
        <f t="shared" si="34"/>
        <v>6.7399536582826602E-2</v>
      </c>
      <c r="K68" s="88">
        <f t="shared" si="34"/>
        <v>4.335646481593658E-2</v>
      </c>
      <c r="L68" s="88" t="str">
        <f t="shared" si="34"/>
        <v/>
      </c>
      <c r="M68" s="88" t="str">
        <f t="shared" si="34"/>
        <v/>
      </c>
    </row>
    <row r="69" spans="2:13">
      <c r="B69" s="30" t="s">
        <v>55</v>
      </c>
      <c r="C69" s="88">
        <f>IF(D$36="","",C38/D38-1)</f>
        <v>-9.7677516916240603E-2</v>
      </c>
      <c r="D69" s="88">
        <f t="shared" ref="D69:M69" si="35">IF(E$36="","",D38/E38-1)</f>
        <v>0.40793767585238139</v>
      </c>
      <c r="E69" s="88">
        <f t="shared" si="35"/>
        <v>0.28285933897002313</v>
      </c>
      <c r="F69" s="88">
        <f t="shared" si="35"/>
        <v>0.45985745812765866</v>
      </c>
      <c r="G69" s="88">
        <f t="shared" si="35"/>
        <v>-0.48650246629038174</v>
      </c>
      <c r="H69" s="88">
        <f t="shared" si="35"/>
        <v>-0.35750929021524458</v>
      </c>
      <c r="I69" s="88">
        <f t="shared" si="35"/>
        <v>9.1266932026239145E-2</v>
      </c>
      <c r="J69" s="88">
        <f t="shared" si="35"/>
        <v>-1.3921008307942739E-2</v>
      </c>
      <c r="K69" s="88">
        <f t="shared" si="35"/>
        <v>1.1628530294676143E-2</v>
      </c>
      <c r="L69" s="88" t="str">
        <f t="shared" si="35"/>
        <v/>
      </c>
      <c r="M69" s="88" t="str">
        <f t="shared" si="35"/>
        <v/>
      </c>
    </row>
    <row r="70" spans="2:13">
      <c r="B70" s="76" t="str">
        <f>B43</f>
        <v>Operating EBIT</v>
      </c>
      <c r="C70" s="97">
        <f>IF(D$36="","",C43/D43-1)</f>
        <v>-0.18085966511203044</v>
      </c>
      <c r="D70" s="97">
        <f t="shared" ref="D70:M70" si="36">IF(E$36="","",D43/E43-1)</f>
        <v>1.2444152006279725</v>
      </c>
      <c r="E70" s="97">
        <f t="shared" si="36"/>
        <v>1.4367109970971446</v>
      </c>
      <c r="F70" s="97">
        <f t="shared" si="36"/>
        <v>-2.0165501938671637</v>
      </c>
      <c r="G70" s="97">
        <f t="shared" si="36"/>
        <v>-1.3507932177276338</v>
      </c>
      <c r="H70" s="97">
        <f t="shared" si="36"/>
        <v>-0.63848686596173643</v>
      </c>
      <c r="I70" s="97">
        <f t="shared" si="36"/>
        <v>0.18196982970705777</v>
      </c>
      <c r="J70" s="97">
        <f t="shared" si="36"/>
        <v>-6.8542392260755536E-2</v>
      </c>
      <c r="K70" s="97">
        <f t="shared" si="36"/>
        <v>1.8837257355202253E-2</v>
      </c>
      <c r="L70" s="97" t="str">
        <f t="shared" si="36"/>
        <v/>
      </c>
      <c r="M70" s="97" t="str">
        <f t="shared" si="36"/>
        <v/>
      </c>
    </row>
    <row r="71" spans="2:13">
      <c r="B71" s="41" t="s">
        <v>137</v>
      </c>
      <c r="C71" s="97">
        <f>IF(D$36="","",C44/D44-1)</f>
        <v>1.2033256156598613</v>
      </c>
      <c r="D71" s="97">
        <f t="shared" ref="D71:M71" si="37">IF(E$36="","",D44/E44-1)</f>
        <v>1.611874656404618</v>
      </c>
      <c r="E71" s="97">
        <f t="shared" si="37"/>
        <v>-1.3010450160771705</v>
      </c>
      <c r="F71" s="97">
        <f t="shared" si="37"/>
        <v>-0.91151038648303162</v>
      </c>
      <c r="G71" s="97">
        <f t="shared" si="37"/>
        <v>-4.5410949770336346</v>
      </c>
      <c r="H71" s="97">
        <f t="shared" si="37"/>
        <v>-5.1545090797168358</v>
      </c>
      <c r="I71" s="97">
        <f t="shared" si="37"/>
        <v>-16.887530562347187</v>
      </c>
      <c r="J71" s="97">
        <f t="shared" si="37"/>
        <v>-0.84884322566338977</v>
      </c>
      <c r="K71" s="97">
        <f t="shared" si="37"/>
        <v>-2.0058736059479552</v>
      </c>
      <c r="L71" s="97" t="str">
        <f t="shared" si="37"/>
        <v/>
      </c>
      <c r="M71" s="97" t="str">
        <f t="shared" si="37"/>
        <v/>
      </c>
    </row>
    <row r="72" spans="2:13">
      <c r="B72" s="76" t="str">
        <f>B47</f>
        <v>Reported Net Income</v>
      </c>
      <c r="C72" s="97">
        <f>IF(D$36="","",C47/D47-1)</f>
        <v>-0.29441651786384171</v>
      </c>
      <c r="D72" s="97">
        <f t="shared" ref="D72:M72" si="38">IF(E$36="","",D47/E47-1)</f>
        <v>1.9968881254103445</v>
      </c>
      <c r="E72" s="97">
        <f t="shared" si="38"/>
        <v>3.8659518599562359</v>
      </c>
      <c r="F72" s="97">
        <f t="shared" si="38"/>
        <v>-0.93662460130356395</v>
      </c>
      <c r="G72" s="97">
        <f t="shared" si="38"/>
        <v>3.8470142231064983</v>
      </c>
      <c r="H72" s="97">
        <f t="shared" si="38"/>
        <v>-0.87437131614058194</v>
      </c>
      <c r="I72" s="97">
        <f t="shared" si="38"/>
        <v>0.28917144754460633</v>
      </c>
      <c r="J72" s="97">
        <f t="shared" si="38"/>
        <v>-8.8429095961099491E-2</v>
      </c>
      <c r="K72" s="97">
        <f t="shared" si="38"/>
        <v>-2.7053643841964958E-2</v>
      </c>
      <c r="L72" s="97" t="str">
        <f t="shared" si="38"/>
        <v/>
      </c>
      <c r="M72" s="97"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2">
        <f>IF(C$4="","",C79+C80)</f>
        <v>5790042</v>
      </c>
      <c r="D76" s="288">
        <f t="shared" ref="D76:M76" si="39">IF(D$4="","",D79+D80)</f>
        <v>6513924</v>
      </c>
      <c r="E76" s="288">
        <f t="shared" si="39"/>
        <v>7175340</v>
      </c>
      <c r="F76" s="288">
        <f t="shared" si="39"/>
        <v>6871846</v>
      </c>
      <c r="G76" s="288">
        <f t="shared" si="39"/>
        <v>7154673</v>
      </c>
      <c r="H76" s="288">
        <f t="shared" si="39"/>
        <v>6220758</v>
      </c>
      <c r="I76" s="288">
        <f t="shared" si="39"/>
        <v>4494090</v>
      </c>
      <c r="J76" s="288">
        <f t="shared" si="39"/>
        <v>4616329</v>
      </c>
      <c r="K76" s="288">
        <f t="shared" si="39"/>
        <v>4436810</v>
      </c>
      <c r="L76" s="288">
        <f t="shared" si="39"/>
        <v>4445187</v>
      </c>
      <c r="M76" s="288" t="str">
        <f t="shared" si="39"/>
        <v/>
      </c>
    </row>
    <row r="77" spans="2:13">
      <c r="B77" s="89" t="s">
        <v>81</v>
      </c>
      <c r="C77" s="262">
        <f t="shared" ref="C77:H78" si="40">IF(C$4="","",C28)</f>
        <v>100361</v>
      </c>
      <c r="D77" s="285">
        <f t="shared" si="40"/>
        <v>89430</v>
      </c>
      <c r="E77" s="285">
        <f t="shared" si="40"/>
        <v>75868</v>
      </c>
      <c r="F77" s="285">
        <f t="shared" si="40"/>
        <v>51007</v>
      </c>
      <c r="G77" s="285">
        <f t="shared" si="40"/>
        <v>37326</v>
      </c>
      <c r="H77" s="285">
        <f t="shared" si="40"/>
        <v>50182</v>
      </c>
      <c r="I77" s="294"/>
      <c r="J77" s="294"/>
      <c r="K77" s="294"/>
      <c r="L77" s="294"/>
      <c r="M77" s="294"/>
    </row>
    <row r="78" spans="2:13">
      <c r="B78" s="89" t="s">
        <v>82</v>
      </c>
      <c r="C78" s="262">
        <f t="shared" si="40"/>
        <v>227738</v>
      </c>
      <c r="D78" s="285">
        <f t="shared" si="40"/>
        <v>230288</v>
      </c>
      <c r="E78" s="285">
        <f t="shared" si="40"/>
        <v>268243</v>
      </c>
      <c r="F78" s="285">
        <f t="shared" si="40"/>
        <v>303542</v>
      </c>
      <c r="G78" s="285">
        <f t="shared" si="40"/>
        <v>234924</v>
      </c>
      <c r="H78" s="285">
        <f t="shared" si="40"/>
        <v>260626</v>
      </c>
      <c r="I78" s="294"/>
      <c r="J78" s="294"/>
      <c r="K78" s="294"/>
      <c r="L78" s="294"/>
      <c r="M78" s="294"/>
    </row>
    <row r="79" spans="2:13">
      <c r="B79" s="25" t="s">
        <v>38</v>
      </c>
      <c r="C79" s="261">
        <f t="shared" ref="C79:M79" si="41">IF(C$4="","",C30)</f>
        <v>3143428</v>
      </c>
      <c r="D79" s="273">
        <f t="shared" si="41"/>
        <v>3603411</v>
      </c>
      <c r="E79" s="273">
        <f t="shared" si="41"/>
        <v>4383277</v>
      </c>
      <c r="F79" s="273">
        <f t="shared" si="41"/>
        <v>4045470</v>
      </c>
      <c r="G79" s="273">
        <f t="shared" si="41"/>
        <v>4119837</v>
      </c>
      <c r="H79" s="273">
        <f t="shared" si="41"/>
        <v>3549446</v>
      </c>
      <c r="I79" s="273">
        <f t="shared" si="41"/>
        <v>1072340</v>
      </c>
      <c r="J79" s="273">
        <f t="shared" si="41"/>
        <v>1042829</v>
      </c>
      <c r="K79" s="273">
        <f t="shared" si="41"/>
        <v>945690</v>
      </c>
      <c r="L79" s="273">
        <f t="shared" si="41"/>
        <v>903190</v>
      </c>
      <c r="M79" s="273" t="str">
        <f t="shared" si="41"/>
        <v/>
      </c>
    </row>
    <row r="80" spans="2:13">
      <c r="B80" s="25" t="s">
        <v>28</v>
      </c>
      <c r="C80" s="261">
        <f t="shared" ref="C80:M80" si="42">IF(C$4="","",C31)</f>
        <v>2646614</v>
      </c>
      <c r="D80" s="273">
        <f t="shared" si="42"/>
        <v>2910513</v>
      </c>
      <c r="E80" s="273">
        <f t="shared" si="42"/>
        <v>2792063</v>
      </c>
      <c r="F80" s="273">
        <f t="shared" si="42"/>
        <v>2826376</v>
      </c>
      <c r="G80" s="273">
        <f t="shared" si="42"/>
        <v>3034836</v>
      </c>
      <c r="H80" s="273">
        <f t="shared" si="42"/>
        <v>2671312</v>
      </c>
      <c r="I80" s="273">
        <f t="shared" si="42"/>
        <v>3421750</v>
      </c>
      <c r="J80" s="273">
        <f t="shared" si="42"/>
        <v>3573500</v>
      </c>
      <c r="K80" s="273">
        <f t="shared" si="42"/>
        <v>3491120</v>
      </c>
      <c r="L80" s="273">
        <f t="shared" si="42"/>
        <v>3541997</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Normal="100" workbookViewId="0">
      <selection activeCell="C73" sqref="C7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5">
        <v>45930</v>
      </c>
      <c r="F1" s="82" t="str">
        <f>IF(MONTH(C1)=MONTH(Normalized_FCF!G1),"FY","Quarter")&amp;" Report"</f>
        <v>Quarter Report</v>
      </c>
      <c r="H1" s="103">
        <f>scaling_factor</f>
        <v>1000</v>
      </c>
    </row>
    <row r="2" spans="2:8" ht="15" customHeight="1">
      <c r="B2" s="75" t="s">
        <v>129</v>
      </c>
      <c r="C2" s="35"/>
      <c r="D2" s="35"/>
      <c r="E2" s="35"/>
      <c r="F2" s="35"/>
      <c r="G2" s="35"/>
      <c r="H2" s="35"/>
    </row>
    <row r="3" spans="2:8" ht="15" customHeight="1">
      <c r="B3" s="16" t="s">
        <v>152</v>
      </c>
      <c r="C3" s="163" t="s">
        <v>111</v>
      </c>
      <c r="D3" s="164" t="s">
        <v>33</v>
      </c>
      <c r="F3" s="16" t="s">
        <v>153</v>
      </c>
      <c r="G3" s="163" t="s">
        <v>111</v>
      </c>
      <c r="H3" s="164" t="s">
        <v>33</v>
      </c>
    </row>
    <row r="4" spans="2:8" ht="15" customHeight="1">
      <c r="B4" s="4" t="s">
        <v>22</v>
      </c>
      <c r="C4" s="18">
        <v>100361</v>
      </c>
      <c r="D4" s="230">
        <v>0.6</v>
      </c>
      <c r="E4" s="24"/>
      <c r="F4" s="4" t="s">
        <v>74</v>
      </c>
      <c r="G4" s="18">
        <v>965267</v>
      </c>
      <c r="H4" s="230">
        <v>0.9</v>
      </c>
    </row>
    <row r="5" spans="2:8" ht="15" customHeight="1">
      <c r="B5" s="1" t="s">
        <v>31</v>
      </c>
      <c r="C5" s="18">
        <v>0</v>
      </c>
      <c r="D5" s="230">
        <v>0.6</v>
      </c>
      <c r="E5" s="24"/>
      <c r="F5" s="1" t="s">
        <v>27</v>
      </c>
      <c r="G5" s="18">
        <v>0</v>
      </c>
      <c r="H5" s="230">
        <v>0.7</v>
      </c>
    </row>
    <row r="6" spans="2:8" ht="15" customHeight="1">
      <c r="B6" s="4" t="s">
        <v>8</v>
      </c>
      <c r="C6" s="18">
        <v>227738</v>
      </c>
      <c r="D6" s="230">
        <v>0.5</v>
      </c>
      <c r="E6" s="24"/>
      <c r="F6" s="4" t="s">
        <v>145</v>
      </c>
      <c r="G6" s="18">
        <v>0</v>
      </c>
      <c r="H6" s="230">
        <v>0.6</v>
      </c>
    </row>
    <row r="7" spans="2:8" ht="15" customHeight="1">
      <c r="B7" s="1" t="s">
        <v>66</v>
      </c>
      <c r="C7" s="18">
        <v>0</v>
      </c>
      <c r="D7" s="230">
        <v>0.6</v>
      </c>
      <c r="E7" s="24"/>
      <c r="F7" s="4" t="s">
        <v>146</v>
      </c>
      <c r="G7" s="18">
        <v>0</v>
      </c>
      <c r="H7" s="230">
        <v>0.6</v>
      </c>
    </row>
    <row r="8" spans="2:8" ht="15" customHeight="1">
      <c r="B8" s="1" t="s">
        <v>142</v>
      </c>
      <c r="C8" s="18">
        <v>0</v>
      </c>
      <c r="D8" s="230">
        <v>0.6</v>
      </c>
      <c r="E8" s="24"/>
      <c r="F8" s="1" t="s">
        <v>147</v>
      </c>
      <c r="G8" s="18">
        <v>0</v>
      </c>
      <c r="H8" s="230">
        <v>0.6</v>
      </c>
    </row>
    <row r="9" spans="2:8" ht="15" customHeight="1">
      <c r="B9" s="4" t="s">
        <v>23</v>
      </c>
      <c r="C9" s="18">
        <v>81768</v>
      </c>
      <c r="D9" s="230">
        <v>0.1</v>
      </c>
      <c r="E9" s="24"/>
      <c r="F9" s="4" t="s">
        <v>148</v>
      </c>
      <c r="G9" s="18">
        <v>0</v>
      </c>
      <c r="H9" s="230">
        <v>0.6</v>
      </c>
    </row>
    <row r="10" spans="2:8" ht="15" customHeight="1">
      <c r="B10" s="4" t="s">
        <v>9</v>
      </c>
      <c r="C10" s="18">
        <v>19015</v>
      </c>
      <c r="D10" s="230">
        <v>0.9</v>
      </c>
      <c r="F10" s="1" t="s">
        <v>401</v>
      </c>
      <c r="G10" s="18">
        <v>0</v>
      </c>
      <c r="H10" s="230">
        <v>0.6</v>
      </c>
    </row>
    <row r="11" spans="2:8" ht="15" customHeight="1">
      <c r="B11" s="4" t="s">
        <v>10</v>
      </c>
      <c r="C11" s="18">
        <v>0</v>
      </c>
      <c r="D11" s="230">
        <v>0.05</v>
      </c>
      <c r="H11" s="231"/>
    </row>
    <row r="12" spans="2:8" ht="15" customHeight="1">
      <c r="B12" s="76" t="s">
        <v>69</v>
      </c>
      <c r="C12" s="77">
        <f>SUM(C4:C11)</f>
        <v>428882</v>
      </c>
      <c r="D12" s="19">
        <f>C4*D4+C5*D5+C9*D9+C6*D6+C8*D8+C7*D7+C10*D10+C11*D11</f>
        <v>199375.9</v>
      </c>
      <c r="F12" s="76" t="s">
        <v>67</v>
      </c>
      <c r="G12" s="77">
        <f>SUM(G4:G10)</f>
        <v>965267</v>
      </c>
      <c r="H12" s="19">
        <f>G4*H4+G5*H5+G6*H6+G7*H7+G8*H8+G9*H9+G10*H10</f>
        <v>868740.3</v>
      </c>
    </row>
    <row r="13" spans="2:8" ht="15" customHeight="1">
      <c r="F13" s="76"/>
      <c r="G13" s="77"/>
      <c r="H13" s="19"/>
    </row>
    <row r="14" spans="2:8" ht="15" customHeight="1">
      <c r="B14" s="16" t="s">
        <v>151</v>
      </c>
      <c r="C14" s="163" t="s">
        <v>111</v>
      </c>
      <c r="D14" s="164" t="s">
        <v>33</v>
      </c>
      <c r="F14" s="16" t="s">
        <v>154</v>
      </c>
      <c r="G14" s="163" t="s">
        <v>111</v>
      </c>
      <c r="H14" s="164" t="s">
        <v>33</v>
      </c>
    </row>
    <row r="15" spans="2:8" ht="15" customHeight="1">
      <c r="B15" s="4" t="s">
        <v>326</v>
      </c>
      <c r="C15" s="18">
        <v>312123</v>
      </c>
      <c r="D15" s="230">
        <v>0.4</v>
      </c>
      <c r="F15" s="4" t="s">
        <v>75</v>
      </c>
      <c r="G15" s="18">
        <v>0</v>
      </c>
      <c r="H15" s="230">
        <v>0.8</v>
      </c>
    </row>
    <row r="16" spans="2:8" ht="15" customHeight="1">
      <c r="B16" s="1" t="s">
        <v>32</v>
      </c>
      <c r="C16" s="18">
        <v>0</v>
      </c>
      <c r="D16" s="230">
        <v>0.5</v>
      </c>
      <c r="F16" s="4" t="s">
        <v>145</v>
      </c>
      <c r="G16" s="18">
        <v>0</v>
      </c>
      <c r="H16" s="230">
        <v>0.6</v>
      </c>
    </row>
    <row r="17" spans="2:8" ht="15" customHeight="1">
      <c r="B17" s="1" t="s">
        <v>66</v>
      </c>
      <c r="C17" s="18">
        <v>0</v>
      </c>
      <c r="D17" s="230">
        <v>0.6</v>
      </c>
      <c r="F17" s="4" t="s">
        <v>146</v>
      </c>
      <c r="G17" s="18">
        <v>36745</v>
      </c>
      <c r="H17" s="230">
        <v>0.6</v>
      </c>
    </row>
    <row r="18" spans="2:8" ht="15" customHeight="1">
      <c r="B18" s="4" t="s">
        <v>142</v>
      </c>
      <c r="C18" s="18">
        <v>0</v>
      </c>
      <c r="D18" s="230">
        <v>0.6</v>
      </c>
      <c r="F18" s="4" t="s">
        <v>149</v>
      </c>
      <c r="G18" s="18">
        <v>0</v>
      </c>
      <c r="H18" s="230">
        <v>0.1</v>
      </c>
    </row>
    <row r="19" spans="2:8" ht="15" customHeight="1">
      <c r="B19" s="4" t="s">
        <v>24</v>
      </c>
      <c r="C19" s="18">
        <f>1411441+2117777</f>
        <v>3529218</v>
      </c>
      <c r="D19" s="230">
        <v>0.1</v>
      </c>
      <c r="F19" s="4" t="s">
        <v>150</v>
      </c>
      <c r="G19" s="18">
        <v>0</v>
      </c>
      <c r="H19" s="230">
        <v>0.1</v>
      </c>
    </row>
    <row r="20" spans="2:8" ht="15" customHeight="1">
      <c r="B20" s="4" t="s">
        <v>16</v>
      </c>
      <c r="C20" s="18">
        <v>0</v>
      </c>
      <c r="D20" s="230">
        <v>0.05</v>
      </c>
      <c r="F20" s="4" t="s">
        <v>147</v>
      </c>
      <c r="G20" s="18">
        <v>0</v>
      </c>
      <c r="H20" s="230">
        <v>0.2</v>
      </c>
    </row>
    <row r="21" spans="2:8" ht="15" customHeight="1">
      <c r="B21" s="4" t="s">
        <v>17</v>
      </c>
      <c r="C21" s="18">
        <v>1104</v>
      </c>
      <c r="D21" s="230">
        <v>0.05</v>
      </c>
      <c r="F21" s="1" t="s">
        <v>148</v>
      </c>
      <c r="G21" s="18">
        <v>390300</v>
      </c>
      <c r="H21" s="230">
        <v>0.1</v>
      </c>
    </row>
    <row r="22" spans="2:8" ht="15" customHeight="1">
      <c r="B22" s="4" t="s">
        <v>18</v>
      </c>
      <c r="C22" s="18">
        <v>118943</v>
      </c>
      <c r="D22" s="230">
        <v>0.9</v>
      </c>
      <c r="H22" s="231"/>
    </row>
    <row r="23" spans="2:8" ht="15" customHeight="1">
      <c r="B23" s="4" t="s">
        <v>19</v>
      </c>
      <c r="C23" s="18">
        <v>7460</v>
      </c>
      <c r="D23" s="230">
        <v>0</v>
      </c>
      <c r="H23" s="231"/>
    </row>
    <row r="24" spans="2:8" ht="15" customHeight="1">
      <c r="B24" s="76" t="s">
        <v>70</v>
      </c>
      <c r="C24" s="77">
        <f>SUM(C15:C23)</f>
        <v>3968848</v>
      </c>
      <c r="D24" s="19">
        <f>C15*D15+C16*D16+C18*D18+C17*D17+C19*D19+C20*D20+C21*D21+C22*D22+C23*D23</f>
        <v>584874.9</v>
      </c>
      <c r="F24" s="76" t="s">
        <v>68</v>
      </c>
      <c r="G24" s="77">
        <f>SUM(G15:G21)</f>
        <v>427045</v>
      </c>
      <c r="H24" s="19">
        <f>G15*H15+G16*H16+G17*H17+G18*H18+G19*H19+G20*H20+G21*H21</f>
        <v>61077</v>
      </c>
    </row>
    <row r="26" spans="2:8" ht="15" customHeight="1">
      <c r="B26" s="16" t="s">
        <v>167</v>
      </c>
      <c r="C26" s="163" t="s">
        <v>111</v>
      </c>
      <c r="F26" s="165" t="s">
        <v>163</v>
      </c>
      <c r="G26" s="166" t="s">
        <v>111</v>
      </c>
      <c r="H26" s="167" t="s">
        <v>33</v>
      </c>
    </row>
    <row r="27" spans="2:8" ht="15" customHeight="1">
      <c r="B27" s="4" t="s">
        <v>3</v>
      </c>
      <c r="C27" s="18">
        <v>140000</v>
      </c>
      <c r="F27" s="168" t="s">
        <v>28</v>
      </c>
      <c r="G27" s="81">
        <f>G32-G30</f>
        <v>2646614</v>
      </c>
      <c r="H27" s="169">
        <f>H32-G30</f>
        <v>-1429359.9</v>
      </c>
    </row>
    <row r="28" spans="2:8" ht="15" customHeight="1">
      <c r="B28" s="4" t="s">
        <v>4</v>
      </c>
      <c r="C28" s="18">
        <v>681268</v>
      </c>
      <c r="F28" s="170" t="s">
        <v>206</v>
      </c>
      <c r="G28" s="290">
        <v>9054</v>
      </c>
      <c r="H28" s="169"/>
    </row>
    <row r="29" spans="2:8" ht="15" customHeight="1">
      <c r="B29" s="4" t="s">
        <v>5</v>
      </c>
      <c r="C29" s="18">
        <v>0</v>
      </c>
      <c r="F29" s="171" t="s">
        <v>72</v>
      </c>
      <c r="G29" s="14">
        <f>G27-G28</f>
        <v>2637560</v>
      </c>
      <c r="H29" s="169">
        <f>H27-G28</f>
        <v>-1438413.9</v>
      </c>
    </row>
    <row r="30" spans="2:8" ht="15" customHeight="1">
      <c r="B30" s="2" t="s">
        <v>6</v>
      </c>
      <c r="C30" s="18">
        <v>0</v>
      </c>
      <c r="F30" s="168" t="s">
        <v>21</v>
      </c>
      <c r="G30" s="81">
        <f>C33+C42</f>
        <v>3143428</v>
      </c>
      <c r="H30" s="169"/>
    </row>
    <row r="31" spans="2:8" ht="15" customHeight="1">
      <c r="B31" s="76" t="s">
        <v>170</v>
      </c>
      <c r="C31" s="77">
        <f>SUM(C27:C30)</f>
        <v>821268</v>
      </c>
      <c r="F31" s="171" t="s">
        <v>73</v>
      </c>
      <c r="G31" s="172">
        <f>C31+C40</f>
        <v>2029987</v>
      </c>
      <c r="H31" s="169"/>
    </row>
    <row r="32" spans="2:8" ht="15" customHeight="1">
      <c r="B32" s="4" t="s">
        <v>7</v>
      </c>
      <c r="C32" s="20">
        <f>C33-C31</f>
        <v>987773</v>
      </c>
      <c r="F32" s="173" t="s">
        <v>71</v>
      </c>
      <c r="G32" s="174">
        <f>G35+G40</f>
        <v>5790042</v>
      </c>
      <c r="H32" s="169">
        <f>H35+H40</f>
        <v>1714068.1</v>
      </c>
    </row>
    <row r="33" spans="2:8" ht="15" customHeight="1">
      <c r="B33" s="79" t="s">
        <v>2</v>
      </c>
      <c r="C33" s="80">
        <v>1809041</v>
      </c>
      <c r="F33" s="175"/>
      <c r="G33" s="2"/>
      <c r="H33" s="176"/>
    </row>
    <row r="34" spans="2:8" ht="15" customHeight="1">
      <c r="B34" s="79"/>
      <c r="C34" s="80"/>
      <c r="F34" s="177" t="s">
        <v>169</v>
      </c>
      <c r="G34" s="178" t="s">
        <v>111</v>
      </c>
      <c r="H34" s="179" t="s">
        <v>33</v>
      </c>
    </row>
    <row r="35" spans="2:8" ht="15" customHeight="1">
      <c r="B35" s="16" t="s">
        <v>168</v>
      </c>
      <c r="C35" s="163" t="s">
        <v>111</v>
      </c>
      <c r="F35" s="180" t="s">
        <v>29</v>
      </c>
      <c r="G35" s="174">
        <f>C12+C24</f>
        <v>4397730</v>
      </c>
      <c r="H35" s="181">
        <f>D12+D24</f>
        <v>784250.8</v>
      </c>
    </row>
    <row r="36" spans="2:8" ht="15" customHeight="1">
      <c r="B36" s="4" t="s">
        <v>11</v>
      </c>
      <c r="C36" s="18">
        <v>125000</v>
      </c>
      <c r="F36" s="171" t="s">
        <v>164</v>
      </c>
      <c r="G36" s="172">
        <f>C4+C15</f>
        <v>412484</v>
      </c>
      <c r="H36" s="176"/>
    </row>
    <row r="37" spans="2:8" ht="15" customHeight="1">
      <c r="B37" s="4" t="s">
        <v>12</v>
      </c>
      <c r="C37" s="18">
        <v>1083719</v>
      </c>
      <c r="F37" s="171" t="s">
        <v>165</v>
      </c>
      <c r="G37" s="172">
        <f>C6</f>
        <v>227738</v>
      </c>
      <c r="H37" s="176"/>
    </row>
    <row r="38" spans="2:8" ht="15" customHeight="1">
      <c r="B38" s="4" t="s">
        <v>13</v>
      </c>
      <c r="C38" s="18">
        <v>0</v>
      </c>
      <c r="F38" s="171" t="s">
        <v>166</v>
      </c>
      <c r="G38" s="172">
        <f>C7+C17</f>
        <v>0</v>
      </c>
      <c r="H38" s="176"/>
    </row>
    <row r="39" spans="2:8" ht="15" customHeight="1">
      <c r="B39" s="2" t="s">
        <v>14</v>
      </c>
      <c r="C39" s="18">
        <v>0</v>
      </c>
      <c r="F39" s="171" t="s">
        <v>76</v>
      </c>
      <c r="G39" s="172">
        <f>C7+C17+C19+C20</f>
        <v>3529218</v>
      </c>
      <c r="H39" s="169">
        <f>C7*D7+C17*D17+C19*D19+C20*D20</f>
        <v>352921.80000000005</v>
      </c>
    </row>
    <row r="40" spans="2:8" ht="15" customHeight="1">
      <c r="B40" s="76" t="s">
        <v>171</v>
      </c>
      <c r="C40" s="77">
        <f>SUM(C36:C39)</f>
        <v>1208719</v>
      </c>
      <c r="F40" s="180" t="s">
        <v>113</v>
      </c>
      <c r="G40" s="174">
        <f>G12+G24</f>
        <v>1392312</v>
      </c>
      <c r="H40" s="181">
        <f>H12+H24</f>
        <v>929817.3</v>
      </c>
    </row>
    <row r="41" spans="2:8" ht="15" customHeight="1">
      <c r="B41" s="4" t="s">
        <v>15</v>
      </c>
      <c r="C41" s="20">
        <f>C42-C40</f>
        <v>125668</v>
      </c>
      <c r="F41" s="171" t="s">
        <v>158</v>
      </c>
      <c r="G41" s="172">
        <f>C70</f>
        <v>965267</v>
      </c>
      <c r="H41" s="181">
        <f>H40-H42</f>
        <v>868740.3</v>
      </c>
    </row>
    <row r="42" spans="2:8" ht="15" customHeight="1">
      <c r="B42" s="79" t="s">
        <v>20</v>
      </c>
      <c r="C42" s="80">
        <v>1334387</v>
      </c>
      <c r="F42" s="182" t="s">
        <v>159</v>
      </c>
      <c r="G42" s="183">
        <f>C82</f>
        <v>427045</v>
      </c>
      <c r="H42" s="184">
        <f>D82</f>
        <v>61077</v>
      </c>
    </row>
    <row r="44" spans="2:8" ht="15" customHeight="1">
      <c r="B44" s="75" t="s">
        <v>90</v>
      </c>
      <c r="C44" s="35"/>
      <c r="D44" s="35"/>
      <c r="E44" s="35"/>
      <c r="F44" s="35"/>
      <c r="G44" s="35"/>
      <c r="H44" s="35"/>
    </row>
    <row r="45" spans="2:8" ht="15" customHeight="1">
      <c r="B45" s="16" t="s">
        <v>225</v>
      </c>
      <c r="C45" s="208" t="s">
        <v>111</v>
      </c>
      <c r="D45" s="163" t="s">
        <v>307</v>
      </c>
      <c r="F45" s="225" t="s">
        <v>56</v>
      </c>
    </row>
    <row r="46" spans="2:8" ht="15" customHeight="1">
      <c r="B46" s="1" t="s">
        <v>227</v>
      </c>
      <c r="C46" s="72">
        <f>G29</f>
        <v>2637560</v>
      </c>
      <c r="D46" s="72">
        <f>H29</f>
        <v>-1438413.9</v>
      </c>
      <c r="F46" s="222"/>
    </row>
    <row r="47" spans="2:8" ht="15" customHeight="1">
      <c r="B47" s="1" t="str">
        <f>"Equity per share ("&amp;Market_currency&amp;")"</f>
        <v>Equity per share (HKD)</v>
      </c>
      <c r="C47" s="133">
        <f>C46*H1/Common_Shares*Exchange_Rate</f>
        <v>4.5474856206732621</v>
      </c>
      <c r="D47" s="133">
        <f>D46*H1/Common_Shares*Exchange_Rate</f>
        <v>-2.4800067209187837</v>
      </c>
      <c r="F47" s="222"/>
    </row>
    <row r="48" spans="2:8" ht="15" customHeight="1">
      <c r="F48" s="222"/>
    </row>
    <row r="49" spans="2:8" ht="15" customHeight="1">
      <c r="B49" s="142" t="s">
        <v>118</v>
      </c>
      <c r="C49" s="209" t="s">
        <v>54</v>
      </c>
      <c r="D49" s="178" t="s">
        <v>89</v>
      </c>
      <c r="E49" s="2"/>
      <c r="F49" s="222"/>
    </row>
    <row r="50" spans="2:8" ht="15" customHeight="1">
      <c r="B50" s="8" t="s">
        <v>88</v>
      </c>
      <c r="C50" s="91">
        <f>G31/Normalized_FCF!C8</f>
        <v>5.0762308701590531</v>
      </c>
      <c r="D50" s="91">
        <f>G31/Normalized_FCF!G8</f>
        <v>5.0983946232940358</v>
      </c>
      <c r="F50" s="222"/>
    </row>
    <row r="51" spans="2:8" ht="15" customHeight="1">
      <c r="B51" s="1" t="s">
        <v>144</v>
      </c>
      <c r="C51" s="162"/>
      <c r="D51" s="88">
        <f>G29/G32</f>
        <v>0.45553382859744368</v>
      </c>
      <c r="F51" s="222"/>
    </row>
    <row r="52" spans="2:8" ht="15" customHeight="1">
      <c r="F52" s="222"/>
    </row>
    <row r="53" spans="2:8" ht="15" customHeight="1">
      <c r="B53" s="142" t="s">
        <v>117</v>
      </c>
      <c r="C53" s="209" t="s">
        <v>54</v>
      </c>
      <c r="D53" s="178" t="s">
        <v>89</v>
      </c>
      <c r="F53" s="222"/>
    </row>
    <row r="54" spans="2:8" ht="15" customHeight="1">
      <c r="B54" s="1" t="s">
        <v>114</v>
      </c>
      <c r="C54" s="88">
        <f>Normalized_FCF!C8/G35</f>
        <v>9.0933378850401009E-2</v>
      </c>
      <c r="D54" s="88">
        <f>Normalized_FCF!G8/G35</f>
        <v>9.0538073051324205E-2</v>
      </c>
      <c r="F54" s="222"/>
    </row>
    <row r="55" spans="2:8" ht="15" customHeight="1">
      <c r="B55" s="1" t="s">
        <v>116</v>
      </c>
      <c r="C55" s="88">
        <f>Normalized_FCF!C9/G40</f>
        <v>0</v>
      </c>
      <c r="D55" s="88">
        <f>Normalized_FCF!G9/G40</f>
        <v>0</v>
      </c>
      <c r="F55" s="222"/>
    </row>
    <row r="56" spans="2:8" ht="15" customHeight="1">
      <c r="F56" s="222"/>
    </row>
    <row r="57" spans="2:8" ht="15" customHeight="1">
      <c r="B57" s="142" t="s">
        <v>143</v>
      </c>
      <c r="C57" s="209" t="s">
        <v>54</v>
      </c>
      <c r="D57" s="178" t="s">
        <v>89</v>
      </c>
      <c r="F57" s="222"/>
    </row>
    <row r="58" spans="2:8" ht="15" customHeight="1">
      <c r="B58" s="2" t="s">
        <v>85</v>
      </c>
      <c r="C58" s="94"/>
      <c r="D58" s="22">
        <f>Normalized_FCF!G15/BS!$G$39</f>
        <v>0.10723990413740381</v>
      </c>
      <c r="F58" s="5"/>
    </row>
    <row r="59" spans="2:8" ht="15" customHeight="1">
      <c r="B59" s="1" t="s">
        <v>87</v>
      </c>
      <c r="C59" s="94"/>
      <c r="D59" s="88">
        <f>G39/G32</f>
        <v>0.60953236608646366</v>
      </c>
      <c r="F59" s="222"/>
    </row>
    <row r="60" spans="2:8" ht="15" customHeight="1">
      <c r="F60" s="222"/>
    </row>
    <row r="61" spans="2:8" ht="15" customHeight="1">
      <c r="B61" s="142" t="s">
        <v>228</v>
      </c>
      <c r="C61" s="209" t="s">
        <v>112</v>
      </c>
      <c r="D61" s="178" t="s">
        <v>89</v>
      </c>
      <c r="F61" s="222"/>
    </row>
    <row r="62" spans="2:8" ht="15" customHeight="1">
      <c r="B62" s="1" t="s">
        <v>207</v>
      </c>
      <c r="C62" s="88">
        <f>IF(G28&lt;=0,0,G28/G29)</f>
        <v>3.4327181182608169E-3</v>
      </c>
      <c r="D62" s="88">
        <f>G28/G29</f>
        <v>3.4327181182608169E-3</v>
      </c>
      <c r="F62" s="222" t="s">
        <v>226</v>
      </c>
    </row>
    <row r="64" spans="2:8" ht="15" customHeight="1">
      <c r="B64" s="75" t="s">
        <v>160</v>
      </c>
      <c r="C64" s="35"/>
      <c r="D64" s="35"/>
      <c r="E64" s="35"/>
      <c r="F64" s="35"/>
      <c r="G64" s="35"/>
      <c r="H64" s="35"/>
    </row>
    <row r="65" spans="2:6" ht="15" customHeight="1">
      <c r="B65" s="16" t="s">
        <v>156</v>
      </c>
      <c r="C65" s="208" t="s">
        <v>111</v>
      </c>
      <c r="D65" s="164" t="s">
        <v>235</v>
      </c>
      <c r="F65" s="225" t="s">
        <v>56</v>
      </c>
    </row>
    <row r="66" spans="2:6" ht="15" customHeight="1">
      <c r="B66" s="101" t="s">
        <v>155</v>
      </c>
      <c r="C66" s="19">
        <f>G4+G5+G15</f>
        <v>965267</v>
      </c>
      <c r="D66" s="72">
        <f>C66-D75</f>
        <v>267503.96570416668</v>
      </c>
      <c r="F66" s="5" t="s">
        <v>190</v>
      </c>
    </row>
    <row r="67" spans="2:6" ht="15" customHeight="1">
      <c r="B67" s="101" t="s">
        <v>145</v>
      </c>
      <c r="C67" s="19">
        <f>G6+G16</f>
        <v>0</v>
      </c>
      <c r="F67" s="222"/>
    </row>
    <row r="68" spans="2:6" ht="15" customHeight="1">
      <c r="B68" s="101" t="s">
        <v>149</v>
      </c>
      <c r="C68" s="19">
        <f>G18</f>
        <v>0</v>
      </c>
      <c r="F68" s="222"/>
    </row>
    <row r="69" spans="2:6" ht="15" customHeight="1">
      <c r="B69" s="101" t="s">
        <v>147</v>
      </c>
      <c r="C69" s="19">
        <f>G8+G20</f>
        <v>0</v>
      </c>
      <c r="F69" s="222"/>
    </row>
    <row r="70" spans="2:6" ht="15" customHeight="1">
      <c r="B70" s="76" t="s">
        <v>156</v>
      </c>
      <c r="C70" s="77">
        <f>SUM(C66:C69)</f>
        <v>965267</v>
      </c>
      <c r="F70" s="222"/>
    </row>
    <row r="71" spans="2:6" ht="15" customHeight="1">
      <c r="F71" s="222"/>
    </row>
    <row r="72" spans="2:6" ht="15" customHeight="1">
      <c r="B72" s="224" t="s">
        <v>253</v>
      </c>
      <c r="C72" s="208" t="s">
        <v>89</v>
      </c>
      <c r="D72" s="163" t="s">
        <v>54</v>
      </c>
      <c r="F72" s="222"/>
    </row>
    <row r="73" spans="2:6" ht="15" customHeight="1">
      <c r="B73" s="101" t="s">
        <v>252</v>
      </c>
      <c r="C73" s="288">
        <f>(Normalized_FCF!G26+Normalized_FCF!G35-Normalized_FCF!G89)/12</f>
        <v>-697763.03429583332</v>
      </c>
      <c r="D73" s="288">
        <f>C73</f>
        <v>-697763.03429583332</v>
      </c>
      <c r="F73" s="1" t="s">
        <v>275</v>
      </c>
    </row>
    <row r="74" spans="2:6" ht="15" customHeight="1">
      <c r="B74" s="226" t="s">
        <v>256</v>
      </c>
      <c r="C74" s="227">
        <f>-$C$66/C73</f>
        <v>1.3833736563217707</v>
      </c>
      <c r="D74" s="227">
        <f>-$C$66/D73</f>
        <v>1.3833736563217707</v>
      </c>
      <c r="F74" s="222" t="s">
        <v>254</v>
      </c>
    </row>
    <row r="75" spans="2:6" ht="15" customHeight="1">
      <c r="B75" s="76" t="s">
        <v>255</v>
      </c>
      <c r="C75" s="263"/>
      <c r="D75" s="264">
        <f>MAX(-D73*D76,G5)</f>
        <v>697763.03429583332</v>
      </c>
      <c r="F75" s="222" t="s">
        <v>276</v>
      </c>
    </row>
    <row r="76" spans="2:6" ht="15" customHeight="1">
      <c r="B76" s="228" t="s">
        <v>257</v>
      </c>
      <c r="C76" s="229"/>
      <c r="D76" s="250">
        <f>IF(D74&lt;=3,1,IF(D74&gt;18,6,2))</f>
        <v>1</v>
      </c>
      <c r="F76" s="222" t="s">
        <v>258</v>
      </c>
    </row>
    <row r="77" spans="2:6" ht="15" customHeight="1">
      <c r="F77" s="222"/>
    </row>
    <row r="78" spans="2:6" ht="15" customHeight="1">
      <c r="B78" s="16" t="s">
        <v>157</v>
      </c>
      <c r="C78" s="208" t="s">
        <v>111</v>
      </c>
      <c r="D78" s="164" t="s">
        <v>33</v>
      </c>
      <c r="F78" s="222"/>
    </row>
    <row r="79" spans="2:6" ht="15" customHeight="1">
      <c r="B79" s="101" t="s">
        <v>146</v>
      </c>
      <c r="C79" s="19">
        <f>G7+G17</f>
        <v>36745</v>
      </c>
      <c r="D79" s="72">
        <f>G7*H7+G17*H17</f>
        <v>22047</v>
      </c>
      <c r="F79" s="222"/>
    </row>
    <row r="80" spans="2:6" ht="15" customHeight="1">
      <c r="B80" s="101" t="s">
        <v>150</v>
      </c>
      <c r="C80" s="19">
        <f>G19</f>
        <v>0</v>
      </c>
      <c r="D80" s="72">
        <f>G19*H19</f>
        <v>0</v>
      </c>
      <c r="F80" s="222"/>
    </row>
    <row r="81" spans="2:8" ht="15" customHeight="1">
      <c r="B81" s="101" t="s">
        <v>148</v>
      </c>
      <c r="C81" s="19">
        <f>G9+G21</f>
        <v>390300</v>
      </c>
      <c r="D81" s="72">
        <f>G9*H9+G21*H21</f>
        <v>39030</v>
      </c>
      <c r="F81" s="222"/>
    </row>
    <row r="82" spans="2:8" ht="15" customHeight="1">
      <c r="B82" s="76" t="s">
        <v>157</v>
      </c>
      <c r="C82" s="77">
        <f>SUM(C79:C81)</f>
        <v>427045</v>
      </c>
      <c r="D82" s="77">
        <f>SUM(D79:D81)</f>
        <v>61077</v>
      </c>
      <c r="F82" s="222"/>
    </row>
    <row r="84" spans="2:8" ht="15" customHeight="1">
      <c r="B84" s="75" t="s">
        <v>238</v>
      </c>
      <c r="C84" s="35"/>
      <c r="D84" s="35"/>
      <c r="E84" s="35"/>
      <c r="F84" s="35"/>
      <c r="G84" s="35"/>
      <c r="H84" s="35"/>
    </row>
    <row r="85" spans="2:8" ht="15" customHeight="1">
      <c r="B85" s="16" t="s">
        <v>239</v>
      </c>
      <c r="D85" s="214" t="s">
        <v>240</v>
      </c>
    </row>
    <row r="86" spans="2:8" ht="15" customHeight="1">
      <c r="B86" s="211" t="s">
        <v>236</v>
      </c>
      <c r="C86" s="72">
        <f>DCF!F4*Exchange_Rate</f>
        <v>-2029987</v>
      </c>
      <c r="D86" s="200">
        <f>C86*scaling_factor/Common_Shares</f>
        <v>-3.4999532494630086</v>
      </c>
      <c r="E86" s="213" t="str">
        <f>Market_currency</f>
        <v>HKD</v>
      </c>
    </row>
    <row r="87" spans="2:8" ht="15" customHeight="1">
      <c r="B87" s="211" t="s">
        <v>237</v>
      </c>
      <c r="C87" s="72">
        <f>DCF!F5*Exchange_Rate</f>
        <v>267503.96570416668</v>
      </c>
      <c r="D87" s="200">
        <f>C87*scaling_factor/Common_Shares</f>
        <v>0.4612105269691576</v>
      </c>
      <c r="E87" s="213" t="str">
        <f>Market_currency</f>
        <v>HKD</v>
      </c>
    </row>
    <row r="88" spans="2:8" ht="15" customHeight="1">
      <c r="B88" s="212" t="s">
        <v>157</v>
      </c>
      <c r="C88" s="72">
        <f>DCF!F6*Exchange_Rate</f>
        <v>61077</v>
      </c>
      <c r="D88" s="200">
        <f>C88*scaling_factor/Common_Shares</f>
        <v>0.10530444018481507</v>
      </c>
      <c r="E88" s="213" t="str">
        <f>Market_currency</f>
        <v>HKD</v>
      </c>
    </row>
    <row r="89" spans="2:8" ht="15" customHeight="1">
      <c r="B89" s="76" t="s">
        <v>241</v>
      </c>
      <c r="C89" s="161">
        <f>SUM(C86:C88)</f>
        <v>-1701406.0342958332</v>
      </c>
      <c r="D89" s="215">
        <f>SUM(D86:D88)</f>
        <v>-2.9334382823090359</v>
      </c>
      <c r="E89" s="213"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H108" sqref="H10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6"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93</v>
      </c>
      <c r="C2" s="51"/>
      <c r="D2" s="53"/>
      <c r="E2" s="62" t="s">
        <v>56</v>
      </c>
      <c r="F2" s="53"/>
      <c r="G2" s="35"/>
      <c r="H2" s="35"/>
      <c r="I2" s="35"/>
      <c r="J2" s="35"/>
      <c r="K2" s="35"/>
      <c r="L2" s="35"/>
      <c r="M2" s="35"/>
      <c r="N2" s="35"/>
      <c r="O2" s="35"/>
      <c r="P2" s="35"/>
      <c r="Q2" s="35"/>
    </row>
    <row r="3" spans="1:17" ht="15.75" customHeight="1">
      <c r="A3" s="10"/>
      <c r="B3" s="16" t="s">
        <v>390</v>
      </c>
      <c r="C3" s="103">
        <f>scaling_factor</f>
        <v>1000</v>
      </c>
      <c r="D3" s="9"/>
      <c r="E3" s="237"/>
      <c r="F3" s="9"/>
      <c r="G3" s="16" t="s">
        <v>409</v>
      </c>
      <c r="H3" s="103">
        <f>scaling_factor</f>
        <v>1000</v>
      </c>
    </row>
    <row r="4" spans="1:17" ht="15.75" customHeight="1">
      <c r="A4" s="10"/>
      <c r="B4" s="25" t="s">
        <v>0</v>
      </c>
      <c r="C4" s="268">
        <f>G4</f>
        <v>8568317</v>
      </c>
      <c r="D4" s="54"/>
      <c r="E4" s="235"/>
      <c r="F4" s="54"/>
      <c r="G4" s="273">
        <f>Data!C36</f>
        <v>8568317</v>
      </c>
      <c r="H4" s="273">
        <f>Data!D36</f>
        <v>8691449</v>
      </c>
      <c r="I4" s="273">
        <f>Data!E36</f>
        <v>8024044</v>
      </c>
      <c r="J4" s="273">
        <f>Data!F36</f>
        <v>7508753</v>
      </c>
      <c r="K4" s="273">
        <f>Data!G36</f>
        <v>6714255</v>
      </c>
      <c r="L4" s="273">
        <f>Data!H36</f>
        <v>7963097</v>
      </c>
      <c r="M4" s="273">
        <f>Data!I36</f>
        <v>8493883</v>
      </c>
      <c r="N4" s="273">
        <f>Data!J36</f>
        <v>8427399</v>
      </c>
      <c r="O4" s="273">
        <f>Data!K36</f>
        <v>7895262</v>
      </c>
      <c r="P4" s="273">
        <f>Data!L36</f>
        <v>7567176</v>
      </c>
      <c r="Q4" s="273" t="str">
        <f>Data!M36</f>
        <v/>
      </c>
    </row>
    <row r="5" spans="1:17" ht="15.75" customHeight="1">
      <c r="A5" s="10"/>
      <c r="B5" s="2" t="s">
        <v>43</v>
      </c>
      <c r="C5" s="269">
        <f>C26</f>
        <v>-7673923.5518282261</v>
      </c>
      <c r="E5" s="237"/>
      <c r="G5" s="273">
        <f t="shared" ref="G5:Q5" si="1">G26</f>
        <v>-7675662</v>
      </c>
      <c r="H5" s="273">
        <f t="shared" si="1"/>
        <v>-7702163</v>
      </c>
      <c r="I5" s="273">
        <f t="shared" si="1"/>
        <v>-7321395</v>
      </c>
      <c r="J5" s="273">
        <f t="shared" si="1"/>
        <v>-6961032</v>
      </c>
      <c r="K5" s="273">
        <f t="shared" si="1"/>
        <v>-6339067</v>
      </c>
      <c r="L5" s="273">
        <f t="shared" si="1"/>
        <v>-7232445</v>
      </c>
      <c r="M5" s="273">
        <f t="shared" si="1"/>
        <v>-7356665</v>
      </c>
      <c r="N5" s="273">
        <f t="shared" si="1"/>
        <v>-7385291</v>
      </c>
      <c r="O5" s="273">
        <f t="shared" si="1"/>
        <v>-6838442</v>
      </c>
      <c r="P5" s="273">
        <f t="shared" si="1"/>
        <v>-6522504</v>
      </c>
      <c r="Q5" s="273" t="str">
        <f t="shared" si="1"/>
        <v/>
      </c>
    </row>
    <row r="6" spans="1:17" ht="15.75" customHeight="1">
      <c r="A6" s="10"/>
      <c r="B6" s="30" t="s">
        <v>45</v>
      </c>
      <c r="C6" s="270">
        <f>C8-C7</f>
        <v>894393.44817177404</v>
      </c>
      <c r="E6" s="237"/>
      <c r="G6" s="270">
        <f>IF(G4="","",G4+G5)</f>
        <v>892655</v>
      </c>
      <c r="H6" s="270">
        <f t="shared" ref="H6:Q6" si="2">IF(H4="","",H4+H5)</f>
        <v>989286</v>
      </c>
      <c r="I6" s="270">
        <f t="shared" si="2"/>
        <v>702649</v>
      </c>
      <c r="J6" s="270">
        <f t="shared" si="2"/>
        <v>547721</v>
      </c>
      <c r="K6" s="270">
        <f t="shared" si="2"/>
        <v>375188</v>
      </c>
      <c r="L6" s="270">
        <f t="shared" si="2"/>
        <v>730652</v>
      </c>
      <c r="M6" s="270">
        <f t="shared" si="2"/>
        <v>1137218</v>
      </c>
      <c r="N6" s="270">
        <f t="shared" si="2"/>
        <v>1042108</v>
      </c>
      <c r="O6" s="270">
        <f t="shared" si="2"/>
        <v>1056820</v>
      </c>
      <c r="P6" s="270">
        <f t="shared" si="2"/>
        <v>1044672</v>
      </c>
      <c r="Q6" s="270" t="str">
        <f t="shared" si="2"/>
        <v/>
      </c>
    </row>
    <row r="7" spans="1:17" ht="15.75" customHeight="1">
      <c r="A7" s="10"/>
      <c r="B7" s="8" t="s">
        <v>42</v>
      </c>
      <c r="C7" s="269">
        <f>C35</f>
        <v>-494493</v>
      </c>
      <c r="E7" s="237"/>
      <c r="G7" s="269">
        <f t="shared" ref="G7:Q7" si="3">G35</f>
        <v>-494493</v>
      </c>
      <c r="H7" s="269">
        <f t="shared" si="3"/>
        <v>-503213</v>
      </c>
      <c r="I7" s="269">
        <f t="shared" si="3"/>
        <v>-486079</v>
      </c>
      <c r="J7" s="269">
        <f t="shared" si="3"/>
        <v>-458843</v>
      </c>
      <c r="K7" s="269">
        <f t="shared" si="3"/>
        <v>-462619</v>
      </c>
      <c r="L7" s="269">
        <f t="shared" si="3"/>
        <v>-481414</v>
      </c>
      <c r="M7" s="269">
        <f t="shared" si="3"/>
        <v>-447788</v>
      </c>
      <c r="N7" s="269">
        <f t="shared" si="3"/>
        <v>-458819</v>
      </c>
      <c r="O7" s="269">
        <f t="shared" si="3"/>
        <v>-430609</v>
      </c>
      <c r="P7" s="269">
        <f t="shared" si="3"/>
        <v>-430039</v>
      </c>
      <c r="Q7" s="269" t="str">
        <f t="shared" si="3"/>
        <v/>
      </c>
    </row>
    <row r="8" spans="1:17" ht="15.75" customHeight="1">
      <c r="A8" s="10"/>
      <c r="B8" s="28" t="s">
        <v>125</v>
      </c>
      <c r="C8" s="271">
        <f>C11-(C9+C10)</f>
        <v>399900.44817177404</v>
      </c>
      <c r="D8" s="56"/>
      <c r="E8" s="243"/>
      <c r="F8" s="56"/>
      <c r="G8" s="270">
        <f>IF(G$4="","",G6+G7)</f>
        <v>398162</v>
      </c>
      <c r="H8" s="270">
        <f t="shared" ref="H8:Q8" si="4">IF(H$4="","",H6+H7)</f>
        <v>486073</v>
      </c>
      <c r="I8" s="270">
        <f t="shared" si="4"/>
        <v>216570</v>
      </c>
      <c r="J8" s="270">
        <f t="shared" si="4"/>
        <v>88878</v>
      </c>
      <c r="K8" s="270">
        <f t="shared" si="4"/>
        <v>-87431</v>
      </c>
      <c r="L8" s="270">
        <f t="shared" si="4"/>
        <v>249238</v>
      </c>
      <c r="M8" s="270">
        <f t="shared" si="4"/>
        <v>689430</v>
      </c>
      <c r="N8" s="270">
        <f t="shared" si="4"/>
        <v>583289</v>
      </c>
      <c r="O8" s="270">
        <f t="shared" si="4"/>
        <v>626211</v>
      </c>
      <c r="P8" s="270">
        <f t="shared" si="4"/>
        <v>614633</v>
      </c>
      <c r="Q8" s="270" t="str">
        <f t="shared" si="4"/>
        <v/>
      </c>
    </row>
    <row r="9" spans="1:17" ht="15.75" customHeight="1">
      <c r="A9" s="10"/>
      <c r="B9" s="26" t="s">
        <v>414</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-82341.797657041665</v>
      </c>
      <c r="E10" s="237"/>
      <c r="G10" s="269">
        <f>G48</f>
        <v>-70391.645657658228</v>
      </c>
      <c r="H10" s="269">
        <f t="shared" ref="H10:Q10" si="6">H48</f>
        <v>-75843.075085195669</v>
      </c>
      <c r="I10" s="269">
        <f t="shared" si="6"/>
        <v>-70426.649872739625</v>
      </c>
      <c r="J10" s="269">
        <f t="shared" si="6"/>
        <v>-82507.534877218655</v>
      </c>
      <c r="K10" s="269">
        <f t="shared" si="6"/>
        <v>0</v>
      </c>
      <c r="L10" s="269">
        <f t="shared" si="6"/>
        <v>0</v>
      </c>
      <c r="M10" s="269">
        <f t="shared" si="6"/>
        <v>0</v>
      </c>
      <c r="N10" s="269">
        <f t="shared" si="6"/>
        <v>0</v>
      </c>
      <c r="O10" s="269">
        <f t="shared" si="6"/>
        <v>0</v>
      </c>
      <c r="P10" s="269">
        <f t="shared" si="6"/>
        <v>0</v>
      </c>
      <c r="Q10" s="269" t="str">
        <f t="shared" si="6"/>
        <v/>
      </c>
    </row>
    <row r="11" spans="1:17" ht="15.75" customHeight="1">
      <c r="A11" s="10"/>
      <c r="B11" s="66" t="s">
        <v>135</v>
      </c>
      <c r="C11" s="270">
        <f>C4*C77</f>
        <v>317558.65051473235</v>
      </c>
      <c r="E11" s="237"/>
      <c r="G11" s="270">
        <f t="shared" ref="G11:Q11" si="7">IF(G$4="","",SUM(G8:G10))</f>
        <v>327770.35434234177</v>
      </c>
      <c r="H11" s="270">
        <f t="shared" si="7"/>
        <v>410229.92491480435</v>
      </c>
      <c r="I11" s="270">
        <f t="shared" si="7"/>
        <v>146143.35012726038</v>
      </c>
      <c r="J11" s="270">
        <f t="shared" si="7"/>
        <v>6370.4651227813447</v>
      </c>
      <c r="K11" s="270">
        <f t="shared" si="7"/>
        <v>-87431</v>
      </c>
      <c r="L11" s="270">
        <f t="shared" si="7"/>
        <v>249238</v>
      </c>
      <c r="M11" s="270">
        <f t="shared" si="7"/>
        <v>689430</v>
      </c>
      <c r="N11" s="270">
        <f t="shared" si="7"/>
        <v>583289</v>
      </c>
      <c r="O11" s="270">
        <f t="shared" si="7"/>
        <v>626211</v>
      </c>
      <c r="P11" s="270">
        <f t="shared" si="7"/>
        <v>614633</v>
      </c>
      <c r="Q11" s="270" t="str">
        <f t="shared" si="7"/>
        <v/>
      </c>
    </row>
    <row r="12" spans="1:17" ht="15.75" customHeight="1">
      <c r="A12" s="10"/>
      <c r="B12" s="2" t="s">
        <v>60</v>
      </c>
      <c r="C12" s="269">
        <f>-C11*C41</f>
        <v>-52397.177334930842</v>
      </c>
      <c r="E12" s="237"/>
      <c r="G12" s="269">
        <f>Data!C46</f>
        <v>-32312</v>
      </c>
      <c r="H12" s="269">
        <f>Data!D46</f>
        <v>-56313</v>
      </c>
      <c r="I12" s="269">
        <f>Data!E46</f>
        <v>-32989</v>
      </c>
      <c r="J12" s="269">
        <f>Data!F46</f>
        <v>-27939</v>
      </c>
      <c r="K12" s="269">
        <f>Data!G46</f>
        <v>-29996</v>
      </c>
      <c r="L12" s="269">
        <f>Data!H46</f>
        <v>-39872</v>
      </c>
      <c r="M12" s="269">
        <f>Data!I46</f>
        <v>-129810</v>
      </c>
      <c r="N12" s="269">
        <f>Data!J46</f>
        <v>-121949</v>
      </c>
      <c r="O12" s="269">
        <f>Data!K46</f>
        <v>-108832</v>
      </c>
      <c r="P12" s="269">
        <f>Data!L46</f>
        <v>-110223</v>
      </c>
      <c r="Q12" s="269" t="str">
        <f>Data!M46</f>
        <v/>
      </c>
    </row>
    <row r="13" spans="1:17" ht="15.75" customHeight="1">
      <c r="A13" s="10"/>
      <c r="B13" s="38" t="s">
        <v>205</v>
      </c>
      <c r="C13" s="269">
        <f>-C4*C79</f>
        <v>-29412.617008902169</v>
      </c>
      <c r="D13" s="57"/>
      <c r="E13" s="244"/>
      <c r="F13" s="57"/>
      <c r="G13" s="273">
        <f>Data!C48</f>
        <v>-2367</v>
      </c>
      <c r="H13" s="273">
        <f>Data!D48</f>
        <v>-2761</v>
      </c>
      <c r="I13" s="273">
        <f>Data!E48</f>
        <v>-834</v>
      </c>
      <c r="J13" s="273">
        <f>Data!F48</f>
        <v>-1636</v>
      </c>
      <c r="K13" s="273">
        <f>Data!G48</f>
        <v>-1420</v>
      </c>
      <c r="L13" s="273">
        <f>Data!H48</f>
        <v>-752</v>
      </c>
      <c r="M13" s="273">
        <f>Data!I48</f>
        <v>-1825</v>
      </c>
      <c r="N13" s="273">
        <f>Data!J48</f>
        <v>-1240</v>
      </c>
      <c r="O13" s="273">
        <f>Data!K48</f>
        <v>-23</v>
      </c>
      <c r="P13" s="273">
        <f>Data!L48</f>
        <v>0</v>
      </c>
      <c r="Q13" s="273" t="str">
        <f>Data!M48</f>
        <v/>
      </c>
    </row>
    <row r="14" spans="1:17" ht="15.75" customHeight="1">
      <c r="A14" s="10"/>
      <c r="B14" s="39" t="s">
        <v>127</v>
      </c>
      <c r="C14" s="272">
        <f>SUM(C11:C13)</f>
        <v>235748.85617089932</v>
      </c>
      <c r="D14" s="58"/>
      <c r="E14" s="245"/>
      <c r="F14" s="58"/>
      <c r="G14" s="270">
        <f t="shared" ref="G14:Q14" si="8">IF(G$4="","",SUM(G11:G13))</f>
        <v>293091.35434234177</v>
      </c>
      <c r="H14" s="270">
        <f t="shared" si="8"/>
        <v>351155.92491480435</v>
      </c>
      <c r="I14" s="270">
        <f t="shared" si="8"/>
        <v>112320.35012726038</v>
      </c>
      <c r="J14" s="270">
        <f t="shared" si="8"/>
        <v>-23204.534877218655</v>
      </c>
      <c r="K14" s="270">
        <f t="shared" si="8"/>
        <v>-118847</v>
      </c>
      <c r="L14" s="270">
        <f t="shared" si="8"/>
        <v>208614</v>
      </c>
      <c r="M14" s="270">
        <f t="shared" si="8"/>
        <v>557795</v>
      </c>
      <c r="N14" s="270">
        <f t="shared" si="8"/>
        <v>460100</v>
      </c>
      <c r="O14" s="270">
        <f t="shared" si="8"/>
        <v>517356</v>
      </c>
      <c r="P14" s="270">
        <f t="shared" si="8"/>
        <v>504410</v>
      </c>
      <c r="Q14" s="270" t="str">
        <f t="shared" si="8"/>
        <v/>
      </c>
    </row>
    <row r="15" spans="1:17" ht="15.75" customHeight="1">
      <c r="A15" s="10"/>
      <c r="B15" s="2" t="s">
        <v>62</v>
      </c>
      <c r="C15" s="269">
        <f>BS!$G$39*BS!D58</f>
        <v>378473</v>
      </c>
      <c r="E15" s="237"/>
      <c r="G15" s="269">
        <f>IF(Data!C61="","",-Data!C61)</f>
        <v>378473</v>
      </c>
      <c r="H15" s="269">
        <f>IF(Data!D61="","",-Data!D61)</f>
        <v>394190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396</v>
      </c>
      <c r="C16" s="269">
        <f>-C4*C82</f>
        <v>-378473</v>
      </c>
      <c r="E16" s="237"/>
      <c r="G16" s="269">
        <f>Data!C62</f>
        <v>-305069</v>
      </c>
      <c r="H16" s="269">
        <f>Data!D62</f>
        <v>-316358</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259</v>
      </c>
      <c r="F17" s="55"/>
      <c r="G17" s="275"/>
      <c r="H17" s="275"/>
      <c r="I17" s="275"/>
      <c r="J17" s="275"/>
      <c r="K17" s="275"/>
      <c r="L17" s="275"/>
      <c r="M17" s="275"/>
      <c r="N17" s="275"/>
      <c r="O17" s="275"/>
      <c r="P17" s="275"/>
      <c r="Q17" s="275"/>
    </row>
    <row r="18" spans="1:17" ht="15.75" customHeight="1">
      <c r="A18" s="10"/>
      <c r="B18" s="26" t="s">
        <v>92</v>
      </c>
      <c r="C18" s="269">
        <v>0</v>
      </c>
      <c r="D18" s="55"/>
      <c r="E18" s="236" t="s">
        <v>260</v>
      </c>
      <c r="F18" s="55"/>
      <c r="G18" s="276"/>
      <c r="H18" s="276"/>
      <c r="I18" s="276"/>
      <c r="J18" s="276"/>
      <c r="K18" s="276"/>
      <c r="L18" s="276"/>
      <c r="M18" s="276"/>
      <c r="N18" s="276"/>
      <c r="O18" s="276"/>
      <c r="P18" s="276"/>
      <c r="Q18" s="276"/>
    </row>
    <row r="19" spans="1:17" ht="15.75" customHeight="1">
      <c r="A19" s="10"/>
      <c r="B19" s="30" t="s">
        <v>63</v>
      </c>
      <c r="C19" s="270">
        <f>C14+C17</f>
        <v>235748.85617089932</v>
      </c>
      <c r="D19" s="26"/>
      <c r="E19" s="234"/>
      <c r="F19" s="26"/>
      <c r="G19" s="274">
        <f t="shared" ref="G19:Q19" si="9">IF(G$4="","",G14+G17)</f>
        <v>293091.35434234177</v>
      </c>
      <c r="H19" s="274">
        <f t="shared" si="9"/>
        <v>351155.92491480435</v>
      </c>
      <c r="I19" s="274">
        <f t="shared" si="9"/>
        <v>112320.35012726038</v>
      </c>
      <c r="J19" s="274">
        <f t="shared" si="9"/>
        <v>-23204.534877218655</v>
      </c>
      <c r="K19" s="274">
        <f t="shared" si="9"/>
        <v>-118847</v>
      </c>
      <c r="L19" s="274">
        <f t="shared" si="9"/>
        <v>208614</v>
      </c>
      <c r="M19" s="274">
        <f t="shared" si="9"/>
        <v>557795</v>
      </c>
      <c r="N19" s="274">
        <f t="shared" si="9"/>
        <v>460100</v>
      </c>
      <c r="O19" s="274">
        <f t="shared" si="9"/>
        <v>517356</v>
      </c>
      <c r="P19" s="274">
        <f t="shared" si="9"/>
        <v>504410</v>
      </c>
      <c r="Q19" s="274" t="str">
        <f t="shared" si="9"/>
        <v/>
      </c>
    </row>
    <row r="20" spans="1:17" ht="15.75" customHeight="1">
      <c r="A20" s="10"/>
      <c r="B20" s="26"/>
      <c r="C20" s="59"/>
      <c r="D20" s="26"/>
      <c r="E20" s="63"/>
      <c r="F20" s="26"/>
      <c r="G20" s="12"/>
      <c r="H20" s="12"/>
      <c r="I20" s="12"/>
      <c r="J20" s="12"/>
      <c r="K20" s="12"/>
      <c r="L20" s="12"/>
      <c r="M20" s="12"/>
      <c r="N20" s="12"/>
      <c r="O20" s="12"/>
      <c r="P20" s="12"/>
      <c r="Q20" s="12"/>
    </row>
    <row r="21" spans="1:17" ht="15.75" customHeight="1">
      <c r="A21" s="10"/>
      <c r="B21" s="51" t="s">
        <v>172</v>
      </c>
      <c r="C21" s="51"/>
      <c r="D21" s="53"/>
      <c r="E21" s="62" t="s">
        <v>56</v>
      </c>
      <c r="F21" s="53"/>
      <c r="G21" s="35"/>
      <c r="H21" s="35"/>
      <c r="I21" s="35"/>
      <c r="J21" s="35"/>
      <c r="K21" s="35"/>
      <c r="L21" s="35"/>
      <c r="M21" s="35"/>
      <c r="N21" s="35"/>
      <c r="O21" s="35"/>
      <c r="P21" s="35"/>
      <c r="Q21" s="35"/>
    </row>
    <row r="22" spans="1:17" ht="15.75" customHeight="1">
      <c r="A22" s="10"/>
      <c r="B22" s="60" t="s">
        <v>43</v>
      </c>
      <c r="C22" s="59"/>
      <c r="D22" s="26"/>
      <c r="E22" s="234"/>
      <c r="F22" s="26"/>
      <c r="G22" s="12"/>
      <c r="H22" s="12"/>
      <c r="I22" s="12"/>
      <c r="J22" s="12"/>
      <c r="K22" s="12"/>
      <c r="L22" s="12"/>
      <c r="M22" s="12"/>
      <c r="N22" s="12"/>
      <c r="O22" s="12"/>
      <c r="P22" s="12"/>
      <c r="Q22" s="12"/>
    </row>
    <row r="23" spans="1:17" ht="15.75" customHeight="1">
      <c r="A23" s="10"/>
      <c r="B23" s="26" t="s">
        <v>40</v>
      </c>
      <c r="C23" s="277">
        <f>-C$4*C29</f>
        <v>-7673923.5518282261</v>
      </c>
      <c r="D23" s="55"/>
      <c r="E23" s="236"/>
      <c r="F23" s="55"/>
      <c r="G23" s="273">
        <f>Data!C37</f>
        <v>-7675662</v>
      </c>
      <c r="H23" s="273">
        <f>Data!D37</f>
        <v>-7702163</v>
      </c>
      <c r="I23" s="273">
        <f>Data!E37</f>
        <v>-7321395</v>
      </c>
      <c r="J23" s="273">
        <f>Data!F37</f>
        <v>-6961032</v>
      </c>
      <c r="K23" s="273">
        <f>Data!G37</f>
        <v>-6339067</v>
      </c>
      <c r="L23" s="273">
        <f>Data!H37</f>
        <v>-7232445</v>
      </c>
      <c r="M23" s="273">
        <f>Data!I37</f>
        <v>-7356665</v>
      </c>
      <c r="N23" s="273">
        <f>Data!J37</f>
        <v>-7385291</v>
      </c>
      <c r="O23" s="273">
        <f>Data!K37</f>
        <v>-6838442</v>
      </c>
      <c r="P23" s="273">
        <f>Data!L37</f>
        <v>-6522504</v>
      </c>
      <c r="Q23" s="273" t="str">
        <f>Data!M37</f>
        <v/>
      </c>
    </row>
    <row r="24" spans="1:17" ht="15.75" customHeight="1">
      <c r="A24" s="10"/>
      <c r="B24" s="64" t="s">
        <v>59</v>
      </c>
      <c r="C24" s="277">
        <f t="shared" ref="C24:C25" si="10">-C$4*C30</f>
        <v>0</v>
      </c>
      <c r="D24" s="26"/>
      <c r="E24" s="234"/>
      <c r="F24" s="26"/>
      <c r="G24" s="273">
        <f>Data!C40</f>
        <v>0</v>
      </c>
      <c r="H24" s="273">
        <f>Data!D40</f>
        <v>0</v>
      </c>
      <c r="I24" s="273">
        <f>Data!E40</f>
        <v>0</v>
      </c>
      <c r="J24" s="273">
        <f>Data!F40</f>
        <v>0</v>
      </c>
      <c r="K24" s="273">
        <f>Data!G40</f>
        <v>0</v>
      </c>
      <c r="L24" s="273">
        <f>Data!H40</f>
        <v>0</v>
      </c>
      <c r="M24" s="273">
        <f>Data!I40</f>
        <v>0</v>
      </c>
      <c r="N24" s="273">
        <f>Data!J40</f>
        <v>0</v>
      </c>
      <c r="O24" s="273">
        <f>Data!K40</f>
        <v>0</v>
      </c>
      <c r="P24" s="273">
        <f>Data!L40</f>
        <v>0</v>
      </c>
      <c r="Q24" s="273" t="str">
        <f>Data!M40</f>
        <v/>
      </c>
    </row>
    <row r="25" spans="1:17" ht="15.75" customHeight="1">
      <c r="A25" s="10"/>
      <c r="B25" s="26" t="s">
        <v>46</v>
      </c>
      <c r="C25" s="277">
        <f t="shared" si="10"/>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6" t="s">
        <v>43</v>
      </c>
      <c r="C26" s="270">
        <f>C6-C4</f>
        <v>-7673923.5518282261</v>
      </c>
      <c r="D26" s="9"/>
      <c r="E26" s="242"/>
      <c r="F26" s="9"/>
      <c r="G26" s="270">
        <f>IF(G$4="","",SUM(G23:G25))</f>
        <v>-7675662</v>
      </c>
      <c r="H26" s="270">
        <f t="shared" ref="H26:Q26" si="11">IF(H$4="","",SUM(H23:H25))</f>
        <v>-7702163</v>
      </c>
      <c r="I26" s="270">
        <f t="shared" si="11"/>
        <v>-7321395</v>
      </c>
      <c r="J26" s="270">
        <f t="shared" si="11"/>
        <v>-6961032</v>
      </c>
      <c r="K26" s="270">
        <f t="shared" si="11"/>
        <v>-6339067</v>
      </c>
      <c r="L26" s="270">
        <f t="shared" si="11"/>
        <v>-7232445</v>
      </c>
      <c r="M26" s="270">
        <f t="shared" si="11"/>
        <v>-7356665</v>
      </c>
      <c r="N26" s="270">
        <f t="shared" si="11"/>
        <v>-7385291</v>
      </c>
      <c r="O26" s="270">
        <f t="shared" si="11"/>
        <v>-6838442</v>
      </c>
      <c r="P26" s="270">
        <f t="shared" si="11"/>
        <v>-6522504</v>
      </c>
      <c r="Q26" s="270" t="str">
        <f t="shared" si="11"/>
        <v/>
      </c>
    </row>
    <row r="27" spans="1:17" ht="15.75" customHeight="1">
      <c r="A27" s="10"/>
      <c r="E27" s="237"/>
    </row>
    <row r="28" spans="1:17" ht="15.75" customHeight="1">
      <c r="A28" s="10"/>
      <c r="B28" s="60" t="s">
        <v>173</v>
      </c>
      <c r="E28" s="237"/>
    </row>
    <row r="29" spans="1:17" ht="15.75" customHeight="1">
      <c r="A29" s="10"/>
      <c r="B29" s="25" t="s">
        <v>40</v>
      </c>
      <c r="C29" s="456">
        <f>C32-C30-C31</f>
        <v>0.89561620465585323</v>
      </c>
      <c r="D29" s="25"/>
      <c r="E29" s="235"/>
      <c r="F29" s="25"/>
      <c r="G29" s="13">
        <f t="shared" ref="G29:Q29" si="12">IF(G$4="","",ABS(G23/G$4))</f>
        <v>0.89581909726262465</v>
      </c>
      <c r="H29" s="13">
        <f t="shared" si="12"/>
        <v>0.88617709199006978</v>
      </c>
      <c r="I29" s="13">
        <f t="shared" si="12"/>
        <v>0.9124320604423406</v>
      </c>
      <c r="J29" s="13">
        <f t="shared" si="12"/>
        <v>0.92705566423612551</v>
      </c>
      <c r="K29" s="13">
        <f t="shared" si="12"/>
        <v>0.94412068055204934</v>
      </c>
      <c r="L29" s="13">
        <f t="shared" si="12"/>
        <v>0.90824524679279939</v>
      </c>
      <c r="M29" s="13">
        <f t="shared" si="12"/>
        <v>0.86611329588599228</v>
      </c>
      <c r="N29" s="13">
        <f t="shared" si="12"/>
        <v>0.87634286687980478</v>
      </c>
      <c r="O29" s="13">
        <f t="shared" si="12"/>
        <v>0.86614503736544779</v>
      </c>
      <c r="P29" s="13">
        <f t="shared" si="12"/>
        <v>0.86194691388174405</v>
      </c>
      <c r="Q29" s="13" t="str">
        <f t="shared" si="12"/>
        <v/>
      </c>
    </row>
    <row r="30" spans="1:17" ht="15.75" customHeight="1">
      <c r="A30" s="10"/>
      <c r="B30" s="64" t="str">
        <f>B24</f>
        <v>Selling Expenses</v>
      </c>
      <c r="C30" s="232">
        <v>0</v>
      </c>
      <c r="D30" s="25"/>
      <c r="E30" s="235"/>
      <c r="F30" s="25"/>
      <c r="G30" s="13">
        <f t="shared" ref="G30:Q30" si="13">IF(G$4="","",ABS(G24/G$4))</f>
        <v>0</v>
      </c>
      <c r="H30" s="13">
        <f t="shared" si="13"/>
        <v>0</v>
      </c>
      <c r="I30" s="13">
        <f t="shared" si="13"/>
        <v>0</v>
      </c>
      <c r="J30" s="13">
        <f t="shared" si="13"/>
        <v>0</v>
      </c>
      <c r="K30" s="13">
        <f t="shared" si="13"/>
        <v>0</v>
      </c>
      <c r="L30" s="13">
        <f t="shared" si="13"/>
        <v>0</v>
      </c>
      <c r="M30" s="13">
        <f t="shared" si="13"/>
        <v>0</v>
      </c>
      <c r="N30" s="13">
        <f t="shared" si="13"/>
        <v>0</v>
      </c>
      <c r="O30" s="13">
        <f t="shared" si="13"/>
        <v>0</v>
      </c>
      <c r="P30" s="13">
        <f t="shared" si="13"/>
        <v>0</v>
      </c>
      <c r="Q30" s="13" t="str">
        <f t="shared" si="13"/>
        <v/>
      </c>
    </row>
    <row r="31" spans="1:17" ht="15.75" customHeight="1">
      <c r="A31" s="10"/>
      <c r="B31" s="26" t="str">
        <f>B25</f>
        <v>R&amp;D</v>
      </c>
      <c r="C31" s="232">
        <v>0</v>
      </c>
      <c r="D31" s="26"/>
      <c r="E31" s="234"/>
      <c r="F31" s="26"/>
      <c r="G31" s="13">
        <f t="shared" ref="G31:Q31" si="14">IF(G$4="","",ABS(G25/G$4))</f>
        <v>0</v>
      </c>
      <c r="H31" s="13">
        <f t="shared" si="14"/>
        <v>0</v>
      </c>
      <c r="I31" s="13">
        <f t="shared" si="14"/>
        <v>0</v>
      </c>
      <c r="J31" s="13">
        <f t="shared" si="14"/>
        <v>0</v>
      </c>
      <c r="K31" s="13">
        <f t="shared" si="14"/>
        <v>0</v>
      </c>
      <c r="L31" s="13">
        <f t="shared" si="14"/>
        <v>0</v>
      </c>
      <c r="M31" s="13">
        <f t="shared" si="14"/>
        <v>0</v>
      </c>
      <c r="N31" s="13">
        <f t="shared" si="14"/>
        <v>0</v>
      </c>
      <c r="O31" s="13">
        <f t="shared" si="14"/>
        <v>0</v>
      </c>
      <c r="P31" s="13">
        <f t="shared" si="14"/>
        <v>0</v>
      </c>
      <c r="Q31" s="13" t="str">
        <f t="shared" si="14"/>
        <v/>
      </c>
    </row>
    <row r="32" spans="1:17" ht="15.75" customHeight="1">
      <c r="A32" s="10"/>
      <c r="B32" s="66" t="s">
        <v>43</v>
      </c>
      <c r="C32" s="67">
        <f>ABS(C5/$C$4)</f>
        <v>0.89561620465585323</v>
      </c>
      <c r="E32" s="237"/>
      <c r="G32" s="29">
        <f t="shared" ref="G32:Q32" si="15">IF(G$4="","",ABS(G26/G$4))</f>
        <v>0.89581909726262465</v>
      </c>
      <c r="H32" s="29">
        <f t="shared" si="15"/>
        <v>0.88617709199006978</v>
      </c>
      <c r="I32" s="29">
        <f t="shared" si="15"/>
        <v>0.9124320604423406</v>
      </c>
      <c r="J32" s="29">
        <f t="shared" si="15"/>
        <v>0.92705566423612551</v>
      </c>
      <c r="K32" s="29">
        <f t="shared" si="15"/>
        <v>0.94412068055204934</v>
      </c>
      <c r="L32" s="29">
        <f t="shared" si="15"/>
        <v>0.90824524679279939</v>
      </c>
      <c r="M32" s="29">
        <f t="shared" si="15"/>
        <v>0.86611329588599228</v>
      </c>
      <c r="N32" s="29">
        <f t="shared" si="15"/>
        <v>0.87634286687980478</v>
      </c>
      <c r="O32" s="29">
        <f t="shared" si="15"/>
        <v>0.86614503736544779</v>
      </c>
      <c r="P32" s="29">
        <f t="shared" si="15"/>
        <v>0.86194691388174405</v>
      </c>
      <c r="Q32" s="29" t="str">
        <f t="shared" si="15"/>
        <v/>
      </c>
    </row>
    <row r="33" spans="1:17" ht="15.75" customHeight="1">
      <c r="A33" s="10"/>
      <c r="E33" s="237"/>
    </row>
    <row r="34" spans="1:17" ht="15.75" customHeight="1">
      <c r="A34" s="10"/>
      <c r="B34" s="60" t="s">
        <v>42</v>
      </c>
      <c r="E34" s="237"/>
    </row>
    <row r="35" spans="1:17" ht="15.75" customHeight="1">
      <c r="A35" s="10"/>
      <c r="B35" s="301" t="s">
        <v>394</v>
      </c>
      <c r="C35" s="279">
        <f>G35</f>
        <v>-494493</v>
      </c>
      <c r="D35" s="55"/>
      <c r="E35" s="236"/>
      <c r="F35" s="55"/>
      <c r="G35" s="270">
        <f>IF(G4="","",Data!C41)</f>
        <v>-494493</v>
      </c>
      <c r="H35" s="270">
        <f>IF(H4="","",Data!D41)</f>
        <v>-503213</v>
      </c>
      <c r="I35" s="270">
        <f>IF(I4="","",Data!E41)</f>
        <v>-486079</v>
      </c>
      <c r="J35" s="270">
        <f>IF(J4="","",Data!F41)</f>
        <v>-458843</v>
      </c>
      <c r="K35" s="270">
        <f>IF(K4="","",Data!G41)</f>
        <v>-462619</v>
      </c>
      <c r="L35" s="270">
        <f>IF(L4="","",Data!H41)</f>
        <v>-481414</v>
      </c>
      <c r="M35" s="270">
        <f>IF(M4="","",Data!I41)</f>
        <v>-447788</v>
      </c>
      <c r="N35" s="270">
        <f>IF(N4="","",Data!J41)</f>
        <v>-458819</v>
      </c>
      <c r="O35" s="270">
        <f>IF(O4="","",Data!K41)</f>
        <v>-430609</v>
      </c>
      <c r="P35" s="270">
        <f>IF(P4="","",Data!L41)</f>
        <v>-430039</v>
      </c>
      <c r="Q35" s="270" t="str">
        <f>IF(Q4="","",Data!M41)</f>
        <v/>
      </c>
    </row>
    <row r="36" spans="1:17" ht="15.75" customHeight="1">
      <c r="A36" s="10"/>
      <c r="E36" s="237"/>
    </row>
    <row r="37" spans="1:17" ht="15.75" customHeight="1">
      <c r="A37" s="10"/>
      <c r="B37" s="60" t="s">
        <v>174</v>
      </c>
      <c r="E37" s="237"/>
    </row>
    <row r="38" spans="1:17" ht="15.75" customHeight="1">
      <c r="A38" s="10"/>
      <c r="B38" s="301" t="s">
        <v>394</v>
      </c>
      <c r="C38" s="67">
        <f>ABS(C35/$C$4)</f>
        <v>5.7711800345388718E-2</v>
      </c>
      <c r="E38" s="237"/>
      <c r="G38" s="29">
        <f t="shared" ref="G38:Q38" si="16">IF(G$4="","",ABS(G35/G$4))</f>
        <v>5.7711800345388718E-2</v>
      </c>
      <c r="H38" s="29">
        <f t="shared" si="16"/>
        <v>5.7897480615717818E-2</v>
      </c>
      <c r="I38" s="29">
        <f t="shared" si="16"/>
        <v>6.0577808396863227E-2</v>
      </c>
      <c r="J38" s="29">
        <f t="shared" si="16"/>
        <v>6.1107749848743197E-2</v>
      </c>
      <c r="K38" s="29">
        <f t="shared" si="16"/>
        <v>6.8901017313164309E-2</v>
      </c>
      <c r="L38" s="29">
        <f t="shared" si="16"/>
        <v>6.0455624237655277E-2</v>
      </c>
      <c r="M38" s="29">
        <f t="shared" si="16"/>
        <v>5.2718880163524738E-2</v>
      </c>
      <c r="N38" s="29">
        <f t="shared" si="16"/>
        <v>5.444372575690317E-2</v>
      </c>
      <c r="O38" s="29">
        <f t="shared" si="16"/>
        <v>5.4540178653982606E-2</v>
      </c>
      <c r="P38" s="29">
        <f t="shared" si="16"/>
        <v>5.6829522664729883E-2</v>
      </c>
      <c r="Q38" s="29" t="str">
        <f t="shared" si="16"/>
        <v/>
      </c>
    </row>
    <row r="39" spans="1:17" ht="15.75" customHeight="1">
      <c r="A39" s="10"/>
      <c r="E39" s="237"/>
    </row>
    <row r="40" spans="1:17" ht="15.75" customHeight="1">
      <c r="A40" s="10"/>
      <c r="B40" s="60" t="s">
        <v>175</v>
      </c>
      <c r="E40" s="237"/>
    </row>
    <row r="41" spans="1:17" ht="15.75" customHeight="1">
      <c r="A41" s="10"/>
      <c r="B41" s="26" t="s">
        <v>140</v>
      </c>
      <c r="C41" s="232">
        <v>0.16500000000000001</v>
      </c>
      <c r="D41" s="26"/>
      <c r="E41" s="234" t="s">
        <v>402</v>
      </c>
      <c r="F41" s="26"/>
      <c r="G41" s="6">
        <f t="shared" ref="G41:Q41" si="17">IF(G$4="","",-G12/SUM(G8+G9,G10))</f>
        <v>9.8581215695460772E-2</v>
      </c>
      <c r="H41" s="6">
        <f t="shared" si="17"/>
        <v>0.13727179949559984</v>
      </c>
      <c r="I41" s="6">
        <f t="shared" si="17"/>
        <v>0.22573042133818241</v>
      </c>
      <c r="J41" s="6">
        <f t="shared" si="17"/>
        <v>4.3857080231218397</v>
      </c>
      <c r="K41" s="6">
        <f t="shared" si="17"/>
        <v>-0.34308197321316236</v>
      </c>
      <c r="L41" s="6">
        <f t="shared" si="17"/>
        <v>0.15997560564600904</v>
      </c>
      <c r="M41" s="6">
        <f t="shared" si="17"/>
        <v>0.18828597537095862</v>
      </c>
      <c r="N41" s="6">
        <f t="shared" si="17"/>
        <v>0.20907131799159592</v>
      </c>
      <c r="O41" s="6">
        <f t="shared" si="17"/>
        <v>0.17379445586232117</v>
      </c>
      <c r="P41" s="6">
        <f t="shared" si="17"/>
        <v>0.17933140589587607</v>
      </c>
      <c r="Q41" s="6" t="str">
        <f t="shared" si="17"/>
        <v/>
      </c>
    </row>
    <row r="42" spans="1:17" ht="15.75" customHeight="1">
      <c r="A42" s="10"/>
    </row>
    <row r="43" spans="1:17" ht="15.75" customHeight="1">
      <c r="A43" s="10"/>
      <c r="B43" s="51" t="s">
        <v>176</v>
      </c>
      <c r="C43" s="51"/>
      <c r="D43" s="53"/>
      <c r="E43" s="62" t="s">
        <v>56</v>
      </c>
      <c r="F43" s="53"/>
      <c r="G43" s="35"/>
      <c r="H43" s="35"/>
      <c r="I43" s="35"/>
      <c r="J43" s="35"/>
      <c r="K43" s="35"/>
      <c r="L43" s="35"/>
      <c r="M43" s="35"/>
      <c r="N43" s="35"/>
      <c r="O43" s="35"/>
      <c r="P43" s="35"/>
      <c r="Q43" s="35"/>
    </row>
    <row r="44" spans="1:17" ht="15.75" customHeight="1">
      <c r="A44" s="10"/>
      <c r="B44" s="60" t="s">
        <v>57</v>
      </c>
      <c r="E44" s="237"/>
    </row>
    <row r="45" spans="1:17" ht="15.75" customHeight="1">
      <c r="A45" s="10"/>
      <c r="B45" s="2" t="s">
        <v>37</v>
      </c>
      <c r="C45" s="269">
        <f>-BS!G31*C52</f>
        <v>-89319.428</v>
      </c>
      <c r="E45" s="237"/>
      <c r="G45" s="269">
        <f>Data!C51</f>
        <v>-104115</v>
      </c>
      <c r="H45" s="269">
        <f>Data!D51</f>
        <v>-108592</v>
      </c>
      <c r="I45" s="269">
        <f>Data!E51</f>
        <v>-98508</v>
      </c>
      <c r="J45" s="269">
        <f>Data!F51</f>
        <v>-88044</v>
      </c>
      <c r="K45" s="269">
        <f>Data!G51</f>
        <v>0</v>
      </c>
      <c r="L45" s="269">
        <f>Data!H51</f>
        <v>0</v>
      </c>
      <c r="M45" s="269">
        <f>Data!I51</f>
        <v>0</v>
      </c>
      <c r="N45" s="269">
        <f>Data!J51</f>
        <v>0</v>
      </c>
      <c r="O45" s="269">
        <f>Data!K51</f>
        <v>0</v>
      </c>
      <c r="P45" s="269">
        <f>Data!L51</f>
        <v>0</v>
      </c>
      <c r="Q45" s="269" t="str">
        <f>Data!M51</f>
        <v/>
      </c>
    </row>
    <row r="46" spans="1:17" ht="15.75" customHeight="1">
      <c r="A46" s="10"/>
      <c r="B46" s="2" t="s">
        <v>269</v>
      </c>
      <c r="C46" s="269">
        <f>BS!D75*C51</f>
        <v>6977.6303429583331</v>
      </c>
      <c r="E46" s="237"/>
      <c r="G46" s="277">
        <f t="shared" ref="G46:Q46" si="18">IFERROR(IF(G$4="","",($C$46/$C$47)*G47),0)</f>
        <v>33723.354342341772</v>
      </c>
      <c r="H46" s="277">
        <f t="shared" si="18"/>
        <v>32748.924914804331</v>
      </c>
      <c r="I46" s="277">
        <f t="shared" si="18"/>
        <v>28081.350127260372</v>
      </c>
      <c r="J46" s="277">
        <f t="shared" si="18"/>
        <v>5536.465122781352</v>
      </c>
      <c r="K46" s="277">
        <f t="shared" si="18"/>
        <v>0</v>
      </c>
      <c r="L46" s="277">
        <f t="shared" si="18"/>
        <v>0</v>
      </c>
      <c r="M46" s="277">
        <f t="shared" si="18"/>
        <v>0</v>
      </c>
      <c r="N46" s="277">
        <f t="shared" si="18"/>
        <v>0</v>
      </c>
      <c r="O46" s="277">
        <f t="shared" si="18"/>
        <v>0</v>
      </c>
      <c r="P46" s="277">
        <f t="shared" si="18"/>
        <v>0</v>
      </c>
      <c r="Q46" s="277" t="str">
        <f t="shared" si="18"/>
        <v/>
      </c>
    </row>
    <row r="47" spans="1:17" ht="15.75" customHeight="1">
      <c r="A47" s="10"/>
      <c r="B47" s="247" t="s">
        <v>266</v>
      </c>
      <c r="C47" s="281">
        <f>BS!$C$66*C51</f>
        <v>9652.67</v>
      </c>
      <c r="D47" s="248"/>
      <c r="E47" s="249"/>
      <c r="F47" s="248"/>
      <c r="G47" s="281">
        <f>Data!C52</f>
        <v>46652</v>
      </c>
      <c r="H47" s="281">
        <f>Data!D52</f>
        <v>45304</v>
      </c>
      <c r="I47" s="281">
        <f>Data!E52</f>
        <v>38847</v>
      </c>
      <c r="J47" s="281">
        <f>Data!F52</f>
        <v>7659</v>
      </c>
      <c r="K47" s="281">
        <f>Data!G52</f>
        <v>0</v>
      </c>
      <c r="L47" s="281">
        <f>Data!H52</f>
        <v>0</v>
      </c>
      <c r="M47" s="281">
        <f>Data!I52</f>
        <v>0</v>
      </c>
      <c r="N47" s="281">
        <f>Data!J52</f>
        <v>0</v>
      </c>
      <c r="O47" s="281">
        <f>Data!K52</f>
        <v>0</v>
      </c>
      <c r="P47" s="281">
        <f>Data!L52</f>
        <v>0</v>
      </c>
      <c r="Q47" s="281" t="str">
        <f>Data!M52</f>
        <v/>
      </c>
    </row>
    <row r="48" spans="1:17" ht="15.75" customHeight="1">
      <c r="A48" s="10"/>
      <c r="B48" s="66" t="s">
        <v>65</v>
      </c>
      <c r="C48" s="270">
        <f>C45+C46</f>
        <v>-82341.797657041665</v>
      </c>
      <c r="E48" s="237"/>
      <c r="G48" s="270">
        <f>IF(G$4="","",(G45+G46))</f>
        <v>-70391.645657658228</v>
      </c>
      <c r="H48" s="270">
        <f t="shared" ref="H48:Q48" si="19">IF(H$4="","",(H45+H46))</f>
        <v>-75843.075085195669</v>
      </c>
      <c r="I48" s="270">
        <f t="shared" si="19"/>
        <v>-70426.649872739625</v>
      </c>
      <c r="J48" s="270">
        <f t="shared" si="19"/>
        <v>-82507.534877218655</v>
      </c>
      <c r="K48" s="270">
        <f t="shared" si="19"/>
        <v>0</v>
      </c>
      <c r="L48" s="270">
        <f t="shared" si="19"/>
        <v>0</v>
      </c>
      <c r="M48" s="270">
        <f t="shared" si="19"/>
        <v>0</v>
      </c>
      <c r="N48" s="270">
        <f t="shared" si="19"/>
        <v>0</v>
      </c>
      <c r="O48" s="270">
        <f t="shared" si="19"/>
        <v>0</v>
      </c>
      <c r="P48" s="270">
        <f t="shared" si="19"/>
        <v>0</v>
      </c>
      <c r="Q48" s="270" t="str">
        <f t="shared" si="19"/>
        <v/>
      </c>
    </row>
    <row r="49" spans="1:17" ht="15.75" customHeight="1">
      <c r="A49" s="10"/>
      <c r="E49" s="237"/>
    </row>
    <row r="50" spans="1:17" ht="15.75" customHeight="1">
      <c r="A50" s="10"/>
      <c r="B50" s="68" t="s">
        <v>128</v>
      </c>
      <c r="E50" s="237"/>
      <c r="G50" s="93" t="s">
        <v>186</v>
      </c>
    </row>
    <row r="51" spans="1:17" ht="15.75" customHeight="1">
      <c r="A51" s="10"/>
      <c r="B51" s="8" t="s">
        <v>84</v>
      </c>
      <c r="C51" s="83">
        <v>0.01</v>
      </c>
      <c r="E51" s="234"/>
      <c r="G51" s="6">
        <f>IF(Normalized_FCF!G4="","",Normalized_FCF!G47/BS!$C$66)</f>
        <v>4.8330669130924396E-2</v>
      </c>
      <c r="H51" s="150"/>
      <c r="I51" s="150"/>
      <c r="J51" s="150"/>
      <c r="K51" s="150"/>
      <c r="L51" s="150"/>
      <c r="M51" s="150"/>
      <c r="N51" s="150"/>
      <c r="O51" s="150"/>
      <c r="P51" s="150"/>
      <c r="Q51" s="150"/>
    </row>
    <row r="52" spans="1:17" ht="15.75" customHeight="1">
      <c r="A52" s="10"/>
      <c r="B52" s="8" t="s">
        <v>83</v>
      </c>
      <c r="C52" s="78">
        <v>4.3999999999999997E-2</v>
      </c>
      <c r="E52" s="234"/>
      <c r="G52" s="22">
        <f>IFERROR(ABS(Normalized_FCF!G45/BS!$G$31),0)</f>
        <v>5.1288505788460712E-2</v>
      </c>
      <c r="H52" s="150"/>
      <c r="I52" s="150"/>
      <c r="J52" s="150"/>
      <c r="K52" s="150"/>
      <c r="L52" s="150"/>
      <c r="M52" s="150"/>
      <c r="N52" s="150"/>
      <c r="O52" s="150"/>
      <c r="P52" s="150"/>
      <c r="Q52" s="150"/>
    </row>
    <row r="53" spans="1:17" ht="15.75" customHeight="1">
      <c r="A53" s="10"/>
      <c r="B53" s="25" t="s">
        <v>86</v>
      </c>
      <c r="C53" s="40">
        <f>-C8/C45</f>
        <v>4.4771944595499882</v>
      </c>
      <c r="E53" s="237"/>
      <c r="G53" s="40">
        <f t="shared" ref="G53:Q53" si="20">IF(G4="","",-G8/G45)</f>
        <v>3.8242520290063871</v>
      </c>
      <c r="H53" s="40">
        <f t="shared" si="20"/>
        <v>4.4761400471489612</v>
      </c>
      <c r="I53" s="40">
        <f t="shared" si="20"/>
        <v>2.1985016445364844</v>
      </c>
      <c r="J53" s="40">
        <f t="shared" si="20"/>
        <v>1.0094725364590431</v>
      </c>
      <c r="K53" s="40" t="e">
        <f t="shared" si="20"/>
        <v>#DIV/0!</v>
      </c>
      <c r="L53" s="40" t="e">
        <f t="shared" si="20"/>
        <v>#DIV/0!</v>
      </c>
      <c r="M53" s="40" t="e">
        <f t="shared" si="20"/>
        <v>#DIV/0!</v>
      </c>
      <c r="N53" s="40" t="e">
        <f t="shared" si="20"/>
        <v>#DIV/0!</v>
      </c>
      <c r="O53" s="40" t="e">
        <f t="shared" si="20"/>
        <v>#DIV/0!</v>
      </c>
      <c r="P53" s="40" t="e">
        <f t="shared" si="20"/>
        <v>#DIV/0!</v>
      </c>
      <c r="Q53" s="40" t="str">
        <f t="shared" si="20"/>
        <v/>
      </c>
    </row>
    <row r="54" spans="1:17" ht="15.75" customHeight="1">
      <c r="A54" s="10"/>
      <c r="E54" s="237"/>
    </row>
    <row r="55" spans="1:17" ht="15.75" customHeight="1">
      <c r="A55" s="10"/>
      <c r="B55" s="60" t="s">
        <v>137</v>
      </c>
      <c r="E55" s="237"/>
      <c r="G55" s="93" t="s">
        <v>186</v>
      </c>
    </row>
    <row r="56" spans="1:17" ht="15.75" customHeight="1">
      <c r="A56" s="10"/>
      <c r="B56" s="38" t="s">
        <v>136</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132</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131</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161</v>
      </c>
      <c r="C59" s="270">
        <f>SUM(C56:C58)</f>
        <v>0</v>
      </c>
      <c r="E59" s="237"/>
      <c r="G59" s="270">
        <f t="shared" ref="G59:Q59" si="21">IF(G4="","",SUM(G56:G58))</f>
        <v>0</v>
      </c>
      <c r="H59" s="270">
        <f t="shared" si="21"/>
        <v>0</v>
      </c>
      <c r="I59" s="270">
        <f t="shared" si="21"/>
        <v>0</v>
      </c>
      <c r="J59" s="270">
        <f t="shared" si="21"/>
        <v>0</v>
      </c>
      <c r="K59" s="270">
        <f t="shared" si="21"/>
        <v>0</v>
      </c>
      <c r="L59" s="270">
        <f t="shared" si="21"/>
        <v>0</v>
      </c>
      <c r="M59" s="270">
        <f t="shared" si="21"/>
        <v>0</v>
      </c>
      <c r="N59" s="270">
        <f t="shared" si="21"/>
        <v>0</v>
      </c>
      <c r="O59" s="270">
        <f t="shared" si="21"/>
        <v>0</v>
      </c>
      <c r="P59" s="270">
        <f t="shared" si="21"/>
        <v>0</v>
      </c>
      <c r="Q59" s="270" t="str">
        <f t="shared" si="21"/>
        <v/>
      </c>
    </row>
    <row r="60" spans="1:17" ht="15.75" customHeight="1">
      <c r="A60" s="10"/>
      <c r="B60" s="38" t="s">
        <v>133</v>
      </c>
      <c r="C60" s="282">
        <v>0</v>
      </c>
      <c r="E60" s="235" t="s">
        <v>261</v>
      </c>
      <c r="G60" s="269">
        <f>Data!C58</f>
        <v>-73276</v>
      </c>
      <c r="H60" s="269">
        <f>Data!D58</f>
        <v>-33257</v>
      </c>
      <c r="I60" s="269">
        <f>Data!E58</f>
        <v>-12733</v>
      </c>
      <c r="J60" s="269">
        <f>Data!F58</f>
        <v>42296</v>
      </c>
      <c r="K60" s="269">
        <f>Data!G58</f>
        <v>477977</v>
      </c>
      <c r="L60" s="269">
        <f>Data!H58</f>
        <v>-134980</v>
      </c>
      <c r="M60" s="269">
        <f>Data!I58</f>
        <v>32490</v>
      </c>
      <c r="N60" s="269">
        <f>Data!J58</f>
        <v>-2045</v>
      </c>
      <c r="O60" s="269">
        <f>Data!K58</f>
        <v>-13529</v>
      </c>
      <c r="P60" s="269">
        <f>Data!L58</f>
        <v>13450</v>
      </c>
      <c r="Q60" s="269" t="str">
        <f>Data!M58</f>
        <v/>
      </c>
    </row>
    <row r="61" spans="1:17" ht="15.75" customHeight="1">
      <c r="A61" s="10"/>
      <c r="B61" s="30" t="s">
        <v>162</v>
      </c>
      <c r="C61" s="270">
        <f>C59+C60</f>
        <v>0</v>
      </c>
      <c r="E61" s="237"/>
      <c r="G61" s="270">
        <f t="shared" ref="G61:Q61" si="22">IF(G4="","",G59+G60)</f>
        <v>-73276</v>
      </c>
      <c r="H61" s="270">
        <f t="shared" si="22"/>
        <v>-33257</v>
      </c>
      <c r="I61" s="270">
        <f t="shared" si="22"/>
        <v>-12733</v>
      </c>
      <c r="J61" s="270">
        <f t="shared" si="22"/>
        <v>42296</v>
      </c>
      <c r="K61" s="270">
        <f t="shared" si="22"/>
        <v>477977</v>
      </c>
      <c r="L61" s="270">
        <f t="shared" si="22"/>
        <v>-134980</v>
      </c>
      <c r="M61" s="270">
        <f t="shared" si="22"/>
        <v>32490</v>
      </c>
      <c r="N61" s="270">
        <f t="shared" si="22"/>
        <v>-2045</v>
      </c>
      <c r="O61" s="270">
        <f t="shared" si="22"/>
        <v>-13529</v>
      </c>
      <c r="P61" s="270">
        <f t="shared" si="22"/>
        <v>13450</v>
      </c>
      <c r="Q61" s="270" t="str">
        <f t="shared" si="22"/>
        <v/>
      </c>
    </row>
    <row r="62" spans="1:17" ht="15.75" customHeight="1">
      <c r="A62" s="10"/>
      <c r="E62" s="237"/>
    </row>
    <row r="63" spans="1:17" ht="15.75" customHeight="1">
      <c r="A63" s="10"/>
      <c r="B63" s="92" t="s">
        <v>138</v>
      </c>
      <c r="E63" s="237"/>
      <c r="G63" s="93" t="s">
        <v>186</v>
      </c>
    </row>
    <row r="64" spans="1:17" ht="15.75" customHeight="1">
      <c r="A64" s="10"/>
      <c r="B64" s="38" t="s">
        <v>136</v>
      </c>
      <c r="C64" s="157">
        <f>G64</f>
        <v>0</v>
      </c>
      <c r="E64" s="237"/>
      <c r="G64" s="22">
        <f>IFERROR(G56/BS!$C$67,0)</f>
        <v>0</v>
      </c>
      <c r="H64" s="156"/>
      <c r="I64" s="156"/>
      <c r="J64" s="156"/>
      <c r="K64" s="156"/>
      <c r="L64" s="156"/>
      <c r="M64" s="156"/>
      <c r="N64" s="156"/>
      <c r="O64" s="156"/>
      <c r="P64" s="156"/>
      <c r="Q64" s="156"/>
    </row>
    <row r="65" spans="1:17" ht="15.75" customHeight="1">
      <c r="A65" s="10"/>
      <c r="B65" s="101" t="s">
        <v>130</v>
      </c>
      <c r="C65" s="157">
        <f>G65</f>
        <v>0</v>
      </c>
      <c r="E65" s="237"/>
      <c r="G65" s="22">
        <f>IFERROR(G57/BS!$C$68,0)</f>
        <v>0</v>
      </c>
      <c r="H65" s="156"/>
      <c r="I65" s="156"/>
      <c r="J65" s="156"/>
      <c r="K65" s="156"/>
      <c r="L65" s="156"/>
      <c r="M65" s="156"/>
      <c r="N65" s="156"/>
      <c r="O65" s="156"/>
      <c r="P65" s="156"/>
      <c r="Q65" s="156"/>
    </row>
    <row r="66" spans="1:17" ht="15.75" customHeight="1">
      <c r="A66" s="10"/>
      <c r="B66" s="101" t="s">
        <v>131</v>
      </c>
      <c r="C66" s="157">
        <f>G66</f>
        <v>0</v>
      </c>
      <c r="E66" s="237"/>
      <c r="G66" s="22">
        <f>IFERROR(G58/BS!$C$69,0)</f>
        <v>0</v>
      </c>
      <c r="H66" s="156"/>
      <c r="I66" s="156"/>
      <c r="J66" s="156"/>
      <c r="K66" s="156"/>
      <c r="L66" s="156"/>
      <c r="M66" s="156"/>
      <c r="N66" s="156"/>
      <c r="O66" s="156"/>
      <c r="P66" s="156"/>
      <c r="Q66" s="156"/>
    </row>
    <row r="67" spans="1:17" ht="15.75" customHeight="1">
      <c r="A67" s="10"/>
      <c r="B67" s="30" t="s">
        <v>161</v>
      </c>
      <c r="C67" s="67">
        <f>C59/BS!C70</f>
        <v>0</v>
      </c>
      <c r="D67" s="9"/>
      <c r="E67" s="242"/>
      <c r="F67" s="9"/>
      <c r="G67" s="67">
        <f>G59/BS!C70</f>
        <v>0</v>
      </c>
      <c r="H67" s="156"/>
      <c r="I67" s="156"/>
      <c r="J67" s="156"/>
      <c r="K67" s="156"/>
      <c r="L67" s="156"/>
      <c r="M67" s="156"/>
      <c r="N67" s="156"/>
      <c r="O67" s="156"/>
      <c r="P67" s="156"/>
      <c r="Q67" s="156"/>
    </row>
    <row r="68" spans="1:17" ht="15.75" customHeight="1">
      <c r="A68" s="10"/>
    </row>
    <row r="69" spans="1:17" ht="15.75" customHeight="1">
      <c r="A69" s="10"/>
      <c r="B69" s="51" t="s">
        <v>179</v>
      </c>
      <c r="C69" s="51"/>
      <c r="D69" s="53"/>
      <c r="E69" s="62" t="s">
        <v>56</v>
      </c>
      <c r="F69" s="53"/>
      <c r="G69" s="35"/>
      <c r="H69" s="35"/>
      <c r="I69" s="35"/>
      <c r="J69" s="35"/>
      <c r="K69" s="35"/>
      <c r="L69" s="35"/>
      <c r="M69" s="35"/>
      <c r="N69" s="35"/>
      <c r="O69" s="35"/>
      <c r="P69" s="35"/>
      <c r="Q69" s="35"/>
    </row>
    <row r="70" spans="1:17" ht="15.75" customHeight="1">
      <c r="A70" s="10"/>
      <c r="B70" s="68" t="s">
        <v>183</v>
      </c>
      <c r="C70" s="59"/>
      <c r="D70" s="26"/>
      <c r="E70" s="234"/>
      <c r="F70" s="26"/>
      <c r="G70" s="93"/>
      <c r="H70" s="12"/>
      <c r="I70" s="12"/>
      <c r="J70" s="12"/>
      <c r="K70" s="12"/>
      <c r="L70" s="12"/>
      <c r="M70" s="12"/>
      <c r="N70" s="12"/>
      <c r="O70" s="12"/>
      <c r="P70" s="12"/>
      <c r="Q70" s="12"/>
    </row>
    <row r="71" spans="1:17" ht="15.75" customHeight="1">
      <c r="A71" s="10"/>
      <c r="B71" s="2" t="s">
        <v>43</v>
      </c>
      <c r="C71" s="73">
        <f t="shared" ref="C71:C75" si="23">ABS(C5/C$4)</f>
        <v>0.89561620465585323</v>
      </c>
      <c r="D71" s="26"/>
      <c r="E71" s="234"/>
      <c r="F71" s="26"/>
      <c r="G71" s="6">
        <f t="shared" ref="G71:Q71" si="24">IF(G$4="","",ABS(G5/G$4))</f>
        <v>0.89581909726262465</v>
      </c>
      <c r="H71" s="6">
        <f t="shared" si="24"/>
        <v>0.88617709199006978</v>
      </c>
      <c r="I71" s="6">
        <f t="shared" si="24"/>
        <v>0.9124320604423406</v>
      </c>
      <c r="J71" s="6">
        <f t="shared" si="24"/>
        <v>0.92705566423612551</v>
      </c>
      <c r="K71" s="6">
        <f t="shared" si="24"/>
        <v>0.94412068055204934</v>
      </c>
      <c r="L71" s="6">
        <f t="shared" si="24"/>
        <v>0.90824524679279939</v>
      </c>
      <c r="M71" s="6">
        <f t="shared" si="24"/>
        <v>0.86611329588599228</v>
      </c>
      <c r="N71" s="6">
        <f t="shared" si="24"/>
        <v>0.87634286687980478</v>
      </c>
      <c r="O71" s="6">
        <f t="shared" si="24"/>
        <v>0.86614503736544779</v>
      </c>
      <c r="P71" s="6">
        <f t="shared" si="24"/>
        <v>0.86194691388174405</v>
      </c>
      <c r="Q71" s="6" t="str">
        <f t="shared" si="24"/>
        <v/>
      </c>
    </row>
    <row r="72" spans="1:17" ht="15.75" customHeight="1">
      <c r="A72" s="10"/>
      <c r="B72" s="30" t="s">
        <v>45</v>
      </c>
      <c r="C72" s="74">
        <f t="shared" si="23"/>
        <v>0.10438379534414682</v>
      </c>
      <c r="D72" s="26"/>
      <c r="E72" s="234"/>
      <c r="F72" s="26"/>
      <c r="G72" s="61">
        <f t="shared" ref="G72:Q72" si="25">IF(G$4="","",ABS(G6/G$4))</f>
        <v>0.10418090273737537</v>
      </c>
      <c r="H72" s="61">
        <f t="shared" si="25"/>
        <v>0.11382290800993022</v>
      </c>
      <c r="I72" s="61">
        <f t="shared" si="25"/>
        <v>8.7567939557659458E-2</v>
      </c>
      <c r="J72" s="61">
        <f t="shared" si="25"/>
        <v>7.2944335763874504E-2</v>
      </c>
      <c r="K72" s="61">
        <f t="shared" si="25"/>
        <v>5.5879319447950666E-2</v>
      </c>
      <c r="L72" s="61">
        <f t="shared" si="25"/>
        <v>9.1754753207200668E-2</v>
      </c>
      <c r="M72" s="61">
        <f t="shared" si="25"/>
        <v>0.13388670411400769</v>
      </c>
      <c r="N72" s="61">
        <f t="shared" si="25"/>
        <v>0.12365713312019522</v>
      </c>
      <c r="O72" s="61">
        <f t="shared" si="25"/>
        <v>0.13385496263455221</v>
      </c>
      <c r="P72" s="61">
        <f t="shared" si="25"/>
        <v>0.13805308611825601</v>
      </c>
      <c r="Q72" s="61" t="str">
        <f t="shared" si="25"/>
        <v/>
      </c>
    </row>
    <row r="73" spans="1:17" ht="15.75" customHeight="1">
      <c r="A73" s="10"/>
      <c r="B73" s="8" t="s">
        <v>42</v>
      </c>
      <c r="C73" s="73">
        <f t="shared" si="23"/>
        <v>5.7711800345388718E-2</v>
      </c>
      <c r="D73" s="26"/>
      <c r="E73" s="234"/>
      <c r="F73" s="26"/>
      <c r="G73" s="6">
        <f t="shared" ref="G73:Q73" si="26">IF(G$4="","",ABS(G7/G$4))</f>
        <v>5.7711800345388718E-2</v>
      </c>
      <c r="H73" s="6">
        <f t="shared" si="26"/>
        <v>5.7897480615717818E-2</v>
      </c>
      <c r="I73" s="6">
        <f t="shared" si="26"/>
        <v>6.0577808396863227E-2</v>
      </c>
      <c r="J73" s="6">
        <f t="shared" si="26"/>
        <v>6.1107749848743197E-2</v>
      </c>
      <c r="K73" s="6">
        <f t="shared" si="26"/>
        <v>6.8901017313164309E-2</v>
      </c>
      <c r="L73" s="6">
        <f t="shared" si="26"/>
        <v>6.0455624237655277E-2</v>
      </c>
      <c r="M73" s="6">
        <f t="shared" si="26"/>
        <v>5.2718880163524738E-2</v>
      </c>
      <c r="N73" s="6">
        <f t="shared" si="26"/>
        <v>5.444372575690317E-2</v>
      </c>
      <c r="O73" s="6">
        <f t="shared" si="26"/>
        <v>5.4540178653982606E-2</v>
      </c>
      <c r="P73" s="6">
        <f t="shared" si="26"/>
        <v>5.6829522664729883E-2</v>
      </c>
      <c r="Q73" s="6" t="str">
        <f t="shared" si="26"/>
        <v/>
      </c>
    </row>
    <row r="74" spans="1:17" ht="15.75" customHeight="1">
      <c r="A74" s="10"/>
      <c r="B74" s="28" t="s">
        <v>125</v>
      </c>
      <c r="C74" s="74">
        <f>SUM(C75:C77)</f>
        <v>4.6671994998758098E-2</v>
      </c>
      <c r="D74" s="26"/>
      <c r="E74" s="234"/>
      <c r="F74" s="26"/>
      <c r="G74" s="61">
        <f t="shared" ref="G74:Q74" si="27">IF(G$4="","",ABS(G8/G$4))</f>
        <v>4.6469102391986664E-2</v>
      </c>
      <c r="H74" s="61">
        <f t="shared" si="27"/>
        <v>5.5925427394212406E-2</v>
      </c>
      <c r="I74" s="61">
        <f t="shared" si="27"/>
        <v>2.6990131160796228E-2</v>
      </c>
      <c r="J74" s="61">
        <f t="shared" si="27"/>
        <v>1.1836585915131315E-2</v>
      </c>
      <c r="K74" s="61">
        <f t="shared" si="27"/>
        <v>1.3021697865213639E-2</v>
      </c>
      <c r="L74" s="61">
        <f t="shared" si="27"/>
        <v>3.1299128969545391E-2</v>
      </c>
      <c r="M74" s="61">
        <f t="shared" si="27"/>
        <v>8.1167823950482956E-2</v>
      </c>
      <c r="N74" s="61">
        <f t="shared" si="27"/>
        <v>6.921340736329204E-2</v>
      </c>
      <c r="O74" s="61">
        <f t="shared" si="27"/>
        <v>7.9314783980569611E-2</v>
      </c>
      <c r="P74" s="61">
        <f t="shared" si="27"/>
        <v>8.1223563453526118E-2</v>
      </c>
      <c r="Q74" s="61" t="str">
        <f t="shared" si="27"/>
        <v/>
      </c>
    </row>
    <row r="75" spans="1:17" ht="15.75" customHeight="1">
      <c r="A75" s="10"/>
      <c r="B75" s="26" t="s">
        <v>126</v>
      </c>
      <c r="C75" s="73">
        <f t="shared" si="23"/>
        <v>0</v>
      </c>
      <c r="D75" s="26"/>
      <c r="E75" s="234"/>
      <c r="F75" s="26"/>
      <c r="G75" s="6">
        <f t="shared" ref="G75:Q75" si="28">IF(G$4="","",G9/G$4)</f>
        <v>0</v>
      </c>
      <c r="H75" s="6">
        <f t="shared" si="28"/>
        <v>0</v>
      </c>
      <c r="I75" s="6">
        <f t="shared" si="28"/>
        <v>0</v>
      </c>
      <c r="J75" s="6">
        <f t="shared" si="28"/>
        <v>0</v>
      </c>
      <c r="K75" s="6">
        <f t="shared" si="28"/>
        <v>0</v>
      </c>
      <c r="L75" s="6">
        <f t="shared" si="28"/>
        <v>0</v>
      </c>
      <c r="M75" s="6">
        <f t="shared" si="28"/>
        <v>0</v>
      </c>
      <c r="N75" s="6">
        <f t="shared" si="28"/>
        <v>0</v>
      </c>
      <c r="O75" s="6">
        <f t="shared" si="28"/>
        <v>0</v>
      </c>
      <c r="P75" s="6">
        <f t="shared" si="28"/>
        <v>0</v>
      </c>
      <c r="Q75" s="6" t="str">
        <f t="shared" si="28"/>
        <v/>
      </c>
    </row>
    <row r="76" spans="1:17" ht="15.75" customHeight="1">
      <c r="A76" s="10"/>
      <c r="B76" s="2" t="s">
        <v>65</v>
      </c>
      <c r="C76" s="73">
        <f>ABS(C10/C$4)</f>
        <v>9.6100316616485673E-3</v>
      </c>
      <c r="D76" s="26"/>
      <c r="E76" s="234" t="s">
        <v>548</v>
      </c>
      <c r="F76" s="26"/>
      <c r="G76" s="6">
        <f t="shared" ref="G76:Q76" si="29">IF(G$4="","",ABS(G10/G$4))</f>
        <v>8.215340965753045E-3</v>
      </c>
      <c r="H76" s="6">
        <f t="shared" si="29"/>
        <v>8.7261715607139471E-3</v>
      </c>
      <c r="I76" s="6">
        <f t="shared" si="29"/>
        <v>8.7769521045422509E-3</v>
      </c>
      <c r="J76" s="6">
        <f t="shared" si="29"/>
        <v>1.0988180710860865E-2</v>
      </c>
      <c r="K76" s="6">
        <f t="shared" si="29"/>
        <v>0</v>
      </c>
      <c r="L76" s="6">
        <f t="shared" si="29"/>
        <v>0</v>
      </c>
      <c r="M76" s="6">
        <f t="shared" si="29"/>
        <v>0</v>
      </c>
      <c r="N76" s="6">
        <f t="shared" si="29"/>
        <v>0</v>
      </c>
      <c r="O76" s="6">
        <f t="shared" si="29"/>
        <v>0</v>
      </c>
      <c r="P76" s="6">
        <f t="shared" si="29"/>
        <v>0</v>
      </c>
      <c r="Q76" s="6" t="str">
        <f t="shared" si="29"/>
        <v/>
      </c>
    </row>
    <row r="77" spans="1:17" ht="15.75" customHeight="1">
      <c r="A77" s="10"/>
      <c r="B77" s="66" t="s">
        <v>135</v>
      </c>
      <c r="C77" s="74">
        <f>C116</f>
        <v>3.7061963337109531E-2</v>
      </c>
      <c r="D77" s="26"/>
      <c r="E77" s="234"/>
      <c r="F77" s="26"/>
      <c r="G77" s="61">
        <f t="shared" ref="G77:Q77" si="30">IF(G$4="","",G11/G$4)</f>
        <v>3.8253761426233622E-2</v>
      </c>
      <c r="H77" s="61">
        <f t="shared" si="30"/>
        <v>4.719925583349846E-2</v>
      </c>
      <c r="I77" s="61">
        <f t="shared" si="30"/>
        <v>1.8213179056253977E-2</v>
      </c>
      <c r="J77" s="61">
        <f t="shared" si="30"/>
        <v>8.4840520427044875E-4</v>
      </c>
      <c r="K77" s="61">
        <f t="shared" si="30"/>
        <v>-1.3021697865213639E-2</v>
      </c>
      <c r="L77" s="61">
        <f t="shared" si="30"/>
        <v>3.1299128969545391E-2</v>
      </c>
      <c r="M77" s="61">
        <f t="shared" si="30"/>
        <v>8.1167823950482956E-2</v>
      </c>
      <c r="N77" s="61">
        <f t="shared" si="30"/>
        <v>6.921340736329204E-2</v>
      </c>
      <c r="O77" s="61">
        <f t="shared" si="30"/>
        <v>7.9314783980569611E-2</v>
      </c>
      <c r="P77" s="61">
        <f t="shared" si="30"/>
        <v>8.1223563453526118E-2</v>
      </c>
      <c r="Q77" s="61" t="str">
        <f t="shared" si="30"/>
        <v/>
      </c>
    </row>
    <row r="78" spans="1:17" ht="15.75" customHeight="1">
      <c r="A78" s="10"/>
      <c r="B78" s="2" t="s">
        <v>60</v>
      </c>
      <c r="C78" s="73">
        <f>ABS(C12/C$4)</f>
        <v>6.1152239506230737E-3</v>
      </c>
      <c r="D78" s="26"/>
      <c r="E78" s="234"/>
      <c r="F78" s="26"/>
      <c r="G78" s="6">
        <f t="shared" ref="G78:Q78" si="31">IF(G$4="","",ABS(G12/G$4))</f>
        <v>3.7711023063222333E-3</v>
      </c>
      <c r="H78" s="6">
        <f t="shared" si="31"/>
        <v>6.4791267831175213E-3</v>
      </c>
      <c r="I78" s="6">
        <f t="shared" si="31"/>
        <v>4.1112685822759691E-3</v>
      </c>
      <c r="J78" s="6">
        <f t="shared" si="31"/>
        <v>3.7208575112272304E-3</v>
      </c>
      <c r="K78" s="6">
        <f t="shared" si="31"/>
        <v>4.4675097981831191E-3</v>
      </c>
      <c r="L78" s="6">
        <f t="shared" si="31"/>
        <v>5.0070971130955705E-3</v>
      </c>
      <c r="M78" s="6">
        <f t="shared" si="31"/>
        <v>1.5282762901254939E-2</v>
      </c>
      <c r="N78" s="6">
        <f t="shared" si="31"/>
        <v>1.4470538300132698E-2</v>
      </c>
      <c r="O78" s="6">
        <f t="shared" si="31"/>
        <v>1.3784469723740643E-2</v>
      </c>
      <c r="P78" s="6">
        <f t="shared" si="31"/>
        <v>1.4565935825993739E-2</v>
      </c>
      <c r="Q78" s="6" t="str">
        <f t="shared" si="31"/>
        <v/>
      </c>
    </row>
    <row r="79" spans="1:17" ht="15.75" customHeight="1">
      <c r="A79" s="10"/>
      <c r="B79" s="38" t="str">
        <f>B13</f>
        <v>NCI’s Share of Profits</v>
      </c>
      <c r="C79" s="233">
        <f>MIN(BS!C62,MAX(G81:K81))</f>
        <v>3.4327181182608169E-3</v>
      </c>
      <c r="D79" s="26"/>
      <c r="E79" s="234"/>
      <c r="F79" s="26"/>
      <c r="G79" s="6">
        <f t="shared" ref="G79:Q79" si="32">IF(G$4="","",-G13/G$4)</f>
        <v>2.7625028345706632E-4</v>
      </c>
      <c r="H79" s="6">
        <f t="shared" si="32"/>
        <v>3.176685498586024E-4</v>
      </c>
      <c r="I79" s="6">
        <f t="shared" si="32"/>
        <v>1.0393761549662489E-4</v>
      </c>
      <c r="J79" s="6">
        <f t="shared" si="32"/>
        <v>2.1787905395210096E-4</v>
      </c>
      <c r="K79" s="6">
        <f t="shared" si="32"/>
        <v>2.1149032915788871E-4</v>
      </c>
      <c r="L79" s="6">
        <f t="shared" si="32"/>
        <v>9.4435619709266379E-5</v>
      </c>
      <c r="M79" s="6">
        <f t="shared" si="32"/>
        <v>2.1486050608420201E-4</v>
      </c>
      <c r="N79" s="6">
        <f t="shared" si="32"/>
        <v>1.4713911136757617E-4</v>
      </c>
      <c r="O79" s="6">
        <f t="shared" si="32"/>
        <v>2.9131395512903816E-6</v>
      </c>
      <c r="P79" s="6">
        <f t="shared" si="32"/>
        <v>0</v>
      </c>
      <c r="Q79" s="6" t="str">
        <f t="shared" si="32"/>
        <v/>
      </c>
    </row>
    <row r="80" spans="1:17" ht="15.75" customHeight="1">
      <c r="A80" s="10"/>
      <c r="B80" s="39" t="s">
        <v>127</v>
      </c>
      <c r="C80" s="74">
        <f>ABS(C14/C$4)</f>
        <v>2.7514021268225643E-2</v>
      </c>
      <c r="D80" s="26"/>
      <c r="E80" s="234"/>
      <c r="F80" s="26"/>
      <c r="G80" s="61">
        <f t="shared" ref="G80:Q80" si="33">IF(G$4="","",ABS(G14/G$4))</f>
        <v>3.4206408836454323E-2</v>
      </c>
      <c r="H80" s="61">
        <f t="shared" si="33"/>
        <v>4.0402460500522333E-2</v>
      </c>
      <c r="I80" s="61">
        <f t="shared" si="33"/>
        <v>1.3997972858481381E-2</v>
      </c>
      <c r="J80" s="61">
        <f t="shared" si="33"/>
        <v>3.0903313609088826E-3</v>
      </c>
      <c r="K80" s="61">
        <f t="shared" si="33"/>
        <v>1.7700697992554647E-2</v>
      </c>
      <c r="L80" s="61">
        <f t="shared" si="33"/>
        <v>2.6197596236740554E-2</v>
      </c>
      <c r="M80" s="61">
        <f t="shared" si="33"/>
        <v>6.567020054314382E-2</v>
      </c>
      <c r="N80" s="61">
        <f t="shared" si="33"/>
        <v>5.4595729951791766E-2</v>
      </c>
      <c r="O80" s="61">
        <f t="shared" si="33"/>
        <v>6.5527401117277673E-2</v>
      </c>
      <c r="P80" s="61">
        <f t="shared" si="33"/>
        <v>6.6657627627532384E-2</v>
      </c>
      <c r="Q80" s="61" t="str">
        <f t="shared" si="33"/>
        <v/>
      </c>
    </row>
    <row r="81" spans="1:17" ht="15.75" customHeight="1">
      <c r="A81" s="10"/>
      <c r="B81" s="2" t="s">
        <v>62</v>
      </c>
      <c r="C81" s="73">
        <f>ABS(C15/C$4)</f>
        <v>4.4171218221734795E-2</v>
      </c>
      <c r="D81" s="26"/>
      <c r="E81" s="234"/>
      <c r="F81" s="26"/>
      <c r="G81" s="6">
        <f t="shared" ref="G81:Q81" si="34">IF(G$4="","",G15/G$4)</f>
        <v>4.4171218221734795E-2</v>
      </c>
      <c r="H81" s="6">
        <f t="shared" si="34"/>
        <v>4.5353772426208791E-2</v>
      </c>
      <c r="I81" s="6">
        <f t="shared" si="34"/>
        <v>0</v>
      </c>
      <c r="J81" s="6">
        <f t="shared" si="34"/>
        <v>0</v>
      </c>
      <c r="K81" s="6">
        <f t="shared" si="34"/>
        <v>0</v>
      </c>
      <c r="L81" s="6">
        <f t="shared" si="34"/>
        <v>0</v>
      </c>
      <c r="M81" s="6">
        <f t="shared" si="34"/>
        <v>0</v>
      </c>
      <c r="N81" s="6">
        <f t="shared" si="34"/>
        <v>0</v>
      </c>
      <c r="O81" s="6">
        <f t="shared" si="34"/>
        <v>0</v>
      </c>
      <c r="P81" s="6">
        <f t="shared" si="34"/>
        <v>0</v>
      </c>
      <c r="Q81" s="6" t="str">
        <f t="shared" si="34"/>
        <v/>
      </c>
    </row>
    <row r="82" spans="1:17" ht="15.75" customHeight="1">
      <c r="A82" s="10"/>
      <c r="B82" s="2" t="s">
        <v>77</v>
      </c>
      <c r="C82" s="84">
        <f>MAX(AVERAGE(G76:J76),C81)</f>
        <v>4.4171218221734795E-2</v>
      </c>
      <c r="D82" s="26"/>
      <c r="E82" s="235"/>
      <c r="F82" s="26"/>
      <c r="G82" s="6">
        <f t="shared" ref="G82:Q82" si="35">IF(G$4="","",-G16/G$4)</f>
        <v>3.5604308290647979E-2</v>
      </c>
      <c r="H82" s="6">
        <f t="shared" si="35"/>
        <v>3.639876388850697E-2</v>
      </c>
      <c r="I82" s="6">
        <f t="shared" si="35"/>
        <v>0</v>
      </c>
      <c r="J82" s="6">
        <f t="shared" si="35"/>
        <v>0</v>
      </c>
      <c r="K82" s="6">
        <f t="shared" si="35"/>
        <v>0</v>
      </c>
      <c r="L82" s="6">
        <f t="shared" si="35"/>
        <v>0</v>
      </c>
      <c r="M82" s="6">
        <f t="shared" si="35"/>
        <v>0</v>
      </c>
      <c r="N82" s="6">
        <f t="shared" si="35"/>
        <v>0</v>
      </c>
      <c r="O82" s="6">
        <f t="shared" si="35"/>
        <v>0</v>
      </c>
      <c r="P82" s="6">
        <f t="shared" si="35"/>
        <v>0</v>
      </c>
      <c r="Q82" s="6" t="str">
        <f t="shared" si="35"/>
        <v/>
      </c>
    </row>
    <row r="83" spans="1:17" ht="15.75" customHeight="1">
      <c r="A83" s="10"/>
      <c r="B83" s="26" t="s">
        <v>49</v>
      </c>
      <c r="C83" s="233">
        <v>0</v>
      </c>
      <c r="D83" s="26"/>
      <c r="E83" s="236" t="str">
        <f>E17</f>
        <v>WCInv is by default excluded</v>
      </c>
      <c r="F83" s="26"/>
      <c r="G83" s="202"/>
      <c r="H83" s="202"/>
      <c r="I83" s="202"/>
      <c r="J83" s="202"/>
      <c r="K83" s="202"/>
      <c r="L83" s="202"/>
      <c r="M83" s="202"/>
      <c r="N83" s="202"/>
      <c r="O83" s="202"/>
      <c r="P83" s="202"/>
      <c r="Q83" s="202"/>
    </row>
    <row r="84" spans="1:17" ht="15.75" customHeight="1">
      <c r="A84" s="10"/>
      <c r="B84" s="8" t="s">
        <v>92</v>
      </c>
      <c r="C84" s="73">
        <v>0</v>
      </c>
      <c r="E84" s="236" t="str">
        <f>E18</f>
        <v>Net borrowing is excluded</v>
      </c>
      <c r="G84" s="150"/>
      <c r="H84" s="150"/>
      <c r="I84" s="150"/>
      <c r="J84" s="150"/>
      <c r="K84" s="150"/>
      <c r="L84" s="150"/>
      <c r="M84" s="150"/>
      <c r="N84" s="150"/>
      <c r="O84" s="150"/>
      <c r="P84" s="150"/>
      <c r="Q84" s="150"/>
    </row>
    <row r="85" spans="1:17" ht="15.75" customHeight="1">
      <c r="A85" s="10"/>
      <c r="B85" s="30" t="s">
        <v>115</v>
      </c>
      <c r="C85" s="74">
        <f>ABS(C19/C$4)</f>
        <v>2.7514021268225643E-2</v>
      </c>
      <c r="D85" s="71"/>
      <c r="E85" s="234"/>
      <c r="F85" s="71"/>
      <c r="G85" s="61">
        <f t="shared" ref="G85:Q85" si="36">IF(G$4="","",ABS(G19/G$4))</f>
        <v>3.4206408836454323E-2</v>
      </c>
      <c r="H85" s="61">
        <f t="shared" si="36"/>
        <v>4.0402460500522333E-2</v>
      </c>
      <c r="I85" s="61">
        <f t="shared" si="36"/>
        <v>1.3997972858481381E-2</v>
      </c>
      <c r="J85" s="61">
        <f t="shared" si="36"/>
        <v>3.0903313609088826E-3</v>
      </c>
      <c r="K85" s="61">
        <f t="shared" si="36"/>
        <v>1.7700697992554647E-2</v>
      </c>
      <c r="L85" s="61">
        <f t="shared" si="36"/>
        <v>2.6197596236740554E-2</v>
      </c>
      <c r="M85" s="61">
        <f t="shared" si="36"/>
        <v>6.567020054314382E-2</v>
      </c>
      <c r="N85" s="61">
        <f t="shared" si="36"/>
        <v>5.4595729951791766E-2</v>
      </c>
      <c r="O85" s="61">
        <f t="shared" si="36"/>
        <v>6.5527401117277673E-2</v>
      </c>
      <c r="P85" s="61">
        <f t="shared" si="36"/>
        <v>6.6657627627532384E-2</v>
      </c>
      <c r="Q85" s="61" t="str">
        <f t="shared" si="36"/>
        <v/>
      </c>
    </row>
    <row r="86" spans="1:17" ht="15.75" customHeight="1">
      <c r="A86" s="10"/>
      <c r="E86" s="237"/>
    </row>
    <row r="87" spans="1:17" ht="15.75" customHeight="1">
      <c r="A87" s="10"/>
      <c r="B87" s="60" t="s">
        <v>181</v>
      </c>
      <c r="E87" s="237"/>
    </row>
    <row r="88" spans="1:17" ht="15.75" customHeight="1">
      <c r="A88" s="10"/>
      <c r="B88" s="2" t="str">
        <f>"Dividend per share ("&amp;Market_currency&amp;")"</f>
        <v>Dividend per share (HKD)</v>
      </c>
      <c r="C88" s="109">
        <f>0.1+0.2</f>
        <v>0.30000000000000004</v>
      </c>
      <c r="E88" s="237"/>
      <c r="G88" s="108">
        <f>Data!C65</f>
        <v>0.35</v>
      </c>
      <c r="H88" s="108">
        <f>Data!D65</f>
        <v>0.56999999999999995</v>
      </c>
      <c r="I88" s="108">
        <f>Data!E65</f>
        <v>0.38</v>
      </c>
      <c r="J88" s="108">
        <f>Data!F65</f>
        <v>0.38</v>
      </c>
      <c r="K88" s="108">
        <f>Data!G65</f>
        <v>0</v>
      </c>
      <c r="L88" s="108">
        <f>Data!H65</f>
        <v>0</v>
      </c>
      <c r="M88" s="108">
        <f>Data!I65</f>
        <v>0</v>
      </c>
      <c r="N88" s="108">
        <f>Data!J65</f>
        <v>0</v>
      </c>
      <c r="O88" s="108">
        <f>Data!K65</f>
        <v>0</v>
      </c>
      <c r="P88" s="108">
        <f>Data!L65</f>
        <v>0</v>
      </c>
      <c r="Q88" s="108" t="str">
        <f>Data!M65</f>
        <v/>
      </c>
    </row>
    <row r="89" spans="1:17" ht="15.75" customHeight="1">
      <c r="A89" s="10"/>
      <c r="B89" s="2" t="str">
        <f>"Dividend ("&amp;Market_currency&amp;")"</f>
        <v>Dividend (HKD)</v>
      </c>
      <c r="C89" s="70">
        <f>C88*Common_Shares/scaling_factor</f>
        <v>174001.20990000005</v>
      </c>
      <c r="E89" s="237"/>
      <c r="G89" s="70">
        <f t="shared" ref="G89:Q89" si="37">IF(G$4="","",G88*Common_Shares/scaling_factor)</f>
        <v>203001.41154999999</v>
      </c>
      <c r="H89" s="70">
        <f t="shared" si="37"/>
        <v>330602.29880999995</v>
      </c>
      <c r="I89" s="70">
        <f t="shared" si="37"/>
        <v>220401.53253999999</v>
      </c>
      <c r="J89" s="70">
        <f t="shared" si="37"/>
        <v>220401.53253999999</v>
      </c>
      <c r="K89" s="70">
        <f t="shared" si="37"/>
        <v>0</v>
      </c>
      <c r="L89" s="70">
        <f t="shared" si="37"/>
        <v>0</v>
      </c>
      <c r="M89" s="70">
        <f t="shared" si="37"/>
        <v>0</v>
      </c>
      <c r="N89" s="70">
        <f t="shared" si="37"/>
        <v>0</v>
      </c>
      <c r="O89" s="70">
        <f t="shared" si="37"/>
        <v>0</v>
      </c>
      <c r="P89" s="70">
        <f t="shared" si="37"/>
        <v>0</v>
      </c>
      <c r="Q89" s="70" t="str">
        <f t="shared" si="37"/>
        <v/>
      </c>
    </row>
    <row r="90" spans="1:17" ht="15.75" customHeight="1">
      <c r="A90" s="10"/>
      <c r="B90" s="2" t="s">
        <v>180</v>
      </c>
      <c r="C90" s="22">
        <f>C88/(C19*scaling_factor/Common_Shares)</f>
        <v>0.7380787025912986</v>
      </c>
      <c r="E90" s="237"/>
      <c r="G90" s="151">
        <f t="shared" ref="G90:Q90" si="38">IF(G$4="","",G88/(G19*scaling_factor/Common_Shares))</f>
        <v>0.69262162988569997</v>
      </c>
      <c r="H90" s="151">
        <f t="shared" si="38"/>
        <v>0.94146866207713575</v>
      </c>
      <c r="I90" s="151">
        <f t="shared" si="38"/>
        <v>1.9622582398495221</v>
      </c>
      <c r="J90" s="151">
        <f t="shared" si="38"/>
        <v>-9.4982094537211346</v>
      </c>
      <c r="K90" s="151">
        <f t="shared" si="38"/>
        <v>0</v>
      </c>
      <c r="L90" s="151">
        <f t="shared" si="38"/>
        <v>0</v>
      </c>
      <c r="M90" s="151">
        <f t="shared" si="38"/>
        <v>0</v>
      </c>
      <c r="N90" s="151">
        <f t="shared" si="38"/>
        <v>0</v>
      </c>
      <c r="O90" s="151">
        <f t="shared" si="38"/>
        <v>0</v>
      </c>
      <c r="P90" s="151">
        <f t="shared" si="38"/>
        <v>0</v>
      </c>
      <c r="Q90" s="151" t="str">
        <f t="shared" si="38"/>
        <v/>
      </c>
    </row>
    <row r="91" spans="1:17" ht="15.75" customHeight="1">
      <c r="A91" s="10"/>
      <c r="B91" s="2" t="s">
        <v>328</v>
      </c>
      <c r="C91" s="295">
        <v>0</v>
      </c>
      <c r="E91" s="237"/>
      <c r="G91" s="296"/>
      <c r="H91" s="296"/>
      <c r="I91" s="296"/>
      <c r="J91" s="296"/>
      <c r="K91" s="296"/>
      <c r="L91" s="296"/>
      <c r="M91" s="296"/>
      <c r="N91" s="296"/>
      <c r="O91" s="296"/>
      <c r="P91" s="296"/>
      <c r="Q91" s="296"/>
    </row>
    <row r="92" spans="1:17" ht="15.75" customHeight="1">
      <c r="A92" s="10"/>
      <c r="B92" s="2" t="s">
        <v>327</v>
      </c>
      <c r="C92" s="22">
        <f>(C88*(1-dividend_tax_rate))/Market_Price</f>
        <v>6.3291139240506333E-2</v>
      </c>
      <c r="E92" s="237"/>
      <c r="G92" s="22">
        <f t="shared" ref="G92:Q92" si="39">IF(G$4="","",(G88*(1-dividend_tax_rate))/Market_Price)</f>
        <v>7.383966244725737E-2</v>
      </c>
      <c r="H92" s="22">
        <f t="shared" si="39"/>
        <v>0.12025316455696201</v>
      </c>
      <c r="I92" s="22">
        <f t="shared" si="39"/>
        <v>8.0168776371308009E-2</v>
      </c>
      <c r="J92" s="22">
        <f t="shared" si="39"/>
        <v>8.0168776371308009E-2</v>
      </c>
      <c r="K92" s="22">
        <f t="shared" si="39"/>
        <v>0</v>
      </c>
      <c r="L92" s="22">
        <f t="shared" si="39"/>
        <v>0</v>
      </c>
      <c r="M92" s="22">
        <f t="shared" si="39"/>
        <v>0</v>
      </c>
      <c r="N92" s="22">
        <f t="shared" si="39"/>
        <v>0</v>
      </c>
      <c r="O92" s="22">
        <f t="shared" si="39"/>
        <v>0</v>
      </c>
      <c r="P92" s="22">
        <f t="shared" si="39"/>
        <v>0</v>
      </c>
      <c r="Q92" s="22" t="str">
        <f t="shared" si="39"/>
        <v/>
      </c>
    </row>
    <row r="93" spans="1:17" ht="15.75" customHeight="1">
      <c r="A93" s="10"/>
      <c r="E93" s="237"/>
    </row>
    <row r="94" spans="1:17" ht="15.75" customHeight="1">
      <c r="A94" s="10"/>
      <c r="B94" s="142" t="s">
        <v>80</v>
      </c>
      <c r="C94" s="59"/>
      <c r="D94" s="26"/>
      <c r="E94" s="234"/>
      <c r="F94" s="26"/>
      <c r="G94" s="12"/>
      <c r="H94" s="12"/>
      <c r="I94" s="12"/>
      <c r="J94" s="12"/>
      <c r="K94" s="12"/>
      <c r="L94" s="12"/>
      <c r="M94" s="12"/>
      <c r="N94" s="12"/>
      <c r="O94" s="12"/>
      <c r="P94" s="12"/>
      <c r="Q94" s="12"/>
    </row>
    <row r="95" spans="1:17" ht="15.75" customHeight="1">
      <c r="A95" s="10"/>
      <c r="B95" s="26" t="s">
        <v>119</v>
      </c>
      <c r="C95" s="73">
        <f>C4/G4-1</f>
        <v>0</v>
      </c>
      <c r="D95" s="26"/>
      <c r="E95" s="234"/>
      <c r="F95" s="26"/>
      <c r="G95" s="6">
        <f t="shared" ref="G95:Q95" si="40">IF(H4="","",G4/H4-1)</f>
        <v>-1.4167027845414459E-2</v>
      </c>
      <c r="H95" s="6">
        <f t="shared" si="40"/>
        <v>8.3175640612140223E-2</v>
      </c>
      <c r="I95" s="6">
        <f t="shared" si="40"/>
        <v>6.862537627752574E-2</v>
      </c>
      <c r="J95" s="6">
        <f t="shared" si="40"/>
        <v>0.11833003065865078</v>
      </c>
      <c r="K95" s="6">
        <f t="shared" si="40"/>
        <v>-0.15682868110233994</v>
      </c>
      <c r="L95" s="6">
        <f t="shared" si="40"/>
        <v>-6.2490382784881726E-2</v>
      </c>
      <c r="M95" s="6">
        <f t="shared" si="40"/>
        <v>7.8890295807758637E-3</v>
      </c>
      <c r="N95" s="6">
        <f t="shared" si="40"/>
        <v>6.7399536582826602E-2</v>
      </c>
      <c r="O95" s="6">
        <f t="shared" si="40"/>
        <v>4.335646481593658E-2</v>
      </c>
      <c r="P95" s="6" t="str">
        <f t="shared" si="40"/>
        <v/>
      </c>
      <c r="Q95" s="6" t="str">
        <f t="shared" si="40"/>
        <v/>
      </c>
    </row>
    <row r="96" spans="1:17" ht="15.75" customHeight="1">
      <c r="A96" s="10"/>
      <c r="B96" s="66" t="s">
        <v>135</v>
      </c>
      <c r="C96" s="73">
        <f>C11/G11-1</f>
        <v>-3.1155056253024505E-2</v>
      </c>
      <c r="D96" s="26"/>
      <c r="E96" s="234"/>
      <c r="F96" s="26"/>
      <c r="G96" s="6">
        <f t="shared" ref="G96:Q96" si="41">IF(H5="","",G11/H11-1)</f>
        <v>-0.20100817996051268</v>
      </c>
      <c r="H96" s="6">
        <f t="shared" si="41"/>
        <v>1.8070379155642704</v>
      </c>
      <c r="I96" s="6">
        <f t="shared" si="41"/>
        <v>21.940766068185333</v>
      </c>
      <c r="J96" s="6">
        <f t="shared" si="41"/>
        <v>-1.0728627731900737</v>
      </c>
      <c r="K96" s="6">
        <f t="shared" si="41"/>
        <v>-1.3507932177276338</v>
      </c>
      <c r="L96" s="6">
        <f t="shared" si="41"/>
        <v>-0.63848686596173643</v>
      </c>
      <c r="M96" s="6">
        <f t="shared" si="41"/>
        <v>0.18196982970705777</v>
      </c>
      <c r="N96" s="6">
        <f t="shared" si="41"/>
        <v>-6.8542392260755536E-2</v>
      </c>
      <c r="O96" s="6">
        <f t="shared" si="41"/>
        <v>1.8837257355202253E-2</v>
      </c>
      <c r="P96" s="6" t="str">
        <f t="shared" si="41"/>
        <v/>
      </c>
      <c r="Q96" s="6" t="str">
        <f t="shared" si="41"/>
        <v/>
      </c>
    </row>
    <row r="97" spans="1:17" ht="15.75" customHeight="1">
      <c r="A97" s="10"/>
    </row>
    <row r="98" spans="1:17" ht="15.75" customHeight="1">
      <c r="A98" s="3"/>
      <c r="B98" s="51" t="s">
        <v>182</v>
      </c>
      <c r="C98" s="51"/>
      <c r="D98" s="53"/>
      <c r="E98" s="62" t="s">
        <v>56</v>
      </c>
      <c r="F98" s="53"/>
      <c r="G98" s="35"/>
      <c r="H98" s="35"/>
      <c r="I98" s="35"/>
      <c r="J98" s="35"/>
      <c r="K98" s="35"/>
      <c r="L98" s="35"/>
      <c r="M98" s="35"/>
      <c r="N98" s="35"/>
      <c r="O98" s="35"/>
      <c r="P98" s="35"/>
      <c r="Q98" s="35"/>
    </row>
    <row r="99" spans="1:17" ht="15.75" customHeight="1">
      <c r="A99" s="10"/>
      <c r="B99" s="60" t="s">
        <v>26</v>
      </c>
      <c r="E99" s="237"/>
      <c r="G99" s="93" t="s">
        <v>186</v>
      </c>
    </row>
    <row r="100" spans="1:17" ht="15.75" customHeight="1">
      <c r="A100" s="10"/>
      <c r="B100" s="25" t="s">
        <v>1</v>
      </c>
      <c r="C100" s="283">
        <f>BS!G32</f>
        <v>5790042</v>
      </c>
      <c r="D100" s="25"/>
      <c r="E100" s="238"/>
      <c r="F100" s="25"/>
      <c r="G100" s="273">
        <f t="shared" ref="G100:Q100" si="42">IF(G$4="","",G104+G103)</f>
        <v>5790042</v>
      </c>
      <c r="H100" s="273">
        <f t="shared" si="42"/>
        <v>6513924</v>
      </c>
      <c r="I100" s="273">
        <f t="shared" si="42"/>
        <v>7175340</v>
      </c>
      <c r="J100" s="273">
        <f t="shared" si="42"/>
        <v>6871846</v>
      </c>
      <c r="K100" s="273">
        <f t="shared" si="42"/>
        <v>7154673</v>
      </c>
      <c r="L100" s="273">
        <f t="shared" si="42"/>
        <v>6220758</v>
      </c>
      <c r="M100" s="273">
        <f t="shared" si="42"/>
        <v>4494090</v>
      </c>
      <c r="N100" s="273">
        <f t="shared" si="42"/>
        <v>4616329</v>
      </c>
      <c r="O100" s="273">
        <f t="shared" si="42"/>
        <v>4436810</v>
      </c>
      <c r="P100" s="273">
        <f t="shared" si="42"/>
        <v>4445187</v>
      </c>
      <c r="Q100" s="273" t="str">
        <f t="shared" si="42"/>
        <v/>
      </c>
    </row>
    <row r="101" spans="1:17" ht="15.75" customHeight="1">
      <c r="A101" s="10"/>
      <c r="B101" s="89" t="s">
        <v>177</v>
      </c>
      <c r="C101" s="284">
        <f>BS!C4</f>
        <v>100361</v>
      </c>
      <c r="D101" s="85"/>
      <c r="E101" s="239"/>
      <c r="F101" s="85"/>
      <c r="G101" s="285">
        <f>IF(G$4="","",Data!D77)</f>
        <v>89430</v>
      </c>
      <c r="H101" s="285">
        <f>IF(H$4="","",Data!E77)</f>
        <v>75868</v>
      </c>
      <c r="I101" s="285">
        <f>IF(I$4="","",Data!F77)</f>
        <v>51007</v>
      </c>
      <c r="J101" s="285">
        <f>IF(J$4="","",Data!G77)</f>
        <v>37326</v>
      </c>
      <c r="K101" s="285">
        <f>IF(K$4="","",Data!H77)</f>
        <v>50182</v>
      </c>
      <c r="L101" s="285">
        <f>IF(L$4="","",Data!I77)</f>
        <v>0</v>
      </c>
      <c r="M101" s="285">
        <f>IF(M$4="","",Data!J77)</f>
        <v>0</v>
      </c>
      <c r="N101" s="285">
        <f>IF(N$4="","",Data!K77)</f>
        <v>0</v>
      </c>
      <c r="O101" s="285">
        <f>IF(O$4="","",Data!L77)</f>
        <v>0</v>
      </c>
      <c r="P101" s="285">
        <f>IF(P$4="","",Data!M77)</f>
        <v>0</v>
      </c>
      <c r="Q101" s="285" t="str">
        <f>IF(Q$4="","",Data!N77)</f>
        <v/>
      </c>
    </row>
    <row r="102" spans="1:17" ht="15.75" customHeight="1">
      <c r="A102" s="10"/>
      <c r="B102" s="89" t="s">
        <v>178</v>
      </c>
      <c r="C102" s="284">
        <f>BS!C6+BS!C7</f>
        <v>227738</v>
      </c>
      <c r="D102" s="85"/>
      <c r="E102" s="239"/>
      <c r="F102" s="85"/>
      <c r="G102" s="285">
        <f>IF(G$4="","",Data!D78)</f>
        <v>230288</v>
      </c>
      <c r="H102" s="285">
        <f>IF(H$4="","",Data!E78)</f>
        <v>268243</v>
      </c>
      <c r="I102" s="285">
        <f>IF(I$4="","",Data!F78)</f>
        <v>303542</v>
      </c>
      <c r="J102" s="285">
        <f>IF(J$4="","",Data!G78)</f>
        <v>234924</v>
      </c>
      <c r="K102" s="285">
        <f>IF(K$4="","",Data!H78)</f>
        <v>260626</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3143428</v>
      </c>
      <c r="D103" s="25"/>
      <c r="E103" s="238"/>
      <c r="F103" s="25"/>
      <c r="G103" s="273">
        <f>Data!C79</f>
        <v>3143428</v>
      </c>
      <c r="H103" s="273">
        <f>Data!D79</f>
        <v>3603411</v>
      </c>
      <c r="I103" s="273">
        <f>Data!E79</f>
        <v>4383277</v>
      </c>
      <c r="J103" s="273">
        <f>Data!F79</f>
        <v>4045470</v>
      </c>
      <c r="K103" s="273">
        <f>Data!G79</f>
        <v>4119837</v>
      </c>
      <c r="L103" s="273">
        <f>Data!H79</f>
        <v>3549446</v>
      </c>
      <c r="M103" s="273">
        <f>Data!I79</f>
        <v>1072340</v>
      </c>
      <c r="N103" s="273">
        <f>Data!J79</f>
        <v>1042829</v>
      </c>
      <c r="O103" s="273">
        <f>Data!K79</f>
        <v>945690</v>
      </c>
      <c r="P103" s="273">
        <f>Data!L79</f>
        <v>903190</v>
      </c>
      <c r="Q103" s="273" t="str">
        <f>Data!M79</f>
        <v/>
      </c>
    </row>
    <row r="104" spans="1:17" ht="15.75" customHeight="1">
      <c r="A104" s="10"/>
      <c r="B104" s="25" t="s">
        <v>28</v>
      </c>
      <c r="C104" s="283">
        <f>BS!G27</f>
        <v>2646614</v>
      </c>
      <c r="D104" s="25"/>
      <c r="E104" s="238"/>
      <c r="F104" s="25"/>
      <c r="G104" s="273">
        <f>Data!C80</f>
        <v>2646614</v>
      </c>
      <c r="H104" s="273">
        <f>Data!D80</f>
        <v>2910513</v>
      </c>
      <c r="I104" s="273">
        <f>Data!E80</f>
        <v>2792063</v>
      </c>
      <c r="J104" s="273">
        <f>Data!F80</f>
        <v>2826376</v>
      </c>
      <c r="K104" s="273">
        <f>Data!G80</f>
        <v>3034836</v>
      </c>
      <c r="L104" s="273">
        <f>Data!H80</f>
        <v>2671312</v>
      </c>
      <c r="M104" s="273">
        <f>Data!I80</f>
        <v>3421750</v>
      </c>
      <c r="N104" s="273">
        <f>Data!J80</f>
        <v>3573500</v>
      </c>
      <c r="O104" s="273">
        <f>Data!K80</f>
        <v>3491120</v>
      </c>
      <c r="P104" s="273">
        <f>Data!L80</f>
        <v>3541997</v>
      </c>
      <c r="Q104" s="273" t="str">
        <f>Data!M80</f>
        <v/>
      </c>
    </row>
    <row r="105" spans="1:17" ht="15.75" customHeight="1">
      <c r="A105" s="10"/>
      <c r="E105" s="237"/>
    </row>
    <row r="106" spans="1:17" ht="15.75" customHeight="1">
      <c r="A106" s="10"/>
      <c r="B106" s="87" t="s">
        <v>187</v>
      </c>
      <c r="C106" s="25"/>
      <c r="D106" s="25"/>
      <c r="E106" s="238"/>
      <c r="F106" s="25"/>
      <c r="G106" s="93" t="s">
        <v>186</v>
      </c>
      <c r="H106" s="12"/>
      <c r="I106" s="12"/>
      <c r="J106" s="12"/>
      <c r="K106" s="12"/>
      <c r="L106" s="12"/>
      <c r="M106" s="12"/>
      <c r="N106" s="12"/>
      <c r="O106" s="12"/>
      <c r="P106" s="12"/>
      <c r="Q106" s="12"/>
    </row>
    <row r="107" spans="1:17" ht="15.75" customHeight="1">
      <c r="A107" s="10"/>
      <c r="B107" s="25" t="s">
        <v>184</v>
      </c>
      <c r="C107" s="90">
        <f>C101/C$4</f>
        <v>1.171303536038641E-2</v>
      </c>
      <c r="D107" s="25"/>
      <c r="E107" s="238"/>
      <c r="F107" s="25"/>
      <c r="G107" s="90">
        <f t="shared" ref="G107:Q107" si="43">IF(G$4="","",G101/G$4)</f>
        <v>1.0437288909829083E-2</v>
      </c>
      <c r="H107" s="90">
        <f t="shared" si="43"/>
        <v>8.7290393120870863E-3</v>
      </c>
      <c r="I107" s="90">
        <f t="shared" si="43"/>
        <v>6.3567697285807504E-3</v>
      </c>
      <c r="J107" s="90">
        <f t="shared" si="43"/>
        <v>4.9709985133350367E-3</v>
      </c>
      <c r="K107" s="90">
        <f t="shared" si="43"/>
        <v>7.4739490829585711E-3</v>
      </c>
      <c r="L107" s="90">
        <f t="shared" si="43"/>
        <v>0</v>
      </c>
      <c r="M107" s="90">
        <f t="shared" si="43"/>
        <v>0</v>
      </c>
      <c r="N107" s="90">
        <f t="shared" si="43"/>
        <v>0</v>
      </c>
      <c r="O107" s="90">
        <f t="shared" si="43"/>
        <v>0</v>
      </c>
      <c r="P107" s="90">
        <f t="shared" si="43"/>
        <v>0</v>
      </c>
      <c r="Q107" s="90" t="str">
        <f t="shared" si="43"/>
        <v/>
      </c>
    </row>
    <row r="108" spans="1:17" ht="15.75" customHeight="1">
      <c r="A108" s="10"/>
      <c r="B108" s="25" t="s">
        <v>185</v>
      </c>
      <c r="C108" s="90">
        <f>C102/C$4</f>
        <v>2.6579081983077891E-2</v>
      </c>
      <c r="D108" s="25"/>
      <c r="E108" s="238"/>
      <c r="F108" s="25"/>
      <c r="G108" s="90">
        <f t="shared" ref="G108:Q108" si="44">IF(G$4="","",G102/G$4)</f>
        <v>2.6876690019755338E-2</v>
      </c>
      <c r="H108" s="90">
        <f t="shared" si="44"/>
        <v>3.0862863027787426E-2</v>
      </c>
      <c r="I108" s="90">
        <f t="shared" si="44"/>
        <v>3.7829054775871118E-2</v>
      </c>
      <c r="J108" s="90">
        <f t="shared" si="44"/>
        <v>3.1286686351249003E-2</v>
      </c>
      <c r="K108" s="90">
        <f t="shared" si="44"/>
        <v>3.8816815864157674E-2</v>
      </c>
      <c r="L108" s="90">
        <f t="shared" si="44"/>
        <v>0</v>
      </c>
      <c r="M108" s="90">
        <f t="shared" si="44"/>
        <v>0</v>
      </c>
      <c r="N108" s="90">
        <f t="shared" si="44"/>
        <v>0</v>
      </c>
      <c r="O108" s="90">
        <f t="shared" si="44"/>
        <v>0</v>
      </c>
      <c r="P108" s="90">
        <f t="shared" si="44"/>
        <v>0</v>
      </c>
      <c r="Q108" s="90" t="str">
        <f t="shared" si="44"/>
        <v/>
      </c>
    </row>
    <row r="109" spans="1:17" ht="15.75" customHeight="1">
      <c r="A109" s="10"/>
      <c r="B109" s="25" t="s">
        <v>66</v>
      </c>
      <c r="C109" s="90">
        <f>BS!$G$38/C$4</f>
        <v>0</v>
      </c>
      <c r="D109" s="25"/>
      <c r="E109" s="238"/>
      <c r="F109" s="25"/>
      <c r="G109" s="90">
        <f>BS!$G$38/G$4</f>
        <v>0</v>
      </c>
      <c r="H109" s="185"/>
      <c r="I109" s="185"/>
      <c r="J109" s="185"/>
      <c r="K109" s="185"/>
      <c r="L109" s="185"/>
      <c r="M109" s="185"/>
      <c r="N109" s="185"/>
      <c r="O109" s="185"/>
      <c r="P109" s="185"/>
      <c r="Q109" s="185"/>
    </row>
    <row r="110" spans="1:17" ht="15.75" customHeight="1">
      <c r="A110" s="10"/>
      <c r="E110" s="237"/>
    </row>
    <row r="111" spans="1:17" ht="15.75" customHeight="1">
      <c r="A111" s="10"/>
      <c r="B111" s="60" t="s">
        <v>48</v>
      </c>
      <c r="E111" s="237"/>
    </row>
    <row r="112" spans="1:17" ht="15.75" customHeight="1">
      <c r="A112" s="10"/>
      <c r="B112" s="2" t="s">
        <v>300</v>
      </c>
      <c r="C112" s="150"/>
      <c r="E112" s="237"/>
      <c r="G112" s="253">
        <f>IF(G$4="","",Data!C$22/Data!C15)</f>
        <v>6.4267473661376968</v>
      </c>
      <c r="H112" s="253">
        <f>IF(H$4="","",Data!D$22/Data!D15)</f>
        <v>4.9912338880302505</v>
      </c>
      <c r="I112" s="253">
        <f>IF(I$4="","",Data!E$22/Data!E15)</f>
        <v>15.279529081637241</v>
      </c>
      <c r="J112" s="253">
        <f>IF(J$4="","",Data!F$22/Data!F15)</f>
        <v>50.960218818380746</v>
      </c>
      <c r="K112" s="253">
        <f>IF(K$4="","",Data!G$22/Data!G15)</f>
        <v>4.6954125641381221</v>
      </c>
      <c r="L112" s="253">
        <f>IF(L$4="","",Data!H$22/Data!H15)</f>
        <v>19.049512004947168</v>
      </c>
      <c r="M112" s="253">
        <f>IF(M$4="","",Data!I$22/Data!I15)</f>
        <v>1.608003580415801</v>
      </c>
      <c r="N112" s="253">
        <f>IF(N$4="","",Data!J$22/Data!J15)</f>
        <v>1.9435635049369142</v>
      </c>
      <c r="O112" s="253">
        <f>IF(O$4="","",Data!K$22/Data!K15)</f>
        <v>1.738263372035328</v>
      </c>
      <c r="P112" s="253">
        <f>IF(P$4="","",Data!L$22/Data!L15)</f>
        <v>1.5089927779708801</v>
      </c>
      <c r="Q112" s="253" t="str">
        <f>IF(Q$4="","",Data!M$22/Data!M15)</f>
        <v/>
      </c>
    </row>
    <row r="113" spans="1:17" ht="15.75" customHeight="1">
      <c r="A113" s="10"/>
      <c r="B113" s="2" t="s">
        <v>301</v>
      </c>
      <c r="C113" s="150"/>
      <c r="E113" s="237"/>
      <c r="G113" s="253">
        <f>IF(G$4="","",Data!C$22/G19)</f>
        <v>5.1553857785756998</v>
      </c>
      <c r="H113" s="253">
        <f>IF(H$4="","",Data!D$22/H19)</f>
        <v>4.7362265079352026</v>
      </c>
      <c r="I113" s="253">
        <f>IF(I$4="","",Data!E$22/I19)</f>
        <v>15.125353491821757</v>
      </c>
      <c r="J113" s="253">
        <f>IF(J$4="","",Data!F$22/J19)</f>
        <v>-50.181613471735851</v>
      </c>
      <c r="K113" s="253">
        <f>IF(K$4="","",Data!G$22/K19)</f>
        <v>-14.244625442796201</v>
      </c>
      <c r="L113" s="253">
        <f>IF(L$4="","",Data!H$22/L19)</f>
        <v>6.7925307026374071</v>
      </c>
      <c r="M113" s="253">
        <f>IF(M$4="","",Data!I$22/M19)</f>
        <v>1.7069263797631746</v>
      </c>
      <c r="N113" s="253">
        <f>IF(N$4="","",Data!J$22/N19)</f>
        <v>1.94016300804173</v>
      </c>
      <c r="O113" s="253">
        <f>IF(O$4="","",Data!K$22/O19)</f>
        <v>1.6928845901081653</v>
      </c>
      <c r="P113" s="253">
        <f>IF(P$4="","",Data!L$22/P19)</f>
        <v>1.5492297932237664</v>
      </c>
      <c r="Q113" s="253" t="str">
        <f>IF(Q$4="","",Data!M$22/Q19)</f>
        <v/>
      </c>
    </row>
    <row r="114" spans="1:17" ht="15.75" customHeight="1">
      <c r="A114" s="10"/>
      <c r="E114" s="237"/>
    </row>
    <row r="115" spans="1:17" ht="15.75" customHeight="1">
      <c r="A115" s="10"/>
      <c r="B115" s="87" t="s">
        <v>36</v>
      </c>
      <c r="C115" s="52"/>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188</v>
      </c>
      <c r="C116" s="22">
        <f>C119/C117/C118</f>
        <v>3.7061963337109531E-2</v>
      </c>
      <c r="E116" s="237"/>
      <c r="G116" s="22">
        <f t="shared" ref="G116:Q116" si="45">IF(G4="","",G77)</f>
        <v>3.8253761426233622E-2</v>
      </c>
      <c r="H116" s="22">
        <f t="shared" si="45"/>
        <v>4.719925583349846E-2</v>
      </c>
      <c r="I116" s="22">
        <f t="shared" si="45"/>
        <v>1.8213179056253977E-2</v>
      </c>
      <c r="J116" s="22">
        <f t="shared" si="45"/>
        <v>8.4840520427044875E-4</v>
      </c>
      <c r="K116" s="22">
        <f t="shared" si="45"/>
        <v>-1.3021697865213639E-2</v>
      </c>
      <c r="L116" s="22">
        <f t="shared" si="45"/>
        <v>3.1299128969545391E-2</v>
      </c>
      <c r="M116" s="22">
        <f t="shared" si="45"/>
        <v>8.1167823950482956E-2</v>
      </c>
      <c r="N116" s="22">
        <f t="shared" si="45"/>
        <v>6.921340736329204E-2</v>
      </c>
      <c r="O116" s="22">
        <f t="shared" si="45"/>
        <v>7.9314783980569611E-2</v>
      </c>
      <c r="P116" s="22">
        <f t="shared" si="45"/>
        <v>8.1223563453526118E-2</v>
      </c>
      <c r="Q116" s="22" t="str">
        <f t="shared" si="45"/>
        <v/>
      </c>
    </row>
    <row r="117" spans="1:17" ht="15.75" customHeight="1">
      <c r="B117" s="7" t="s">
        <v>552</v>
      </c>
      <c r="C117" s="454">
        <v>1.48</v>
      </c>
      <c r="E117" s="237"/>
      <c r="G117" s="40">
        <f t="shared" ref="G117:Q117" si="46">IF(G4="","",G4/G100)</f>
        <v>1.4798367611150316</v>
      </c>
      <c r="H117" s="40">
        <f t="shared" si="46"/>
        <v>1.3342877503636825</v>
      </c>
      <c r="I117" s="40">
        <f t="shared" si="46"/>
        <v>1.1182806668394807</v>
      </c>
      <c r="J117" s="40">
        <f t="shared" si="46"/>
        <v>1.0926835380187507</v>
      </c>
      <c r="K117" s="40">
        <f t="shared" si="46"/>
        <v>0.93844330831052658</v>
      </c>
      <c r="L117" s="40">
        <f t="shared" si="46"/>
        <v>1.2800846777836399</v>
      </c>
      <c r="M117" s="40">
        <f t="shared" si="46"/>
        <v>1.8900117710148217</v>
      </c>
      <c r="N117" s="40">
        <f t="shared" si="46"/>
        <v>1.8255629094026877</v>
      </c>
      <c r="O117" s="40">
        <f t="shared" si="46"/>
        <v>1.7794906700985618</v>
      </c>
      <c r="P117" s="40">
        <f t="shared" si="46"/>
        <v>1.7023301831846445</v>
      </c>
      <c r="Q117" s="40" t="str">
        <f t="shared" si="46"/>
        <v/>
      </c>
    </row>
    <row r="118" spans="1:17" ht="15.75" customHeight="1">
      <c r="B118" s="7" t="s">
        <v>554</v>
      </c>
      <c r="C118" s="15">
        <f>C100/C104</f>
        <v>2.187716833659914</v>
      </c>
      <c r="D118" s="11"/>
      <c r="E118" s="241"/>
      <c r="F118" s="11"/>
      <c r="G118" s="15">
        <f t="shared" ref="G118:Q118" si="47">IF(G$4="","",G100/G104)</f>
        <v>2.187716833659914</v>
      </c>
      <c r="H118" s="15">
        <f t="shared" si="47"/>
        <v>2.2380673097835331</v>
      </c>
      <c r="I118" s="15">
        <f t="shared" si="47"/>
        <v>2.5699061948100743</v>
      </c>
      <c r="J118" s="15">
        <f t="shared" si="47"/>
        <v>2.4313276082163164</v>
      </c>
      <c r="K118" s="15">
        <f t="shared" si="47"/>
        <v>2.3575155296694779</v>
      </c>
      <c r="L118" s="15">
        <f t="shared" si="47"/>
        <v>2.3287276065094606</v>
      </c>
      <c r="M118" s="15">
        <f t="shared" si="47"/>
        <v>1.3133893475560752</v>
      </c>
      <c r="N118" s="15">
        <f t="shared" si="47"/>
        <v>1.2918228627396111</v>
      </c>
      <c r="O118" s="15">
        <f t="shared" si="47"/>
        <v>1.2708844153165746</v>
      </c>
      <c r="P118" s="15">
        <f t="shared" si="47"/>
        <v>1.2549945694476872</v>
      </c>
      <c r="Q118" s="15" t="str">
        <f t="shared" si="47"/>
        <v/>
      </c>
    </row>
    <row r="119" spans="1:17" ht="15.75" customHeight="1">
      <c r="A119" s="10"/>
      <c r="B119" s="66" t="s">
        <v>553</v>
      </c>
      <c r="C119" s="455">
        <v>0.12</v>
      </c>
      <c r="D119" s="99"/>
      <c r="E119" s="240"/>
      <c r="F119" s="99"/>
      <c r="G119" s="98">
        <f t="shared" ref="G119:Q119" si="48">IF(G$4="","",G11/G104)</f>
        <v>0.12384516757726732</v>
      </c>
      <c r="H119" s="98">
        <f t="shared" si="48"/>
        <v>0.14094763531886109</v>
      </c>
      <c r="I119" s="98">
        <f t="shared" si="48"/>
        <v>5.234242570001478E-2</v>
      </c>
      <c r="J119" s="98">
        <f t="shared" si="48"/>
        <v>2.2539340564671313E-3</v>
      </c>
      <c r="K119" s="98">
        <f t="shared" si="48"/>
        <v>-2.880913499114944E-2</v>
      </c>
      <c r="L119" s="98">
        <f t="shared" si="48"/>
        <v>9.3301718406535811E-2</v>
      </c>
      <c r="M119" s="98">
        <f t="shared" si="48"/>
        <v>0.20148462044275589</v>
      </c>
      <c r="N119" s="98">
        <f t="shared" si="48"/>
        <v>0.1632262487757101</v>
      </c>
      <c r="O119" s="98">
        <f t="shared" si="48"/>
        <v>0.17937252228511194</v>
      </c>
      <c r="P119" s="98">
        <f t="shared" si="48"/>
        <v>0.1735272503054068</v>
      </c>
      <c r="Q119" s="98" t="str">
        <f t="shared" si="48"/>
        <v/>
      </c>
    </row>
    <row r="120" spans="1:17" ht="15.75" customHeight="1">
      <c r="A120" s="10"/>
      <c r="B120" s="26"/>
      <c r="C120" s="59"/>
      <c r="D120" s="26"/>
      <c r="E120" s="63"/>
      <c r="F120" s="26"/>
      <c r="G120" s="12"/>
      <c r="H120" s="12"/>
      <c r="I120" s="12"/>
      <c r="J120" s="12"/>
      <c r="K120" s="12"/>
      <c r="L120" s="12"/>
      <c r="M120" s="12"/>
      <c r="N120" s="12"/>
      <c r="O120" s="12"/>
      <c r="P120" s="12"/>
      <c r="Q120" s="12"/>
    </row>
    <row r="121" spans="1:17" ht="15.75" customHeight="1">
      <c r="A121" s="10"/>
      <c r="B121" s="51" t="s">
        <v>189</v>
      </c>
      <c r="C121" s="51"/>
      <c r="D121" s="53"/>
      <c r="E121" s="62" t="s">
        <v>56</v>
      </c>
      <c r="F121" s="53"/>
      <c r="G121" s="35"/>
      <c r="H121" s="35"/>
      <c r="I121" s="35"/>
      <c r="J121" s="35"/>
      <c r="K121" s="35"/>
      <c r="L121" s="35"/>
      <c r="M121" s="35"/>
      <c r="N121" s="35"/>
      <c r="O121" s="35"/>
      <c r="P121" s="35"/>
      <c r="Q121" s="35"/>
    </row>
    <row r="122" spans="1:17" ht="15.75" customHeight="1">
      <c r="A122" s="10"/>
      <c r="B122" s="159" t="s">
        <v>139</v>
      </c>
      <c r="C122" s="160"/>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8">
        <f>C14*$C$3/Common_Shares*Exchange_Rate</f>
        <v>0.40646071881865575</v>
      </c>
      <c r="D123" s="26"/>
      <c r="E123" s="234"/>
      <c r="F123" s="26"/>
      <c r="G123" s="158">
        <f t="shared" ref="G123:Q123" si="49">IF(G$4="","",G14*$C$3/Common_Shares*Exchange_Rate)</f>
        <v>0.50532640751886249</v>
      </c>
      <c r="H123" s="158">
        <f t="shared" si="49"/>
        <v>0.60543703997796916</v>
      </c>
      <c r="I123" s="158">
        <f t="shared" si="49"/>
        <v>0.19365442951542439</v>
      </c>
      <c r="J123" s="158">
        <f t="shared" si="49"/>
        <v>-4.0007540563461313E-2</v>
      </c>
      <c r="K123" s="158">
        <f t="shared" si="49"/>
        <v>-0.20490719587806727</v>
      </c>
      <c r="L123" s="158">
        <f t="shared" si="49"/>
        <v>0.35967680935073776</v>
      </c>
      <c r="M123" s="158">
        <f t="shared" si="49"/>
        <v>0.96170883004877317</v>
      </c>
      <c r="N123" s="158">
        <f t="shared" si="49"/>
        <v>0.79327034610464509</v>
      </c>
      <c r="O123" s="158">
        <f t="shared" si="49"/>
        <v>0.89198690106349654</v>
      </c>
      <c r="P123" s="158">
        <f t="shared" si="49"/>
        <v>0.869666366613006</v>
      </c>
      <c r="Q123" s="158" t="str">
        <f t="shared" si="49"/>
        <v/>
      </c>
    </row>
    <row r="124" spans="1:17" ht="15.75" customHeight="1">
      <c r="A124" s="10"/>
      <c r="B124" s="26" t="s">
        <v>223</v>
      </c>
      <c r="C124" s="73">
        <f>C19*Exchange_Rate*$C$3/(Market_Price*Common_Shares)</f>
        <v>8.5751206501826105E-2</v>
      </c>
      <c r="D124" s="26"/>
      <c r="E124" s="234"/>
      <c r="F124" s="26"/>
      <c r="G124" s="73">
        <f t="shared" ref="G124" si="50">IF(G$4="","",G123/Market_Price)</f>
        <v>0.10660894673393723</v>
      </c>
      <c r="H124" s="73">
        <f t="shared" ref="H124" si="51">IF(H$4="","",H123/Market_Price)</f>
        <v>0.12772933332868547</v>
      </c>
      <c r="I124" s="73">
        <f t="shared" ref="I124" si="52">IF(I$4="","",I123/Market_Price)</f>
        <v>4.085536487667181E-2</v>
      </c>
      <c r="J124" s="73">
        <f t="shared" ref="J124" si="53">IF(J$4="","",J123/Market_Price)</f>
        <v>-8.4404094015741171E-3</v>
      </c>
      <c r="K124" s="73">
        <f t="shared" ref="K124" si="54">IF(K$4="","",K123/Market_Price)</f>
        <v>-4.322936621900153E-2</v>
      </c>
      <c r="L124" s="73">
        <f t="shared" ref="L124" si="55">IF(L$4="","",L123/Market_Price)</f>
        <v>7.5881183407328634E-2</v>
      </c>
      <c r="M124" s="73">
        <f t="shared" ref="M124" si="56">IF(M$4="","",M123/Market_Price)</f>
        <v>0.20289215823813778</v>
      </c>
      <c r="N124" s="73">
        <f t="shared" ref="N124" si="57">IF(N$4="","",N123/Market_Price)</f>
        <v>0.16735661310224578</v>
      </c>
      <c r="O124" s="73">
        <f t="shared" ref="O124" si="58">IF(O$4="","",O123/Market_Price)</f>
        <v>0.188182890519725</v>
      </c>
      <c r="P124" s="73">
        <f t="shared" ref="P124" si="59">IF(P$4="","",P123/Market_Price)</f>
        <v>0.18347391700696328</v>
      </c>
      <c r="Q124" s="73" t="str">
        <f t="shared" ref="Q124" si="60">IF(Q$4="","",Q123/Market_Price)</f>
        <v/>
      </c>
    </row>
    <row r="125" spans="1:17" ht="15.75" customHeight="1">
      <c r="B125" s="2" t="s">
        <v>303</v>
      </c>
      <c r="C125" s="150"/>
      <c r="G125" s="22">
        <f>IF(G$4="","",(Data!C47*$C$3)/(Market_Price*Common_Shares))</f>
        <v>8.5519192921282572E-2</v>
      </c>
      <c r="H125" s="22">
        <f>IF(H$4="","",(Data!D47*$C$3)/(Market_Price*Common_Shares))</f>
        <v>0.12120350757414657</v>
      </c>
      <c r="I125" s="22">
        <f>IF(I$4="","",(Data!E47*$C$3)/(Market_Price*Common_Shares))</f>
        <v>4.0443120497716589E-2</v>
      </c>
      <c r="J125" s="22">
        <f>IF(J$4="","",(Data!F47*$C$3)/(Market_Price*Common_Shares))</f>
        <v>8.3114510093160541E-3</v>
      </c>
      <c r="K125" s="22">
        <f>IF(K$4="","",(Data!G47*$C$3)/(Market_Price*Common_Shares))</f>
        <v>0.13114633091505049</v>
      </c>
      <c r="L125" s="22">
        <f>IF(L$4="","",(Data!H47*$C$3)/(Market_Price*Common_Shares))</f>
        <v>2.7057137627089015E-2</v>
      </c>
      <c r="M125" s="22">
        <f>IF(M$4="","",(Data!I47*$C$3)/(Market_Price*Common_Shares))</f>
        <v>0.21537388433812379</v>
      </c>
      <c r="N125" s="22">
        <f>IF(N$4="","",(Data!J47*$C$3)/(Market_Price*Common_Shares))</f>
        <v>0.16706380268375567</v>
      </c>
      <c r="O125" s="22">
        <f>IF(O$4="","",(Data!K47*$C$3)/(Market_Price*Common_Shares))</f>
        <v>0.18327022280279623</v>
      </c>
      <c r="P125" s="22">
        <f>IF(P$4="","",(Data!L47*$C$3)/(Market_Price*Common_Shares))</f>
        <v>0.18836621530347536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V118"/>
  <sheetViews>
    <sheetView showGridLines="0" zoomScaleNormal="100" workbookViewId="0">
      <selection activeCell="J32" sqref="J32"/>
    </sheetView>
  </sheetViews>
  <sheetFormatPr defaultColWidth="8.796875" defaultRowHeight="12.75"/>
  <cols>
    <col min="1" max="1" width="6.1328125" customWidth="1"/>
    <col min="2" max="10" width="20.6640625" customWidth="1"/>
    <col min="11" max="12" width="11.1328125" customWidth="1"/>
    <col min="13" max="13" width="20.6640625" customWidth="1"/>
    <col min="14" max="14" width="5.6640625" customWidth="1"/>
  </cols>
  <sheetData>
    <row r="2" spans="2:16" ht="13.9">
      <c r="B2" s="34" t="s">
        <v>52</v>
      </c>
      <c r="C2" s="35"/>
      <c r="D2" s="35"/>
      <c r="E2" s="35"/>
      <c r="F2" s="35"/>
      <c r="G2" s="35"/>
      <c r="H2" s="35"/>
      <c r="I2" s="35"/>
      <c r="J2" s="35"/>
      <c r="K2" s="35"/>
      <c r="L2" s="35"/>
      <c r="M2" s="35"/>
    </row>
    <row r="3" spans="2:16" ht="13.15">
      <c r="B3" s="105" t="s">
        <v>134</v>
      </c>
      <c r="C3" s="103">
        <f>scaling_factor</f>
        <v>1000</v>
      </c>
      <c r="E3" s="105" t="s">
        <v>423</v>
      </c>
      <c r="H3" s="105" t="s">
        <v>413</v>
      </c>
    </row>
    <row r="4" spans="2:16">
      <c r="B4" s="96" t="s">
        <v>390</v>
      </c>
      <c r="C4" s="278">
        <f>Normalized_FCF!C19</f>
        <v>235748.85617089932</v>
      </c>
      <c r="D4" t="str">
        <f>Reporting_currency</f>
        <v>HKD</v>
      </c>
      <c r="E4" s="134" t="s">
        <v>430</v>
      </c>
      <c r="F4" s="278">
        <f>-BS!G31</f>
        <v>-2029987</v>
      </c>
      <c r="G4" t="str">
        <f>Reporting_currency</f>
        <v>HKD</v>
      </c>
      <c r="H4" s="311" t="s">
        <v>391</v>
      </c>
      <c r="I4" s="308">
        <f>Normalized_FCF!C4</f>
        <v>8568317</v>
      </c>
      <c r="J4" s="308"/>
      <c r="K4" s="308"/>
    </row>
    <row r="5" spans="2:16">
      <c r="B5" s="186" t="s">
        <v>103</v>
      </c>
      <c r="C5" s="187">
        <f>Equity_Cost</f>
        <v>7.2499999999999995E-2</v>
      </c>
      <c r="E5" s="134" t="s">
        <v>431</v>
      </c>
      <c r="F5" s="278">
        <f>BS!D66</f>
        <v>267503.96570416668</v>
      </c>
      <c r="G5" t="str">
        <f>Reporting_currency</f>
        <v>HKD</v>
      </c>
      <c r="H5" s="311" t="s">
        <v>393</v>
      </c>
      <c r="I5" s="308">
        <f>Normalized_FCF!C7</f>
        <v>-494493</v>
      </c>
      <c r="J5" s="308"/>
      <c r="K5" s="308"/>
    </row>
    <row r="6" spans="2:16" ht="13.25" customHeight="1">
      <c r="B6" s="135" t="s">
        <v>191</v>
      </c>
      <c r="C6" s="286">
        <f>(C4*(1+Terminal_Growth))/(Equity_Cost-Terminal_Growth)</f>
        <v>3809701.5157217337</v>
      </c>
      <c r="D6" t="str">
        <f>Reporting_currency</f>
        <v>HKD</v>
      </c>
      <c r="E6" s="186" t="s">
        <v>432</v>
      </c>
      <c r="F6" s="287">
        <f>BS!H42</f>
        <v>61077</v>
      </c>
      <c r="G6" t="str">
        <f>Reporting_currency</f>
        <v>HKD</v>
      </c>
      <c r="H6" s="311" t="s">
        <v>415</v>
      </c>
      <c r="I6" s="308">
        <f>I7+I8</f>
        <v>-82341.797657041665</v>
      </c>
      <c r="J6" s="308"/>
      <c r="K6" s="308"/>
      <c r="O6" s="134"/>
    </row>
    <row r="7" spans="2:16" ht="12.75" customHeight="1">
      <c r="B7" s="321" t="s">
        <v>429</v>
      </c>
      <c r="C7" s="278">
        <f>F7</f>
        <v>-1701406.0342958332</v>
      </c>
      <c r="E7" s="139" t="s">
        <v>423</v>
      </c>
      <c r="F7" s="286">
        <f>SUM(F4:F6)</f>
        <v>-1701406.0342958332</v>
      </c>
      <c r="G7" t="str">
        <f>Reporting_currency</f>
        <v>HKD</v>
      </c>
      <c r="H7" s="315" t="s">
        <v>416</v>
      </c>
      <c r="I7" s="316">
        <f>Normalized_FCF!C9</f>
        <v>0</v>
      </c>
      <c r="J7" s="316"/>
      <c r="K7" s="316"/>
      <c r="O7" s="307"/>
      <c r="P7" s="307"/>
    </row>
    <row r="8" spans="2:16" ht="13.15">
      <c r="B8" s="135" t="s">
        <v>425</v>
      </c>
      <c r="C8" s="286">
        <f>C6+C7</f>
        <v>2108295.4814259005</v>
      </c>
      <c r="D8" t="str">
        <f>Reporting_currency</f>
        <v>HKD</v>
      </c>
      <c r="E8" s="139" t="s">
        <v>463</v>
      </c>
      <c r="F8" s="107">
        <f>FV_adjustments*scaling_factor/Common_Shares*Exchange_Rate</f>
        <v>-2.9334382823090355</v>
      </c>
      <c r="G8" s="297" t="str">
        <f>Market_currency</f>
        <v>HKD</v>
      </c>
      <c r="H8" s="317" t="str">
        <f>Normalized_FCF!B10</f>
        <v>Net Interest Income</v>
      </c>
      <c r="I8" s="316">
        <f>Normalized_FCF!C10</f>
        <v>-82341.797657041665</v>
      </c>
      <c r="J8" s="316"/>
      <c r="K8" s="316"/>
      <c r="O8" s="307"/>
      <c r="P8" s="307"/>
    </row>
    <row r="9" spans="2:16" ht="13.15" thickBot="1">
      <c r="B9" s="188" t="str">
        <f>"*"&amp;Thesis!E15</f>
        <v>*HKD</v>
      </c>
      <c r="C9" s="189">
        <f>Exchange_Rate</f>
        <v>1</v>
      </c>
      <c r="D9" t="str">
        <f>Thesis!E15</f>
        <v>HKD</v>
      </c>
      <c r="F9" s="325"/>
      <c r="H9" s="311" t="str">
        <f>Normalized_FCF!B79</f>
        <v>NCI’s Share of Profits</v>
      </c>
      <c r="I9" s="143">
        <f>Normalized_FCF!C79</f>
        <v>3.4327181182608169E-3</v>
      </c>
      <c r="J9" s="143"/>
      <c r="K9" s="309"/>
      <c r="O9" s="307"/>
      <c r="P9" s="307"/>
    </row>
    <row r="10" spans="2:16" ht="13.5" thickTop="1">
      <c r="B10" s="106" t="s">
        <v>426</v>
      </c>
      <c r="C10" s="286">
        <f>C8*Exchange_Rate</f>
        <v>2108295.4814259005</v>
      </c>
      <c r="D10" t="str">
        <f>Market_currency</f>
        <v>HKD</v>
      </c>
      <c r="H10" s="311" t="s">
        <v>395</v>
      </c>
      <c r="I10" s="309">
        <f>Normalized_FCF!C41</f>
        <v>0.16500000000000001</v>
      </c>
      <c r="J10" s="309"/>
      <c r="O10" s="307"/>
      <c r="P10" s="307"/>
    </row>
    <row r="11" spans="2:16" ht="13.15">
      <c r="B11" s="135" t="s">
        <v>424</v>
      </c>
      <c r="C11" s="107">
        <f>(C10*scaling_factor)/Common_Shares</f>
        <v>3.6349669338004422</v>
      </c>
      <c r="D11" t="str">
        <f>Market_currency</f>
        <v>HKD</v>
      </c>
      <c r="E11" s="310"/>
      <c r="I11" s="310"/>
      <c r="J11" s="310"/>
      <c r="K11" s="310"/>
    </row>
    <row r="13" spans="2:16" ht="13.9">
      <c r="B13" s="34" t="s">
        <v>427</v>
      </c>
      <c r="C13" s="35"/>
      <c r="D13" s="35"/>
      <c r="E13" s="35"/>
      <c r="F13" s="35"/>
      <c r="G13" s="35"/>
      <c r="H13" s="35"/>
      <c r="I13" s="35"/>
      <c r="J13" s="35"/>
      <c r="K13" s="35"/>
      <c r="L13" s="35"/>
      <c r="M13" s="35"/>
    </row>
    <row r="14" spans="2:16" ht="13.15">
      <c r="B14" s="105" t="s">
        <v>397</v>
      </c>
      <c r="C14" s="312" t="s">
        <v>404</v>
      </c>
      <c r="E14" s="105" t="s">
        <v>397</v>
      </c>
      <c r="F14" s="312" t="str">
        <f>IF(F17=C17,"I","II")</f>
        <v>II</v>
      </c>
      <c r="H14" s="105" t="s">
        <v>412</v>
      </c>
    </row>
    <row r="15" spans="2:16">
      <c r="B15" s="138" t="s">
        <v>420</v>
      </c>
      <c r="C15" s="147">
        <f>Scenarios!C45</f>
        <v>15</v>
      </c>
      <c r="E15" s="311" t="str">
        <f>IF(F14="II","Change year","Terminal Year")</f>
        <v>Change year</v>
      </c>
      <c r="F15" s="313">
        <f>IF(F14="II",_xlfn.CEILING.MATH(C15/2),C15+1)</f>
        <v>8</v>
      </c>
      <c r="H15" s="96" t="s">
        <v>428</v>
      </c>
      <c r="I15" s="125">
        <f>Terminal_Growth</f>
        <v>0.01</v>
      </c>
      <c r="J15" s="125"/>
      <c r="K15" s="125"/>
    </row>
    <row r="16" spans="2:16" ht="13.25" customHeight="1">
      <c r="B16" s="113" t="s">
        <v>421</v>
      </c>
      <c r="C16" s="146">
        <f>Scenarios!C46</f>
        <v>2.0459999999999999E-2</v>
      </c>
      <c r="E16" s="311" t="s">
        <v>398</v>
      </c>
      <c r="F16" s="314">
        <f>Scenarios!C41</f>
        <v>2.0459999999999999E-2</v>
      </c>
    </row>
    <row r="17" spans="1:22" ht="13.25" customHeight="1">
      <c r="B17" s="311" t="s">
        <v>392</v>
      </c>
      <c r="C17" s="309">
        <f>Normalized_FCF!C32</f>
        <v>0.89561620465585323</v>
      </c>
      <c r="E17" s="311" t="s">
        <v>399</v>
      </c>
      <c r="F17" s="314">
        <f>Scenarios!C40</f>
        <v>0.875</v>
      </c>
      <c r="H17" s="105" t="s">
        <v>411</v>
      </c>
    </row>
    <row r="18" spans="1:22" ht="13.25" customHeight="1">
      <c r="B18" s="311" t="s">
        <v>422</v>
      </c>
      <c r="C18" s="309">
        <f>Normalized_FCF!C81-Normalized_FCF!C82</f>
        <v>0</v>
      </c>
      <c r="E18" s="311" t="s">
        <v>422</v>
      </c>
      <c r="F18" s="143">
        <f>IF(F14="II",C18/2,C18)</f>
        <v>0</v>
      </c>
      <c r="H18" s="139" t="s">
        <v>95</v>
      </c>
      <c r="I18" s="128">
        <f>(M52+FV_adjustments)*Exchange_Rate/Common_Shares*scaling_factor</f>
        <v>7.1484658567438037</v>
      </c>
      <c r="J18" t="str">
        <f>Market_currency</f>
        <v>HKD</v>
      </c>
    </row>
    <row r="19" spans="1:22">
      <c r="M19" s="278"/>
    </row>
    <row r="20" spans="1:22" ht="13.15">
      <c r="A20" s="120" t="s">
        <v>397</v>
      </c>
      <c r="B20" s="120" t="s">
        <v>96</v>
      </c>
      <c r="C20" s="120" t="s">
        <v>391</v>
      </c>
      <c r="D20" s="120" t="s">
        <v>100</v>
      </c>
      <c r="E20" s="120" t="s">
        <v>392</v>
      </c>
      <c r="F20" s="120" t="s">
        <v>393</v>
      </c>
      <c r="G20" s="120" t="s">
        <v>542</v>
      </c>
      <c r="H20" s="120" t="str">
        <f>B18</f>
        <v>D&amp;A - maint. Capx</v>
      </c>
      <c r="I20" s="120" t="s">
        <v>555</v>
      </c>
      <c r="J20" s="120" t="s">
        <v>556</v>
      </c>
      <c r="K20" s="120" t="s">
        <v>529</v>
      </c>
      <c r="L20" s="120" t="s">
        <v>530</v>
      </c>
      <c r="M20" s="121" t="s">
        <v>418</v>
      </c>
    </row>
    <row r="21" spans="1:22">
      <c r="A21" s="305" t="str">
        <f t="shared" ref="A21:A50" si="0">IF($C$15&lt;B21,"",IF(B21&gt;=$F$15,"II","I"))</f>
        <v>I</v>
      </c>
      <c r="B21" s="116">
        <v>1</v>
      </c>
      <c r="C21" s="280">
        <f>I4*(1+D21)</f>
        <v>8743624.7658199985</v>
      </c>
      <c r="D21" s="302">
        <f t="shared" ref="D21:D50" si="1">IF(A21="",0,IF(A21="I",$C$16,$F$16))</f>
        <v>2.0459999999999999E-2</v>
      </c>
      <c r="E21" s="302">
        <f>$C$17</f>
        <v>0.89561620465585323</v>
      </c>
      <c r="F21" s="280">
        <f>I5*(1+D21)</f>
        <v>-504610.32677999994</v>
      </c>
      <c r="G21" s="280">
        <f>C21*(1-E21)+F21+$I$6</f>
        <v>325740.61368432629</v>
      </c>
      <c r="H21" s="302">
        <f t="shared" ref="H21:H50" si="2">IF(A21="",0%,IF(A21="I",$C$18,$F$18))</f>
        <v>0</v>
      </c>
      <c r="I21" s="280">
        <f>(G21*(1-$I$10)+C21*(H21-$I$9))</f>
        <v>241979.01327350814</v>
      </c>
      <c r="J21" s="302">
        <f>I21/C21</f>
        <v>2.7674908262238854E-2</v>
      </c>
      <c r="K21" s="302">
        <f>I21/C4-1</f>
        <v>2.6427093661453238E-2</v>
      </c>
      <c r="L21" s="118">
        <f t="shared" ref="L21:L50" si="3">IF($C$15&lt;B21,0,1/(1+Equity_Cost)^B21)</f>
        <v>0.93240093240093236</v>
      </c>
      <c r="M21" s="280">
        <f t="shared" ref="M21:M50" si="4">I21*L21</f>
        <v>225621.45759767658</v>
      </c>
    </row>
    <row r="22" spans="1:22">
      <c r="A22" s="305" t="str">
        <f t="shared" si="0"/>
        <v>I</v>
      </c>
      <c r="B22" s="116">
        <v>2</v>
      </c>
      <c r="C22" s="280">
        <f t="shared" ref="C22:C50" si="5">IF(A22="",0,C21*(1+D22))</f>
        <v>8922519.3285286743</v>
      </c>
      <c r="D22" s="302">
        <f t="shared" si="1"/>
        <v>2.0459999999999999E-2</v>
      </c>
      <c r="E22" s="302">
        <f t="shared" ref="E22:E50" si="6">IF($C$15&lt;B22,0,IF(B22&gt;=$F$15,$F$17,$C$17))</f>
        <v>0.89561620465585323</v>
      </c>
      <c r="F22" s="280">
        <f t="shared" ref="F22:F50" si="7">IF(A22="",0,F21*(1+D22))</f>
        <v>-514934.6540659187</v>
      </c>
      <c r="G22" s="280">
        <f t="shared" ref="G22:G50" si="8">IF(A22="", 0,C22*(1-E22)+F22+$I$6)</f>
        <v>334089.97982037067</v>
      </c>
      <c r="H22" s="302">
        <f t="shared" si="2"/>
        <v>0</v>
      </c>
      <c r="I22" s="280">
        <f>IF(A22="", 0,G22*(1-$I$10)+C22*(H22-$I$9))</f>
        <v>248336.63939043679</v>
      </c>
      <c r="J22" s="302">
        <f>IF(A22="", 0,I22/C22)</f>
        <v>2.7832569507180608E-2</v>
      </c>
      <c r="K22" s="302">
        <f>IF(A22="", 0,I22/I21-1)</f>
        <v>2.6273460788695191E-2</v>
      </c>
      <c r="L22" s="118">
        <f t="shared" si="3"/>
        <v>0.86937149874212816</v>
      </c>
      <c r="M22" s="280">
        <f t="shared" si="4"/>
        <v>215896.79637944745</v>
      </c>
    </row>
    <row r="23" spans="1:22">
      <c r="A23" s="305" t="str">
        <f t="shared" si="0"/>
        <v>I</v>
      </c>
      <c r="B23" s="116">
        <v>3</v>
      </c>
      <c r="C23" s="280">
        <f t="shared" si="5"/>
        <v>9105074.0739903711</v>
      </c>
      <c r="D23" s="302">
        <f t="shared" si="1"/>
        <v>2.0459999999999999E-2</v>
      </c>
      <c r="E23" s="302">
        <f t="shared" si="6"/>
        <v>0.89561620465585323</v>
      </c>
      <c r="F23" s="280">
        <f t="shared" si="7"/>
        <v>-525470.21708810737</v>
      </c>
      <c r="G23" s="280">
        <f t="shared" si="8"/>
        <v>342610.17398755846</v>
      </c>
      <c r="H23" s="302">
        <f t="shared" si="2"/>
        <v>0</v>
      </c>
      <c r="I23" s="280">
        <f t="shared" ref="I23:I50" si="9">IF(A23="", 0,G23*(1-$I$10)+C23*(H23-$I$9))</f>
        <v>254824.34253771775</v>
      </c>
      <c r="J23" s="302">
        <f t="shared" ref="J23:J50" si="10">IF(A23="", 0,I23/C23)</f>
        <v>2.798706967861481E-2</v>
      </c>
      <c r="K23" s="302">
        <f t="shared" ref="K23:K50" si="11">IF(A23="", 0,I23/I22-1)</f>
        <v>2.6124631319830893E-2</v>
      </c>
      <c r="L23" s="118">
        <f t="shared" si="3"/>
        <v>0.81060279602995633</v>
      </c>
      <c r="M23" s="280">
        <f t="shared" si="4"/>
        <v>206561.32455756934</v>
      </c>
      <c r="O23" s="278"/>
      <c r="P23" s="278"/>
      <c r="Q23" s="278"/>
      <c r="R23" s="278"/>
      <c r="S23" s="278"/>
      <c r="T23" s="278"/>
      <c r="U23" s="278"/>
      <c r="V23" s="278"/>
    </row>
    <row r="24" spans="1:22">
      <c r="A24" s="305" t="str">
        <f t="shared" si="0"/>
        <v>I</v>
      </c>
      <c r="B24" s="116">
        <v>4</v>
      </c>
      <c r="C24" s="280">
        <f t="shared" si="5"/>
        <v>9291363.8895442132</v>
      </c>
      <c r="D24" s="302">
        <f t="shared" si="1"/>
        <v>2.0459999999999999E-2</v>
      </c>
      <c r="E24" s="302">
        <f t="shared" si="6"/>
        <v>0.89561620465585323</v>
      </c>
      <c r="F24" s="280">
        <f t="shared" si="7"/>
        <v>-536221.33772973006</v>
      </c>
      <c r="G24" s="280">
        <f t="shared" si="8"/>
        <v>351304.69132740691</v>
      </c>
      <c r="H24" s="302">
        <f t="shared" si="2"/>
        <v>0</v>
      </c>
      <c r="I24" s="280">
        <f t="shared" si="9"/>
        <v>261444.78409139204</v>
      </c>
      <c r="J24" s="302">
        <f t="shared" si="10"/>
        <v>2.813847215537451E-2</v>
      </c>
      <c r="K24" s="302">
        <f t="shared" si="11"/>
        <v>2.5980412576535494E-2</v>
      </c>
      <c r="L24" s="118">
        <f t="shared" si="3"/>
        <v>0.75580680282513402</v>
      </c>
      <c r="M24" s="280">
        <f t="shared" si="4"/>
        <v>197601.74637942249</v>
      </c>
      <c r="O24" s="278"/>
      <c r="P24" s="278"/>
      <c r="Q24" s="278"/>
      <c r="R24" s="278"/>
      <c r="S24" s="278"/>
      <c r="T24" s="278"/>
      <c r="U24" s="278"/>
      <c r="V24" s="278"/>
    </row>
    <row r="25" spans="1:22">
      <c r="A25" s="305" t="str">
        <f t="shared" si="0"/>
        <v>I</v>
      </c>
      <c r="B25" s="116">
        <v>5</v>
      </c>
      <c r="C25" s="280">
        <f t="shared" si="5"/>
        <v>9481465.1947242878</v>
      </c>
      <c r="D25" s="302">
        <f t="shared" si="1"/>
        <v>2.0459999999999999E-2</v>
      </c>
      <c r="E25" s="302">
        <f t="shared" si="6"/>
        <v>0.89561620465585323</v>
      </c>
      <c r="F25" s="280">
        <f t="shared" si="7"/>
        <v>-547192.42629968026</v>
      </c>
      <c r="G25" s="280">
        <f t="shared" si="8"/>
        <v>360177.09849202877</v>
      </c>
      <c r="H25" s="302">
        <f t="shared" si="2"/>
        <v>0</v>
      </c>
      <c r="I25" s="280">
        <f t="shared" si="9"/>
        <v>268200.6798792546</v>
      </c>
      <c r="J25" s="302">
        <f t="shared" si="10"/>
        <v>2.8286839045560997E-2</v>
      </c>
      <c r="K25" s="302">
        <f t="shared" si="11"/>
        <v>2.5840621802196484E-2</v>
      </c>
      <c r="L25" s="118">
        <f t="shared" si="3"/>
        <v>0.70471496766912267</v>
      </c>
      <c r="M25" s="280">
        <f t="shared" si="4"/>
        <v>189005.03344994562</v>
      </c>
      <c r="O25" s="278"/>
      <c r="P25" s="278"/>
      <c r="Q25" s="278"/>
      <c r="R25" s="278"/>
      <c r="S25" s="278"/>
      <c r="T25" s="278"/>
      <c r="U25" s="278"/>
      <c r="V25" s="278"/>
    </row>
    <row r="26" spans="1:22">
      <c r="A26" s="305" t="str">
        <f t="shared" si="0"/>
        <v>I</v>
      </c>
      <c r="B26" s="116">
        <v>6</v>
      </c>
      <c r="C26" s="280">
        <f t="shared" si="5"/>
        <v>9675455.9726083465</v>
      </c>
      <c r="D26" s="302">
        <f t="shared" si="1"/>
        <v>2.0459999999999999E-2</v>
      </c>
      <c r="E26" s="302">
        <f t="shared" si="6"/>
        <v>0.89561620465585323</v>
      </c>
      <c r="F26" s="280">
        <f t="shared" si="7"/>
        <v>-558387.98334177164</v>
      </c>
      <c r="G26" s="280">
        <f t="shared" si="8"/>
        <v>369231.0351072388</v>
      </c>
      <c r="H26" s="302">
        <f t="shared" si="2"/>
        <v>0</v>
      </c>
      <c r="I26" s="280">
        <f t="shared" si="9"/>
        <v>275094.80129493691</v>
      </c>
      <c r="J26" s="302">
        <f t="shared" si="10"/>
        <v>2.8432231212021711E-2</v>
      </c>
      <c r="K26" s="302">
        <f t="shared" si="11"/>
        <v>2.5705085530678407E-2</v>
      </c>
      <c r="L26" s="118">
        <f t="shared" si="3"/>
        <v>0.65707689293158289</v>
      </c>
      <c r="M26" s="280">
        <f t="shared" si="4"/>
        <v>180758.43729650835</v>
      </c>
    </row>
    <row r="27" spans="1:22">
      <c r="A27" s="305" t="str">
        <f t="shared" si="0"/>
        <v>I</v>
      </c>
      <c r="B27" s="116">
        <v>7</v>
      </c>
      <c r="C27" s="280">
        <f t="shared" si="5"/>
        <v>9873415.8018079121</v>
      </c>
      <c r="D27" s="302">
        <f t="shared" si="1"/>
        <v>2.0459999999999999E-2</v>
      </c>
      <c r="E27" s="302">
        <f t="shared" si="6"/>
        <v>0.89561620465585323</v>
      </c>
      <c r="F27" s="280">
        <f t="shared" si="7"/>
        <v>-569812.6014809442</v>
      </c>
      <c r="G27" s="280">
        <f t="shared" si="8"/>
        <v>378470.21526559594</v>
      </c>
      <c r="H27" s="302">
        <f t="shared" si="2"/>
        <v>0</v>
      </c>
      <c r="I27" s="280">
        <f t="shared" si="9"/>
        <v>282129.97643478389</v>
      </c>
      <c r="J27" s="302">
        <f t="shared" si="10"/>
        <v>2.8574708297317262E-2</v>
      </c>
      <c r="K27" s="302">
        <f t="shared" si="11"/>
        <v>2.5573639002739235E-2</v>
      </c>
      <c r="L27" s="118">
        <f t="shared" si="3"/>
        <v>0.61265910762851561</v>
      </c>
      <c r="M27" s="280">
        <f t="shared" si="4"/>
        <v>172849.49959778885</v>
      </c>
    </row>
    <row r="28" spans="1:22">
      <c r="A28" s="305" t="str">
        <f t="shared" si="0"/>
        <v>II</v>
      </c>
      <c r="B28" s="116">
        <v>8</v>
      </c>
      <c r="C28" s="280">
        <f t="shared" si="5"/>
        <v>10075425.889112901</v>
      </c>
      <c r="D28" s="302">
        <f t="shared" si="1"/>
        <v>2.0459999999999999E-2</v>
      </c>
      <c r="E28" s="302">
        <f t="shared" si="6"/>
        <v>0.875</v>
      </c>
      <c r="F28" s="280">
        <f t="shared" si="7"/>
        <v>-581470.96730724431</v>
      </c>
      <c r="G28" s="280">
        <f t="shared" si="8"/>
        <v>595615.47117482661</v>
      </c>
      <c r="H28" s="302">
        <f t="shared" si="2"/>
        <v>0</v>
      </c>
      <c r="I28" s="280">
        <f t="shared" si="9"/>
        <v>462752.8214322282</v>
      </c>
      <c r="J28" s="302">
        <f t="shared" si="10"/>
        <v>4.5928859635825443E-2</v>
      </c>
      <c r="K28" s="302">
        <f t="shared" si="11"/>
        <v>0.64021146309915911</v>
      </c>
      <c r="L28" s="118">
        <f t="shared" si="3"/>
        <v>0.5712439231967511</v>
      </c>
      <c r="M28" s="280">
        <f t="shared" si="4"/>
        <v>264344.73718531162</v>
      </c>
    </row>
    <row r="29" spans="1:22">
      <c r="A29" s="305" t="str">
        <f t="shared" si="0"/>
        <v>II</v>
      </c>
      <c r="B29" s="116">
        <v>9</v>
      </c>
      <c r="C29" s="280">
        <f t="shared" si="5"/>
        <v>10281569.10280415</v>
      </c>
      <c r="D29" s="302">
        <f t="shared" si="1"/>
        <v>2.0459999999999999E-2</v>
      </c>
      <c r="E29" s="302">
        <f t="shared" si="6"/>
        <v>0.875</v>
      </c>
      <c r="F29" s="280">
        <f t="shared" si="7"/>
        <v>-593367.86329835048</v>
      </c>
      <c r="G29" s="280">
        <f t="shared" si="8"/>
        <v>609486.47689512663</v>
      </c>
      <c r="H29" s="302">
        <f t="shared" si="2"/>
        <v>0</v>
      </c>
      <c r="I29" s="280">
        <f t="shared" si="9"/>
        <v>473627.47966408433</v>
      </c>
      <c r="J29" s="302">
        <f t="shared" si="10"/>
        <v>4.6065680727167338E-2</v>
      </c>
      <c r="K29" s="302">
        <f t="shared" si="11"/>
        <v>2.3499928532469738E-2</v>
      </c>
      <c r="L29" s="118">
        <f t="shared" si="3"/>
        <v>0.53262836661701729</v>
      </c>
      <c r="M29" s="280">
        <f t="shared" si="4"/>
        <v>252267.43087841582</v>
      </c>
    </row>
    <row r="30" spans="1:22">
      <c r="A30" s="305" t="str">
        <f t="shared" si="0"/>
        <v>II</v>
      </c>
      <c r="B30" s="116">
        <v>10</v>
      </c>
      <c r="C30" s="280">
        <f t="shared" si="5"/>
        <v>10491930.006647522</v>
      </c>
      <c r="D30" s="302">
        <f t="shared" si="1"/>
        <v>2.0459999999999999E-2</v>
      </c>
      <c r="E30" s="302">
        <f t="shared" si="6"/>
        <v>0.875</v>
      </c>
      <c r="F30" s="280">
        <f t="shared" si="7"/>
        <v>-605508.1697814347</v>
      </c>
      <c r="G30" s="280">
        <f t="shared" si="8"/>
        <v>623641.28339246381</v>
      </c>
      <c r="H30" s="302">
        <f t="shared" si="2"/>
        <v>0</v>
      </c>
      <c r="I30" s="280">
        <f t="shared" si="9"/>
        <v>484724.63340336399</v>
      </c>
      <c r="J30" s="302">
        <f t="shared" si="10"/>
        <v>4.6199758585527169E-2</v>
      </c>
      <c r="K30" s="302">
        <f t="shared" si="11"/>
        <v>2.3430130673900429E-2</v>
      </c>
      <c r="L30" s="118">
        <f t="shared" si="3"/>
        <v>0.49662318565689262</v>
      </c>
      <c r="M30" s="280">
        <f t="shared" si="4"/>
        <v>240725.49160714805</v>
      </c>
    </row>
    <row r="31" spans="1:22">
      <c r="A31" s="305" t="str">
        <f t="shared" si="0"/>
        <v>II</v>
      </c>
      <c r="B31" s="116">
        <v>11</v>
      </c>
      <c r="C31" s="280">
        <f t="shared" si="5"/>
        <v>10706594.894583529</v>
      </c>
      <c r="D31" s="302">
        <f t="shared" si="1"/>
        <v>2.0459999999999999E-2</v>
      </c>
      <c r="E31" s="302">
        <f t="shared" si="6"/>
        <v>0.875</v>
      </c>
      <c r="F31" s="280">
        <f t="shared" si="7"/>
        <v>-617896.86693516281</v>
      </c>
      <c r="G31" s="280">
        <f t="shared" si="8"/>
        <v>638085.69723073661</v>
      </c>
      <c r="H31" s="302">
        <f t="shared" si="2"/>
        <v>0</v>
      </c>
      <c r="I31" s="280">
        <f t="shared" si="9"/>
        <v>496048.83490814938</v>
      </c>
      <c r="J31" s="302">
        <f t="shared" si="10"/>
        <v>4.6331148212126784E-2</v>
      </c>
      <c r="K31" s="302">
        <f t="shared" si="11"/>
        <v>2.3362133311186417E-2</v>
      </c>
      <c r="L31" s="118">
        <f t="shared" si="3"/>
        <v>0.46305192135840806</v>
      </c>
      <c r="M31" s="280">
        <f t="shared" si="4"/>
        <v>229696.36609181832</v>
      </c>
    </row>
    <row r="32" spans="1:22">
      <c r="A32" s="305" t="str">
        <f t="shared" si="0"/>
        <v>II</v>
      </c>
      <c r="B32" s="116">
        <v>12</v>
      </c>
      <c r="C32" s="280">
        <f t="shared" si="5"/>
        <v>10925651.826126708</v>
      </c>
      <c r="D32" s="302">
        <f t="shared" si="1"/>
        <v>2.0459999999999999E-2</v>
      </c>
      <c r="E32" s="302">
        <f t="shared" si="6"/>
        <v>0.875</v>
      </c>
      <c r="F32" s="280">
        <f t="shared" si="7"/>
        <v>-630539.03683265625</v>
      </c>
      <c r="G32" s="280">
        <f t="shared" si="8"/>
        <v>652825.64377614053</v>
      </c>
      <c r="H32" s="302">
        <f t="shared" si="2"/>
        <v>0</v>
      </c>
      <c r="I32" s="280">
        <f t="shared" si="9"/>
        <v>507604.72957572283</v>
      </c>
      <c r="J32" s="302">
        <f t="shared" si="10"/>
        <v>4.6459903505425511E-2</v>
      </c>
      <c r="K32" s="302">
        <f t="shared" si="11"/>
        <v>2.3295881079356207E-2</v>
      </c>
      <c r="L32" s="118">
        <f t="shared" si="3"/>
        <v>0.43175004322462285</v>
      </c>
      <c r="M32" s="280">
        <f t="shared" si="4"/>
        <v>219158.36393534133</v>
      </c>
    </row>
    <row r="33" spans="1:22">
      <c r="A33" s="305" t="str">
        <f t="shared" si="0"/>
        <v>II</v>
      </c>
      <c r="B33" s="116">
        <v>13</v>
      </c>
      <c r="C33" s="280">
        <f t="shared" si="5"/>
        <v>11149190.66248926</v>
      </c>
      <c r="D33" s="302">
        <f t="shared" si="1"/>
        <v>2.0459999999999999E-2</v>
      </c>
      <c r="E33" s="302">
        <f t="shared" si="6"/>
        <v>0.875</v>
      </c>
      <c r="F33" s="280">
        <f t="shared" si="7"/>
        <v>-643439.86552625231</v>
      </c>
      <c r="G33" s="280">
        <f t="shared" si="8"/>
        <v>667867.16962786345</v>
      </c>
      <c r="H33" s="302">
        <f t="shared" si="2"/>
        <v>0</v>
      </c>
      <c r="I33" s="280">
        <f t="shared" si="9"/>
        <v>519397.05784819479</v>
      </c>
      <c r="J33" s="302">
        <f t="shared" si="10"/>
        <v>4.6586077283230345E-2</v>
      </c>
      <c r="K33" s="302">
        <f t="shared" si="11"/>
        <v>2.3231320721397664E-2</v>
      </c>
      <c r="L33" s="118">
        <f t="shared" si="3"/>
        <v>0.40256414286678116</v>
      </c>
      <c r="M33" s="280">
        <f t="shared" si="4"/>
        <v>209090.63140018648</v>
      </c>
      <c r="O33" s="278"/>
      <c r="P33" s="278"/>
      <c r="Q33" s="278"/>
      <c r="R33" s="278"/>
      <c r="S33" s="278"/>
      <c r="T33" s="278"/>
      <c r="U33" s="278"/>
      <c r="V33" s="278"/>
    </row>
    <row r="34" spans="1:22">
      <c r="A34" s="305" t="str">
        <f t="shared" si="0"/>
        <v>II</v>
      </c>
      <c r="B34" s="116">
        <v>14</v>
      </c>
      <c r="C34" s="280">
        <f t="shared" si="5"/>
        <v>11377303.103443788</v>
      </c>
      <c r="D34" s="302">
        <f t="shared" si="1"/>
        <v>2.0459999999999999E-2</v>
      </c>
      <c r="E34" s="302">
        <f t="shared" si="6"/>
        <v>0.875</v>
      </c>
      <c r="F34" s="280">
        <f t="shared" si="7"/>
        <v>-656604.64517491939</v>
      </c>
      <c r="G34" s="280">
        <f t="shared" si="8"/>
        <v>683216.44509851246</v>
      </c>
      <c r="H34" s="302">
        <f t="shared" si="2"/>
        <v>0</v>
      </c>
      <c r="I34" s="280">
        <f t="shared" si="9"/>
        <v>531430.65715712134</v>
      </c>
      <c r="J34" s="302">
        <f t="shared" si="10"/>
        <v>4.6709721304362802E-2</v>
      </c>
      <c r="K34" s="302">
        <f t="shared" si="11"/>
        <v>2.3168400989371118E-2</v>
      </c>
      <c r="L34" s="118">
        <f t="shared" si="3"/>
        <v>0.37535118216016894</v>
      </c>
      <c r="M34" s="280">
        <f t="shared" si="4"/>
        <v>199473.12540008093</v>
      </c>
      <c r="O34" s="278"/>
      <c r="P34" s="278"/>
      <c r="Q34" s="278"/>
      <c r="R34" s="278"/>
      <c r="S34" s="278"/>
      <c r="T34" s="278"/>
      <c r="U34" s="278"/>
      <c r="V34" s="278"/>
    </row>
    <row r="35" spans="1:22">
      <c r="A35" s="305" t="str">
        <f t="shared" si="0"/>
        <v>II</v>
      </c>
      <c r="B35" s="116">
        <v>15</v>
      </c>
      <c r="C35" s="280">
        <f t="shared" si="5"/>
        <v>11610082.724940248</v>
      </c>
      <c r="D35" s="302">
        <f t="shared" si="1"/>
        <v>2.0459999999999999E-2</v>
      </c>
      <c r="E35" s="302">
        <f t="shared" si="6"/>
        <v>0.875</v>
      </c>
      <c r="F35" s="280">
        <f t="shared" si="7"/>
        <v>-670038.77621519822</v>
      </c>
      <c r="G35" s="280">
        <f t="shared" si="8"/>
        <v>698879.76674529107</v>
      </c>
      <c r="H35" s="302">
        <f t="shared" si="2"/>
        <v>0</v>
      </c>
      <c r="I35" s="280">
        <f t="shared" si="9"/>
        <v>543710.46390790876</v>
      </c>
      <c r="J35" s="302">
        <f t="shared" si="10"/>
        <v>4.6830886289891356E-2</v>
      </c>
      <c r="K35" s="302">
        <f t="shared" si="11"/>
        <v>2.3107072551060703E-2</v>
      </c>
      <c r="L35" s="118">
        <f t="shared" si="3"/>
        <v>0.34997779222393377</v>
      </c>
      <c r="M35" s="280">
        <f t="shared" si="4"/>
        <v>190286.58776754074</v>
      </c>
      <c r="O35" s="278"/>
      <c r="P35" s="278"/>
      <c r="Q35" s="278"/>
      <c r="R35" s="278"/>
      <c r="S35" s="278"/>
      <c r="T35" s="278"/>
      <c r="U35" s="278"/>
      <c r="V35" s="278"/>
    </row>
    <row r="36" spans="1:22">
      <c r="A36" s="305" t="str">
        <f t="shared" si="0"/>
        <v/>
      </c>
      <c r="B36" s="116">
        <v>16</v>
      </c>
      <c r="C36" s="280">
        <f t="shared" si="5"/>
        <v>0</v>
      </c>
      <c r="D36" s="302">
        <f t="shared" si="1"/>
        <v>0</v>
      </c>
      <c r="E36" s="302">
        <f t="shared" si="6"/>
        <v>0</v>
      </c>
      <c r="F36" s="280">
        <f t="shared" si="7"/>
        <v>0</v>
      </c>
      <c r="G36" s="280">
        <f t="shared" si="8"/>
        <v>0</v>
      </c>
      <c r="H36" s="302">
        <f t="shared" si="2"/>
        <v>0</v>
      </c>
      <c r="I36" s="280">
        <f t="shared" si="9"/>
        <v>0</v>
      </c>
      <c r="J36" s="302">
        <f t="shared" si="10"/>
        <v>0</v>
      </c>
      <c r="K36" s="302">
        <f t="shared" si="11"/>
        <v>0</v>
      </c>
      <c r="L36" s="118">
        <f t="shared" si="3"/>
        <v>0</v>
      </c>
      <c r="M36" s="280">
        <f t="shared" si="4"/>
        <v>0</v>
      </c>
    </row>
    <row r="37" spans="1:22">
      <c r="A37" s="305" t="str">
        <f t="shared" si="0"/>
        <v/>
      </c>
      <c r="B37" s="116">
        <v>17</v>
      </c>
      <c r="C37" s="280">
        <f t="shared" si="5"/>
        <v>0</v>
      </c>
      <c r="D37" s="302">
        <f t="shared" si="1"/>
        <v>0</v>
      </c>
      <c r="E37" s="302">
        <f t="shared" si="6"/>
        <v>0</v>
      </c>
      <c r="F37" s="280">
        <f t="shared" si="7"/>
        <v>0</v>
      </c>
      <c r="G37" s="280">
        <f t="shared" si="8"/>
        <v>0</v>
      </c>
      <c r="H37" s="302">
        <f t="shared" si="2"/>
        <v>0</v>
      </c>
      <c r="I37" s="280">
        <f t="shared" si="9"/>
        <v>0</v>
      </c>
      <c r="J37" s="302">
        <f t="shared" si="10"/>
        <v>0</v>
      </c>
      <c r="K37" s="302">
        <f t="shared" si="11"/>
        <v>0</v>
      </c>
      <c r="L37" s="118">
        <f t="shared" si="3"/>
        <v>0</v>
      </c>
      <c r="M37" s="280">
        <f t="shared" si="4"/>
        <v>0</v>
      </c>
    </row>
    <row r="38" spans="1:22">
      <c r="A38" s="305" t="str">
        <f t="shared" si="0"/>
        <v/>
      </c>
      <c r="B38" s="116">
        <v>18</v>
      </c>
      <c r="C38" s="280">
        <f t="shared" si="5"/>
        <v>0</v>
      </c>
      <c r="D38" s="302">
        <f t="shared" si="1"/>
        <v>0</v>
      </c>
      <c r="E38" s="302">
        <f t="shared" si="6"/>
        <v>0</v>
      </c>
      <c r="F38" s="280">
        <f t="shared" si="7"/>
        <v>0</v>
      </c>
      <c r="G38" s="280">
        <f t="shared" si="8"/>
        <v>0</v>
      </c>
      <c r="H38" s="302">
        <f t="shared" si="2"/>
        <v>0</v>
      </c>
      <c r="I38" s="280">
        <f t="shared" si="9"/>
        <v>0</v>
      </c>
      <c r="J38" s="302">
        <f t="shared" si="10"/>
        <v>0</v>
      </c>
      <c r="K38" s="302">
        <f t="shared" si="11"/>
        <v>0</v>
      </c>
      <c r="L38" s="118">
        <f t="shared" si="3"/>
        <v>0</v>
      </c>
      <c r="M38" s="280">
        <f t="shared" si="4"/>
        <v>0</v>
      </c>
    </row>
    <row r="39" spans="1:22">
      <c r="A39" s="305" t="str">
        <f t="shared" si="0"/>
        <v/>
      </c>
      <c r="B39" s="116">
        <v>19</v>
      </c>
      <c r="C39" s="280">
        <f t="shared" si="5"/>
        <v>0</v>
      </c>
      <c r="D39" s="302">
        <f t="shared" si="1"/>
        <v>0</v>
      </c>
      <c r="E39" s="302">
        <f t="shared" si="6"/>
        <v>0</v>
      </c>
      <c r="F39" s="280">
        <f t="shared" si="7"/>
        <v>0</v>
      </c>
      <c r="G39" s="280">
        <f t="shared" si="8"/>
        <v>0</v>
      </c>
      <c r="H39" s="302">
        <f t="shared" si="2"/>
        <v>0</v>
      </c>
      <c r="I39" s="280">
        <f t="shared" si="9"/>
        <v>0</v>
      </c>
      <c r="J39" s="302">
        <f t="shared" si="10"/>
        <v>0</v>
      </c>
      <c r="K39" s="302">
        <f t="shared" si="11"/>
        <v>0</v>
      </c>
      <c r="L39" s="118">
        <f t="shared" si="3"/>
        <v>0</v>
      </c>
      <c r="M39" s="280">
        <f t="shared" si="4"/>
        <v>0</v>
      </c>
    </row>
    <row r="40" spans="1:22">
      <c r="A40" s="305" t="str">
        <f t="shared" si="0"/>
        <v/>
      </c>
      <c r="B40" s="116">
        <v>20</v>
      </c>
      <c r="C40" s="280">
        <f t="shared" si="5"/>
        <v>0</v>
      </c>
      <c r="D40" s="302">
        <f t="shared" si="1"/>
        <v>0</v>
      </c>
      <c r="E40" s="302">
        <f t="shared" si="6"/>
        <v>0</v>
      </c>
      <c r="F40" s="280">
        <f t="shared" si="7"/>
        <v>0</v>
      </c>
      <c r="G40" s="280">
        <f t="shared" si="8"/>
        <v>0</v>
      </c>
      <c r="H40" s="302">
        <f t="shared" si="2"/>
        <v>0</v>
      </c>
      <c r="I40" s="280">
        <f t="shared" si="9"/>
        <v>0</v>
      </c>
      <c r="J40" s="302">
        <f t="shared" si="10"/>
        <v>0</v>
      </c>
      <c r="K40" s="302">
        <f t="shared" si="11"/>
        <v>0</v>
      </c>
      <c r="L40" s="118">
        <f t="shared" si="3"/>
        <v>0</v>
      </c>
      <c r="M40" s="280">
        <f t="shared" si="4"/>
        <v>0</v>
      </c>
    </row>
    <row r="41" spans="1:22">
      <c r="A41" s="305" t="str">
        <f t="shared" si="0"/>
        <v/>
      </c>
      <c r="B41" s="116">
        <v>21</v>
      </c>
      <c r="C41" s="280">
        <f t="shared" si="5"/>
        <v>0</v>
      </c>
      <c r="D41" s="302">
        <f t="shared" si="1"/>
        <v>0</v>
      </c>
      <c r="E41" s="302">
        <f t="shared" si="6"/>
        <v>0</v>
      </c>
      <c r="F41" s="280">
        <f t="shared" si="7"/>
        <v>0</v>
      </c>
      <c r="G41" s="280">
        <f t="shared" si="8"/>
        <v>0</v>
      </c>
      <c r="H41" s="302">
        <f t="shared" si="2"/>
        <v>0</v>
      </c>
      <c r="I41" s="280">
        <f t="shared" si="9"/>
        <v>0</v>
      </c>
      <c r="J41" s="302">
        <f t="shared" si="10"/>
        <v>0</v>
      </c>
      <c r="K41" s="302">
        <f t="shared" si="11"/>
        <v>0</v>
      </c>
      <c r="L41" s="118">
        <f t="shared" si="3"/>
        <v>0</v>
      </c>
      <c r="M41" s="280">
        <f t="shared" si="4"/>
        <v>0</v>
      </c>
    </row>
    <row r="42" spans="1:22">
      <c r="A42" s="305" t="str">
        <f t="shared" si="0"/>
        <v/>
      </c>
      <c r="B42" s="116">
        <v>22</v>
      </c>
      <c r="C42" s="280">
        <f t="shared" si="5"/>
        <v>0</v>
      </c>
      <c r="D42" s="302">
        <f t="shared" si="1"/>
        <v>0</v>
      </c>
      <c r="E42" s="302">
        <f t="shared" si="6"/>
        <v>0</v>
      </c>
      <c r="F42" s="280">
        <f t="shared" si="7"/>
        <v>0</v>
      </c>
      <c r="G42" s="280">
        <f t="shared" si="8"/>
        <v>0</v>
      </c>
      <c r="H42" s="302">
        <f t="shared" si="2"/>
        <v>0</v>
      </c>
      <c r="I42" s="280">
        <f t="shared" si="9"/>
        <v>0</v>
      </c>
      <c r="J42" s="302">
        <f t="shared" si="10"/>
        <v>0</v>
      </c>
      <c r="K42" s="302">
        <f t="shared" si="11"/>
        <v>0</v>
      </c>
      <c r="L42" s="118">
        <f t="shared" si="3"/>
        <v>0</v>
      </c>
      <c r="M42" s="280">
        <f t="shared" si="4"/>
        <v>0</v>
      </c>
    </row>
    <row r="43" spans="1:22">
      <c r="A43" s="305" t="str">
        <f t="shared" si="0"/>
        <v/>
      </c>
      <c r="B43" s="116">
        <v>23</v>
      </c>
      <c r="C43" s="280">
        <f t="shared" si="5"/>
        <v>0</v>
      </c>
      <c r="D43" s="302">
        <f t="shared" si="1"/>
        <v>0</v>
      </c>
      <c r="E43" s="302">
        <f t="shared" si="6"/>
        <v>0</v>
      </c>
      <c r="F43" s="280">
        <f t="shared" si="7"/>
        <v>0</v>
      </c>
      <c r="G43" s="280">
        <f t="shared" si="8"/>
        <v>0</v>
      </c>
      <c r="H43" s="302">
        <f t="shared" si="2"/>
        <v>0</v>
      </c>
      <c r="I43" s="280">
        <f t="shared" si="9"/>
        <v>0</v>
      </c>
      <c r="J43" s="302">
        <f t="shared" si="10"/>
        <v>0</v>
      </c>
      <c r="K43" s="302">
        <f t="shared" si="11"/>
        <v>0</v>
      </c>
      <c r="L43" s="118">
        <f t="shared" si="3"/>
        <v>0</v>
      </c>
      <c r="M43" s="280">
        <f t="shared" si="4"/>
        <v>0</v>
      </c>
    </row>
    <row r="44" spans="1:22">
      <c r="A44" s="305" t="str">
        <f t="shared" si="0"/>
        <v/>
      </c>
      <c r="B44" s="116">
        <v>24</v>
      </c>
      <c r="C44" s="280">
        <f t="shared" si="5"/>
        <v>0</v>
      </c>
      <c r="D44" s="302">
        <f t="shared" si="1"/>
        <v>0</v>
      </c>
      <c r="E44" s="302">
        <f t="shared" si="6"/>
        <v>0</v>
      </c>
      <c r="F44" s="280">
        <f t="shared" si="7"/>
        <v>0</v>
      </c>
      <c r="G44" s="280">
        <f t="shared" si="8"/>
        <v>0</v>
      </c>
      <c r="H44" s="302">
        <f t="shared" si="2"/>
        <v>0</v>
      </c>
      <c r="I44" s="280">
        <f t="shared" si="9"/>
        <v>0</v>
      </c>
      <c r="J44" s="302">
        <f t="shared" si="10"/>
        <v>0</v>
      </c>
      <c r="K44" s="302">
        <f t="shared" si="11"/>
        <v>0</v>
      </c>
      <c r="L44" s="118">
        <f t="shared" si="3"/>
        <v>0</v>
      </c>
      <c r="M44" s="280">
        <f t="shared" si="4"/>
        <v>0</v>
      </c>
    </row>
    <row r="45" spans="1:22">
      <c r="A45" s="305" t="str">
        <f t="shared" si="0"/>
        <v/>
      </c>
      <c r="B45" s="116">
        <v>25</v>
      </c>
      <c r="C45" s="280">
        <f t="shared" si="5"/>
        <v>0</v>
      </c>
      <c r="D45" s="302">
        <f t="shared" si="1"/>
        <v>0</v>
      </c>
      <c r="E45" s="302">
        <f t="shared" si="6"/>
        <v>0</v>
      </c>
      <c r="F45" s="280">
        <f t="shared" si="7"/>
        <v>0</v>
      </c>
      <c r="G45" s="280">
        <f t="shared" si="8"/>
        <v>0</v>
      </c>
      <c r="H45" s="302">
        <f t="shared" si="2"/>
        <v>0</v>
      </c>
      <c r="I45" s="280">
        <f t="shared" si="9"/>
        <v>0</v>
      </c>
      <c r="J45" s="302">
        <f t="shared" si="10"/>
        <v>0</v>
      </c>
      <c r="K45" s="302">
        <f t="shared" si="11"/>
        <v>0</v>
      </c>
      <c r="L45" s="118">
        <f t="shared" si="3"/>
        <v>0</v>
      </c>
      <c r="M45" s="280">
        <f t="shared" si="4"/>
        <v>0</v>
      </c>
    </row>
    <row r="46" spans="1:22">
      <c r="A46" s="305" t="str">
        <f t="shared" si="0"/>
        <v/>
      </c>
      <c r="B46" s="116">
        <v>26</v>
      </c>
      <c r="C46" s="280">
        <f t="shared" si="5"/>
        <v>0</v>
      </c>
      <c r="D46" s="302">
        <f t="shared" si="1"/>
        <v>0</v>
      </c>
      <c r="E46" s="302">
        <f t="shared" si="6"/>
        <v>0</v>
      </c>
      <c r="F46" s="280">
        <f t="shared" si="7"/>
        <v>0</v>
      </c>
      <c r="G46" s="280">
        <f t="shared" si="8"/>
        <v>0</v>
      </c>
      <c r="H46" s="302">
        <f t="shared" si="2"/>
        <v>0</v>
      </c>
      <c r="I46" s="280">
        <f t="shared" si="9"/>
        <v>0</v>
      </c>
      <c r="J46" s="302">
        <f t="shared" si="10"/>
        <v>0</v>
      </c>
      <c r="K46" s="302">
        <f t="shared" si="11"/>
        <v>0</v>
      </c>
      <c r="L46" s="118">
        <f t="shared" si="3"/>
        <v>0</v>
      </c>
      <c r="M46" s="280">
        <f t="shared" si="4"/>
        <v>0</v>
      </c>
    </row>
    <row r="47" spans="1:22">
      <c r="A47" s="305" t="str">
        <f t="shared" si="0"/>
        <v/>
      </c>
      <c r="B47" s="116">
        <v>27</v>
      </c>
      <c r="C47" s="280">
        <f t="shared" si="5"/>
        <v>0</v>
      </c>
      <c r="D47" s="302">
        <f t="shared" si="1"/>
        <v>0</v>
      </c>
      <c r="E47" s="302">
        <f t="shared" si="6"/>
        <v>0</v>
      </c>
      <c r="F47" s="280">
        <f t="shared" si="7"/>
        <v>0</v>
      </c>
      <c r="G47" s="280">
        <f t="shared" si="8"/>
        <v>0</v>
      </c>
      <c r="H47" s="302">
        <f t="shared" si="2"/>
        <v>0</v>
      </c>
      <c r="I47" s="280">
        <f t="shared" si="9"/>
        <v>0</v>
      </c>
      <c r="J47" s="302">
        <f t="shared" si="10"/>
        <v>0</v>
      </c>
      <c r="K47" s="302">
        <f t="shared" si="11"/>
        <v>0</v>
      </c>
      <c r="L47" s="118">
        <f t="shared" si="3"/>
        <v>0</v>
      </c>
      <c r="M47" s="280">
        <f t="shared" si="4"/>
        <v>0</v>
      </c>
      <c r="O47" s="278"/>
      <c r="P47" s="278"/>
      <c r="Q47" s="278"/>
      <c r="R47" s="278"/>
      <c r="S47" s="278"/>
      <c r="T47" s="278"/>
      <c r="U47" s="278"/>
      <c r="V47" s="278"/>
    </row>
    <row r="48" spans="1:22">
      <c r="A48" s="305" t="str">
        <f t="shared" si="0"/>
        <v/>
      </c>
      <c r="B48" s="116">
        <v>28</v>
      </c>
      <c r="C48" s="280">
        <f t="shared" si="5"/>
        <v>0</v>
      </c>
      <c r="D48" s="302">
        <f t="shared" si="1"/>
        <v>0</v>
      </c>
      <c r="E48" s="302">
        <f t="shared" si="6"/>
        <v>0</v>
      </c>
      <c r="F48" s="280">
        <f t="shared" si="7"/>
        <v>0</v>
      </c>
      <c r="G48" s="280">
        <f t="shared" si="8"/>
        <v>0</v>
      </c>
      <c r="H48" s="302">
        <f t="shared" si="2"/>
        <v>0</v>
      </c>
      <c r="I48" s="280">
        <f t="shared" si="9"/>
        <v>0</v>
      </c>
      <c r="J48" s="302">
        <f t="shared" si="10"/>
        <v>0</v>
      </c>
      <c r="K48" s="302">
        <f t="shared" si="11"/>
        <v>0</v>
      </c>
      <c r="L48" s="118">
        <f t="shared" si="3"/>
        <v>0</v>
      </c>
      <c r="M48" s="280">
        <f t="shared" si="4"/>
        <v>0</v>
      </c>
      <c r="O48" s="278"/>
      <c r="P48" s="278"/>
      <c r="Q48" s="278"/>
      <c r="R48" s="278"/>
      <c r="S48" s="278"/>
      <c r="T48" s="278"/>
      <c r="U48" s="278"/>
      <c r="V48" s="278"/>
    </row>
    <row r="49" spans="1:22">
      <c r="A49" s="305" t="str">
        <f t="shared" si="0"/>
        <v/>
      </c>
      <c r="B49" s="116">
        <v>29</v>
      </c>
      <c r="C49" s="280">
        <f t="shared" si="5"/>
        <v>0</v>
      </c>
      <c r="D49" s="302">
        <f t="shared" si="1"/>
        <v>0</v>
      </c>
      <c r="E49" s="302">
        <f t="shared" si="6"/>
        <v>0</v>
      </c>
      <c r="F49" s="280">
        <f t="shared" si="7"/>
        <v>0</v>
      </c>
      <c r="G49" s="280">
        <f t="shared" si="8"/>
        <v>0</v>
      </c>
      <c r="H49" s="302">
        <f t="shared" si="2"/>
        <v>0</v>
      </c>
      <c r="I49" s="280">
        <f t="shared" si="9"/>
        <v>0</v>
      </c>
      <c r="J49" s="302">
        <f t="shared" si="10"/>
        <v>0</v>
      </c>
      <c r="K49" s="302">
        <f t="shared" si="11"/>
        <v>0</v>
      </c>
      <c r="L49" s="118">
        <f t="shared" si="3"/>
        <v>0</v>
      </c>
      <c r="M49" s="280">
        <f t="shared" si="4"/>
        <v>0</v>
      </c>
      <c r="O49" s="278"/>
      <c r="P49" s="278"/>
      <c r="Q49" s="278"/>
      <c r="R49" s="278"/>
      <c r="S49" s="278"/>
      <c r="T49" s="278"/>
      <c r="U49" s="278"/>
      <c r="V49" s="278"/>
    </row>
    <row r="50" spans="1:22">
      <c r="A50" s="305" t="str">
        <f t="shared" si="0"/>
        <v/>
      </c>
      <c r="B50" s="116">
        <v>30</v>
      </c>
      <c r="C50" s="280">
        <f t="shared" si="5"/>
        <v>0</v>
      </c>
      <c r="D50" s="302">
        <f t="shared" si="1"/>
        <v>0</v>
      </c>
      <c r="E50" s="302">
        <f t="shared" si="6"/>
        <v>0</v>
      </c>
      <c r="F50" s="280">
        <f t="shared" si="7"/>
        <v>0</v>
      </c>
      <c r="G50" s="280">
        <f t="shared" si="8"/>
        <v>0</v>
      </c>
      <c r="H50" s="302">
        <f t="shared" si="2"/>
        <v>0</v>
      </c>
      <c r="I50" s="280">
        <f t="shared" si="9"/>
        <v>0</v>
      </c>
      <c r="J50" s="302">
        <f t="shared" si="10"/>
        <v>0</v>
      </c>
      <c r="K50" s="302">
        <f t="shared" si="11"/>
        <v>0</v>
      </c>
      <c r="L50" s="118">
        <f t="shared" si="3"/>
        <v>0</v>
      </c>
      <c r="M50" s="280">
        <f t="shared" si="4"/>
        <v>0</v>
      </c>
      <c r="O50" s="278"/>
      <c r="P50" s="278"/>
      <c r="Q50" s="278"/>
      <c r="R50" s="278"/>
      <c r="S50" s="278"/>
      <c r="T50" s="278"/>
      <c r="U50" s="278"/>
      <c r="V50" s="278"/>
    </row>
    <row r="51" spans="1:22">
      <c r="A51" s="318" t="s">
        <v>417</v>
      </c>
      <c r="B51" s="319">
        <f>C15+1</f>
        <v>16</v>
      </c>
      <c r="C51" s="280">
        <f>VLOOKUP(C15,B21:C50,2,FALSE)*(1+Terminal_Growth)</f>
        <v>11726183.55218965</v>
      </c>
      <c r="D51" s="304">
        <f>Terminal_Growth</f>
        <v>0.01</v>
      </c>
      <c r="E51" s="304">
        <f>F17</f>
        <v>0.875</v>
      </c>
      <c r="F51" s="280">
        <f>VLOOKUP(C15,B21:F50,5,FALSE)*(1+Terminal_Growth)</f>
        <v>-676739.16397735022</v>
      </c>
      <c r="G51" s="280">
        <f>C51*(1-E51)+F51+$I$6</f>
        <v>706691.98238931433</v>
      </c>
      <c r="H51" s="302">
        <f>F18</f>
        <v>0</v>
      </c>
      <c r="I51" s="280">
        <f>(G51*(1-$I$10)+C51*(H51-$I$9))/Equity_Cost</f>
        <v>7583932.7249299865</v>
      </c>
      <c r="J51" s="457"/>
      <c r="K51" s="418">
        <f>(G51*(1-$I$10)+C51*(H51-$I$9))/VLOOKUP(C15,B21:I50,8,FALSE)-1</f>
        <v>1.1264559091790138E-2</v>
      </c>
      <c r="L51" s="118">
        <f>1/(1+Equity_Cost)^C15</f>
        <v>0.34997779222393377</v>
      </c>
      <c r="M51" s="280">
        <f>I51*L51</f>
        <v>2654208.0314458385</v>
      </c>
    </row>
    <row r="52" spans="1:22" ht="13.15">
      <c r="G52" s="110"/>
      <c r="H52" s="110"/>
      <c r="I52" s="110"/>
      <c r="J52" s="110"/>
      <c r="K52" s="467" t="s">
        <v>419</v>
      </c>
      <c r="L52" s="467"/>
      <c r="M52" s="320">
        <f>SUM(M21:M51)</f>
        <v>5847545.06097004</v>
      </c>
    </row>
    <row r="53" spans="1:22">
      <c r="C53" s="110"/>
    </row>
    <row r="54" spans="1:22" ht="13.15">
      <c r="B54" s="114" t="s">
        <v>106</v>
      </c>
      <c r="C54" s="127"/>
      <c r="D54" s="127"/>
      <c r="E54" s="112"/>
      <c r="F54" s="112"/>
      <c r="G54" s="112"/>
      <c r="H54" s="112"/>
      <c r="I54" s="112"/>
      <c r="J54" s="112"/>
      <c r="K54" s="112"/>
      <c r="L54" s="112"/>
      <c r="M54" s="112"/>
    </row>
    <row r="55" spans="1:22" ht="13.15">
      <c r="A55" s="124">
        <f>M52</f>
        <v>5847545.06097004</v>
      </c>
      <c r="B55" s="122">
        <f>C94</f>
        <v>0</v>
      </c>
      <c r="C55" s="122">
        <f>C93</f>
        <v>0.01</v>
      </c>
      <c r="D55" s="122">
        <f>C92</f>
        <v>0.02</v>
      </c>
      <c r="E55" s="122">
        <f>C91</f>
        <v>0.03</v>
      </c>
      <c r="F55" s="122">
        <f>C90</f>
        <v>0.04</v>
      </c>
      <c r="G55" s="122"/>
      <c r="H55" s="122"/>
      <c r="I55" s="122"/>
      <c r="J55" s="122"/>
      <c r="K55" s="122"/>
      <c r="L55" s="122"/>
      <c r="M55" s="122"/>
    </row>
    <row r="56" spans="1:22" ht="13.15">
      <c r="A56" s="130">
        <v>1</v>
      </c>
      <c r="B56" s="117">
        <f t="dataTable" ref="B56:F69" dt2D="1" dtr="1" r1="C16" r2="C15"/>
        <v>5206787.1591482246</v>
      </c>
      <c r="C56" s="117">
        <v>5268338.5343319317</v>
      </c>
      <c r="D56" s="117">
        <v>5329889.9095156388</v>
      </c>
      <c r="E56" s="117">
        <v>5391441.2846993469</v>
      </c>
      <c r="F56" s="117">
        <v>5452992.6598830521</v>
      </c>
      <c r="G56" s="298"/>
      <c r="H56" s="298"/>
      <c r="I56" s="298"/>
      <c r="J56" s="298"/>
      <c r="K56" s="298"/>
      <c r="L56" s="298"/>
      <c r="M56" s="298"/>
    </row>
    <row r="57" spans="1:22" ht="13.15">
      <c r="A57" s="130">
        <v>2</v>
      </c>
      <c r="B57" s="117">
        <v>5202857.5668085525</v>
      </c>
      <c r="C57" s="117">
        <v>5323629.253582973</v>
      </c>
      <c r="D57" s="117">
        <v>5445574.3979319306</v>
      </c>
      <c r="E57" s="117">
        <v>5568692.9998554233</v>
      </c>
      <c r="F57" s="117">
        <v>5692985.0593534531</v>
      </c>
      <c r="G57" s="298"/>
      <c r="H57" s="298"/>
      <c r="I57" s="298"/>
      <c r="J57" s="298"/>
      <c r="K57" s="298"/>
      <c r="L57" s="298"/>
      <c r="M57" s="298"/>
    </row>
    <row r="58" spans="1:22" ht="13.15">
      <c r="A58" s="130">
        <v>3</v>
      </c>
      <c r="B58" s="117">
        <v>5199193.611247086</v>
      </c>
      <c r="C58" s="117">
        <v>5375697.9029475898</v>
      </c>
      <c r="D58" s="117">
        <v>5555596.0092928763</v>
      </c>
      <c r="E58" s="117">
        <v>5738920.75427105</v>
      </c>
      <c r="F58" s="117">
        <v>5925704.9618702075</v>
      </c>
      <c r="G58" s="298"/>
      <c r="H58" s="298"/>
      <c r="I58" s="298"/>
      <c r="J58" s="298"/>
      <c r="K58" s="298"/>
      <c r="L58" s="298"/>
      <c r="M58" s="298"/>
    </row>
    <row r="59" spans="1:22" ht="13.15">
      <c r="A59" s="130">
        <v>4</v>
      </c>
      <c r="B59" s="117">
        <v>5195777.3356652986</v>
      </c>
      <c r="C59" s="117">
        <v>5424732.2487361785</v>
      </c>
      <c r="D59" s="117">
        <v>5660231.9473704239</v>
      </c>
      <c r="E59" s="117">
        <v>5902402.8867168278</v>
      </c>
      <c r="F59" s="117">
        <v>6151372.7461288739</v>
      </c>
      <c r="G59" s="298"/>
      <c r="H59" s="298"/>
      <c r="I59" s="298"/>
      <c r="J59" s="298"/>
      <c r="K59" s="298"/>
      <c r="L59" s="298"/>
      <c r="M59" s="298"/>
    </row>
    <row r="60" spans="1:22" ht="13.15">
      <c r="A60" s="130">
        <v>5</v>
      </c>
      <c r="B60" s="117">
        <v>5064360.0856281556</v>
      </c>
      <c r="C60" s="117">
        <v>5340099.7422459759</v>
      </c>
      <c r="D60" s="117">
        <v>5626333.3657971751</v>
      </c>
      <c r="E60" s="117">
        <v>5923365.4713122062</v>
      </c>
      <c r="F60" s="117">
        <v>6231506.4772050446</v>
      </c>
      <c r="G60" s="298"/>
      <c r="H60" s="298"/>
      <c r="I60" s="298"/>
      <c r="J60" s="298"/>
      <c r="K60" s="298"/>
      <c r="L60" s="298"/>
      <c r="M60" s="298"/>
    </row>
    <row r="61" spans="1:22" ht="13.15">
      <c r="A61" s="130">
        <v>6</v>
      </c>
      <c r="B61" s="117">
        <v>5061390.0730055012</v>
      </c>
      <c r="C61" s="117">
        <v>5383585.6490940731</v>
      </c>
      <c r="D61" s="117">
        <v>5720975.9551992128</v>
      </c>
      <c r="E61" s="117">
        <v>6074147.6942401193</v>
      </c>
      <c r="F61" s="117">
        <v>6443704.6508330293</v>
      </c>
      <c r="G61" s="298"/>
      <c r="H61" s="298"/>
      <c r="I61" s="298"/>
      <c r="J61" s="298"/>
      <c r="K61" s="298"/>
      <c r="L61" s="298"/>
      <c r="M61" s="298"/>
    </row>
    <row r="62" spans="1:22" ht="13.15">
      <c r="A62" s="130">
        <v>7</v>
      </c>
      <c r="B62" s="117">
        <v>4939057.2766213538</v>
      </c>
      <c r="C62" s="117">
        <v>5301350.9630958345</v>
      </c>
      <c r="D62" s="117">
        <v>5684103.890725255</v>
      </c>
      <c r="E62" s="117">
        <v>6088304.5405420354</v>
      </c>
      <c r="F62" s="117">
        <v>6514979.8393424079</v>
      </c>
      <c r="G62" s="298"/>
      <c r="H62" s="298"/>
      <c r="I62" s="298"/>
      <c r="J62" s="298"/>
      <c r="K62" s="298"/>
      <c r="L62" s="298"/>
      <c r="M62" s="298"/>
    </row>
    <row r="63" spans="1:22" ht="13.15">
      <c r="A63" s="130">
        <v>8</v>
      </c>
      <c r="B63" s="117">
        <v>4936475.2322963132</v>
      </c>
      <c r="C63" s="117">
        <v>5339916.2598075392</v>
      </c>
      <c r="D63" s="117">
        <v>5769707.5551381893</v>
      </c>
      <c r="E63" s="117">
        <v>6227373.4308907911</v>
      </c>
      <c r="F63" s="117">
        <v>6714512.3735894747</v>
      </c>
      <c r="G63" s="298"/>
      <c r="H63" s="298"/>
      <c r="I63" s="298"/>
      <c r="J63" s="298"/>
      <c r="K63" s="298"/>
      <c r="L63" s="298"/>
      <c r="M63" s="298"/>
    </row>
    <row r="64" spans="1:22" ht="13.15">
      <c r="A64" s="130">
        <v>9</v>
      </c>
      <c r="B64" s="117">
        <v>4822586.5626733908</v>
      </c>
      <c r="C64" s="117">
        <v>5260226.41001481</v>
      </c>
      <c r="D64" s="117">
        <v>5730450.0277301557</v>
      </c>
      <c r="E64" s="117">
        <v>6235458.394854567</v>
      </c>
      <c r="F64" s="117">
        <v>6777581.2674698671</v>
      </c>
      <c r="G64" s="298"/>
      <c r="H64" s="298"/>
      <c r="I64" s="298"/>
      <c r="J64" s="298"/>
      <c r="K64" s="298"/>
      <c r="L64" s="298"/>
      <c r="M64" s="298"/>
    </row>
    <row r="65" spans="1:22" ht="13.15">
      <c r="A65" s="130">
        <v>10</v>
      </c>
      <c r="B65" s="117">
        <v>4820341.8069287129</v>
      </c>
      <c r="C65" s="117">
        <v>5294427.8839695137</v>
      </c>
      <c r="D65" s="117">
        <v>5807878.0377541967</v>
      </c>
      <c r="E65" s="117">
        <v>6363723.8885399923</v>
      </c>
      <c r="F65" s="117">
        <v>6965204.1463211058</v>
      </c>
      <c r="G65" s="298"/>
      <c r="H65" s="298"/>
      <c r="I65" s="298"/>
      <c r="J65" s="298"/>
      <c r="K65" s="298"/>
      <c r="L65" s="298"/>
      <c r="M65" s="298"/>
    </row>
    <row r="66" spans="1:22" ht="13.15">
      <c r="A66" s="130">
        <v>15</v>
      </c>
      <c r="B66" s="117">
        <v>4519968.5035771914</v>
      </c>
      <c r="C66" s="280">
        <v>5128748.6415617419</v>
      </c>
      <c r="D66" s="117">
        <v>5814029.3486343808</v>
      </c>
      <c r="E66" s="117">
        <v>6585353.4262468023</v>
      </c>
      <c r="F66" s="117">
        <v>7453389.0406408133</v>
      </c>
      <c r="G66" s="298"/>
      <c r="H66" s="298"/>
      <c r="I66" s="298"/>
      <c r="J66" s="298"/>
      <c r="K66" s="298"/>
      <c r="L66" s="298"/>
      <c r="M66" s="298"/>
      <c r="N66" s="278"/>
      <c r="O66" s="278"/>
      <c r="P66" s="278"/>
      <c r="Q66" s="278"/>
      <c r="R66" s="278"/>
      <c r="S66" s="278"/>
      <c r="T66" s="278"/>
      <c r="U66" s="278"/>
      <c r="V66" s="278"/>
    </row>
    <row r="67" spans="1:22" ht="13.15">
      <c r="A67" s="131">
        <v>20</v>
      </c>
      <c r="B67" s="117">
        <v>4350704.8605314568</v>
      </c>
      <c r="C67" s="280">
        <v>5057749.1358351018</v>
      </c>
      <c r="D67" s="117">
        <v>5881185.3002318302</v>
      </c>
      <c r="E67" s="117">
        <v>6840957.3425528873</v>
      </c>
      <c r="F67" s="117">
        <v>7960357.0303480336</v>
      </c>
      <c r="G67" s="298"/>
      <c r="H67" s="298"/>
      <c r="I67" s="298"/>
      <c r="J67" s="298"/>
      <c r="K67" s="298"/>
      <c r="L67" s="298"/>
      <c r="M67" s="298"/>
      <c r="N67" s="278"/>
      <c r="O67" s="278"/>
      <c r="P67" s="278"/>
      <c r="Q67" s="278"/>
      <c r="R67" s="278"/>
      <c r="S67" s="278"/>
      <c r="T67" s="278"/>
      <c r="U67" s="278"/>
      <c r="V67" s="278"/>
    </row>
    <row r="68" spans="1:22" ht="13.15">
      <c r="A68" s="131">
        <v>25</v>
      </c>
      <c r="B68" s="117">
        <v>4140929.8099611201</v>
      </c>
      <c r="C68" s="280">
        <v>4907504.7711621039</v>
      </c>
      <c r="D68" s="117">
        <v>5828319.2396262102</v>
      </c>
      <c r="E68" s="117">
        <v>6936932.9017041735</v>
      </c>
      <c r="F68" s="117">
        <v>8274236.1597959558</v>
      </c>
      <c r="G68" s="298"/>
      <c r="H68" s="298"/>
      <c r="I68" s="298"/>
      <c r="J68" s="298"/>
      <c r="K68" s="298"/>
      <c r="L68" s="298"/>
      <c r="M68" s="298"/>
      <c r="N68" s="278"/>
      <c r="O68" s="278"/>
      <c r="P68" s="278"/>
      <c r="Q68" s="278"/>
      <c r="R68" s="278"/>
      <c r="S68" s="278"/>
      <c r="T68" s="278"/>
      <c r="U68" s="278"/>
      <c r="V68" s="278"/>
    </row>
    <row r="69" spans="1:22" ht="13.15">
      <c r="A69" s="131">
        <v>30</v>
      </c>
      <c r="B69" s="117">
        <v>4022987.916040841</v>
      </c>
      <c r="C69" s="280">
        <v>4834526.2076854287</v>
      </c>
      <c r="D69" s="117">
        <v>5835713.7785455156</v>
      </c>
      <c r="E69" s="117">
        <v>7076238.5001169303</v>
      </c>
      <c r="F69" s="117">
        <v>8619148.9003422521</v>
      </c>
      <c r="G69" s="298"/>
      <c r="H69" s="298"/>
      <c r="I69" s="298"/>
      <c r="J69" s="298"/>
      <c r="K69" s="298"/>
      <c r="L69" s="298"/>
      <c r="M69" s="298"/>
      <c r="N69" s="278"/>
      <c r="O69" s="278"/>
      <c r="P69" s="278"/>
      <c r="Q69" s="278"/>
      <c r="R69" s="278"/>
      <c r="S69" s="278"/>
      <c r="T69" s="278"/>
      <c r="U69" s="278"/>
      <c r="V69" s="278"/>
    </row>
    <row r="70" spans="1:22">
      <c r="C70" s="278"/>
      <c r="D70" s="110"/>
      <c r="E70" s="110"/>
      <c r="F70" s="110"/>
      <c r="G70" s="110"/>
      <c r="H70" s="110"/>
      <c r="I70" s="110"/>
      <c r="J70" s="110"/>
      <c r="K70" s="110"/>
      <c r="L70" s="110"/>
      <c r="M70" s="110"/>
      <c r="N70" s="278"/>
      <c r="O70" s="278"/>
      <c r="P70" s="278"/>
      <c r="Q70" s="278"/>
      <c r="R70" s="278"/>
      <c r="S70" s="278"/>
      <c r="T70" s="278"/>
      <c r="U70" s="278"/>
      <c r="V70" s="278"/>
    </row>
    <row r="71" spans="1:22" ht="13.15">
      <c r="B71" s="114" t="s">
        <v>107</v>
      </c>
      <c r="C71" s="278"/>
      <c r="D71" s="110"/>
      <c r="E71" s="110"/>
      <c r="F71" s="110"/>
      <c r="G71" s="110"/>
      <c r="H71" s="110"/>
      <c r="I71" s="110"/>
      <c r="J71" s="110"/>
      <c r="K71" s="110"/>
      <c r="L71" s="110"/>
      <c r="M71" s="110"/>
      <c r="N71" s="278"/>
      <c r="O71" s="278"/>
      <c r="P71" s="278"/>
      <c r="Q71" s="278"/>
      <c r="R71" s="278"/>
      <c r="S71" s="278"/>
      <c r="T71" s="278"/>
      <c r="U71" s="278"/>
      <c r="V71" s="278"/>
    </row>
    <row r="72" spans="1:22" ht="13.15">
      <c r="B72" s="123">
        <f>B55</f>
        <v>0</v>
      </c>
      <c r="C72" s="123">
        <f>C55</f>
        <v>0.01</v>
      </c>
      <c r="D72" s="123">
        <f>D55</f>
        <v>0.02</v>
      </c>
      <c r="E72" s="123">
        <f>E55</f>
        <v>0.03</v>
      </c>
      <c r="F72" s="123">
        <f>F55</f>
        <v>0.04</v>
      </c>
      <c r="G72" s="123"/>
      <c r="H72" s="123"/>
      <c r="I72" s="123"/>
      <c r="J72" s="123"/>
      <c r="K72" s="123"/>
      <c r="L72" s="123"/>
      <c r="M72" s="123"/>
    </row>
    <row r="73" spans="1:22" ht="13.15">
      <c r="A73" s="130">
        <v>0</v>
      </c>
      <c r="B73" s="118">
        <f>C11</f>
        <v>3.6349669338004422</v>
      </c>
      <c r="C73" s="118">
        <f>C11</f>
        <v>3.6349669338004422</v>
      </c>
      <c r="D73" s="118">
        <f>C11</f>
        <v>3.6349669338004422</v>
      </c>
      <c r="E73" s="118">
        <f>C11</f>
        <v>3.6349669338004422</v>
      </c>
      <c r="F73" s="118">
        <f>C11</f>
        <v>3.6349669338004422</v>
      </c>
      <c r="G73" s="299"/>
      <c r="H73" s="299"/>
      <c r="I73" s="299"/>
      <c r="J73" s="299"/>
      <c r="K73" s="299"/>
      <c r="L73" s="299"/>
      <c r="M73" s="299"/>
    </row>
    <row r="74" spans="1:22" ht="13.15">
      <c r="A74" s="130">
        <v>1</v>
      </c>
      <c r="B74" s="118">
        <f t="shared" ref="B74:F87" si="12">(B56+FV_adjustments)/Common_Shares*scaling_factor*Exchange_Rate</f>
        <v>6.0437185354061009</v>
      </c>
      <c r="C74" s="118">
        <f t="shared" si="12"/>
        <v>6.149840858151582</v>
      </c>
      <c r="D74" s="118">
        <f t="shared" si="12"/>
        <v>6.2559631808970639</v>
      </c>
      <c r="E74" s="118">
        <f t="shared" si="12"/>
        <v>6.3620855036425477</v>
      </c>
      <c r="F74" s="118">
        <f t="shared" si="12"/>
        <v>6.468207826388026</v>
      </c>
      <c r="G74" s="299"/>
      <c r="H74" s="299"/>
      <c r="I74" s="299"/>
      <c r="J74" s="299"/>
      <c r="K74" s="299"/>
      <c r="L74" s="299"/>
      <c r="M74" s="299"/>
    </row>
    <row r="75" spans="1:22" ht="13.15">
      <c r="A75" s="130">
        <v>2</v>
      </c>
      <c r="B75" s="118">
        <f t="shared" si="12"/>
        <v>6.0369434233101611</v>
      </c>
      <c r="C75" s="118">
        <f t="shared" si="12"/>
        <v>6.245169021587027</v>
      </c>
      <c r="D75" s="118">
        <f t="shared" si="12"/>
        <v>6.4554178085104752</v>
      </c>
      <c r="E75" s="118">
        <f t="shared" si="12"/>
        <v>6.6676897840805021</v>
      </c>
      <c r="F75" s="118">
        <f t="shared" si="12"/>
        <v>6.8819849482971094</v>
      </c>
      <c r="G75" s="299"/>
      <c r="H75" s="299"/>
      <c r="I75" s="299"/>
      <c r="J75" s="299"/>
      <c r="K75" s="299"/>
      <c r="L75" s="299"/>
      <c r="M75" s="299"/>
    </row>
    <row r="76" spans="1:22" ht="13.15">
      <c r="A76" s="130">
        <v>3</v>
      </c>
      <c r="B76" s="118">
        <f t="shared" si="12"/>
        <v>6.0306263024747846</v>
      </c>
      <c r="C76" s="118">
        <f t="shared" si="12"/>
        <v>6.3349419307430166</v>
      </c>
      <c r="D76" s="118">
        <f t="shared" si="12"/>
        <v>6.6451089228840639</v>
      </c>
      <c r="E76" s="118">
        <f t="shared" si="12"/>
        <v>6.9611838715873491</v>
      </c>
      <c r="F76" s="118">
        <f t="shared" si="12"/>
        <v>7.2832233695422834</v>
      </c>
      <c r="G76" s="299"/>
      <c r="H76" s="299"/>
      <c r="I76" s="299"/>
      <c r="J76" s="299"/>
      <c r="K76" s="299"/>
      <c r="L76" s="299"/>
      <c r="M76" s="299"/>
    </row>
    <row r="77" spans="1:22" ht="13.15">
      <c r="A77" s="130">
        <v>4</v>
      </c>
      <c r="B77" s="118">
        <f t="shared" si="12"/>
        <v>6.0247362131177891</v>
      </c>
      <c r="C77" s="118">
        <f t="shared" si="12"/>
        <v>6.4194833183864182</v>
      </c>
      <c r="D77" s="118">
        <f t="shared" si="12"/>
        <v>6.8255144582323801</v>
      </c>
      <c r="E77" s="118">
        <f t="shared" si="12"/>
        <v>7.2430476572582645</v>
      </c>
      <c r="F77" s="118">
        <f t="shared" si="12"/>
        <v>7.6723030507497194</v>
      </c>
      <c r="G77" s="299"/>
      <c r="H77" s="299"/>
      <c r="I77" s="299"/>
      <c r="J77" s="299"/>
      <c r="K77" s="299"/>
      <c r="L77" s="299"/>
      <c r="M77" s="299"/>
    </row>
    <row r="78" spans="1:22" ht="13.15">
      <c r="A78" s="130">
        <v>5</v>
      </c>
      <c r="B78" s="118">
        <f t="shared" si="12"/>
        <v>5.7981563230480537</v>
      </c>
      <c r="C78" s="118">
        <f t="shared" si="12"/>
        <v>6.2735662183751444</v>
      </c>
      <c r="D78" s="118">
        <f t="shared" si="12"/>
        <v>6.7670690343309072</v>
      </c>
      <c r="E78" s="118">
        <f t="shared" si="12"/>
        <v>7.2791897931792029</v>
      </c>
      <c r="F78" s="118">
        <f t="shared" si="12"/>
        <v>7.8104636953605642</v>
      </c>
      <c r="G78" s="299"/>
      <c r="H78" s="299"/>
      <c r="I78" s="299"/>
      <c r="J78" s="299"/>
      <c r="K78" s="299"/>
      <c r="L78" s="299"/>
      <c r="M78" s="299"/>
    </row>
    <row r="79" spans="1:22" ht="13.15">
      <c r="A79" s="130">
        <v>6</v>
      </c>
      <c r="B79" s="118">
        <f t="shared" si="12"/>
        <v>5.7930356472360396</v>
      </c>
      <c r="C79" s="118">
        <f t="shared" si="12"/>
        <v>6.3485413985013439</v>
      </c>
      <c r="D79" s="118">
        <f t="shared" si="12"/>
        <v>6.9302447779761902</v>
      </c>
      <c r="E79" s="118">
        <f t="shared" si="12"/>
        <v>7.5391573353840569</v>
      </c>
      <c r="F79" s="118">
        <f t="shared" si="12"/>
        <v>8.1763200714454278</v>
      </c>
      <c r="G79" s="299"/>
      <c r="H79" s="299"/>
      <c r="I79" s="299"/>
      <c r="J79" s="299"/>
      <c r="K79" s="299"/>
      <c r="L79" s="299"/>
      <c r="M79" s="299"/>
    </row>
    <row r="80" spans="1:22" ht="13.15">
      <c r="A80" s="130">
        <f t="shared" ref="A80" si="13">A62</f>
        <v>7</v>
      </c>
      <c r="B80" s="118">
        <f t="shared" si="12"/>
        <v>5.5821184993820907</v>
      </c>
      <c r="C80" s="118">
        <f t="shared" si="12"/>
        <v>6.2067584430055183</v>
      </c>
      <c r="D80" s="118">
        <f t="shared" si="12"/>
        <v>6.8666726950662804</v>
      </c>
      <c r="E80" s="118">
        <f t="shared" si="12"/>
        <v>7.5635655213559554</v>
      </c>
      <c r="F80" s="118">
        <f t="shared" si="12"/>
        <v>8.2992074730048895</v>
      </c>
      <c r="G80" s="299"/>
      <c r="H80" s="299"/>
      <c r="I80" s="299"/>
      <c r="J80" s="299"/>
      <c r="K80" s="299"/>
      <c r="L80" s="299"/>
      <c r="M80" s="299"/>
    </row>
    <row r="81" spans="1:13" ht="13.15">
      <c r="A81" s="130">
        <v>8</v>
      </c>
      <c r="B81" s="118">
        <f t="shared" si="12"/>
        <v>5.5776667297768254</v>
      </c>
      <c r="C81" s="118">
        <f t="shared" si="12"/>
        <v>6.2732498715430589</v>
      </c>
      <c r="D81" s="118">
        <f t="shared" si="12"/>
        <v>7.0142641936463157</v>
      </c>
      <c r="E81" s="118">
        <f t="shared" si="12"/>
        <v>7.8033378029889642</v>
      </c>
      <c r="F81" s="118">
        <f t="shared" si="12"/>
        <v>8.6432266916558529</v>
      </c>
      <c r="G81" s="299"/>
      <c r="H81" s="299"/>
      <c r="I81" s="299"/>
      <c r="J81" s="299"/>
      <c r="K81" s="299"/>
      <c r="L81" s="299"/>
      <c r="M81" s="299"/>
    </row>
    <row r="82" spans="1:13" ht="13.15">
      <c r="A82" s="130">
        <f t="shared" ref="A82" si="14">A64</f>
        <v>9</v>
      </c>
      <c r="B82" s="118">
        <f t="shared" si="12"/>
        <v>5.3813083199329368</v>
      </c>
      <c r="C82" s="118">
        <f t="shared" si="12"/>
        <v>6.1358545341683453</v>
      </c>
      <c r="D82" s="118">
        <f t="shared" si="12"/>
        <v>6.9465792722070994</v>
      </c>
      <c r="E82" s="118">
        <f t="shared" si="12"/>
        <v>7.8172772991023898</v>
      </c>
      <c r="F82" s="118">
        <f t="shared" si="12"/>
        <v>8.7519654077543869</v>
      </c>
      <c r="G82" s="299"/>
      <c r="H82" s="299"/>
      <c r="I82" s="299"/>
      <c r="J82" s="299"/>
      <c r="K82" s="299"/>
      <c r="L82" s="299"/>
      <c r="M82" s="299"/>
    </row>
    <row r="83" spans="1:13" ht="13.15">
      <c r="A83" s="130">
        <f t="shared" ref="A83:A87" si="15">A65</f>
        <v>10</v>
      </c>
      <c r="B83" s="118">
        <f t="shared" si="12"/>
        <v>5.3774380783191553</v>
      </c>
      <c r="C83" s="118">
        <f t="shared" si="12"/>
        <v>6.1948221826824446</v>
      </c>
      <c r="D83" s="118">
        <f t="shared" si="12"/>
        <v>7.0800749129590335</v>
      </c>
      <c r="E83" s="118">
        <f t="shared" si="12"/>
        <v>8.0384231642819621</v>
      </c>
      <c r="F83" s="118">
        <f t="shared" si="12"/>
        <v>9.0754508805721912</v>
      </c>
      <c r="G83" s="299"/>
      <c r="H83" s="299"/>
      <c r="I83" s="299"/>
      <c r="J83" s="299"/>
      <c r="K83" s="299"/>
      <c r="L83" s="299"/>
      <c r="M83" s="299"/>
    </row>
    <row r="84" spans="1:13" ht="13.15">
      <c r="A84" s="130">
        <f t="shared" si="15"/>
        <v>15</v>
      </c>
      <c r="B84" s="118">
        <f t="shared" si="12"/>
        <v>4.8595566736022304</v>
      </c>
      <c r="C84" s="118">
        <f t="shared" si="12"/>
        <v>5.9091703027277207</v>
      </c>
      <c r="D84" s="118">
        <f t="shared" si="12"/>
        <v>7.0906805476274126</v>
      </c>
      <c r="E84" s="118">
        <f t="shared" si="12"/>
        <v>8.420540399847475</v>
      </c>
      <c r="F84" s="118">
        <f t="shared" si="12"/>
        <v>9.9171431215633987</v>
      </c>
      <c r="G84" s="299"/>
      <c r="H84" s="299"/>
      <c r="I84" s="299"/>
      <c r="J84" s="299"/>
      <c r="K84" s="299"/>
      <c r="L84" s="299"/>
      <c r="M84" s="299"/>
    </row>
    <row r="85" spans="1:13" ht="13.15">
      <c r="A85" s="131">
        <f t="shared" si="15"/>
        <v>20</v>
      </c>
      <c r="B85" s="118">
        <f t="shared" si="12"/>
        <v>4.5677248355195896</v>
      </c>
      <c r="C85" s="118">
        <f t="shared" si="12"/>
        <v>5.7867582130058546</v>
      </c>
      <c r="D85" s="118">
        <f t="shared" si="12"/>
        <v>7.2064658659640681</v>
      </c>
      <c r="E85" s="118">
        <f t="shared" si="12"/>
        <v>8.8612337429333952</v>
      </c>
      <c r="F85" s="118">
        <f t="shared" si="12"/>
        <v>10.79121978459105</v>
      </c>
      <c r="G85" s="299"/>
      <c r="H85" s="299"/>
      <c r="I85" s="299"/>
      <c r="J85" s="299"/>
      <c r="K85" s="299"/>
      <c r="L85" s="299"/>
      <c r="M85" s="299"/>
    </row>
    <row r="86" spans="1:13" ht="13.15">
      <c r="A86" s="131">
        <f t="shared" si="15"/>
        <v>25</v>
      </c>
      <c r="B86" s="118">
        <f t="shared" si="12"/>
        <v>4.2060462287600799</v>
      </c>
      <c r="C86" s="118">
        <f t="shared" si="12"/>
        <v>5.5277180061716411</v>
      </c>
      <c r="D86" s="118">
        <f t="shared" si="12"/>
        <v>7.1153181194006923</v>
      </c>
      <c r="E86" s="118">
        <f t="shared" si="12"/>
        <v>9.0267076943038091</v>
      </c>
      <c r="F86" s="118">
        <f t="shared" si="12"/>
        <v>11.33238693445451</v>
      </c>
      <c r="G86" s="299"/>
      <c r="H86" s="299"/>
      <c r="I86" s="299"/>
      <c r="J86" s="299"/>
      <c r="K86" s="299"/>
      <c r="L86" s="299"/>
      <c r="M86" s="299"/>
    </row>
    <row r="87" spans="1:13" ht="13.15">
      <c r="A87" s="131">
        <f t="shared" si="15"/>
        <v>30</v>
      </c>
      <c r="B87" s="118">
        <f t="shared" si="12"/>
        <v>4.0026995497546958</v>
      </c>
      <c r="C87" s="118">
        <f t="shared" si="12"/>
        <v>5.4018937716414044</v>
      </c>
      <c r="D87" s="118">
        <f t="shared" si="12"/>
        <v>7.1280672357836554</v>
      </c>
      <c r="E87" s="118">
        <f t="shared" si="12"/>
        <v>9.2668880904507382</v>
      </c>
      <c r="F87" s="118">
        <f t="shared" si="12"/>
        <v>11.927059938299463</v>
      </c>
      <c r="G87" s="299"/>
      <c r="H87" s="299"/>
      <c r="I87" s="299"/>
      <c r="J87" s="299"/>
      <c r="K87" s="299"/>
      <c r="L87" s="299"/>
      <c r="M87" s="299"/>
    </row>
    <row r="89" spans="1:13" ht="13.15">
      <c r="B89" s="152" t="s">
        <v>99</v>
      </c>
      <c r="C89" s="152" t="s">
        <v>108</v>
      </c>
      <c r="D89" s="152" t="s">
        <v>97</v>
      </c>
      <c r="E89" s="153" t="s">
        <v>98</v>
      </c>
      <c r="F89" s="153" t="s">
        <v>456</v>
      </c>
      <c r="G89" s="326"/>
      <c r="H89" s="326"/>
      <c r="I89" s="326"/>
      <c r="J89" s="326"/>
      <c r="K89" s="326"/>
      <c r="L89" s="326"/>
      <c r="M89" s="326"/>
    </row>
    <row r="90" spans="1:13">
      <c r="B90" s="119" t="str">
        <f>Scenarios!B29</f>
        <v>Snowball Scenario</v>
      </c>
      <c r="C90" s="129">
        <f>Scenarios!C29</f>
        <v>0.04</v>
      </c>
      <c r="D90" s="132">
        <f>Scenarios!D29</f>
        <v>15</v>
      </c>
      <c r="E90" s="126">
        <f>INDEX(B$73:F$87, MATCH(D90, A$73:A$87, 0), MATCH(C90, B$72:F$72, 0))</f>
        <v>9.9171431215633987</v>
      </c>
      <c r="F90" s="129">
        <f>Scenarios!F29</f>
        <v>0.05</v>
      </c>
      <c r="G90" s="300"/>
      <c r="H90" s="300"/>
      <c r="I90" s="300"/>
      <c r="J90" s="300"/>
      <c r="K90" s="300"/>
      <c r="L90" s="300"/>
      <c r="M90" s="300"/>
    </row>
    <row r="91" spans="1:13">
      <c r="B91" s="119" t="str">
        <f>Scenarios!B22</f>
        <v>Optimistic</v>
      </c>
      <c r="C91" s="129">
        <f>Scenarios!C22</f>
        <v>0.03</v>
      </c>
      <c r="D91" s="132">
        <f>Scenarios!D22</f>
        <v>15</v>
      </c>
      <c r="E91" s="126">
        <f>INDEX(B$73:F$87, MATCH(D91, A$73:A$87, 0), MATCH(C91, B$72:F$72, 0))</f>
        <v>8.420540399847475</v>
      </c>
      <c r="F91" s="129">
        <f>Scenarios!F22*(1-F$90-F$94)</f>
        <v>0.18</v>
      </c>
      <c r="G91" s="300"/>
      <c r="H91" s="300"/>
      <c r="I91" s="300"/>
      <c r="J91" s="300"/>
      <c r="K91" s="300"/>
      <c r="L91" s="300"/>
      <c r="M91" s="300"/>
    </row>
    <row r="92" spans="1:13">
      <c r="B92" s="119" t="str">
        <f>Scenarios!B23</f>
        <v>Base</v>
      </c>
      <c r="C92" s="129">
        <f>Scenarios!C23</f>
        <v>0.02</v>
      </c>
      <c r="D92" s="132">
        <f>Scenarios!D23</f>
        <v>15</v>
      </c>
      <c r="E92" s="126">
        <f>INDEX(B$73:F$87, MATCH(D92, A$73:A$87, 0), MATCH(C92, B$72:F$72, 0))</f>
        <v>7.0906805476274126</v>
      </c>
      <c r="F92" s="129">
        <f>Scenarios!F23*(1-F$90-F$94)</f>
        <v>0.53999999999999992</v>
      </c>
      <c r="G92" s="300"/>
      <c r="H92" s="300"/>
      <c r="I92" s="300"/>
      <c r="J92" s="300"/>
      <c r="K92" s="300"/>
      <c r="L92" s="300"/>
      <c r="M92" s="300"/>
    </row>
    <row r="93" spans="1:13">
      <c r="B93" s="119" t="str">
        <f>Scenarios!B24</f>
        <v>Pessimistic</v>
      </c>
      <c r="C93" s="129">
        <f>Scenarios!C24</f>
        <v>0.01</v>
      </c>
      <c r="D93" s="132">
        <f>Scenarios!D24</f>
        <v>15</v>
      </c>
      <c r="E93" s="126">
        <f>INDEX(B$73:F$87, MATCH(D93, A$73:A$87, 0), MATCH(C93, B$72:F$72, 0))</f>
        <v>5.9091703027277207</v>
      </c>
      <c r="F93" s="129">
        <f>Scenarios!F24*(1-F$90-F$94)</f>
        <v>0.18</v>
      </c>
      <c r="G93" s="300"/>
      <c r="H93" s="300"/>
      <c r="I93" s="300"/>
      <c r="J93" s="300"/>
      <c r="K93" s="300"/>
      <c r="L93" s="300"/>
      <c r="M93" s="300"/>
    </row>
    <row r="94" spans="1:13">
      <c r="B94" s="119" t="str">
        <f>Scenarios!B30</f>
        <v>Devil's advocate</v>
      </c>
      <c r="C94" s="129">
        <f>Scenarios!C30</f>
        <v>0</v>
      </c>
      <c r="D94" s="132">
        <f>Scenarios!D30</f>
        <v>15</v>
      </c>
      <c r="E94" s="126">
        <f>INDEX(B$73:F$87, MATCH(D94, A$73:A$87, 0), MATCH(C94, B$72:F$72, 0))</f>
        <v>4.8595566736022304</v>
      </c>
      <c r="F94" s="129">
        <f>Scenarios!F30</f>
        <v>0.05</v>
      </c>
      <c r="G94" s="300"/>
      <c r="H94" s="300"/>
      <c r="I94" s="300"/>
      <c r="J94" s="300"/>
      <c r="K94" s="300"/>
      <c r="L94" s="300"/>
      <c r="M94" s="300"/>
    </row>
    <row r="95" spans="1:13">
      <c r="B95" s="140"/>
      <c r="C95" s="140"/>
      <c r="D95" s="140"/>
      <c r="E95" s="140"/>
      <c r="F95" s="141"/>
      <c r="G95" s="141"/>
      <c r="H95" s="141"/>
      <c r="I95" s="141"/>
      <c r="J95" s="141"/>
      <c r="K95" s="141"/>
      <c r="L95" s="141"/>
      <c r="M95" s="141"/>
    </row>
    <row r="105" spans="3:3">
      <c r="C105" s="111"/>
    </row>
    <row r="106" spans="3:3">
      <c r="C106" s="111"/>
    </row>
    <row r="107" spans="3:3">
      <c r="C107" s="111"/>
    </row>
    <row r="114" spans="3:22">
      <c r="C114" s="278"/>
      <c r="N114" s="278"/>
      <c r="O114" s="278"/>
      <c r="P114" s="278"/>
      <c r="Q114" s="278"/>
      <c r="R114" s="278"/>
      <c r="S114" s="278"/>
      <c r="T114" s="278"/>
      <c r="U114" s="278"/>
      <c r="V114" s="278"/>
    </row>
    <row r="115" spans="3:22">
      <c r="C115" s="278"/>
      <c r="N115" s="278"/>
      <c r="O115" s="278"/>
      <c r="P115" s="278"/>
      <c r="Q115" s="278"/>
      <c r="R115" s="278"/>
      <c r="S115" s="278"/>
      <c r="T115" s="278"/>
      <c r="U115" s="278"/>
      <c r="V115" s="278"/>
    </row>
    <row r="116" spans="3:22">
      <c r="C116" s="278"/>
      <c r="N116" s="278"/>
      <c r="O116" s="278"/>
      <c r="P116" s="278"/>
      <c r="Q116" s="278"/>
      <c r="R116" s="278"/>
      <c r="S116" s="278"/>
      <c r="T116" s="278"/>
      <c r="U116" s="278"/>
      <c r="V116" s="278"/>
    </row>
    <row r="117" spans="3:22">
      <c r="C117" s="278"/>
      <c r="N117" s="278"/>
      <c r="O117" s="278"/>
      <c r="P117" s="278"/>
      <c r="Q117" s="278"/>
      <c r="R117" s="278"/>
      <c r="S117" s="278"/>
      <c r="T117" s="278"/>
      <c r="U117" s="278"/>
      <c r="V117" s="278"/>
    </row>
    <row r="118" spans="3:22">
      <c r="C118" s="278"/>
      <c r="N118" s="278"/>
      <c r="O118" s="278"/>
      <c r="P118" s="278"/>
      <c r="Q118" s="278"/>
      <c r="R118" s="278"/>
      <c r="S118" s="278"/>
      <c r="T118" s="278"/>
      <c r="U118" s="278"/>
      <c r="V118" s="278"/>
    </row>
  </sheetData>
  <mergeCells count="1">
    <mergeCell ref="K52:L52"/>
  </mergeCells>
  <phoneticPr fontId="2" type="noConversion"/>
  <conditionalFormatting sqref="B74:M87">
    <cfRule type="expression" dxfId="1" priority="21">
      <formula>ISNUMBER(MATCH(B74, $E$90:$E$94, 0))</formula>
    </cfRule>
  </conditionalFormatting>
  <conditionalFormatting sqref="C21:M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2" zoomScaleNormal="100" workbookViewId="0">
      <selection activeCell="D60" sqref="D60"/>
    </sheetView>
  </sheetViews>
  <sheetFormatPr defaultColWidth="8.796875" defaultRowHeight="12.75"/>
  <cols>
    <col min="1" max="1" width="2.6640625" customWidth="1"/>
    <col min="2" max="2" width="22.6640625" customWidth="1"/>
    <col min="3" max="7" width="20.6640625" customWidth="1"/>
  </cols>
  <sheetData>
    <row r="2" spans="2:7" ht="13.9">
      <c r="B2" s="34" t="s">
        <v>120</v>
      </c>
      <c r="C2" s="35"/>
      <c r="D2" s="35"/>
      <c r="E2" s="35"/>
      <c r="F2" s="35"/>
      <c r="G2" s="35"/>
    </row>
    <row r="3" spans="2:7" ht="13.15">
      <c r="B3" s="144" t="s">
        <v>123</v>
      </c>
      <c r="D3" s="96" t="s">
        <v>543</v>
      </c>
      <c r="E3" s="96"/>
    </row>
    <row r="4" spans="2:7" ht="12.75" customHeight="1">
      <c r="B4" s="138" t="s">
        <v>121</v>
      </c>
      <c r="C4" s="452">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48"/>
      <c r="D5" s="468"/>
      <c r="E5" s="468"/>
      <c r="F5" s="468"/>
      <c r="G5" s="468"/>
    </row>
    <row r="6" spans="2:7" ht="13.15">
      <c r="B6" s="144" t="s">
        <v>89</v>
      </c>
      <c r="C6" s="449" t="str">
        <f>DCF!C3&amp;" "&amp;Reporting_currency</f>
        <v>1000 HKD</v>
      </c>
      <c r="D6" s="468"/>
      <c r="E6" s="468"/>
      <c r="F6" s="468"/>
      <c r="G6" s="468"/>
    </row>
    <row r="7" spans="2:7" ht="12.75" customHeight="1">
      <c r="B7" s="96" t="s">
        <v>229</v>
      </c>
      <c r="C7" s="450">
        <f>Normalized_FCF!G8</f>
        <v>398162</v>
      </c>
      <c r="D7" s="468"/>
      <c r="E7" s="468"/>
      <c r="F7" s="468"/>
      <c r="G7" s="468"/>
    </row>
    <row r="8" spans="2:7">
      <c r="B8" s="96" t="s">
        <v>63</v>
      </c>
      <c r="C8" s="450">
        <f>Normalized_FCF!G19</f>
        <v>293091.35434234177</v>
      </c>
      <c r="D8" s="468"/>
      <c r="E8" s="468"/>
      <c r="F8" s="468"/>
      <c r="G8" s="468"/>
    </row>
    <row r="9" spans="2:7">
      <c r="B9" s="96" t="s">
        <v>54</v>
      </c>
      <c r="C9" s="450">
        <f>Normalized_FCF!C19</f>
        <v>235748.85617089932</v>
      </c>
      <c r="D9" s="468"/>
      <c r="E9" s="468"/>
      <c r="F9" s="468"/>
      <c r="G9" s="468"/>
    </row>
    <row r="10" spans="2:7">
      <c r="C10" s="451"/>
      <c r="D10" s="468"/>
      <c r="E10" s="468"/>
      <c r="F10" s="468"/>
      <c r="G10" s="468"/>
    </row>
    <row r="11" spans="2:7" ht="13.15">
      <c r="B11" s="144" t="s">
        <v>318</v>
      </c>
      <c r="C11" s="451"/>
      <c r="D11" s="468"/>
      <c r="E11" s="468"/>
      <c r="F11" s="468"/>
      <c r="G11" s="468"/>
    </row>
    <row r="12" spans="2:7">
      <c r="B12" s="113" t="s">
        <v>119</v>
      </c>
      <c r="C12" s="251">
        <f ca="1">(Normalized_FCF!G4/OFFSET(Normalized_FCF!G4, 0, $C$4))^(1/$C$4) - 1</f>
        <v>3.3358728201447585E-2</v>
      </c>
      <c r="D12" s="468"/>
      <c r="E12" s="468"/>
      <c r="F12" s="468"/>
      <c r="G12" s="468"/>
    </row>
    <row r="13" spans="2:7">
      <c r="B13" s="134" t="s">
        <v>125</v>
      </c>
      <c r="C13" s="251">
        <f ca="1">(Normalized_FCF!G8/OFFSET(Normalized_FCF!G8, 0, $C$4))^(1/$C$4) - 1</f>
        <v>0.35590966478967423</v>
      </c>
      <c r="D13" s="468"/>
      <c r="E13" s="468"/>
      <c r="F13" s="468"/>
      <c r="G13" s="468"/>
    </row>
    <row r="14" spans="2:7">
      <c r="B14" s="96" t="s">
        <v>63</v>
      </c>
      <c r="C14" s="251">
        <f ca="1">(Normalized_FCF!G19/OFFSET(Normalized_FCF!G19, 0, $C$4))^(1/$C$4) - 1</f>
        <v>0.61537099125495454</v>
      </c>
      <c r="D14" s="468"/>
      <c r="E14" s="468"/>
      <c r="F14" s="468"/>
      <c r="G14" s="468"/>
    </row>
    <row r="16" spans="2:7" ht="13.9">
      <c r="B16" s="34" t="s">
        <v>452</v>
      </c>
      <c r="C16" s="35"/>
      <c r="D16" s="35"/>
      <c r="E16" s="35"/>
      <c r="F16" s="35"/>
      <c r="G16" s="35"/>
    </row>
    <row r="17" spans="2:7" ht="13.15">
      <c r="B17" s="105" t="s">
        <v>124</v>
      </c>
      <c r="E17" s="221" t="s">
        <v>248</v>
      </c>
    </row>
    <row r="18" spans="2:7" ht="12.75" customHeight="1">
      <c r="B18" s="138" t="s">
        <v>109</v>
      </c>
      <c r="C18" s="136">
        <v>15</v>
      </c>
      <c r="E18" s="453" t="s">
        <v>544</v>
      </c>
      <c r="F18" s="322"/>
    </row>
    <row r="19" spans="2:7">
      <c r="E19" s="322"/>
      <c r="F19" s="322"/>
    </row>
    <row r="20" spans="2:7" ht="13.15">
      <c r="B20" s="105" t="s">
        <v>449</v>
      </c>
      <c r="E20" s="322"/>
      <c r="F20" s="322"/>
    </row>
    <row r="21" spans="2:7" ht="13.15">
      <c r="B21" s="152" t="s">
        <v>435</v>
      </c>
      <c r="C21" s="152" t="s">
        <v>376</v>
      </c>
      <c r="D21" s="152" t="s">
        <v>447</v>
      </c>
      <c r="E21" s="153" t="str">
        <f>"Value per share ("&amp;Market_currency&amp;")"</f>
        <v>Value per share (HKD)</v>
      </c>
      <c r="F21" s="153" t="s">
        <v>448</v>
      </c>
      <c r="G21" s="153" t="s">
        <v>456</v>
      </c>
    </row>
    <row r="22" spans="2:7">
      <c r="B22" s="305" t="s">
        <v>444</v>
      </c>
      <c r="C22" s="327">
        <v>0.03</v>
      </c>
      <c r="D22" s="328">
        <f>C18</f>
        <v>15</v>
      </c>
      <c r="E22" s="329">
        <f>DCF!E91</f>
        <v>8.420540399847475</v>
      </c>
      <c r="F22" s="331">
        <f>1-F23-F24</f>
        <v>0.2</v>
      </c>
      <c r="G22" s="331">
        <f>F22*(1-F$29-F$30)</f>
        <v>0.18</v>
      </c>
    </row>
    <row r="23" spans="2:7">
      <c r="B23" s="305" t="s">
        <v>436</v>
      </c>
      <c r="C23" s="327">
        <v>0.02</v>
      </c>
      <c r="D23" s="328">
        <f>C18</f>
        <v>15</v>
      </c>
      <c r="E23" s="329">
        <f>DCF!E92</f>
        <v>7.0906805476274126</v>
      </c>
      <c r="F23" s="330">
        <v>0.6</v>
      </c>
      <c r="G23" s="331">
        <f t="shared" ref="G23:G24" si="0">F23*(1-F$29-F$30)</f>
        <v>0.53999999999999992</v>
      </c>
    </row>
    <row r="24" spans="2:7">
      <c r="B24" s="305" t="s">
        <v>445</v>
      </c>
      <c r="C24" s="327">
        <v>0.01</v>
      </c>
      <c r="D24" s="328">
        <f>C18</f>
        <v>15</v>
      </c>
      <c r="E24" s="329">
        <f>DCF!E93</f>
        <v>5.9091703027277207</v>
      </c>
      <c r="F24" s="330">
        <v>0.2</v>
      </c>
      <c r="G24" s="331">
        <f t="shared" si="0"/>
        <v>0.18</v>
      </c>
    </row>
    <row r="25" spans="2:7">
      <c r="B25" s="140" t="s">
        <v>450</v>
      </c>
      <c r="C25" s="444">
        <f>E23*F23+E24*F24+E22*F22</f>
        <v>7.1203504690914867</v>
      </c>
      <c r="D25" s="140" t="str">
        <f>Market_currency</f>
        <v>HKD</v>
      </c>
      <c r="G25" s="148"/>
    </row>
    <row r="27" spans="2:7" ht="13.15">
      <c r="B27" s="105" t="s">
        <v>451</v>
      </c>
    </row>
    <row r="28" spans="2:7" ht="13.15">
      <c r="B28" s="152" t="s">
        <v>435</v>
      </c>
      <c r="C28" s="152" t="s">
        <v>376</v>
      </c>
      <c r="D28" s="152" t="s">
        <v>447</v>
      </c>
      <c r="E28" s="153" t="str">
        <f>"Value per share ("&amp;Market_currency&amp;")"</f>
        <v>Value per share (HKD)</v>
      </c>
      <c r="F28" s="153" t="s">
        <v>448</v>
      </c>
      <c r="G28" s="153" t="s">
        <v>456</v>
      </c>
    </row>
    <row r="29" spans="2:7">
      <c r="B29" s="305" t="s">
        <v>443</v>
      </c>
      <c r="C29" s="327">
        <v>0.04</v>
      </c>
      <c r="D29" s="328">
        <f>C18</f>
        <v>15</v>
      </c>
      <c r="E29" s="329">
        <f>DCF!E90</f>
        <v>9.9171431215633987</v>
      </c>
      <c r="F29" s="330">
        <v>0.05</v>
      </c>
      <c r="G29" s="331">
        <f>F29</f>
        <v>0.05</v>
      </c>
    </row>
    <row r="30" spans="2:7">
      <c r="B30" s="318" t="s">
        <v>446</v>
      </c>
      <c r="C30" s="327">
        <v>0</v>
      </c>
      <c r="D30" s="328">
        <f>C18</f>
        <v>15</v>
      </c>
      <c r="E30" s="329">
        <f>DCF!E94</f>
        <v>4.8595566736022304</v>
      </c>
      <c r="F30" s="330">
        <v>0.05</v>
      </c>
      <c r="G30" s="331">
        <f>F30</f>
        <v>0.05</v>
      </c>
    </row>
    <row r="31" spans="2:7">
      <c r="E31" s="332"/>
      <c r="F31" s="332"/>
    </row>
    <row r="32" spans="2:7" ht="13.15">
      <c r="B32" s="144" t="s">
        <v>455</v>
      </c>
    </row>
    <row r="33" spans="2:7">
      <c r="B33" s="96" t="s">
        <v>457</v>
      </c>
      <c r="C33" s="154">
        <f>Normalized_FCF!C88*(1-dividend_tax_rate)</f>
        <v>0.30000000000000004</v>
      </c>
      <c r="D33" t="str">
        <f>Market_currency</f>
        <v>HKD</v>
      </c>
      <c r="E33" s="96" t="s">
        <v>454</v>
      </c>
      <c r="F33" s="218">
        <f>Holding_Period</f>
        <v>3</v>
      </c>
    </row>
    <row r="34" spans="2:7">
      <c r="B34" s="96" t="s">
        <v>230</v>
      </c>
      <c r="C34" s="145">
        <f>Market_Price</f>
        <v>4.74</v>
      </c>
      <c r="D34" t="str">
        <f>Market_currency</f>
        <v>HKD</v>
      </c>
      <c r="E34" s="96" t="s">
        <v>453</v>
      </c>
      <c r="F34" s="333">
        <f>RATE(Holding_Period,$C$33,-C34,$C$36)</f>
        <v>0.20248380603638749</v>
      </c>
    </row>
    <row r="35" spans="2:7">
      <c r="B35" s="96" t="s">
        <v>433</v>
      </c>
      <c r="C35" s="323">
        <f>DCF!C11</f>
        <v>3.6349669338004422</v>
      </c>
      <c r="D35" s="96" t="str">
        <f>Market_currency</f>
        <v>HKD</v>
      </c>
      <c r="E35" s="96" t="s">
        <v>453</v>
      </c>
      <c r="F35" s="333">
        <f>RATE(Holding_Period,$C$33,-C35,$C$36)</f>
        <v>0.32031054314749879</v>
      </c>
    </row>
    <row r="36" spans="2:7">
      <c r="B36" s="96" t="s">
        <v>434</v>
      </c>
      <c r="C36" s="324">
        <f>E22*G22+E23*G23+E24*G24+E30*G30+E29*G29</f>
        <v>7.1471504119406184</v>
      </c>
      <c r="D36" t="str">
        <f>Market_currency</f>
        <v>HKD</v>
      </c>
      <c r="E36" s="96" t="s">
        <v>459</v>
      </c>
      <c r="F36" s="334" t="s">
        <v>458</v>
      </c>
    </row>
    <row r="38" spans="2:7" ht="13.9">
      <c r="B38" s="34" t="s">
        <v>410</v>
      </c>
      <c r="C38" s="35"/>
      <c r="D38" s="35"/>
      <c r="E38" s="35"/>
      <c r="F38" s="35"/>
      <c r="G38" s="35"/>
    </row>
    <row r="39" spans="2:7" ht="13.15">
      <c r="B39" s="417" t="str">
        <f>IF(DCF!F14="II","2","1")&amp;"-stage DCF"</f>
        <v>2-stage DCF</v>
      </c>
      <c r="E39" s="221" t="s">
        <v>248</v>
      </c>
    </row>
    <row r="40" spans="2:7">
      <c r="B40" t="s">
        <v>399</v>
      </c>
      <c r="C40" s="137">
        <v>0.875</v>
      </c>
      <c r="E40" s="96" t="s">
        <v>400</v>
      </c>
    </row>
    <row r="41" spans="2:7">
      <c r="B41" s="96" t="s">
        <v>398</v>
      </c>
      <c r="C41" s="137">
        <f>DCF!C16</f>
        <v>2.0459999999999999E-2</v>
      </c>
      <c r="E41" s="96"/>
    </row>
    <row r="43" spans="2:7" ht="13.9">
      <c r="B43" s="34" t="s">
        <v>273</v>
      </c>
      <c r="C43" s="35"/>
      <c r="D43" s="35"/>
      <c r="E43" s="35"/>
      <c r="F43" s="35"/>
      <c r="G43" s="35"/>
    </row>
    <row r="44" spans="2:7" ht="13.15">
      <c r="B44" s="105" t="s">
        <v>246</v>
      </c>
      <c r="E44" s="221" t="s">
        <v>248</v>
      </c>
    </row>
    <row r="45" spans="2:7">
      <c r="B45" s="138" t="s">
        <v>109</v>
      </c>
      <c r="C45" s="149">
        <f>C18</f>
        <v>15</v>
      </c>
      <c r="D45" s="136"/>
      <c r="E45" s="220" t="s">
        <v>304</v>
      </c>
    </row>
    <row r="46" spans="2:7">
      <c r="B46" s="113" t="s">
        <v>110</v>
      </c>
      <c r="C46" s="137">
        <v>2.0459999999999999E-2</v>
      </c>
      <c r="D46" s="137"/>
      <c r="E46" s="220" t="s">
        <v>249</v>
      </c>
    </row>
    <row r="47" spans="2:7">
      <c r="B47" s="96" t="s">
        <v>94</v>
      </c>
      <c r="C47" s="145">
        <f>DCF!I18</f>
        <v>7.1484658567438037</v>
      </c>
      <c r="D47" s="145" t="str">
        <f>Market_currency</f>
        <v>HKD</v>
      </c>
      <c r="E47" s="220" t="s">
        <v>250</v>
      </c>
    </row>
    <row r="49" spans="2:7" ht="13.15">
      <c r="B49" s="105" t="s">
        <v>274</v>
      </c>
      <c r="C49" s="217" t="str">
        <f>IF(Scenarios!C50="Y",Scenarios!B50,"")&amp;IF(Scenarios!C51="Y",Scenarios!B51,"")&amp;IF(Scenarios!C52="Y",Scenarios!B52,"")&amp;" "&amp;IF(Scenarios!C53="Y",Scenarios!B53,"")</f>
        <v xml:space="preserve">Low Growth </v>
      </c>
      <c r="E49" s="221" t="s">
        <v>251</v>
      </c>
    </row>
    <row r="50" spans="2:7">
      <c r="B50" s="96" t="s">
        <v>247</v>
      </c>
      <c r="C50" s="217" t="str">
        <f>IF(C36&lt;C35,"Y","N")</f>
        <v>N</v>
      </c>
      <c r="E50" s="125"/>
    </row>
    <row r="51" spans="2:7">
      <c r="B51" s="96" t="s">
        <v>243</v>
      </c>
      <c r="C51" s="217" t="str">
        <f>IF(C50="Y","N",IF(C46&gt;8%,"N","Y"))</f>
        <v>Y</v>
      </c>
      <c r="E51" s="220" t="s">
        <v>244</v>
      </c>
    </row>
    <row r="52" spans="2:7">
      <c r="B52" s="96" t="s">
        <v>242</v>
      </c>
      <c r="C52" s="217" t="str">
        <f>IF(C46&gt;8%,"Y","N")</f>
        <v>N</v>
      </c>
      <c r="E52" s="220"/>
    </row>
    <row r="53" spans="2:7">
      <c r="B53" s="96" t="s">
        <v>234</v>
      </c>
      <c r="C53" s="216" t="str">
        <f>IF(F53&gt;50%,"Y","N")</f>
        <v>N</v>
      </c>
      <c r="E53" s="125" t="s">
        <v>270</v>
      </c>
      <c r="F53" s="251">
        <f>BS!D89/C36</f>
        <v>-0.41043466461936945</v>
      </c>
    </row>
    <row r="55" spans="2:7" ht="13.9">
      <c r="B55" s="34" t="s">
        <v>105</v>
      </c>
      <c r="C55" s="35"/>
      <c r="D55" s="35"/>
      <c r="E55" s="35"/>
      <c r="F55" s="35"/>
      <c r="G55" s="35"/>
    </row>
    <row r="56" spans="2:7" ht="13.15">
      <c r="B56" s="105" t="s">
        <v>104</v>
      </c>
    </row>
    <row r="57" spans="2:7">
      <c r="B57" s="219" t="s">
        <v>245</v>
      </c>
      <c r="C57" s="218">
        <f>Holding_Period</f>
        <v>3</v>
      </c>
      <c r="D57" s="125"/>
    </row>
    <row r="58" spans="2:7">
      <c r="B58" s="96" t="s">
        <v>330</v>
      </c>
      <c r="C58" s="154">
        <f>C33</f>
        <v>0.30000000000000004</v>
      </c>
      <c r="D58" t="str">
        <f>Market_currency</f>
        <v>HKD</v>
      </c>
    </row>
    <row r="60" spans="2:7" ht="13.15">
      <c r="B60" s="105" t="s">
        <v>472</v>
      </c>
      <c r="E60" s="416"/>
    </row>
    <row r="61" spans="2:7" ht="13.15">
      <c r="B61" s="152" t="s">
        <v>461</v>
      </c>
      <c r="C61" s="152" t="s">
        <v>101</v>
      </c>
      <c r="D61" s="152" t="s">
        <v>102</v>
      </c>
      <c r="E61" s="153" t="str">
        <f>"Buy below ("&amp;Market_currency&amp;")"</f>
        <v>Buy below (HKD)</v>
      </c>
      <c r="F61" s="153" t="s">
        <v>453</v>
      </c>
      <c r="G61" s="153" t="s">
        <v>460</v>
      </c>
    </row>
    <row r="62" spans="2:7" ht="13.15">
      <c r="B62" s="305" t="s">
        <v>309</v>
      </c>
      <c r="C62" s="118">
        <f>PV(F62, Holding_Period, -C58, 0)</f>
        <v>0.54895547283303603</v>
      </c>
      <c r="D62" s="118">
        <f>C36/(1+F62)^Holding_Period</f>
        <v>3.2936177013551244</v>
      </c>
      <c r="E62" s="335">
        <f>C62+D62</f>
        <v>3.8425731741881606</v>
      </c>
      <c r="F62" s="304">
        <f>Thesis!E22</f>
        <v>0.29465259038036601</v>
      </c>
      <c r="G62" s="443">
        <f>(1-E62/C36)</f>
        <v>0.46236290651328094</v>
      </c>
    </row>
    <row r="63" spans="2:7" ht="13.15">
      <c r="B63" s="305" t="s">
        <v>310</v>
      </c>
      <c r="C63" s="118">
        <f>PV(F63, Holding_Period, -C58, 0)</f>
        <v>0.6312011841807238</v>
      </c>
      <c r="D63" s="118">
        <f>C36/(1+F63)^Holding_Period</f>
        <v>4.1283179274747273</v>
      </c>
      <c r="E63" s="335">
        <f>C63+D63</f>
        <v>4.7595191116554512</v>
      </c>
      <c r="F63" s="304">
        <f>Thesis!E23</f>
        <v>0.20075184365903001</v>
      </c>
      <c r="G63" s="443">
        <f>(1-E63/C36)</f>
        <v>0.33406758815320214</v>
      </c>
    </row>
    <row r="65" spans="2:7" ht="13.15">
      <c r="B65" s="152" t="s">
        <v>462</v>
      </c>
      <c r="C65" s="152" t="s">
        <v>101</v>
      </c>
      <c r="D65" s="152" t="s">
        <v>102</v>
      </c>
      <c r="E65" s="153" t="str">
        <f>"Sell above ("&amp;Market_currency&amp;")"</f>
        <v>Sell above (HKD)</v>
      </c>
      <c r="F65" s="153" t="s">
        <v>453</v>
      </c>
      <c r="G65" s="153" t="s">
        <v>460</v>
      </c>
    </row>
    <row r="66" spans="2:7" ht="13.15">
      <c r="B66" s="305" t="s">
        <v>312</v>
      </c>
      <c r="C66" s="118">
        <f>PV(F66, Holding_Period, -C58, 0)</f>
        <v>0.7237809377815948</v>
      </c>
      <c r="D66" s="118">
        <f>C36/(1+F66)^Holding_Period</f>
        <v>5.1227943381984664</v>
      </c>
      <c r="E66" s="335">
        <f>C66+D66</f>
        <v>5.8465752759800615</v>
      </c>
      <c r="F66" s="304">
        <f>Thesis!E24</f>
        <v>0.1174</v>
      </c>
      <c r="G66" s="443">
        <f>(1-E66/C36)</f>
        <v>0.18197114388242186</v>
      </c>
    </row>
    <row r="67" spans="2:7" ht="13.15">
      <c r="B67" s="305" t="s">
        <v>311</v>
      </c>
      <c r="C67" s="118">
        <f>PV(F67, Holding_Period, -C58, 0)</f>
        <v>0.78371256815190493</v>
      </c>
      <c r="D67" s="118">
        <f>C36/(1+F67)^Holding_Period</f>
        <v>5.7935001075657198</v>
      </c>
      <c r="E67" s="335">
        <f>C67+D67</f>
        <v>6.5772126757176244</v>
      </c>
      <c r="F67" s="304">
        <f>Thesis!E25</f>
        <v>7.2499999999999995E-2</v>
      </c>
      <c r="G67" s="443">
        <f>(1-E67/C36)</f>
        <v>7.9743352717302374E-2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331</v>
      </c>
      <c r="B2" s="348"/>
      <c r="C2" s="348"/>
      <c r="D2" s="348"/>
      <c r="E2" s="348"/>
      <c r="F2" s="348"/>
      <c r="G2" s="349"/>
      <c r="H2" s="349"/>
      <c r="I2" s="349"/>
      <c r="J2" s="349"/>
    </row>
    <row r="3" spans="1:10">
      <c r="E3" s="438" t="s">
        <v>541</v>
      </c>
      <c r="F3" s="439">
        <f>Thesis!F3</f>
        <v>46038</v>
      </c>
    </row>
    <row r="4" spans="1:10">
      <c r="B4" s="425" t="s">
        <v>533</v>
      </c>
      <c r="C4" s="426" t="str">
        <f>Thesis!C4</f>
        <v>大家乐集团</v>
      </c>
      <c r="D4" s="352"/>
      <c r="E4" s="437" t="s">
        <v>539</v>
      </c>
      <c r="F4" s="440" t="str">
        <f>Thesis!F4</f>
        <v>INT</v>
      </c>
    </row>
    <row r="5" spans="1:10">
      <c r="B5" s="346" t="s">
        <v>361</v>
      </c>
      <c r="C5" s="358" t="str">
        <f>Thesis!C5</f>
        <v>0341.HK</v>
      </c>
      <c r="E5" s="441" t="s">
        <v>540</v>
      </c>
      <c r="F5" s="442" t="str">
        <f>Thesis!F5</f>
        <v>Y</v>
      </c>
    </row>
    <row r="6" spans="1:10">
      <c r="B6" s="353" t="s">
        <v>333</v>
      </c>
      <c r="C6" s="355" t="str">
        <f>Thesis!C6</f>
        <v>CNS_01</v>
      </c>
      <c r="E6" s="357"/>
    </row>
    <row r="7" spans="1:10">
      <c r="B7" s="346" t="s">
        <v>363</v>
      </c>
      <c r="C7" s="355" t="str">
        <f>Market_currency</f>
        <v>HKD</v>
      </c>
      <c r="D7" s="357"/>
      <c r="E7" s="357"/>
    </row>
    <row r="8" spans="1:10">
      <c r="B8" s="354" t="s">
        <v>362</v>
      </c>
      <c r="C8" s="359">
        <f>Market_Price</f>
        <v>4.74</v>
      </c>
    </row>
    <row r="9" spans="1:10">
      <c r="B9" s="354" t="s">
        <v>358</v>
      </c>
      <c r="C9" s="356">
        <f>Common_Shares</f>
        <v>580004033</v>
      </c>
    </row>
    <row r="10" spans="1:10">
      <c r="B10" s="354" t="s">
        <v>364</v>
      </c>
      <c r="C10" s="360">
        <f>投资主题!C8*Common_Shares/1000000</f>
        <v>2749.2191164199999</v>
      </c>
      <c r="D10" s="346" t="s">
        <v>528</v>
      </c>
      <c r="E10" s="363">
        <f>Scenarios!F34</f>
        <v>0.20248380603638749</v>
      </c>
    </row>
    <row r="11" spans="1:10">
      <c r="D11" s="352"/>
      <c r="E11" s="352"/>
    </row>
    <row r="12" spans="1:10" ht="24.5" customHeight="1">
      <c r="B12" s="473" t="s">
        <v>497</v>
      </c>
      <c r="C12" s="473"/>
      <c r="D12" s="473"/>
      <c r="E12" s="473"/>
      <c r="F12" s="473"/>
    </row>
    <row r="14" spans="1:10">
      <c r="B14" s="350" t="s">
        <v>367</v>
      </c>
      <c r="C14" s="351"/>
      <c r="D14" s="352"/>
    </row>
    <row r="15" spans="1:10">
      <c r="B15" s="346" t="s">
        <v>334</v>
      </c>
      <c r="C15" s="361" t="str">
        <f>Thesis!C15</f>
        <v>N</v>
      </c>
      <c r="D15" s="354" t="s">
        <v>365</v>
      </c>
      <c r="E15" s="347" t="str">
        <f>IF(E17=C7,C7,E17&amp;"/"&amp;C7)</f>
        <v>HKD</v>
      </c>
    </row>
    <row r="16" spans="1:10">
      <c r="B16" s="346" t="s">
        <v>335</v>
      </c>
      <c r="C16" s="361" t="str">
        <f>Thesis!C16</f>
        <v>N</v>
      </c>
      <c r="D16" s="354" t="s">
        <v>366</v>
      </c>
      <c r="E16" s="428">
        <f>Exchange_Rate</f>
        <v>1</v>
      </c>
    </row>
    <row r="17" spans="1:6">
      <c r="B17" s="346" t="s">
        <v>534</v>
      </c>
      <c r="C17" s="427">
        <f>Terminal_Growth</f>
        <v>0.01</v>
      </c>
      <c r="D17" s="354" t="s">
        <v>336</v>
      </c>
      <c r="E17" s="347" t="str">
        <f>Reporting_currency</f>
        <v>HKD</v>
      </c>
    </row>
    <row r="18" spans="1:6">
      <c r="B18" s="346" t="str">
        <f>"预期股权价值 ("&amp;C7&amp;") :"</f>
        <v>预期股权价值 (HKD) :</v>
      </c>
      <c r="C18" s="362">
        <f>C125</f>
        <v>7.1471504119406184</v>
      </c>
      <c r="D18" s="353" t="s">
        <v>359</v>
      </c>
      <c r="E18" s="429">
        <f>Thesis!E18</f>
        <v>6</v>
      </c>
    </row>
    <row r="19" spans="1:6">
      <c r="B19" s="353" t="s">
        <v>332</v>
      </c>
      <c r="C19" s="355" t="str">
        <f>IF(Scenarios!C50="Y",Scenarios!B50,"")&amp;IF(Scenarios!C51="Y",Scenarios!B51,"")&amp;IF(Scenarios!C52="Y",Scenarios!B52,"")&amp;" "&amp;IF(Scenarios!C53="Y",Scenarios!B53,"")</f>
        <v xml:space="preserve">Low Growth </v>
      </c>
      <c r="D19" s="346" t="s">
        <v>360</v>
      </c>
      <c r="E19" s="430">
        <f>EOMONTH(EDATE(BS!C1,E18+2),0)</f>
        <v>46173</v>
      </c>
    </row>
    <row r="20" spans="1:6">
      <c r="D20" s="352"/>
      <c r="E20" s="352"/>
    </row>
    <row r="21" spans="1:6">
      <c r="B21" s="350" t="s">
        <v>492</v>
      </c>
      <c r="C21" s="364" t="str">
        <f>C138&amp;" ("&amp;Market_currency&amp;")"</f>
        <v xml:space="preserve"> (HKD)</v>
      </c>
      <c r="D21" s="365" t="s">
        <v>341</v>
      </c>
      <c r="E21" s="366">
        <f>Holding_Period</f>
        <v>3</v>
      </c>
    </row>
    <row r="22" spans="1:6">
      <c r="B22" s="346" t="s">
        <v>337</v>
      </c>
      <c r="C22" s="367">
        <f>E140</f>
        <v>3.8425731741881606</v>
      </c>
      <c r="D22" s="368" t="s">
        <v>439</v>
      </c>
      <c r="E22" s="369">
        <f>Thesis!E22</f>
        <v>0.29465259038036601</v>
      </c>
    </row>
    <row r="23" spans="1:6">
      <c r="B23" s="346" t="s">
        <v>338</v>
      </c>
      <c r="C23" s="370">
        <f>E141</f>
        <v>4.7595191116554512</v>
      </c>
      <c r="D23" s="368" t="s">
        <v>440</v>
      </c>
      <c r="E23" s="371">
        <f>Thesis!E23</f>
        <v>0.20075184365903001</v>
      </c>
    </row>
    <row r="24" spans="1:6">
      <c r="B24" s="346" t="s">
        <v>340</v>
      </c>
      <c r="C24" s="370">
        <f>E144</f>
        <v>5.8465752759800615</v>
      </c>
      <c r="D24" s="368" t="s">
        <v>442</v>
      </c>
      <c r="E24" s="371">
        <f>Thesis!E24</f>
        <v>0.1174</v>
      </c>
    </row>
    <row r="25" spans="1:6">
      <c r="B25" s="346" t="s">
        <v>339</v>
      </c>
      <c r="C25" s="370">
        <f>E145</f>
        <v>6.5772126757176244</v>
      </c>
      <c r="D25" s="368" t="s">
        <v>441</v>
      </c>
      <c r="E25" s="371">
        <f>Thesis!E25</f>
        <v>7.2499999999999995E-2</v>
      </c>
    </row>
    <row r="27" spans="1:6" ht="13.9">
      <c r="A27" s="348" t="s">
        <v>342</v>
      </c>
      <c r="B27" s="348"/>
      <c r="C27" s="348"/>
      <c r="D27" s="348"/>
      <c r="E27" s="348"/>
      <c r="F27" s="348"/>
    </row>
    <row r="29" spans="1:6">
      <c r="B29" s="473" t="s">
        <v>498</v>
      </c>
      <c r="C29" s="473"/>
      <c r="D29" s="473"/>
      <c r="E29" s="473"/>
      <c r="F29" s="473"/>
    </row>
    <row r="30" spans="1:6" ht="24.5" customHeight="1">
      <c r="B30" s="476" t="s">
        <v>499</v>
      </c>
      <c r="C30" s="476"/>
      <c r="D30" s="476"/>
      <c r="E30" s="476"/>
      <c r="F30" s="476"/>
    </row>
    <row r="32" spans="1:6">
      <c r="B32" s="372" t="s">
        <v>368</v>
      </c>
      <c r="C32" s="373">
        <f>scaling_factor</f>
        <v>1000</v>
      </c>
    </row>
    <row r="33" spans="2:6">
      <c r="B33" s="469" t="s">
        <v>500</v>
      </c>
      <c r="C33" s="469"/>
      <c r="D33" s="469"/>
      <c r="E33" s="469"/>
      <c r="F33" s="469"/>
    </row>
    <row r="34" spans="2:6">
      <c r="B34" s="375" t="s">
        <v>194</v>
      </c>
      <c r="C34" s="376">
        <f>Normalized_FCF!C8</f>
        <v>399900.44817177404</v>
      </c>
      <c r="D34" s="346" t="str">
        <f>Reporting_currency</f>
        <v>HKD</v>
      </c>
    </row>
    <row r="35" spans="2:6">
      <c r="B35" s="375"/>
      <c r="C35" s="377"/>
    </row>
    <row r="36" spans="2:6" ht="24.5" customHeight="1">
      <c r="B36" s="469" t="s">
        <v>501</v>
      </c>
      <c r="C36" s="469"/>
      <c r="D36" s="469"/>
      <c r="E36" s="469"/>
      <c r="F36" s="469"/>
    </row>
    <row r="37" spans="2:6">
      <c r="B37" s="375" t="s">
        <v>196</v>
      </c>
      <c r="C37" s="376">
        <f>Normalized_FCF!C15</f>
        <v>378473</v>
      </c>
      <c r="D37" s="346" t="str">
        <f>Reporting_currency</f>
        <v>HKD</v>
      </c>
    </row>
    <row r="38" spans="2:6">
      <c r="B38" s="378" t="s">
        <v>197</v>
      </c>
      <c r="C38" s="376">
        <f>Normalized_FCF!C16</f>
        <v>-378473</v>
      </c>
      <c r="D38" s="346" t="str">
        <f>Reporting_currency</f>
        <v>HKD</v>
      </c>
    </row>
    <row r="40" spans="2:6">
      <c r="B40" s="469" t="s">
        <v>502</v>
      </c>
      <c r="C40" s="469"/>
      <c r="D40" s="469"/>
      <c r="E40" s="469"/>
      <c r="F40" s="469"/>
    </row>
    <row r="41" spans="2:6">
      <c r="B41" s="375" t="s">
        <v>199</v>
      </c>
      <c r="C41" s="376">
        <f>Normalized_FCF!C9</f>
        <v>0</v>
      </c>
      <c r="D41" s="346" t="str">
        <f>Reporting_currency</f>
        <v>HKD</v>
      </c>
    </row>
    <row r="43" spans="2:6">
      <c r="B43" s="469" t="s">
        <v>503</v>
      </c>
      <c r="C43" s="469"/>
      <c r="D43" s="469"/>
      <c r="E43" s="469"/>
      <c r="F43" s="469"/>
    </row>
    <row r="44" spans="2:6">
      <c r="B44" s="375" t="s">
        <v>264</v>
      </c>
      <c r="C44" s="379">
        <f>Normalized_FCF!C46</f>
        <v>6977.6303429583331</v>
      </c>
      <c r="D44" s="346" t="str">
        <f>Reporting_currency</f>
        <v>HKD</v>
      </c>
      <c r="E44" s="374"/>
      <c r="F44" s="374"/>
    </row>
    <row r="45" spans="2:6">
      <c r="B45" s="375" t="s">
        <v>265</v>
      </c>
      <c r="C45" s="379">
        <f>Normalized_FCF!C45</f>
        <v>-89319.428</v>
      </c>
      <c r="D45" s="346" t="str">
        <f>Reporting_currency</f>
        <v>HKD</v>
      </c>
      <c r="E45" s="374"/>
      <c r="F45" s="374"/>
    </row>
    <row r="46" spans="2:6">
      <c r="B46" s="375" t="s">
        <v>200</v>
      </c>
      <c r="C46" s="376">
        <f>Normalized_FCF!C10</f>
        <v>-82341.797657041665</v>
      </c>
      <c r="D46" s="346" t="str">
        <f>Reporting_currency</f>
        <v>HKD</v>
      </c>
    </row>
    <row r="48" spans="2:6">
      <c r="B48" s="346" t="s">
        <v>504</v>
      </c>
    </row>
    <row r="49" spans="2:6">
      <c r="B49" s="375" t="s">
        <v>220</v>
      </c>
      <c r="C49" s="376">
        <f>Normalized_FCF!C13</f>
        <v>-29412.617008902169</v>
      </c>
      <c r="D49" s="346" t="str">
        <f>Reporting_currency</f>
        <v>HKD</v>
      </c>
    </row>
    <row r="51" spans="2:6">
      <c r="B51" s="469" t="s">
        <v>505</v>
      </c>
      <c r="C51" s="469"/>
      <c r="D51" s="469"/>
      <c r="E51" s="469"/>
      <c r="F51" s="469"/>
    </row>
    <row r="52" spans="2:6">
      <c r="B52" s="375" t="s">
        <v>495</v>
      </c>
      <c r="C52" s="376">
        <f>Normalized_FCF!C12</f>
        <v>-52397.177334930842</v>
      </c>
      <c r="D52" s="346" t="str">
        <f>Reporting_currency</f>
        <v>HKD</v>
      </c>
    </row>
    <row r="54" spans="2:6">
      <c r="B54" s="469" t="s">
        <v>506</v>
      </c>
      <c r="C54" s="475"/>
      <c r="D54" s="475"/>
      <c r="E54" s="475"/>
      <c r="F54" s="475"/>
    </row>
    <row r="55" spans="2:6">
      <c r="B55" s="375" t="s">
        <v>204</v>
      </c>
      <c r="C55" s="376">
        <f>Normalized_FCF!C17</f>
        <v>0</v>
      </c>
      <c r="D55" s="346" t="str">
        <f>Reporting_currency</f>
        <v>HKD</v>
      </c>
    </row>
    <row r="57" spans="2:6">
      <c r="B57" s="473" t="s">
        <v>507</v>
      </c>
      <c r="C57" s="473"/>
      <c r="D57" s="473"/>
      <c r="E57" s="473"/>
      <c r="F57" s="473"/>
    </row>
    <row r="58" spans="2:6">
      <c r="B58" s="473" t="s">
        <v>508</v>
      </c>
      <c r="C58" s="473"/>
      <c r="D58" s="473"/>
      <c r="E58" s="473"/>
      <c r="F58" s="473"/>
    </row>
    <row r="60" spans="2:6">
      <c r="B60" s="375" t="s">
        <v>369</v>
      </c>
      <c r="C60" s="376">
        <f>Normalized_FCF!G19</f>
        <v>293091.35434234177</v>
      </c>
      <c r="D60" s="346" t="str">
        <f>Reporting_currency</f>
        <v>HKD</v>
      </c>
    </row>
    <row r="61" spans="2:6">
      <c r="B61" s="375" t="s">
        <v>210</v>
      </c>
      <c r="C61" s="376">
        <f>Normalized_FCF!C19</f>
        <v>235748.85617089932</v>
      </c>
      <c r="D61" s="346" t="str">
        <f>Reporting_currency</f>
        <v>HKD</v>
      </c>
    </row>
    <row r="62" spans="2:6">
      <c r="B62" s="380" t="s">
        <v>299</v>
      </c>
      <c r="C62" s="381">
        <f>Normalized_FCF!C124</f>
        <v>8.5751206501826105E-2</v>
      </c>
      <c r="F62" s="382"/>
    </row>
    <row r="63" spans="2:6">
      <c r="B63" s="380" t="s">
        <v>329</v>
      </c>
      <c r="C63" s="381">
        <f>Normalized_FCF!C92</f>
        <v>6.3291139240506333E-2</v>
      </c>
      <c r="E63" s="375" t="s">
        <v>370</v>
      </c>
      <c r="F63" s="383">
        <f>Normalized_FCF!C90</f>
        <v>0.7380787025912986</v>
      </c>
    </row>
    <row r="65" spans="1:6">
      <c r="B65" s="372" t="s">
        <v>373</v>
      </c>
      <c r="C65" s="384" t="s">
        <v>324</v>
      </c>
      <c r="D65" s="384" t="s">
        <v>371</v>
      </c>
    </row>
    <row r="66" spans="1:6">
      <c r="B66" s="375" t="s">
        <v>323</v>
      </c>
      <c r="C66" s="381">
        <f>Normalized_FCF!C119</f>
        <v>0.12</v>
      </c>
      <c r="D66" s="381">
        <f>Normalized_FCF!G119</f>
        <v>0.12384516757726732</v>
      </c>
    </row>
    <row r="67" spans="1:6">
      <c r="B67" s="385" t="str">
        <f>Normalized_FCF!B116</f>
        <v>Pre-tax Profit/Sales</v>
      </c>
      <c r="C67" s="386">
        <f>Normalized_FCF!C116</f>
        <v>3.7061963337109531E-2</v>
      </c>
      <c r="D67" s="386">
        <f>Normalized_FCF!G116</f>
        <v>3.8253761426233622E-2</v>
      </c>
    </row>
    <row r="68" spans="1:6">
      <c r="B68" s="385" t="str">
        <f>Normalized_FCF!B117</f>
        <v>Sales/Total Assets</v>
      </c>
      <c r="C68" s="387">
        <f>Normalized_FCF!C117</f>
        <v>1.48</v>
      </c>
      <c r="D68" s="387">
        <f>Normalized_FCF!G117</f>
        <v>1.4798367611150316</v>
      </c>
    </row>
    <row r="69" spans="1:6">
      <c r="B69" s="385" t="str">
        <f>Normalized_FCF!B118</f>
        <v>Total Assets/Equity</v>
      </c>
      <c r="C69" s="387">
        <f>Normalized_FCF!C118</f>
        <v>2.187716833659914</v>
      </c>
      <c r="D69" s="387">
        <f>Normalized_FCF!G118</f>
        <v>2.187716833659914</v>
      </c>
    </row>
    <row r="71" spans="1:6" ht="13.9">
      <c r="A71" s="348" t="s">
        <v>475</v>
      </c>
      <c r="B71" s="348"/>
      <c r="C71" s="348"/>
      <c r="D71" s="348"/>
      <c r="E71" s="348"/>
      <c r="F71" s="348"/>
    </row>
    <row r="72" spans="1:6">
      <c r="A72" s="388"/>
    </row>
    <row r="73" spans="1:6">
      <c r="A73" s="389"/>
      <c r="B73" s="473" t="s">
        <v>509</v>
      </c>
      <c r="C73" s="473"/>
      <c r="D73" s="473"/>
      <c r="E73" s="473"/>
      <c r="F73" s="473"/>
    </row>
    <row r="74" spans="1:6">
      <c r="B74" s="476" t="s">
        <v>478</v>
      </c>
      <c r="C74" s="476"/>
      <c r="D74" s="476"/>
      <c r="E74" s="476"/>
      <c r="F74" s="476"/>
    </row>
    <row r="76" spans="1:6">
      <c r="B76" s="372" t="s">
        <v>368</v>
      </c>
    </row>
    <row r="77" spans="1:6">
      <c r="B77" s="473" t="s">
        <v>510</v>
      </c>
      <c r="C77" s="473"/>
      <c r="D77" s="473"/>
      <c r="E77" s="473"/>
      <c r="F77" s="473"/>
    </row>
    <row r="78" spans="1:6">
      <c r="B78" s="346" t="s">
        <v>212</v>
      </c>
      <c r="C78" s="376">
        <f>DCF!F4</f>
        <v>-2029987</v>
      </c>
      <c r="D78" s="346" t="str">
        <f>Reporting_currency</f>
        <v>HKD</v>
      </c>
    </row>
    <row r="79" spans="1:6">
      <c r="B79" s="375" t="s">
        <v>231</v>
      </c>
      <c r="C79" s="390">
        <f>C78*scaling_factor*Exchange_Rate/Common_Shares</f>
        <v>-3.4999532494630086</v>
      </c>
      <c r="D79" s="346" t="str">
        <f>Market_currency</f>
        <v>HKD</v>
      </c>
    </row>
    <row r="80" spans="1:6">
      <c r="B80" s="385" t="s">
        <v>306</v>
      </c>
      <c r="C80" s="391">
        <f>IF(BS!G31/BS!G27&gt;300%,"nm",BS!G31/BS!G27)</f>
        <v>0.76701287002940366</v>
      </c>
    </row>
    <row r="81" spans="1:6">
      <c r="B81" s="385" t="s">
        <v>308</v>
      </c>
      <c r="C81" s="392">
        <f>IF(BS!C50&gt;30,"nm",BS!C50)</f>
        <v>5.0762308701590531</v>
      </c>
    </row>
    <row r="83" spans="1:6">
      <c r="B83" s="346" t="s">
        <v>511</v>
      </c>
    </row>
    <row r="84" spans="1:6">
      <c r="B84" s="346" t="s">
        <v>221</v>
      </c>
      <c r="C84" s="376">
        <f>DCF!F5</f>
        <v>267503.96570416668</v>
      </c>
      <c r="D84" s="346" t="str">
        <f>Reporting_currency</f>
        <v>HKD</v>
      </c>
    </row>
    <row r="85" spans="1:6">
      <c r="B85" s="385" t="s">
        <v>480</v>
      </c>
      <c r="C85" s="393">
        <f>BS!C66</f>
        <v>965267</v>
      </c>
      <c r="D85" s="394" t="str">
        <f>Reporting_currency</f>
        <v>HKD</v>
      </c>
    </row>
    <row r="86" spans="1:6">
      <c r="B86" s="375" t="s">
        <v>232</v>
      </c>
      <c r="C86" s="390">
        <f>C84*scaling_factor*Exchange_Rate/Common_Shares</f>
        <v>0.4612105269691576</v>
      </c>
      <c r="D86" s="346" t="str">
        <f>Market_currency</f>
        <v>HKD</v>
      </c>
    </row>
    <row r="88" spans="1:6">
      <c r="B88" s="346" t="s">
        <v>512</v>
      </c>
    </row>
    <row r="89" spans="1:6">
      <c r="B89" s="346" t="s">
        <v>214</v>
      </c>
      <c r="C89" s="376">
        <f>DCF!F6</f>
        <v>61077</v>
      </c>
      <c r="D89" s="346" t="str">
        <f>Reporting_currency</f>
        <v>HKD</v>
      </c>
    </row>
    <row r="90" spans="1:6">
      <c r="B90" s="375" t="s">
        <v>233</v>
      </c>
      <c r="C90" s="390">
        <f>C89*scaling_factor*Exchange_Rate/Common_Shares</f>
        <v>0.10530444018481507</v>
      </c>
      <c r="D90" s="346" t="str">
        <f>Market_currency</f>
        <v>HKD</v>
      </c>
    </row>
    <row r="92" spans="1:6">
      <c r="B92" s="375" t="s">
        <v>479</v>
      </c>
      <c r="C92" s="390">
        <f>DCF!F8</f>
        <v>-2.9334382823090355</v>
      </c>
      <c r="D92" s="346" t="str">
        <f>Market_currency</f>
        <v>HKD</v>
      </c>
    </row>
    <row r="94" spans="1:6" ht="13.9">
      <c r="A94" s="348" t="s">
        <v>481</v>
      </c>
      <c r="B94" s="348"/>
      <c r="C94" s="348"/>
      <c r="D94" s="348"/>
      <c r="E94" s="348"/>
      <c r="F94" s="348"/>
    </row>
    <row r="95" spans="1:6">
      <c r="A95" s="388"/>
    </row>
    <row r="96" spans="1:6">
      <c r="A96" s="388"/>
      <c r="B96" s="473" t="s">
        <v>513</v>
      </c>
      <c r="C96" s="473"/>
      <c r="D96" s="473"/>
      <c r="E96" s="473"/>
      <c r="F96" s="473"/>
    </row>
    <row r="97" spans="1:6">
      <c r="A97" s="388"/>
      <c r="B97" s="476" t="s">
        <v>514</v>
      </c>
      <c r="C97" s="476"/>
      <c r="D97" s="476"/>
      <c r="E97" s="476"/>
      <c r="F97" s="476"/>
    </row>
    <row r="98" spans="1:6">
      <c r="A98" s="388"/>
      <c r="B98" s="476" t="s">
        <v>515</v>
      </c>
      <c r="C98" s="476"/>
      <c r="D98" s="476"/>
      <c r="E98" s="476"/>
      <c r="F98" s="476"/>
    </row>
    <row r="99" spans="1:6">
      <c r="A99" s="388"/>
    </row>
    <row r="100" spans="1:6">
      <c r="A100" s="388"/>
      <c r="B100" s="372" t="s">
        <v>368</v>
      </c>
    </row>
    <row r="101" spans="1:6">
      <c r="A101" s="388"/>
      <c r="B101" s="375" t="s">
        <v>209</v>
      </c>
      <c r="C101" s="371">
        <f>E25+C103</f>
        <v>7.2499999999999995E-2</v>
      </c>
    </row>
    <row r="102" spans="1:6">
      <c r="A102" s="388"/>
      <c r="B102" s="385" t="s">
        <v>315</v>
      </c>
      <c r="C102" s="386">
        <f>E25</f>
        <v>7.2499999999999995E-2</v>
      </c>
    </row>
    <row r="103" spans="1:6">
      <c r="A103" s="388"/>
      <c r="B103" s="385" t="s">
        <v>314</v>
      </c>
      <c r="C103" s="386">
        <f>IF(C15="Y",1%,0)+IF(C16="Y",1%,0)</f>
        <v>0</v>
      </c>
    </row>
    <row r="104" spans="1:6">
      <c r="A104" s="388"/>
      <c r="B104" s="375" t="s">
        <v>534</v>
      </c>
      <c r="C104" s="371">
        <v>0</v>
      </c>
    </row>
    <row r="105" spans="1:6">
      <c r="A105" s="388"/>
      <c r="C105" s="395"/>
    </row>
    <row r="106" spans="1:6">
      <c r="A106" s="388"/>
      <c r="B106" s="396" t="s">
        <v>372</v>
      </c>
      <c r="C106" s="395"/>
    </row>
    <row r="107" spans="1:6">
      <c r="A107" s="388"/>
      <c r="B107" s="473" t="s">
        <v>516</v>
      </c>
      <c r="C107" s="473"/>
      <c r="D107" s="473"/>
      <c r="E107" s="473"/>
      <c r="F107" s="473"/>
    </row>
    <row r="108" spans="1:6">
      <c r="A108" s="388"/>
      <c r="B108" s="473" t="s">
        <v>535</v>
      </c>
      <c r="C108" s="473"/>
      <c r="D108" s="473"/>
      <c r="E108" s="473"/>
      <c r="F108" s="473"/>
    </row>
    <row r="109" spans="1:6">
      <c r="A109" s="388"/>
    </row>
    <row r="110" spans="1:6">
      <c r="A110" s="388"/>
      <c r="B110" s="372" t="s">
        <v>488</v>
      </c>
    </row>
    <row r="111" spans="1:6">
      <c r="A111" s="388"/>
      <c r="B111" s="378" t="s">
        <v>485</v>
      </c>
      <c r="C111" s="397">
        <f>BS!D47</f>
        <v>-2.4800067209187837</v>
      </c>
      <c r="D111" s="346" t="str">
        <f>Market_currency</f>
        <v>HKD</v>
      </c>
    </row>
    <row r="112" spans="1:6">
      <c r="A112" s="388"/>
      <c r="B112" s="375" t="s">
        <v>374</v>
      </c>
      <c r="C112" s="397">
        <f>DCF!C11</f>
        <v>3.6349669338004422</v>
      </c>
      <c r="D112" s="346" t="str">
        <f>Market_currency</f>
        <v>HKD</v>
      </c>
    </row>
    <row r="113" spans="1:6">
      <c r="A113" s="388"/>
    </row>
    <row r="114" spans="1:6">
      <c r="A114" s="388"/>
      <c r="B114" s="473" t="s">
        <v>517</v>
      </c>
      <c r="C114" s="473"/>
      <c r="D114" s="473"/>
      <c r="E114" s="473"/>
      <c r="F114" s="473"/>
    </row>
    <row r="115" spans="1:6">
      <c r="A115" s="388"/>
    </row>
    <row r="116" spans="1:6">
      <c r="A116" s="388"/>
      <c r="B116" s="372" t="s">
        <v>489</v>
      </c>
    </row>
    <row r="117" spans="1:6">
      <c r="A117" s="388"/>
      <c r="B117" s="345" t="s">
        <v>375</v>
      </c>
      <c r="C117" s="345" t="s">
        <v>376</v>
      </c>
      <c r="D117" s="345" t="s">
        <v>97</v>
      </c>
      <c r="E117" s="345" t="s">
        <v>377</v>
      </c>
      <c r="F117" s="345" t="s">
        <v>378</v>
      </c>
    </row>
    <row r="118" spans="1:6">
      <c r="A118" s="388"/>
      <c r="B118" s="398" t="str">
        <f>DCF!B90</f>
        <v>Snowball Scenario</v>
      </c>
      <c r="C118" s="399">
        <f>DCF!C90</f>
        <v>0.04</v>
      </c>
      <c r="D118" s="400">
        <f>DCF!D90</f>
        <v>15</v>
      </c>
      <c r="E118" s="401" t="str">
        <f>ROUND(DCF!E90,2)&amp;" "&amp;Market_currency</f>
        <v>9.92 HKD</v>
      </c>
      <c r="F118" s="402">
        <f>DCF!F90</f>
        <v>0.05</v>
      </c>
    </row>
    <row r="119" spans="1:6">
      <c r="A119" s="388"/>
      <c r="B119" s="403" t="str">
        <f>DCF!B91</f>
        <v>Optimistic</v>
      </c>
      <c r="C119" s="404">
        <f>DCF!C91</f>
        <v>0.03</v>
      </c>
      <c r="D119" s="405">
        <f>DCF!D91</f>
        <v>15</v>
      </c>
      <c r="E119" s="401" t="str">
        <f>ROUND(DCF!E91,2)&amp;" "&amp;Market_currency</f>
        <v>8.42 HKD</v>
      </c>
      <c r="F119" s="406">
        <f>DCF!F91</f>
        <v>0.18</v>
      </c>
    </row>
    <row r="120" spans="1:6">
      <c r="B120" s="403" t="str">
        <f>DCF!B92</f>
        <v>Base</v>
      </c>
      <c r="C120" s="404">
        <f>DCF!C92</f>
        <v>0.02</v>
      </c>
      <c r="D120" s="405">
        <f>DCF!D92</f>
        <v>15</v>
      </c>
      <c r="E120" s="401" t="str">
        <f>ROUND(DCF!E92,2)&amp;" "&amp;Market_currency</f>
        <v>7.09 HKD</v>
      </c>
      <c r="F120" s="406">
        <f>DCF!F92</f>
        <v>0.53999999999999992</v>
      </c>
    </row>
    <row r="121" spans="1:6">
      <c r="B121" s="403" t="str">
        <f>DCF!B93</f>
        <v>Pessimistic</v>
      </c>
      <c r="C121" s="404">
        <f>DCF!C93</f>
        <v>0.01</v>
      </c>
      <c r="D121" s="405">
        <f>DCF!D93</f>
        <v>15</v>
      </c>
      <c r="E121" s="401" t="str">
        <f>ROUND(DCF!E93,2)&amp;" "&amp;Market_currency</f>
        <v>5.91 HKD</v>
      </c>
      <c r="F121" s="406">
        <f>DCF!F93</f>
        <v>0.18</v>
      </c>
    </row>
    <row r="122" spans="1:6">
      <c r="B122" s="403" t="str">
        <f>DCF!B94</f>
        <v>Devil's advocate</v>
      </c>
      <c r="C122" s="404">
        <f>DCF!C94</f>
        <v>0</v>
      </c>
      <c r="D122" s="405">
        <f>DCF!D94</f>
        <v>15</v>
      </c>
      <c r="E122" s="401" t="str">
        <f>ROUND(DCF!E94,2)&amp;" "&amp;Market_currency</f>
        <v>4.86 HKD</v>
      </c>
      <c r="F122" s="406">
        <f>DCF!F94</f>
        <v>0.05</v>
      </c>
    </row>
    <row r="124" spans="1:6">
      <c r="B124" s="469" t="s">
        <v>518</v>
      </c>
      <c r="C124" s="469"/>
      <c r="D124" s="469"/>
      <c r="E124" s="469"/>
      <c r="F124" s="469"/>
    </row>
    <row r="125" spans="1:6">
      <c r="B125" s="375" t="s">
        <v>215</v>
      </c>
      <c r="C125" s="407">
        <f>Scenarios!C36</f>
        <v>7.1471504119406184</v>
      </c>
      <c r="D125" s="346" t="str">
        <f>Market_currency</f>
        <v>HKD</v>
      </c>
    </row>
    <row r="127" spans="1:6">
      <c r="B127" s="471" t="s">
        <v>519</v>
      </c>
      <c r="C127" s="471"/>
      <c r="D127" s="471"/>
      <c r="E127" s="471"/>
      <c r="F127" s="471"/>
    </row>
    <row r="129" spans="1:6" ht="13.9">
      <c r="A129" s="348" t="s">
        <v>491</v>
      </c>
      <c r="B129" s="348"/>
      <c r="C129" s="348"/>
      <c r="D129" s="348"/>
      <c r="E129" s="348"/>
      <c r="F129" s="348"/>
    </row>
    <row r="131" spans="1:6">
      <c r="B131" s="472" t="s">
        <v>520</v>
      </c>
      <c r="C131" s="472"/>
      <c r="D131" s="472"/>
      <c r="E131" s="472"/>
      <c r="F131" s="472"/>
    </row>
    <row r="132" spans="1:6" ht="24.5" customHeight="1">
      <c r="B132" s="473" t="s">
        <v>521</v>
      </c>
      <c r="C132" s="473"/>
      <c r="D132" s="473"/>
      <c r="E132" s="473"/>
      <c r="F132" s="473"/>
    </row>
    <row r="134" spans="1:6">
      <c r="B134" s="372" t="s">
        <v>368</v>
      </c>
    </row>
    <row r="135" spans="1:6">
      <c r="B135" s="346" t="s">
        <v>379</v>
      </c>
      <c r="C135" s="408">
        <f>E21</f>
        <v>3</v>
      </c>
    </row>
    <row r="136" spans="1:6">
      <c r="B136" s="346" t="s">
        <v>380</v>
      </c>
      <c r="C136" s="409">
        <f>Scenarios!C58</f>
        <v>0.30000000000000004</v>
      </c>
      <c r="D136" s="346" t="str">
        <f>Market_currency</f>
        <v>HKD</v>
      </c>
    </row>
    <row r="138" spans="1:6">
      <c r="B138" s="372" t="s">
        <v>492</v>
      </c>
      <c r="C138" s="410"/>
      <c r="D138" s="410"/>
    </row>
    <row r="139" spans="1:6">
      <c r="B139" s="343" t="s">
        <v>461</v>
      </c>
      <c r="C139" s="343" t="str">
        <f>"PV("&amp;Holding_Period&amp;" yrs of Dividends)"</f>
        <v>PV(3 yrs of Dividends)</v>
      </c>
      <c r="D139" s="343" t="s">
        <v>470</v>
      </c>
      <c r="E139" s="344" t="str">
        <f>"Buy below ("&amp;Market_currency&amp;")"</f>
        <v>Buy below (HKD)</v>
      </c>
      <c r="F139" s="344" t="s">
        <v>494</v>
      </c>
    </row>
    <row r="140" spans="1:6">
      <c r="B140" s="411" t="s">
        <v>309</v>
      </c>
      <c r="C140" s="412">
        <f>Scenarios!C62</f>
        <v>0.54895547283303603</v>
      </c>
      <c r="D140" s="412">
        <f>Scenarios!D62</f>
        <v>3.2936177013551244</v>
      </c>
      <c r="E140" s="413">
        <f>Scenarios!E62</f>
        <v>3.8425731741881606</v>
      </c>
      <c r="F140" s="414">
        <f>E22</f>
        <v>0.29465259038036601</v>
      </c>
    </row>
    <row r="141" spans="1:6">
      <c r="B141" s="411" t="s">
        <v>310</v>
      </c>
      <c r="C141" s="412">
        <f>Scenarios!C63</f>
        <v>0.6312011841807238</v>
      </c>
      <c r="D141" s="412">
        <f>Scenarios!D63</f>
        <v>4.1283179274747273</v>
      </c>
      <c r="E141" s="413">
        <f>Scenarios!E63</f>
        <v>4.7595191116554512</v>
      </c>
      <c r="F141" s="414">
        <f>Scenarios!F63</f>
        <v>0.20075184365903001</v>
      </c>
    </row>
    <row r="143" spans="1:6">
      <c r="B143" s="343" t="s">
        <v>462</v>
      </c>
      <c r="C143" s="343" t="str">
        <f>"PV("&amp;Holding_Period&amp;" yrs of Dividends)"</f>
        <v>PV(3 yrs of Dividends)</v>
      </c>
      <c r="D143" s="343" t="s">
        <v>470</v>
      </c>
      <c r="E143" s="344" t="str">
        <f>"Sell above ("&amp;Market_currency&amp;")"</f>
        <v>Sell above (HKD)</v>
      </c>
      <c r="F143" s="344" t="s">
        <v>494</v>
      </c>
    </row>
    <row r="144" spans="1:6">
      <c r="B144" s="411" t="s">
        <v>312</v>
      </c>
      <c r="C144" s="412">
        <f>Scenarios!C66</f>
        <v>0.7237809377815948</v>
      </c>
      <c r="D144" s="412">
        <f>Scenarios!D66</f>
        <v>5.1227943381984664</v>
      </c>
      <c r="E144" s="413">
        <f>Scenarios!E66</f>
        <v>5.8465752759800615</v>
      </c>
      <c r="F144" s="414">
        <f>E24</f>
        <v>0.1174</v>
      </c>
    </row>
    <row r="145" spans="1:6">
      <c r="B145" s="411" t="s">
        <v>311</v>
      </c>
      <c r="C145" s="412">
        <f>Scenarios!C67</f>
        <v>0.78371256815190493</v>
      </c>
      <c r="D145" s="412">
        <f>Scenarios!D67</f>
        <v>5.7935001075657198</v>
      </c>
      <c r="E145" s="413">
        <f>Scenarios!E67</f>
        <v>6.5772126757176244</v>
      </c>
      <c r="F145" s="414">
        <f>Scenarios!F67</f>
        <v>7.2499999999999995E-2</v>
      </c>
    </row>
    <row r="147" spans="1:6" ht="13.9">
      <c r="A147" s="348" t="s">
        <v>474</v>
      </c>
      <c r="B147" s="348"/>
      <c r="C147" s="348"/>
      <c r="D147" s="348"/>
      <c r="E147" s="348"/>
      <c r="F147" s="348"/>
    </row>
    <row r="149" spans="1:6">
      <c r="B149" s="474" t="s">
        <v>522</v>
      </c>
      <c r="C149" s="473"/>
      <c r="D149" s="473"/>
      <c r="E149" s="473"/>
      <c r="F149" s="473"/>
    </row>
    <row r="151" spans="1:6">
      <c r="B151" s="372" t="s">
        <v>381</v>
      </c>
    </row>
    <row r="152" spans="1:6">
      <c r="B152" s="475" t="s">
        <v>523</v>
      </c>
      <c r="C152" s="475"/>
      <c r="D152" s="475"/>
      <c r="E152" s="475"/>
      <c r="F152" s="475"/>
    </row>
    <row r="153" spans="1:6">
      <c r="B153" s="415" t="s">
        <v>382</v>
      </c>
    </row>
    <row r="154" spans="1:6">
      <c r="B154" s="415" t="s">
        <v>383</v>
      </c>
    </row>
    <row r="155" spans="1:6">
      <c r="B155" s="415" t="s">
        <v>384</v>
      </c>
    </row>
    <row r="157" spans="1:6">
      <c r="B157" s="346" t="s">
        <v>524</v>
      </c>
    </row>
    <row r="158" spans="1:6" ht="24.5" customHeight="1">
      <c r="B158" s="469" t="s">
        <v>438</v>
      </c>
      <c r="C158" s="469"/>
      <c r="D158" s="469"/>
      <c r="E158" s="469"/>
      <c r="F158" s="469"/>
    </row>
    <row r="160" spans="1:6">
      <c r="B160" s="346" t="s">
        <v>525</v>
      </c>
    </row>
    <row r="161" spans="2:6">
      <c r="B161" s="470" t="s">
        <v>385</v>
      </c>
      <c r="C161" s="470"/>
      <c r="D161" s="470"/>
      <c r="E161" s="470"/>
      <c r="F161" s="470"/>
    </row>
    <row r="162" spans="2:6">
      <c r="B162" s="470" t="s">
        <v>386</v>
      </c>
      <c r="C162" s="470"/>
      <c r="D162" s="470"/>
      <c r="E162" s="470"/>
      <c r="F162" s="470"/>
    </row>
    <row r="164" spans="2:6">
      <c r="B164" s="346" t="s">
        <v>526</v>
      </c>
    </row>
    <row r="165" spans="2:6">
      <c r="B165" s="415" t="s">
        <v>387</v>
      </c>
    </row>
    <row r="166" spans="2:6">
      <c r="B166" s="415" t="s">
        <v>388</v>
      </c>
    </row>
    <row r="167" spans="2:6">
      <c r="B167" s="415"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2026-01-16T04:17:14Z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