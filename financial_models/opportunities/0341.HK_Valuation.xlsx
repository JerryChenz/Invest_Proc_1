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B2BFE4-AA3F-4C74-9279-7572CD3818FB}"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F7" i="8" s="1"/>
  <c r="B1" i="2"/>
  <c r="C18" i="8" l="1"/>
  <c r="C16" i="2"/>
  <c r="E72" i="8"/>
  <c r="F71" i="8"/>
  <c r="D73" i="8"/>
  <c r="B72" i="8"/>
  <c r="E73" i="8"/>
  <c r="C72" i="8"/>
  <c r="F73" i="8"/>
  <c r="B71" i="8"/>
  <c r="D71" i="8"/>
  <c r="E74" i="8"/>
  <c r="C73" i="8"/>
  <c r="D72" i="8"/>
  <c r="B74" i="8"/>
  <c r="C74" i="8"/>
  <c r="C71" i="8"/>
  <c r="F72" i="8"/>
  <c r="D74" i="8"/>
  <c r="B73" i="8"/>
  <c r="E71" i="8"/>
  <c r="F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38" i="12" l="1"/>
  <c r="C38" i="6"/>
  <c r="F18" i="8"/>
  <c r="H21" i="8"/>
  <c r="H24" i="8"/>
  <c r="H25" i="8"/>
  <c r="H22" i="8"/>
  <c r="H23" i="8"/>
  <c r="C92" i="6"/>
  <c r="C92" i="12"/>
  <c r="C28" i="8"/>
  <c r="C7" i="8"/>
  <c r="C86" i="3"/>
  <c r="D86" i="3" s="1"/>
  <c r="D89" i="3" s="1"/>
  <c r="C78" i="12"/>
  <c r="C79" i="12" s="1"/>
  <c r="C78" i="6"/>
  <c r="C79" i="6" s="1"/>
  <c r="O80" i="2"/>
  <c r="O19" i="2"/>
  <c r="O90" i="2" s="1"/>
  <c r="O123" i="2"/>
  <c r="O124" i="2" s="1"/>
  <c r="P80" i="2"/>
  <c r="P19" i="2"/>
  <c r="P90" i="2" s="1"/>
  <c r="P123" i="2"/>
  <c r="P124" i="2" s="1"/>
  <c r="C45" i="2"/>
  <c r="C45" i="12" s="1"/>
  <c r="H51" i="8" l="1"/>
  <c r="H34" i="8"/>
  <c r="H28" i="8"/>
  <c r="H30" i="8"/>
  <c r="H31" i="8"/>
  <c r="H29" i="8"/>
  <c r="H33" i="8"/>
  <c r="H32" i="8"/>
  <c r="H35" i="8"/>
  <c r="C29" i="8"/>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<sst xmlns="http://schemas.openxmlformats.org/spreadsheetml/2006/main" count="766" uniqueCount="555">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</sst>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550</v>
      </c>
      <c r="E4" s="438" t="s">
        <v>541</v>
      </c>
      <c r="F4" s="439" t="s">
        <v>324</v>
      </c>
    </row>
    <row r="5" spans="1:9">
      <c r="B5" s="1" t="s">
        <v>349</v>
      </c>
      <c r="C5" s="46" t="s">
        <v>551</v>
      </c>
      <c r="E5" s="441" t="s">
        <v>543</v>
      </c>
      <c r="F5" s="440" t="s">
        <v>501</v>
      </c>
    </row>
    <row r="6" spans="1:9">
      <c r="B6" s="2" t="s">
        <v>53</v>
      </c>
      <c r="C6" s="45" t="s">
        <v>404</v>
      </c>
      <c r="D6" s="45"/>
      <c r="E6" s="45"/>
    </row>
    <row r="7" spans="1:9">
      <c r="B7" s="1" t="s">
        <v>351</v>
      </c>
      <c r="C7" s="45" t="s">
        <v>308</v>
      </c>
      <c r="D7" s="45"/>
      <c r="E7" s="45"/>
    </row>
    <row r="8" spans="1:9">
      <c r="B8" s="4" t="s">
        <v>350</v>
      </c>
      <c r="C8" s="47">
        <v>6.58</v>
      </c>
      <c r="E8" s="32"/>
    </row>
    <row r="9" spans="1:9">
      <c r="B9" s="4" t="s">
        <v>346</v>
      </c>
      <c r="C9" s="48">
        <v>580004033</v>
      </c>
    </row>
    <row r="10" spans="1:9">
      <c r="B10" s="4" t="s">
        <v>352</v>
      </c>
      <c r="C10" s="33">
        <f>Thesis!C8*Common_Shares/1000000</f>
        <v>3816.4265371399997</v>
      </c>
      <c r="D10" s="1" t="s">
        <v>532</v>
      </c>
      <c r="E10" s="310">
        <f>Scenarios!F34</f>
        <v>0.11656690703965478</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536</v>
      </c>
      <c r="C17" s="423">
        <v>0</v>
      </c>
      <c r="D17" s="4" t="s">
        <v>274</v>
      </c>
      <c r="E17" s="227" t="s">
        <v>308</v>
      </c>
    </row>
    <row r="18" spans="1:6">
      <c r="B18" s="1" t="str">
        <f>"Expected Equity Value ("&amp;C7&amp;") :"</f>
        <v>Expected Equity Value (HKD) :</v>
      </c>
      <c r="C18" s="258">
        <f>C125</f>
        <v>7.8143613713918958</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45991</v>
      </c>
    </row>
    <row r="20" spans="1:6">
      <c r="D20" s="5"/>
      <c r="E20" s="5"/>
    </row>
    <row r="21" spans="1:6">
      <c r="B21" s="42" t="s">
        <v>407</v>
      </c>
      <c r="C21" s="260" t="str">
        <f>C138&amp;" ("&amp;Market_currency&amp;")"</f>
        <v xml:space="preserve"> (HKD)</v>
      </c>
      <c r="D21" s="31" t="s">
        <v>316</v>
      </c>
      <c r="E21" s="450">
        <v>3</v>
      </c>
    </row>
    <row r="22" spans="1:6">
      <c r="B22" s="1" t="s">
        <v>312</v>
      </c>
      <c r="C22" s="261">
        <f>E140</f>
        <v>4.333028820025568</v>
      </c>
      <c r="D22" s="38" t="s">
        <v>409</v>
      </c>
      <c r="E22" s="79">
        <v>0.29465259038036606</v>
      </c>
    </row>
    <row r="23" spans="1:6">
      <c r="B23" s="1" t="s">
        <v>313</v>
      </c>
      <c r="C23" s="262">
        <f>E141</f>
        <v>5.3553121183397749</v>
      </c>
      <c r="D23" s="38" t="s">
        <v>410</v>
      </c>
      <c r="E23" s="451">
        <v>0.20075184365903009</v>
      </c>
    </row>
    <row r="24" spans="1:6">
      <c r="B24" s="1" t="s">
        <v>315</v>
      </c>
      <c r="C24" s="262">
        <f>E144</f>
        <v>6.5660659780940076</v>
      </c>
      <c r="D24" s="38" t="s">
        <v>411</v>
      </c>
      <c r="E24" s="451">
        <v>0.1174</v>
      </c>
    </row>
    <row r="25" spans="1:6">
      <c r="B25" s="1" t="s">
        <v>314</v>
      </c>
      <c r="C25" s="262">
        <f>E145</f>
        <v>7.3792932677079612</v>
      </c>
      <c r="D25" s="38" t="s">
        <v>412</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399119.96227138769</v>
      </c>
      <c r="D34" s="1" t="str">
        <f>Reporting_currency</f>
        <v>HKD</v>
      </c>
    </row>
    <row r="35" spans="2:6">
      <c r="B35" s="44"/>
      <c r="C35" s="73"/>
    </row>
    <row r="36" spans="2:6" ht="24.5" customHeight="1">
      <c r="B36" s="462" t="s">
        <v>198</v>
      </c>
      <c r="C36" s="462"/>
      <c r="D36" s="462"/>
      <c r="E36" s="462"/>
      <c r="F36" s="462"/>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2" t="s">
        <v>201</v>
      </c>
      <c r="C40" s="462"/>
      <c r="D40" s="462"/>
      <c r="E40" s="462"/>
      <c r="F40" s="462"/>
    </row>
    <row r="41" spans="2:6">
      <c r="B41" s="44" t="s">
        <v>202</v>
      </c>
      <c r="C41" s="292">
        <f>Normalized_FCF!C9</f>
        <v>0</v>
      </c>
      <c r="D41" s="1" t="str">
        <f>Reporting_currency</f>
        <v>HKD</v>
      </c>
    </row>
    <row r="43" spans="2:6">
      <c r="B43" s="462" t="s">
        <v>205</v>
      </c>
      <c r="C43" s="462"/>
      <c r="D43" s="462"/>
      <c r="E43" s="462"/>
      <c r="F43" s="462"/>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2" t="s">
        <v>206</v>
      </c>
      <c r="C51" s="462"/>
      <c r="D51" s="462"/>
      <c r="E51" s="462"/>
      <c r="F51" s="462"/>
    </row>
    <row r="52" spans="2:6">
      <c r="B52" s="44" t="s">
        <v>204</v>
      </c>
      <c r="C52" s="292">
        <f>Normalized_FCF!C12</f>
        <v>-52872.613354906651</v>
      </c>
      <c r="D52" s="1" t="str">
        <f>Reporting_currency</f>
        <v>HKD</v>
      </c>
    </row>
    <row r="54" spans="2:6">
      <c r="B54" s="462" t="s">
        <v>265</v>
      </c>
      <c r="C54" s="463"/>
      <c r="D54" s="463"/>
      <c r="E54" s="463"/>
      <c r="F54" s="463"/>
    </row>
    <row r="55" spans="2:6">
      <c r="B55" s="44" t="s">
        <v>207</v>
      </c>
      <c r="C55" s="292">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6.0321250870188803E-2</v>
      </c>
      <c r="F62" s="263"/>
    </row>
    <row r="63" spans="2:6">
      <c r="B63" s="206" t="s">
        <v>332</v>
      </c>
      <c r="C63" s="89">
        <f>Normalized_FCF!C92</f>
        <v>6.0790273556231005E-2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470</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473</v>
      </c>
      <c r="C92" s="219">
        <f>DCF!F8</f>
        <v>-2.9076464486309033</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-2.5047246524922007</v>
      </c>
      <c r="D111" s="1" t="str">
        <f>Market_currency</f>
        <v>HKD</v>
      </c>
    </row>
    <row r="112" spans="2:6">
      <c r="B112" s="44" t="s">
        <v>323</v>
      </c>
      <c r="C112" s="219">
        <f>DCF!C11</f>
        <v>2.5670270786220946</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0.05</v>
      </c>
      <c r="D118" s="209">
        <f>DCF!D82</f>
        <v>15</v>
      </c>
      <c r="E118" s="210" t="str">
        <f>ROUND(DCF!E82,2)&amp;" "&amp;Market_currency</f>
        <v>9.36 HKD</v>
      </c>
      <c r="F118" s="211">
        <f>DCF!F82</f>
        <v>0.05</v>
      </c>
    </row>
    <row r="119" spans="2:6">
      <c r="B119" s="198" t="str">
        <f>DCF!B83</f>
        <v>Optimistic</v>
      </c>
      <c r="C119" s="199">
        <f>DCF!C83</f>
        <v>0.04</v>
      </c>
      <c r="D119" s="200">
        <f>DCF!D83</f>
        <v>15</v>
      </c>
      <c r="E119" s="210" t="str">
        <f>ROUND(DCF!E83,2)&amp;" "&amp;Market_currency</f>
        <v>8.56 HKD</v>
      </c>
      <c r="F119" s="201">
        <f>DCF!F83</f>
        <v>0.18</v>
      </c>
    </row>
    <row r="120" spans="2:6">
      <c r="B120" s="198" t="str">
        <f>DCF!B84</f>
        <v>Base</v>
      </c>
      <c r="C120" s="199">
        <f>DCF!C84</f>
        <v>0.03</v>
      </c>
      <c r="D120" s="200">
        <f>DCF!D84</f>
        <v>15</v>
      </c>
      <c r="E120" s="210" t="str">
        <f>ROUND(DCF!E84,2)&amp;" "&amp;Market_currency</f>
        <v>7.8 HKD</v>
      </c>
      <c r="F120" s="201">
        <f>DCF!F84</f>
        <v>0.53999999999999992</v>
      </c>
    </row>
    <row r="121" spans="2:6">
      <c r="B121" s="198" t="str">
        <f>DCF!B85</f>
        <v>Pessimistic</v>
      </c>
      <c r="C121" s="199">
        <f>DCF!C85</f>
        <v>0.02</v>
      </c>
      <c r="D121" s="200">
        <f>DCF!D85</f>
        <v>15</v>
      </c>
      <c r="E121" s="210" t="str">
        <f>ROUND(DCF!E85,2)&amp;" "&amp;Market_currency</f>
        <v>7.08 HKD</v>
      </c>
      <c r="F121" s="201">
        <f>DCF!F85</f>
        <v>0.18</v>
      </c>
    </row>
    <row r="122" spans="2:6">
      <c r="B122" s="198" t="str">
        <f>DCF!B86</f>
        <v>Devil's advocate</v>
      </c>
      <c r="C122" s="199">
        <f>DCF!C86</f>
        <v>0.01</v>
      </c>
      <c r="D122" s="200">
        <f>DCF!D86</f>
        <v>15</v>
      </c>
      <c r="E122" s="210" t="str">
        <f>ROUND(DCF!E86,2)&amp;" "&amp;Market_currency</f>
        <v>6.4 HKD</v>
      </c>
      <c r="F122" s="201">
        <f>DCF!F86</f>
        <v>0.05</v>
      </c>
    </row>
    <row r="124" spans="2:6">
      <c r="B124" s="462" t="s">
        <v>357</v>
      </c>
      <c r="C124" s="462"/>
      <c r="D124" s="462"/>
      <c r="E124" s="462"/>
      <c r="F124" s="462"/>
    </row>
    <row r="125" spans="2:6">
      <c r="B125" s="193" t="s">
        <v>218</v>
      </c>
      <c r="C125" s="197">
        <f>Scenarios!C36</f>
        <v>7.8143613713918958</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0.4</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0.73194063044404789</v>
      </c>
      <c r="D140" s="340">
        <f>Scenarios!D62</f>
        <v>3.6010881895815197</v>
      </c>
      <c r="E140" s="341">
        <f>Scenarios!E62</f>
        <v>4.333028820025568</v>
      </c>
      <c r="F140" s="342">
        <f>E22</f>
        <v>0.29465259038036606</v>
      </c>
    </row>
    <row r="141" spans="1:6">
      <c r="B141" s="343" t="s">
        <v>313</v>
      </c>
      <c r="C141" s="340">
        <f>Scenarios!C63</f>
        <v>0.84160157890763132</v>
      </c>
      <c r="D141" s="340">
        <f>Scenarios!D63</f>
        <v>4.513710539432144</v>
      </c>
      <c r="E141" s="341">
        <f>Scenarios!E63</f>
        <v>5.3553121183397749</v>
      </c>
      <c r="F141" s="342">
        <f>Scenarios!F63</f>
        <v>0.20075184365903009</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0.96504125037545974</v>
      </c>
      <c r="D144" s="340">
        <f>Scenarios!D66</f>
        <v>5.6010247277185474</v>
      </c>
      <c r="E144" s="341">
        <f>Scenarios!E66</f>
        <v>6.5660659780940076</v>
      </c>
      <c r="F144" s="342">
        <f>E24</f>
        <v>0.1174</v>
      </c>
    </row>
    <row r="145" spans="1:6">
      <c r="B145" s="343" t="s">
        <v>314</v>
      </c>
      <c r="C145" s="340">
        <f>Scenarios!C67</f>
        <v>1.0449500908692064</v>
      </c>
      <c r="D145" s="340">
        <f>Scenarios!D67</f>
        <v>6.3343431768387548</v>
      </c>
      <c r="E145" s="341">
        <f>Scenarios!E67</f>
        <v>7.3792932677079612</v>
      </c>
      <c r="F145" s="342">
        <f>Scenarios!F67</f>
        <v>7.2499999999999995E-2</v>
      </c>
    </row>
    <row r="147" spans="1:6" ht="13.9">
      <c r="A147" s="202" t="s">
        <v>479</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405</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406</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6.0790273556231005E-2</v>
      </c>
      <c r="E92" s="241"/>
      <c r="G92" s="22">
        <f t="shared" ref="G92:Q92" si="38">IF(G$4="","",(G88*(1-dividend_tax_rate))/Market_Price)</f>
        <v>6.0790273556231005E-2</v>
      </c>
      <c r="H92" s="22">
        <f t="shared" si="38"/>
        <v>8.6626139817629177E-2</v>
      </c>
      <c r="I92" s="22">
        <f t="shared" si="38"/>
        <v>5.7750759878419454E-2</v>
      </c>
      <c r="J92" s="22">
        <f t="shared" si="38"/>
        <v>5.7750759878419454E-2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6.0321250870188803E-2</v>
      </c>
      <c r="D124" s="26"/>
      <c r="E124" s="238"/>
      <c r="F124" s="26"/>
      <c r="G124" s="74">
        <f t="shared" ref="G124" si="49">IF(G$4="","",G123/Market_Price)</f>
        <v>7.5725458710865209E-2</v>
      </c>
      <c r="H124" s="74">
        <f t="shared" ref="H124" si="50">IF(H$4="","",H123/Market_Price)</f>
        <v>9.0970811940396357E-2</v>
      </c>
      <c r="I124" s="74">
        <f t="shared" ref="I124" si="51">IF(I$4="","",I123/Market_Price)</f>
        <v>2.8538222930033271E-2</v>
      </c>
      <c r="J124" s="74">
        <f t="shared" ref="J124" si="52">IF(J$4="","",J123/Market_Price)</f>
        <v>-6.2561450948844166E-3</v>
      </c>
      <c r="K124" s="74">
        <f t="shared" ref="K124" si="53">IF(K$4="","",K123/Market_Price)</f>
        <v>-3.1140911227669796E-2</v>
      </c>
      <c r="L124" s="74">
        <f t="shared" ref="L124" si="54">IF(L$4="","",L123/Market_Price)</f>
        <v>5.4662129080659233E-2</v>
      </c>
      <c r="M124" s="74">
        <f t="shared" ref="M124" si="55">IF(M$4="","",M123/Market_Price)</f>
        <v>0.14615635715026948</v>
      </c>
      <c r="N124" s="74">
        <f t="shared" ref="N124" si="56">IF(N$4="","",N123/Market_Price)</f>
        <v>0.12055780335936855</v>
      </c>
      <c r="O124" s="74">
        <f t="shared" ref="O124" si="57">IF(O$4="","",O123/Market_Price)</f>
        <v>0.13556031931056178</v>
      </c>
      <c r="P124" s="74">
        <f t="shared" ref="P124" si="58">IF(P$4="","",P123/Market_Price)</f>
        <v>0.13216814082264527</v>
      </c>
      <c r="Q124" s="74" t="str">
        <f t="shared" ref="Q124" si="59">IF(Q$4="","",Q123/Market_Price)</f>
        <v/>
      </c>
    </row>
    <row r="125" spans="1:17" ht="15.75" customHeight="1">
      <c r="B125" s="2" t="s">
        <v>306</v>
      </c>
      <c r="C125" s="151"/>
      <c r="G125" s="22">
        <f>IF(G$4="","",(Data!C47*$C$3)/(Market_Price*Common_Shares))</f>
        <v>6.1605011314115415E-2</v>
      </c>
      <c r="H125" s="22">
        <f>IF(H$4="","",(Data!D47*$C$3)/(Market_Price*Common_Shares))</f>
        <v>8.7310733419673978E-2</v>
      </c>
      <c r="I125" s="22">
        <f>IF(I$4="","",(Data!E47*$C$3)/(Market_Price*Common_Shares))</f>
        <v>2.913379804850709E-2</v>
      </c>
      <c r="J125" s="22">
        <f>IF(J$4="","",(Data!F47*$C$3)/(Market_Price*Common_Shares))</f>
        <v>5.9872762589905926E-3</v>
      </c>
      <c r="K125" s="22">
        <f>IF(K$4="","",(Data!G47*$C$3)/(Market_Price*Common_Shares))</f>
        <v>9.4473192786829682E-2</v>
      </c>
      <c r="L125" s="22">
        <f>IF(L$4="","",(Data!H47*$C$3)/(Market_Price*Common_Shares))</f>
        <v>1.9491007956292088E-2</v>
      </c>
      <c r="M125" s="22">
        <f>IF(M$4="","",(Data!I47*$C$3)/(Market_Price*Common_Shares))</f>
        <v>0.15514775254752383</v>
      </c>
      <c r="N125" s="22">
        <f>IF(N$4="","",(Data!J47*$C$3)/(Market_Price*Common_Shares))</f>
        <v>0.12034687305790302</v>
      </c>
      <c r="O125" s="22">
        <f>IF(O$4="","",(Data!K47*$C$3)/(Market_Price*Common_Shares))</f>
        <v>0.13202140669988666</v>
      </c>
      <c r="P125" s="22">
        <f>IF(P$4="","",(Data!L47*$C$3)/(Market_Price*Common_Shares))</f>
        <v>0.13569238002104456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230211.62257446788</v>
      </c>
      <c r="D4" t="str">
        <f>Reporting_currency</f>
        <v>HKD</v>
      </c>
      <c r="E4" s="135" t="s">
        <v>435</v>
      </c>
      <c r="F4" s="282">
        <f>-BS!G31</f>
        <v>-2134310</v>
      </c>
      <c r="G4" t="str">
        <f>Reporting_currency</f>
        <v>HKD</v>
      </c>
      <c r="H4" s="315" t="s">
        <v>394</v>
      </c>
      <c r="I4" s="312">
        <f>Normalized_FCF!C4</f>
        <v>8198140.75</v>
      </c>
      <c r="J4" s="312"/>
    </row>
    <row r="5" spans="2:15">
      <c r="B5" s="187" t="s">
        <v>105</v>
      </c>
      <c r="C5" s="188">
        <f>Equity_Cost</f>
        <v>7.2499999999999995E-2</v>
      </c>
      <c r="E5" s="135" t="s">
        <v>436</v>
      </c>
      <c r="F5" s="282">
        <f>BS!D66</f>
        <v>384381.13325594889</v>
      </c>
      <c r="G5" t="str">
        <f>Reporting_currency</f>
        <v>HKD</v>
      </c>
      <c r="H5" s="315" t="s">
        <v>396</v>
      </c>
      <c r="I5" s="312">
        <f>Normalized_FCF!C7</f>
        <v>-494493</v>
      </c>
      <c r="J5" s="312"/>
    </row>
    <row r="6" spans="2:15" ht="13.25" customHeight="1">
      <c r="B6" s="136" t="s">
        <v>194</v>
      </c>
      <c r="C6" s="290">
        <f>(C4*(1+Terminal_Growth))/(Equity_Cost-Terminal_Growth)</f>
        <v>3175332.7251650742</v>
      </c>
      <c r="D6" t="str">
        <f>Reporting_currency</f>
        <v>HKD</v>
      </c>
      <c r="E6" s="187" t="s">
        <v>437</v>
      </c>
      <c r="F6" s="291">
        <f>BS!H42</f>
        <v>63482.2</v>
      </c>
      <c r="G6" t="str">
        <f>Reporting_currency</f>
        <v>HKD</v>
      </c>
      <c r="H6" s="315" t="s">
        <v>419</v>
      </c>
      <c r="I6" s="312">
        <f>I7+I8</f>
        <v>-78679.881332559497</v>
      </c>
      <c r="J6" s="312"/>
      <c r="N6" s="135"/>
    </row>
    <row r="7" spans="2:15" ht="12.75" customHeight="1">
      <c r="B7" s="325" t="s">
        <v>434</v>
      </c>
      <c r="C7" s="282">
        <f>F7</f>
        <v>-1686446.6667440513</v>
      </c>
      <c r="E7" s="140" t="s">
        <v>428</v>
      </c>
      <c r="F7" s="290">
        <f>SUM(F4:F6)</f>
        <v>-1686446.6667440513</v>
      </c>
      <c r="G7" t="str">
        <f>Reporting_currency</f>
        <v>HKD</v>
      </c>
      <c r="H7" s="319" t="s">
        <v>420</v>
      </c>
      <c r="I7" s="320">
        <f>Normalized_FCF!C9</f>
        <v>0</v>
      </c>
      <c r="J7" s="320"/>
      <c r="N7" s="311"/>
      <c r="O7" s="311"/>
    </row>
    <row r="8" spans="2:15" ht="13.15">
      <c r="B8" s="136" t="s">
        <v>430</v>
      </c>
      <c r="C8" s="290">
        <f>C6+C7</f>
        <v>1488886.058421023</v>
      </c>
      <c r="D8" t="str">
        <f>Reporting_currency</f>
        <v>HKD</v>
      </c>
      <c r="E8" s="140" t="s">
        <v>468</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431</v>
      </c>
      <c r="C10" s="290">
        <f>C8*Exchange_Rate</f>
        <v>1488886.058421023</v>
      </c>
      <c r="D10" t="str">
        <f>Market_currency</f>
        <v>HKD</v>
      </c>
      <c r="H10" s="315" t="s">
        <v>398</v>
      </c>
      <c r="I10" s="313">
        <f>Normalized_FCF!C41</f>
        <v>0.16500000000000001</v>
      </c>
      <c r="N10" s="311"/>
      <c r="O10" s="311"/>
    </row>
    <row r="11" spans="2:15" ht="13.15">
      <c r="B11" s="136" t="s">
        <v>429</v>
      </c>
      <c r="C11" s="108">
        <f>(C10*scaling_factor)/Common_Shares</f>
        <v>2.5670270786220946</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II</v>
      </c>
      <c r="H14" s="106" t="s">
        <v>416</v>
      </c>
    </row>
    <row r="15" spans="2:15">
      <c r="B15" s="139" t="s">
        <v>425</v>
      </c>
      <c r="C15" s="148">
        <f>Scenarios!C45</f>
        <v>15</v>
      </c>
      <c r="E15" s="315" t="str">
        <f>IF(F14="II","Change year","Terminal Year")</f>
        <v>Change year</v>
      </c>
      <c r="F15" s="317">
        <f>IF(F14="II",_xlfn.CEILING.MATH(C15/2),C15+1)</f>
        <v>8</v>
      </c>
      <c r="H15" s="97" t="s">
        <v>433</v>
      </c>
      <c r="I15" s="126">
        <f>Terminal_Growth</f>
        <v>0</v>
      </c>
      <c r="J15" s="126"/>
    </row>
    <row r="16" spans="2:15" ht="13.25" customHeight="1">
      <c r="B16" s="114" t="s">
        <v>426</v>
      </c>
      <c r="C16" s="147">
        <f>Scenarios!C46</f>
        <v>3.0149622951542498E-2</v>
      </c>
      <c r="E16" s="315" t="s">
        <v>401</v>
      </c>
      <c r="F16" s="318">
        <f>Scenarios!C41</f>
        <v>0.02</v>
      </c>
    </row>
    <row r="17" spans="1:21" ht="13.25" customHeight="1">
      <c r="B17" s="315" t="s">
        <v>395</v>
      </c>
      <c r="C17" s="313">
        <f>Normalized_FCF!C32</f>
        <v>0.89099809462634716</v>
      </c>
      <c r="E17" s="315" t="s">
        <v>402</v>
      </c>
      <c r="F17" s="318">
        <f>Scenarios!C40</f>
        <v>0.86799999999999999</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7.8099395838685268</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534</v>
      </c>
      <c r="K20" s="121" t="s">
        <v>535</v>
      </c>
      <c r="L20" s="122" t="s">
        <v>423</v>
      </c>
    </row>
    <row r="21" spans="1:21">
      <c r="A21" s="309" t="str">
        <f t="shared" ref="A21:A50" si="0">IF($C$15&lt;B21,"",IF(B21&gt;=$F$15,"II","I"))</f>
        <v>I</v>
      </c>
      <c r="B21" s="117">
        <v>1</v>
      </c>
      <c r="C21" s="284">
        <f>I4*(1+D21)</f>
        <v>8445311.6025161762</v>
      </c>
      <c r="D21" s="306">
        <f t="shared" ref="D21:D50" si="1">IF(A21="",0,IF(A21="I",$C$16,$F$16))</f>
        <v>3.0149622951542498E-2</v>
      </c>
      <c r="E21" s="306">
        <f>$C$17</f>
        <v>0.89099809462634716</v>
      </c>
      <c r="F21" s="284">
        <f>I5*(1+D21)</f>
        <v>-509401.77750217711</v>
      </c>
      <c r="G21" s="284">
        <f>C21*(1-E21)+F21+$I$6</f>
        <v>332473.397313744</v>
      </c>
      <c r="H21" s="306">
        <f t="shared" ref="H21:H50" si="2">IF(A21="",0%,IF(A21="I",$C$18,$F$18))</f>
        <v>0</v>
      </c>
      <c r="I21" s="284">
        <f>(G21*(1-$I$10)+C21*(H21-$I$9))</f>
        <v>239133.17710545129</v>
      </c>
      <c r="J21" s="306">
        <f>I21/C4-1</f>
        <v>3.8753710308859324E-2</v>
      </c>
      <c r="K21" s="119">
        <f t="shared" ref="K21:K50" si="3">IF($C$15&lt;B21,0,1/(1+Equity_Cost)^B21)</f>
        <v>0.93240093240093236</v>
      </c>
      <c r="L21" s="284">
        <f t="shared" ref="L21:L50" si="4">I21*K21</f>
        <v>222967.99730112008</v>
      </c>
    </row>
    <row r="22" spans="1:21">
      <c r="A22" s="309" t="str">
        <f t="shared" si="0"/>
        <v>I</v>
      </c>
      <c r="B22" s="117">
        <v>2</v>
      </c>
      <c r="C22" s="284">
        <f t="shared" ref="C22:C50" si="5">IF(A22="",0,C21*(1+D22))</f>
        <v>8699934.5630403273</v>
      </c>
      <c r="D22" s="306">
        <f t="shared" si="1"/>
        <v>3.0149622951542498E-2</v>
      </c>
      <c r="E22" s="306">
        <f t="shared" ref="E22:E50" si="6">IF($C$15&lt;B22,0,IF(B22&gt;=$F$15,$F$17,$C$17))</f>
        <v>0.89099809462634716</v>
      </c>
      <c r="F22" s="284">
        <f t="shared" ref="F22:F50" si="7">IF(A22="",0,F21*(1+D22))</f>
        <v>-524760.04902471334</v>
      </c>
      <c r="G22" s="284">
        <f t="shared" ref="G22:G50" si="8">IF(A22="", 0,C22*(1-E22)+F22+$I$6)</f>
        <v>344869.51364022063</v>
      </c>
      <c r="H22" s="306">
        <f t="shared" si="2"/>
        <v>0</v>
      </c>
      <c r="I22" s="284">
        <f>IF(A22="", 0,G22*(1-$I$10)+C22*(H22-$I$9))</f>
        <v>248323.71314168588</v>
      </c>
      <c r="J22" s="306">
        <f>IF(A22="", 0,I22/I21-1)</f>
        <v>3.8432709954678623E-2</v>
      </c>
      <c r="K22" s="119">
        <f t="shared" si="3"/>
        <v>0.86937149874212816</v>
      </c>
      <c r="L22" s="284">
        <f t="shared" si="4"/>
        <v>215885.55866719777</v>
      </c>
    </row>
    <row r="23" spans="1:21">
      <c r="A23" s="309" t="str">
        <f t="shared" si="0"/>
        <v>I</v>
      </c>
      <c r="B23" s="117">
        <v>3</v>
      </c>
      <c r="C23" s="284">
        <f t="shared" si="5"/>
        <v>8962234.3098190855</v>
      </c>
      <c r="D23" s="306">
        <f t="shared" si="1"/>
        <v>3.0149622951542498E-2</v>
      </c>
      <c r="E23" s="306">
        <f t="shared" si="6"/>
        <v>0.89099809462634716</v>
      </c>
      <c r="F23" s="284">
        <f t="shared" si="7"/>
        <v>-540581.36664284149</v>
      </c>
      <c r="G23" s="284">
        <f t="shared" si="8"/>
        <v>357639.36820000387</v>
      </c>
      <c r="H23" s="306">
        <f t="shared" si="2"/>
        <v>0</v>
      </c>
      <c r="I23" s="284">
        <f t="shared" ref="I23:I50" si="9">IF(A23="", 0,G23*(1-$I$10)+C23*(H23-$I$9))</f>
        <v>257791.34037413541</v>
      </c>
      <c r="J23" s="306">
        <f t="shared" ref="J23:J50" si="10">IF(A23="", 0,I23/I22-1)</f>
        <v>3.8126150389220292E-2</v>
      </c>
      <c r="K23" s="119">
        <f t="shared" si="3"/>
        <v>0.81060279602995633</v>
      </c>
      <c r="L23" s="284">
        <f t="shared" si="4"/>
        <v>208966.38129958435</v>
      </c>
      <c r="N23" s="282"/>
      <c r="O23" s="282"/>
      <c r="P23" s="282"/>
      <c r="Q23" s="282"/>
      <c r="R23" s="282"/>
      <c r="S23" s="282"/>
      <c r="T23" s="282"/>
      <c r="U23" s="282"/>
    </row>
    <row r="24" spans="1:21">
      <c r="A24" s="309" t="str">
        <f t="shared" si="0"/>
        <v>I</v>
      </c>
      <c r="B24" s="117">
        <v>4</v>
      </c>
      <c r="C24" s="284">
        <f t="shared" si="5"/>
        <v>9232442.2950635087</v>
      </c>
      <c r="D24" s="306">
        <f t="shared" si="1"/>
        <v>3.0149622951542498E-2</v>
      </c>
      <c r="E24" s="306">
        <f t="shared" si="6"/>
        <v>0.89099809462634716</v>
      </c>
      <c r="F24" s="284">
        <f t="shared" si="7"/>
        <v>-556879.69102175278</v>
      </c>
      <c r="G24" s="284">
        <f t="shared" si="8"/>
        <v>370794.22905991052</v>
      </c>
      <c r="H24" s="306">
        <f t="shared" si="2"/>
        <v>0</v>
      </c>
      <c r="I24" s="284">
        <f t="shared" si="9"/>
        <v>267544.41299788898</v>
      </c>
      <c r="J24" s="306">
        <f t="shared" si="10"/>
        <v>3.7833204985081359E-2</v>
      </c>
      <c r="K24" s="119">
        <f t="shared" si="3"/>
        <v>0.75580680282513402</v>
      </c>
      <c r="L24" s="284">
        <f t="shared" si="4"/>
        <v>202211.88740166169</v>
      </c>
      <c r="N24" s="282"/>
      <c r="O24" s="282"/>
      <c r="P24" s="282"/>
      <c r="Q24" s="282"/>
      <c r="R24" s="282"/>
      <c r="S24" s="282"/>
      <c r="T24" s="282"/>
      <c r="U24" s="282"/>
    </row>
    <row r="25" spans="1:21">
      <c r="A25" s="309" t="str">
        <f t="shared" si="0"/>
        <v>I</v>
      </c>
      <c r="B25" s="117">
        <v>5</v>
      </c>
      <c r="C25" s="284">
        <f t="shared" si="5"/>
        <v>9510796.9491815474</v>
      </c>
      <c r="D25" s="306">
        <f t="shared" si="1"/>
        <v>3.0149622951542498E-2</v>
      </c>
      <c r="E25" s="306">
        <f t="shared" si="6"/>
        <v>0.89099809462634716</v>
      </c>
      <c r="F25" s="284">
        <f t="shared" si="7"/>
        <v>-573669.4037354301</v>
      </c>
      <c r="G25" s="284">
        <f t="shared" si="8"/>
        <v>384345.70401472354</v>
      </c>
      <c r="H25" s="306">
        <f t="shared" si="2"/>
        <v>0</v>
      </c>
      <c r="I25" s="284">
        <f t="shared" si="9"/>
        <v>277591.53708386794</v>
      </c>
      <c r="J25" s="306">
        <f t="shared" si="10"/>
        <v>3.7553107438869304E-2</v>
      </c>
      <c r="K25" s="119">
        <f t="shared" si="3"/>
        <v>0.70471496766912267</v>
      </c>
      <c r="L25" s="284">
        <f t="shared" si="4"/>
        <v>195622.91108128006</v>
      </c>
      <c r="N25" s="282"/>
      <c r="O25" s="282"/>
      <c r="P25" s="282"/>
      <c r="Q25" s="282"/>
      <c r="R25" s="282"/>
      <c r="S25" s="282"/>
      <c r="T25" s="282"/>
      <c r="U25" s="282"/>
    </row>
    <row r="26" spans="1:21">
      <c r="A26" s="309" t="str">
        <f t="shared" si="0"/>
        <v>I</v>
      </c>
      <c r="B26" s="117">
        <v>6</v>
      </c>
      <c r="C26" s="284">
        <f t="shared" si="5"/>
        <v>9797543.8911680523</v>
      </c>
      <c r="D26" s="306">
        <f t="shared" si="1"/>
        <v>3.0149622951542498E-2</v>
      </c>
      <c r="E26" s="306">
        <f t="shared" si="6"/>
        <v>0.89099809462634716</v>
      </c>
      <c r="F26" s="284">
        <f t="shared" si="7"/>
        <v>-590965.31995688961</v>
      </c>
      <c r="G26" s="284">
        <f t="shared" si="8"/>
        <v>398305.75082986127</v>
      </c>
      <c r="H26" s="306">
        <f t="shared" si="2"/>
        <v>0</v>
      </c>
      <c r="I26" s="284">
        <f t="shared" si="9"/>
        <v>287941.57817278628</v>
      </c>
      <c r="J26" s="306">
        <f t="shared" si="10"/>
        <v>3.7285146361617283E-2</v>
      </c>
      <c r="K26" s="119">
        <f t="shared" si="3"/>
        <v>0.65707689293158289</v>
      </c>
      <c r="L26" s="284">
        <f t="shared" si="4"/>
        <v>189199.75753159091</v>
      </c>
    </row>
    <row r="27" spans="1:21">
      <c r="A27" s="309" t="str">
        <f t="shared" si="0"/>
        <v>I</v>
      </c>
      <c r="B27" s="117">
        <v>7</v>
      </c>
      <c r="C27" s="284">
        <f t="shared" si="5"/>
        <v>10092936.145337958</v>
      </c>
      <c r="D27" s="306">
        <f t="shared" si="1"/>
        <v>3.0149622951542498E-2</v>
      </c>
      <c r="E27" s="306">
        <f t="shared" si="6"/>
        <v>0.89099809462634716</v>
      </c>
      <c r="F27" s="284">
        <f t="shared" si="7"/>
        <v>-608782.70153102756</v>
      </c>
      <c r="G27" s="284">
        <f t="shared" si="8"/>
        <v>412686.68779286148</v>
      </c>
      <c r="H27" s="306">
        <f t="shared" si="2"/>
        <v>0</v>
      </c>
      <c r="I27" s="284">
        <f t="shared" si="9"/>
        <v>298603.66909806867</v>
      </c>
      <c r="J27" s="306">
        <f t="shared" si="10"/>
        <v>3.7028660441960737E-2</v>
      </c>
      <c r="K27" s="119">
        <f t="shared" si="3"/>
        <v>0.61265910762851561</v>
      </c>
      <c r="L27" s="284">
        <f t="shared" si="4"/>
        <v>182942.2574442233</v>
      </c>
    </row>
    <row r="28" spans="1:21">
      <c r="A28" s="309" t="str">
        <f t="shared" si="0"/>
        <v>II</v>
      </c>
      <c r="B28" s="117">
        <v>8</v>
      </c>
      <c r="C28" s="284">
        <f t="shared" si="5"/>
        <v>10294794.868244717</v>
      </c>
      <c r="D28" s="306">
        <f t="shared" si="1"/>
        <v>0.02</v>
      </c>
      <c r="E28" s="306">
        <f t="shared" si="6"/>
        <v>0.86799999999999999</v>
      </c>
      <c r="F28" s="284">
        <f t="shared" si="7"/>
        <v>-620958.35556164815</v>
      </c>
      <c r="G28" s="284">
        <f t="shared" si="8"/>
        <v>659274.68571409502</v>
      </c>
      <c r="H28" s="306">
        <f t="shared" si="2"/>
        <v>0</v>
      </c>
      <c r="I28" s="284">
        <f t="shared" si="9"/>
        <v>503584.85305811919</v>
      </c>
      <c r="J28" s="306">
        <f t="shared" si="10"/>
        <v>0.68646572421295238</v>
      </c>
      <c r="K28" s="119">
        <f t="shared" si="3"/>
        <v>0.5712439231967511</v>
      </c>
      <c r="L28" s="284">
        <f t="shared" si="4"/>
        <v>287669.78712337941</v>
      </c>
    </row>
    <row r="29" spans="1:21">
      <c r="A29" s="309" t="str">
        <f t="shared" si="0"/>
        <v>II</v>
      </c>
      <c r="B29" s="117">
        <v>9</v>
      </c>
      <c r="C29" s="284">
        <f t="shared" si="5"/>
        <v>10500690.765609611</v>
      </c>
      <c r="D29" s="306">
        <f t="shared" si="1"/>
        <v>0.02</v>
      </c>
      <c r="E29" s="306">
        <f t="shared" si="6"/>
        <v>0.86799999999999999</v>
      </c>
      <c r="F29" s="284">
        <f t="shared" si="7"/>
        <v>-633377.52267288114</v>
      </c>
      <c r="G29" s="284">
        <f t="shared" si="8"/>
        <v>674033.77705502813</v>
      </c>
      <c r="H29" s="306">
        <f t="shared" si="2"/>
        <v>0</v>
      </c>
      <c r="I29" s="284">
        <f t="shared" si="9"/>
        <v>514970.50413753535</v>
      </c>
      <c r="J29" s="306">
        <f t="shared" si="10"/>
        <v>2.2609200833334286E-2</v>
      </c>
      <c r="K29" s="119">
        <f t="shared" si="3"/>
        <v>0.53262836661701729</v>
      </c>
      <c r="L29" s="284">
        <f t="shared" si="4"/>
        <v>274287.8984747174</v>
      </c>
    </row>
    <row r="30" spans="1:21">
      <c r="A30" s="309" t="str">
        <f t="shared" si="0"/>
        <v>II</v>
      </c>
      <c r="B30" s="117">
        <v>10</v>
      </c>
      <c r="C30" s="284">
        <f t="shared" si="5"/>
        <v>10710704.580921803</v>
      </c>
      <c r="D30" s="306">
        <f t="shared" si="1"/>
        <v>0.02</v>
      </c>
      <c r="E30" s="306">
        <f t="shared" si="6"/>
        <v>0.86799999999999999</v>
      </c>
      <c r="F30" s="284">
        <f t="shared" si="7"/>
        <v>-646045.07312633877</v>
      </c>
      <c r="G30" s="284">
        <f t="shared" si="8"/>
        <v>689088.05022277974</v>
      </c>
      <c r="H30" s="306">
        <f t="shared" si="2"/>
        <v>0</v>
      </c>
      <c r="I30" s="284">
        <f t="shared" si="9"/>
        <v>526583.86823853967</v>
      </c>
      <c r="J30" s="306">
        <f t="shared" si="10"/>
        <v>2.2551513159873471E-2</v>
      </c>
      <c r="K30" s="119">
        <f t="shared" si="3"/>
        <v>0.49662318565689262</v>
      </c>
      <c r="L30" s="284">
        <f t="shared" si="4"/>
        <v>261513.75816015297</v>
      </c>
    </row>
    <row r="31" spans="1:21">
      <c r="A31" s="309" t="str">
        <f t="shared" si="0"/>
        <v>II</v>
      </c>
      <c r="B31" s="117">
        <v>11</v>
      </c>
      <c r="C31" s="284">
        <f t="shared" si="5"/>
        <v>10924918.672540238</v>
      </c>
      <c r="D31" s="306">
        <f t="shared" si="1"/>
        <v>0.02</v>
      </c>
      <c r="E31" s="306">
        <f t="shared" si="6"/>
        <v>0.86799999999999999</v>
      </c>
      <c r="F31" s="284">
        <f t="shared" si="7"/>
        <v>-658965.97458886553</v>
      </c>
      <c r="G31" s="284">
        <f t="shared" si="8"/>
        <v>704443.40885388653</v>
      </c>
      <c r="H31" s="306">
        <f t="shared" si="2"/>
        <v>0</v>
      </c>
      <c r="I31" s="284">
        <f t="shared" si="9"/>
        <v>538429.49962156429</v>
      </c>
      <c r="J31" s="306">
        <f t="shared" si="10"/>
        <v>2.2495241684195699E-2</v>
      </c>
      <c r="K31" s="119">
        <f t="shared" si="3"/>
        <v>0.46305192135840806</v>
      </c>
      <c r="L31" s="284">
        <f t="shared" si="4"/>
        <v>249320.81431581159</v>
      </c>
    </row>
    <row r="32" spans="1:21">
      <c r="A32" s="309" t="str">
        <f t="shared" si="0"/>
        <v>II</v>
      </c>
      <c r="B32" s="117">
        <v>12</v>
      </c>
      <c r="C32" s="284">
        <f t="shared" si="5"/>
        <v>11143417.045991043</v>
      </c>
      <c r="D32" s="306">
        <f t="shared" si="1"/>
        <v>0.02</v>
      </c>
      <c r="E32" s="306">
        <f t="shared" si="6"/>
        <v>0.86799999999999999</v>
      </c>
      <c r="F32" s="284">
        <f t="shared" si="7"/>
        <v>-672145.29408064287</v>
      </c>
      <c r="G32" s="284">
        <f t="shared" si="8"/>
        <v>720105.8746576152</v>
      </c>
      <c r="H32" s="306">
        <f t="shared" si="2"/>
        <v>0</v>
      </c>
      <c r="I32" s="284">
        <f t="shared" si="9"/>
        <v>550512.04363224912</v>
      </c>
      <c r="J32" s="306">
        <f t="shared" si="10"/>
        <v>2.2440345521887339E-2</v>
      </c>
      <c r="K32" s="119">
        <f t="shared" si="3"/>
        <v>0.43175004322462285</v>
      </c>
      <c r="L32" s="284">
        <f t="shared" si="4"/>
        <v>237683.598633899</v>
      </c>
    </row>
    <row r="33" spans="1:21">
      <c r="A33" s="309" t="str">
        <f t="shared" si="0"/>
        <v>II</v>
      </c>
      <c r="B33" s="117">
        <v>13</v>
      </c>
      <c r="C33" s="284">
        <f t="shared" si="5"/>
        <v>11366285.386910863</v>
      </c>
      <c r="D33" s="306">
        <f t="shared" si="1"/>
        <v>0.02</v>
      </c>
      <c r="E33" s="306">
        <f t="shared" si="6"/>
        <v>0.86799999999999999</v>
      </c>
      <c r="F33" s="284">
        <f t="shared" si="7"/>
        <v>-685588.19996225578</v>
      </c>
      <c r="G33" s="284">
        <f t="shared" si="8"/>
        <v>736081.58977741865</v>
      </c>
      <c r="H33" s="306">
        <f t="shared" si="2"/>
        <v>0</v>
      </c>
      <c r="I33" s="284">
        <f t="shared" si="9"/>
        <v>562836.23852314777</v>
      </c>
      <c r="J33" s="306">
        <f t="shared" si="10"/>
        <v>2.2386785236494067E-2</v>
      </c>
      <c r="K33" s="119">
        <f t="shared" si="3"/>
        <v>0.40256414286678116</v>
      </c>
      <c r="L33" s="284">
        <f t="shared" si="4"/>
        <v>226577.68793543417</v>
      </c>
      <c r="N33" s="282"/>
      <c r="O33" s="282"/>
      <c r="P33" s="282"/>
      <c r="Q33" s="282"/>
      <c r="R33" s="282"/>
      <c r="S33" s="282"/>
      <c r="T33" s="282"/>
      <c r="U33" s="282"/>
    </row>
    <row r="34" spans="1:21">
      <c r="A34" s="309" t="str">
        <f t="shared" si="0"/>
        <v>II</v>
      </c>
      <c r="B34" s="117">
        <v>14</v>
      </c>
      <c r="C34" s="284">
        <f t="shared" si="5"/>
        <v>11593611.09464908</v>
      </c>
      <c r="D34" s="306">
        <f t="shared" si="1"/>
        <v>0.02</v>
      </c>
      <c r="E34" s="306">
        <f t="shared" si="6"/>
        <v>0.86799999999999999</v>
      </c>
      <c r="F34" s="284">
        <f t="shared" si="7"/>
        <v>-699299.96396150091</v>
      </c>
      <c r="G34" s="284">
        <f t="shared" si="8"/>
        <v>752376.81919961818</v>
      </c>
      <c r="H34" s="306">
        <f t="shared" si="2"/>
        <v>0</v>
      </c>
      <c r="I34" s="284">
        <f t="shared" si="9"/>
        <v>575406.91731186444</v>
      </c>
      <c r="J34" s="306">
        <f t="shared" si="10"/>
        <v>2.2334522776467747E-2</v>
      </c>
      <c r="K34" s="119">
        <f t="shared" si="3"/>
        <v>0.37535118216016894</v>
      </c>
      <c r="L34" s="284">
        <f t="shared" si="4"/>
        <v>215979.6666361469</v>
      </c>
      <c r="N34" s="282"/>
      <c r="O34" s="282"/>
      <c r="P34" s="282"/>
      <c r="Q34" s="282"/>
      <c r="R34" s="282"/>
      <c r="S34" s="282"/>
      <c r="T34" s="282"/>
      <c r="U34" s="282"/>
    </row>
    <row r="35" spans="1:21">
      <c r="A35" s="309" t="str">
        <f t="shared" si="0"/>
        <v>II</v>
      </c>
      <c r="B35" s="117">
        <v>15</v>
      </c>
      <c r="C35" s="284">
        <f t="shared" si="5"/>
        <v>11825483.316542063</v>
      </c>
      <c r="D35" s="306">
        <f t="shared" si="1"/>
        <v>0.02</v>
      </c>
      <c r="E35" s="306">
        <f t="shared" si="6"/>
        <v>0.86799999999999999</v>
      </c>
      <c r="F35" s="284">
        <f t="shared" si="7"/>
        <v>-713285.96324073093</v>
      </c>
      <c r="G35" s="284">
        <f t="shared" si="8"/>
        <v>768997.953210262</v>
      </c>
      <c r="H35" s="306">
        <f t="shared" si="2"/>
        <v>0</v>
      </c>
      <c r="I35" s="284">
        <f t="shared" si="9"/>
        <v>588229.00967635564</v>
      </c>
      <c r="J35" s="306">
        <f t="shared" si="10"/>
        <v>2.2283521415405128E-2</v>
      </c>
      <c r="K35" s="119">
        <f t="shared" si="3"/>
        <v>0.34997779222393377</v>
      </c>
      <c r="L35" s="284">
        <f t="shared" si="4"/>
        <v>205867.09012860191</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16</v>
      </c>
      <c r="C51" s="284">
        <f>VLOOKUP(C15,B21:C50,2,FALSE)*(1+Terminal_Growth)</f>
        <v>11825483.316542063</v>
      </c>
      <c r="D51" s="308">
        <f>Terminal_Growth</f>
        <v>0</v>
      </c>
      <c r="E51" s="308">
        <f>F17</f>
        <v>0.86799999999999999</v>
      </c>
      <c r="F51" s="284">
        <f>VLOOKUP(C15,B21:F50,5,FALSE)*(1+Terminal_Growth)</f>
        <v>-713285.96324073093</v>
      </c>
      <c r="G51" s="284">
        <f>C51*(1-E51)+F51+$I$6</f>
        <v>768997.953210262</v>
      </c>
      <c r="H51" s="306">
        <f>F18</f>
        <v>0</v>
      </c>
      <c r="I51" s="284">
        <f>(G51*(1-$I$10)+C51*(H51-$I$9))/Equity_Cost</f>
        <v>8113503.5817428371</v>
      </c>
      <c r="J51" s="422">
        <f>(G51*(1-$I$10)+C51*(H51-$I$9))/VLOOKUP(C15,B21:I50,8,FALSE)-1</f>
        <v>0</v>
      </c>
      <c r="K51" s="119">
        <f>1/(1+Equity_Cost)^C15</f>
        <v>0.34997779222393377</v>
      </c>
      <c r="L51" s="284">
        <f>I51*K51</f>
        <v>2839546.0707393372</v>
      </c>
    </row>
    <row r="52" spans="1:21" ht="13.15">
      <c r="G52" s="111"/>
      <c r="H52" s="111"/>
      <c r="I52" s="111"/>
      <c r="J52" s="467" t="s">
        <v>424</v>
      </c>
      <c r="K52" s="467"/>
      <c r="L52" s="324">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302"/>
      <c r="H56" s="302"/>
      <c r="I56" s="302"/>
      <c r="J56" s="302"/>
      <c r="K56" s="302"/>
      <c r="L56" s="302"/>
    </row>
    <row r="57" spans="1:21" ht="13.15">
      <c r="A57" s="131">
        <v>6</v>
      </c>
      <c r="B57" s="118">
        <v>5592462.1429429594</v>
      </c>
      <c r="C57" s="118">
        <v>5718998.710745181</v>
      </c>
      <c r="D57" s="118">
        <v>5846754.7613701653</v>
      </c>
      <c r="E57" s="118">
        <v>5975730.2948179226</v>
      </c>
      <c r="F57" s="118">
        <v>6105925.3110884447</v>
      </c>
      <c r="G57" s="302"/>
      <c r="H57" s="302"/>
      <c r="I57" s="302"/>
      <c r="J57" s="302"/>
      <c r="K57" s="302"/>
      <c r="L57" s="302"/>
    </row>
    <row r="58" spans="1:21" ht="13.15">
      <c r="A58" s="131">
        <v>7</v>
      </c>
      <c r="B58" s="118">
        <v>5492418.8643652732</v>
      </c>
      <c r="C58" s="118">
        <v>5676113.7507732855</v>
      </c>
      <c r="D58" s="118">
        <v>5863339.45178595</v>
      </c>
      <c r="E58" s="118">
        <v>6054130.0788109051</v>
      </c>
      <c r="F58" s="118">
        <v>6248519.7432557773</v>
      </c>
      <c r="G58" s="302"/>
      <c r="H58" s="302"/>
      <c r="I58" s="302"/>
      <c r="J58" s="302"/>
      <c r="K58" s="302"/>
      <c r="L58" s="302"/>
    </row>
    <row r="59" spans="1:21" ht="13.15">
      <c r="A59" s="131">
        <v>8</v>
      </c>
      <c r="B59" s="118">
        <v>5577866.7339330092</v>
      </c>
      <c r="C59" s="118">
        <v>5764124.8880702872</v>
      </c>
      <c r="D59" s="118">
        <v>5953964.6129467599</v>
      </c>
      <c r="E59" s="118">
        <v>6147420.5175792277</v>
      </c>
      <c r="F59" s="118">
        <v>6344527.2109844796</v>
      </c>
      <c r="G59" s="302"/>
      <c r="H59" s="302"/>
      <c r="I59" s="302"/>
      <c r="J59" s="302"/>
      <c r="K59" s="302"/>
      <c r="L59" s="302"/>
    </row>
    <row r="60" spans="1:21" ht="13.15">
      <c r="A60" s="131">
        <v>9</v>
      </c>
      <c r="B60" s="118">
        <v>5478674.0036659241</v>
      </c>
      <c r="C60" s="118">
        <v>5719030.9543831721</v>
      </c>
      <c r="D60" s="118">
        <v>5966300.8943257071</v>
      </c>
      <c r="E60" s="118">
        <v>6220617.567549143</v>
      </c>
      <c r="F60" s="118">
        <v>6482116.0088882605</v>
      </c>
      <c r="G60" s="302"/>
      <c r="H60" s="302"/>
      <c r="I60" s="302"/>
      <c r="J60" s="302"/>
      <c r="K60" s="302"/>
      <c r="L60" s="302"/>
    </row>
    <row r="61" spans="1:21" ht="13.15">
      <c r="A61" s="131">
        <v>10</v>
      </c>
      <c r="B61" s="118">
        <v>5555203.3815577477</v>
      </c>
      <c r="C61" s="118">
        <v>5798636.5094443168</v>
      </c>
      <c r="D61" s="118">
        <v>6049074.4452762417</v>
      </c>
      <c r="E61" s="118">
        <v>6306652.7422725484</v>
      </c>
      <c r="F61" s="118">
        <v>6571508.2620817916</v>
      </c>
      <c r="G61" s="302"/>
      <c r="H61" s="302"/>
      <c r="I61" s="302"/>
      <c r="J61" s="302"/>
      <c r="K61" s="302"/>
      <c r="L61" s="302"/>
    </row>
    <row r="62" spans="1:21" ht="13.15">
      <c r="A62" s="131">
        <v>15</v>
      </c>
      <c r="B62" s="118">
        <v>5396961.8185033593</v>
      </c>
      <c r="C62" s="284">
        <v>5792108.8893085411</v>
      </c>
      <c r="D62" s="118">
        <v>6209816.4225565288</v>
      </c>
      <c r="E62" s="118">
        <v>6651179.8059659954</v>
      </c>
      <c r="F62" s="118">
        <v>7117337.0643130448</v>
      </c>
      <c r="G62" s="302"/>
      <c r="H62" s="302"/>
      <c r="I62" s="302"/>
      <c r="J62" s="302"/>
      <c r="K62" s="302"/>
      <c r="L62" s="302"/>
      <c r="M62" s="282"/>
      <c r="N62" s="282"/>
      <c r="O62" s="282"/>
      <c r="P62" s="282"/>
      <c r="Q62" s="282"/>
      <c r="R62" s="282"/>
      <c r="S62" s="282"/>
      <c r="T62" s="282"/>
      <c r="U62" s="282"/>
    </row>
    <row r="63" spans="1:21" ht="13.15">
      <c r="A63" s="132">
        <v>20</v>
      </c>
      <c r="B63" s="118">
        <v>5364061.1430426184</v>
      </c>
      <c r="C63" s="284">
        <v>5853599.8591909334</v>
      </c>
      <c r="D63" s="118">
        <v>6380231.8284840696</v>
      </c>
      <c r="E63" s="118">
        <v>6946485.60456766</v>
      </c>
      <c r="F63" s="118">
        <v>7555038.2205814561</v>
      </c>
      <c r="G63" s="302"/>
      <c r="H63" s="302"/>
      <c r="I63" s="302"/>
      <c r="J63" s="302"/>
      <c r="K63" s="302"/>
      <c r="L63" s="302"/>
      <c r="M63" s="282"/>
      <c r="N63" s="282"/>
      <c r="O63" s="282"/>
      <c r="P63" s="282"/>
      <c r="Q63" s="282"/>
      <c r="R63" s="282"/>
      <c r="S63" s="282"/>
      <c r="T63" s="282"/>
      <c r="U63" s="282"/>
    </row>
    <row r="64" spans="1:21" ht="13.15">
      <c r="A64" s="132">
        <v>25</v>
      </c>
      <c r="B64" s="118">
        <v>5187075.0610776981</v>
      </c>
      <c r="C64" s="284">
        <v>5789247.4213424828</v>
      </c>
      <c r="D64" s="118">
        <v>6453576.1043743286</v>
      </c>
      <c r="E64" s="118">
        <v>7186133.2801278103</v>
      </c>
      <c r="F64" s="118">
        <v>7993530.2762442231</v>
      </c>
      <c r="G64" s="302"/>
      <c r="H64" s="302"/>
      <c r="I64" s="302"/>
      <c r="J64" s="302"/>
      <c r="K64" s="302"/>
      <c r="L64" s="302"/>
      <c r="M64" s="282"/>
      <c r="N64" s="282"/>
      <c r="O64" s="282"/>
      <c r="P64" s="282"/>
      <c r="Q64" s="282"/>
      <c r="R64" s="282"/>
      <c r="S64" s="282"/>
      <c r="T64" s="282"/>
      <c r="U64" s="282"/>
    </row>
    <row r="65" spans="1:21" ht="13.15">
      <c r="A65" s="132">
        <v>30</v>
      </c>
      <c r="B65" s="118">
        <v>5118927.8479986088</v>
      </c>
      <c r="C65" s="284">
        <v>5790972.7175897965</v>
      </c>
      <c r="D65" s="118">
        <v>6544533.1775393505</v>
      </c>
      <c r="E65" s="118">
        <v>7389189.0565219279</v>
      </c>
      <c r="F65" s="118">
        <v>8335565.6915554032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3"/>
      <c r="H70" s="303"/>
      <c r="I70" s="303"/>
      <c r="J70" s="303"/>
      <c r="K70" s="303"/>
      <c r="L70" s="303"/>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3"/>
      <c r="H71" s="303"/>
      <c r="I71" s="303"/>
      <c r="J71" s="303"/>
      <c r="K71" s="303"/>
      <c r="L71" s="303"/>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3"/>
      <c r="H72" s="303"/>
      <c r="I72" s="303"/>
      <c r="J72" s="303"/>
      <c r="K72" s="303"/>
      <c r="L72" s="303"/>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3"/>
      <c r="H73" s="303"/>
      <c r="I73" s="303"/>
      <c r="J73" s="303"/>
      <c r="K73" s="303"/>
      <c r="L73" s="303"/>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3"/>
      <c r="H74" s="303"/>
      <c r="I74" s="303"/>
      <c r="J74" s="303"/>
      <c r="K74" s="303"/>
      <c r="L74" s="303"/>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3"/>
      <c r="H75" s="303"/>
      <c r="I75" s="303"/>
      <c r="J75" s="303"/>
      <c r="K75" s="303"/>
      <c r="L75" s="303"/>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3"/>
      <c r="H76" s="303"/>
      <c r="I76" s="303"/>
      <c r="J76" s="303"/>
      <c r="K76" s="303"/>
      <c r="L76" s="303"/>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3"/>
      <c r="H77" s="303"/>
      <c r="I77" s="303"/>
      <c r="J77" s="303"/>
      <c r="K77" s="303"/>
      <c r="L77" s="303"/>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3"/>
      <c r="H78" s="303"/>
      <c r="I78" s="303"/>
      <c r="J78" s="303"/>
      <c r="K78" s="303"/>
      <c r="L78" s="303"/>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0.05</v>
      </c>
      <c r="D82" s="133">
        <f>Scenarios!D29</f>
        <v>15</v>
      </c>
      <c r="E82" s="127">
        <f>INDEX(B$69:F$79, MATCH(D82, A$69:A$79, 0), MATCH(C82, B$68:F$68, 0))</f>
        <v>9.3635390248553545</v>
      </c>
      <c r="F82" s="130">
        <f>Scenarios!F29</f>
        <v>0.05</v>
      </c>
      <c r="G82" s="304"/>
      <c r="H82" s="304"/>
      <c r="I82" s="304"/>
      <c r="J82" s="304"/>
      <c r="K82" s="304"/>
      <c r="L82" s="304"/>
    </row>
    <row r="83" spans="2:12">
      <c r="B83" s="120" t="str">
        <f>Scenarios!B22</f>
        <v>Optimistic</v>
      </c>
      <c r="C83" s="130">
        <f>Scenarios!C22</f>
        <v>0.04</v>
      </c>
      <c r="D83" s="133">
        <f>Scenarios!D22</f>
        <v>15</v>
      </c>
      <c r="E83" s="127">
        <f>INDEX(B$69:F$79, MATCH(D83, A$69:A$79, 0), MATCH(C83, B$68:F$68, 0))</f>
        <v>8.5598252024946575</v>
      </c>
      <c r="F83" s="130">
        <f>Scenarios!F22*(1-F$82-F$86)</f>
        <v>0.18</v>
      </c>
      <c r="G83" s="304"/>
      <c r="H83" s="304"/>
      <c r="I83" s="304"/>
      <c r="J83" s="304"/>
      <c r="K83" s="304"/>
      <c r="L83" s="304"/>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4"/>
      <c r="H84" s="304"/>
      <c r="I84" s="304"/>
      <c r="J84" s="304"/>
      <c r="K84" s="304"/>
      <c r="L84" s="304"/>
    </row>
    <row r="85" spans="2:12">
      <c r="B85" s="120" t="str">
        <f>Scenarios!B24</f>
        <v>Pessimistic</v>
      </c>
      <c r="C85" s="130">
        <f>Scenarios!C24</f>
        <v>0.02</v>
      </c>
      <c r="D85" s="133">
        <f>Scenarios!D24</f>
        <v>15</v>
      </c>
      <c r="E85" s="127">
        <f>INDEX(B$69:F$79, MATCH(D85, A$69:A$79, 0), MATCH(C85, B$68:F$68, 0))</f>
        <v>7.0786787487122345</v>
      </c>
      <c r="F85" s="130">
        <f>Scenarios!F24*(1-F$82-F$86)</f>
        <v>0.18</v>
      </c>
      <c r="G85" s="304"/>
      <c r="H85" s="304"/>
      <c r="I85" s="304"/>
      <c r="J85" s="304"/>
      <c r="K85" s="304"/>
      <c r="L85" s="304"/>
    </row>
    <row r="86" spans="2:12">
      <c r="B86" s="120" t="str">
        <f>Scenarios!B30</f>
        <v>Devil's advocate</v>
      </c>
      <c r="C86" s="130">
        <f>Scenarios!C30</f>
        <v>0.01</v>
      </c>
      <c r="D86" s="133">
        <f>Scenarios!D30</f>
        <v>15</v>
      </c>
      <c r="E86" s="127">
        <f>INDEX(B$69:F$79, MATCH(D86, A$69:A$79, 0), MATCH(C86, B$68:F$68, 0))</f>
        <v>6.3973954328681506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398162</v>
      </c>
      <c r="D7" s="468"/>
      <c r="E7" s="468"/>
      <c r="F7" s="468"/>
      <c r="G7" s="468"/>
    </row>
    <row r="8" spans="2:7">
      <c r="B8" s="97" t="s">
        <v>63</v>
      </c>
      <c r="C8" s="455">
        <f>Normalized_FCF!G19</f>
        <v>289000.65016124537</v>
      </c>
      <c r="D8" s="468"/>
      <c r="E8" s="468"/>
      <c r="F8" s="468"/>
      <c r="G8" s="468"/>
    </row>
    <row r="9" spans="2:7">
      <c r="B9" s="97" t="s">
        <v>54</v>
      </c>
      <c r="C9" s="455">
        <f>Normalized_FCF!C19</f>
        <v>230211.62257446788</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3.3358728201447585E-2</v>
      </c>
      <c r="D12" s="468"/>
      <c r="E12" s="468"/>
      <c r="F12" s="468"/>
      <c r="G12" s="468"/>
    </row>
    <row r="13" spans="2:7">
      <c r="B13" s="135" t="s">
        <v>127</v>
      </c>
      <c r="C13" s="255">
        <f ca="1">(Normalized_FCF!G8/OFFSET(Normalized_FCF!G8, 0, $C$4))^(1/$C$4) - 1</f>
        <v>0.35590966478967423</v>
      </c>
      <c r="D13" s="468"/>
      <c r="E13" s="468"/>
      <c r="F13" s="468"/>
      <c r="G13" s="468"/>
    </row>
    <row r="14" spans="2:7">
      <c r="B14" s="97" t="s">
        <v>63</v>
      </c>
      <c r="C14" s="255">
        <f ca="1">(Normalized_FCF!G19/OFFSET(Normalized_FCF!G19, 0, $C$4))^(1/$C$4) - 1</f>
        <v>0.62894902211793369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15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0.04</v>
      </c>
      <c r="D22" s="332">
        <f>C18</f>
        <v>15</v>
      </c>
      <c r="E22" s="333">
        <f>DCF!E83</f>
        <v>8.5598252024946575</v>
      </c>
      <c r="F22" s="335">
        <f>1-F23-F24</f>
        <v>0.2</v>
      </c>
      <c r="G22" s="335">
        <f>F22*(1-F$29-F$30)</f>
        <v>0.18</v>
      </c>
    </row>
    <row r="23" spans="2:7">
      <c r="B23" s="309" t="s">
        <v>441</v>
      </c>
      <c r="C23" s="331">
        <v>0.03</v>
      </c>
      <c r="D23" s="332">
        <f>C18</f>
        <v>15</v>
      </c>
      <c r="E23" s="333">
        <f>DCF!E84</f>
        <v>7.7988591431268164</v>
      </c>
      <c r="F23" s="334">
        <v>0.6</v>
      </c>
      <c r="G23" s="335">
        <f t="shared" ref="G23:G24" si="0">F23*(1-F$29-F$30)</f>
        <v>0.53999999999999992</v>
      </c>
    </row>
    <row r="24" spans="2:7">
      <c r="B24" s="309" t="s">
        <v>450</v>
      </c>
      <c r="C24" s="331">
        <v>0.02</v>
      </c>
      <c r="D24" s="332">
        <f>C18</f>
        <v>15</v>
      </c>
      <c r="E24" s="333">
        <f>DCF!E85</f>
        <v>7.0786787487122345</v>
      </c>
      <c r="F24" s="334">
        <v>0.2</v>
      </c>
      <c r="G24" s="335">
        <f t="shared" si="0"/>
        <v>0.18</v>
      </c>
    </row>
    <row r="25" spans="2:7">
      <c r="B25" s="141" t="s">
        <v>455</v>
      </c>
      <c r="C25" s="449">
        <f>E23*F23+E24*F24+E22*F22</f>
        <v>7.8070162761174675</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0.05</v>
      </c>
      <c r="D29" s="332">
        <f>C18</f>
        <v>15</v>
      </c>
      <c r="E29" s="333">
        <f>DCF!E82</f>
        <v>9.3635390248553545</v>
      </c>
      <c r="F29" s="334">
        <v>0.05</v>
      </c>
      <c r="G29" s="335">
        <f>F29</f>
        <v>0.05</v>
      </c>
    </row>
    <row r="30" spans="2:7">
      <c r="B30" s="322" t="s">
        <v>451</v>
      </c>
      <c r="C30" s="331">
        <v>0.01</v>
      </c>
      <c r="D30" s="332">
        <f>C18</f>
        <v>15</v>
      </c>
      <c r="E30" s="333">
        <f>DCF!E86</f>
        <v>6.3973954328681506</v>
      </c>
      <c r="F30" s="334">
        <v>0.05</v>
      </c>
      <c r="G30" s="335">
        <f>F30</f>
        <v>0.05</v>
      </c>
    </row>
    <row r="31" spans="2:7">
      <c r="E31" s="336"/>
      <c r="F31" s="336"/>
    </row>
    <row r="32" spans="2:7" ht="13.15">
      <c r="B32" s="145" t="s">
        <v>460</v>
      </c>
    </row>
    <row r="33" spans="2:7">
      <c r="B33" s="97" t="s">
        <v>462</v>
      </c>
      <c r="C33" s="155">
        <f>Normalized_FCF!C88*(1-dividend_tax_rate)</f>
        <v>0.4</v>
      </c>
      <c r="D33" t="str">
        <f>Market_currency</f>
        <v>HKD</v>
      </c>
      <c r="E33" s="97" t="s">
        <v>459</v>
      </c>
      <c r="F33" s="222">
        <f>Holding_Period</f>
        <v>3</v>
      </c>
    </row>
    <row r="34" spans="2:7">
      <c r="B34" s="97" t="s">
        <v>233</v>
      </c>
      <c r="C34" s="146">
        <f>Market_Price</f>
        <v>6.58</v>
      </c>
      <c r="D34" t="str">
        <f>Market_currency</f>
        <v>HKD</v>
      </c>
      <c r="E34" s="97" t="s">
        <v>458</v>
      </c>
      <c r="F34" s="337">
        <f>RATE(Holding_Period,$C$33,-C34,$C$36)</f>
        <v>0.11656690703965478</v>
      </c>
    </row>
    <row r="35" spans="2:7">
      <c r="B35" s="97" t="s">
        <v>438</v>
      </c>
      <c r="C35" s="327">
        <f>DCF!C11</f>
        <v>2.5670270786220946</v>
      </c>
      <c r="D35" s="97" t="str">
        <f>Market_currency</f>
        <v>HKD</v>
      </c>
      <c r="E35" s="97" t="s">
        <v>458</v>
      </c>
      <c r="F35" s="337">
        <f>RATE(Holding_Period,$C$33,-C35,$C$36)</f>
        <v>0.56386844863399943</v>
      </c>
    </row>
    <row r="36" spans="2:7">
      <c r="B36" s="97" t="s">
        <v>439</v>
      </c>
      <c r="C36" s="328">
        <f>E22*G22+E23*G23+E24*G24+E30*G30+E29*G29</f>
        <v>7.8143613713918958</v>
      </c>
      <c r="D36" t="str">
        <f>Market_currency</f>
        <v>HKD</v>
      </c>
      <c r="E36" s="97" t="s">
        <v>464</v>
      </c>
      <c r="F36" s="338" t="s">
        <v>463</v>
      </c>
    </row>
    <row r="38" spans="2:7" ht="13.9">
      <c r="B38" s="34" t="s">
        <v>414</v>
      </c>
      <c r="C38" s="35"/>
      <c r="D38" s="35"/>
      <c r="E38" s="35"/>
      <c r="F38" s="35"/>
      <c r="G38" s="35"/>
    </row>
    <row r="39" spans="2:7" ht="13.15">
      <c r="B39" s="421" t="str">
        <f>IF(DCF!F14="II","2","1")&amp;"-stage DCF"</f>
        <v>2-stage DCF</v>
      </c>
      <c r="E39" s="225"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5" t="s">
        <v>251</v>
      </c>
    </row>
    <row r="45" spans="2:7">
      <c r="B45" s="139" t="s">
        <v>111</v>
      </c>
      <c r="C45" s="150">
        <f>C18</f>
        <v>15</v>
      </c>
      <c r="D45" s="137"/>
      <c r="E45" s="224" t="s">
        <v>307</v>
      </c>
    </row>
    <row r="46" spans="2:7">
      <c r="B46" s="114" t="s">
        <v>112</v>
      </c>
      <c r="C46" s="138">
        <v>3.0149622951542498E-2</v>
      </c>
      <c r="D46" s="138"/>
      <c r="E46" s="224" t="s">
        <v>252</v>
      </c>
    </row>
    <row r="47" spans="2:7">
      <c r="B47" s="97" t="s">
        <v>96</v>
      </c>
      <c r="C47" s="146">
        <f>DCF!I18</f>
        <v>7.8099395838685268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0.56971924129009388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0.4</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0.73194063044404789</v>
      </c>
      <c r="D62" s="119">
        <f>C36/(1+F62)^Holding_Period</f>
        <v>3.6010881895815197</v>
      </c>
      <c r="E62" s="339">
        <f>C62+D62</f>
        <v>4.333028820025568</v>
      </c>
      <c r="F62" s="308">
        <f>Thesis!E22</f>
        <v>0.29465259038036606</v>
      </c>
      <c r="G62" s="448">
        <f>(1-E62/C36)</f>
        <v>0.44550442267891077</v>
      </c>
    </row>
    <row r="63" spans="2:7" ht="13.15">
      <c r="B63" s="309" t="s">
        <v>313</v>
      </c>
      <c r="C63" s="119">
        <f>PV(F63, Holding_Period, -C58, 0)</f>
        <v>0.84160157890763132</v>
      </c>
      <c r="D63" s="119">
        <f>C36/(1+F63)^Holding_Period</f>
        <v>4.513710539432144</v>
      </c>
      <c r="E63" s="339">
        <f>C63+D63</f>
        <v>5.3553121183397749</v>
      </c>
      <c r="F63" s="308">
        <f>Thesis!E23</f>
        <v>0.20075184365903009</v>
      </c>
      <c r="G63" s="448">
        <f>(1-E63/C36)</f>
        <v>0.31468332934468768</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0.96504125037545974</v>
      </c>
      <c r="D66" s="119">
        <f>C36/(1+F66)^Holding_Period</f>
        <v>5.6010247277185474</v>
      </c>
      <c r="E66" s="339">
        <f>C66+D66</f>
        <v>6.5660659780940076</v>
      </c>
      <c r="F66" s="308">
        <f>Thesis!E24</f>
        <v>0.1174</v>
      </c>
      <c r="G66" s="448">
        <f>(1-E66/C47)</f>
        <v>0.15926801896697729</v>
      </c>
    </row>
    <row r="67" spans="2:7" ht="13.15">
      <c r="B67" s="309" t="s">
        <v>314</v>
      </c>
      <c r="C67" s="119">
        <f>PV(F67, Holding_Period, -C58, 0)</f>
        <v>1.0449500908692064</v>
      </c>
      <c r="D67" s="119">
        <f>C36/(1+F67)^Holding_Period</f>
        <v>6.3343431768387548</v>
      </c>
      <c r="E67" s="339">
        <f>C67+D67</f>
        <v>7.3792932677079612</v>
      </c>
      <c r="F67" s="308">
        <f>Thesis!E25</f>
        <v>7.2499999999999995E-2</v>
      </c>
      <c r="G67" s="448">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546</v>
      </c>
      <c r="F3" s="444">
        <f>Thesis!F3</f>
        <v>45930</v>
      </c>
    </row>
    <row r="4" spans="1:10">
      <c r="B4" s="430" t="s">
        <v>538</v>
      </c>
      <c r="C4" s="431" t="str">
        <f>Thesis!C4</f>
        <v>大家乐集团</v>
      </c>
      <c r="D4" s="356"/>
      <c r="E4" s="442" t="s">
        <v>544</v>
      </c>
      <c r="F4" s="445" t="str">
        <f>Thesis!F4</f>
        <v>INT</v>
      </c>
    </row>
    <row r="5" spans="1:10">
      <c r="B5" s="350" t="s">
        <v>364</v>
      </c>
      <c r="C5" s="362" t="str">
        <f>Thesis!C5</f>
        <v>0341.HK</v>
      </c>
      <c r="E5" s="446" t="s">
        <v>545</v>
      </c>
      <c r="F5" s="447" t="str">
        <f>Thesis!F5</f>
        <v>Y</v>
      </c>
    </row>
    <row r="6" spans="1:10">
      <c r="B6" s="357" t="s">
        <v>336</v>
      </c>
      <c r="C6" s="359" t="str">
        <f>Thesis!C6</f>
        <v>CNS_01</v>
      </c>
      <c r="E6" s="361"/>
    </row>
    <row r="7" spans="1:10">
      <c r="B7" s="350" t="s">
        <v>366</v>
      </c>
      <c r="C7" s="359" t="str">
        <f>Market_currency</f>
        <v>HKD</v>
      </c>
      <c r="D7" s="361"/>
      <c r="E7" s="361"/>
    </row>
    <row r="8" spans="1:10">
      <c r="B8" s="358" t="s">
        <v>365</v>
      </c>
      <c r="C8" s="363">
        <f>Market_Price</f>
        <v>6.58</v>
      </c>
    </row>
    <row r="9" spans="1:10">
      <c r="B9" s="358" t="s">
        <v>361</v>
      </c>
      <c r="C9" s="360">
        <f>Common_Shares</f>
        <v>580004033</v>
      </c>
    </row>
    <row r="10" spans="1:10">
      <c r="B10" s="358" t="s">
        <v>367</v>
      </c>
      <c r="C10" s="364">
        <f>投资主题!C8*Common_Shares/1000000</f>
        <v>3816.4265371399997</v>
      </c>
      <c r="D10" s="350" t="s">
        <v>533</v>
      </c>
      <c r="E10" s="367">
        <f>Scenarios!F34</f>
        <v>0.11656690703965478</v>
      </c>
    </row>
    <row r="11" spans="1:10">
      <c r="D11" s="356"/>
      <c r="E11" s="356"/>
    </row>
    <row r="12" spans="1:10" ht="24.5" customHeight="1">
      <c r="B12" s="473" t="s">
        <v>502</v>
      </c>
      <c r="C12" s="473"/>
      <c r="D12" s="473"/>
      <c r="E12" s="473"/>
      <c r="F12" s="473"/>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539</v>
      </c>
      <c r="C17" s="432">
        <f>Terminal_Growth</f>
        <v>0</v>
      </c>
      <c r="D17" s="358" t="s">
        <v>339</v>
      </c>
      <c r="E17" s="351" t="str">
        <f>Reporting_currency</f>
        <v>HKD</v>
      </c>
    </row>
    <row r="18" spans="1:6">
      <c r="B18" s="350" t="str">
        <f>"预期股权价值 ("&amp;C7&amp;") :"</f>
        <v>预期股权价值 (HKD) :</v>
      </c>
      <c r="C18" s="366">
        <f>C125</f>
        <v>7.8143613713918958</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45991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4.333028820025568</v>
      </c>
      <c r="D22" s="372" t="s">
        <v>444</v>
      </c>
      <c r="E22" s="373">
        <f>Thesis!E22</f>
        <v>0.29465259038036606</v>
      </c>
    </row>
    <row r="23" spans="1:6">
      <c r="B23" s="350" t="s">
        <v>341</v>
      </c>
      <c r="C23" s="374">
        <f>E141</f>
        <v>5.3553121183397749</v>
      </c>
      <c r="D23" s="372" t="s">
        <v>445</v>
      </c>
      <c r="E23" s="375">
        <f>Thesis!E23</f>
        <v>0.20075184365903009</v>
      </c>
    </row>
    <row r="24" spans="1:6">
      <c r="B24" s="350" t="s">
        <v>343</v>
      </c>
      <c r="C24" s="374">
        <f>E144</f>
        <v>6.5660659780940076</v>
      </c>
      <c r="D24" s="372" t="s">
        <v>447</v>
      </c>
      <c r="E24" s="375">
        <f>Thesis!E24</f>
        <v>0.1174</v>
      </c>
    </row>
    <row r="25" spans="1:6">
      <c r="B25" s="350" t="s">
        <v>342</v>
      </c>
      <c r="C25" s="374">
        <f>E145</f>
        <v>7.3792932677079612</v>
      </c>
      <c r="D25" s="372" t="s">
        <v>446</v>
      </c>
      <c r="E25" s="375">
        <f>Thesis!E25</f>
        <v>7.2499999999999995E-2</v>
      </c>
    </row>
    <row r="27" spans="1:6" ht="13.9">
      <c r="A27" s="352" t="s">
        <v>345</v>
      </c>
      <c r="B27" s="352"/>
      <c r="C27" s="352"/>
      <c r="D27" s="352"/>
      <c r="E27" s="352"/>
      <c r="F27" s="352"/>
    </row>
    <row r="29" spans="1:6">
      <c r="B29" s="473" t="s">
        <v>503</v>
      </c>
      <c r="C29" s="473"/>
      <c r="D29" s="473"/>
      <c r="E29" s="473"/>
      <c r="F29" s="473"/>
    </row>
    <row r="30" spans="1:6" ht="24.5" customHeight="1">
      <c r="B30" s="476" t="s">
        <v>504</v>
      </c>
      <c r="C30" s="476"/>
      <c r="D30" s="476"/>
      <c r="E30" s="476"/>
      <c r="F30" s="476"/>
    </row>
    <row r="32" spans="1:6">
      <c r="B32" s="376" t="s">
        <v>371</v>
      </c>
      <c r="C32" s="377">
        <f>scaling_factor</f>
        <v>1000</v>
      </c>
    </row>
    <row r="33" spans="2:6">
      <c r="B33" s="469" t="s">
        <v>505</v>
      </c>
      <c r="C33" s="469"/>
      <c r="D33" s="469"/>
      <c r="E33" s="469"/>
      <c r="F33" s="469"/>
    </row>
    <row r="34" spans="2:6">
      <c r="B34" s="379" t="s">
        <v>197</v>
      </c>
      <c r="C34" s="380">
        <f>Normalized_FCF!C8</f>
        <v>399119.96227138769</v>
      </c>
      <c r="D34" s="350" t="str">
        <f>Reporting_currency</f>
        <v>HKD</v>
      </c>
    </row>
    <row r="35" spans="2:6">
      <c r="B35" s="379"/>
      <c r="C35" s="381"/>
    </row>
    <row r="36" spans="2:6" ht="24.5" customHeight="1">
      <c r="B36" s="469" t="s">
        <v>506</v>
      </c>
      <c r="C36" s="469"/>
      <c r="D36" s="469"/>
      <c r="E36" s="469"/>
      <c r="F36" s="469"/>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69" t="s">
        <v>507</v>
      </c>
      <c r="C40" s="469"/>
      <c r="D40" s="469"/>
      <c r="E40" s="469"/>
      <c r="F40" s="469"/>
    </row>
    <row r="41" spans="2:6">
      <c r="B41" s="379" t="s">
        <v>202</v>
      </c>
      <c r="C41" s="380">
        <f>Normalized_FCF!C9</f>
        <v>0</v>
      </c>
      <c r="D41" s="350" t="str">
        <f>Reporting_currency</f>
        <v>HKD</v>
      </c>
    </row>
    <row r="43" spans="2:6">
      <c r="B43" s="469" t="s">
        <v>508</v>
      </c>
      <c r="C43" s="469"/>
      <c r="D43" s="469"/>
      <c r="E43" s="469"/>
      <c r="F43" s="469"/>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509</v>
      </c>
    </row>
    <row r="49" spans="2:6">
      <c r="B49" s="379" t="s">
        <v>223</v>
      </c>
      <c r="C49" s="380">
        <f>Normalized_FCF!C13</f>
        <v>-37355.845009453624</v>
      </c>
      <c r="D49" s="350" t="str">
        <f>Reporting_currency</f>
        <v>HKD</v>
      </c>
    </row>
    <row r="51" spans="2:6">
      <c r="B51" s="469" t="s">
        <v>510</v>
      </c>
      <c r="C51" s="469"/>
      <c r="D51" s="469"/>
      <c r="E51" s="469"/>
      <c r="F51" s="469"/>
    </row>
    <row r="52" spans="2:6">
      <c r="B52" s="379" t="s">
        <v>500</v>
      </c>
      <c r="C52" s="380">
        <f>Normalized_FCF!C12</f>
        <v>-52872.613354906651</v>
      </c>
      <c r="D52" s="350" t="str">
        <f>Reporting_currency</f>
        <v>HKD</v>
      </c>
    </row>
    <row r="54" spans="2:6">
      <c r="B54" s="469" t="s">
        <v>511</v>
      </c>
      <c r="C54" s="475"/>
      <c r="D54" s="475"/>
      <c r="E54" s="475"/>
      <c r="F54" s="475"/>
    </row>
    <row r="55" spans="2:6">
      <c r="B55" s="379" t="s">
        <v>207</v>
      </c>
      <c r="C55" s="380">
        <f>Normalized_FCF!C17</f>
        <v>0</v>
      </c>
      <c r="D55" s="350" t="str">
        <f>Reporting_currency</f>
        <v>HKD</v>
      </c>
    </row>
    <row r="57" spans="2:6">
      <c r="B57" s="473" t="s">
        <v>512</v>
      </c>
      <c r="C57" s="473"/>
      <c r="D57" s="473"/>
      <c r="E57" s="473"/>
      <c r="F57" s="473"/>
    </row>
    <row r="58" spans="2:6">
      <c r="B58" s="473" t="s">
        <v>513</v>
      </c>
      <c r="C58" s="473"/>
      <c r="D58" s="473"/>
      <c r="E58" s="473"/>
      <c r="F58" s="473"/>
    </row>
    <row r="60" spans="2:6">
      <c r="B60" s="379" t="s">
        <v>372</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6.0321250870188803E-2</v>
      </c>
      <c r="F62" s="386"/>
    </row>
    <row r="63" spans="2:6">
      <c r="B63" s="384" t="s">
        <v>332</v>
      </c>
      <c r="C63" s="385">
        <f>Normalized_FCF!C92</f>
        <v>6.0790273556231005E-2</v>
      </c>
      <c r="E63" s="379" t="s">
        <v>373</v>
      </c>
      <c r="F63" s="387">
        <f>Normalized_FCF!C90</f>
        <v>1.0077754137932506</v>
      </c>
    </row>
    <row r="65" spans="1:6">
      <c r="B65" s="376" t="s">
        <v>376</v>
      </c>
      <c r="C65" s="388" t="s">
        <v>327</v>
      </c>
      <c r="D65" s="388" t="s">
        <v>374</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480</v>
      </c>
      <c r="B71" s="352"/>
      <c r="C71" s="352"/>
      <c r="D71" s="352"/>
      <c r="E71" s="352"/>
      <c r="F71" s="352"/>
    </row>
    <row r="72" spans="1:6">
      <c r="A72" s="392"/>
    </row>
    <row r="73" spans="1:6">
      <c r="A73" s="393"/>
      <c r="B73" s="473" t="s">
        <v>514</v>
      </c>
      <c r="C73" s="473"/>
      <c r="D73" s="473"/>
      <c r="E73" s="473"/>
      <c r="F73" s="473"/>
    </row>
    <row r="74" spans="1:6">
      <c r="B74" s="476" t="s">
        <v>483</v>
      </c>
      <c r="C74" s="476"/>
      <c r="D74" s="476"/>
      <c r="E74" s="476"/>
      <c r="F74" s="476"/>
    </row>
    <row r="76" spans="1:6">
      <c r="B76" s="376" t="s">
        <v>371</v>
      </c>
    </row>
    <row r="77" spans="1:6">
      <c r="B77" s="473" t="s">
        <v>515</v>
      </c>
      <c r="C77" s="473"/>
      <c r="D77" s="473"/>
      <c r="E77" s="473"/>
      <c r="F77" s="473"/>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516</v>
      </c>
    </row>
    <row r="84" spans="1:6">
      <c r="B84" s="350" t="s">
        <v>224</v>
      </c>
      <c r="C84" s="380">
        <f>DCF!F5</f>
        <v>384381.13325594889</v>
      </c>
      <c r="D84" s="350" t="str">
        <f>Reporting_currency</f>
        <v>HKD</v>
      </c>
    </row>
    <row r="85" spans="1:6">
      <c r="B85" s="389" t="s">
        <v>485</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517</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484</v>
      </c>
      <c r="C92" s="394">
        <f>DCF!F8</f>
        <v>-2.9076464486309033</v>
      </c>
      <c r="D92" s="350" t="str">
        <f>Market_currency</f>
        <v>HKD</v>
      </c>
    </row>
    <row r="94" spans="1:6" ht="13.9">
      <c r="A94" s="352" t="s">
        <v>486</v>
      </c>
      <c r="B94" s="352"/>
      <c r="C94" s="352"/>
      <c r="D94" s="352"/>
      <c r="E94" s="352"/>
      <c r="F94" s="352"/>
    </row>
    <row r="95" spans="1:6">
      <c r="A95" s="392"/>
    </row>
    <row r="96" spans="1:6">
      <c r="A96" s="392"/>
      <c r="B96" s="473" t="s">
        <v>518</v>
      </c>
      <c r="C96" s="473"/>
      <c r="D96" s="473"/>
      <c r="E96" s="473"/>
      <c r="F96" s="473"/>
    </row>
    <row r="97" spans="1:6">
      <c r="A97" s="392"/>
      <c r="B97" s="476" t="s">
        <v>519</v>
      </c>
      <c r="C97" s="476"/>
      <c r="D97" s="476"/>
      <c r="E97" s="476"/>
      <c r="F97" s="476"/>
    </row>
    <row r="98" spans="1:6">
      <c r="A98" s="392"/>
      <c r="B98" s="476" t="s">
        <v>520</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375</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493</v>
      </c>
    </row>
    <row r="111" spans="1:6">
      <c r="A111" s="392"/>
      <c r="B111" s="382" t="s">
        <v>490</v>
      </c>
      <c r="C111" s="401">
        <f>BS!D47</f>
        <v>-2.5047246524922007</v>
      </c>
      <c r="D111" s="350" t="str">
        <f>Market_currency</f>
        <v>HKD</v>
      </c>
    </row>
    <row r="112" spans="1:6">
      <c r="A112" s="392"/>
      <c r="B112" s="379" t="s">
        <v>377</v>
      </c>
      <c r="C112" s="401">
        <f>DCF!C11</f>
        <v>2.5670270786220946</v>
      </c>
      <c r="D112" s="350" t="str">
        <f>Market_currency</f>
        <v>HKD</v>
      </c>
    </row>
    <row r="113" spans="1:6">
      <c r="A113" s="392"/>
    </row>
    <row r="114" spans="1:6">
      <c r="A114" s="392"/>
      <c r="B114" s="473" t="s">
        <v>522</v>
      </c>
      <c r="C114" s="473"/>
      <c r="D114" s="473"/>
      <c r="E114" s="473"/>
      <c r="F114" s="473"/>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0.05</v>
      </c>
      <c r="D118" s="404">
        <f>DCF!D82</f>
        <v>15</v>
      </c>
      <c r="E118" s="405" t="str">
        <f>ROUND(DCF!E82,2)&amp;" "&amp;Market_currency</f>
        <v>9.36 HKD</v>
      </c>
      <c r="F118" s="406">
        <f>DCF!F82</f>
        <v>0.05</v>
      </c>
    </row>
    <row r="119" spans="1:6">
      <c r="A119" s="392"/>
      <c r="B119" s="407" t="str">
        <f>DCF!B83</f>
        <v>Optimistic</v>
      </c>
      <c r="C119" s="408">
        <f>DCF!C83</f>
        <v>0.04</v>
      </c>
      <c r="D119" s="409">
        <f>DCF!D83</f>
        <v>15</v>
      </c>
      <c r="E119" s="405" t="str">
        <f>ROUND(DCF!E83,2)&amp;" "&amp;Market_currency</f>
        <v>8.56 HKD</v>
      </c>
      <c r="F119" s="410">
        <f>DCF!F83</f>
        <v>0.18</v>
      </c>
    </row>
    <row r="120" spans="1:6">
      <c r="B120" s="407" t="str">
        <f>DCF!B84</f>
        <v>Base</v>
      </c>
      <c r="C120" s="408">
        <f>DCF!C84</f>
        <v>0.03</v>
      </c>
      <c r="D120" s="409">
        <f>DCF!D84</f>
        <v>15</v>
      </c>
      <c r="E120" s="405" t="str">
        <f>ROUND(DCF!E84,2)&amp;" "&amp;Market_currency</f>
        <v>7.8 HKD</v>
      </c>
      <c r="F120" s="410">
        <f>DCF!F84</f>
        <v>0.53999999999999992</v>
      </c>
    </row>
    <row r="121" spans="1:6">
      <c r="B121" s="407" t="str">
        <f>DCF!B85</f>
        <v>Pessimistic</v>
      </c>
      <c r="C121" s="408">
        <f>DCF!C85</f>
        <v>0.02</v>
      </c>
      <c r="D121" s="409">
        <f>DCF!D85</f>
        <v>15</v>
      </c>
      <c r="E121" s="405" t="str">
        <f>ROUND(DCF!E85,2)&amp;" "&amp;Market_currency</f>
        <v>7.08 HKD</v>
      </c>
      <c r="F121" s="410">
        <f>DCF!F85</f>
        <v>0.18</v>
      </c>
    </row>
    <row r="122" spans="1:6">
      <c r="B122" s="407" t="str">
        <f>DCF!B86</f>
        <v>Devil's advocate</v>
      </c>
      <c r="C122" s="408">
        <f>DCF!C86</f>
        <v>0.01</v>
      </c>
      <c r="D122" s="409">
        <f>DCF!D86</f>
        <v>15</v>
      </c>
      <c r="E122" s="405" t="str">
        <f>ROUND(DCF!E86,2)&amp;" "&amp;Market_currency</f>
        <v>6.4 HKD</v>
      </c>
      <c r="F122" s="410">
        <f>DCF!F86</f>
        <v>0.05</v>
      </c>
    </row>
    <row r="124" spans="1:6">
      <c r="B124" s="469" t="s">
        <v>523</v>
      </c>
      <c r="C124" s="469"/>
      <c r="D124" s="469"/>
      <c r="E124" s="469"/>
      <c r="F124" s="469"/>
    </row>
    <row r="125" spans="1:6">
      <c r="B125" s="379" t="s">
        <v>218</v>
      </c>
      <c r="C125" s="411">
        <f>Scenarios!C36</f>
        <v>7.8143613713918958</v>
      </c>
      <c r="D125" s="350" t="str">
        <f>Market_currency</f>
        <v>HKD</v>
      </c>
    </row>
    <row r="127" spans="1:6">
      <c r="B127" s="471" t="s">
        <v>524</v>
      </c>
      <c r="C127" s="471"/>
      <c r="D127" s="471"/>
      <c r="E127" s="471"/>
      <c r="F127" s="471"/>
    </row>
    <row r="129" spans="1:6" ht="13.9">
      <c r="A129" s="352" t="s">
        <v>496</v>
      </c>
      <c r="B129" s="352"/>
      <c r="C129" s="352"/>
      <c r="D129" s="352"/>
      <c r="E129" s="352"/>
      <c r="F129" s="352"/>
    </row>
    <row r="131" spans="1:6">
      <c r="B131" s="472" t="s">
        <v>525</v>
      </c>
      <c r="C131" s="472"/>
      <c r="D131" s="472"/>
      <c r="E131" s="472"/>
      <c r="F131" s="472"/>
    </row>
    <row r="132" spans="1:6" ht="24.5" customHeight="1">
      <c r="B132" s="473" t="s">
        <v>526</v>
      </c>
      <c r="C132" s="473"/>
      <c r="D132" s="473"/>
      <c r="E132" s="473"/>
      <c r="F132" s="473"/>
    </row>
    <row r="134" spans="1:6">
      <c r="B134" s="376" t="s">
        <v>371</v>
      </c>
    </row>
    <row r="135" spans="1:6">
      <c r="B135" s="350" t="s">
        <v>382</v>
      </c>
      <c r="C135" s="412">
        <f>E21</f>
        <v>3</v>
      </c>
    </row>
    <row r="136" spans="1:6">
      <c r="B136" s="350" t="s">
        <v>383</v>
      </c>
      <c r="C136" s="413">
        <f>Scenarios!C58</f>
        <v>0.4</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0.73194063044404789</v>
      </c>
      <c r="D140" s="416">
        <f>Scenarios!D62</f>
        <v>3.6010881895815197</v>
      </c>
      <c r="E140" s="417">
        <f>Scenarios!E62</f>
        <v>4.333028820025568</v>
      </c>
      <c r="F140" s="418">
        <f>E22</f>
        <v>0.29465259038036606</v>
      </c>
    </row>
    <row r="141" spans="1:6">
      <c r="B141" s="415" t="s">
        <v>313</v>
      </c>
      <c r="C141" s="416">
        <f>Scenarios!C63</f>
        <v>0.84160157890763132</v>
      </c>
      <c r="D141" s="416">
        <f>Scenarios!D63</f>
        <v>4.513710539432144</v>
      </c>
      <c r="E141" s="417">
        <f>Scenarios!E63</f>
        <v>5.3553121183397749</v>
      </c>
      <c r="F141" s="418">
        <f>Scenarios!F63</f>
        <v>0.20075184365903009</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0.96504125037545974</v>
      </c>
      <c r="D144" s="416">
        <f>Scenarios!D66</f>
        <v>5.6010247277185474</v>
      </c>
      <c r="E144" s="417">
        <f>Scenarios!E66</f>
        <v>6.5660659780940076</v>
      </c>
      <c r="F144" s="418">
        <f>E24</f>
        <v>0.1174</v>
      </c>
    </row>
    <row r="145" spans="1:6">
      <c r="B145" s="415" t="s">
        <v>314</v>
      </c>
      <c r="C145" s="416">
        <f>Scenarios!C67</f>
        <v>1.0449500908692064</v>
      </c>
      <c r="D145" s="416">
        <f>Scenarios!D67</f>
        <v>6.3343431768387548</v>
      </c>
      <c r="E145" s="417">
        <f>Scenarios!E67</f>
        <v>7.3792932677079612</v>
      </c>
      <c r="F145" s="418">
        <f>Scenarios!F67</f>
        <v>7.2499999999999995E-2</v>
      </c>
    </row>
    <row r="147" spans="1:6" ht="13.9">
      <c r="A147" s="352" t="s">
        <v>479</v>
      </c>
      <c r="B147" s="352"/>
      <c r="C147" s="352"/>
      <c r="D147" s="352"/>
      <c r="E147" s="352"/>
      <c r="F147" s="352"/>
    </row>
    <row r="149" spans="1:6">
      <c r="B149" s="474" t="s">
        <v>527</v>
      </c>
      <c r="C149" s="473"/>
      <c r="D149" s="473"/>
      <c r="E149" s="473"/>
      <c r="F149" s="473"/>
    </row>
    <row r="151" spans="1:6">
      <c r="B151" s="376" t="s">
        <v>384</v>
      </c>
    </row>
    <row r="152" spans="1:6">
      <c r="B152" s="475" t="s">
        <v>528</v>
      </c>
      <c r="C152" s="475"/>
      <c r="D152" s="475"/>
      <c r="E152" s="475"/>
      <c r="F152" s="475"/>
    </row>
    <row r="153" spans="1:6">
      <c r="B153" s="419" t="s">
        <v>385</v>
      </c>
    </row>
    <row r="154" spans="1:6">
      <c r="B154" s="419" t="s">
        <v>386</v>
      </c>
    </row>
    <row r="155" spans="1:6">
      <c r="B155" s="419" t="s">
        <v>387</v>
      </c>
    </row>
    <row r="157" spans="1:6">
      <c r="B157" s="350" t="s">
        <v>529</v>
      </c>
    </row>
    <row r="158" spans="1:6" ht="24.5" customHeight="1">
      <c r="B158" s="469" t="s">
        <v>443</v>
      </c>
      <c r="C158" s="469"/>
      <c r="D158" s="469"/>
      <c r="E158" s="469"/>
      <c r="F158" s="469"/>
    </row>
    <row r="160" spans="1:6">
      <c r="B160" s="350" t="s">
        <v>530</v>
      </c>
    </row>
    <row r="161" spans="2:6">
      <c r="B161" s="470" t="s">
        <v>388</v>
      </c>
      <c r="C161" s="470"/>
      <c r="D161" s="470"/>
      <c r="E161" s="470"/>
      <c r="F161" s="470"/>
    </row>
    <row r="162" spans="2:6">
      <c r="B162" s="470" t="s">
        <v>389</v>
      </c>
      <c r="C162" s="470"/>
      <c r="D162" s="470"/>
      <c r="E162" s="470"/>
      <c r="F162" s="470"/>
    </row>
    <row r="164" spans="2:6">
      <c r="B164" s="350" t="s">
        <v>531</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