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8FD4439-4950-4EED-9C86-EEE7B1E9C0C9}"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DCF!$B$81:$M$81</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s="1"/>
  <c r="E15" i="8" l="1"/>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B71" i="8"/>
  <c r="E72" i="8"/>
  <c r="C74" i="8"/>
  <c r="D71" i="8"/>
  <c r="B73" i="8"/>
  <c r="E74" i="8"/>
  <c r="E71" i="8"/>
  <c r="C73" i="8"/>
  <c r="F74" i="8"/>
  <c r="D73" i="8"/>
  <c r="E73" i="8"/>
  <c r="C72" i="8"/>
  <c r="F73" i="8"/>
  <c r="D72" i="8"/>
  <c r="B74" i="8"/>
  <c r="C71" i="8"/>
  <c r="D74" i="8"/>
  <c r="F71" i="8"/>
  <c r="B72" i="8"/>
  <c r="F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C38" i="12" l="1"/>
  <c r="C38" i="6"/>
  <c r="F18" i="8"/>
  <c r="H51" i="8" s="1"/>
  <c r="H21" i="8"/>
  <c r="H24" i="8"/>
  <c r="H25" i="8"/>
  <c r="H22" i="8"/>
  <c r="H23" i="8"/>
  <c r="C29" i="8"/>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<sst xmlns="http://schemas.openxmlformats.org/spreadsheetml/2006/main" count="767" uniqueCount="556">
  <si>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</si>
  <si>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</si>
  <si>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</si>
  <si>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</si>
  <si>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</si>
  <si>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</si>
  <si>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</si>
  <si>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</si>
  <si>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</si>
  <si>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</si>
  <si>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</si>
  <si>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</si>
  <si>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</si>
  <si>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</si>
  <si>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</si>
  <si>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</si>
  <si>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</si>
  <si>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</si>
  <si>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</si>
  <si>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</si>
  <si>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</si>
  <si>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</si>
  <si>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</si>
  <si>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</si>
  <si>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</si>
  <si>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</si>
  <si>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</si>
  <si>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</si>
  <si>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</si>
  <si>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</si>
  <si>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</si>
  <si>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</si>
  <si>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</si>
  <si>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</si>
  <si>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</si>
  <si>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</si>
  <si>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</si>
  <si>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</si>
  <si>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</si>
  <si>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</si>
  <si>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</si>
  <si>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</si>
  <si>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</si>
  <si>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</si>
  <si>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</si>
  <si>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</si>
  <si>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</si>
  <si>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</si>
  <si>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</si>
  <si>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</si>
  <si>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</si>
  <si>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</si>
  <si>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</si>
  <si>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</si>
  <si>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</si>
  <si>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</si>
  <si>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</si>
  <si>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</si>
  <si>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</si>
  <si>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</si>
  <si>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</si>
  <si>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</si>
  <si>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</si>
  <si>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</si>
  <si>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</si>
  <si>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</si>
  <si>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</si>
  <si>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</si>
  <si>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</si>
  <si>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</si>
  <si>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</si>
  <si>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</si>
  <si>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</si>
  <si>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</si>
  <si>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</si>
  <si>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</si>
  <si>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</si>
  <si>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</si>
  <si>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</si>
  <si>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</si>
  <si>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</si>
  <si>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</si>
  <si>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</si>
  <si>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</si>
  <si>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</si>
  <si>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</si>
  <si>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</si>
  <si>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</si>
  <si>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</si>
  <si>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</si>
  <si>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</si>
  <si>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</si>
  <si>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</si>
  <si>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</si>
  <si>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</si>
  <si>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</si>
  <si>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</si>
  <si>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</si>
  <si>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</si>
  <si>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</si>
  <si>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</si>
  <si>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</si>
  <si>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</si>
  <si>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</si>
  <si>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</si>
  <si>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</si>
  <si>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</si>
  <si>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</si>
  <si>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</si>
  <si>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</si>
  <si>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</si>
  <si>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</si>
  <si>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</si>
  <si>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</si>
  <si>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</si>
  <si>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</si>
  <si>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</si>
  <si>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</si>
  <si>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</si>
  <si>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</si>
  <si>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</si>
  <si>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</si>
  <si>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</si>
  <si>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</si>
  <si>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</si>
  <si>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</si>
  <si>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</si>
  <si>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</si>
  <si>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</si>
  <si>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</si>
  <si>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</si>
  <si>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</si>
  <si>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</si>
  <si>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</si>
  <si>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</si>
  <si>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</si>
  <si>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</si>
  <si>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</si>
  <si>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</si>
  <si>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</si>
  <si>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</si>
  <si>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</si>
  <si>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</si>
  <si>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</si>
  <si>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</si>
  <si>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</si>
  <si>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</si>
  <si>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</si>
  <si>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</si>
  <si>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</si>
  <si>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</si>
  <si>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</si>
  <si>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</si>
  <si>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</si>
  <si>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</si>
  <si>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</si>
  <si>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</si>
  <si>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</si>
  <si>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</si>
  <si>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</si>
  <si>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</si>
  <si>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</si>
  <si>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</si>
  <si>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</si>
  <si>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</si>
  <si>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</si>
  <si>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</si>
  <si>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</si>
  <si>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</si>
  <si>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</si>
  <si>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</si>
  <si>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</si>
  <si>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</si>
  <si>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</si>
  <si>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</si>
  <si>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</si>
  <si>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</si>
  <si>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</si>
  <si>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</si>
  <si>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</si>
  <si>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</si>
  <si>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</si>
  <si>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</si>
  <si>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</si>
  <si>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</si>
  <si>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</si>
  <si>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</si>
  <si>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</si>
  <si>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</si>
  <si>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</si>
  <si>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</si>
  <si>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</si>
  <si>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</si>
  <si>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</si>
  <si>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</si>
  <si>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</si>
  <si>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</si>
  <si>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</si>
  <si>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</si>
  <si>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</si>
  <si>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</si>
  <si>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</si>
  <si>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</si>
  <si>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</si>
  <si>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</si>
  <si>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</si>
  <si>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</si>
  <si>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</si>
  <si>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</si>
  <si>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</si>
  <si>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</si>
  <si>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</si>
  <si>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</si>
  <si>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</si>
  <si>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</si>
  <si>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</si>
  <si>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</si>
  <si>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</si>
  <si>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</si>
  <si>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</si>
  <si>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</si>
  <si>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</si>
  <si>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</si>
  <si>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</si>
  <si>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</si>
  <si>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</si>
  <si>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</si>
  <si>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</si>
  <si>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</si>
  <si>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</si>
  <si>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</si>
  <si>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</si>
  <si>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</si>
  <si>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</si>
  <si>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</si>
  <si>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</si>
  <si>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</si>
  <si>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</si>
  <si>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</si>
  <si>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</si>
  <si>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</si>
  <si>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</si>
  <si>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</si>
  <si>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</si>
  <si>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</si>
  <si>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</si>
  <si>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</si>
  <si>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</si>
  <si>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</si>
  <si>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</si>
  <si>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</si>
  <si>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</si>
  <si>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</si>
  <si>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</si>
  <si>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</si>
  <si>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</si>
  <si>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</si>
  <si>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</si>
  <si>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</si>
  <si>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</si>
  <si>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</si>
  <si>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</si>
  <si>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</si>
  <si>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</si>
  <si>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</si>
  <si>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</si>
  <si>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</si>
  <si>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</si>
  <si>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</si>
  <si>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</si>
  <si>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</si>
  <si>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</si>
  <si>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</si>
  <si>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</si>
  <si>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</si>
  <si>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</si>
  <si>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</si>
  <si>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</si>
  <si>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</si>
  <si>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</si>
  <si>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</si>
  <si>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</si>
  <si>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</si>
  <si>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</si>
  <si>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</si>
  <si>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</si>
  <si>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</si>
  <si>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</si>
  <si>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</si>
  <si>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</si>
  <si>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</si>
  <si>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</si>
  <si>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</si>
  <si>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</si>
  <si>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</si>
  <si>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</si>
  <si>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</si>
  <si>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</si>
  <si>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</si>
  <si>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</si>
  <si>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</si>
  <si>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</si>
  <si>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</si>
  <si>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</si>
  <si>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</si>
  <si>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</si>
  <si>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</si>
  <si>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</si>
  <si>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</si>
  <si>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</si>
  <si>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</si>
  <si>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</si>
  <si>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</si>
  <si>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</si>
  <si>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</si>
  <si>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</si>
  <si>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</si>
  <si>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</si>
  <si>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</si>
  <si>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</si>
  <si>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</si>
  <si>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</si>
  <si>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</si>
  <si>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</si>
  <si>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</si>
  <si>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</si>
  <si>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</si>
  <si>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</si>
  <si>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</si>
  <si>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</si>
  <si>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</si>
  <si>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</si>
  <si>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</si>
  <si>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</si>
  <si>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</si>
  <si>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</si>
  <si>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</si>
  <si>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</si>
  <si>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</si>
  <si>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</si>
  <si>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</si>
  <si>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</si>
  <si>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</si>
  <si>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</si>
  <si>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</si>
  <si>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</si>
  <si>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</si>
  <si>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</si>
  <si>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</si>
  <si>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</si>
  <si>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</si>
  <si>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</si>
  <si>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</si>
  <si>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</si>
  <si>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</si>
  <si>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</si>
  <si>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</si>
  <si>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</si>
  <si>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</si>
  <si>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</si>
  <si>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</si>
  <si>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</si>
  <si>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</si>
  <si>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</si>
  <si>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</si>
  <si>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</si>
  <si>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</si>
  <si>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</si>
  <si>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</si>
  <si>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</si>
  <si>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</si>
  <si>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</si>
  <si>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</si>
  <si>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</si>
  <si>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</si>
  <si>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</si>
  <si>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</si>
  <si>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</si>
  <si>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</si>
  <si>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</si>
  <si>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</si>
  <si>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</si>
  <si>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</si>
  <si>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</si>
  <si>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</si>
  <si>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</si>
  <si>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</si>
  <si>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</si>
  <si>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</si>
  <si>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</si>
  <si>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</si>
  <si>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</si>
  <si>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</si>
  <si>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</si>
  <si>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</si>
  <si>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</si>
  <si>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</si>
  <si>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</si>
  <si>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</si>
  <si>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</si>
  <si>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</si>
  <si>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</si>
  <si>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</si>
  <si>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</si>
  <si>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</si>
  <si>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</si>
  <si>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</si>
  <si>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</si>
  <si>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</si>
  <si>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</si>
  <si>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</si>
  <si>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</si>
  <si>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</si>
  <si>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</si>
  <si>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</si>
  <si>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</si>
  <si>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</si>
  <si>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</si>
  <si>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</si>
  <si>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</si>
  <si>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</si>
  <si>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</si>
  <si>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</si>
  <si>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</si>
  <si>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</si>
  <si>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</si>
  <si>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</si>
  <si>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</si>
  <si>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</si>
  <si>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</si>
  <si>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</si>
  <si>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</si>
  <si>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</si>
  <si>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</si>
  <si>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</si>
  <si>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</si>
  <si>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</si>
  <si>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</si>
  <si>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</si>
  <si>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</si>
  <si>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</si>
  <si>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</si>
  <si>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</si>
  <si>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</si>
  <si>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</si>
  <si>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</si>
  <si>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</si>
  <si>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</si>
  <si>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</si>
  <si>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</si>
  <si>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</si>
  <si>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</si>
  <si>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</si>
  <si>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</si>
  <si>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</si>
  <si>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</si>
  <si>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</si>
  <si>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</si>
  <si>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</si>
  <si>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</si>
  <si>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</si>
  <si>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</si>
  <si>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</si>
  <si>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</si>
  <si>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</si>
  <si>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</si>
  <si>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</si>
  <si>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</si>
  <si>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</si>
  <si>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</si>
  <si>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</si>
  <si>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</si>
  <si>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</si>
  <si>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</si>
  <si>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</si>
  <si>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</si>
  <si>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</si>
  <si>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</si>
  <si>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</si>
  <si>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</si>
  <si>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</si>
  <si>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</si>
  <si>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</si>
  <si>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</si>
  <si>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</si>
  <si>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</si>
  <si>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</si>
  <si>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</si>
  <si>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</si>
  <si>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</si>
  <si>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</si>
  <si>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</si>
  <si>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</si>
  <si>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</si>
  <si>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</si>
  <si>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</si>
  <si>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</si>
  <si>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</si>
  <si>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</si>
  <si>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</si>
  <si>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</si>
  <si>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</si>
  <si>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</si>
  <si>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</si>
  <si>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</si>
  <si>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</si>
  <si>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</si>
  <si>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</si>
  <si>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</si>
  <si>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</si>
  <si>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</si>
  <si>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</si>
  <si>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</si>
  <si>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</si>
  <si>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</si>
  <si>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</si>
  <si>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</si>
  <si>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</si>
  <si>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</si>
  <si>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</si>
  <si>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</si>
  <si>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</si>
  <si>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</si>
  <si>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</si>
  <si>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</si>
  <si>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</si>
  <si>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</si>
  <si>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</si>
  <si>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</si>
  <si>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</si>
  <si>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</si>
  <si>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</si>
  <si>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</si>
  <si>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</si>
  <si>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</si>
  <si>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</si>
  <si>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</si>
  <si>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</si>
  <si>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</si>
  <si>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</si>
  <si>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</si>
  <si>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</si>
  <si>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</si>
  <si>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</si>
  <si>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</si>
  <si>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</si>
  <si>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</si>
  <si>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</si>
  <si>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</si>
  <si>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</si>
  <si>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</si>
  <si>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大家乐集团</t>
  </si>
  <si>
    <t>0341.HK</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</si>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</sst>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1" fillId="0" borderId="1"/>
  </cellStyleXfs>
  <cellXfs count="48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xf numFmtId="0" fontId="16" fillId="3" borderId="1" xfId="2" applyFont="1" applyFill="1"/>
    <xf numFmtId="168" fontId="9" fillId="4" borderId="1" xfId="2" applyNumberFormat="1" applyFont="1" applyFill="1" applyAlignment="1">
      <alignment horizontal="center"/>
    </xf>
    <xf numFmtId="0" fontId="1" fillId="0" borderId="1" xfId="2"/>
  </cellXfs>
  <cellStyles count="3">
    <cellStyle name="常规" xfId="0" builtinId="0"/>
    <cellStyle name="常规 2" xfId="2" xr:uid="{6757641E-6F77-4D22-A9BB-ECA58D4E8794}"/>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41.HK_Valuation_backup.xlsx" TargetMode="External"/><Relationship Id="rId1" Type="http://schemas.openxmlformats.org/officeDocument/2006/relationships/externalLinkPath" Target="034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6.5</v>
          </cell>
        </row>
        <row r="9">
          <cell r="C9">
            <v>580004033</v>
          </cell>
        </row>
        <row r="16">
          <cell r="E16">
            <v>1</v>
          </cell>
        </row>
        <row r="17">
          <cell r="C17">
            <v>0</v>
          </cell>
          <cell r="E17" t="str">
            <v>HKD</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-1686446.6667440513</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543</v>
      </c>
      <c r="F3" s="437">
        <v>45930</v>
      </c>
    </row>
    <row r="4" spans="1:9" ht="12.4">
      <c r="B4" s="429" t="s">
        <v>538</v>
      </c>
      <c r="C4" s="428" t="s">
        <v>551</v>
      </c>
      <c r="E4" s="438" t="s">
        <v>542</v>
      </c>
      <c r="F4" s="439" t="s">
        <v>324</v>
      </c>
    </row>
    <row r="5" spans="1:9">
      <c r="B5" s="1" t="s">
        <v>350</v>
      </c>
      <c r="C5" s="46" t="s">
        <v>552</v>
      </c>
      <c r="E5" s="441" t="s">
        <v>544</v>
      </c>
      <c r="F5" s="440" t="s">
        <v>502</v>
      </c>
    </row>
    <row r="6" spans="1:9">
      <c r="B6" s="2" t="s">
        <v>53</v>
      </c>
      <c r="C6" s="45" t="s">
        <v>405</v>
      </c>
      <c r="D6" s="45"/>
      <c r="E6" s="45"/>
    </row>
    <row r="7" spans="1:9">
      <c r="B7" s="1" t="s">
        <v>352</v>
      </c>
      <c r="C7" s="45" t="s">
        <v>308</v>
      </c>
      <c r="D7" s="45"/>
      <c r="E7" s="45"/>
    </row>
    <row r="8" spans="1:9">
      <c r="B8" s="4" t="s">
        <v>351</v>
      </c>
      <c r="C8" s="47">
        <v>6.5</v>
      </c>
      <c r="E8" s="32"/>
    </row>
    <row r="9" spans="1:9">
      <c r="B9" s="4" t="s">
        <v>347</v>
      </c>
      <c r="C9" s="48">
        <v>580004033</v>
      </c>
    </row>
    <row r="10" spans="1:9">
      <c r="B10" s="4" t="s">
        <v>353</v>
      </c>
      <c r="C10" s="33">
        <f>Thesis!C8*Common_Shares/1000000</f>
        <v>3770.0262145000002</v>
      </c>
      <c r="D10" s="1" t="s">
        <v>533</v>
      </c>
      <c r="E10" s="310">
        <f>Scenarios!F34</f>
        <v>8.2639604252926629E-2</v>
      </c>
    </row>
    <row r="11" spans="1:9">
      <c r="D11" s="5"/>
      <c r="E11" s="5"/>
    </row>
    <row r="12" spans="1:9" ht="24.5" customHeight="1">
      <c r="B12" s="461" t="s">
        <v>356</v>
      </c>
      <c r="C12" s="461"/>
      <c r="D12" s="461"/>
      <c r="E12" s="461"/>
      <c r="F12" s="461"/>
    </row>
    <row r="14" spans="1:9">
      <c r="B14" s="42" t="str">
        <f>Scenarios!B39&amp;" Valuation Conclusion"</f>
        <v>2-stage DCF Valuation Conclusion</v>
      </c>
      <c r="C14" s="43"/>
    </row>
    <row r="15" spans="1:9">
      <c r="B15" s="1" t="s">
        <v>319</v>
      </c>
      <c r="C15" s="425" t="s">
        <v>553</v>
      </c>
      <c r="D15" s="4" t="s">
        <v>354</v>
      </c>
      <c r="E15" s="259" t="str">
        <f>IF(E17=C7,C7,E17&amp;"/"&amp;C7)</f>
        <v>HKD</v>
      </c>
    </row>
    <row r="16" spans="1:9">
      <c r="B16" s="1" t="s">
        <v>320</v>
      </c>
      <c r="C16" s="425" t="s">
        <v>553</v>
      </c>
      <c r="D16" s="4" t="s">
        <v>355</v>
      </c>
      <c r="E16" s="424">
        <v>1</v>
      </c>
    </row>
    <row r="17" spans="1:6">
      <c r="B17" s="1" t="s">
        <v>537</v>
      </c>
      <c r="C17" s="423">
        <v>0</v>
      </c>
      <c r="D17" s="4" t="s">
        <v>274</v>
      </c>
      <c r="E17" s="227" t="s">
        <v>308</v>
      </c>
    </row>
    <row r="18" spans="1:6">
      <c r="B18" s="1" t="str">
        <f>"Expected Equity Value ("&amp;C7&amp;") :"</f>
        <v>Expected Equity Value (HKD) :</v>
      </c>
      <c r="C18" s="258">
        <f>C125</f>
        <v>6.7856494908288969</v>
      </c>
      <c r="D18" s="2" t="s">
        <v>348</v>
      </c>
      <c r="E18" s="426">
        <v>6</v>
      </c>
    </row>
    <row r="19" spans="1:6">
      <c r="B19" s="2" t="s">
        <v>275</v>
      </c>
      <c r="C19" s="31" t="str">
        <f>IF(Scenarios!C50="Y",Scenarios!B50,"")&amp;IF(Scenarios!C51="Y",Scenarios!B51,"")&amp;IF(Scenarios!C52="Y",Scenarios!B52,"")&amp;" "&amp;IF(Scenarios!C53="Y",Scenarios!B53,"")</f>
        <v>Low Growth Asset Play</v>
      </c>
      <c r="D19" s="1" t="s">
        <v>349</v>
      </c>
      <c r="E19" s="427">
        <f>EOMONTH(EDATE(BS!C1,E18+2),0)</f>
        <v>45991</v>
      </c>
    </row>
    <row r="20" spans="1:6">
      <c r="D20" s="5"/>
      <c r="E20" s="5"/>
    </row>
    <row r="21" spans="1:6">
      <c r="B21" s="42" t="s">
        <v>408</v>
      </c>
      <c r="C21" s="260" t="str">
        <f>C138&amp;" ("&amp;Market_currency&amp;")"</f>
        <v xml:space="preserve"> (HKD)</v>
      </c>
      <c r="D21" s="31" t="s">
        <v>316</v>
      </c>
      <c r="E21" s="450">
        <v>2</v>
      </c>
    </row>
    <row r="22" spans="1:6">
      <c r="B22" s="1" t="s">
        <v>312</v>
      </c>
      <c r="C22" s="261">
        <f>E140</f>
        <v>4.2390395011406845</v>
      </c>
      <c r="D22" s="38" t="s">
        <v>410</v>
      </c>
      <c r="E22" s="79">
        <v>0.35</v>
      </c>
    </row>
    <row r="23" spans="1:6">
      <c r="B23" s="1" t="s">
        <v>313</v>
      </c>
      <c r="C23" s="262">
        <f>E141</f>
        <v>4.918815674130494</v>
      </c>
      <c r="D23" s="38" t="s">
        <v>411</v>
      </c>
      <c r="E23" s="451">
        <v>0.25</v>
      </c>
    </row>
    <row r="24" spans="1:6">
      <c r="B24" s="1" t="s">
        <v>315</v>
      </c>
      <c r="C24" s="262">
        <f>E144</f>
        <v>6.1130184841162611</v>
      </c>
      <c r="D24" s="38" t="s">
        <v>412</v>
      </c>
      <c r="E24" s="451">
        <v>0.1174</v>
      </c>
    </row>
    <row r="25" spans="1:6">
      <c r="B25" s="1" t="s">
        <v>314</v>
      </c>
      <c r="C25" s="262">
        <f>E145</f>
        <v>6.6199592402379013</v>
      </c>
      <c r="D25" s="38" t="s">
        <v>413</v>
      </c>
      <c r="E25" s="452">
        <v>7.2499999999999995E-2</v>
      </c>
    </row>
    <row r="26" spans="1:6">
      <c r="D26" s="5"/>
      <c r="E26" s="5"/>
    </row>
    <row r="27" spans="1:6" ht="13.9">
      <c r="A27" s="202" t="s">
        <v>280</v>
      </c>
      <c r="B27" s="34"/>
      <c r="C27" s="34"/>
      <c r="D27" s="34"/>
      <c r="E27" s="34"/>
      <c r="F27" s="34"/>
    </row>
    <row r="29" spans="1:6">
      <c r="B29" s="461" t="s">
        <v>357</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399119.96227138769</v>
      </c>
      <c r="D34" s="1" t="str">
        <f>Reporting_currency</f>
        <v>HKD</v>
      </c>
    </row>
    <row r="35" spans="2:6">
      <c r="B35" s="44"/>
      <c r="C35" s="73"/>
    </row>
    <row r="36" spans="2:6" ht="24.5" customHeight="1">
      <c r="B36" s="462" t="s">
        <v>198</v>
      </c>
      <c r="C36" s="462"/>
      <c r="D36" s="462"/>
      <c r="E36" s="462"/>
      <c r="F36" s="462"/>
    </row>
    <row r="37" spans="2:6">
      <c r="B37" s="44" t="s">
        <v>199</v>
      </c>
      <c r="C37" s="292">
        <f>Normalized_FCF!C15</f>
        <v>378473</v>
      </c>
      <c r="D37" s="1" t="str">
        <f>Reporting_currency</f>
        <v>HKD</v>
      </c>
    </row>
    <row r="38" spans="2:6">
      <c r="B38" s="49" t="s">
        <v>200</v>
      </c>
      <c r="C38" s="292">
        <f>Normalized_FCF!C16</f>
        <v>-378473</v>
      </c>
      <c r="D38" s="1" t="str">
        <f>Reporting_currency</f>
        <v>HKD</v>
      </c>
    </row>
    <row r="40" spans="2:6">
      <c r="B40" s="462" t="s">
        <v>201</v>
      </c>
      <c r="C40" s="462"/>
      <c r="D40" s="462"/>
      <c r="E40" s="462"/>
      <c r="F40" s="462"/>
    </row>
    <row r="41" spans="2:6">
      <c r="B41" s="44" t="s">
        <v>202</v>
      </c>
      <c r="C41" s="292">
        <f>Normalized_FCF!C9</f>
        <v>0</v>
      </c>
      <c r="D41" s="1" t="str">
        <f>Reporting_currency</f>
        <v>HKD</v>
      </c>
    </row>
    <row r="43" spans="2:6">
      <c r="B43" s="462" t="s">
        <v>205</v>
      </c>
      <c r="C43" s="462"/>
      <c r="D43" s="462"/>
      <c r="E43" s="462"/>
      <c r="F43" s="462"/>
    </row>
    <row r="44" spans="2:6">
      <c r="B44" s="44" t="s">
        <v>267</v>
      </c>
      <c r="C44" s="293">
        <f>Normalized_FCF!C46</f>
        <v>6692.5186674405113</v>
      </c>
      <c r="D44" s="1" t="str">
        <f>Reporting_currency</f>
        <v>HKD</v>
      </c>
      <c r="E44" s="250"/>
      <c r="F44" s="250"/>
    </row>
    <row r="45" spans="2:6">
      <c r="B45" s="44" t="s">
        <v>268</v>
      </c>
      <c r="C45" s="293">
        <f>Normalized_FCF!C45</f>
        <v>-85372.400000000009</v>
      </c>
      <c r="D45" s="1" t="str">
        <f>Reporting_currency</f>
        <v>HKD</v>
      </c>
      <c r="E45" s="250"/>
      <c r="F45" s="250"/>
    </row>
    <row r="46" spans="2:6">
      <c r="B46" s="44" t="s">
        <v>203</v>
      </c>
      <c r="C46" s="292">
        <f>Normalized_FCF!C10</f>
        <v>-78679.881332559497</v>
      </c>
      <c r="D46" s="1" t="str">
        <f>Reporting_currency</f>
        <v>HKD</v>
      </c>
    </row>
    <row r="48" spans="2:6">
      <c r="B48" s="1" t="s">
        <v>211</v>
      </c>
    </row>
    <row r="49" spans="2:6">
      <c r="B49" s="44" t="s">
        <v>223</v>
      </c>
      <c r="C49" s="292">
        <f>Normalized_FCF!C13</f>
        <v>-37355.845009453624</v>
      </c>
      <c r="D49" s="1" t="str">
        <f>Reporting_currency</f>
        <v>HKD</v>
      </c>
    </row>
    <row r="51" spans="2:6">
      <c r="B51" s="462" t="s">
        <v>206</v>
      </c>
      <c r="C51" s="462"/>
      <c r="D51" s="462"/>
      <c r="E51" s="462"/>
      <c r="F51" s="462"/>
    </row>
    <row r="52" spans="2:6">
      <c r="B52" s="44" t="s">
        <v>204</v>
      </c>
      <c r="C52" s="292">
        <f>Normalized_FCF!C12</f>
        <v>-52872.613354906651</v>
      </c>
      <c r="D52" s="1" t="str">
        <f>Reporting_currency</f>
        <v>HKD</v>
      </c>
    </row>
    <row r="54" spans="2:6">
      <c r="B54" s="462" t="s">
        <v>265</v>
      </c>
      <c r="C54" s="463"/>
      <c r="D54" s="463"/>
      <c r="E54" s="463"/>
      <c r="F54" s="463"/>
    </row>
    <row r="55" spans="2:6">
      <c r="B55" s="44" t="s">
        <v>207</v>
      </c>
      <c r="C55" s="292">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289000.65016124537</v>
      </c>
      <c r="D60" s="1" t="str">
        <f>Reporting_currency</f>
        <v>HKD</v>
      </c>
    </row>
    <row r="61" spans="2:6">
      <c r="B61" s="44" t="s">
        <v>213</v>
      </c>
      <c r="C61" s="292">
        <f>Normalized_FCF!C19</f>
        <v>230211.62257446788</v>
      </c>
      <c r="D61" s="1" t="str">
        <f>Reporting_currency</f>
        <v>HKD</v>
      </c>
    </row>
    <row r="62" spans="2:6">
      <c r="B62" s="206" t="s">
        <v>302</v>
      </c>
      <c r="C62" s="89">
        <f>Normalized_FCF!C124</f>
        <v>6.1063666265514203E-2</v>
      </c>
      <c r="F62" s="263"/>
    </row>
    <row r="63" spans="2:6">
      <c r="B63" s="206" t="s">
        <v>332</v>
      </c>
      <c r="C63" s="89">
        <f>Normalized_FCF!C92</f>
        <v>6.1538461538461542E-2</v>
      </c>
      <c r="E63" s="44" t="s">
        <v>322</v>
      </c>
      <c r="F63" s="264">
        <f>Normalized_FCF!C90</f>
        <v>1.0077754137932506</v>
      </c>
    </row>
    <row r="65" spans="1:6">
      <c r="B65" s="192" t="s">
        <v>325</v>
      </c>
      <c r="C65" s="270" t="s">
        <v>327</v>
      </c>
      <c r="D65" s="270" t="s">
        <v>328</v>
      </c>
    </row>
    <row r="66" spans="1:6">
      <c r="B66" s="44" t="s">
        <v>326</v>
      </c>
      <c r="C66" s="89">
        <f>Normalized_FCF!C119</f>
        <v>0.1167471410506614</v>
      </c>
      <c r="D66" s="89">
        <f>Normalized_FCF!G119</f>
        <v>0.11792742550148552</v>
      </c>
    </row>
    <row r="67" spans="1:6">
      <c r="B67" s="232" t="str">
        <f>Normalized_FCF!B116</f>
        <v>Pre-tax Profit/Sales</v>
      </c>
      <c r="C67" s="269">
        <f>Normalized_FCF!C116</f>
        <v>3.9086921133773919E-2</v>
      </c>
      <c r="D67" s="269">
        <f>Normalized_FCF!G116</f>
        <v>3.7776339292914275E-2</v>
      </c>
    </row>
    <row r="68" spans="1:6">
      <c r="B68" s="232" t="str">
        <f>Normalized_FCF!B117</f>
        <v>Sales/Total Assets</v>
      </c>
      <c r="C68" s="271">
        <f>Normalized_FCF!C117</f>
        <v>1.3708738209065539</v>
      </c>
      <c r="D68" s="271">
        <f>Normalized_FCF!G117</f>
        <v>1.4327738230803833</v>
      </c>
    </row>
    <row r="69" spans="1:6">
      <c r="B69" s="232" t="str">
        <f>Normalized_FCF!B118</f>
        <v>Total Assets/Equity</v>
      </c>
      <c r="C69" s="271">
        <f>Normalized_FCF!C118</f>
        <v>2.1787997096988563</v>
      </c>
      <c r="D69" s="271">
        <f>Normalized_FCF!G118</f>
        <v>2.1787997096988563</v>
      </c>
    </row>
    <row r="71" spans="1:6" ht="13.9">
      <c r="A71" s="202" t="s">
        <v>482</v>
      </c>
      <c r="B71" s="34"/>
      <c r="C71" s="34"/>
      <c r="D71" s="34"/>
      <c r="E71" s="34"/>
      <c r="F71" s="34"/>
    </row>
    <row r="72" spans="1:6">
      <c r="A72" s="191"/>
    </row>
    <row r="73" spans="1:6">
      <c r="A73" s="191"/>
      <c r="B73" s="461" t="s">
        <v>483</v>
      </c>
      <c r="C73" s="461"/>
      <c r="D73" s="461"/>
      <c r="E73" s="461"/>
      <c r="F73" s="461"/>
    </row>
    <row r="74" spans="1:6">
      <c r="A74" s="191"/>
      <c r="B74" s="1" t="s">
        <v>470</v>
      </c>
    </row>
    <row r="75" spans="1:6">
      <c r="A75" s="191"/>
    </row>
    <row r="76" spans="1:6">
      <c r="A76" s="191"/>
      <c r="B76" s="192" t="s">
        <v>195</v>
      </c>
    </row>
    <row r="77" spans="1:6">
      <c r="A77" s="191"/>
      <c r="B77" s="461" t="s">
        <v>271</v>
      </c>
      <c r="C77" s="461"/>
      <c r="D77" s="461"/>
      <c r="E77" s="461"/>
      <c r="F77" s="461"/>
    </row>
    <row r="78" spans="1:6">
      <c r="A78" s="191"/>
      <c r="B78" s="1" t="s">
        <v>215</v>
      </c>
      <c r="C78" s="292">
        <f>DCF!F4</f>
        <v>-2134310</v>
      </c>
      <c r="D78" s="1" t="str">
        <f>Reporting_currency</f>
        <v>HKD</v>
      </c>
    </row>
    <row r="79" spans="1:6">
      <c r="A79" s="191"/>
      <c r="B79" s="44" t="s">
        <v>234</v>
      </c>
      <c r="C79" s="203">
        <f>C78*scaling_factor*Exchange_Rate/Common_Shares</f>
        <v>-3.679819240153456</v>
      </c>
      <c r="D79" s="1" t="str">
        <f>Market_currency</f>
        <v>HKD</v>
      </c>
    </row>
    <row r="80" spans="1:6">
      <c r="A80" s="191"/>
      <c r="B80" s="232" t="s">
        <v>309</v>
      </c>
      <c r="C80" s="344">
        <f>IF(BS!G31/BS!G27&gt;300%,"nm",BS!G31/BS!G27)</f>
        <v>0.77760119734648436</v>
      </c>
    </row>
    <row r="81" spans="1:6">
      <c r="A81" s="191"/>
      <c r="B81" s="232" t="s">
        <v>311</v>
      </c>
      <c r="C81" s="345">
        <f>IF(BS!C50&gt;30,"nm",BS!C50)</f>
        <v>5.3475400925918697</v>
      </c>
    </row>
    <row r="82" spans="1:6">
      <c r="A82" s="191"/>
    </row>
    <row r="83" spans="1:6">
      <c r="A83" s="191"/>
      <c r="B83" s="1" t="s">
        <v>471</v>
      </c>
    </row>
    <row r="84" spans="1:6">
      <c r="A84" s="191"/>
      <c r="B84" s="1" t="s">
        <v>224</v>
      </c>
      <c r="C84" s="292">
        <f>DCF!F5</f>
        <v>384381.13325594889</v>
      </c>
      <c r="D84" s="1" t="str">
        <f>Reporting_currency</f>
        <v>HKD</v>
      </c>
    </row>
    <row r="85" spans="1:6">
      <c r="A85" s="191"/>
      <c r="B85" s="232" t="s">
        <v>222</v>
      </c>
      <c r="C85" s="298">
        <f>BS!C66</f>
        <v>1053633</v>
      </c>
      <c r="D85" s="346" t="str">
        <f>Reporting_currency</f>
        <v>HKD</v>
      </c>
    </row>
    <row r="86" spans="1:6">
      <c r="A86" s="191"/>
      <c r="B86" s="44" t="s">
        <v>235</v>
      </c>
      <c r="C86" s="203">
        <f>C84*scaling_factor*Exchange_Rate/Common_Shares</f>
        <v>0.66272148362104388</v>
      </c>
      <c r="D86" s="1" t="str">
        <f>Market_currency</f>
        <v>HKD</v>
      </c>
    </row>
    <row r="87" spans="1:6">
      <c r="A87" s="191"/>
    </row>
    <row r="88" spans="1:6">
      <c r="A88" s="191"/>
      <c r="B88" s="1" t="s">
        <v>216</v>
      </c>
    </row>
    <row r="89" spans="1:6">
      <c r="A89" s="191"/>
      <c r="B89" s="1" t="s">
        <v>217</v>
      </c>
      <c r="C89" s="292">
        <f>DCF!F6</f>
        <v>63482.2</v>
      </c>
      <c r="D89" s="1" t="str">
        <f>Reporting_currency</f>
        <v>HKD</v>
      </c>
    </row>
    <row r="90" spans="1:6">
      <c r="A90" s="191"/>
      <c r="B90" s="44" t="s">
        <v>236</v>
      </c>
      <c r="C90" s="203">
        <f>C89*scaling_factor*Exchange_Rate/Common_Shares</f>
        <v>0.10945130790150902</v>
      </c>
      <c r="D90" s="1" t="str">
        <f>Market_currency</f>
        <v>HKD</v>
      </c>
    </row>
    <row r="91" spans="1:6">
      <c r="A91" s="191"/>
    </row>
    <row r="92" spans="1:6">
      <c r="A92" s="191"/>
      <c r="B92" s="44" t="s">
        <v>474</v>
      </c>
      <c r="C92" s="219">
        <f>DCF!F8</f>
        <v>-2.9076464486309033</v>
      </c>
      <c r="D92" s="44" t="str">
        <f>Market_currency</f>
        <v>HKD</v>
      </c>
    </row>
    <row r="94" spans="1:6" ht="13.9">
      <c r="A94" s="202" t="s">
        <v>475</v>
      </c>
      <c r="B94" s="34"/>
      <c r="C94" s="34"/>
      <c r="D94" s="34"/>
      <c r="E94" s="34"/>
      <c r="F94" s="34"/>
    </row>
    <row r="95" spans="1:6">
      <c r="A95" s="191"/>
    </row>
    <row r="96" spans="1:6" ht="11.75" customHeight="1">
      <c r="B96" s="461" t="s">
        <v>490</v>
      </c>
      <c r="C96" s="461"/>
      <c r="D96" s="461"/>
      <c r="E96" s="461"/>
      <c r="F96" s="461"/>
    </row>
    <row r="97" spans="2:6">
      <c r="B97" s="465" t="s">
        <v>489</v>
      </c>
      <c r="C97" s="465"/>
      <c r="D97" s="465"/>
      <c r="E97" s="465"/>
      <c r="F97" s="465"/>
    </row>
    <row r="98" spans="2:6">
      <c r="B98" s="465" t="s">
        <v>488</v>
      </c>
      <c r="C98" s="465"/>
      <c r="D98" s="465"/>
      <c r="E98" s="465"/>
      <c r="F98" s="465"/>
    </row>
    <row r="100" spans="2:6">
      <c r="B100" s="192" t="s">
        <v>195</v>
      </c>
    </row>
    <row r="101" spans="2:6">
      <c r="B101" s="49" t="s">
        <v>472</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492</v>
      </c>
    </row>
    <row r="111" spans="2:6">
      <c r="B111" s="49" t="s">
        <v>473</v>
      </c>
      <c r="C111" s="219">
        <f>BS!D47</f>
        <v>-2.5047246524922007</v>
      </c>
      <c r="D111" s="1" t="str">
        <f>Market_currency</f>
        <v>HKD</v>
      </c>
    </row>
    <row r="112" spans="2:6">
      <c r="B112" s="44" t="s">
        <v>323</v>
      </c>
      <c r="C112" s="219">
        <f>DCF!C11</f>
        <v>2.5670270786220946</v>
      </c>
      <c r="D112" s="1" t="str">
        <f>Market_currency</f>
        <v>HKD</v>
      </c>
    </row>
    <row r="114" spans="2:6" ht="24.5" customHeight="1">
      <c r="B114" s="461" t="s">
        <v>496</v>
      </c>
      <c r="C114" s="461"/>
      <c r="D114" s="461"/>
      <c r="E114" s="461"/>
      <c r="F114" s="461"/>
    </row>
    <row r="116" spans="2:6">
      <c r="B116" s="192" t="s">
        <v>493</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7.22 HKD</v>
      </c>
      <c r="F118" s="211">
        <f>DCF!F82</f>
        <v>0.05</v>
      </c>
    </row>
    <row r="119" spans="2:6">
      <c r="B119" s="198" t="str">
        <f>DCF!B83</f>
        <v>Optimistic</v>
      </c>
      <c r="C119" s="199">
        <f>DCF!C83</f>
        <v>0.03</v>
      </c>
      <c r="D119" s="200">
        <f>DCF!D83</f>
        <v>5</v>
      </c>
      <c r="E119" s="210" t="str">
        <f>ROUND(DCF!E83,2)&amp;" "&amp;Market_currency</f>
        <v>7 HKD</v>
      </c>
      <c r="F119" s="201">
        <f>DCF!F83</f>
        <v>0.18</v>
      </c>
    </row>
    <row r="120" spans="2:6">
      <c r="B120" s="198" t="str">
        <f>DCF!B84</f>
        <v>Base</v>
      </c>
      <c r="C120" s="199">
        <f>DCF!C84</f>
        <v>0.02</v>
      </c>
      <c r="D120" s="200">
        <f>DCF!D84</f>
        <v>5</v>
      </c>
      <c r="E120" s="210" t="str">
        <f>ROUND(DCF!E84,2)&amp;" "&amp;Market_currency</f>
        <v>6.78 HKD</v>
      </c>
      <c r="F120" s="201">
        <f>DCF!F84</f>
        <v>0.53999999999999992</v>
      </c>
    </row>
    <row r="121" spans="2:6">
      <c r="B121" s="198" t="str">
        <f>DCF!B85</f>
        <v>Pessimistic</v>
      </c>
      <c r="C121" s="199">
        <f>DCF!C85</f>
        <v>0.01</v>
      </c>
      <c r="D121" s="200">
        <f>DCF!D85</f>
        <v>5</v>
      </c>
      <c r="E121" s="210" t="str">
        <f>ROUND(DCF!E85,2)&amp;" "&amp;Market_currency</f>
        <v>6.57 HKD</v>
      </c>
      <c r="F121" s="201">
        <f>DCF!F85</f>
        <v>0.18</v>
      </c>
    </row>
    <row r="122" spans="2:6">
      <c r="B122" s="198" t="str">
        <f>DCF!B86</f>
        <v>Devil's advocate</v>
      </c>
      <c r="C122" s="199">
        <f>DCF!C86</f>
        <v>0</v>
      </c>
      <c r="D122" s="200">
        <f>DCF!D86</f>
        <v>5</v>
      </c>
      <c r="E122" s="210" t="str">
        <f>ROUND(DCF!E86,2)&amp;" "&amp;Market_currency</f>
        <v>6.36 HKD</v>
      </c>
      <c r="F122" s="201">
        <f>DCF!F86</f>
        <v>0.05</v>
      </c>
    </row>
    <row r="124" spans="2:6">
      <c r="B124" s="462" t="s">
        <v>358</v>
      </c>
      <c r="C124" s="462"/>
      <c r="D124" s="462"/>
      <c r="E124" s="462"/>
      <c r="F124" s="462"/>
    </row>
    <row r="125" spans="2:6">
      <c r="B125" s="193" t="s">
        <v>218</v>
      </c>
      <c r="C125" s="197">
        <f>Scenarios!C36</f>
        <v>6.7856494908288969</v>
      </c>
      <c r="D125" s="194" t="str">
        <f>Market_currency</f>
        <v>HKD</v>
      </c>
    </row>
    <row r="127" spans="2:6" ht="24.5" customHeight="1">
      <c r="B127" s="464" t="s">
        <v>359</v>
      </c>
      <c r="C127" s="464"/>
      <c r="D127" s="464"/>
      <c r="E127" s="464"/>
      <c r="F127" s="464"/>
    </row>
    <row r="129" spans="1:6" ht="13.9">
      <c r="A129" s="202" t="s">
        <v>479</v>
      </c>
      <c r="B129" s="34"/>
      <c r="C129" s="34"/>
      <c r="D129" s="34"/>
      <c r="E129" s="34"/>
      <c r="F129" s="34"/>
    </row>
    <row r="131" spans="1:6">
      <c r="B131" s="466" t="s">
        <v>285</v>
      </c>
      <c r="C131" s="466"/>
      <c r="D131" s="466"/>
      <c r="E131" s="466"/>
      <c r="F131" s="466"/>
    </row>
    <row r="132" spans="1:6">
      <c r="B132" s="461" t="s">
        <v>360</v>
      </c>
      <c r="C132" s="461"/>
      <c r="D132" s="461"/>
      <c r="E132" s="461"/>
      <c r="F132" s="461"/>
    </row>
    <row r="134" spans="1:6">
      <c r="B134" s="192" t="s">
        <v>195</v>
      </c>
    </row>
    <row r="135" spans="1:6">
      <c r="B135" s="1" t="s">
        <v>221</v>
      </c>
      <c r="C135" s="204">
        <f>E21</f>
        <v>2</v>
      </c>
    </row>
    <row r="136" spans="1:6">
      <c r="B136" s="194" t="s">
        <v>220</v>
      </c>
      <c r="C136" s="195">
        <f>Scenarios!C58</f>
        <v>0.4</v>
      </c>
      <c r="D136" s="194" t="str">
        <f>Market_currency</f>
        <v>HKD</v>
      </c>
    </row>
    <row r="138" spans="1:6">
      <c r="B138" s="192" t="s">
        <v>499</v>
      </c>
      <c r="C138" s="217"/>
      <c r="D138" s="218"/>
    </row>
    <row r="139" spans="1:6" ht="12.4">
      <c r="B139" s="347" t="s">
        <v>467</v>
      </c>
      <c r="C139" s="347" t="str">
        <f>"PV("&amp;Holding_Period&amp;" yrs of Dividends)"</f>
        <v>PV(2 yrs of Dividends)</v>
      </c>
      <c r="D139" s="347" t="s">
        <v>476</v>
      </c>
      <c r="E139" s="348" t="str">
        <f>"Buy below ("&amp;Market_currency&amp;")"</f>
        <v>Buy below (HKD)</v>
      </c>
      <c r="F139" s="348" t="s">
        <v>477</v>
      </c>
    </row>
    <row r="140" spans="1:6">
      <c r="B140" s="343" t="s">
        <v>312</v>
      </c>
      <c r="C140" s="340">
        <f>Scenarios!C62</f>
        <v>0.51577503429355298</v>
      </c>
      <c r="D140" s="340">
        <f>Scenarios!D62</f>
        <v>3.7232644668471311</v>
      </c>
      <c r="E140" s="341">
        <f>Scenarios!E62</f>
        <v>4.2390395011406845</v>
      </c>
      <c r="F140" s="342">
        <f>E22</f>
        <v>0.35</v>
      </c>
    </row>
    <row r="141" spans="1:6">
      <c r="B141" s="343" t="s">
        <v>313</v>
      </c>
      <c r="C141" s="340">
        <f>Scenarios!C63</f>
        <v>0.57600000000000007</v>
      </c>
      <c r="D141" s="340">
        <f>Scenarios!D63</f>
        <v>4.3428156741304944</v>
      </c>
      <c r="E141" s="341">
        <f>Scenarios!E63</f>
        <v>4.918815674130494</v>
      </c>
      <c r="F141" s="342">
        <f>Scenarios!F63</f>
        <v>0.25</v>
      </c>
    </row>
    <row r="142" spans="1:6">
      <c r="B142" s="194"/>
      <c r="C142" s="194"/>
      <c r="D142" s="194"/>
      <c r="E142" s="194"/>
      <c r="F142" s="194"/>
    </row>
    <row r="143" spans="1:6" ht="12.4">
      <c r="B143" s="347" t="s">
        <v>468</v>
      </c>
      <c r="C143" s="347" t="str">
        <f>"PV("&amp;Holding_Period&amp;" yrs of Dividends)"</f>
        <v>PV(2 yrs of Dividends)</v>
      </c>
      <c r="D143" s="347" t="s">
        <v>476</v>
      </c>
      <c r="E143" s="348" t="str">
        <f>"Sell above ("&amp;Market_currency&amp;")"</f>
        <v>Sell above (HKD)</v>
      </c>
      <c r="F143" s="348" t="s">
        <v>477</v>
      </c>
    </row>
    <row r="144" spans="1:6">
      <c r="B144" s="343" t="s">
        <v>315</v>
      </c>
      <c r="C144" s="340">
        <f>Scenarios!C66</f>
        <v>0.67833709316953872</v>
      </c>
      <c r="D144" s="340">
        <f>Scenarios!D66</f>
        <v>5.4346813909467224</v>
      </c>
      <c r="E144" s="341">
        <f>Scenarios!E66</f>
        <v>6.1130184841162611</v>
      </c>
      <c r="F144" s="342">
        <f>E24</f>
        <v>0.1174</v>
      </c>
    </row>
    <row r="145" spans="1:6">
      <c r="B145" s="343" t="s">
        <v>314</v>
      </c>
      <c r="C145" s="340">
        <f>Scenarios!C67</f>
        <v>0.72070897245722421</v>
      </c>
      <c r="D145" s="340">
        <f>Scenarios!D67</f>
        <v>5.8992502677806771</v>
      </c>
      <c r="E145" s="341">
        <f>Scenarios!E67</f>
        <v>6.6199592402379013</v>
      </c>
      <c r="F145" s="342">
        <f>Scenarios!F67</f>
        <v>7.2499999999999995E-2</v>
      </c>
    </row>
    <row r="147" spans="1:6" ht="13.9">
      <c r="A147" s="202" t="s">
        <v>480</v>
      </c>
      <c r="B147" s="34"/>
      <c r="C147" s="34"/>
      <c r="D147" s="34"/>
      <c r="E147" s="34"/>
      <c r="F147" s="34"/>
    </row>
    <row r="149" spans="1:6">
      <c r="B149" s="460" t="s">
        <v>361</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443</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4">
        <v>8568317</v>
      </c>
      <c r="D4" s="294">
        <v>8691449</v>
      </c>
      <c r="E4" s="294">
        <v>8024044</v>
      </c>
      <c r="F4" s="294">
        <v>7508753</v>
      </c>
      <c r="G4" s="294">
        <v>6714255</v>
      </c>
      <c r="H4" s="294">
        <v>7963097</v>
      </c>
      <c r="I4" s="294">
        <v>8493883</v>
      </c>
      <c r="J4" s="294">
        <v>8427399</v>
      </c>
      <c r="K4" s="294">
        <v>7895262</v>
      </c>
      <c r="L4" s="294">
        <v>7567176</v>
      </c>
      <c r="M4" s="294"/>
    </row>
    <row r="5" spans="2:13">
      <c r="B5" s="38" t="s">
        <v>40</v>
      </c>
      <c r="C5" s="294">
        <v>7675662</v>
      </c>
      <c r="D5" s="294">
        <v>7702163</v>
      </c>
      <c r="E5" s="294">
        <v>7321395</v>
      </c>
      <c r="F5" s="294">
        <v>6961032</v>
      </c>
      <c r="G5" s="294">
        <v>6339067</v>
      </c>
      <c r="H5" s="294">
        <v>7232445</v>
      </c>
      <c r="I5" s="294">
        <v>7356665</v>
      </c>
      <c r="J5" s="294">
        <v>7385291</v>
      </c>
      <c r="K5" s="294">
        <v>6838442</v>
      </c>
      <c r="L5" s="294">
        <v>6522504</v>
      </c>
      <c r="M5" s="294"/>
    </row>
    <row r="6" spans="2:13">
      <c r="B6" s="38" t="s">
        <v>51</v>
      </c>
      <c r="C6" s="294">
        <v>494493</v>
      </c>
      <c r="D6" s="294">
        <v>503213</v>
      </c>
      <c r="E6" s="294">
        <v>486079</v>
      </c>
      <c r="F6" s="294">
        <v>458843</v>
      </c>
      <c r="G6" s="294">
        <v>462619</v>
      </c>
      <c r="H6" s="294">
        <v>481414</v>
      </c>
      <c r="I6" s="294">
        <v>447788</v>
      </c>
      <c r="J6" s="294">
        <v>458819</v>
      </c>
      <c r="K6" s="294">
        <v>430609</v>
      </c>
      <c r="L6" s="294">
        <v>430039</v>
      </c>
      <c r="M6" s="294"/>
    </row>
    <row r="7" spans="2:13">
      <c r="B7" s="66" t="s">
        <v>58</v>
      </c>
      <c r="C7" s="295"/>
      <c r="D7" s="295"/>
      <c r="E7" s="295"/>
      <c r="F7" s="295"/>
      <c r="G7" s="295"/>
      <c r="H7" s="295"/>
      <c r="I7" s="295"/>
      <c r="J7" s="295"/>
      <c r="K7" s="295"/>
      <c r="L7" s="295"/>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104115</v>
      </c>
      <c r="D12" s="294">
        <v>108592</v>
      </c>
      <c r="E12" s="294">
        <v>98508</v>
      </c>
      <c r="F12" s="294">
        <v>88044</v>
      </c>
      <c r="G12" s="294"/>
      <c r="H12" s="294"/>
      <c r="I12" s="294"/>
      <c r="J12" s="294"/>
      <c r="K12" s="294"/>
      <c r="L12" s="294"/>
      <c r="M12" s="294"/>
    </row>
    <row r="13" spans="2:13">
      <c r="B13" s="38" t="s">
        <v>64</v>
      </c>
      <c r="C13" s="294">
        <v>46652</v>
      </c>
      <c r="D13" s="294">
        <v>45304</v>
      </c>
      <c r="E13" s="294">
        <v>38847</v>
      </c>
      <c r="F13" s="294">
        <v>7659</v>
      </c>
      <c r="G13" s="294"/>
      <c r="H13" s="294"/>
      <c r="I13" s="294"/>
      <c r="J13" s="294"/>
      <c r="K13" s="294"/>
      <c r="L13" s="294"/>
      <c r="M13" s="294"/>
    </row>
    <row r="14" spans="2:13">
      <c r="B14" s="38" t="s">
        <v>47</v>
      </c>
      <c r="C14" s="294">
        <v>32312</v>
      </c>
      <c r="D14" s="294">
        <v>56313</v>
      </c>
      <c r="E14" s="294">
        <v>32989</v>
      </c>
      <c r="F14" s="294">
        <v>27939</v>
      </c>
      <c r="G14" s="294">
        <v>29996</v>
      </c>
      <c r="H14" s="294">
        <v>39872</v>
      </c>
      <c r="I14" s="294">
        <v>129810</v>
      </c>
      <c r="J14" s="294">
        <v>121949</v>
      </c>
      <c r="K14" s="294">
        <v>108832</v>
      </c>
      <c r="L14" s="294">
        <v>110223</v>
      </c>
      <c r="M14" s="294"/>
    </row>
    <row r="15" spans="2:13">
      <c r="B15" s="41" t="s">
        <v>39</v>
      </c>
      <c r="C15" s="296">
        <v>235111</v>
      </c>
      <c r="D15" s="296">
        <v>333215</v>
      </c>
      <c r="E15" s="296">
        <v>111187</v>
      </c>
      <c r="F15" s="296">
        <v>22850</v>
      </c>
      <c r="G15" s="296">
        <v>360550</v>
      </c>
      <c r="H15" s="296">
        <v>74386</v>
      </c>
      <c r="I15" s="296">
        <v>592110</v>
      </c>
      <c r="J15" s="296">
        <v>459295</v>
      </c>
      <c r="K15" s="296">
        <v>503850</v>
      </c>
      <c r="L15" s="296">
        <v>517860</v>
      </c>
      <c r="M15" s="296"/>
    </row>
    <row r="16" spans="2:13">
      <c r="B16" s="27" t="s">
        <v>41</v>
      </c>
      <c r="C16" s="294">
        <v>2367</v>
      </c>
      <c r="D16" s="294">
        <v>2761</v>
      </c>
      <c r="E16" s="294">
        <v>834</v>
      </c>
      <c r="F16" s="294">
        <v>1636</v>
      </c>
      <c r="G16" s="294">
        <v>1420</v>
      </c>
      <c r="H16" s="294">
        <v>752</v>
      </c>
      <c r="I16" s="294">
        <v>1825</v>
      </c>
      <c r="J16" s="294">
        <v>1240</v>
      </c>
      <c r="K16" s="294">
        <v>23</v>
      </c>
      <c r="L16" s="294">
        <v>-122</v>
      </c>
      <c r="M16" s="294"/>
    </row>
    <row r="18" spans="2:13">
      <c r="B18" s="16" t="s">
        <v>48</v>
      </c>
      <c r="C18" s="9"/>
    </row>
    <row r="19" spans="2:13">
      <c r="B19" s="26" t="s">
        <v>44</v>
      </c>
      <c r="C19" s="294">
        <v>378473</v>
      </c>
      <c r="D19" s="294">
        <v>394190</v>
      </c>
      <c r="E19" s="294"/>
      <c r="F19" s="294"/>
      <c r="G19" s="294"/>
      <c r="H19" s="294"/>
      <c r="I19" s="294"/>
      <c r="J19" s="294"/>
      <c r="K19" s="294"/>
      <c r="L19" s="294"/>
      <c r="M19" s="294"/>
    </row>
    <row r="20" spans="2:13">
      <c r="B20" s="26" t="s">
        <v>50</v>
      </c>
      <c r="C20" s="294">
        <v>305069</v>
      </c>
      <c r="D20" s="294">
        <v>316358</v>
      </c>
      <c r="E20" s="294"/>
      <c r="F20" s="294"/>
      <c r="G20" s="294"/>
      <c r="H20" s="294"/>
      <c r="I20" s="294"/>
      <c r="J20" s="294"/>
      <c r="K20" s="294"/>
      <c r="L20" s="294"/>
      <c r="M20" s="294"/>
    </row>
    <row r="21" spans="2:13">
      <c r="B21" s="26" t="s">
        <v>49</v>
      </c>
      <c r="C21" s="294">
        <f>1620363-1596408</f>
        <v>23955</v>
      </c>
      <c r="D21" s="294">
        <f>1695309-1694297</f>
        <v>1012</v>
      </c>
      <c r="E21" s="294"/>
      <c r="F21" s="294"/>
      <c r="G21" s="294"/>
      <c r="H21" s="294"/>
      <c r="I21" s="294"/>
      <c r="J21" s="294"/>
      <c r="K21" s="294"/>
      <c r="L21" s="294"/>
      <c r="M21" s="294"/>
    </row>
    <row r="22" spans="2:13">
      <c r="B22" s="26" t="s">
        <v>286</v>
      </c>
      <c r="C22" s="294">
        <v>1510999</v>
      </c>
      <c r="D22" s="294">
        <v>1663154</v>
      </c>
      <c r="E22" s="294">
        <v>1698885</v>
      </c>
      <c r="F22" s="294">
        <v>1164441</v>
      </c>
      <c r="G22" s="294">
        <v>1692931</v>
      </c>
      <c r="H22" s="294">
        <v>1417017</v>
      </c>
      <c r="I22" s="294">
        <v>952115</v>
      </c>
      <c r="J22" s="294">
        <v>892669</v>
      </c>
      <c r="K22" s="294">
        <v>875824</v>
      </c>
      <c r="L22" s="294">
        <v>781447</v>
      </c>
      <c r="M22" s="294"/>
    </row>
    <row r="23" spans="2:13">
      <c r="B23" s="26" t="s">
        <v>288</v>
      </c>
      <c r="C23" s="294">
        <v>-254050</v>
      </c>
      <c r="D23" s="294">
        <v>-263006</v>
      </c>
      <c r="E23" s="294">
        <v>-407351</v>
      </c>
      <c r="F23" s="294">
        <v>-456030</v>
      </c>
      <c r="G23" s="294">
        <v>-273175</v>
      </c>
      <c r="H23" s="294">
        <v>-434207</v>
      </c>
      <c r="I23" s="294">
        <v>-198683</v>
      </c>
      <c r="J23" s="294">
        <v>-456669</v>
      </c>
      <c r="K23" s="294">
        <v>-592640</v>
      </c>
      <c r="L23" s="294">
        <v>-179257</v>
      </c>
      <c r="M23" s="294"/>
    </row>
    <row r="24" spans="2:13">
      <c r="B24" s="26" t="s">
        <v>287</v>
      </c>
      <c r="C24" s="294">
        <v>-1460236</v>
      </c>
      <c r="D24" s="294">
        <v>-1802477</v>
      </c>
      <c r="E24" s="294">
        <v>-1192662</v>
      </c>
      <c r="F24" s="294">
        <v>-1206590</v>
      </c>
      <c r="G24" s="294">
        <v>287961</v>
      </c>
      <c r="H24" s="294">
        <v>-1461178</v>
      </c>
      <c r="I24" s="294">
        <v>-690622</v>
      </c>
      <c r="J24" s="294">
        <v>-465820</v>
      </c>
      <c r="K24" s="294">
        <v>-661826</v>
      </c>
      <c r="L24" s="294">
        <v>-463395</v>
      </c>
      <c r="M24" s="294"/>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554</v>
      </c>
    </row>
    <row r="28" spans="2:13">
      <c r="B28" s="25" t="s">
        <v>22</v>
      </c>
      <c r="C28" s="277">
        <f>BS!C4</f>
        <v>124515</v>
      </c>
      <c r="D28" s="294">
        <v>89430</v>
      </c>
      <c r="E28" s="294">
        <v>75868</v>
      </c>
      <c r="F28" s="294">
        <v>51007</v>
      </c>
      <c r="G28" s="294">
        <v>37326</v>
      </c>
      <c r="H28" s="294">
        <v>50182</v>
      </c>
      <c r="I28" s="294">
        <v>70869</v>
      </c>
      <c r="J28" s="294">
        <v>65261</v>
      </c>
      <c r="K28" s="294">
        <v>45658</v>
      </c>
      <c r="L28" s="294">
        <v>43197</v>
      </c>
      <c r="M28" s="294"/>
    </row>
    <row r="29" spans="2:13">
      <c r="B29" s="25" t="s">
        <v>30</v>
      </c>
      <c r="C29" s="277">
        <f>BS!C6</f>
        <v>220637</v>
      </c>
      <c r="D29" s="294">
        <v>230288</v>
      </c>
      <c r="E29" s="294">
        <v>268243</v>
      </c>
      <c r="F29" s="294">
        <v>303542</v>
      </c>
      <c r="G29" s="294">
        <v>234924</v>
      </c>
      <c r="H29" s="294">
        <v>260626</v>
      </c>
      <c r="I29" s="294">
        <v>241325</v>
      </c>
      <c r="J29" s="294">
        <v>234362</v>
      </c>
      <c r="K29" s="294">
        <v>240154</v>
      </c>
      <c r="L29" s="294">
        <v>214551</v>
      </c>
      <c r="M29" s="294"/>
    </row>
    <row r="30" spans="2:13">
      <c r="B30" s="28" t="s">
        <v>38</v>
      </c>
      <c r="C30" s="278">
        <f>BS!C33+BS!C42</f>
        <v>3235494</v>
      </c>
      <c r="D30" s="296">
        <v>3603411</v>
      </c>
      <c r="E30" s="296">
        <v>4383277</v>
      </c>
      <c r="F30" s="296">
        <v>4045470</v>
      </c>
      <c r="G30" s="296">
        <v>4119837</v>
      </c>
      <c r="H30" s="296">
        <v>3549446</v>
      </c>
      <c r="I30" s="296">
        <v>1072340</v>
      </c>
      <c r="J30" s="296">
        <v>1042829</v>
      </c>
      <c r="K30" s="296">
        <v>945690</v>
      </c>
      <c r="L30" s="296">
        <v>903190</v>
      </c>
      <c r="M30" s="296"/>
    </row>
    <row r="31" spans="2:13">
      <c r="B31" s="28" t="s">
        <v>28</v>
      </c>
      <c r="C31" s="278">
        <f>BS!G27</f>
        <v>2744736</v>
      </c>
      <c r="D31" s="296">
        <v>2910513</v>
      </c>
      <c r="E31" s="296">
        <v>2792063</v>
      </c>
      <c r="F31" s="296">
        <v>2826376</v>
      </c>
      <c r="G31" s="296">
        <v>3034836</v>
      </c>
      <c r="H31" s="296">
        <v>2671312</v>
      </c>
      <c r="I31" s="296">
        <v>3421750</v>
      </c>
      <c r="J31" s="296">
        <v>3573500</v>
      </c>
      <c r="K31" s="296">
        <v>3491120</v>
      </c>
      <c r="L31" s="296">
        <v>3541997</v>
      </c>
      <c r="M31" s="296"/>
    </row>
    <row r="32" spans="2:13">
      <c r="B32" s="25" t="s">
        <v>143</v>
      </c>
      <c r="C32" s="277">
        <f>BS!G28</f>
        <v>12450</v>
      </c>
      <c r="D32" s="294">
        <v>10665</v>
      </c>
      <c r="E32" s="294">
        <v>8469</v>
      </c>
      <c r="F32" s="294">
        <v>7635</v>
      </c>
      <c r="G32" s="294">
        <v>5999</v>
      </c>
      <c r="H32" s="294">
        <v>4579</v>
      </c>
      <c r="I32" s="294">
        <v>6262</v>
      </c>
      <c r="J32" s="294">
        <v>3819</v>
      </c>
      <c r="K32" s="294">
        <v>3743</v>
      </c>
      <c r="L32" s="294">
        <v>3720</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8568317</v>
      </c>
      <c r="D36" s="277">
        <f t="shared" si="1"/>
        <v>8691449</v>
      </c>
      <c r="E36" s="277">
        <f t="shared" si="1"/>
        <v>8024044</v>
      </c>
      <c r="F36" s="277">
        <f t="shared" si="1"/>
        <v>7508753</v>
      </c>
      <c r="G36" s="277">
        <f t="shared" si="1"/>
        <v>6714255</v>
      </c>
      <c r="H36" s="277">
        <f t="shared" si="1"/>
        <v>7963097</v>
      </c>
      <c r="I36" s="277">
        <f t="shared" si="1"/>
        <v>8493883</v>
      </c>
      <c r="J36" s="277">
        <f t="shared" si="1"/>
        <v>8427399</v>
      </c>
      <c r="K36" s="277">
        <f t="shared" si="1"/>
        <v>7895262</v>
      </c>
      <c r="L36" s="277">
        <f t="shared" si="1"/>
        <v>7567176</v>
      </c>
      <c r="M36" s="277" t="str">
        <f t="shared" si="1"/>
        <v/>
      </c>
    </row>
    <row r="37" spans="2:13">
      <c r="B37" s="38" t="s">
        <v>40</v>
      </c>
      <c r="C37" s="277">
        <f t="shared" ref="C37:M37" si="2">IF(C$4="","",-C5)</f>
        <v>-7675662</v>
      </c>
      <c r="D37" s="277">
        <f t="shared" si="2"/>
        <v>-7702163</v>
      </c>
      <c r="E37" s="277">
        <f t="shared" si="2"/>
        <v>-7321395</v>
      </c>
      <c r="F37" s="277">
        <f t="shared" si="2"/>
        <v>-6961032</v>
      </c>
      <c r="G37" s="277">
        <f t="shared" si="2"/>
        <v>-6339067</v>
      </c>
      <c r="H37" s="277">
        <f t="shared" si="2"/>
        <v>-7232445</v>
      </c>
      <c r="I37" s="277">
        <f t="shared" si="2"/>
        <v>-7356665</v>
      </c>
      <c r="J37" s="277">
        <f t="shared" si="2"/>
        <v>-7385291</v>
      </c>
      <c r="K37" s="277">
        <f t="shared" si="2"/>
        <v>-6838442</v>
      </c>
      <c r="L37" s="277">
        <f t="shared" si="2"/>
        <v>-6522504</v>
      </c>
      <c r="M37" s="277" t="str">
        <f t="shared" si="2"/>
        <v/>
      </c>
    </row>
    <row r="38" spans="2:13">
      <c r="B38" s="30" t="s">
        <v>55</v>
      </c>
      <c r="C38" s="274">
        <f>IF(C36="","",C36+C37)</f>
        <v>892655</v>
      </c>
      <c r="D38" s="274">
        <f t="shared" ref="D38" si="3">IF(D36="","",D36+D37)</f>
        <v>989286</v>
      </c>
      <c r="E38" s="274">
        <f t="shared" ref="E38" si="4">IF(E36="","",E36+E37)</f>
        <v>702649</v>
      </c>
      <c r="F38" s="274">
        <f t="shared" ref="F38" si="5">IF(F36="","",F36+F37)</f>
        <v>547721</v>
      </c>
      <c r="G38" s="274">
        <f t="shared" ref="G38" si="6">IF(G36="","",G36+G37)</f>
        <v>375188</v>
      </c>
      <c r="H38" s="274">
        <f t="shared" ref="H38" si="7">IF(H36="","",H36+H37)</f>
        <v>730652</v>
      </c>
      <c r="I38" s="274">
        <f t="shared" ref="I38" si="8">IF(I36="","",I36+I37)</f>
        <v>1137218</v>
      </c>
      <c r="J38" s="274">
        <f t="shared" ref="J38" si="9">IF(J36="","",J36+J37)</f>
        <v>1042108</v>
      </c>
      <c r="K38" s="274">
        <f t="shared" ref="K38" si="10">IF(K36="","",K36+K37)</f>
        <v>1056820</v>
      </c>
      <c r="L38" s="274">
        <f t="shared" ref="L38" si="11">IF(L36="","",L36+L37)</f>
        <v>1044672</v>
      </c>
      <c r="M38" s="274" t="str">
        <f t="shared" ref="M38" si="12">IF(M36="","",M36+M37)</f>
        <v/>
      </c>
    </row>
    <row r="39" spans="2:13">
      <c r="B39" s="38" t="s">
        <v>51</v>
      </c>
      <c r="C39" s="277">
        <f t="shared" ref="C39:M39" si="13">IF(C$4="","",-C6)</f>
        <v>-494493</v>
      </c>
      <c r="D39" s="277">
        <f t="shared" si="13"/>
        <v>-503213</v>
      </c>
      <c r="E39" s="277">
        <f t="shared" si="13"/>
        <v>-486079</v>
      </c>
      <c r="F39" s="277">
        <f t="shared" si="13"/>
        <v>-458843</v>
      </c>
      <c r="G39" s="277">
        <f t="shared" si="13"/>
        <v>-462619</v>
      </c>
      <c r="H39" s="277">
        <f t="shared" si="13"/>
        <v>-481414</v>
      </c>
      <c r="I39" s="277">
        <f t="shared" si="13"/>
        <v>-447788</v>
      </c>
      <c r="J39" s="277">
        <f t="shared" si="13"/>
        <v>-458819</v>
      </c>
      <c r="K39" s="277">
        <f t="shared" si="13"/>
        <v>-430609</v>
      </c>
      <c r="L39" s="277">
        <f t="shared" si="13"/>
        <v>-430039</v>
      </c>
      <c r="M39" s="277" t="str">
        <f t="shared" si="13"/>
        <v/>
      </c>
    </row>
    <row r="40" spans="2:13">
      <c r="B40" s="66" t="s">
        <v>58</v>
      </c>
      <c r="C40" s="289">
        <f t="shared" ref="C40:M40" si="14">IF(C$4="","",-C7)</f>
        <v>0</v>
      </c>
      <c r="D40" s="289">
        <f t="shared" si="14"/>
        <v>0</v>
      </c>
      <c r="E40" s="289">
        <f t="shared" si="14"/>
        <v>0</v>
      </c>
      <c r="F40" s="289">
        <f t="shared" si="14"/>
        <v>0</v>
      </c>
      <c r="G40" s="289">
        <f t="shared" si="14"/>
        <v>0</v>
      </c>
      <c r="H40" s="289">
        <f t="shared" si="14"/>
        <v>0</v>
      </c>
      <c r="I40" s="289">
        <f t="shared" si="14"/>
        <v>0</v>
      </c>
      <c r="J40" s="289">
        <f t="shared" si="14"/>
        <v>0</v>
      </c>
      <c r="K40" s="289">
        <f t="shared" si="14"/>
        <v>0</v>
      </c>
      <c r="L40" s="289">
        <f t="shared" si="14"/>
        <v>0</v>
      </c>
      <c r="M40" s="289" t="str">
        <f t="shared" si="14"/>
        <v/>
      </c>
    </row>
    <row r="41" spans="2:13">
      <c r="B41" s="66" t="s">
        <v>61</v>
      </c>
      <c r="C41" s="289">
        <f>IF(C$4="","",C39-C40)</f>
        <v>-494493</v>
      </c>
      <c r="D41" s="289">
        <f t="shared" ref="D41:M41" si="15">IF(D$4="","",D39-D40)</f>
        <v>-503213</v>
      </c>
      <c r="E41" s="289">
        <f t="shared" si="15"/>
        <v>-486079</v>
      </c>
      <c r="F41" s="289">
        <f t="shared" si="15"/>
        <v>-458843</v>
      </c>
      <c r="G41" s="289">
        <f t="shared" si="15"/>
        <v>-462619</v>
      </c>
      <c r="H41" s="289">
        <f t="shared" si="15"/>
        <v>-481414</v>
      </c>
      <c r="I41" s="289">
        <f t="shared" si="15"/>
        <v>-447788</v>
      </c>
      <c r="J41" s="289">
        <f t="shared" si="15"/>
        <v>-458819</v>
      </c>
      <c r="K41" s="289">
        <f t="shared" si="15"/>
        <v>-430609</v>
      </c>
      <c r="L41" s="289">
        <f t="shared" si="15"/>
        <v>-430039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398162</v>
      </c>
      <c r="D43" s="278">
        <f t="shared" ref="D43:M43" si="17">IF(D$4="","",D38+D39+D42)</f>
        <v>486073</v>
      </c>
      <c r="E43" s="278">
        <f t="shared" si="17"/>
        <v>216570</v>
      </c>
      <c r="F43" s="278">
        <f t="shared" si="17"/>
        <v>88878</v>
      </c>
      <c r="G43" s="278">
        <f t="shared" si="17"/>
        <v>-87431</v>
      </c>
      <c r="H43" s="278">
        <f t="shared" si="17"/>
        <v>249238</v>
      </c>
      <c r="I43" s="278">
        <f t="shared" si="17"/>
        <v>689430</v>
      </c>
      <c r="J43" s="278">
        <f t="shared" si="17"/>
        <v>583289</v>
      </c>
      <c r="K43" s="278">
        <f t="shared" si="17"/>
        <v>626211</v>
      </c>
      <c r="L43" s="278">
        <f t="shared" si="17"/>
        <v>614633</v>
      </c>
      <c r="M43" s="278" t="str">
        <f t="shared" si="17"/>
        <v/>
      </c>
    </row>
    <row r="44" spans="2:13">
      <c r="B44" s="41" t="s">
        <v>139</v>
      </c>
      <c r="C44" s="297">
        <f t="shared" ref="C44:M44" si="18">IF(C$4="","",C47-C46-C45-C43)</f>
        <v>-73276</v>
      </c>
      <c r="D44" s="297">
        <f t="shared" si="18"/>
        <v>-33257</v>
      </c>
      <c r="E44" s="297">
        <f t="shared" si="18"/>
        <v>-12733</v>
      </c>
      <c r="F44" s="297">
        <f t="shared" si="18"/>
        <v>42296</v>
      </c>
      <c r="G44" s="297">
        <f t="shared" si="18"/>
        <v>477977</v>
      </c>
      <c r="H44" s="297">
        <f t="shared" si="18"/>
        <v>-134980</v>
      </c>
      <c r="I44" s="297">
        <f t="shared" si="18"/>
        <v>32490</v>
      </c>
      <c r="J44" s="297">
        <f t="shared" si="18"/>
        <v>-2045</v>
      </c>
      <c r="K44" s="297">
        <f t="shared" si="18"/>
        <v>-13529</v>
      </c>
      <c r="L44" s="297">
        <f t="shared" si="18"/>
        <v>13450</v>
      </c>
      <c r="M44" s="297" t="str">
        <f t="shared" si="18"/>
        <v/>
      </c>
    </row>
    <row r="45" spans="2:13">
      <c r="B45" s="38" t="s">
        <v>65</v>
      </c>
      <c r="C45" s="292">
        <f t="shared" ref="C45:M45" si="19">IF(C$4="","",C51+C52)</f>
        <v>-57463</v>
      </c>
      <c r="D45" s="292">
        <f t="shared" si="19"/>
        <v>-63288</v>
      </c>
      <c r="E45" s="292">
        <f t="shared" si="19"/>
        <v>-59661</v>
      </c>
      <c r="F45" s="292">
        <f t="shared" si="19"/>
        <v>-80385</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-32312</v>
      </c>
      <c r="D46" s="277">
        <f t="shared" ref="D46:M46" si="20">IF(D$4="","",-D14)</f>
        <v>-56313</v>
      </c>
      <c r="E46" s="277">
        <f t="shared" si="20"/>
        <v>-32989</v>
      </c>
      <c r="F46" s="277">
        <f t="shared" si="20"/>
        <v>-27939</v>
      </c>
      <c r="G46" s="277">
        <f t="shared" si="20"/>
        <v>-29996</v>
      </c>
      <c r="H46" s="277">
        <f t="shared" si="20"/>
        <v>-39872</v>
      </c>
      <c r="I46" s="277">
        <f t="shared" si="20"/>
        <v>-129810</v>
      </c>
      <c r="J46" s="277">
        <f t="shared" si="20"/>
        <v>-121949</v>
      </c>
      <c r="K46" s="277">
        <f t="shared" si="20"/>
        <v>-108832</v>
      </c>
      <c r="L46" s="277">
        <f t="shared" si="20"/>
        <v>-110223</v>
      </c>
      <c r="M46" s="277" t="str">
        <f t="shared" si="20"/>
        <v/>
      </c>
    </row>
    <row r="47" spans="2:13">
      <c r="B47" s="41" t="s">
        <v>39</v>
      </c>
      <c r="C47" s="278">
        <f t="shared" ref="C47:M47" si="21">IF(C$4="","",C15)</f>
        <v>235111</v>
      </c>
      <c r="D47" s="278">
        <f t="shared" si="21"/>
        <v>333215</v>
      </c>
      <c r="E47" s="278">
        <f t="shared" si="21"/>
        <v>111187</v>
      </c>
      <c r="F47" s="278">
        <f t="shared" si="21"/>
        <v>22850</v>
      </c>
      <c r="G47" s="278">
        <f t="shared" si="21"/>
        <v>360550</v>
      </c>
      <c r="H47" s="278">
        <f t="shared" si="21"/>
        <v>74386</v>
      </c>
      <c r="I47" s="278">
        <f t="shared" si="21"/>
        <v>592110</v>
      </c>
      <c r="J47" s="278">
        <f t="shared" si="21"/>
        <v>459295</v>
      </c>
      <c r="K47" s="278">
        <f t="shared" si="21"/>
        <v>503850</v>
      </c>
      <c r="L47" s="278">
        <f t="shared" si="21"/>
        <v>517860</v>
      </c>
      <c r="M47" s="278" t="str">
        <f t="shared" si="21"/>
        <v/>
      </c>
    </row>
    <row r="48" spans="2:13">
      <c r="B48" s="27" t="s">
        <v>41</v>
      </c>
      <c r="C48" s="277">
        <f t="shared" ref="C48:M48" si="22">IF(C$4="","",MIN(-C16,0))</f>
        <v>-2367</v>
      </c>
      <c r="D48" s="277">
        <f t="shared" si="22"/>
        <v>-2761</v>
      </c>
      <c r="E48" s="277">
        <f t="shared" si="22"/>
        <v>-834</v>
      </c>
      <c r="F48" s="277">
        <f t="shared" si="22"/>
        <v>-1636</v>
      </c>
      <c r="G48" s="277">
        <f t="shared" si="22"/>
        <v>-1420</v>
      </c>
      <c r="H48" s="277">
        <f t="shared" si="22"/>
        <v>-752</v>
      </c>
      <c r="I48" s="277">
        <f t="shared" si="22"/>
        <v>-1825</v>
      </c>
      <c r="J48" s="277">
        <f t="shared" si="22"/>
        <v>-1240</v>
      </c>
      <c r="K48" s="277">
        <f t="shared" si="22"/>
        <v>-23</v>
      </c>
      <c r="L48" s="277">
        <f t="shared" si="22"/>
        <v>0</v>
      </c>
      <c r="M48" s="277" t="str">
        <f t="shared" si="22"/>
        <v/>
      </c>
    </row>
    <row r="50" spans="2:13">
      <c r="B50" s="16" t="s">
        <v>65</v>
      </c>
    </row>
    <row r="51" spans="2:13">
      <c r="B51" s="38" t="s">
        <v>37</v>
      </c>
      <c r="C51" s="277">
        <f t="shared" ref="C51:M51" si="23">IF(C$4="","",-C12)</f>
        <v>-104115</v>
      </c>
      <c r="D51" s="277">
        <f t="shared" si="23"/>
        <v>-108592</v>
      </c>
      <c r="E51" s="277">
        <f t="shared" si="23"/>
        <v>-98508</v>
      </c>
      <c r="F51" s="277">
        <f t="shared" si="23"/>
        <v>-88044</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46652</v>
      </c>
      <c r="D52" s="277">
        <f t="shared" ref="D52:M52" si="24">IF(D$4="","",D13)</f>
        <v>45304</v>
      </c>
      <c r="E52" s="277">
        <f t="shared" si="24"/>
        <v>38847</v>
      </c>
      <c r="F52" s="277">
        <f t="shared" si="24"/>
        <v>7659</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-73276</v>
      </c>
      <c r="D58" s="292">
        <f t="shared" ref="D58:M58" si="28">IF(D$4="","",D44-D55-D56-D57)</f>
        <v>-33257</v>
      </c>
      <c r="E58" s="292">
        <f t="shared" si="28"/>
        <v>-12733</v>
      </c>
      <c r="F58" s="292">
        <f t="shared" si="28"/>
        <v>42296</v>
      </c>
      <c r="G58" s="292">
        <f t="shared" si="28"/>
        <v>477977</v>
      </c>
      <c r="H58" s="292">
        <f t="shared" si="28"/>
        <v>-134980</v>
      </c>
      <c r="I58" s="292">
        <f t="shared" si="28"/>
        <v>32490</v>
      </c>
      <c r="J58" s="292">
        <f t="shared" si="28"/>
        <v>-2045</v>
      </c>
      <c r="K58" s="292">
        <f t="shared" si="28"/>
        <v>-13529</v>
      </c>
      <c r="L58" s="292">
        <f t="shared" si="28"/>
        <v>13450</v>
      </c>
      <c r="M58" s="292" t="str">
        <f t="shared" si="28"/>
        <v/>
      </c>
    </row>
    <row r="60" spans="2:13">
      <c r="B60" s="16" t="s">
        <v>48</v>
      </c>
      <c r="C60" s="9"/>
    </row>
    <row r="61" spans="2:13">
      <c r="B61" s="26" t="s">
        <v>44</v>
      </c>
      <c r="C61" s="277">
        <f>IF(C$4="","",-C19)</f>
        <v>-378473</v>
      </c>
      <c r="D61" s="277">
        <f t="shared" ref="D61:M61" si="29">IF(D$4="","",-D19)</f>
        <v>-394190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-305069</v>
      </c>
      <c r="D62" s="277">
        <f t="shared" ref="D62:M62" si="30">IF(D$4="","",IF(D20=0,D61,-D20))</f>
        <v>-316358</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-23955</v>
      </c>
      <c r="D63" s="277">
        <f t="shared" ref="D63:M63" si="31">IF(D$4="","",-D21)</f>
        <v>-1012</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-203287</v>
      </c>
      <c r="D64" s="277">
        <f t="shared" ref="D64:M64" si="32">IF(D$4="","",D22+D23+D24)</f>
        <v>-402329</v>
      </c>
      <c r="E64" s="277">
        <f t="shared" si="32"/>
        <v>98872</v>
      </c>
      <c r="F64" s="277">
        <f t="shared" si="32"/>
        <v>-498179</v>
      </c>
      <c r="G64" s="277">
        <f t="shared" si="32"/>
        <v>1707717</v>
      </c>
      <c r="H64" s="277">
        <f t="shared" si="32"/>
        <v>-478368</v>
      </c>
      <c r="I64" s="277">
        <f t="shared" si="32"/>
        <v>62810</v>
      </c>
      <c r="J64" s="277">
        <f t="shared" si="32"/>
        <v>-29820</v>
      </c>
      <c r="K64" s="277">
        <f t="shared" si="32"/>
        <v>-378642</v>
      </c>
      <c r="L64" s="277">
        <f t="shared" si="32"/>
        <v>138795</v>
      </c>
      <c r="M64" s="277"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2">
        <f t="shared" ref="D76:M76" si="39">IF(D$4="","",D79+D80)</f>
        <v>6513924</v>
      </c>
      <c r="E76" s="292">
        <f t="shared" si="39"/>
        <v>7175340</v>
      </c>
      <c r="F76" s="292">
        <f t="shared" si="39"/>
        <v>6871846</v>
      </c>
      <c r="G76" s="292">
        <f t="shared" si="39"/>
        <v>7154673</v>
      </c>
      <c r="H76" s="292">
        <f t="shared" si="39"/>
        <v>6220758</v>
      </c>
      <c r="I76" s="292">
        <f t="shared" si="39"/>
        <v>4494090</v>
      </c>
      <c r="J76" s="292">
        <f t="shared" si="39"/>
        <v>4616329</v>
      </c>
      <c r="K76" s="292">
        <f t="shared" si="39"/>
        <v>4436810</v>
      </c>
      <c r="L76" s="292">
        <f t="shared" si="39"/>
        <v>4445187</v>
      </c>
      <c r="M76" s="292" t="str">
        <f t="shared" si="39"/>
        <v/>
      </c>
    </row>
    <row r="77" spans="2:13">
      <c r="B77" s="90" t="s">
        <v>82</v>
      </c>
      <c r="C77" s="266">
        <f t="shared" ref="C77:H78" si="40">IF(C$4="","",C28)</f>
        <v>124515</v>
      </c>
      <c r="D77" s="289">
        <f t="shared" si="40"/>
        <v>89430</v>
      </c>
      <c r="E77" s="289">
        <f t="shared" si="40"/>
        <v>75868</v>
      </c>
      <c r="F77" s="289">
        <f t="shared" si="40"/>
        <v>51007</v>
      </c>
      <c r="G77" s="289">
        <f t="shared" si="40"/>
        <v>37326</v>
      </c>
      <c r="H77" s="289">
        <f t="shared" si="40"/>
        <v>50182</v>
      </c>
      <c r="I77" s="298"/>
      <c r="J77" s="298"/>
      <c r="K77" s="298"/>
      <c r="L77" s="298"/>
      <c r="M77" s="298"/>
    </row>
    <row r="78" spans="2:13">
      <c r="B78" s="90" t="s">
        <v>83</v>
      </c>
      <c r="C78" s="266">
        <f t="shared" si="40"/>
        <v>220637</v>
      </c>
      <c r="D78" s="289">
        <f t="shared" si="40"/>
        <v>230288</v>
      </c>
      <c r="E78" s="289">
        <f t="shared" si="40"/>
        <v>268243</v>
      </c>
      <c r="F78" s="289">
        <f t="shared" si="40"/>
        <v>303542</v>
      </c>
      <c r="G78" s="289">
        <f t="shared" si="40"/>
        <v>234924</v>
      </c>
      <c r="H78" s="289">
        <f t="shared" si="40"/>
        <v>260626</v>
      </c>
      <c r="I78" s="298"/>
      <c r="J78" s="298"/>
      <c r="K78" s="298"/>
      <c r="L78" s="298"/>
      <c r="M78" s="298"/>
    </row>
    <row r="79" spans="2:13">
      <c r="B79" s="25" t="s">
        <v>38</v>
      </c>
      <c r="C79" s="265">
        <f t="shared" ref="C79:M79" si="41">IF(C$4="","",C30)</f>
        <v>3235494</v>
      </c>
      <c r="D79" s="277">
        <f t="shared" si="41"/>
        <v>3603411</v>
      </c>
      <c r="E79" s="277">
        <f t="shared" si="41"/>
        <v>4383277</v>
      </c>
      <c r="F79" s="277">
        <f t="shared" si="41"/>
        <v>4045470</v>
      </c>
      <c r="G79" s="277">
        <f t="shared" si="41"/>
        <v>4119837</v>
      </c>
      <c r="H79" s="277">
        <f t="shared" si="41"/>
        <v>3549446</v>
      </c>
      <c r="I79" s="277">
        <f t="shared" si="41"/>
        <v>1072340</v>
      </c>
      <c r="J79" s="277">
        <f t="shared" si="41"/>
        <v>1042829</v>
      </c>
      <c r="K79" s="277">
        <f t="shared" si="41"/>
        <v>945690</v>
      </c>
      <c r="L79" s="277">
        <f t="shared" si="41"/>
        <v>903190</v>
      </c>
      <c r="M79" s="277" t="str">
        <f t="shared" si="41"/>
        <v/>
      </c>
    </row>
    <row r="80" spans="2:13">
      <c r="B80" s="25" t="s">
        <v>28</v>
      </c>
      <c r="C80" s="265">
        <f t="shared" ref="C80:M80" si="42">IF(C$4="","",C31)</f>
        <v>2744736</v>
      </c>
      <c r="D80" s="277">
        <f t="shared" si="42"/>
        <v>2910513</v>
      </c>
      <c r="E80" s="277">
        <f t="shared" si="42"/>
        <v>2792063</v>
      </c>
      <c r="F80" s="277">
        <f t="shared" si="42"/>
        <v>2826376</v>
      </c>
      <c r="G80" s="277">
        <f t="shared" si="42"/>
        <v>3034836</v>
      </c>
      <c r="H80" s="277">
        <f t="shared" si="42"/>
        <v>2671312</v>
      </c>
      <c r="I80" s="277">
        <f t="shared" si="42"/>
        <v>3421750</v>
      </c>
      <c r="J80" s="277">
        <f t="shared" si="42"/>
        <v>3573500</v>
      </c>
      <c r="K80" s="277">
        <f t="shared" si="42"/>
        <v>3491120</v>
      </c>
      <c r="L80" s="277">
        <f t="shared" si="42"/>
        <v>3541997</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4">
        <v>0.6</v>
      </c>
      <c r="E4" s="24"/>
      <c r="F4" s="4" t="s">
        <v>74</v>
      </c>
      <c r="G4" s="18">
        <v>1053633</v>
      </c>
      <c r="H4" s="234">
        <v>0.9</v>
      </c>
    </row>
    <row r="5" spans="2:8" ht="15" customHeight="1">
      <c r="B5" s="1" t="s">
        <v>31</v>
      </c>
      <c r="C5" s="18">
        <v>0</v>
      </c>
      <c r="D5" s="234">
        <v>0.6</v>
      </c>
      <c r="E5" s="24"/>
      <c r="F5" s="1" t="s">
        <v>27</v>
      </c>
      <c r="G5" s="18">
        <v>0</v>
      </c>
      <c r="H5" s="234">
        <v>0.7</v>
      </c>
    </row>
    <row r="6" spans="2:8" ht="15" customHeight="1">
      <c r="B6" s="4" t="s">
        <v>8</v>
      </c>
      <c r="C6" s="18">
        <v>220637</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84648</v>
      </c>
      <c r="D9" s="234">
        <v>0.1</v>
      </c>
      <c r="E9" s="24"/>
      <c r="F9" s="4" t="s">
        <v>150</v>
      </c>
      <c r="G9" s="18">
        <v>0</v>
      </c>
      <c r="H9" s="234">
        <v>0.6</v>
      </c>
    </row>
    <row r="10" spans="2:8" ht="15" customHeight="1">
      <c r="B10" s="4" t="s">
        <v>9</v>
      </c>
      <c r="C10" s="18">
        <v>17181</v>
      </c>
      <c r="D10" s="234">
        <v>0.9</v>
      </c>
      <c r="F10" s="1" t="s">
        <v>406</v>
      </c>
      <c r="G10" s="18">
        <v>0</v>
      </c>
      <c r="H10" s="234">
        <v>0.6</v>
      </c>
    </row>
    <row r="11" spans="2:8" ht="15" customHeight="1">
      <c r="B11" s="4" t="s">
        <v>10</v>
      </c>
      <c r="C11" s="18">
        <v>0</v>
      </c>
      <c r="D11" s="234">
        <v>0.05</v>
      </c>
      <c r="H11" s="235"/>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38787</v>
      </c>
      <c r="H17" s="234">
        <v>0.6</v>
      </c>
    </row>
    <row r="18" spans="2:8" ht="15" customHeight="1">
      <c r="B18" s="4" t="s">
        <v>144</v>
      </c>
      <c r="C18" s="18">
        <v>0</v>
      </c>
      <c r="D18" s="234">
        <v>0.6</v>
      </c>
      <c r="F18" s="4" t="s">
        <v>151</v>
      </c>
      <c r="G18" s="18">
        <v>0</v>
      </c>
      <c r="H18" s="234">
        <v>0.1</v>
      </c>
    </row>
    <row r="19" spans="2:8" ht="15" customHeight="1">
      <c r="B19" s="4" t="s">
        <v>24</v>
      </c>
      <c r="C19" s="18">
        <f>1464996+2159044</f>
        <v>3624040</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1104</v>
      </c>
      <c r="D21" s="234">
        <v>0.05</v>
      </c>
      <c r="F21" s="1" t="s">
        <v>150</v>
      </c>
      <c r="G21" s="18">
        <v>402100</v>
      </c>
      <c r="H21" s="234">
        <v>0.1</v>
      </c>
    </row>
    <row r="22" spans="2:8" ht="15" customHeight="1">
      <c r="B22" s="4" t="s">
        <v>18</v>
      </c>
      <c r="C22" s="18">
        <v>99021</v>
      </c>
      <c r="D22" s="234">
        <v>0.9</v>
      </c>
      <c r="H22" s="235"/>
    </row>
    <row r="23" spans="2:8" ht="15" customHeight="1">
      <c r="B23" s="4" t="s">
        <v>19</v>
      </c>
      <c r="C23" s="18">
        <v>7293</v>
      </c>
      <c r="D23" s="234">
        <v>0</v>
      </c>
      <c r="H23" s="235"/>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4">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2732286</v>
      </c>
      <c r="D46" s="73">
        <f>H29</f>
        <v>-1452750.4</v>
      </c>
      <c r="F46" s="226"/>
    </row>
    <row r="47" spans="2:8" ht="15" customHeight="1">
      <c r="B47" s="1" t="str">
        <f>"Equity per share ("&amp;Market_currency&amp;")"</f>
        <v>Equity per share (HKD)</v>
      </c>
      <c r="C47" s="134">
        <f>C46*H1/Common_Shares*Exchange_Rate</f>
        <v>4.7108051746943627</v>
      </c>
      <c r="D47" s="134">
        <f>D46*H1/Common_Shares*Exchange_Rate</f>
        <v>-2.5047246524922007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5.3475400925918697</v>
      </c>
      <c r="D50" s="92">
        <f>G31/Normalized_FCF!G8</f>
        <v>5.3604060658726853</v>
      </c>
      <c r="F50" s="226"/>
    </row>
    <row r="51" spans="2:8" ht="15" customHeight="1">
      <c r="B51" s="1" t="s">
        <v>146</v>
      </c>
      <c r="C51" s="163"/>
      <c r="D51" s="89">
        <f>G29/G32</f>
        <v>0.45688644082251018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8.897587277630245E-2</v>
      </c>
      <c r="D54" s="89">
        <f>Normalized_FCF!G8/G35</f>
        <v>8.8762314104121762E-2</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0.10443400183220936</v>
      </c>
      <c r="F58" s="5"/>
    </row>
    <row r="59" spans="2:8" ht="15" customHeight="1">
      <c r="B59" s="1" t="s">
        <v>89</v>
      </c>
      <c r="C59" s="95"/>
      <c r="D59" s="89">
        <f>G39/G32</f>
        <v>0.60600344802791861</v>
      </c>
      <c r="F59" s="226"/>
    </row>
    <row r="60" spans="2:8" ht="15" customHeight="1">
      <c r="F60" s="226"/>
    </row>
    <row r="61" spans="2:8" ht="15" customHeight="1">
      <c r="B61" s="143" t="s">
        <v>231</v>
      </c>
      <c r="C61" s="213" t="s">
        <v>114</v>
      </c>
      <c r="D61" s="179" t="s">
        <v>91</v>
      </c>
      <c r="F61" s="226"/>
    </row>
    <row r="62" spans="2:8" ht="15" customHeight="1">
      <c r="B62" s="1" t="s">
        <v>210</v>
      </c>
      <c r="C62" s="89">
        <f>IF(G28&lt;=0,0,G28/G29)</f>
        <v>4.556624013737947E-3</v>
      </c>
      <c r="D62" s="89">
        <f>G28/G29</f>
        <v>4.556624013737947E-3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1053633</v>
      </c>
      <c r="D66" s="73">
        <f>C66-D75</f>
        <v>384381.13325594889</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1053633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-700179.71776666667</v>
      </c>
      <c r="D73" s="292">
        <f>(Normalized_FCF!C26+Normalized_FCF!C35-Normalized_FCF!C89)/12</f>
        <v>-669251.86674405111</v>
      </c>
      <c r="F73" s="1" t="s">
        <v>278</v>
      </c>
    </row>
    <row r="74" spans="2:6" ht="15" customHeight="1">
      <c r="B74" s="230" t="s">
        <v>259</v>
      </c>
      <c r="C74" s="231">
        <f>-$C$66/C73</f>
        <v>1.5048036572106489</v>
      </c>
      <c r="D74" s="231">
        <f>-$C$66/D73</f>
        <v>1.5743445066892159</v>
      </c>
      <c r="F74" s="226" t="s">
        <v>257</v>
      </c>
    </row>
    <row r="75" spans="2:6" ht="15" customHeight="1">
      <c r="B75" s="77" t="s">
        <v>258</v>
      </c>
      <c r="C75" s="267"/>
      <c r="D75" s="268">
        <f>MAX(-D73*D76,G5)</f>
        <v>669251.86674405111</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38787</v>
      </c>
      <c r="D79" s="73">
        <f>G7*H7+G17*H17</f>
        <v>23272.2</v>
      </c>
      <c r="F79" s="226"/>
    </row>
    <row r="80" spans="2:6" ht="15" customHeight="1">
      <c r="B80" s="102" t="s">
        <v>152</v>
      </c>
      <c r="C80" s="19">
        <f>G19</f>
        <v>0</v>
      </c>
      <c r="D80" s="73">
        <f>G19*H19</f>
        <v>0</v>
      </c>
      <c r="F80" s="226"/>
    </row>
    <row r="81" spans="2:8" ht="15" customHeight="1">
      <c r="B81" s="102" t="s">
        <v>150</v>
      </c>
      <c r="C81" s="19">
        <f>G9+G21</f>
        <v>402100</v>
      </c>
      <c r="D81" s="73">
        <f>G9*H9+G21*H21</f>
        <v>40210</v>
      </c>
      <c r="F81" s="226"/>
    </row>
    <row r="82" spans="2:8" ht="15" customHeight="1">
      <c r="B82" s="77" t="s">
        <v>159</v>
      </c>
      <c r="C82" s="78">
        <f>SUM(C79:C81)</f>
        <v>440887</v>
      </c>
      <c r="D82" s="78">
        <f>SUM(D79:D81)</f>
        <v>63482.2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2134310</v>
      </c>
      <c r="D86" s="203">
        <f>C86*scaling_factor/Common_Shares</f>
        <v>3.679819240153456</v>
      </c>
      <c r="E86" s="217" t="str">
        <f>Market_currency</f>
        <v>HKD</v>
      </c>
    </row>
    <row r="87" spans="2:8" ht="15" customHeight="1">
      <c r="B87" s="215" t="s">
        <v>240</v>
      </c>
      <c r="C87" s="73">
        <f>DCF!F5*Exchange_Rate</f>
        <v>384381.13325594889</v>
      </c>
      <c r="D87" s="203">
        <f>C87*scaling_factor/Common_Shares</f>
        <v>0.66272148362104388</v>
      </c>
      <c r="E87" s="217" t="str">
        <f>Market_currency</f>
        <v>HKD</v>
      </c>
    </row>
    <row r="88" spans="2:8" ht="15" customHeight="1">
      <c r="B88" s="216" t="s">
        <v>159</v>
      </c>
      <c r="C88" s="73">
        <f>DCF!F6*Exchange_Rate</f>
        <v>63482.2</v>
      </c>
      <c r="D88" s="203">
        <f>C88*scaling_factor/Common_Shares</f>
        <v>0.10945130790150902</v>
      </c>
      <c r="E88" s="217" t="str">
        <f>Market_currency</f>
        <v>HKD</v>
      </c>
    </row>
    <row r="89" spans="2:8" ht="15" customHeight="1">
      <c r="B89" s="77" t="s">
        <v>244</v>
      </c>
      <c r="C89" s="162">
        <f>SUM(C86:C88)</f>
        <v>2582173.333255949</v>
      </c>
      <c r="D89" s="219">
        <f>SUM(D86:D88)</f>
        <v>4.4519920316760082</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394</v>
      </c>
      <c r="C3" s="104">
        <f>scaling_factor</f>
        <v>1000</v>
      </c>
      <c r="D3" s="9"/>
      <c r="E3" s="241"/>
      <c r="F3" s="9"/>
      <c r="G3" s="16" t="s">
        <v>414</v>
      </c>
      <c r="H3" s="104">
        <f>scaling_factor</f>
        <v>1000</v>
      </c>
    </row>
    <row r="4" spans="1:17" ht="15.75" customHeight="1">
      <c r="A4" s="10"/>
      <c r="B4" s="25" t="s">
        <v>0</v>
      </c>
      <c r="C4" s="272">
        <f>AVERAGE(G4:J4)</f>
        <v>8198140.75</v>
      </c>
      <c r="D4" s="54"/>
      <c r="E4" s="239"/>
      <c r="F4" s="54"/>
      <c r="G4" s="277">
        <f>Data!C36</f>
        <v>8568317</v>
      </c>
      <c r="H4" s="277">
        <f>Data!D36</f>
        <v>8691449</v>
      </c>
      <c r="I4" s="277">
        <f>Data!E36</f>
        <v>8024044</v>
      </c>
      <c r="J4" s="277">
        <f>Data!F36</f>
        <v>7508753</v>
      </c>
      <c r="K4" s="277">
        <f>Data!G36</f>
        <v>6714255</v>
      </c>
      <c r="L4" s="277">
        <f>Data!H36</f>
        <v>7963097</v>
      </c>
      <c r="M4" s="277">
        <f>Data!I36</f>
        <v>8493883</v>
      </c>
      <c r="N4" s="277">
        <f>Data!J36</f>
        <v>8427399</v>
      </c>
      <c r="O4" s="277">
        <f>Data!K36</f>
        <v>7895262</v>
      </c>
      <c r="P4" s="277">
        <f>Data!L36</f>
        <v>7567176</v>
      </c>
      <c r="Q4" s="277" t="str">
        <f>Data!M36</f>
        <v/>
      </c>
    </row>
    <row r="5" spans="1:17" ht="15.75" customHeight="1">
      <c r="A5" s="10"/>
      <c r="B5" s="2" t="s">
        <v>43</v>
      </c>
      <c r="C5" s="273">
        <f>C26</f>
        <v>-7304527.7877286123</v>
      </c>
      <c r="E5" s="241"/>
      <c r="G5" s="277">
        <f t="shared" ref="G5:Q5" si="1">G26</f>
        <v>-7675662</v>
      </c>
      <c r="H5" s="277">
        <f t="shared" si="1"/>
        <v>-7702163</v>
      </c>
      <c r="I5" s="277">
        <f t="shared" si="1"/>
        <v>-7321395</v>
      </c>
      <c r="J5" s="277">
        <f t="shared" si="1"/>
        <v>-6961032</v>
      </c>
      <c r="K5" s="277">
        <f t="shared" si="1"/>
        <v>-6339067</v>
      </c>
      <c r="L5" s="277">
        <f t="shared" si="1"/>
        <v>-7232445</v>
      </c>
      <c r="M5" s="277">
        <f t="shared" si="1"/>
        <v>-7356665</v>
      </c>
      <c r="N5" s="277">
        <f t="shared" si="1"/>
        <v>-7385291</v>
      </c>
      <c r="O5" s="277">
        <f t="shared" si="1"/>
        <v>-6838442</v>
      </c>
      <c r="P5" s="277">
        <f t="shared" si="1"/>
        <v>-6522504</v>
      </c>
      <c r="Q5" s="277" t="str">
        <f t="shared" si="1"/>
        <v/>
      </c>
    </row>
    <row r="6" spans="1:17" ht="15.75" customHeight="1">
      <c r="A6" s="10"/>
      <c r="B6" s="30" t="s">
        <v>45</v>
      </c>
      <c r="C6" s="274">
        <f>C4+C5</f>
        <v>893612.96227138769</v>
      </c>
      <c r="E6" s="241"/>
      <c r="G6" s="274">
        <f>IF(G4="","",G4+G5)</f>
        <v>892655</v>
      </c>
      <c r="H6" s="274">
        <f t="shared" ref="H6:Q6" si="2">IF(H4="","",H4+H5)</f>
        <v>989286</v>
      </c>
      <c r="I6" s="274">
        <f t="shared" si="2"/>
        <v>702649</v>
      </c>
      <c r="J6" s="274">
        <f t="shared" si="2"/>
        <v>547721</v>
      </c>
      <c r="K6" s="274">
        <f t="shared" si="2"/>
        <v>375188</v>
      </c>
      <c r="L6" s="274">
        <f t="shared" si="2"/>
        <v>730652</v>
      </c>
      <c r="M6" s="274">
        <f t="shared" si="2"/>
        <v>1137218</v>
      </c>
      <c r="N6" s="274">
        <f t="shared" si="2"/>
        <v>1042108</v>
      </c>
      <c r="O6" s="274">
        <f t="shared" si="2"/>
        <v>1056820</v>
      </c>
      <c r="P6" s="274">
        <f t="shared" si="2"/>
        <v>1044672</v>
      </c>
      <c r="Q6" s="274" t="str">
        <f t="shared" si="2"/>
        <v/>
      </c>
    </row>
    <row r="7" spans="1:17" ht="15.75" customHeight="1">
      <c r="A7" s="10"/>
      <c r="B7" s="8" t="s">
        <v>42</v>
      </c>
      <c r="C7" s="273">
        <f>C35</f>
        <v>-494493</v>
      </c>
      <c r="E7" s="241"/>
      <c r="G7" s="273">
        <f t="shared" ref="G7:Q7" si="3">G35</f>
        <v>-494493</v>
      </c>
      <c r="H7" s="273">
        <f t="shared" si="3"/>
        <v>-503213</v>
      </c>
      <c r="I7" s="273">
        <f t="shared" si="3"/>
        <v>-486079</v>
      </c>
      <c r="J7" s="273">
        <f t="shared" si="3"/>
        <v>-458843</v>
      </c>
      <c r="K7" s="273">
        <f t="shared" si="3"/>
        <v>-462619</v>
      </c>
      <c r="L7" s="273">
        <f t="shared" si="3"/>
        <v>-481414</v>
      </c>
      <c r="M7" s="273">
        <f t="shared" si="3"/>
        <v>-447788</v>
      </c>
      <c r="N7" s="273">
        <f t="shared" si="3"/>
        <v>-458819</v>
      </c>
      <c r="O7" s="273">
        <f t="shared" si="3"/>
        <v>-430609</v>
      </c>
      <c r="P7" s="273">
        <f t="shared" si="3"/>
        <v>-430039</v>
      </c>
      <c r="Q7" s="273" t="str">
        <f t="shared" si="3"/>
        <v/>
      </c>
    </row>
    <row r="8" spans="1:17" ht="15.75" customHeight="1">
      <c r="A8" s="10"/>
      <c r="B8" s="28" t="s">
        <v>127</v>
      </c>
      <c r="C8" s="275">
        <f>C6+C7</f>
        <v>399119.96227138769</v>
      </c>
      <c r="D8" s="56"/>
      <c r="E8" s="247"/>
      <c r="F8" s="56"/>
      <c r="G8" s="274">
        <f>IF(G$4="","",G6+G7)</f>
        <v>398162</v>
      </c>
      <c r="H8" s="274">
        <f t="shared" ref="H8:Q8" si="4">IF(H$4="","",H6+H7)</f>
        <v>486073</v>
      </c>
      <c r="I8" s="274">
        <f t="shared" si="4"/>
        <v>216570</v>
      </c>
      <c r="J8" s="274">
        <f t="shared" si="4"/>
        <v>88878</v>
      </c>
      <c r="K8" s="274">
        <f t="shared" si="4"/>
        <v>-87431</v>
      </c>
      <c r="L8" s="274">
        <f t="shared" si="4"/>
        <v>249238</v>
      </c>
      <c r="M8" s="274">
        <f t="shared" si="4"/>
        <v>689430</v>
      </c>
      <c r="N8" s="274">
        <f t="shared" si="4"/>
        <v>583289</v>
      </c>
      <c r="O8" s="274">
        <f t="shared" si="4"/>
        <v>626211</v>
      </c>
      <c r="P8" s="274">
        <f t="shared" si="4"/>
        <v>614633</v>
      </c>
      <c r="Q8" s="274" t="str">
        <f t="shared" si="4"/>
        <v/>
      </c>
    </row>
    <row r="9" spans="1:17" ht="15.75" customHeight="1">
      <c r="A9" s="10"/>
      <c r="B9" s="26" t="s">
        <v>419</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-78679.881332559497</v>
      </c>
      <c r="E10" s="241"/>
      <c r="G10" s="273">
        <f>G48</f>
        <v>-74482.349838754599</v>
      </c>
      <c r="H10" s="273">
        <f t="shared" ref="H10:Q10" si="6">H48</f>
        <v>-79815.579205498987</v>
      </c>
      <c r="I10" s="273">
        <f t="shared" si="6"/>
        <v>-73832.968687003769</v>
      </c>
      <c r="J10" s="273">
        <f t="shared" si="6"/>
        <v>-83179.118160315134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320440.08093882818</v>
      </c>
      <c r="E11" s="241"/>
      <c r="G11" s="274">
        <f t="shared" ref="G11:Q11" si="7">IF(G$4="","",SUM(G8:G10))</f>
        <v>323679.65016124537</v>
      </c>
      <c r="H11" s="274">
        <f t="shared" si="7"/>
        <v>406257.42079450103</v>
      </c>
      <c r="I11" s="274">
        <f t="shared" si="7"/>
        <v>142737.03131299623</v>
      </c>
      <c r="J11" s="274">
        <f t="shared" si="7"/>
        <v>5698.8818396848656</v>
      </c>
      <c r="K11" s="274">
        <f t="shared" si="7"/>
        <v>-87431</v>
      </c>
      <c r="L11" s="274">
        <f t="shared" si="7"/>
        <v>249238</v>
      </c>
      <c r="M11" s="274">
        <f t="shared" si="7"/>
        <v>689430</v>
      </c>
      <c r="N11" s="274">
        <f t="shared" si="7"/>
        <v>583289</v>
      </c>
      <c r="O11" s="274">
        <f t="shared" si="7"/>
        <v>626211</v>
      </c>
      <c r="P11" s="274">
        <f t="shared" si="7"/>
        <v>614633</v>
      </c>
      <c r="Q11" s="274" t="str">
        <f t="shared" si="7"/>
        <v/>
      </c>
    </row>
    <row r="12" spans="1:17" ht="15.75" customHeight="1">
      <c r="A12" s="10"/>
      <c r="B12" s="2" t="s">
        <v>60</v>
      </c>
      <c r="C12" s="273">
        <f>-C11*C41</f>
        <v>-52872.613354906651</v>
      </c>
      <c r="E12" s="241"/>
      <c r="G12" s="273">
        <f>Data!C46</f>
        <v>-32312</v>
      </c>
      <c r="H12" s="273">
        <f>Data!D46</f>
        <v>-56313</v>
      </c>
      <c r="I12" s="273">
        <f>Data!E46</f>
        <v>-32989</v>
      </c>
      <c r="J12" s="273">
        <f>Data!F46</f>
        <v>-27939</v>
      </c>
      <c r="K12" s="273">
        <f>Data!G46</f>
        <v>-29996</v>
      </c>
      <c r="L12" s="273">
        <f>Data!H46</f>
        <v>-39872</v>
      </c>
      <c r="M12" s="273">
        <f>Data!I46</f>
        <v>-129810</v>
      </c>
      <c r="N12" s="273">
        <f>Data!J46</f>
        <v>-121949</v>
      </c>
      <c r="O12" s="273">
        <f>Data!K46</f>
        <v>-108832</v>
      </c>
      <c r="P12" s="273">
        <f>Data!L46</f>
        <v>-110223</v>
      </c>
      <c r="Q12" s="273" t="str">
        <f>Data!M46</f>
        <v/>
      </c>
    </row>
    <row r="13" spans="1:17" ht="15.75" customHeight="1">
      <c r="A13" s="10"/>
      <c r="B13" s="38" t="s">
        <v>208</v>
      </c>
      <c r="C13" s="273">
        <f>-C4*C79</f>
        <v>-37355.845009453624</v>
      </c>
      <c r="D13" s="57"/>
      <c r="E13" s="248"/>
      <c r="F13" s="57"/>
      <c r="G13" s="277">
        <f>Data!C48</f>
        <v>-2367</v>
      </c>
      <c r="H13" s="277">
        <f>Data!D48</f>
        <v>-2761</v>
      </c>
      <c r="I13" s="277">
        <f>Data!E48</f>
        <v>-834</v>
      </c>
      <c r="J13" s="277">
        <f>Data!F48</f>
        <v>-1636</v>
      </c>
      <c r="K13" s="277">
        <f>Data!G48</f>
        <v>-1420</v>
      </c>
      <c r="L13" s="277">
        <f>Data!H48</f>
        <v>-752</v>
      </c>
      <c r="M13" s="277">
        <f>Data!I48</f>
        <v>-1825</v>
      </c>
      <c r="N13" s="277">
        <f>Data!J48</f>
        <v>-1240</v>
      </c>
      <c r="O13" s="277">
        <f>Data!K48</f>
        <v>-23</v>
      </c>
      <c r="P13" s="277">
        <f>Data!L48</f>
        <v>0</v>
      </c>
      <c r="Q13" s="277" t="str">
        <f>Data!M48</f>
        <v/>
      </c>
    </row>
    <row r="14" spans="1:17" ht="15.75" customHeight="1">
      <c r="A14" s="10"/>
      <c r="B14" s="39" t="s">
        <v>129</v>
      </c>
      <c r="C14" s="276">
        <f>SUM(C11:C13)</f>
        <v>230211.62257446788</v>
      </c>
      <c r="D14" s="58"/>
      <c r="E14" s="249"/>
      <c r="F14" s="58"/>
      <c r="G14" s="274">
        <f t="shared" ref="G14:Q14" si="8">IF(G$4="","",SUM(G11:G13))</f>
        <v>289000.65016124537</v>
      </c>
      <c r="H14" s="274">
        <f t="shared" si="8"/>
        <v>347183.42079450103</v>
      </c>
      <c r="I14" s="274">
        <f t="shared" si="8"/>
        <v>108914.03131299623</v>
      </c>
      <c r="J14" s="274">
        <f t="shared" si="8"/>
        <v>-23876.118160315134</v>
      </c>
      <c r="K14" s="274">
        <f t="shared" si="8"/>
        <v>-118847</v>
      </c>
      <c r="L14" s="274">
        <f t="shared" si="8"/>
        <v>208614</v>
      </c>
      <c r="M14" s="274">
        <f t="shared" si="8"/>
        <v>557795</v>
      </c>
      <c r="N14" s="274">
        <f t="shared" si="8"/>
        <v>460100</v>
      </c>
      <c r="O14" s="274">
        <f t="shared" si="8"/>
        <v>517356</v>
      </c>
      <c r="P14" s="274">
        <f t="shared" si="8"/>
        <v>504410</v>
      </c>
      <c r="Q14" s="274" t="str">
        <f t="shared" si="8"/>
        <v/>
      </c>
    </row>
    <row r="15" spans="1:17" ht="15.75" customHeight="1">
      <c r="A15" s="10"/>
      <c r="B15" s="2" t="s">
        <v>62</v>
      </c>
      <c r="C15" s="273">
        <f>BS!$G$39*BS!D58</f>
        <v>378473</v>
      </c>
      <c r="E15" s="241"/>
      <c r="G15" s="273">
        <f>IF(Data!C61="","",-Data!C61)</f>
        <v>378473</v>
      </c>
      <c r="H15" s="273">
        <f>IF(Data!D61="","",-Data!D61)</f>
        <v>394190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400</v>
      </c>
      <c r="C16" s="273">
        <f>-C4*C82</f>
        <v>-378473</v>
      </c>
      <c r="E16" s="241"/>
      <c r="G16" s="273">
        <f>Data!C62</f>
        <v>-305069</v>
      </c>
      <c r="H16" s="273">
        <f>Data!D62</f>
        <v>-316358</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230211.62257446788</v>
      </c>
      <c r="D19" s="26"/>
      <c r="E19" s="238"/>
      <c r="F19" s="26"/>
      <c r="G19" s="278">
        <f t="shared" ref="G19:Q19" si="9">IF(G$4="","",G14+G17)</f>
        <v>289000.65016124537</v>
      </c>
      <c r="H19" s="278">
        <f t="shared" si="9"/>
        <v>347183.42079450103</v>
      </c>
      <c r="I19" s="278">
        <f t="shared" si="9"/>
        <v>108914.03131299623</v>
      </c>
      <c r="J19" s="278">
        <f t="shared" si="9"/>
        <v>-23876.118160315134</v>
      </c>
      <c r="K19" s="278">
        <f t="shared" si="9"/>
        <v>-118847</v>
      </c>
      <c r="L19" s="278">
        <f t="shared" si="9"/>
        <v>208614</v>
      </c>
      <c r="M19" s="278">
        <f t="shared" si="9"/>
        <v>557795</v>
      </c>
      <c r="N19" s="278">
        <f t="shared" si="9"/>
        <v>460100</v>
      </c>
      <c r="O19" s="278">
        <f t="shared" si="9"/>
        <v>517356</v>
      </c>
      <c r="P19" s="278">
        <f t="shared" si="9"/>
        <v>504410</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-7304527.7877286123</v>
      </c>
      <c r="D23" s="55"/>
      <c r="E23" s="240"/>
      <c r="F23" s="55"/>
      <c r="G23" s="277">
        <f>Data!C37</f>
        <v>-7675662</v>
      </c>
      <c r="H23" s="277">
        <f>Data!D37</f>
        <v>-7702163</v>
      </c>
      <c r="I23" s="277">
        <f>Data!E37</f>
        <v>-7321395</v>
      </c>
      <c r="J23" s="277">
        <f>Data!F37</f>
        <v>-6961032</v>
      </c>
      <c r="K23" s="277">
        <f>Data!G37</f>
        <v>-6339067</v>
      </c>
      <c r="L23" s="277">
        <f>Data!H37</f>
        <v>-7232445</v>
      </c>
      <c r="M23" s="277">
        <f>Data!I37</f>
        <v>-7356665</v>
      </c>
      <c r="N23" s="277">
        <f>Data!J37</f>
        <v>-7385291</v>
      </c>
      <c r="O23" s="277">
        <f>Data!K37</f>
        <v>-6838442</v>
      </c>
      <c r="P23" s="277">
        <f>Data!L37</f>
        <v>-6522504</v>
      </c>
      <c r="Q23" s="277" t="str">
        <f>Data!M37</f>
        <v/>
      </c>
    </row>
    <row r="24" spans="1:17" ht="15.75" customHeight="1">
      <c r="A24" s="10"/>
      <c r="B24" s="65" t="s">
        <v>59</v>
      </c>
      <c r="C24" s="273">
        <f>-C4*C30</f>
        <v>0</v>
      </c>
      <c r="D24" s="26"/>
      <c r="E24" s="238"/>
      <c r="F24" s="26"/>
      <c r="G24" s="277">
        <f>Data!C40</f>
        <v>0</v>
      </c>
      <c r="H24" s="277">
        <f>Data!D40</f>
        <v>0</v>
      </c>
      <c r="I24" s="277">
        <f>Data!E40</f>
        <v>0</v>
      </c>
      <c r="J24" s="277">
        <f>Data!F40</f>
        <v>0</v>
      </c>
      <c r="K24" s="277">
        <f>Data!G40</f>
        <v>0</v>
      </c>
      <c r="L24" s="277">
        <f>Data!H40</f>
        <v>0</v>
      </c>
      <c r="M24" s="277">
        <f>Data!I40</f>
        <v>0</v>
      </c>
      <c r="N24" s="277">
        <f>Data!J40</f>
        <v>0</v>
      </c>
      <c r="O24" s="277">
        <f>Data!K40</f>
        <v>0</v>
      </c>
      <c r="P24" s="277">
        <f>Data!L40</f>
        <v>0</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-7304527.7877286123</v>
      </c>
      <c r="D26" s="9"/>
      <c r="E26" s="246"/>
      <c r="F26" s="9"/>
      <c r="G26" s="274">
        <f>IF(G$4="","",SUM(G23:G25))</f>
        <v>-7675662</v>
      </c>
      <c r="H26" s="274">
        <f t="shared" ref="H26:Q26" si="10">IF(H$4="","",SUM(H23:H25))</f>
        <v>-7702163</v>
      </c>
      <c r="I26" s="274">
        <f t="shared" si="10"/>
        <v>-7321395</v>
      </c>
      <c r="J26" s="274">
        <f t="shared" si="10"/>
        <v>-6961032</v>
      </c>
      <c r="K26" s="274">
        <f t="shared" si="10"/>
        <v>-6339067</v>
      </c>
      <c r="L26" s="274">
        <f t="shared" si="10"/>
        <v>-7232445</v>
      </c>
      <c r="M26" s="274">
        <f t="shared" si="10"/>
        <v>-7356665</v>
      </c>
      <c r="N26" s="274">
        <f t="shared" si="10"/>
        <v>-7385291</v>
      </c>
      <c r="O26" s="274">
        <f t="shared" si="10"/>
        <v>-6838442</v>
      </c>
      <c r="P26" s="274">
        <f t="shared" si="10"/>
        <v>-6522504</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AVERAGE(G29:H29)</f>
        <v>0.89099809462634716</v>
      </c>
      <c r="D29" s="25"/>
      <c r="E29" s="239"/>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9"/>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1"/>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1"/>
    </row>
    <row r="34" spans="1:17" ht="15.75" customHeight="1">
      <c r="A34" s="10"/>
      <c r="B34" s="61" t="s">
        <v>42</v>
      </c>
      <c r="E34" s="241"/>
    </row>
    <row r="35" spans="1:17" ht="15.75" customHeight="1">
      <c r="A35" s="10"/>
      <c r="B35" s="305" t="s">
        <v>398</v>
      </c>
      <c r="C35" s="283">
        <f>G35</f>
        <v>-494493</v>
      </c>
      <c r="D35" s="55"/>
      <c r="E35" s="240"/>
      <c r="F35" s="55"/>
      <c r="G35" s="274">
        <f>IF(G4="","",Data!C41)</f>
        <v>-494493</v>
      </c>
      <c r="H35" s="274">
        <f>IF(H4="","",Data!D41)</f>
        <v>-503213</v>
      </c>
      <c r="I35" s="274">
        <f>IF(I4="","",Data!E41)</f>
        <v>-486079</v>
      </c>
      <c r="J35" s="274">
        <f>IF(J4="","",Data!F41)</f>
        <v>-458843</v>
      </c>
      <c r="K35" s="274">
        <f>IF(K4="","",Data!G41)</f>
        <v>-462619</v>
      </c>
      <c r="L35" s="274">
        <f>IF(L4="","",Data!H41)</f>
        <v>-481414</v>
      </c>
      <c r="M35" s="274">
        <f>IF(M4="","",Data!I41)</f>
        <v>-447788</v>
      </c>
      <c r="N35" s="274">
        <f>IF(N4="","",Data!J41)</f>
        <v>-458819</v>
      </c>
      <c r="O35" s="274">
        <f>IF(O4="","",Data!K41)</f>
        <v>-430609</v>
      </c>
      <c r="P35" s="274">
        <f>IF(P4="","",Data!L41)</f>
        <v>-430039</v>
      </c>
      <c r="Q35" s="274" t="str">
        <f>IF(Q4="","",Data!M41)</f>
        <v/>
      </c>
    </row>
    <row r="36" spans="1:17" ht="15.75" customHeight="1">
      <c r="A36" s="10"/>
      <c r="E36" s="241"/>
    </row>
    <row r="37" spans="1:17" ht="15.75" customHeight="1">
      <c r="A37" s="10"/>
      <c r="B37" s="61" t="s">
        <v>176</v>
      </c>
      <c r="E37" s="241"/>
    </row>
    <row r="38" spans="1:17" ht="15.75" customHeight="1">
      <c r="A38" s="10"/>
      <c r="B38" s="305" t="s">
        <v>398</v>
      </c>
      <c r="C38" s="68">
        <f>ABS(C35/$C$4)</f>
        <v>6.0317700693294389E-2</v>
      </c>
      <c r="E38" s="241"/>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0.16500000000000001</v>
      </c>
      <c r="D41" s="26"/>
      <c r="E41" s="238" t="s">
        <v>407</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-85372.400000000009</v>
      </c>
      <c r="E45" s="241"/>
      <c r="G45" s="273">
        <f>Data!C51</f>
        <v>-104115</v>
      </c>
      <c r="H45" s="273">
        <f>Data!D51</f>
        <v>-108592</v>
      </c>
      <c r="I45" s="273">
        <f>Data!E51</f>
        <v>-98508</v>
      </c>
      <c r="J45" s="273">
        <f>Data!F51</f>
        <v>-88044</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6692.5186674405113</v>
      </c>
      <c r="E46" s="241"/>
      <c r="G46" s="281">
        <f t="shared" ref="G46:Q46" si="17">IFERROR(IF(G$4="","",($C$46/$C$47)*G47),0)</f>
        <v>29632.650161245398</v>
      </c>
      <c r="H46" s="281">
        <f t="shared" si="17"/>
        <v>28776.420794501017</v>
      </c>
      <c r="I46" s="281">
        <f t="shared" si="17"/>
        <v>24675.031312996227</v>
      </c>
      <c r="J46" s="281">
        <f t="shared" si="17"/>
        <v>4864.8818396848692</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10536.33</v>
      </c>
      <c r="D47" s="252"/>
      <c r="E47" s="253"/>
      <c r="F47" s="252"/>
      <c r="G47" s="285">
        <f>Data!C52</f>
        <v>46652</v>
      </c>
      <c r="H47" s="285">
        <f>Data!D52</f>
        <v>45304</v>
      </c>
      <c r="I47" s="285">
        <f>Data!E52</f>
        <v>38847</v>
      </c>
      <c r="J47" s="285">
        <f>Data!F52</f>
        <v>7659</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-78679.881332559497</v>
      </c>
      <c r="E48" s="241"/>
      <c r="G48" s="274">
        <f>IF(G$4="","",(G45+G46))</f>
        <v>-74482.349838754599</v>
      </c>
      <c r="H48" s="274">
        <f t="shared" ref="H48:Q48" si="18">IF(H$4="","",(H45+H46))</f>
        <v>-79815.579205498987</v>
      </c>
      <c r="I48" s="274">
        <f t="shared" si="18"/>
        <v>-73832.968687003769</v>
      </c>
      <c r="J48" s="274">
        <f t="shared" si="18"/>
        <v>-83179.118160315134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0.01</v>
      </c>
      <c r="E51" s="238"/>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8"/>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4.6750467630216281</v>
      </c>
      <c r="E53" s="241"/>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-73276</v>
      </c>
      <c r="H60" s="273">
        <f>Data!D58</f>
        <v>-33257</v>
      </c>
      <c r="I60" s="273">
        <f>Data!E58</f>
        <v>-12733</v>
      </c>
      <c r="J60" s="273">
        <f>Data!F58</f>
        <v>42296</v>
      </c>
      <c r="K60" s="273">
        <f>Data!G58</f>
        <v>477977</v>
      </c>
      <c r="L60" s="273">
        <f>Data!H58</f>
        <v>-134980</v>
      </c>
      <c r="M60" s="273">
        <f>Data!I58</f>
        <v>32490</v>
      </c>
      <c r="N60" s="273">
        <f>Data!J58</f>
        <v>-2045</v>
      </c>
      <c r="O60" s="273">
        <f>Data!K58</f>
        <v>-13529</v>
      </c>
      <c r="P60" s="273">
        <f>Data!L58</f>
        <v>13450</v>
      </c>
      <c r="Q60" s="273" t="str">
        <f>Data!M58</f>
        <v/>
      </c>
    </row>
    <row r="61" spans="1:17" ht="15.75" customHeight="1">
      <c r="A61" s="10"/>
      <c r="B61" s="30" t="s">
        <v>164</v>
      </c>
      <c r="C61" s="274">
        <f>C59+C60</f>
        <v>0</v>
      </c>
      <c r="E61" s="241"/>
      <c r="G61" s="274">
        <f t="shared" ref="G61:Q61" si="21">IF(G4="","",G59+G60)</f>
        <v>-73276</v>
      </c>
      <c r="H61" s="274">
        <f t="shared" si="21"/>
        <v>-33257</v>
      </c>
      <c r="I61" s="274">
        <f t="shared" si="21"/>
        <v>-12733</v>
      </c>
      <c r="J61" s="274">
        <f t="shared" si="21"/>
        <v>42296</v>
      </c>
      <c r="K61" s="274">
        <f t="shared" si="21"/>
        <v>477977</v>
      </c>
      <c r="L61" s="274">
        <f t="shared" si="21"/>
        <v>-134980</v>
      </c>
      <c r="M61" s="274">
        <f t="shared" si="21"/>
        <v>32490</v>
      </c>
      <c r="N61" s="274">
        <f t="shared" si="21"/>
        <v>-2045</v>
      </c>
      <c r="O61" s="274">
        <f t="shared" si="21"/>
        <v>-13529</v>
      </c>
      <c r="P61" s="274">
        <f t="shared" si="21"/>
        <v>13450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8"/>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8"/>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8"/>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8"/>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8" t="s">
        <v>555</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8"/>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8"/>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7">
        <f>MIN(BS!C62,MAX(G81:K81))</f>
        <v>4.556624013737947E-3</v>
      </c>
      <c r="D79" s="26"/>
      <c r="E79" s="238"/>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8"/>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8"/>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39"/>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2.8080955132963274E-2</v>
      </c>
      <c r="D85" s="72"/>
      <c r="E85" s="238"/>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0.4</v>
      </c>
      <c r="E88" s="241"/>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1"/>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41"/>
      <c r="G90" s="152">
        <f t="shared" ref="G90:Q90" si="37">IF(G$4="","",G88/(G19*scaling_factor/Common_Shares))</f>
        <v>0.802771942106555</v>
      </c>
      <c r="H90" s="152">
        <f t="shared" si="37"/>
        <v>0.95224103171010732</v>
      </c>
      <c r="I90" s="152">
        <f t="shared" si="37"/>
        <v>2.0236284515684848</v>
      </c>
      <c r="J90" s="152">
        <f t="shared" si="37"/>
        <v>-9.2310454764934455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6.1538461538461542E-2</v>
      </c>
      <c r="E92" s="241"/>
      <c r="G92" s="22">
        <f t="shared" ref="G92:Q92" si="38">IF(G$4="","",(G88*(1-dividend_tax_rate))/Market_Price)</f>
        <v>6.1538461538461542E-2</v>
      </c>
      <c r="H92" s="22">
        <f t="shared" si="38"/>
        <v>8.7692307692307681E-2</v>
      </c>
      <c r="I92" s="22">
        <f t="shared" si="38"/>
        <v>5.8461538461538461E-2</v>
      </c>
      <c r="J92" s="22">
        <f t="shared" si="38"/>
        <v>5.8461538461538461E-2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-4.3202912543968686E-2</v>
      </c>
      <c r="D95" s="26"/>
      <c r="E95" s="238"/>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8"/>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5980230</v>
      </c>
      <c r="D100" s="25"/>
      <c r="E100" s="242"/>
      <c r="F100" s="25"/>
      <c r="G100" s="277">
        <f t="shared" ref="G100:Q100" si="41">IF(G$4="","",G104+G103)</f>
        <v>5980230</v>
      </c>
      <c r="H100" s="277">
        <f t="shared" si="41"/>
        <v>6513924</v>
      </c>
      <c r="I100" s="277">
        <f t="shared" si="41"/>
        <v>7175340</v>
      </c>
      <c r="J100" s="277">
        <f t="shared" si="41"/>
        <v>6871846</v>
      </c>
      <c r="K100" s="277">
        <f t="shared" si="41"/>
        <v>7154673</v>
      </c>
      <c r="L100" s="277">
        <f t="shared" si="41"/>
        <v>6220758</v>
      </c>
      <c r="M100" s="277">
        <f t="shared" si="41"/>
        <v>4494090</v>
      </c>
      <c r="N100" s="277">
        <f t="shared" si="41"/>
        <v>4616329</v>
      </c>
      <c r="O100" s="277">
        <f t="shared" si="41"/>
        <v>4436810</v>
      </c>
      <c r="P100" s="277">
        <f t="shared" si="41"/>
        <v>4445187</v>
      </c>
      <c r="Q100" s="277" t="str">
        <f t="shared" si="41"/>
        <v/>
      </c>
    </row>
    <row r="101" spans="1:17" ht="15.75" customHeight="1">
      <c r="A101" s="10"/>
      <c r="B101" s="90" t="s">
        <v>179</v>
      </c>
      <c r="C101" s="288">
        <f>BS!C4</f>
        <v>124515</v>
      </c>
      <c r="D101" s="86"/>
      <c r="E101" s="243"/>
      <c r="F101" s="86"/>
      <c r="G101" s="289">
        <f>IF(G$4="","",Data!D77)</f>
        <v>89430</v>
      </c>
      <c r="H101" s="289">
        <f>IF(H$4="","",Data!E77)</f>
        <v>75868</v>
      </c>
      <c r="I101" s="289">
        <f>IF(I$4="","",Data!F77)</f>
        <v>51007</v>
      </c>
      <c r="J101" s="289">
        <f>IF(J$4="","",Data!G77)</f>
        <v>37326</v>
      </c>
      <c r="K101" s="289">
        <f>IF(K$4="","",Data!H77)</f>
        <v>50182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220637</v>
      </c>
      <c r="D102" s="86"/>
      <c r="E102" s="243"/>
      <c r="F102" s="86"/>
      <c r="G102" s="289">
        <f>IF(G$4="","",Data!D78)</f>
        <v>230288</v>
      </c>
      <c r="H102" s="289">
        <f>IF(H$4="","",Data!E78)</f>
        <v>268243</v>
      </c>
      <c r="I102" s="289">
        <f>IF(I$4="","",Data!F78)</f>
        <v>303542</v>
      </c>
      <c r="J102" s="289">
        <f>IF(J$4="","",Data!G78)</f>
        <v>234924</v>
      </c>
      <c r="K102" s="289">
        <f>IF(K$4="","",Data!H78)</f>
        <v>260626</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3235494</v>
      </c>
      <c r="D103" s="25"/>
      <c r="E103" s="242"/>
      <c r="F103" s="25"/>
      <c r="G103" s="277">
        <f>Data!C79</f>
        <v>3235494</v>
      </c>
      <c r="H103" s="277">
        <f>Data!D79</f>
        <v>3603411</v>
      </c>
      <c r="I103" s="277">
        <f>Data!E79</f>
        <v>4383277</v>
      </c>
      <c r="J103" s="277">
        <f>Data!F79</f>
        <v>4045470</v>
      </c>
      <c r="K103" s="277">
        <f>Data!G79</f>
        <v>4119837</v>
      </c>
      <c r="L103" s="277">
        <f>Data!H79</f>
        <v>3549446</v>
      </c>
      <c r="M103" s="277">
        <f>Data!I79</f>
        <v>1072340</v>
      </c>
      <c r="N103" s="277">
        <f>Data!J79</f>
        <v>1042829</v>
      </c>
      <c r="O103" s="277">
        <f>Data!K79</f>
        <v>945690</v>
      </c>
      <c r="P103" s="277">
        <f>Data!L79</f>
        <v>903190</v>
      </c>
      <c r="Q103" s="277" t="str">
        <f>Data!M79</f>
        <v/>
      </c>
    </row>
    <row r="104" spans="1:17" ht="15.75" customHeight="1">
      <c r="A104" s="10"/>
      <c r="B104" s="25" t="s">
        <v>28</v>
      </c>
      <c r="C104" s="287">
        <f>BS!G27</f>
        <v>2744736</v>
      </c>
      <c r="D104" s="25"/>
      <c r="E104" s="242"/>
      <c r="F104" s="25"/>
      <c r="G104" s="277">
        <f>Data!C80</f>
        <v>2744736</v>
      </c>
      <c r="H104" s="277">
        <f>Data!D80</f>
        <v>2910513</v>
      </c>
      <c r="I104" s="277">
        <f>Data!E80</f>
        <v>2792063</v>
      </c>
      <c r="J104" s="277">
        <f>Data!F80</f>
        <v>2826376</v>
      </c>
      <c r="K104" s="277">
        <f>Data!G80</f>
        <v>3034836</v>
      </c>
      <c r="L104" s="277">
        <f>Data!H80</f>
        <v>2671312</v>
      </c>
      <c r="M104" s="277">
        <f>Data!I80</f>
        <v>3421750</v>
      </c>
      <c r="N104" s="277">
        <f>Data!J80</f>
        <v>3573500</v>
      </c>
      <c r="O104" s="277">
        <f>Data!K80</f>
        <v>3491120</v>
      </c>
      <c r="P104" s="277">
        <f>Data!L80</f>
        <v>3541997</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2"/>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42"/>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6.4267473661376968</v>
      </c>
      <c r="H112" s="257">
        <f>IF(H$4="","",Data!D$22/Data!D15)</f>
        <v>4.9912338880302505</v>
      </c>
      <c r="I112" s="257">
        <f>IF(I$4="","",Data!E$22/Data!E15)</f>
        <v>15.279529081637241</v>
      </c>
      <c r="J112" s="257">
        <f>IF(J$4="","",Data!F$22/Data!F15)</f>
        <v>50.960218818380746</v>
      </c>
      <c r="K112" s="257">
        <f>IF(K$4="","",Data!G$22/Data!G15)</f>
        <v>4.6954125641381221</v>
      </c>
      <c r="L112" s="257">
        <f>IF(L$4="","",Data!H$22/Data!H15)</f>
        <v>19.049512004947168</v>
      </c>
      <c r="M112" s="257">
        <f>IF(M$4="","",Data!I$22/Data!I15)</f>
        <v>1.608003580415801</v>
      </c>
      <c r="N112" s="257">
        <f>IF(N$4="","",Data!J$22/Data!J15)</f>
        <v>1.9435635049369142</v>
      </c>
      <c r="O112" s="257">
        <f>IF(O$4="","",Data!K$22/Data!K15)</f>
        <v>1.738263372035328</v>
      </c>
      <c r="P112" s="257">
        <f>IF(P$4="","",Data!L$22/Data!L15)</f>
        <v>1.5089927779708801</v>
      </c>
      <c r="Q112" s="257" t="str">
        <f>IF(Q$4="","",Data!M$22/Data!M15)</f>
        <v/>
      </c>
    </row>
    <row r="113" spans="1:17" ht="15.75" customHeight="1">
      <c r="A113" s="10"/>
      <c r="B113" s="2" t="s">
        <v>304</v>
      </c>
      <c r="C113" s="151"/>
      <c r="E113" s="241"/>
      <c r="G113" s="257">
        <f>IF(G$4="","",Data!C$22/G19)</f>
        <v>5.2283584800136307</v>
      </c>
      <c r="H113" s="257">
        <f>IF(H$4="","",Data!D$22/H19)</f>
        <v>4.7904188402603074</v>
      </c>
      <c r="I113" s="257">
        <f>IF(I$4="","",Data!E$22/I19)</f>
        <v>15.5984034336013</v>
      </c>
      <c r="J113" s="257">
        <f>IF(J$4="","",Data!F$22/J19)</f>
        <v>-48.77011380918006</v>
      </c>
      <c r="K113" s="257">
        <f>IF(K$4="","",Data!G$22/K19)</f>
        <v>-14.244625442796201</v>
      </c>
      <c r="L113" s="257">
        <f>IF(L$4="","",Data!H$22/L19)</f>
        <v>6.7925307026374071</v>
      </c>
      <c r="M113" s="257">
        <f>IF(M$4="","",Data!I$22/M19)</f>
        <v>1.7069263797631746</v>
      </c>
      <c r="N113" s="257">
        <f>IF(N$4="","",Data!J$22/N19)</f>
        <v>1.94016300804173</v>
      </c>
      <c r="O113" s="257">
        <f>IF(O$4="","",Data!K$22/O19)</f>
        <v>1.6928845901081653</v>
      </c>
      <c r="P113" s="257">
        <f>IF(P$4="","",Data!L$22/P19)</f>
        <v>1.5492297932237664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41"/>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41"/>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5"/>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4"/>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0.39691383072584235</v>
      </c>
      <c r="D123" s="26"/>
      <c r="E123" s="238"/>
      <c r="F123" s="26"/>
      <c r="G123" s="159">
        <f t="shared" ref="G123:Q123" si="48">IF(G$4="","",G14*$C$3/Common_Shares*Exchange_Rate)</f>
        <v>0.49827351831749306</v>
      </c>
      <c r="H123" s="159">
        <f t="shared" si="48"/>
        <v>0.59858794256780801</v>
      </c>
      <c r="I123" s="159">
        <f t="shared" si="48"/>
        <v>0.18778150687961892</v>
      </c>
      <c r="J123" s="159">
        <f t="shared" si="48"/>
        <v>-4.1165434724339464E-2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6.1063666265514203E-2</v>
      </c>
      <c r="D124" s="26"/>
      <c r="E124" s="238"/>
      <c r="F124" s="26"/>
      <c r="G124" s="74">
        <f t="shared" ref="G124" si="49">IF(G$4="","",G123/Market_Price)</f>
        <v>7.6657464356537391E-2</v>
      </c>
      <c r="H124" s="74">
        <f t="shared" ref="H124" si="50">IF(H$4="","",H123/Market_Price)</f>
        <v>9.2090452702739689E-2</v>
      </c>
      <c r="I124" s="74">
        <f t="shared" ref="I124" si="51">IF(I$4="","",I123/Market_Price)</f>
        <v>2.8889462596864448E-2</v>
      </c>
      <c r="J124" s="74">
        <f t="shared" ref="J124" si="52">IF(J$4="","",J123/Market_Price)</f>
        <v>-6.333143803744533E-3</v>
      </c>
      <c r="K124" s="74">
        <f t="shared" ref="K124" si="53">IF(K$4="","",K123/Market_Price)</f>
        <v>-3.152418398124112E-2</v>
      </c>
      <c r="L124" s="74">
        <f t="shared" ref="L124" si="54">IF(L$4="","",L123/Market_Price)</f>
        <v>5.533489374626735E-2</v>
      </c>
      <c r="M124" s="74">
        <f t="shared" ref="M124" si="55">IF(M$4="","",M123/Market_Price)</f>
        <v>0.14795520462288819</v>
      </c>
      <c r="N124" s="74">
        <f t="shared" ref="N124" si="56">IF(N$4="","",N123/Market_Price)</f>
        <v>0.12204159170840694</v>
      </c>
      <c r="O124" s="74">
        <f t="shared" ref="O124" si="57">IF(O$4="","",O123/Market_Price)</f>
        <v>0.13722875400976869</v>
      </c>
      <c r="P124" s="74">
        <f t="shared" ref="P124" si="58">IF(P$4="","",P123/Market_Price)</f>
        <v>0.13379482563277015</v>
      </c>
      <c r="Q124" s="74" t="str">
        <f t="shared" ref="Q124" si="59">IF(Q$4="","",Q123/Market_Price)</f>
        <v/>
      </c>
    </row>
    <row r="125" spans="1:17" ht="15.75" customHeight="1">
      <c r="B125" s="2" t="s">
        <v>306</v>
      </c>
      <c r="C125" s="151"/>
      <c r="G125" s="22">
        <f>IF(G$4="","",(Data!C47*$C$3)/(Market_Price*Common_Shares))</f>
        <v>6.2363226837981449E-2</v>
      </c>
      <c r="H125" s="22">
        <f>IF(H$4="","",(Data!D47*$C$3)/(Market_Price*Common_Shares))</f>
        <v>8.8385327061762262E-2</v>
      </c>
      <c r="I125" s="22">
        <f>IF(I$4="","",(Data!E47*$C$3)/(Market_Price*Common_Shares))</f>
        <v>2.949236787064256E-2</v>
      </c>
      <c r="J125" s="22">
        <f>IF(J$4="","",(Data!F47*$C$3)/(Market_Price*Common_Shares))</f>
        <v>6.0609658129473993E-3</v>
      </c>
      <c r="K125" s="22">
        <f>IF(K$4="","",(Data!G47*$C$3)/(Market_Price*Common_Shares))</f>
        <v>9.5635939774975268E-2</v>
      </c>
      <c r="L125" s="22">
        <f>IF(L$4="","",(Data!H47*$C$3)/(Market_Price*Common_Shares))</f>
        <v>1.9730897284984915E-2</v>
      </c>
      <c r="M125" s="22">
        <f>IF(M$4="","",(Data!I47*$C$3)/(Market_Price*Common_Shares))</f>
        <v>0.15705726334810874</v>
      </c>
      <c r="N125" s="22">
        <f>IF(N$4="","",(Data!J47*$C$3)/(Market_Price*Common_Shares))</f>
        <v>0.1218280653416926</v>
      </c>
      <c r="O125" s="22">
        <f>IF(O$4="","",(Data!K47*$C$3)/(Market_Price*Common_Shares))</f>
        <v>0.13364628555157756</v>
      </c>
      <c r="P125" s="22">
        <f>IF(P$4="","",(Data!L47*$C$3)/(Market_Price*Common_Shares))</f>
        <v>0.13736244008284204</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429</v>
      </c>
      <c r="H3" s="106" t="s">
        <v>418</v>
      </c>
    </row>
    <row r="4" spans="2:15">
      <c r="B4" s="97" t="s">
        <v>394</v>
      </c>
      <c r="C4" s="282">
        <f>Normalized_FCF!C19</f>
        <v>230211.62257446788</v>
      </c>
      <c r="D4" t="str">
        <f>Reporting_currency</f>
        <v>HKD</v>
      </c>
      <c r="E4" s="135" t="s">
        <v>436</v>
      </c>
      <c r="F4" s="282">
        <f>-BS!G31</f>
        <v>-2134310</v>
      </c>
      <c r="G4" t="str">
        <f>Reporting_currency</f>
        <v>HKD</v>
      </c>
      <c r="H4" s="315" t="s">
        <v>395</v>
      </c>
      <c r="I4" s="312">
        <f>Normalized_FCF!C4</f>
        <v>8198140.75</v>
      </c>
      <c r="J4" s="312"/>
    </row>
    <row r="5" spans="2:15">
      <c r="B5" s="187" t="s">
        <v>105</v>
      </c>
      <c r="C5" s="188">
        <f>Equity_Cost</f>
        <v>7.2499999999999995E-2</v>
      </c>
      <c r="E5" s="135" t="s">
        <v>437</v>
      </c>
      <c r="F5" s="282">
        <f>BS!D66</f>
        <v>384381.13325594889</v>
      </c>
      <c r="G5" t="str">
        <f>Reporting_currency</f>
        <v>HKD</v>
      </c>
      <c r="H5" s="315" t="s">
        <v>397</v>
      </c>
      <c r="I5" s="312">
        <f>Normalized_FCF!C7</f>
        <v>-494493</v>
      </c>
      <c r="J5" s="312"/>
    </row>
    <row r="6" spans="2:15" ht="13.25" customHeight="1">
      <c r="B6" s="136" t="s">
        <v>194</v>
      </c>
      <c r="C6" s="290">
        <f>(C4*(1+Terminal_Growth))/(Equity_Cost-Terminal_Growth)</f>
        <v>3175332.7251650742</v>
      </c>
      <c r="D6" t="str">
        <f>Reporting_currency</f>
        <v>HKD</v>
      </c>
      <c r="E6" s="187" t="s">
        <v>438</v>
      </c>
      <c r="F6" s="291">
        <f>BS!H42</f>
        <v>63482.2</v>
      </c>
      <c r="G6" t="str">
        <f>Reporting_currency</f>
        <v>HKD</v>
      </c>
      <c r="H6" s="315" t="s">
        <v>420</v>
      </c>
      <c r="I6" s="312">
        <f>I7+I8</f>
        <v>-78679.881332559497</v>
      </c>
      <c r="J6" s="312"/>
      <c r="N6" s="135"/>
    </row>
    <row r="7" spans="2:15" ht="12.75" customHeight="1">
      <c r="B7" s="325" t="s">
        <v>435</v>
      </c>
      <c r="C7" s="282">
        <f>F7</f>
        <v>-1686446.6667440513</v>
      </c>
      <c r="E7" s="140" t="s">
        <v>429</v>
      </c>
      <c r="F7" s="290">
        <f>SUM(F4:F6)</f>
        <v>-1686446.6667440513</v>
      </c>
      <c r="G7" t="str">
        <f>Reporting_currency</f>
        <v>HKD</v>
      </c>
      <c r="H7" s="319" t="s">
        <v>421</v>
      </c>
      <c r="I7" s="320">
        <f>Normalized_FCF!C9</f>
        <v>0</v>
      </c>
      <c r="J7" s="320"/>
      <c r="N7" s="311"/>
      <c r="O7" s="311"/>
    </row>
    <row r="8" spans="2:15" ht="13.15">
      <c r="B8" s="136" t="s">
        <v>431</v>
      </c>
      <c r="C8" s="290">
        <f>C6+C7</f>
        <v>1488886.058421023</v>
      </c>
      <c r="D8" t="str">
        <f>Reporting_currency</f>
        <v>HKD</v>
      </c>
      <c r="E8" s="140" t="s">
        <v>469</v>
      </c>
      <c r="F8" s="108">
        <f>FV_adjustments*scaling_factor/Common_Shares*Exchange_Rate</f>
        <v>-2.9076464486309033</v>
      </c>
      <c r="G8" s="301" t="str">
        <f>Market_currency</f>
        <v>HKD</v>
      </c>
      <c r="H8" s="321" t="str">
        <f>Normalized_FCF!B10</f>
        <v>Net Interest Income</v>
      </c>
      <c r="I8" s="320">
        <f>Normalized_FCF!C10</f>
        <v>-78679.881332559497</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4.556624013737947E-3</v>
      </c>
      <c r="J9" s="313"/>
      <c r="N9" s="311"/>
      <c r="O9" s="311"/>
    </row>
    <row r="10" spans="2:15" ht="13.5" thickTop="1">
      <c r="B10" s="107" t="s">
        <v>432</v>
      </c>
      <c r="C10" s="290">
        <f>C8*Exchange_Rate</f>
        <v>1488886.058421023</v>
      </c>
      <c r="D10" t="str">
        <f>Market_currency</f>
        <v>HKD</v>
      </c>
      <c r="H10" s="315" t="s">
        <v>399</v>
      </c>
      <c r="I10" s="313">
        <f>Normalized_FCF!C41</f>
        <v>0.16500000000000001</v>
      </c>
      <c r="N10" s="311"/>
      <c r="O10" s="311"/>
    </row>
    <row r="11" spans="2:15" ht="13.15">
      <c r="B11" s="136" t="s">
        <v>430</v>
      </c>
      <c r="C11" s="108">
        <f>(C10*scaling_factor)/Common_Shares</f>
        <v>2.5670270786220946</v>
      </c>
      <c r="D11" t="str">
        <f>Market_currency</f>
        <v>HKD</v>
      </c>
      <c r="E11" s="314"/>
      <c r="I11" s="314"/>
      <c r="J11" s="314"/>
    </row>
    <row r="13" spans="2:15" ht="13.9">
      <c r="B13" s="34" t="s">
        <v>433</v>
      </c>
      <c r="C13" s="35"/>
      <c r="D13" s="35"/>
      <c r="E13" s="35"/>
      <c r="F13" s="35"/>
      <c r="G13" s="35"/>
      <c r="H13" s="35"/>
      <c r="I13" s="35"/>
      <c r="J13" s="35"/>
      <c r="K13" s="35"/>
      <c r="L13" s="35"/>
    </row>
    <row r="14" spans="2:15" ht="13.15">
      <c r="B14" s="106" t="s">
        <v>401</v>
      </c>
      <c r="C14" s="316" t="s">
        <v>409</v>
      </c>
      <c r="E14" s="106" t="s">
        <v>401</v>
      </c>
      <c r="F14" s="316" t="str">
        <f>IF(F17=C17,"I","II")</f>
        <v>II</v>
      </c>
      <c r="H14" s="106" t="s">
        <v>417</v>
      </c>
    </row>
    <row r="15" spans="2:15">
      <c r="B15" s="139" t="s">
        <v>426</v>
      </c>
      <c r="C15" s="148">
        <f>Scenarios!C45</f>
        <v>5</v>
      </c>
      <c r="E15" s="315" t="str">
        <f>IF(F14="II","Change year","Terminal Year")</f>
        <v>Change year</v>
      </c>
      <c r="F15" s="317">
        <f>IF(F14="II",_xlfn.CEILING.MATH(C15/2),C15+1)</f>
        <v>3</v>
      </c>
      <c r="H15" s="97" t="s">
        <v>434</v>
      </c>
      <c r="I15" s="126">
        <f>Terminal_Growth</f>
        <v>0</v>
      </c>
      <c r="J15" s="126"/>
    </row>
    <row r="16" spans="2:15" ht="13.25" customHeight="1">
      <c r="B16" s="114" t="s">
        <v>427</v>
      </c>
      <c r="C16" s="147">
        <f>Scenarios!C46</f>
        <v>2.0194760895005201E-2</v>
      </c>
      <c r="E16" s="315" t="s">
        <v>402</v>
      </c>
      <c r="F16" s="318">
        <f>Scenarios!C41</f>
        <v>0.02</v>
      </c>
    </row>
    <row r="17" spans="1:21" ht="13.25" customHeight="1">
      <c r="B17" s="315" t="s">
        <v>396</v>
      </c>
      <c r="C17" s="313">
        <f>Normalized_FCF!C32</f>
        <v>0.89099809462634716</v>
      </c>
      <c r="E17" s="315" t="s">
        <v>403</v>
      </c>
      <c r="F17" s="318">
        <f>Scenarios!C40</f>
        <v>0.86799999999999999</v>
      </c>
      <c r="H17" s="106" t="s">
        <v>416</v>
      </c>
    </row>
    <row r="18" spans="1:21" ht="13.25" customHeight="1">
      <c r="B18" s="315" t="s">
        <v>428</v>
      </c>
      <c r="C18" s="313">
        <f>Normalized_FCF!C81-Normalized_FCF!C82</f>
        <v>0</v>
      </c>
      <c r="E18" s="315" t="s">
        <v>428</v>
      </c>
      <c r="F18" s="144">
        <f>IF(F14="II",C18/2,C18)</f>
        <v>0</v>
      </c>
      <c r="H18" s="140" t="s">
        <v>97</v>
      </c>
      <c r="I18" s="129">
        <f>(L52+FV_adjustments)*Exchange_Rate/Common_Shares*scaling_factor</f>
        <v>6.7890685811450933</v>
      </c>
      <c r="J18" t="str">
        <f>Market_currency</f>
        <v>HKD</v>
      </c>
    </row>
    <row r="19" spans="1:21">
      <c r="L19" s="282"/>
    </row>
    <row r="20" spans="1:21" ht="13.15">
      <c r="A20" s="121" t="s">
        <v>401</v>
      </c>
      <c r="B20" s="121" t="s">
        <v>98</v>
      </c>
      <c r="C20" s="121" t="s">
        <v>395</v>
      </c>
      <c r="D20" s="121" t="s">
        <v>102</v>
      </c>
      <c r="E20" s="121" t="s">
        <v>396</v>
      </c>
      <c r="F20" s="121" t="s">
        <v>397</v>
      </c>
      <c r="G20" s="121" t="s">
        <v>548</v>
      </c>
      <c r="H20" s="121" t="str">
        <f>B18</f>
        <v>D&amp;A - maint. Capx</v>
      </c>
      <c r="I20" s="121" t="s">
        <v>423</v>
      </c>
      <c r="J20" s="121" t="s">
        <v>535</v>
      </c>
      <c r="K20" s="121" t="s">
        <v>536</v>
      </c>
      <c r="L20" s="122" t="s">
        <v>424</v>
      </c>
    </row>
    <row r="21" spans="1:21">
      <c r="A21" s="309" t="str">
        <f t="shared" ref="A21:A50" si="0">IF($C$15&lt;B21,"",IF(B21&gt;=$F$15,"II","I"))</f>
        <v>I</v>
      </c>
      <c r="B21" s="117">
        <v>1</v>
      </c>
      <c r="C21" s="284">
        <f>I4*(1+D21)</f>
        <v>8363700.2422298491</v>
      </c>
      <c r="D21" s="306">
        <f t="shared" ref="D21:D50" si="1">IF(A21="",0,IF(A21="I",$C$16,$F$16))</f>
        <v>2.0194760895005201E-2</v>
      </c>
      <c r="E21" s="306">
        <f>$C$17</f>
        <v>0.89099809462634716</v>
      </c>
      <c r="F21" s="284">
        <f>I5*(1+D21)</f>
        <v>-504479.16789925384</v>
      </c>
      <c r="G21" s="284">
        <f>C21*(1-E21)+F21+$I$6</f>
        <v>328500.21314532199</v>
      </c>
      <c r="H21" s="306">
        <f t="shared" ref="H21:H50" si="2">IF(A21="",0%,IF(A21="I",$C$18,$F$18))</f>
        <v>0</v>
      </c>
      <c r="I21" s="284">
        <f>(G21*(1-$I$10)+C21*(H21-$I$9))</f>
        <v>236187.44060889343</v>
      </c>
      <c r="J21" s="306">
        <f>I21/C4-1</f>
        <v>2.5957933694214397E-2</v>
      </c>
      <c r="K21" s="119">
        <f t="shared" ref="K21:K50" si="3">IF($C$15&lt;B21,0,1/(1+Equity_Cost)^B21)</f>
        <v>0.93240093240093236</v>
      </c>
      <c r="L21" s="284">
        <f t="shared" ref="L21:L50" si="4">I21*K21</f>
        <v>220221.38984512206</v>
      </c>
    </row>
    <row r="22" spans="1:21">
      <c r="A22" s="309" t="str">
        <f t="shared" si="0"/>
        <v>I</v>
      </c>
      <c r="B22" s="117">
        <v>2</v>
      </c>
      <c r="C22" s="284">
        <f t="shared" ref="C22:C50" si="5">IF(A22="",0,C21*(1+D22))</f>
        <v>8532603.1688191779</v>
      </c>
      <c r="D22" s="306">
        <f t="shared" si="1"/>
        <v>2.0194760895005201E-2</v>
      </c>
      <c r="E22" s="306">
        <f t="shared" ref="E22:E50" si="6">IF($C$15&lt;B22,0,IF(B22&gt;=$F$15,$F$17,$C$17))</f>
        <v>0.89099809462634716</v>
      </c>
      <c r="F22" s="284">
        <f t="shared" ref="F22:F50" si="7">IF(A22="",0,F21*(1+D22))</f>
        <v>-514667.00407149049</v>
      </c>
      <c r="G22" s="284">
        <f t="shared" ref="G22:G50" si="8">IF(A22="", 0,C22*(1-E22)+F22+$I$6)</f>
        <v>336723.11779450835</v>
      </c>
      <c r="H22" s="306">
        <f t="shared" si="2"/>
        <v>0</v>
      </c>
      <c r="I22" s="284">
        <f>IF(A22="", 0,G22*(1-$I$10)+C22*(H22-$I$9))</f>
        <v>242283.93885967648</v>
      </c>
      <c r="J22" s="306">
        <f>IF(A22="", 0,I22/I21-1)</f>
        <v>2.5812118692959407E-2</v>
      </c>
      <c r="K22" s="119">
        <f t="shared" si="3"/>
        <v>0.86937149874212816</v>
      </c>
      <c r="L22" s="284">
        <f t="shared" si="4"/>
        <v>210634.75104758309</v>
      </c>
    </row>
    <row r="23" spans="1:21">
      <c r="A23" s="309" t="str">
        <f t="shared" si="0"/>
        <v>II</v>
      </c>
      <c r="B23" s="117">
        <v>3</v>
      </c>
      <c r="C23" s="284">
        <f t="shared" si="5"/>
        <v>8703255.2321955618</v>
      </c>
      <c r="D23" s="306">
        <f t="shared" si="1"/>
        <v>0.02</v>
      </c>
      <c r="E23" s="306">
        <f t="shared" si="6"/>
        <v>0.86799999999999999</v>
      </c>
      <c r="F23" s="284">
        <f t="shared" si="7"/>
        <v>-524960.3441529203</v>
      </c>
      <c r="G23" s="284">
        <f t="shared" si="8"/>
        <v>545189.4651643344</v>
      </c>
      <c r="H23" s="306">
        <f t="shared" si="2"/>
        <v>0</v>
      </c>
      <c r="I23" s="284">
        <f t="shared" ref="I23:I50" si="9">IF(A23="", 0,G23*(1-$I$10)+C23*(H23-$I$9))</f>
        <v>415575.74162350647</v>
      </c>
      <c r="J23" s="306">
        <f t="shared" ref="J23:J50" si="10">IF(A23="", 0,I23/I22-1)</f>
        <v>0.71524263465187987</v>
      </c>
      <c r="K23" s="119">
        <f t="shared" si="3"/>
        <v>0.81060279602995633</v>
      </c>
      <c r="L23" s="284">
        <f t="shared" si="4"/>
        <v>336866.85812223703</v>
      </c>
      <c r="N23" s="282"/>
      <c r="O23" s="282"/>
      <c r="P23" s="282"/>
      <c r="Q23" s="282"/>
      <c r="R23" s="282"/>
      <c r="S23" s="282"/>
      <c r="T23" s="282"/>
      <c r="U23" s="282"/>
    </row>
    <row r="24" spans="1:21">
      <c r="A24" s="309" t="str">
        <f t="shared" si="0"/>
        <v>II</v>
      </c>
      <c r="B24" s="117">
        <v>4</v>
      </c>
      <c r="C24" s="284">
        <f t="shared" si="5"/>
        <v>8877320.3368394729</v>
      </c>
      <c r="D24" s="306">
        <f t="shared" si="1"/>
        <v>0.02</v>
      </c>
      <c r="E24" s="306">
        <f t="shared" si="6"/>
        <v>0.86799999999999999</v>
      </c>
      <c r="F24" s="284">
        <f t="shared" si="7"/>
        <v>-535459.55103597871</v>
      </c>
      <c r="G24" s="284">
        <f t="shared" si="8"/>
        <v>557666.85209427227</v>
      </c>
      <c r="H24" s="306">
        <f t="shared" si="2"/>
        <v>0</v>
      </c>
      <c r="I24" s="284">
        <f t="shared" si="9"/>
        <v>425201.21047423029</v>
      </c>
      <c r="J24" s="306">
        <f t="shared" si="10"/>
        <v>2.3161767847951209E-2</v>
      </c>
      <c r="K24" s="119">
        <f t="shared" si="3"/>
        <v>0.75580680282513402</v>
      </c>
      <c r="L24" s="284">
        <f t="shared" si="4"/>
        <v>321369.96744590485</v>
      </c>
      <c r="N24" s="282"/>
      <c r="O24" s="282"/>
      <c r="P24" s="282"/>
      <c r="Q24" s="282"/>
      <c r="R24" s="282"/>
      <c r="S24" s="282"/>
      <c r="T24" s="282"/>
      <c r="U24" s="282"/>
    </row>
    <row r="25" spans="1:21">
      <c r="A25" s="309" t="str">
        <f t="shared" si="0"/>
        <v>II</v>
      </c>
      <c r="B25" s="117">
        <v>5</v>
      </c>
      <c r="C25" s="284">
        <f t="shared" si="5"/>
        <v>9054866.7435762621</v>
      </c>
      <c r="D25" s="306">
        <f t="shared" si="1"/>
        <v>0.02</v>
      </c>
      <c r="E25" s="306">
        <f t="shared" si="6"/>
        <v>0.86799999999999999</v>
      </c>
      <c r="F25" s="284">
        <f t="shared" si="7"/>
        <v>-546168.74205669831</v>
      </c>
      <c r="G25" s="284">
        <f t="shared" si="8"/>
        <v>570393.78676280892</v>
      </c>
      <c r="H25" s="306">
        <f t="shared" si="2"/>
        <v>0</v>
      </c>
      <c r="I25" s="284">
        <f t="shared" si="9"/>
        <v>435019.1887019687</v>
      </c>
      <c r="J25" s="306">
        <f t="shared" si="10"/>
        <v>2.3090193503420009E-2</v>
      </c>
      <c r="K25" s="119">
        <f t="shared" si="3"/>
        <v>0.70471496766912267</v>
      </c>
      <c r="L25" s="284">
        <f t="shared" si="4"/>
        <v>306564.53350155585</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422</v>
      </c>
      <c r="B51" s="323">
        <f>C15+1</f>
        <v>6</v>
      </c>
      <c r="C51" s="284">
        <f>VLOOKUP(C15,B21:C50,2,FALSE)*(1+Terminal_Growth)</f>
        <v>9054866.7435762621</v>
      </c>
      <c r="D51" s="308">
        <f>Terminal_Growth</f>
        <v>0</v>
      </c>
      <c r="E51" s="308">
        <f>F17</f>
        <v>0.86799999999999999</v>
      </c>
      <c r="F51" s="284">
        <f>VLOOKUP(C15,B21:F50,5,FALSE)*(1+Terminal_Growth)</f>
        <v>-546168.74205669831</v>
      </c>
      <c r="G51" s="284">
        <f>C51*(1-E51)+F51+$I$6</f>
        <v>570393.78676280892</v>
      </c>
      <c r="H51" s="306">
        <f>F18</f>
        <v>0</v>
      </c>
      <c r="I51" s="284">
        <f>(G51*(1-$I$10)+C51*(H51-$I$9))/Equity_Cost</f>
        <v>6000264.6717512924</v>
      </c>
      <c r="J51" s="422">
        <f>(G51*(1-$I$10)+C51*(H51-$I$9))/VLOOKUP(C15,B21:I50,8,FALSE)-1</f>
        <v>0</v>
      </c>
      <c r="K51" s="119">
        <f>1/(1+Equity_Cost)^C15</f>
        <v>0.70471496766912267</v>
      </c>
      <c r="L51" s="284">
        <f>I51*K51</f>
        <v>4228476.3241593912</v>
      </c>
    </row>
    <row r="52" spans="1:21" ht="13.15">
      <c r="G52" s="111"/>
      <c r="H52" s="111"/>
      <c r="I52" s="111"/>
      <c r="J52" s="467" t="s">
        <v>425</v>
      </c>
      <c r="K52" s="467"/>
      <c r="L52" s="324">
        <f>SUM(L21:L51)</f>
        <v>5624133.8241217937</v>
      </c>
    </row>
    <row r="53" spans="1:21">
      <c r="C53" s="111"/>
    </row>
    <row r="54" spans="1:21" ht="13.15">
      <c r="B54" s="115" t="s">
        <v>108</v>
      </c>
      <c r="C54" s="128"/>
      <c r="D54" s="128"/>
      <c r="E54" s="113"/>
      <c r="F54" s="113"/>
      <c r="G54" s="113"/>
      <c r="H54" s="113"/>
      <c r="I54" s="113"/>
      <c r="J54" s="113"/>
      <c r="K54" s="113"/>
      <c r="L54" s="113"/>
    </row>
    <row r="55" spans="1:21" ht="13.15">
      <c r="A55" s="125">
        <f>L52</f>
        <v>5624133.8241217937</v>
      </c>
      <c r="B55" s="123">
        <f>C86</f>
        <v>0</v>
      </c>
      <c r="C55" s="123">
        <f>C85</f>
        <v>0.01</v>
      </c>
      <c r="D55" s="123">
        <f>C84</f>
        <v>0.02</v>
      </c>
      <c r="E55" s="123">
        <f>C83</f>
        <v>0.03</v>
      </c>
      <c r="F55" s="123">
        <f>C82</f>
        <v>0.04</v>
      </c>
      <c r="G55" s="123"/>
      <c r="H55" s="123"/>
      <c r="I55" s="123"/>
      <c r="J55" s="123"/>
      <c r="K55" s="123"/>
      <c r="L55" s="123"/>
    </row>
    <row r="56" spans="1:21" ht="13.15">
      <c r="A56" s="131">
        <v>5</v>
      </c>
      <c r="B56" s="118">
        <f t="dataTable" ref="B56:F65" dt2D="1" dtr="1" r1="C16" r2="C15"/>
        <v>5373619.2329866514</v>
      </c>
      <c r="C56" s="118">
        <v>5497056.4488840643</v>
      </c>
      <c r="D56" s="118">
        <v>5621694.4424392562</v>
      </c>
      <c r="E56" s="118">
        <v>5747533.213652215</v>
      </c>
      <c r="F56" s="118">
        <v>5874572.7625229498</v>
      </c>
      <c r="G56" s="302"/>
      <c r="H56" s="302"/>
      <c r="I56" s="302"/>
      <c r="J56" s="302"/>
      <c r="K56" s="302"/>
      <c r="L56" s="302"/>
    </row>
    <row r="57" spans="1:21" ht="13.15">
      <c r="A57" s="131">
        <v>6</v>
      </c>
      <c r="B57" s="118">
        <v>5467145.0579635147</v>
      </c>
      <c r="C57" s="118">
        <v>5592462.1429429594</v>
      </c>
      <c r="D57" s="118">
        <v>5718998.710745181</v>
      </c>
      <c r="E57" s="118">
        <v>5846754.7613701653</v>
      </c>
      <c r="F57" s="118">
        <v>5975730.2948179226</v>
      </c>
      <c r="G57" s="302"/>
      <c r="H57" s="302"/>
      <c r="I57" s="302"/>
      <c r="J57" s="302"/>
      <c r="K57" s="302"/>
      <c r="L57" s="302"/>
    </row>
    <row r="58" spans="1:21" ht="13.15">
      <c r="A58" s="131">
        <v>7</v>
      </c>
      <c r="B58" s="118">
        <v>5312220.6811542958</v>
      </c>
      <c r="C58" s="118">
        <v>5492418.8643652732</v>
      </c>
      <c r="D58" s="118">
        <v>5676113.7507732855</v>
      </c>
      <c r="E58" s="118">
        <v>5863339.45178595</v>
      </c>
      <c r="F58" s="118">
        <v>6054130.0788109051</v>
      </c>
      <c r="G58" s="302"/>
      <c r="H58" s="302"/>
      <c r="I58" s="302"/>
      <c r="J58" s="302"/>
      <c r="K58" s="302"/>
      <c r="L58" s="302"/>
    </row>
    <row r="59" spans="1:21" ht="13.15">
      <c r="A59" s="131">
        <v>8</v>
      </c>
      <c r="B59" s="118">
        <v>5395155.5415181462</v>
      </c>
      <c r="C59" s="118">
        <v>5577866.7339330092</v>
      </c>
      <c r="D59" s="118">
        <v>5764124.8880702872</v>
      </c>
      <c r="E59" s="118">
        <v>5953964.6129467599</v>
      </c>
      <c r="F59" s="118">
        <v>6147420.5175792277</v>
      </c>
      <c r="G59" s="302"/>
      <c r="H59" s="302"/>
      <c r="I59" s="302"/>
      <c r="J59" s="302"/>
      <c r="K59" s="302"/>
      <c r="L59" s="302"/>
    </row>
    <row r="60" spans="1:21" ht="13.15">
      <c r="A60" s="131">
        <v>9</v>
      </c>
      <c r="B60" s="118">
        <v>5245097.5888975412</v>
      </c>
      <c r="C60" s="118">
        <v>5478674.0036659241</v>
      </c>
      <c r="D60" s="118">
        <v>5719030.9543831721</v>
      </c>
      <c r="E60" s="118">
        <v>5966300.8943257071</v>
      </c>
      <c r="F60" s="118">
        <v>6220617.567549143</v>
      </c>
      <c r="G60" s="302"/>
      <c r="H60" s="302"/>
      <c r="I60" s="302"/>
      <c r="J60" s="302"/>
      <c r="K60" s="302"/>
      <c r="L60" s="302"/>
    </row>
    <row r="61" spans="1:21" ht="13.15">
      <c r="A61" s="131">
        <v>10</v>
      </c>
      <c r="B61" s="118">
        <v>5318640.8168270811</v>
      </c>
      <c r="C61" s="118">
        <v>5555203.3815577477</v>
      </c>
      <c r="D61" s="118">
        <v>5798636.5094443168</v>
      </c>
      <c r="E61" s="118">
        <v>6049074.4452762417</v>
      </c>
      <c r="F61" s="118">
        <v>6306652.7422725484</v>
      </c>
      <c r="G61" s="302"/>
      <c r="H61" s="302"/>
      <c r="I61" s="302"/>
      <c r="J61" s="302"/>
      <c r="K61" s="302"/>
      <c r="L61" s="302"/>
    </row>
    <row r="62" spans="1:21" ht="13.15">
      <c r="A62" s="131">
        <v>15</v>
      </c>
      <c r="B62" s="118">
        <v>5023321.2432679618</v>
      </c>
      <c r="C62" s="284">
        <v>5396961.8185033593</v>
      </c>
      <c r="D62" s="118">
        <v>5792108.8893085411</v>
      </c>
      <c r="E62" s="118">
        <v>6209816.4225565288</v>
      </c>
      <c r="F62" s="118">
        <v>6651179.8059659954</v>
      </c>
      <c r="G62" s="302"/>
      <c r="H62" s="302"/>
      <c r="I62" s="302"/>
      <c r="J62" s="302"/>
      <c r="K62" s="302"/>
      <c r="L62" s="302"/>
      <c r="M62" s="282"/>
      <c r="N62" s="282"/>
      <c r="O62" s="282"/>
      <c r="P62" s="282"/>
      <c r="Q62" s="282"/>
      <c r="R62" s="282"/>
      <c r="S62" s="282"/>
      <c r="T62" s="282"/>
      <c r="U62" s="282"/>
    </row>
    <row r="63" spans="1:21" ht="13.15">
      <c r="A63" s="132">
        <v>20</v>
      </c>
      <c r="B63" s="118">
        <v>4909228.6320150206</v>
      </c>
      <c r="C63" s="284">
        <v>5364061.1430426184</v>
      </c>
      <c r="D63" s="118">
        <v>5853599.8591909334</v>
      </c>
      <c r="E63" s="118">
        <v>6380231.8284840696</v>
      </c>
      <c r="F63" s="118">
        <v>6946485.60456766</v>
      </c>
      <c r="G63" s="302"/>
      <c r="H63" s="302"/>
      <c r="I63" s="302"/>
      <c r="J63" s="302"/>
      <c r="K63" s="302"/>
      <c r="L63" s="302"/>
      <c r="M63" s="282"/>
      <c r="N63" s="282"/>
      <c r="O63" s="282"/>
      <c r="P63" s="282"/>
      <c r="Q63" s="282"/>
      <c r="R63" s="282"/>
      <c r="S63" s="282"/>
      <c r="T63" s="282"/>
      <c r="U63" s="282"/>
    </row>
    <row r="64" spans="1:21" ht="13.15">
      <c r="A64" s="132">
        <v>25</v>
      </c>
      <c r="B64" s="118">
        <v>4641486.2301515881</v>
      </c>
      <c r="C64" s="284">
        <v>5187075.0610776981</v>
      </c>
      <c r="D64" s="118">
        <v>5789247.4213424828</v>
      </c>
      <c r="E64" s="118">
        <v>6453576.1043743286</v>
      </c>
      <c r="F64" s="118">
        <v>7186133.2801278103</v>
      </c>
      <c r="G64" s="302"/>
      <c r="H64" s="302"/>
      <c r="I64" s="302"/>
      <c r="J64" s="302"/>
      <c r="K64" s="302"/>
      <c r="L64" s="302"/>
      <c r="M64" s="282"/>
      <c r="N64" s="282"/>
      <c r="O64" s="282"/>
      <c r="P64" s="282"/>
      <c r="Q64" s="282"/>
      <c r="R64" s="282"/>
      <c r="S64" s="282"/>
      <c r="T64" s="282"/>
      <c r="U64" s="282"/>
    </row>
    <row r="65" spans="1:21" ht="13.15">
      <c r="A65" s="132">
        <v>30</v>
      </c>
      <c r="B65" s="118">
        <v>4519768.9639271349</v>
      </c>
      <c r="C65" s="284">
        <v>5118927.8479986088</v>
      </c>
      <c r="D65" s="118">
        <v>5790972.7175897965</v>
      </c>
      <c r="E65" s="118">
        <v>6544533.1775393505</v>
      </c>
      <c r="F65" s="118">
        <v>7389189.0565219279</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v>
      </c>
      <c r="C68" s="124">
        <f>C55</f>
        <v>0.01</v>
      </c>
      <c r="D68" s="124">
        <f>D55</f>
        <v>0.02</v>
      </c>
      <c r="E68" s="124">
        <f>E55</f>
        <v>0.03</v>
      </c>
      <c r="F68" s="124">
        <f>F55</f>
        <v>0.04</v>
      </c>
      <c r="G68" s="124"/>
      <c r="H68" s="124"/>
      <c r="I68" s="124"/>
      <c r="J68" s="124"/>
      <c r="K68" s="124"/>
      <c r="L68" s="124"/>
    </row>
    <row r="69" spans="1:21" ht="13.15">
      <c r="A69" s="131">
        <v>0</v>
      </c>
      <c r="B69" s="119">
        <f>C11</f>
        <v>2.5670270786220946</v>
      </c>
      <c r="C69" s="119">
        <f>C11</f>
        <v>2.5670270786220946</v>
      </c>
      <c r="D69" s="119">
        <f>C11</f>
        <v>2.5670270786220946</v>
      </c>
      <c r="E69" s="119">
        <f>C11</f>
        <v>2.5670270786220946</v>
      </c>
      <c r="F69" s="119">
        <f>C11</f>
        <v>2.5670270786220946</v>
      </c>
      <c r="G69" s="303"/>
      <c r="H69" s="303"/>
      <c r="I69" s="303"/>
      <c r="J69" s="303"/>
      <c r="K69" s="303"/>
      <c r="L69" s="303"/>
    </row>
    <row r="70" spans="1:21" ht="13.15">
      <c r="A70" s="131">
        <f>A56</f>
        <v>5</v>
      </c>
      <c r="B70" s="119">
        <f t="shared" ref="B70:F74" si="11">(B56+FV_adjustments)/Common_Shares*scaling_factor*Exchange_Rate</f>
        <v>6.3571498756157778</v>
      </c>
      <c r="C70" s="119">
        <f t="shared" si="11"/>
        <v>6.5699711818038571</v>
      </c>
      <c r="D70" s="119">
        <f t="shared" si="11"/>
        <v>6.7848627799027819</v>
      </c>
      <c r="E70" s="119">
        <f t="shared" si="11"/>
        <v>7.0018246699125335</v>
      </c>
      <c r="F70" s="119">
        <f t="shared" si="11"/>
        <v>7.2208568518331298</v>
      </c>
      <c r="G70" s="303"/>
      <c r="H70" s="303"/>
      <c r="I70" s="303"/>
      <c r="J70" s="303"/>
      <c r="K70" s="303"/>
      <c r="L70" s="303"/>
    </row>
    <row r="71" spans="1:21" ht="13.15">
      <c r="A71" s="131">
        <v>6</v>
      </c>
      <c r="B71" s="119">
        <f t="shared" si="11"/>
        <v>6.518400176744052</v>
      </c>
      <c r="C71" s="119">
        <f t="shared" si="11"/>
        <v>6.7344626139848032</v>
      </c>
      <c r="D71" s="119">
        <f t="shared" si="11"/>
        <v>6.952627593196631</v>
      </c>
      <c r="E71" s="119">
        <f t="shared" si="11"/>
        <v>7.1728951143795134</v>
      </c>
      <c r="F71" s="119">
        <f t="shared" si="11"/>
        <v>7.3952651775334663</v>
      </c>
      <c r="G71" s="303"/>
      <c r="H71" s="303"/>
      <c r="I71" s="303"/>
      <c r="J71" s="303"/>
      <c r="K71" s="303"/>
      <c r="L71" s="303"/>
    </row>
    <row r="72" spans="1:21" ht="13.15">
      <c r="A72" s="131">
        <f t="shared" ref="A72" si="12">A58</f>
        <v>7</v>
      </c>
      <c r="B72" s="119">
        <f t="shared" si="11"/>
        <v>6.2512910395749683</v>
      </c>
      <c r="C72" s="119">
        <f t="shared" si="11"/>
        <v>6.5619754020248715</v>
      </c>
      <c r="D72" s="119">
        <f t="shared" si="11"/>
        <v>6.8786885211697033</v>
      </c>
      <c r="E72" s="119">
        <f t="shared" si="11"/>
        <v>7.2014892093722702</v>
      </c>
      <c r="F72" s="119">
        <f t="shared" si="11"/>
        <v>7.5304362789954142</v>
      </c>
      <c r="G72" s="303"/>
      <c r="H72" s="303"/>
      <c r="I72" s="303"/>
      <c r="J72" s="303"/>
      <c r="K72" s="303"/>
      <c r="L72" s="303"/>
    </row>
    <row r="73" spans="1:21" ht="13.15">
      <c r="A73" s="131">
        <v>8</v>
      </c>
      <c r="B73" s="119">
        <f t="shared" si="11"/>
        <v>6.3942811838587588</v>
      </c>
      <c r="C73" s="119">
        <f t="shared" si="11"/>
        <v>6.7092982906706062</v>
      </c>
      <c r="D73" s="119">
        <f t="shared" si="11"/>
        <v>7.0304308062048184</v>
      </c>
      <c r="E73" s="119">
        <f t="shared" si="11"/>
        <v>7.3577384007650659</v>
      </c>
      <c r="F73" s="119">
        <f t="shared" si="11"/>
        <v>7.6912807446550575</v>
      </c>
      <c r="G73" s="303"/>
      <c r="H73" s="303"/>
      <c r="I73" s="303"/>
      <c r="J73" s="303"/>
      <c r="K73" s="303"/>
      <c r="L73" s="303"/>
    </row>
    <row r="74" spans="1:21" ht="13.15">
      <c r="A74" s="131">
        <f t="shared" ref="A74" si="13">A60</f>
        <v>9</v>
      </c>
      <c r="B74" s="119">
        <f t="shared" si="11"/>
        <v>6.1355623748800543</v>
      </c>
      <c r="C74" s="119">
        <f t="shared" si="11"/>
        <v>6.5382775311182586</v>
      </c>
      <c r="D74" s="119">
        <f t="shared" si="11"/>
        <v>6.9526831852893691</v>
      </c>
      <c r="E74" s="119">
        <f t="shared" si="11"/>
        <v>7.3790077035234258</v>
      </c>
      <c r="F74" s="119">
        <f t="shared" si="11"/>
        <v>7.8174816774163567</v>
      </c>
      <c r="G74" s="303"/>
      <c r="H74" s="303"/>
      <c r="I74" s="303"/>
      <c r="J74" s="303"/>
      <c r="K74" s="303"/>
      <c r="L74" s="303"/>
    </row>
    <row r="75" spans="1:21" ht="13.15">
      <c r="A75" s="131">
        <f t="shared" ref="A75:A79" si="14">A61</f>
        <v>10</v>
      </c>
      <c r="B75" s="119">
        <f t="shared" ref="B75:F79" si="15">(B61+FV_adjustments)/Common_Shares*scaling_factor*Exchange_Rate</f>
        <v>6.2623601620422349</v>
      </c>
      <c r="C75" s="119">
        <f t="shared" si="15"/>
        <v>6.6702238168983499</v>
      </c>
      <c r="D75" s="119">
        <f t="shared" si="15"/>
        <v>7.0899331879305496</v>
      </c>
      <c r="E75" s="119">
        <f t="shared" si="15"/>
        <v>7.5217197300629639</v>
      </c>
      <c r="F75" s="119">
        <f t="shared" si="15"/>
        <v>7.9658171541170937</v>
      </c>
      <c r="G75" s="303"/>
      <c r="H75" s="303"/>
      <c r="I75" s="303"/>
      <c r="J75" s="303"/>
      <c r="K75" s="303"/>
      <c r="L75" s="303"/>
    </row>
    <row r="76" spans="1:21" ht="13.15">
      <c r="A76" s="131">
        <f t="shared" si="14"/>
        <v>15</v>
      </c>
      <c r="B76" s="119">
        <f t="shared" si="15"/>
        <v>5.7531920239663412</v>
      </c>
      <c r="C76" s="119">
        <f t="shared" si="15"/>
        <v>6.3973954328681506</v>
      </c>
      <c r="D76" s="119">
        <f t="shared" si="15"/>
        <v>7.0786787487122345</v>
      </c>
      <c r="E76" s="119">
        <f t="shared" si="15"/>
        <v>7.7988591431268164</v>
      </c>
      <c r="F76" s="119">
        <f t="shared" si="15"/>
        <v>8.5598252024946575</v>
      </c>
      <c r="G76" s="303"/>
      <c r="H76" s="303"/>
      <c r="I76" s="303"/>
      <c r="J76" s="303"/>
      <c r="K76" s="303"/>
      <c r="L76" s="303"/>
    </row>
    <row r="77" spans="1:21" ht="13.15">
      <c r="A77" s="132">
        <f t="shared" si="14"/>
        <v>20</v>
      </c>
      <c r="B77" s="119">
        <f t="shared" si="15"/>
        <v>5.5564819930673988</v>
      </c>
      <c r="C77" s="119">
        <f t="shared" si="15"/>
        <v>6.3406705247833459</v>
      </c>
      <c r="D77" s="119">
        <f t="shared" si="15"/>
        <v>7.1846969251106598</v>
      </c>
      <c r="E77" s="119">
        <f t="shared" si="15"/>
        <v>8.0926767654734881</v>
      </c>
      <c r="F77" s="119">
        <f t="shared" si="15"/>
        <v>9.0689695908090489</v>
      </c>
      <c r="G77" s="303"/>
      <c r="H77" s="303"/>
      <c r="I77" s="303"/>
      <c r="J77" s="303"/>
      <c r="K77" s="303"/>
      <c r="L77" s="303"/>
    </row>
    <row r="78" spans="1:21" ht="13.15">
      <c r="A78" s="132">
        <f t="shared" si="14"/>
        <v>25</v>
      </c>
      <c r="B78" s="119">
        <f t="shared" si="15"/>
        <v>5.0948603721304409</v>
      </c>
      <c r="C78" s="119">
        <f t="shared" si="15"/>
        <v>6.03552422942143</v>
      </c>
      <c r="D78" s="119">
        <f t="shared" si="15"/>
        <v>7.0737452175585664</v>
      </c>
      <c r="E78" s="119">
        <f t="shared" si="15"/>
        <v>8.2191315342634468</v>
      </c>
      <c r="F78" s="119">
        <f t="shared" si="15"/>
        <v>9.4821523652815003</v>
      </c>
      <c r="G78" s="303"/>
      <c r="H78" s="303"/>
      <c r="I78" s="303"/>
      <c r="J78" s="303"/>
      <c r="K78" s="303"/>
      <c r="L78" s="303"/>
    </row>
    <row r="79" spans="1:21" ht="13.15">
      <c r="A79" s="132">
        <f t="shared" si="14"/>
        <v>30</v>
      </c>
      <c r="B79" s="119">
        <f t="shared" si="15"/>
        <v>4.885004475793159</v>
      </c>
      <c r="C79" s="119">
        <f t="shared" si="15"/>
        <v>5.918029851448563</v>
      </c>
      <c r="D79" s="119">
        <f t="shared" si="15"/>
        <v>7.0767198455769105</v>
      </c>
      <c r="E79" s="119">
        <f t="shared" si="15"/>
        <v>8.3759529837533027</v>
      </c>
      <c r="F79" s="119">
        <f t="shared" si="15"/>
        <v>9.8322460971195973</v>
      </c>
      <c r="G79" s="303"/>
      <c r="H79" s="303"/>
      <c r="I79" s="303"/>
      <c r="J79" s="303"/>
      <c r="K79" s="303"/>
      <c r="L79" s="303"/>
    </row>
    <row r="81" spans="2:12" ht="13.15">
      <c r="B81" s="153" t="s">
        <v>101</v>
      </c>
      <c r="C81" s="153" t="s">
        <v>110</v>
      </c>
      <c r="D81" s="153" t="s">
        <v>99</v>
      </c>
      <c r="E81" s="154" t="s">
        <v>100</v>
      </c>
      <c r="F81" s="154" t="s">
        <v>462</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7.2208568518331298</v>
      </c>
      <c r="F82" s="130">
        <f>Scenarios!F29</f>
        <v>0.05</v>
      </c>
      <c r="G82" s="304"/>
      <c r="H82" s="304"/>
      <c r="I82" s="304"/>
      <c r="J82" s="304"/>
      <c r="K82" s="304"/>
      <c r="L82" s="304"/>
    </row>
    <row r="83" spans="2:12">
      <c r="B83" s="120" t="str">
        <f>Scenarios!B22</f>
        <v>Optimistic</v>
      </c>
      <c r="C83" s="130">
        <f>Scenarios!C22</f>
        <v>0.03</v>
      </c>
      <c r="D83" s="133">
        <f>Scenarios!D22</f>
        <v>5</v>
      </c>
      <c r="E83" s="127">
        <f>INDEX(B$69:F$79, MATCH(D83, A$69:A$79, 0), MATCH(C83, B$68:F$68, 0))</f>
        <v>7.0018246699125335</v>
      </c>
      <c r="F83" s="130">
        <f>Scenarios!F22*(1-F$82-F$86)</f>
        <v>0.18</v>
      </c>
      <c r="G83" s="304"/>
      <c r="H83" s="304"/>
      <c r="I83" s="304"/>
      <c r="J83" s="304"/>
      <c r="K83" s="304"/>
      <c r="L83" s="304"/>
    </row>
    <row r="84" spans="2:12">
      <c r="B84" s="120" t="str">
        <f>Scenarios!B23</f>
        <v>Base</v>
      </c>
      <c r="C84" s="130">
        <f>Scenarios!C23</f>
        <v>0.02</v>
      </c>
      <c r="D84" s="133">
        <f>Scenarios!D23</f>
        <v>5</v>
      </c>
      <c r="E84" s="127">
        <f>INDEX(B$69:F$79, MATCH(D84, A$69:A$79, 0), MATCH(C84, B$68:F$68, 0))</f>
        <v>6.7848627799027819</v>
      </c>
      <c r="F84" s="130">
        <f>Scenarios!F23*(1-F$82-F$86)</f>
        <v>0.53999999999999992</v>
      </c>
      <c r="G84" s="304"/>
      <c r="H84" s="304"/>
      <c r="I84" s="304"/>
      <c r="J84" s="304"/>
      <c r="K84" s="304"/>
      <c r="L84" s="304"/>
    </row>
    <row r="85" spans="2:12">
      <c r="B85" s="120" t="str">
        <f>Scenarios!B24</f>
        <v>Pessimistic</v>
      </c>
      <c r="C85" s="130">
        <f>Scenarios!C24</f>
        <v>0.01</v>
      </c>
      <c r="D85" s="133">
        <f>Scenarios!D24</f>
        <v>5</v>
      </c>
      <c r="E85" s="127">
        <f>INDEX(B$69:F$79, MATCH(D85, A$69:A$79, 0), MATCH(C85, B$68:F$68, 0))</f>
        <v>6.5699711818038571</v>
      </c>
      <c r="F85" s="130">
        <f>Scenarios!F24*(1-F$82-F$86)</f>
        <v>0.18</v>
      </c>
      <c r="G85" s="304"/>
      <c r="H85" s="304"/>
      <c r="I85" s="304"/>
      <c r="J85" s="304"/>
      <c r="K85" s="304"/>
      <c r="L85" s="304"/>
    </row>
    <row r="86" spans="2:12">
      <c r="B86" s="120" t="str">
        <f>Scenarios!B30</f>
        <v>Devil's advocate</v>
      </c>
      <c r="C86" s="130">
        <f>Scenarios!C30</f>
        <v>0</v>
      </c>
      <c r="D86" s="133">
        <f>Scenarios!D30</f>
        <v>5</v>
      </c>
      <c r="E86" s="127">
        <f>INDEX(B$69:F$79, MATCH(D86, A$69:A$79, 0), MATCH(C86, B$68:F$68, 0))</f>
        <v>6.3571498756157778</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549</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HKD</v>
      </c>
      <c r="D6" s="468"/>
      <c r="E6" s="468"/>
      <c r="F6" s="468"/>
      <c r="G6" s="468"/>
    </row>
    <row r="7" spans="2:7" ht="12.75" customHeight="1">
      <c r="B7" s="97" t="s">
        <v>232</v>
      </c>
      <c r="C7" s="455">
        <f>Normalized_FCF!G8</f>
        <v>398162</v>
      </c>
      <c r="D7" s="468"/>
      <c r="E7" s="468"/>
      <c r="F7" s="468"/>
      <c r="G7" s="468"/>
    </row>
    <row r="8" spans="2:7">
      <c r="B8" s="97" t="s">
        <v>63</v>
      </c>
      <c r="C8" s="455">
        <f>Normalized_FCF!G19</f>
        <v>289000.65016124537</v>
      </c>
      <c r="D8" s="468"/>
      <c r="E8" s="468"/>
      <c r="F8" s="468"/>
      <c r="G8" s="468"/>
    </row>
    <row r="9" spans="2:7">
      <c r="B9" s="97" t="s">
        <v>54</v>
      </c>
      <c r="C9" s="455">
        <f>Normalized_FCF!C19</f>
        <v>230211.62257446788</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3.3358728201447585E-2</v>
      </c>
      <c r="D12" s="468"/>
      <c r="E12" s="468"/>
      <c r="F12" s="468"/>
      <c r="G12" s="468"/>
    </row>
    <row r="13" spans="2:7">
      <c r="B13" s="135" t="s">
        <v>127</v>
      </c>
      <c r="C13" s="255">
        <f ca="1">(Normalized_FCF!G8/OFFSET(Normalized_FCF!G8, 0, $C$4))^(1/$C$4) - 1</f>
        <v>0.35590966478967423</v>
      </c>
      <c r="D13" s="468"/>
      <c r="E13" s="468"/>
      <c r="F13" s="468"/>
      <c r="G13" s="468"/>
    </row>
    <row r="14" spans="2:7">
      <c r="B14" s="97" t="s">
        <v>63</v>
      </c>
      <c r="C14" s="255">
        <f ca="1">(Normalized_FCF!G19/OFFSET(Normalized_FCF!G19, 0, $C$4))^(1/$C$4) - 1</f>
        <v>0.62894902211793369</v>
      </c>
      <c r="D14" s="468"/>
      <c r="E14" s="468"/>
      <c r="F14" s="468"/>
      <c r="G14" s="468"/>
    </row>
    <row r="16" spans="2:7" ht="13.9">
      <c r="B16" s="34" t="s">
        <v>458</v>
      </c>
      <c r="C16" s="35"/>
      <c r="D16" s="35"/>
      <c r="E16" s="35"/>
      <c r="F16" s="35"/>
      <c r="G16" s="35"/>
    </row>
    <row r="17" spans="2:7" ht="13.15">
      <c r="B17" s="106" t="s">
        <v>126</v>
      </c>
      <c r="E17" s="225" t="s">
        <v>251</v>
      </c>
    </row>
    <row r="18" spans="2:7" ht="12.75" customHeight="1">
      <c r="B18" s="139" t="s">
        <v>111</v>
      </c>
      <c r="C18" s="137">
        <v>5</v>
      </c>
      <c r="E18" s="458" t="s">
        <v>550</v>
      </c>
      <c r="F18" s="326"/>
    </row>
    <row r="19" spans="2:7">
      <c r="E19" s="326"/>
      <c r="F19" s="326"/>
    </row>
    <row r="20" spans="2:7" ht="13.15">
      <c r="B20" s="106" t="s">
        <v>455</v>
      </c>
      <c r="E20" s="326"/>
      <c r="F20" s="326"/>
    </row>
    <row r="21" spans="2:7" ht="13.15">
      <c r="B21" s="153" t="s">
        <v>441</v>
      </c>
      <c r="C21" s="153" t="s">
        <v>380</v>
      </c>
      <c r="D21" s="153" t="s">
        <v>453</v>
      </c>
      <c r="E21" s="154" t="str">
        <f>"Value per share ("&amp;Market_currency&amp;")"</f>
        <v>Value per share (HKD)</v>
      </c>
      <c r="F21" s="154" t="s">
        <v>454</v>
      </c>
      <c r="G21" s="154" t="s">
        <v>462</v>
      </c>
    </row>
    <row r="22" spans="2:7">
      <c r="B22" s="309" t="s">
        <v>450</v>
      </c>
      <c r="C22" s="331">
        <v>0.03</v>
      </c>
      <c r="D22" s="332">
        <f>C18</f>
        <v>5</v>
      </c>
      <c r="E22" s="333">
        <f>DCF!E83</f>
        <v>7.0018246699125335</v>
      </c>
      <c r="F22" s="335">
        <f>1-F23-F24</f>
        <v>0.2</v>
      </c>
      <c r="G22" s="335">
        <f>F22*(1-F$29-F$30)</f>
        <v>0.18</v>
      </c>
    </row>
    <row r="23" spans="2:7">
      <c r="B23" s="309" t="s">
        <v>442</v>
      </c>
      <c r="C23" s="331">
        <v>0.02</v>
      </c>
      <c r="D23" s="332">
        <f>C18</f>
        <v>5</v>
      </c>
      <c r="E23" s="333">
        <f>DCF!E84</f>
        <v>6.7848627799027819</v>
      </c>
      <c r="F23" s="334">
        <v>0.6</v>
      </c>
      <c r="G23" s="335">
        <f t="shared" ref="G23:G24" si="0">F23*(1-F$29-F$30)</f>
        <v>0.53999999999999992</v>
      </c>
    </row>
    <row r="24" spans="2:7">
      <c r="B24" s="309" t="s">
        <v>451</v>
      </c>
      <c r="C24" s="331">
        <v>0.01</v>
      </c>
      <c r="D24" s="332">
        <f>C18</f>
        <v>5</v>
      </c>
      <c r="E24" s="333">
        <f>DCF!E85</f>
        <v>6.5699711818038571</v>
      </c>
      <c r="F24" s="334">
        <v>0.2</v>
      </c>
      <c r="G24" s="335">
        <f t="shared" si="0"/>
        <v>0.18</v>
      </c>
    </row>
    <row r="25" spans="2:7">
      <c r="B25" s="141" t="s">
        <v>456</v>
      </c>
      <c r="C25" s="449">
        <f>E23*F23+E24*F24+E22*F22</f>
        <v>6.7852768382849469</v>
      </c>
      <c r="D25" s="141" t="str">
        <f>Market_currency</f>
        <v>HKD</v>
      </c>
      <c r="G25" s="149"/>
    </row>
    <row r="27" spans="2:7" ht="13.15">
      <c r="B27" s="106" t="s">
        <v>457</v>
      </c>
    </row>
    <row r="28" spans="2:7" ht="13.15">
      <c r="B28" s="153" t="s">
        <v>441</v>
      </c>
      <c r="C28" s="153" t="s">
        <v>380</v>
      </c>
      <c r="D28" s="153" t="s">
        <v>453</v>
      </c>
      <c r="E28" s="154" t="str">
        <f>"Value per share ("&amp;Market_currency&amp;")"</f>
        <v>Value per share (HKD)</v>
      </c>
      <c r="F28" s="154" t="s">
        <v>454</v>
      </c>
      <c r="G28" s="154" t="s">
        <v>462</v>
      </c>
    </row>
    <row r="29" spans="2:7">
      <c r="B29" s="309" t="s">
        <v>449</v>
      </c>
      <c r="C29" s="331">
        <v>0.04</v>
      </c>
      <c r="D29" s="332">
        <f>C18</f>
        <v>5</v>
      </c>
      <c r="E29" s="333">
        <f>DCF!E82</f>
        <v>7.2208568518331298</v>
      </c>
      <c r="F29" s="334">
        <v>0.05</v>
      </c>
      <c r="G29" s="335">
        <f>F29</f>
        <v>0.05</v>
      </c>
    </row>
    <row r="30" spans="2:7">
      <c r="B30" s="322" t="s">
        <v>452</v>
      </c>
      <c r="C30" s="331">
        <v>0</v>
      </c>
      <c r="D30" s="332">
        <f>C18</f>
        <v>5</v>
      </c>
      <c r="E30" s="333">
        <f>DCF!E86</f>
        <v>6.3571498756157778</v>
      </c>
      <c r="F30" s="334">
        <v>0.05</v>
      </c>
      <c r="G30" s="335">
        <f>F30</f>
        <v>0.05</v>
      </c>
    </row>
    <row r="31" spans="2:7">
      <c r="E31" s="336"/>
      <c r="F31" s="336"/>
    </row>
    <row r="32" spans="2:7" ht="13.15">
      <c r="B32" s="145" t="s">
        <v>461</v>
      </c>
    </row>
    <row r="33" spans="2:7">
      <c r="B33" s="97" t="s">
        <v>463</v>
      </c>
      <c r="C33" s="155">
        <f>Normalized_FCF!C88*(1-dividend_tax_rate)</f>
        <v>0.4</v>
      </c>
      <c r="D33" t="str">
        <f>Market_currency</f>
        <v>HKD</v>
      </c>
      <c r="E33" s="97" t="s">
        <v>460</v>
      </c>
      <c r="F33" s="222">
        <f>Holding_Period</f>
        <v>2</v>
      </c>
    </row>
    <row r="34" spans="2:7">
      <c r="B34" s="97" t="s">
        <v>233</v>
      </c>
      <c r="C34" s="146">
        <f>Market_Price</f>
        <v>6.5</v>
      </c>
      <c r="D34" t="str">
        <f>Market_currency</f>
        <v>HKD</v>
      </c>
      <c r="E34" s="97" t="s">
        <v>459</v>
      </c>
      <c r="F34" s="337">
        <f>RATE(Holding_Period,$C$33,-C34,$C$36)</f>
        <v>8.2639604252926629E-2</v>
      </c>
    </row>
    <row r="35" spans="2:7">
      <c r="B35" s="97" t="s">
        <v>439</v>
      </c>
      <c r="C35" s="327">
        <f>DCF!C11</f>
        <v>2.5670270786220946</v>
      </c>
      <c r="D35" s="97" t="str">
        <f>Market_currency</f>
        <v>HKD</v>
      </c>
      <c r="E35" s="97" t="s">
        <v>459</v>
      </c>
      <c r="F35" s="337">
        <f>RATE(Holding_Period,$C$33,-C35,$C$36)</f>
        <v>0.75280838141092954</v>
      </c>
    </row>
    <row r="36" spans="2:7">
      <c r="B36" s="97" t="s">
        <v>440</v>
      </c>
      <c r="C36" s="328">
        <f>E22*G22+E23*G23+E24*G24+E30*G30+E29*G29</f>
        <v>6.7856494908288969</v>
      </c>
      <c r="D36" t="str">
        <f>Market_currency</f>
        <v>HKD</v>
      </c>
      <c r="E36" s="97" t="s">
        <v>465</v>
      </c>
      <c r="F36" s="338" t="s">
        <v>464</v>
      </c>
    </row>
    <row r="38" spans="2:7" ht="13.9">
      <c r="B38" s="34" t="s">
        <v>415</v>
      </c>
      <c r="C38" s="35"/>
      <c r="D38" s="35"/>
      <c r="E38" s="35"/>
      <c r="F38" s="35"/>
      <c r="G38" s="35"/>
    </row>
    <row r="39" spans="2:7" ht="13.15">
      <c r="B39" s="421" t="str">
        <f>IF(DCF!F14="II","2","1")&amp;"-stage DCF"</f>
        <v>2-stage DCF</v>
      </c>
      <c r="E39" s="225" t="s">
        <v>251</v>
      </c>
    </row>
    <row r="40" spans="2:7">
      <c r="B40" t="s">
        <v>403</v>
      </c>
      <c r="C40" s="138">
        <v>0.86799999999999999</v>
      </c>
      <c r="E40" s="97" t="s">
        <v>404</v>
      </c>
    </row>
    <row r="41" spans="2:7">
      <c r="B41" s="97" t="s">
        <v>402</v>
      </c>
      <c r="C41" s="138">
        <v>0.02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2.0194760895005201E-2</v>
      </c>
      <c r="D46" s="138"/>
      <c r="E46" s="224" t="s">
        <v>252</v>
      </c>
    </row>
    <row r="47" spans="2:7">
      <c r="B47" s="97" t="s">
        <v>96</v>
      </c>
      <c r="C47" s="146">
        <f>DCF!I18</f>
        <v>6.7890685811450933</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0.65608930105999008</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0.4</v>
      </c>
      <c r="D58" t="str">
        <f>Market_currency</f>
        <v>HKD</v>
      </c>
    </row>
    <row r="60" spans="2:7" ht="13.15">
      <c r="B60" s="106" t="s">
        <v>478</v>
      </c>
      <c r="E60" s="420"/>
    </row>
    <row r="61" spans="2:7" ht="13.15">
      <c r="B61" s="153" t="s">
        <v>467</v>
      </c>
      <c r="C61" s="153" t="s">
        <v>103</v>
      </c>
      <c r="D61" s="153" t="s">
        <v>104</v>
      </c>
      <c r="E61" s="154" t="str">
        <f>"Buy below ("&amp;Market_currency&amp;")"</f>
        <v>Buy below (HKD)</v>
      </c>
      <c r="F61" s="154" t="s">
        <v>459</v>
      </c>
      <c r="G61" s="154" t="s">
        <v>466</v>
      </c>
    </row>
    <row r="62" spans="2:7" ht="13.15">
      <c r="B62" s="309" t="s">
        <v>312</v>
      </c>
      <c r="C62" s="119">
        <f>PV(F62, Holding_Period, -C58, 0)</f>
        <v>0.51577503429355298</v>
      </c>
      <c r="D62" s="119">
        <f>C36/(1+F62)^Holding_Period</f>
        <v>3.7232644668471311</v>
      </c>
      <c r="E62" s="339">
        <f>C62+D62</f>
        <v>4.2390395011406845</v>
      </c>
      <c r="F62" s="308">
        <f>Thesis!E22</f>
        <v>0.35</v>
      </c>
      <c r="G62" s="448">
        <f>(1-E62/C36)</f>
        <v>0.37529347678951996</v>
      </c>
    </row>
    <row r="63" spans="2:7" ht="13.15">
      <c r="B63" s="309" t="s">
        <v>313</v>
      </c>
      <c r="C63" s="119">
        <f>PV(F63, Holding_Period, -C58, 0)</f>
        <v>0.57600000000000007</v>
      </c>
      <c r="D63" s="119">
        <f>C36/(1+F63)^Holding_Period</f>
        <v>4.3428156741304944</v>
      </c>
      <c r="E63" s="339">
        <f>C63+D63</f>
        <v>4.918815674130494</v>
      </c>
      <c r="F63" s="308">
        <f>Thesis!E23</f>
        <v>0.25</v>
      </c>
      <c r="G63" s="448">
        <f>(1-E63/C36)</f>
        <v>0.27511497893038994</v>
      </c>
    </row>
    <row r="65" spans="2:7" ht="13.15">
      <c r="B65" s="153" t="s">
        <v>468</v>
      </c>
      <c r="C65" s="153" t="s">
        <v>103</v>
      </c>
      <c r="D65" s="153" t="s">
        <v>104</v>
      </c>
      <c r="E65" s="154" t="str">
        <f>"Sell above ("&amp;Market_currency&amp;")"</f>
        <v>Sell above (HKD)</v>
      </c>
      <c r="F65" s="154" t="s">
        <v>459</v>
      </c>
      <c r="G65" s="154" t="s">
        <v>466</v>
      </c>
    </row>
    <row r="66" spans="2:7" ht="13.15">
      <c r="B66" s="309" t="s">
        <v>315</v>
      </c>
      <c r="C66" s="119">
        <f>PV(F66, Holding_Period, -C58, 0)</f>
        <v>0.67833709316953872</v>
      </c>
      <c r="D66" s="119">
        <f>C36/(1+F66)^Holding_Period</f>
        <v>5.4346813909467224</v>
      </c>
      <c r="E66" s="339">
        <f>C66+D66</f>
        <v>6.1130184841162611</v>
      </c>
      <c r="F66" s="308">
        <f>Thesis!E24</f>
        <v>0.1174</v>
      </c>
      <c r="G66" s="448">
        <f>(1-E66/C47)</f>
        <v>9.9579211632415787E-2</v>
      </c>
    </row>
    <row r="67" spans="2:7" ht="13.15">
      <c r="B67" s="309" t="s">
        <v>314</v>
      </c>
      <c r="C67" s="119">
        <f>PV(F67, Holding_Period, -C58, 0)</f>
        <v>0.72070897245722421</v>
      </c>
      <c r="D67" s="119">
        <f>C36/(1+F67)^Holding_Period</f>
        <v>5.8992502677806771</v>
      </c>
      <c r="E67" s="339">
        <f>C67+D67</f>
        <v>6.6199592402379013</v>
      </c>
      <c r="F67" s="308">
        <f>Thesis!E25</f>
        <v>7.2499999999999995E-2</v>
      </c>
      <c r="G67" s="448">
        <f>(1-E67/C36)</f>
        <v>2.4417743771606992E-2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335</v>
      </c>
      <c r="B2" s="352"/>
      <c r="C2" s="352"/>
      <c r="D2" s="352"/>
      <c r="E2" s="352"/>
      <c r="F2" s="352"/>
      <c r="G2" s="353"/>
      <c r="H2" s="353"/>
      <c r="I2" s="353"/>
      <c r="J2" s="353"/>
    </row>
    <row r="3" spans="1:10">
      <c r="E3" s="443" t="s">
        <v>547</v>
      </c>
      <c r="F3" s="444">
        <f>Thesis!F3</f>
        <v>45930</v>
      </c>
    </row>
    <row r="4" spans="1:10">
      <c r="B4" s="430" t="s">
        <v>539</v>
      </c>
      <c r="C4" s="431" t="str">
        <f>Thesis!C4</f>
        <v>大家乐集团</v>
      </c>
      <c r="D4" s="356"/>
      <c r="E4" s="442" t="s">
        <v>545</v>
      </c>
      <c r="F4" s="445" t="str">
        <f>Thesis!F4</f>
        <v>INT</v>
      </c>
    </row>
    <row r="5" spans="1:10">
      <c r="B5" s="350" t="s">
        <v>365</v>
      </c>
      <c r="C5" s="362" t="str">
        <f>Thesis!C5</f>
        <v>0341.HK</v>
      </c>
      <c r="E5" s="446" t="s">
        <v>546</v>
      </c>
      <c r="F5" s="447" t="str">
        <f>Thesis!F5</f>
        <v>Y</v>
      </c>
    </row>
    <row r="6" spans="1:10">
      <c r="B6" s="357" t="s">
        <v>337</v>
      </c>
      <c r="C6" s="359" t="str">
        <f>Thesis!C6</f>
        <v>CNS_01</v>
      </c>
      <c r="E6" s="361"/>
    </row>
    <row r="7" spans="1:10">
      <c r="B7" s="350" t="s">
        <v>367</v>
      </c>
      <c r="C7" s="359" t="str">
        <f>Market_currency</f>
        <v>HKD</v>
      </c>
      <c r="D7" s="361"/>
      <c r="E7" s="361"/>
    </row>
    <row r="8" spans="1:10">
      <c r="B8" s="358" t="s">
        <v>366</v>
      </c>
      <c r="C8" s="363">
        <f>Market_Price</f>
        <v>6.5</v>
      </c>
    </row>
    <row r="9" spans="1:10">
      <c r="B9" s="358" t="s">
        <v>362</v>
      </c>
      <c r="C9" s="360">
        <f>Common_Shares</f>
        <v>580004033</v>
      </c>
    </row>
    <row r="10" spans="1:10">
      <c r="B10" s="358" t="s">
        <v>368</v>
      </c>
      <c r="C10" s="364">
        <f>投资主题!C8*Common_Shares/1000000</f>
        <v>3770.0262145000002</v>
      </c>
      <c r="D10" s="350" t="s">
        <v>534</v>
      </c>
      <c r="E10" s="367">
        <f>Scenarios!F34</f>
        <v>8.2639604252926629E-2</v>
      </c>
    </row>
    <row r="11" spans="1:10">
      <c r="D11" s="356"/>
      <c r="E11" s="356"/>
    </row>
    <row r="12" spans="1:10" ht="24.5" customHeight="1">
      <c r="B12" s="473" t="s">
        <v>503</v>
      </c>
      <c r="C12" s="473"/>
      <c r="D12" s="473"/>
      <c r="E12" s="473"/>
      <c r="F12" s="473"/>
    </row>
    <row r="14" spans="1:10">
      <c r="B14" s="354" t="s">
        <v>371</v>
      </c>
      <c r="C14" s="355"/>
      <c r="D14" s="356"/>
    </row>
    <row r="15" spans="1:10">
      <c r="B15" s="350" t="s">
        <v>338</v>
      </c>
      <c r="C15" s="365" t="str">
        <f>Thesis!C15</f>
        <v>N</v>
      </c>
      <c r="D15" s="358" t="s">
        <v>369</v>
      </c>
      <c r="E15" s="351" t="str">
        <f>IF(E17=C7,C7,E17&amp;"/"&amp;C7)</f>
        <v>HKD</v>
      </c>
    </row>
    <row r="16" spans="1:10">
      <c r="B16" s="350" t="s">
        <v>339</v>
      </c>
      <c r="C16" s="365" t="str">
        <f>Thesis!C16</f>
        <v>N</v>
      </c>
      <c r="D16" s="358" t="s">
        <v>370</v>
      </c>
      <c r="E16" s="433">
        <f>Exchange_Rate</f>
        <v>1</v>
      </c>
    </row>
    <row r="17" spans="1:6">
      <c r="B17" s="350" t="s">
        <v>540</v>
      </c>
      <c r="C17" s="432">
        <f>Terminal_Growth</f>
        <v>0</v>
      </c>
      <c r="D17" s="358" t="s">
        <v>340</v>
      </c>
      <c r="E17" s="351" t="str">
        <f>Reporting_currency</f>
        <v>HKD</v>
      </c>
    </row>
    <row r="18" spans="1:6">
      <c r="B18" s="350" t="str">
        <f>"预期股权价值 ("&amp;C7&amp;") :"</f>
        <v>预期股权价值 (HKD) :</v>
      </c>
      <c r="C18" s="366">
        <f>C125</f>
        <v>6.7856494908288969</v>
      </c>
      <c r="D18" s="357" t="s">
        <v>363</v>
      </c>
      <c r="E18" s="434">
        <f>Thesis!E18</f>
        <v>6</v>
      </c>
    </row>
    <row r="19" spans="1:6">
      <c r="B19" s="357" t="s">
        <v>336</v>
      </c>
      <c r="C19" s="359" t="str">
        <f>IF(Scenarios!C50="Y",Scenarios!B50,"")&amp;IF(Scenarios!C51="Y",Scenarios!B51,"")&amp;IF(Scenarios!C52="Y",Scenarios!B52,"")&amp;" "&amp;IF(Scenarios!C53="Y",Scenarios!B53,"")</f>
        <v>Low Growth Asset Play</v>
      </c>
      <c r="D19" s="350" t="s">
        <v>364</v>
      </c>
      <c r="E19" s="435">
        <f>EOMONTH(EDATE(BS!C1,E18+2),0)</f>
        <v>45991</v>
      </c>
    </row>
    <row r="20" spans="1:6">
      <c r="D20" s="356"/>
      <c r="E20" s="356"/>
    </row>
    <row r="21" spans="1:6">
      <c r="B21" s="354" t="s">
        <v>498</v>
      </c>
      <c r="C21" s="368" t="str">
        <f>C138&amp;" ("&amp;Market_currency&amp;")"</f>
        <v xml:space="preserve"> (HKD)</v>
      </c>
      <c r="D21" s="369" t="s">
        <v>345</v>
      </c>
      <c r="E21" s="370">
        <f>Holding_Period</f>
        <v>2</v>
      </c>
    </row>
    <row r="22" spans="1:6">
      <c r="B22" s="350" t="s">
        <v>341</v>
      </c>
      <c r="C22" s="371">
        <f>E140</f>
        <v>4.2390395011406845</v>
      </c>
      <c r="D22" s="372" t="s">
        <v>445</v>
      </c>
      <c r="E22" s="373">
        <f>Thesis!E22</f>
        <v>0.35</v>
      </c>
    </row>
    <row r="23" spans="1:6">
      <c r="B23" s="350" t="s">
        <v>342</v>
      </c>
      <c r="C23" s="374">
        <f>E141</f>
        <v>4.918815674130494</v>
      </c>
      <c r="D23" s="372" t="s">
        <v>446</v>
      </c>
      <c r="E23" s="375">
        <f>Thesis!E23</f>
        <v>0.25</v>
      </c>
    </row>
    <row r="24" spans="1:6">
      <c r="B24" s="350" t="s">
        <v>344</v>
      </c>
      <c r="C24" s="374">
        <f>E144</f>
        <v>6.1130184841162611</v>
      </c>
      <c r="D24" s="372" t="s">
        <v>448</v>
      </c>
      <c r="E24" s="375">
        <f>Thesis!E24</f>
        <v>0.1174</v>
      </c>
    </row>
    <row r="25" spans="1:6">
      <c r="B25" s="350" t="s">
        <v>343</v>
      </c>
      <c r="C25" s="374">
        <f>E145</f>
        <v>6.6199592402379013</v>
      </c>
      <c r="D25" s="372" t="s">
        <v>447</v>
      </c>
      <c r="E25" s="375">
        <f>Thesis!E25</f>
        <v>7.2499999999999995E-2</v>
      </c>
    </row>
    <row r="27" spans="1:6" ht="13.9">
      <c r="A27" s="352" t="s">
        <v>346</v>
      </c>
      <c r="B27" s="352"/>
      <c r="C27" s="352"/>
      <c r="D27" s="352"/>
      <c r="E27" s="352"/>
      <c r="F27" s="352"/>
    </row>
    <row r="29" spans="1:6">
      <c r="B29" s="473" t="s">
        <v>504</v>
      </c>
      <c r="C29" s="473"/>
      <c r="D29" s="473"/>
      <c r="E29" s="473"/>
      <c r="F29" s="473"/>
    </row>
    <row r="30" spans="1:6" ht="24.5" customHeight="1">
      <c r="B30" s="476" t="s">
        <v>505</v>
      </c>
      <c r="C30" s="476"/>
      <c r="D30" s="476"/>
      <c r="E30" s="476"/>
      <c r="F30" s="476"/>
    </row>
    <row r="32" spans="1:6">
      <c r="B32" s="376" t="s">
        <v>372</v>
      </c>
      <c r="C32" s="377">
        <f>scaling_factor</f>
        <v>1000</v>
      </c>
    </row>
    <row r="33" spans="2:6">
      <c r="B33" s="469" t="s">
        <v>506</v>
      </c>
      <c r="C33" s="469"/>
      <c r="D33" s="469"/>
      <c r="E33" s="469"/>
      <c r="F33" s="469"/>
    </row>
    <row r="34" spans="2:6">
      <c r="B34" s="379" t="s">
        <v>197</v>
      </c>
      <c r="C34" s="380">
        <f>Normalized_FCF!C8</f>
        <v>399119.96227138769</v>
      </c>
      <c r="D34" s="350" t="str">
        <f>Reporting_currency</f>
        <v>HKD</v>
      </c>
    </row>
    <row r="35" spans="2:6">
      <c r="B35" s="379"/>
      <c r="C35" s="381"/>
    </row>
    <row r="36" spans="2:6" ht="24.5" customHeight="1">
      <c r="B36" s="469" t="s">
        <v>507</v>
      </c>
      <c r="C36" s="469"/>
      <c r="D36" s="469"/>
      <c r="E36" s="469"/>
      <c r="F36" s="469"/>
    </row>
    <row r="37" spans="2:6">
      <c r="B37" s="379" t="s">
        <v>199</v>
      </c>
      <c r="C37" s="380">
        <f>Normalized_FCF!C15</f>
        <v>378473</v>
      </c>
      <c r="D37" s="350" t="str">
        <f>Reporting_currency</f>
        <v>HKD</v>
      </c>
    </row>
    <row r="38" spans="2:6">
      <c r="B38" s="382" t="s">
        <v>200</v>
      </c>
      <c r="C38" s="380">
        <f>Normalized_FCF!C16</f>
        <v>-378473</v>
      </c>
      <c r="D38" s="350" t="str">
        <f>Reporting_currency</f>
        <v>HKD</v>
      </c>
    </row>
    <row r="40" spans="2:6">
      <c r="B40" s="469" t="s">
        <v>508</v>
      </c>
      <c r="C40" s="469"/>
      <c r="D40" s="469"/>
      <c r="E40" s="469"/>
      <c r="F40" s="469"/>
    </row>
    <row r="41" spans="2:6">
      <c r="B41" s="379" t="s">
        <v>202</v>
      </c>
      <c r="C41" s="380">
        <f>Normalized_FCF!C9</f>
        <v>0</v>
      </c>
      <c r="D41" s="350" t="str">
        <f>Reporting_currency</f>
        <v>HKD</v>
      </c>
    </row>
    <row r="43" spans="2:6">
      <c r="B43" s="469" t="s">
        <v>509</v>
      </c>
      <c r="C43" s="469"/>
      <c r="D43" s="469"/>
      <c r="E43" s="469"/>
      <c r="F43" s="469"/>
    </row>
    <row r="44" spans="2:6">
      <c r="B44" s="379" t="s">
        <v>267</v>
      </c>
      <c r="C44" s="383">
        <f>Normalized_FCF!C46</f>
        <v>6692.5186674405113</v>
      </c>
      <c r="D44" s="350" t="str">
        <f>Reporting_currency</f>
        <v>HKD</v>
      </c>
      <c r="E44" s="378"/>
      <c r="F44" s="378"/>
    </row>
    <row r="45" spans="2:6">
      <c r="B45" s="379" t="s">
        <v>268</v>
      </c>
      <c r="C45" s="383">
        <f>Normalized_FCF!C45</f>
        <v>-85372.400000000009</v>
      </c>
      <c r="D45" s="350" t="str">
        <f>Reporting_currency</f>
        <v>HKD</v>
      </c>
      <c r="E45" s="378"/>
      <c r="F45" s="378"/>
    </row>
    <row r="46" spans="2:6">
      <c r="B46" s="379" t="s">
        <v>203</v>
      </c>
      <c r="C46" s="380">
        <f>Normalized_FCF!C10</f>
        <v>-78679.881332559497</v>
      </c>
      <c r="D46" s="350" t="str">
        <f>Reporting_currency</f>
        <v>HKD</v>
      </c>
    </row>
    <row r="48" spans="2:6">
      <c r="B48" s="350" t="s">
        <v>510</v>
      </c>
    </row>
    <row r="49" spans="2:6">
      <c r="B49" s="379" t="s">
        <v>223</v>
      </c>
      <c r="C49" s="380">
        <f>Normalized_FCF!C13</f>
        <v>-37355.845009453624</v>
      </c>
      <c r="D49" s="350" t="str">
        <f>Reporting_currency</f>
        <v>HKD</v>
      </c>
    </row>
    <row r="51" spans="2:6">
      <c r="B51" s="469" t="s">
        <v>511</v>
      </c>
      <c r="C51" s="469"/>
      <c r="D51" s="469"/>
      <c r="E51" s="469"/>
      <c r="F51" s="469"/>
    </row>
    <row r="52" spans="2:6">
      <c r="B52" s="379" t="s">
        <v>501</v>
      </c>
      <c r="C52" s="380">
        <f>Normalized_FCF!C12</f>
        <v>-52872.613354906651</v>
      </c>
      <c r="D52" s="350" t="str">
        <f>Reporting_currency</f>
        <v>HKD</v>
      </c>
    </row>
    <row r="54" spans="2:6">
      <c r="B54" s="469" t="s">
        <v>512</v>
      </c>
      <c r="C54" s="475"/>
      <c r="D54" s="475"/>
      <c r="E54" s="475"/>
      <c r="F54" s="475"/>
    </row>
    <row r="55" spans="2:6">
      <c r="B55" s="379" t="s">
        <v>207</v>
      </c>
      <c r="C55" s="380">
        <f>Normalized_FCF!C17</f>
        <v>0</v>
      </c>
      <c r="D55" s="350" t="str">
        <f>Reporting_currency</f>
        <v>HKD</v>
      </c>
    </row>
    <row r="57" spans="2:6">
      <c r="B57" s="473" t="s">
        <v>513</v>
      </c>
      <c r="C57" s="473"/>
      <c r="D57" s="473"/>
      <c r="E57" s="473"/>
      <c r="F57" s="473"/>
    </row>
    <row r="58" spans="2:6">
      <c r="B58" s="473" t="s">
        <v>514</v>
      </c>
      <c r="C58" s="473"/>
      <c r="D58" s="473"/>
      <c r="E58" s="473"/>
      <c r="F58" s="473"/>
    </row>
    <row r="60" spans="2:6">
      <c r="B60" s="379" t="s">
        <v>373</v>
      </c>
      <c r="C60" s="380">
        <f>Normalized_FCF!G19</f>
        <v>289000.65016124537</v>
      </c>
      <c r="D60" s="350" t="str">
        <f>Reporting_currency</f>
        <v>HKD</v>
      </c>
    </row>
    <row r="61" spans="2:6">
      <c r="B61" s="379" t="s">
        <v>213</v>
      </c>
      <c r="C61" s="380">
        <f>Normalized_FCF!C19</f>
        <v>230211.62257446788</v>
      </c>
      <c r="D61" s="350" t="str">
        <f>Reporting_currency</f>
        <v>HKD</v>
      </c>
    </row>
    <row r="62" spans="2:6">
      <c r="B62" s="384" t="s">
        <v>302</v>
      </c>
      <c r="C62" s="385">
        <f>Normalized_FCF!C124</f>
        <v>6.1063666265514203E-2</v>
      </c>
      <c r="F62" s="386"/>
    </row>
    <row r="63" spans="2:6">
      <c r="B63" s="384" t="s">
        <v>332</v>
      </c>
      <c r="C63" s="385">
        <f>Normalized_FCF!C92</f>
        <v>6.1538461538461542E-2</v>
      </c>
      <c r="E63" s="379" t="s">
        <v>374</v>
      </c>
      <c r="F63" s="387">
        <f>Normalized_FCF!C90</f>
        <v>1.0077754137932506</v>
      </c>
    </row>
    <row r="65" spans="1:6">
      <c r="B65" s="376" t="s">
        <v>377</v>
      </c>
      <c r="C65" s="388" t="s">
        <v>327</v>
      </c>
      <c r="D65" s="388" t="s">
        <v>375</v>
      </c>
    </row>
    <row r="66" spans="1:6">
      <c r="B66" s="379" t="s">
        <v>326</v>
      </c>
      <c r="C66" s="385">
        <f>Normalized_FCF!C119</f>
        <v>0.1167471410506614</v>
      </c>
      <c r="D66" s="385">
        <f>Normalized_FCF!G119</f>
        <v>0.11792742550148552</v>
      </c>
    </row>
    <row r="67" spans="1:6">
      <c r="B67" s="389" t="str">
        <f>Normalized_FCF!B116</f>
        <v>Pre-tax Profit/Sales</v>
      </c>
      <c r="C67" s="390">
        <f>Normalized_FCF!C116</f>
        <v>3.9086921133773919E-2</v>
      </c>
      <c r="D67" s="390">
        <f>Normalized_FCF!G116</f>
        <v>3.7776339292914275E-2</v>
      </c>
    </row>
    <row r="68" spans="1:6">
      <c r="B68" s="389" t="str">
        <f>Normalized_FCF!B117</f>
        <v>Sales/Total Assets</v>
      </c>
      <c r="C68" s="391">
        <f>Normalized_FCF!C117</f>
        <v>1.3708738209065539</v>
      </c>
      <c r="D68" s="391">
        <f>Normalized_FCF!G117</f>
        <v>1.4327738230803833</v>
      </c>
    </row>
    <row r="69" spans="1:6">
      <c r="B69" s="389" t="str">
        <f>Normalized_FCF!B118</f>
        <v>Total Assets/Equity</v>
      </c>
      <c r="C69" s="391">
        <f>Normalized_FCF!C118</f>
        <v>2.1787997096988563</v>
      </c>
      <c r="D69" s="391">
        <f>Normalized_FCF!G118</f>
        <v>2.1787997096988563</v>
      </c>
    </row>
    <row r="71" spans="1:6" ht="13.9">
      <c r="A71" s="352" t="s">
        <v>481</v>
      </c>
      <c r="B71" s="352"/>
      <c r="C71" s="352"/>
      <c r="D71" s="352"/>
      <c r="E71" s="352"/>
      <c r="F71" s="352"/>
    </row>
    <row r="72" spans="1:6">
      <c r="A72" s="392"/>
    </row>
    <row r="73" spans="1:6">
      <c r="A73" s="393"/>
      <c r="B73" s="473" t="s">
        <v>515</v>
      </c>
      <c r="C73" s="473"/>
      <c r="D73" s="473"/>
      <c r="E73" s="473"/>
      <c r="F73" s="473"/>
    </row>
    <row r="74" spans="1:6">
      <c r="B74" s="476" t="s">
        <v>484</v>
      </c>
      <c r="C74" s="476"/>
      <c r="D74" s="476"/>
      <c r="E74" s="476"/>
      <c r="F74" s="476"/>
    </row>
    <row r="76" spans="1:6">
      <c r="B76" s="376" t="s">
        <v>372</v>
      </c>
    </row>
    <row r="77" spans="1:6">
      <c r="B77" s="473" t="s">
        <v>516</v>
      </c>
      <c r="C77" s="473"/>
      <c r="D77" s="473"/>
      <c r="E77" s="473"/>
      <c r="F77" s="473"/>
    </row>
    <row r="78" spans="1:6">
      <c r="B78" s="350" t="s">
        <v>215</v>
      </c>
      <c r="C78" s="380">
        <f>DCF!F4</f>
        <v>-2134310</v>
      </c>
      <c r="D78" s="350" t="str">
        <f>Reporting_currency</f>
        <v>HKD</v>
      </c>
    </row>
    <row r="79" spans="1:6">
      <c r="B79" s="379" t="s">
        <v>234</v>
      </c>
      <c r="C79" s="394">
        <f>C78*scaling_factor*Exchange_Rate/Common_Shares</f>
        <v>-3.679819240153456</v>
      </c>
      <c r="D79" s="350" t="str">
        <f>Market_currency</f>
        <v>HKD</v>
      </c>
    </row>
    <row r="80" spans="1:6">
      <c r="B80" s="389" t="s">
        <v>309</v>
      </c>
      <c r="C80" s="395">
        <f>IF(BS!G31/BS!G27&gt;300%,"nm",BS!G31/BS!G27)</f>
        <v>0.77760119734648436</v>
      </c>
    </row>
    <row r="81" spans="1:6">
      <c r="B81" s="389" t="s">
        <v>311</v>
      </c>
      <c r="C81" s="396">
        <f>IF(BS!C50&gt;30,"nm",BS!C50)</f>
        <v>5.3475400925918697</v>
      </c>
    </row>
    <row r="83" spans="1:6">
      <c r="B83" s="350" t="s">
        <v>517</v>
      </c>
    </row>
    <row r="84" spans="1:6">
      <c r="B84" s="350" t="s">
        <v>224</v>
      </c>
      <c r="C84" s="380">
        <f>DCF!F5</f>
        <v>384381.13325594889</v>
      </c>
      <c r="D84" s="350" t="str">
        <f>Reporting_currency</f>
        <v>HKD</v>
      </c>
    </row>
    <row r="85" spans="1:6">
      <c r="B85" s="389" t="s">
        <v>486</v>
      </c>
      <c r="C85" s="397">
        <f>BS!C66</f>
        <v>1053633</v>
      </c>
      <c r="D85" s="398" t="str">
        <f>Reporting_currency</f>
        <v>HKD</v>
      </c>
    </row>
    <row r="86" spans="1:6">
      <c r="B86" s="379" t="s">
        <v>235</v>
      </c>
      <c r="C86" s="394">
        <f>C84*scaling_factor*Exchange_Rate/Common_Shares</f>
        <v>0.66272148362104388</v>
      </c>
      <c r="D86" s="350" t="str">
        <f>Market_currency</f>
        <v>HKD</v>
      </c>
    </row>
    <row r="88" spans="1:6">
      <c r="B88" s="350" t="s">
        <v>518</v>
      </c>
    </row>
    <row r="89" spans="1:6">
      <c r="B89" s="350" t="s">
        <v>217</v>
      </c>
      <c r="C89" s="380">
        <f>DCF!F6</f>
        <v>63482.2</v>
      </c>
      <c r="D89" s="350" t="str">
        <f>Reporting_currency</f>
        <v>HKD</v>
      </c>
    </row>
    <row r="90" spans="1:6">
      <c r="B90" s="379" t="s">
        <v>236</v>
      </c>
      <c r="C90" s="394">
        <f>C89*scaling_factor*Exchange_Rate/Common_Shares</f>
        <v>0.10945130790150902</v>
      </c>
      <c r="D90" s="350" t="str">
        <f>Market_currency</f>
        <v>HKD</v>
      </c>
    </row>
    <row r="92" spans="1:6">
      <c r="B92" s="379" t="s">
        <v>485</v>
      </c>
      <c r="C92" s="394">
        <f>DCF!F8</f>
        <v>-2.9076464486309033</v>
      </c>
      <c r="D92" s="350" t="str">
        <f>Market_currency</f>
        <v>HKD</v>
      </c>
    </row>
    <row r="94" spans="1:6" ht="13.9">
      <c r="A94" s="352" t="s">
        <v>487</v>
      </c>
      <c r="B94" s="352"/>
      <c r="C94" s="352"/>
      <c r="D94" s="352"/>
      <c r="E94" s="352"/>
      <c r="F94" s="352"/>
    </row>
    <row r="95" spans="1:6">
      <c r="A95" s="392"/>
    </row>
    <row r="96" spans="1:6">
      <c r="A96" s="392"/>
      <c r="B96" s="473" t="s">
        <v>519</v>
      </c>
      <c r="C96" s="473"/>
      <c r="D96" s="473"/>
      <c r="E96" s="473"/>
      <c r="F96" s="473"/>
    </row>
    <row r="97" spans="1:6">
      <c r="A97" s="392"/>
      <c r="B97" s="476" t="s">
        <v>520</v>
      </c>
      <c r="C97" s="476"/>
      <c r="D97" s="476"/>
      <c r="E97" s="476"/>
      <c r="F97" s="476"/>
    </row>
    <row r="98" spans="1:6">
      <c r="A98" s="392"/>
      <c r="B98" s="476" t="s">
        <v>521</v>
      </c>
      <c r="C98" s="476"/>
      <c r="D98" s="476"/>
      <c r="E98" s="476"/>
      <c r="F98" s="476"/>
    </row>
    <row r="99" spans="1:6">
      <c r="A99" s="392"/>
    </row>
    <row r="100" spans="1:6">
      <c r="A100" s="392"/>
      <c r="B100" s="376" t="s">
        <v>372</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540</v>
      </c>
      <c r="C104" s="375">
        <v>0</v>
      </c>
    </row>
    <row r="105" spans="1:6">
      <c r="A105" s="392"/>
      <c r="C105" s="399"/>
    </row>
    <row r="106" spans="1:6">
      <c r="A106" s="392"/>
      <c r="B106" s="400" t="s">
        <v>376</v>
      </c>
      <c r="C106" s="399"/>
    </row>
    <row r="107" spans="1:6">
      <c r="A107" s="392"/>
      <c r="B107" s="473" t="s">
        <v>522</v>
      </c>
      <c r="C107" s="473"/>
      <c r="D107" s="473"/>
      <c r="E107" s="473"/>
      <c r="F107" s="473"/>
    </row>
    <row r="108" spans="1:6">
      <c r="A108" s="392"/>
      <c r="B108" s="473" t="s">
        <v>541</v>
      </c>
      <c r="C108" s="473"/>
      <c r="D108" s="473"/>
      <c r="E108" s="473"/>
      <c r="F108" s="473"/>
    </row>
    <row r="109" spans="1:6">
      <c r="A109" s="392"/>
    </row>
    <row r="110" spans="1:6">
      <c r="A110" s="392"/>
      <c r="B110" s="376" t="s">
        <v>494</v>
      </c>
    </row>
    <row r="111" spans="1:6">
      <c r="A111" s="392"/>
      <c r="B111" s="382" t="s">
        <v>491</v>
      </c>
      <c r="C111" s="401">
        <f>BS!D47</f>
        <v>-2.5047246524922007</v>
      </c>
      <c r="D111" s="350" t="str">
        <f>Market_currency</f>
        <v>HKD</v>
      </c>
    </row>
    <row r="112" spans="1:6">
      <c r="A112" s="392"/>
      <c r="B112" s="379" t="s">
        <v>378</v>
      </c>
      <c r="C112" s="401">
        <f>DCF!C11</f>
        <v>2.5670270786220946</v>
      </c>
      <c r="D112" s="350" t="str">
        <f>Market_currency</f>
        <v>HKD</v>
      </c>
    </row>
    <row r="113" spans="1:6">
      <c r="A113" s="392"/>
    </row>
    <row r="114" spans="1:6">
      <c r="A114" s="392"/>
      <c r="B114" s="473" t="s">
        <v>523</v>
      </c>
      <c r="C114" s="473"/>
      <c r="D114" s="473"/>
      <c r="E114" s="473"/>
      <c r="F114" s="473"/>
    </row>
    <row r="115" spans="1:6">
      <c r="A115" s="392"/>
    </row>
    <row r="116" spans="1:6">
      <c r="A116" s="392"/>
      <c r="B116" s="376" t="s">
        <v>495</v>
      </c>
    </row>
    <row r="117" spans="1:6">
      <c r="A117" s="392"/>
      <c r="B117" s="349" t="s">
        <v>379</v>
      </c>
      <c r="C117" s="349" t="s">
        <v>380</v>
      </c>
      <c r="D117" s="349" t="s">
        <v>99</v>
      </c>
      <c r="E117" s="349" t="s">
        <v>381</v>
      </c>
      <c r="F117" s="349" t="s">
        <v>382</v>
      </c>
    </row>
    <row r="118" spans="1:6">
      <c r="A118" s="392"/>
      <c r="B118" s="402" t="str">
        <f>DCF!B82</f>
        <v>Snowball Scenario</v>
      </c>
      <c r="C118" s="403">
        <f>DCF!C82</f>
        <v>0.04</v>
      </c>
      <c r="D118" s="404">
        <f>DCF!D82</f>
        <v>5</v>
      </c>
      <c r="E118" s="405" t="str">
        <f>ROUND(DCF!E82,2)&amp;" "&amp;Market_currency</f>
        <v>7.22 HKD</v>
      </c>
      <c r="F118" s="406">
        <f>DCF!F82</f>
        <v>0.05</v>
      </c>
    </row>
    <row r="119" spans="1:6">
      <c r="A119" s="392"/>
      <c r="B119" s="407" t="str">
        <f>DCF!B83</f>
        <v>Optimistic</v>
      </c>
      <c r="C119" s="408">
        <f>DCF!C83</f>
        <v>0.03</v>
      </c>
      <c r="D119" s="409">
        <f>DCF!D83</f>
        <v>5</v>
      </c>
      <c r="E119" s="405" t="str">
        <f>ROUND(DCF!E83,2)&amp;" "&amp;Market_currency</f>
        <v>7 HKD</v>
      </c>
      <c r="F119" s="410">
        <f>DCF!F83</f>
        <v>0.18</v>
      </c>
    </row>
    <row r="120" spans="1:6">
      <c r="B120" s="407" t="str">
        <f>DCF!B84</f>
        <v>Base</v>
      </c>
      <c r="C120" s="408">
        <f>DCF!C84</f>
        <v>0.02</v>
      </c>
      <c r="D120" s="409">
        <f>DCF!D84</f>
        <v>5</v>
      </c>
      <c r="E120" s="405" t="str">
        <f>ROUND(DCF!E84,2)&amp;" "&amp;Market_currency</f>
        <v>6.78 HKD</v>
      </c>
      <c r="F120" s="410">
        <f>DCF!F84</f>
        <v>0.53999999999999992</v>
      </c>
    </row>
    <row r="121" spans="1:6">
      <c r="B121" s="407" t="str">
        <f>DCF!B85</f>
        <v>Pessimistic</v>
      </c>
      <c r="C121" s="408">
        <f>DCF!C85</f>
        <v>0.01</v>
      </c>
      <c r="D121" s="409">
        <f>DCF!D85</f>
        <v>5</v>
      </c>
      <c r="E121" s="405" t="str">
        <f>ROUND(DCF!E85,2)&amp;" "&amp;Market_currency</f>
        <v>6.57 HKD</v>
      </c>
      <c r="F121" s="410">
        <f>DCF!F85</f>
        <v>0.18</v>
      </c>
    </row>
    <row r="122" spans="1:6">
      <c r="B122" s="407" t="str">
        <f>DCF!B86</f>
        <v>Devil's advocate</v>
      </c>
      <c r="C122" s="408">
        <f>DCF!C86</f>
        <v>0</v>
      </c>
      <c r="D122" s="409">
        <f>DCF!D86</f>
        <v>5</v>
      </c>
      <c r="E122" s="405" t="str">
        <f>ROUND(DCF!E86,2)&amp;" "&amp;Market_currency</f>
        <v>6.36 HKD</v>
      </c>
      <c r="F122" s="410">
        <f>DCF!F86</f>
        <v>0.05</v>
      </c>
    </row>
    <row r="124" spans="1:6">
      <c r="B124" s="469" t="s">
        <v>524</v>
      </c>
      <c r="C124" s="469"/>
      <c r="D124" s="469"/>
      <c r="E124" s="469"/>
      <c r="F124" s="469"/>
    </row>
    <row r="125" spans="1:6">
      <c r="B125" s="379" t="s">
        <v>218</v>
      </c>
      <c r="C125" s="411">
        <f>Scenarios!C36</f>
        <v>6.7856494908288969</v>
      </c>
      <c r="D125" s="350" t="str">
        <f>Market_currency</f>
        <v>HKD</v>
      </c>
    </row>
    <row r="127" spans="1:6">
      <c r="B127" s="471" t="s">
        <v>525</v>
      </c>
      <c r="C127" s="471"/>
      <c r="D127" s="471"/>
      <c r="E127" s="471"/>
      <c r="F127" s="471"/>
    </row>
    <row r="129" spans="1:6" ht="13.9">
      <c r="A129" s="352" t="s">
        <v>497</v>
      </c>
      <c r="B129" s="352"/>
      <c r="C129" s="352"/>
      <c r="D129" s="352"/>
      <c r="E129" s="352"/>
      <c r="F129" s="352"/>
    </row>
    <row r="131" spans="1:6">
      <c r="B131" s="472" t="s">
        <v>526</v>
      </c>
      <c r="C131" s="472"/>
      <c r="D131" s="472"/>
      <c r="E131" s="472"/>
      <c r="F131" s="472"/>
    </row>
    <row r="132" spans="1:6" ht="24.5" customHeight="1">
      <c r="B132" s="473" t="s">
        <v>527</v>
      </c>
      <c r="C132" s="473"/>
      <c r="D132" s="473"/>
      <c r="E132" s="473"/>
      <c r="F132" s="473"/>
    </row>
    <row r="134" spans="1:6">
      <c r="B134" s="376" t="s">
        <v>372</v>
      </c>
    </row>
    <row r="135" spans="1:6">
      <c r="B135" s="350" t="s">
        <v>383</v>
      </c>
      <c r="C135" s="412">
        <f>E21</f>
        <v>2</v>
      </c>
    </row>
    <row r="136" spans="1:6">
      <c r="B136" s="350" t="s">
        <v>384</v>
      </c>
      <c r="C136" s="413">
        <f>Scenarios!C58</f>
        <v>0.4</v>
      </c>
      <c r="D136" s="350" t="str">
        <f>Market_currency</f>
        <v>HKD</v>
      </c>
    </row>
    <row r="138" spans="1:6">
      <c r="B138" s="376" t="s">
        <v>498</v>
      </c>
      <c r="C138" s="414"/>
      <c r="D138" s="414"/>
    </row>
    <row r="139" spans="1:6">
      <c r="B139" s="347" t="s">
        <v>467</v>
      </c>
      <c r="C139" s="347" t="str">
        <f>"PV("&amp;Holding_Period&amp;" yrs of Dividends)"</f>
        <v>PV(2 yrs of Dividends)</v>
      </c>
      <c r="D139" s="347" t="s">
        <v>476</v>
      </c>
      <c r="E139" s="348" t="str">
        <f>"Buy below ("&amp;Market_currency&amp;")"</f>
        <v>Buy below (HKD)</v>
      </c>
      <c r="F139" s="348" t="s">
        <v>500</v>
      </c>
    </row>
    <row r="140" spans="1:6">
      <c r="B140" s="415" t="s">
        <v>312</v>
      </c>
      <c r="C140" s="416">
        <f>Scenarios!C62</f>
        <v>0.51577503429355298</v>
      </c>
      <c r="D140" s="416">
        <f>Scenarios!D62</f>
        <v>3.7232644668471311</v>
      </c>
      <c r="E140" s="417">
        <f>Scenarios!E62</f>
        <v>4.2390395011406845</v>
      </c>
      <c r="F140" s="418">
        <f>E22</f>
        <v>0.35</v>
      </c>
    </row>
    <row r="141" spans="1:6">
      <c r="B141" s="415" t="s">
        <v>313</v>
      </c>
      <c r="C141" s="416">
        <f>Scenarios!C63</f>
        <v>0.57600000000000007</v>
      </c>
      <c r="D141" s="416">
        <f>Scenarios!D63</f>
        <v>4.3428156741304944</v>
      </c>
      <c r="E141" s="417">
        <f>Scenarios!E63</f>
        <v>4.918815674130494</v>
      </c>
      <c r="F141" s="418">
        <f>Scenarios!F63</f>
        <v>0.25</v>
      </c>
    </row>
    <row r="143" spans="1:6">
      <c r="B143" s="347" t="s">
        <v>468</v>
      </c>
      <c r="C143" s="347" t="str">
        <f>"PV("&amp;Holding_Period&amp;" yrs of Dividends)"</f>
        <v>PV(2 yrs of Dividends)</v>
      </c>
      <c r="D143" s="347" t="s">
        <v>476</v>
      </c>
      <c r="E143" s="348" t="str">
        <f>"Sell above ("&amp;Market_currency&amp;")"</f>
        <v>Sell above (HKD)</v>
      </c>
      <c r="F143" s="348" t="s">
        <v>500</v>
      </c>
    </row>
    <row r="144" spans="1:6">
      <c r="B144" s="415" t="s">
        <v>315</v>
      </c>
      <c r="C144" s="416">
        <f>Scenarios!C66</f>
        <v>0.67833709316953872</v>
      </c>
      <c r="D144" s="416">
        <f>Scenarios!D66</f>
        <v>5.4346813909467224</v>
      </c>
      <c r="E144" s="417">
        <f>Scenarios!E66</f>
        <v>6.1130184841162611</v>
      </c>
      <c r="F144" s="418">
        <f>E24</f>
        <v>0.1174</v>
      </c>
    </row>
    <row r="145" spans="1:6">
      <c r="B145" s="415" t="s">
        <v>314</v>
      </c>
      <c r="C145" s="416">
        <f>Scenarios!C67</f>
        <v>0.72070897245722421</v>
      </c>
      <c r="D145" s="416">
        <f>Scenarios!D67</f>
        <v>5.8992502677806771</v>
      </c>
      <c r="E145" s="417">
        <f>Scenarios!E67</f>
        <v>6.6199592402379013</v>
      </c>
      <c r="F145" s="418">
        <f>Scenarios!F67</f>
        <v>7.2499999999999995E-2</v>
      </c>
    </row>
    <row r="147" spans="1:6" ht="13.9">
      <c r="A147" s="352" t="s">
        <v>480</v>
      </c>
      <c r="B147" s="352"/>
      <c r="C147" s="352"/>
      <c r="D147" s="352"/>
      <c r="E147" s="352"/>
      <c r="F147" s="352"/>
    </row>
    <row r="149" spans="1:6">
      <c r="B149" s="474" t="s">
        <v>528</v>
      </c>
      <c r="C149" s="473"/>
      <c r="D149" s="473"/>
      <c r="E149" s="473"/>
      <c r="F149" s="473"/>
    </row>
    <row r="151" spans="1:6">
      <c r="B151" s="376" t="s">
        <v>385</v>
      </c>
    </row>
    <row r="152" spans="1:6">
      <c r="B152" s="475" t="s">
        <v>529</v>
      </c>
      <c r="C152" s="475"/>
      <c r="D152" s="475"/>
      <c r="E152" s="475"/>
      <c r="F152" s="475"/>
    </row>
    <row r="153" spans="1:6">
      <c r="B153" s="419" t="s">
        <v>386</v>
      </c>
    </row>
    <row r="154" spans="1:6">
      <c r="B154" s="419" t="s">
        <v>387</v>
      </c>
    </row>
    <row r="155" spans="1:6">
      <c r="B155" s="419" t="s">
        <v>388</v>
      </c>
    </row>
    <row r="157" spans="1:6">
      <c r="B157" s="350" t="s">
        <v>530</v>
      </c>
    </row>
    <row r="158" spans="1:6" ht="24.5" customHeight="1">
      <c r="B158" s="469" t="s">
        <v>444</v>
      </c>
      <c r="C158" s="469"/>
      <c r="D158" s="469"/>
      <c r="E158" s="469"/>
      <c r="F158" s="469"/>
    </row>
    <row r="160" spans="1:6">
      <c r="B160" s="350" t="s">
        <v>531</v>
      </c>
    </row>
    <row r="161" spans="2:6">
      <c r="B161" s="470" t="s">
        <v>389</v>
      </c>
      <c r="C161" s="470"/>
      <c r="D161" s="470"/>
      <c r="E161" s="470"/>
      <c r="F161" s="470"/>
    </row>
    <row r="162" spans="2:6">
      <c r="B162" s="470" t="s">
        <v>390</v>
      </c>
      <c r="C162" s="470"/>
      <c r="D162" s="470"/>
      <c r="E162" s="470"/>
      <c r="F162" s="470"/>
    </row>
    <row r="164" spans="2:6">
      <c r="B164" s="350" t="s">
        <v>532</v>
      </c>
    </row>
    <row r="165" spans="2:6">
      <c r="B165" s="419" t="s">
        <v>391</v>
      </c>
    </row>
    <row r="166" spans="2:6">
      <c r="B166" s="419" t="s">
        <v>392</v>
      </c>
    </row>
    <row r="167" spans="2:6">
      <c r="B167" s="419" t="s">
        <v>393</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E8A69-327E-47E0-B9FB-0AC135518E27}">
  <dimension ref="B2:E2"/>
  <sheetViews>
    <sheetView showGridLines="0" tabSelected="1" workbookViewId="0">
      <selection activeCell="D49" sqref="D49"/>
    </sheetView>
  </sheetViews>
  <sheetFormatPr defaultRowHeight="12.75"/>
  <cols>
    <col min="1" max="1" width="2.59765625" style="479" customWidth="1"/>
    <col min="2" max="2" width="22.73046875" style="479" customWidth="1"/>
    <col min="3" max="5" width="20.73046875" style="479" customWidth="1"/>
    <col min="6" max="16384" width="9.06640625" style="479"/>
  </cols>
  <sheetData>
    <row r="2" spans="2:5" ht="13.9">
      <c r="B2" s="477" t="s">
        <v>334</v>
      </c>
      <c r="C2" s="478"/>
      <c r="D2" s="478"/>
      <c r="E2" s="47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2025-10-03T03:42:36Z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