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D920925-1680-4826-A878-77F47C3FD9BB}"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19" i="3"/>
  <c r="C21" i="4"/>
  <c r="D21" i="4"/>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D51" i="3"/>
  <c r="C46" i="3"/>
  <c r="C47" i="3" s="1"/>
  <c r="C62" i="3"/>
  <c r="C5" i="2" l="1"/>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82" i="2" s="1"/>
  <c r="C34" i="6"/>
  <c r="C72" i="2"/>
  <c r="C32" i="3"/>
  <c r="G31" i="3"/>
  <c r="F4" i="8" s="1"/>
  <c r="B1" i="2"/>
  <c r="C16" i="2" l="1"/>
  <c r="C18" i="8"/>
  <c r="F7" i="8"/>
  <c r="B75" i="8" s="1"/>
  <c r="C86" i="3"/>
  <c r="C79" i="8"/>
  <c r="D77" i="8"/>
  <c r="E79" i="8"/>
  <c r="B74" i="8"/>
  <c r="C80" i="6"/>
  <c r="C80" i="12"/>
  <c r="D68" i="6"/>
  <c r="D68" i="12"/>
  <c r="O77" i="2"/>
  <c r="O116" i="2" s="1"/>
  <c r="O14" i="2"/>
  <c r="P77" i="2"/>
  <c r="P116" i="2" s="1"/>
  <c r="P14" i="2"/>
  <c r="O96" i="2"/>
  <c r="G52" i="2"/>
  <c r="C38" i="12" l="1"/>
  <c r="C38" i="6"/>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<sst xmlns="http://schemas.openxmlformats.org/spreadsheetml/2006/main" count="768" uniqueCount="558">
  <si>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</si>
  <si>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</si>
  <si>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</si>
  <si>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</si>
  <si>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</si>
  <si>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</si>
  <si>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</si>
  <si>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</si>
  <si>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</si>
  <si>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</si>
  <si>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</si>
  <si>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</si>
  <si>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</si>
  <si>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</si>
  <si>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</si>
  <si>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</si>
  <si>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</si>
  <si>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</si>
  <si>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</si>
  <si>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</si>
  <si>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</si>
  <si>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</si>
  <si>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</si>
  <si>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</si>
  <si>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</si>
  <si>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</si>
  <si>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</si>
  <si>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</si>
  <si>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</si>
  <si>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</si>
  <si>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</si>
  <si>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</si>
  <si>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</si>
  <si>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</si>
  <si>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</si>
  <si>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</si>
  <si>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</si>
  <si>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</si>
  <si>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</si>
  <si>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</si>
  <si>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</si>
  <si>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</si>
  <si>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</si>
  <si>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</si>
  <si>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</si>
  <si>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</si>
  <si>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</si>
  <si>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</si>
  <si>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</si>
  <si>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</si>
  <si>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</si>
  <si>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</si>
  <si>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</si>
  <si>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</si>
  <si>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</si>
  <si>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</si>
  <si>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</si>
  <si>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</si>
  <si>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</si>
  <si>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</si>
  <si>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</si>
  <si>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</si>
  <si>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</si>
  <si>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</si>
  <si>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</si>
  <si>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</si>
  <si>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</si>
  <si>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</si>
  <si>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</si>
  <si>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</si>
  <si>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</si>
  <si>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</si>
  <si>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</si>
  <si>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</si>
  <si>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</si>
  <si>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</si>
  <si>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</si>
  <si>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</si>
  <si>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</si>
  <si>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</si>
  <si>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</si>
  <si>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</si>
  <si>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</si>
  <si>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</si>
  <si>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</si>
  <si>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</si>
  <si>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</si>
  <si>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</si>
  <si>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</si>
  <si>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</si>
  <si>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</si>
  <si>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</si>
  <si>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</si>
  <si>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</si>
  <si>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</si>
  <si>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</si>
  <si>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</si>
  <si>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</si>
  <si>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</si>
  <si>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</si>
  <si>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</si>
  <si>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</si>
  <si>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</si>
  <si>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</si>
  <si>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</si>
  <si>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</si>
  <si>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</si>
  <si>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</si>
  <si>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</si>
  <si>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</si>
  <si>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</si>
  <si>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</si>
  <si>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</si>
  <si>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</si>
  <si>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</si>
  <si>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</si>
  <si>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</si>
  <si>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</si>
  <si>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</si>
  <si>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</si>
  <si>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</si>
  <si>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</si>
  <si>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</si>
  <si>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</si>
  <si>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</si>
  <si>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</si>
  <si>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</si>
  <si>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</si>
  <si>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</si>
  <si>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</si>
  <si>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</si>
  <si>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</si>
  <si>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</si>
  <si>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</si>
  <si>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</si>
  <si>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</si>
  <si>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</si>
  <si>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</si>
  <si>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</si>
  <si>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</si>
  <si>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</si>
  <si>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</si>
  <si>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</si>
  <si>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</si>
  <si>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</si>
  <si>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</si>
  <si>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</si>
  <si>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</si>
  <si>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</si>
  <si>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</si>
  <si>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</si>
  <si>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</si>
  <si>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</si>
  <si>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</si>
  <si>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</si>
  <si>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</si>
  <si>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</si>
  <si>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</si>
  <si>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</si>
  <si>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</si>
  <si>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</si>
  <si>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</si>
  <si>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</si>
  <si>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</si>
  <si>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</si>
  <si>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</si>
  <si>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</si>
  <si>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</si>
  <si>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</si>
  <si>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</si>
  <si>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</si>
  <si>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</si>
  <si>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</si>
  <si>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</si>
  <si>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</si>
  <si>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</si>
  <si>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</si>
  <si>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</si>
  <si>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</si>
  <si>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</si>
  <si>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</si>
  <si>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</si>
  <si>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</si>
  <si>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</si>
  <si>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</si>
  <si>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</si>
  <si>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</si>
  <si>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</si>
  <si>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</si>
  <si>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</si>
  <si>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</si>
  <si>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</si>
  <si>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</si>
  <si>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</si>
  <si>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</si>
  <si>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</si>
  <si>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</si>
  <si>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</si>
  <si>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</si>
  <si>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</si>
  <si>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</si>
  <si>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</si>
  <si>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</si>
  <si>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</si>
  <si>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</si>
  <si>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</si>
  <si>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</si>
  <si>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</si>
  <si>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</si>
  <si>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</si>
  <si>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</si>
  <si>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</si>
  <si>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</si>
  <si>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</si>
  <si>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</si>
  <si>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</si>
  <si>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</si>
  <si>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</si>
  <si>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</si>
  <si>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</si>
  <si>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</si>
  <si>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</si>
  <si>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</si>
  <si>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</si>
  <si>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</si>
  <si>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</si>
  <si>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</si>
  <si>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</si>
  <si>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</si>
  <si>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</si>
  <si>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</si>
  <si>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</si>
  <si>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</si>
  <si>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</si>
  <si>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</si>
  <si>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</si>
  <si>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</si>
  <si>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</si>
  <si>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</si>
  <si>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</si>
  <si>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</si>
  <si>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</si>
  <si>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</si>
  <si>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</si>
  <si>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</si>
  <si>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</si>
  <si>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</si>
  <si>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</si>
  <si>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</si>
  <si>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</si>
  <si>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</si>
  <si>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</si>
  <si>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</si>
  <si>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</si>
  <si>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</si>
  <si>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</si>
  <si>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</si>
  <si>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</si>
  <si>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</si>
  <si>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</si>
  <si>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</si>
  <si>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</si>
  <si>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</si>
  <si>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</si>
  <si>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</si>
  <si>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</si>
  <si>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</si>
  <si>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</si>
  <si>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</si>
  <si>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</si>
  <si>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</si>
  <si>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</si>
  <si>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</si>
  <si>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</si>
  <si>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</si>
  <si>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</si>
  <si>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</si>
  <si>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</si>
  <si>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</si>
  <si>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</si>
  <si>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</si>
  <si>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</si>
  <si>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</si>
  <si>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</si>
  <si>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</si>
  <si>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</si>
  <si>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</si>
  <si>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</si>
  <si>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</si>
  <si>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</si>
  <si>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</si>
  <si>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</si>
  <si>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</si>
  <si>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</si>
  <si>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</si>
  <si>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</si>
  <si>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</si>
  <si>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</si>
  <si>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</si>
  <si>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</si>
  <si>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</si>
  <si>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</si>
  <si>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</si>
  <si>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</si>
  <si>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</si>
  <si>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</si>
  <si>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</si>
  <si>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</si>
  <si>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</si>
  <si>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</si>
  <si>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</si>
  <si>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</si>
  <si>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</si>
  <si>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</si>
  <si>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</si>
  <si>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</si>
  <si>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</si>
  <si>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</si>
  <si>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</si>
  <si>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</si>
  <si>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</si>
  <si>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</si>
  <si>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</si>
  <si>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</si>
  <si>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</si>
  <si>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</si>
  <si>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</si>
  <si>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</si>
  <si>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</si>
  <si>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</si>
  <si>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</si>
  <si>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</si>
  <si>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</si>
  <si>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</si>
  <si>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</si>
  <si>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</si>
  <si>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</si>
  <si>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</si>
  <si>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</si>
  <si>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</si>
  <si>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</si>
  <si>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</si>
  <si>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</si>
  <si>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</si>
  <si>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</si>
  <si>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</si>
  <si>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</si>
  <si>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</si>
  <si>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</si>
  <si>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</si>
  <si>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</si>
  <si>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</si>
  <si>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</si>
  <si>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</si>
  <si>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</si>
  <si>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</si>
  <si>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</si>
  <si>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</si>
  <si>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</si>
  <si>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</si>
  <si>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</si>
  <si>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</si>
  <si>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</si>
  <si>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</si>
  <si>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</si>
  <si>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</si>
  <si>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</si>
  <si>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</si>
  <si>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</si>
  <si>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</si>
  <si>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</si>
  <si>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</si>
  <si>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</si>
  <si>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</si>
  <si>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</si>
  <si>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</si>
  <si>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</si>
  <si>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</si>
  <si>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</si>
  <si>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</si>
  <si>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</si>
  <si>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</si>
  <si>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</si>
  <si>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</si>
  <si>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</si>
  <si>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</si>
  <si>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</si>
  <si>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</si>
  <si>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</si>
  <si>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</si>
  <si>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</si>
  <si>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</si>
  <si>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</si>
  <si>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</si>
  <si>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</si>
  <si>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</si>
  <si>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</si>
  <si>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</si>
  <si>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</si>
  <si>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</si>
  <si>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</si>
  <si>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</si>
  <si>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</si>
  <si>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</si>
  <si>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</si>
  <si>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</si>
  <si>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</si>
  <si>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</si>
  <si>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</si>
  <si>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</si>
  <si>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</si>
  <si>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</si>
  <si>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</si>
  <si>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</si>
  <si>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</si>
  <si>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</si>
  <si>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</si>
  <si>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</si>
  <si>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</si>
  <si>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</si>
  <si>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</si>
  <si>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</si>
  <si>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</si>
  <si>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</si>
  <si>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</si>
  <si>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</si>
  <si>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</si>
  <si>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</si>
  <si>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</si>
  <si>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</si>
  <si>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</si>
  <si>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</si>
  <si>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</si>
  <si>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</si>
  <si>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</si>
  <si>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</si>
  <si>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</si>
  <si>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</si>
  <si>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</si>
  <si>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</si>
  <si>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</si>
  <si>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</si>
  <si>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</si>
  <si>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</si>
  <si>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</si>
  <si>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</si>
  <si>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</si>
  <si>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</si>
  <si>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</si>
  <si>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</si>
  <si>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</si>
  <si>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</si>
  <si>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</si>
  <si>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</si>
  <si>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</si>
  <si>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</si>
  <si>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</si>
  <si>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</si>
  <si>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</si>
  <si>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</si>
  <si>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</si>
  <si>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</si>
  <si>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</si>
  <si>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</si>
  <si>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</si>
  <si>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</si>
  <si>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</si>
  <si>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</si>
  <si>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</si>
  <si>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</si>
  <si>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</si>
  <si>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</si>
  <si>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</si>
  <si>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</si>
  <si>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</si>
  <si>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</si>
  <si>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</si>
  <si>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</si>
  <si>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</si>
  <si>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</si>
  <si>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</si>
  <si>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</si>
  <si>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</si>
  <si>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</si>
  <si>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</si>
  <si>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</si>
  <si>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</si>
  <si>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</si>
  <si>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</si>
  <si>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</si>
  <si>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</si>
  <si>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</si>
  <si>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</si>
  <si>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</si>
  <si>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</si>
  <si>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</si>
  <si>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</si>
  <si>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</si>
  <si>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</si>
  <si>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</si>
  <si>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</si>
  <si>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</si>
  <si>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</si>
  <si>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</si>
  <si>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</si>
  <si>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</si>
  <si>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</si>
  <si>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</si>
  <si>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</si>
  <si>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</si>
  <si>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</si>
  <si>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</si>
  <si>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</si>
  <si>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</si>
  <si>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</si>
  <si>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</si>
  <si>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</si>
  <si>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</si>
  <si>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</si>
  <si>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</si>
  <si>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</si>
  <si>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</si>
  <si>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</si>
  <si>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</si>
  <si>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</si>
  <si>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</si>
  <si>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</si>
  <si>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</si>
  <si>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</si>
  <si>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</si>
  <si>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</si>
  <si>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</si>
  <si>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</si>
  <si>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</si>
  <si>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</si>
  <si>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</si>
  <si>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</si>
  <si>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</si>
  <si>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</si>
  <si>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</si>
  <si>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</si>
  <si>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</si>
  <si>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</si>
  <si>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</si>
  <si>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</si>
  <si>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</si>
  <si>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</si>
  <si>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</si>
  <si>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</si>
  <si>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</si>
  <si>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</si>
  <si>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</si>
  <si>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</si>
  <si>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</si>
  <si>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</si>
  <si>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</si>
  <si>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大家乐集团</t>
  </si>
  <si>
    <t>0341.HK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</si>
</sst>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4.6399999999999997</v>
      </c>
      <c r="E8" s="32"/>
    </row>
    <row r="9" spans="1:9">
      <c r="B9" s="4" t="s">
        <v>346</v>
      </c>
      <c r="C9" s="48">
        <v>580004033</v>
      </c>
    </row>
    <row r="10" spans="1:9">
      <c r="B10" s="4" t="s">
        <v>352</v>
      </c>
      <c r="C10" s="33">
        <f>Thesis!C8*Common_Shares/1000000</f>
        <v>2691.2187131199998</v>
      </c>
      <c r="D10" s="1" t="s">
        <v>528</v>
      </c>
      <c r="E10" s="303">
        <f>Scenarios!F34</f>
        <v>0.17728071501379791</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0.01</v>
      </c>
      <c r="D17" s="4" t="s">
        <v>274</v>
      </c>
      <c r="E17" s="224" t="s">
        <v>308</v>
      </c>
    </row>
    <row r="18" spans="1:6">
      <c r="B18" s="1" t="str">
        <f>"Expected Equity Value ("&amp;C7&amp;") :"</f>
        <v>Expected Equity Value (HKD) :</v>
      </c>
      <c r="C18" s="252">
        <f>C125</f>
        <v>6.5021029196761031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3.5453162653105039</v>
      </c>
      <c r="D22" s="38" t="s">
        <v>406</v>
      </c>
      <c r="E22" s="79">
        <v>0.29465259038036606</v>
      </c>
    </row>
    <row r="23" spans="1:6">
      <c r="B23" s="1" t="s">
        <v>313</v>
      </c>
      <c r="C23" s="256">
        <f>E141</f>
        <v>4.3869285024051887</v>
      </c>
      <c r="D23" s="38" t="s">
        <v>407</v>
      </c>
      <c r="E23" s="443">
        <v>0.20075184365903009</v>
      </c>
    </row>
    <row r="24" spans="1:6">
      <c r="B24" s="1" t="s">
        <v>315</v>
      </c>
      <c r="C24" s="256">
        <f>E144</f>
        <v>5.3842307819113344</v>
      </c>
      <c r="D24" s="38" t="s">
        <v>408</v>
      </c>
      <c r="E24" s="443">
        <v>0.1174</v>
      </c>
    </row>
    <row r="25" spans="1:6">
      <c r="B25" s="1" t="s">
        <v>314</v>
      </c>
      <c r="C25" s="256">
        <f>E145</f>
        <v>6.0543353749158966</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398162</v>
      </c>
      <c r="D34" s="1" t="str">
        <f>Reporting_currency</f>
        <v>HKD</v>
      </c>
    </row>
    <row r="35" spans="2:6">
      <c r="B35" s="44"/>
      <c r="C35" s="73"/>
    </row>
    <row r="36" spans="2:6" ht="24.5" customHeight="1">
      <c r="B36" s="463" t="s">
        <v>198</v>
      </c>
      <c r="C36" s="463"/>
      <c r="D36" s="463"/>
      <c r="E36" s="463"/>
      <c r="F36" s="463"/>
    </row>
    <row r="37" spans="2:6">
      <c r="B37" s="44" t="s">
        <v>199</v>
      </c>
      <c r="C37" s="285">
        <f>Normalized_FCF!C15</f>
        <v>378473</v>
      </c>
      <c r="D37" s="1" t="str">
        <f>Reporting_currency</f>
        <v>HKD</v>
      </c>
    </row>
    <row r="38" spans="2:6">
      <c r="B38" s="49" t="s">
        <v>200</v>
      </c>
      <c r="C38" s="285">
        <f>Normalized_FCF!C16</f>
        <v>-378473</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6953.4635082499999</v>
      </c>
      <c r="D44" s="1" t="str">
        <f>Reporting_currency</f>
        <v>HKD</v>
      </c>
      <c r="E44" s="244"/>
      <c r="F44" s="244"/>
    </row>
    <row r="45" spans="2:6">
      <c r="B45" s="44" t="s">
        <v>268</v>
      </c>
      <c r="C45" s="286">
        <f>Normalized_FCF!C45</f>
        <v>-89319.428</v>
      </c>
      <c r="D45" s="1" t="str">
        <f>Reporting_currency</f>
        <v>HKD</v>
      </c>
      <c r="E45" s="244"/>
      <c r="F45" s="244"/>
    </row>
    <row r="46" spans="2:6">
      <c r="B46" s="44" t="s">
        <v>203</v>
      </c>
      <c r="C46" s="285">
        <f>Normalized_FCF!C10</f>
        <v>-82365.964491749997</v>
      </c>
      <c r="D46" s="1" t="str">
        <f>Reporting_currency</f>
        <v>HKD</v>
      </c>
    </row>
    <row r="48" spans="2:6">
      <c r="B48" s="1" t="s">
        <v>211</v>
      </c>
    </row>
    <row r="49" spans="2:6">
      <c r="B49" s="44" t="s">
        <v>223</v>
      </c>
      <c r="C49" s="285">
        <f>Normalized_FCF!C13</f>
        <v>-29412.617008902169</v>
      </c>
      <c r="D49" s="1" t="str">
        <f>Reporting_currency</f>
        <v>HKD</v>
      </c>
    </row>
    <row r="51" spans="2:6">
      <c r="B51" s="463" t="s">
        <v>206</v>
      </c>
      <c r="C51" s="463"/>
      <c r="D51" s="463"/>
      <c r="E51" s="463"/>
      <c r="F51" s="463"/>
    </row>
    <row r="52" spans="2:6">
      <c r="B52" s="44" t="s">
        <v>204</v>
      </c>
      <c r="C52" s="285">
        <f>Normalized_FCF!C12</f>
        <v>-52106.345858861256</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292974.55441311875</v>
      </c>
      <c r="D60" s="1" t="str">
        <f>Reporting_currency</f>
        <v>HKD</v>
      </c>
    </row>
    <row r="61" spans="2:6">
      <c r="B61" s="44" t="s">
        <v>213</v>
      </c>
      <c r="C61" s="285">
        <f>Normalized_FCF!C19</f>
        <v>234277.07264048661</v>
      </c>
      <c r="D61" s="1" t="str">
        <f>Reporting_currency</f>
        <v>HKD</v>
      </c>
    </row>
    <row r="62" spans="2:6">
      <c r="B62" s="204" t="s">
        <v>302</v>
      </c>
      <c r="C62" s="89">
        <f>Normalized_FCF!C124</f>
        <v>8.7052409192296051E-2</v>
      </c>
      <c r="F62" s="257"/>
    </row>
    <row r="63" spans="2:6">
      <c r="B63" s="204" t="s">
        <v>332</v>
      </c>
      <c r="C63" s="89">
        <f>Normalized_FCF!C92</f>
        <v>6.4655172413793122E-2</v>
      </c>
      <c r="E63" s="44" t="s">
        <v>322</v>
      </c>
      <c r="F63" s="258">
        <f>Normalized_FCF!C90</f>
        <v>0.74271548615009453</v>
      </c>
    </row>
    <row r="65" spans="1:6">
      <c r="B65" s="192" t="s">
        <v>325</v>
      </c>
      <c r="C65" s="264" t="s">
        <v>327</v>
      </c>
      <c r="D65" s="264" t="s">
        <v>328</v>
      </c>
    </row>
    <row r="66" spans="1:6">
      <c r="B66" s="44" t="s">
        <v>326</v>
      </c>
      <c r="C66" s="89">
        <f>Normalized_FCF!E119</f>
        <v>0.18</v>
      </c>
      <c r="D66" s="89">
        <f>Normalized_FCF!G119</f>
        <v>0.12380103574345135</v>
      </c>
    </row>
    <row r="67" spans="1:6">
      <c r="B67" s="229" t="str">
        <f>Normalized_FCF!B116</f>
        <v>Pre-tax Profit/Sales</v>
      </c>
      <c r="C67" s="263">
        <f>Normalized_FCF!E116</f>
        <v>5.5599077391744495E-2</v>
      </c>
      <c r="D67" s="263">
        <f>Normalized_FCF!G116</f>
        <v>3.8240129819323766E-2</v>
      </c>
    </row>
    <row r="68" spans="1:6">
      <c r="B68" s="229" t="str">
        <f>Normalized_FCF!B117</f>
        <v>Sales/Total Assets</v>
      </c>
      <c r="C68" s="265">
        <f>Normalized_FCF!E117</f>
        <v>1.4798367611150316</v>
      </c>
      <c r="D68" s="265">
        <f>Normalized_FCF!G117</f>
        <v>1.4798367611150316</v>
      </c>
    </row>
    <row r="69" spans="1:6">
      <c r="B69" s="229" t="str">
        <f>Normalized_FCF!B118</f>
        <v>Total Assets/Equity</v>
      </c>
      <c r="C69" s="265">
        <f>Normalized_FCF!E118</f>
        <v>2.187716833659914</v>
      </c>
      <c r="D69" s="265">
        <f>Normalized_FCF!G118</f>
        <v>2.187716833659914</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-2029987</v>
      </c>
      <c r="D78" s="1" t="str">
        <f>Reporting_currency</f>
        <v>HKD</v>
      </c>
    </row>
    <row r="79" spans="1:6">
      <c r="A79" s="191"/>
      <c r="B79" s="44" t="s">
        <v>234</v>
      </c>
      <c r="C79" s="201">
        <f>C78*scaling_factor*Exchange_Rate/Common_Shares</f>
        <v>-3.4999532494630086</v>
      </c>
      <c r="D79" s="1" t="str">
        <f>Market_currency</f>
        <v>HKD</v>
      </c>
    </row>
    <row r="80" spans="1:6">
      <c r="A80" s="191"/>
      <c r="B80" s="229" t="s">
        <v>309</v>
      </c>
      <c r="C80" s="337">
        <f>IF(BS!G31/BS!G27&gt;300%,"nm",BS!G31/BS!G27)</f>
        <v>0.76701287002940366</v>
      </c>
    </row>
    <row r="81" spans="1:6">
      <c r="A81" s="191"/>
      <c r="B81" s="229" t="s">
        <v>311</v>
      </c>
      <c r="C81" s="338">
        <f>IF(BS!C50&gt;30,"nm",BS!C50)</f>
        <v>5.0983946232940358</v>
      </c>
    </row>
    <row r="82" spans="1:6">
      <c r="A82" s="191"/>
    </row>
    <row r="83" spans="1:6">
      <c r="A83" s="191"/>
      <c r="B83" s="1" t="s">
        <v>466</v>
      </c>
    </row>
    <row r="84" spans="1:6">
      <c r="A84" s="191"/>
      <c r="B84" s="1" t="s">
        <v>224</v>
      </c>
      <c r="C84" s="285">
        <f>DCF!F5</f>
        <v>269920.64917500003</v>
      </c>
      <c r="D84" s="1" t="str">
        <f>Reporting_currency</f>
        <v>HKD</v>
      </c>
    </row>
    <row r="85" spans="1:6">
      <c r="A85" s="191"/>
      <c r="B85" s="229" t="s">
        <v>222</v>
      </c>
      <c r="C85" s="291">
        <f>BS!C66</f>
        <v>965267</v>
      </c>
      <c r="D85" s="339" t="str">
        <f>Reporting_currency</f>
        <v>HKD</v>
      </c>
    </row>
    <row r="86" spans="1:6">
      <c r="A86" s="191"/>
      <c r="B86" s="44" t="s">
        <v>235</v>
      </c>
      <c r="C86" s="201">
        <f>C84*scaling_factor*Exchange_Rate/Common_Shares</f>
        <v>0.46537719363582425</v>
      </c>
      <c r="D86" s="1" t="str">
        <f>Market_currency</f>
        <v>HKD</v>
      </c>
    </row>
    <row r="87" spans="1:6">
      <c r="A87" s="191"/>
    </row>
    <row r="88" spans="1:6">
      <c r="A88" s="191"/>
      <c r="B88" s="1" t="s">
        <v>216</v>
      </c>
    </row>
    <row r="89" spans="1:6">
      <c r="A89" s="191"/>
      <c r="B89" s="1" t="s">
        <v>217</v>
      </c>
      <c r="C89" s="285">
        <f>DCF!F6</f>
        <v>61077</v>
      </c>
      <c r="D89" s="1" t="str">
        <f>Reporting_currency</f>
        <v>HKD</v>
      </c>
    </row>
    <row r="90" spans="1:6">
      <c r="A90" s="191"/>
      <c r="B90" s="44" t="s">
        <v>236</v>
      </c>
      <c r="C90" s="201">
        <f>C89*scaling_factor*Exchange_Rate/Common_Shares</f>
        <v>0.10530444018481507</v>
      </c>
      <c r="D90" s="1" t="str">
        <f>Market_currency</f>
        <v>HKD</v>
      </c>
    </row>
    <row r="91" spans="1:6">
      <c r="A91" s="191"/>
    </row>
    <row r="92" spans="1:6">
      <c r="A92" s="191"/>
      <c r="B92" s="44" t="s">
        <v>469</v>
      </c>
      <c r="C92" s="216">
        <f>DCF!F8</f>
        <v>-2.929271615642369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-2.4800067209187837</v>
      </c>
      <c r="D111" s="1" t="str">
        <f>Market_currency</f>
        <v>HKD</v>
      </c>
    </row>
    <row r="112" spans="2:6">
      <c r="B112" s="44" t="s">
        <v>323</v>
      </c>
      <c r="C112" s="216">
        <f>DCF!C11</f>
        <v>3.5981269513780507</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0.04</v>
      </c>
      <c r="D118" s="207" t="str">
        <f>ROUND(DCF!E90,2)&amp;" "&amp;Market_currency</f>
        <v>8.1 HKD</v>
      </c>
      <c r="E118" s="208">
        <f>DCF!F90</f>
        <v>0.05</v>
      </c>
      <c r="F118" s="208">
        <f>RATE(Holding_Period,Scenarios!C$58,-DCF!E90,C$18)</f>
        <v>-3.0850278860431173E-2</v>
      </c>
    </row>
    <row r="119" spans="2:6">
      <c r="B119" s="205" t="str">
        <f>DCF!B91&amp;" ("&amp;DCF!D91&amp;"yrs)"</f>
        <v>Optimistic (10yrs)</v>
      </c>
      <c r="C119" s="198">
        <f>DCF!C91</f>
        <v>0.03</v>
      </c>
      <c r="D119" s="207" t="str">
        <f>ROUND(DCF!E91,2)&amp;" "&amp;Market_currency</f>
        <v>7.26 HKD</v>
      </c>
      <c r="E119" s="199">
        <f>DCF!F91</f>
        <v>0.18</v>
      </c>
      <c r="F119" s="208">
        <f>RATE(Holding_Period,Scenarios!C$58,-DCF!E91,C$18)</f>
        <v>6.8329251442492559E-3</v>
      </c>
    </row>
    <row r="120" spans="2:6">
      <c r="B120" s="205" t="str">
        <f>DCF!B92&amp;" ("&amp;DCF!D92&amp;"yrs)"</f>
        <v>Base (10yrs)</v>
      </c>
      <c r="C120" s="198">
        <f>DCF!C92</f>
        <v>0.02</v>
      </c>
      <c r="D120" s="207" t="str">
        <f>ROUND(DCF!E92,2)&amp;" "&amp;Market_currency</f>
        <v>6.48 HKD</v>
      </c>
      <c r="E120" s="199">
        <f>DCF!F92</f>
        <v>0.53999999999999992</v>
      </c>
      <c r="F120" s="208">
        <f>RATE(Holding_Period,Scenarios!C$58,-DCF!E92,C$18)</f>
        <v>4.7411152420250929E-2</v>
      </c>
    </row>
    <row r="121" spans="2:6">
      <c r="B121" s="205" t="str">
        <f>DCF!B93&amp;" ("&amp;DCF!D93&amp;"yrs)"</f>
        <v>Pessimistic (10yrs)</v>
      </c>
      <c r="C121" s="198">
        <f>DCF!C93</f>
        <v>0.01</v>
      </c>
      <c r="D121" s="207" t="str">
        <f>ROUND(DCF!E93,2)&amp;" "&amp;Market_currency</f>
        <v>5.76 HKD</v>
      </c>
      <c r="E121" s="199">
        <f>DCF!F93</f>
        <v>0.18</v>
      </c>
      <c r="F121" s="208">
        <f>RATE(Holding_Period,Scenarios!C$58,-DCF!E93,C$18)</f>
        <v>9.1334486710514626E-2</v>
      </c>
    </row>
    <row r="122" spans="2:6">
      <c r="B122" s="205" t="str">
        <f>DCF!B94&amp;" ("&amp;DCF!D94&amp;"yrs)"</f>
        <v>Devil's advocate (10yrs)</v>
      </c>
      <c r="C122" s="198">
        <f>DCF!C94</f>
        <v>0</v>
      </c>
      <c r="D122" s="207" t="str">
        <f>ROUND(DCF!E94,2)&amp;" "&amp;Market_currency</f>
        <v>5.1 HKD</v>
      </c>
      <c r="E122" s="199">
        <f>DCF!F94</f>
        <v>0.05</v>
      </c>
      <c r="F122" s="208">
        <f>RATE(Holding_Period,Scenarios!C$58,-DCF!E94,C$18)</f>
        <v>0.13916799963770765</v>
      </c>
    </row>
    <row r="124" spans="2:6">
      <c r="B124" s="463" t="s">
        <v>357</v>
      </c>
      <c r="C124" s="463"/>
      <c r="D124" s="463"/>
      <c r="E124" s="463"/>
      <c r="F124" s="463"/>
    </row>
    <row r="125" spans="2:6">
      <c r="B125" s="193" t="s">
        <v>218</v>
      </c>
      <c r="C125" s="197">
        <f>Scenarios!C36</f>
        <v>6.5021029196761031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0.30000000000000004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0.54895547283303592</v>
      </c>
      <c r="D140" s="333">
        <f>Scenarios!D62</f>
        <v>2.9963607924774678</v>
      </c>
      <c r="E140" s="334">
        <f>Scenarios!E62</f>
        <v>3.5453162653105039</v>
      </c>
      <c r="F140" s="335">
        <f>E22</f>
        <v>0.29465259038036606</v>
      </c>
    </row>
    <row r="141" spans="1:6">
      <c r="B141" s="336" t="s">
        <v>313</v>
      </c>
      <c r="C141" s="333">
        <f>Scenarios!C63</f>
        <v>0.63120118418072357</v>
      </c>
      <c r="D141" s="333">
        <f>Scenarios!D63</f>
        <v>3.7557273182244653</v>
      </c>
      <c r="E141" s="334">
        <f>Scenarios!E63</f>
        <v>4.3869285024051887</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0.7237809377815948</v>
      </c>
      <c r="D144" s="333">
        <f>Scenarios!D66</f>
        <v>4.6604498441297393</v>
      </c>
      <c r="E144" s="334">
        <f>Scenarios!E66</f>
        <v>5.3842307819113344</v>
      </c>
      <c r="F144" s="335">
        <f>E24</f>
        <v>0.1174</v>
      </c>
    </row>
    <row r="145" spans="1:6">
      <c r="B145" s="336" t="s">
        <v>314</v>
      </c>
      <c r="C145" s="333">
        <f>Scenarios!C67</f>
        <v>0.78371256815190493</v>
      </c>
      <c r="D145" s="333">
        <f>Scenarios!D67</f>
        <v>5.270622806763992</v>
      </c>
      <c r="E145" s="334">
        <f>Scenarios!E67</f>
        <v>6.0543353749158966</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8568317</v>
      </c>
      <c r="D4" s="287">
        <v>8691449</v>
      </c>
      <c r="E4" s="287">
        <v>8024044</v>
      </c>
      <c r="F4" s="287">
        <v>7508753</v>
      </c>
      <c r="G4" s="287">
        <v>6714255</v>
      </c>
      <c r="H4" s="287">
        <v>7963097</v>
      </c>
      <c r="I4" s="287">
        <v>8493883</v>
      </c>
      <c r="J4" s="287">
        <v>8427399</v>
      </c>
      <c r="K4" s="287">
        <v>7895262</v>
      </c>
      <c r="L4" s="287">
        <v>7567176</v>
      </c>
      <c r="M4" s="287"/>
    </row>
    <row r="5" spans="2:13">
      <c r="B5" s="38" t="s">
        <v>40</v>
      </c>
      <c r="C5" s="287">
        <v>7675662</v>
      </c>
      <c r="D5" s="287">
        <v>7702163</v>
      </c>
      <c r="E5" s="287">
        <v>7321395</v>
      </c>
      <c r="F5" s="287">
        <v>6961032</v>
      </c>
      <c r="G5" s="287">
        <v>6339067</v>
      </c>
      <c r="H5" s="287">
        <v>7232445</v>
      </c>
      <c r="I5" s="287">
        <v>7356665</v>
      </c>
      <c r="J5" s="287">
        <v>7385291</v>
      </c>
      <c r="K5" s="287">
        <v>6838442</v>
      </c>
      <c r="L5" s="287">
        <v>6522504</v>
      </c>
      <c r="M5" s="287"/>
    </row>
    <row r="6" spans="2:13">
      <c r="B6" s="38" t="s">
        <v>51</v>
      </c>
      <c r="C6" s="287">
        <v>494493</v>
      </c>
      <c r="D6" s="287">
        <v>503213</v>
      </c>
      <c r="E6" s="287">
        <v>486079</v>
      </c>
      <c r="F6" s="287">
        <v>458843</v>
      </c>
      <c r="G6" s="287">
        <v>462619</v>
      </c>
      <c r="H6" s="287">
        <v>481414</v>
      </c>
      <c r="I6" s="287">
        <v>447788</v>
      </c>
      <c r="J6" s="287">
        <v>458819</v>
      </c>
      <c r="K6" s="287">
        <v>430609</v>
      </c>
      <c r="L6" s="287">
        <v>430039</v>
      </c>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104115</v>
      </c>
      <c r="D12" s="287">
        <v>108592</v>
      </c>
      <c r="E12" s="287">
        <v>98508</v>
      </c>
      <c r="F12" s="287">
        <v>88044</v>
      </c>
      <c r="G12" s="287"/>
      <c r="H12" s="287"/>
      <c r="I12" s="287"/>
      <c r="J12" s="287"/>
      <c r="K12" s="287"/>
      <c r="L12" s="287"/>
      <c r="M12" s="287"/>
    </row>
    <row r="13" spans="2:13">
      <c r="B13" s="38" t="s">
        <v>64</v>
      </c>
      <c r="C13" s="287">
        <v>46652</v>
      </c>
      <c r="D13" s="287">
        <v>45304</v>
      </c>
      <c r="E13" s="287">
        <v>38847</v>
      </c>
      <c r="F13" s="287">
        <v>7659</v>
      </c>
      <c r="G13" s="287"/>
      <c r="H13" s="287"/>
      <c r="I13" s="287"/>
      <c r="J13" s="287"/>
      <c r="K13" s="287"/>
      <c r="L13" s="287"/>
      <c r="M13" s="287"/>
    </row>
    <row r="14" spans="2:13">
      <c r="B14" s="38" t="s">
        <v>47</v>
      </c>
      <c r="C14" s="287">
        <v>32312</v>
      </c>
      <c r="D14" s="287">
        <v>56313</v>
      </c>
      <c r="E14" s="287">
        <v>32989</v>
      </c>
      <c r="F14" s="287">
        <v>27939</v>
      </c>
      <c r="G14" s="287">
        <v>29996</v>
      </c>
      <c r="H14" s="287">
        <v>39872</v>
      </c>
      <c r="I14" s="287">
        <v>129810</v>
      </c>
      <c r="J14" s="287">
        <v>121949</v>
      </c>
      <c r="K14" s="287">
        <v>108832</v>
      </c>
      <c r="L14" s="287">
        <v>110223</v>
      </c>
      <c r="M14" s="287"/>
    </row>
    <row r="15" spans="2:13">
      <c r="B15" s="41" t="s">
        <v>39</v>
      </c>
      <c r="C15" s="289">
        <v>235111</v>
      </c>
      <c r="D15" s="289">
        <v>333215</v>
      </c>
      <c r="E15" s="289">
        <v>111187</v>
      </c>
      <c r="F15" s="289">
        <v>22850</v>
      </c>
      <c r="G15" s="289">
        <v>360550</v>
      </c>
      <c r="H15" s="289">
        <v>74386</v>
      </c>
      <c r="I15" s="289">
        <v>592110</v>
      </c>
      <c r="J15" s="289">
        <v>459295</v>
      </c>
      <c r="K15" s="289">
        <v>503850</v>
      </c>
      <c r="L15" s="289">
        <v>517860</v>
      </c>
      <c r="M15" s="289"/>
    </row>
    <row r="16" spans="2:13">
      <c r="B16" s="27" t="s">
        <v>41</v>
      </c>
      <c r="C16" s="287">
        <v>2367</v>
      </c>
      <c r="D16" s="287">
        <v>2761</v>
      </c>
      <c r="E16" s="287">
        <v>834</v>
      </c>
      <c r="F16" s="287">
        <v>1636</v>
      </c>
      <c r="G16" s="287">
        <v>1420</v>
      </c>
      <c r="H16" s="287">
        <v>752</v>
      </c>
      <c r="I16" s="287">
        <v>1825</v>
      </c>
      <c r="J16" s="287">
        <v>1240</v>
      </c>
      <c r="K16" s="287">
        <v>23</v>
      </c>
      <c r="L16" s="287">
        <v>-122</v>
      </c>
      <c r="M16" s="287"/>
    </row>
    <row r="18" spans="2:13">
      <c r="B18" s="16" t="s">
        <v>48</v>
      </c>
      <c r="C18" s="9"/>
    </row>
    <row r="19" spans="2:13">
      <c r="B19" s="26" t="s">
        <v>44</v>
      </c>
      <c r="C19" s="287">
        <v>378473</v>
      </c>
      <c r="D19" s="287">
        <v>394190</v>
      </c>
      <c r="E19" s="287"/>
      <c r="F19" s="287"/>
      <c r="G19" s="287"/>
      <c r="H19" s="287"/>
      <c r="I19" s="287"/>
      <c r="J19" s="287"/>
      <c r="K19" s="287"/>
      <c r="L19" s="287"/>
      <c r="M19" s="287"/>
    </row>
    <row r="20" spans="2:13">
      <c r="B20" s="26" t="s">
        <v>50</v>
      </c>
      <c r="C20" s="287">
        <v>305069</v>
      </c>
      <c r="D20" s="287">
        <v>316358</v>
      </c>
      <c r="E20" s="287"/>
      <c r="F20" s="287"/>
      <c r="G20" s="287"/>
      <c r="H20" s="287"/>
      <c r="I20" s="287"/>
      <c r="J20" s="287"/>
      <c r="K20" s="287"/>
      <c r="L20" s="287"/>
      <c r="M20" s="287"/>
    </row>
    <row r="21" spans="2:13">
      <c r="B21" s="26" t="s">
        <v>49</v>
      </c>
      <c r="C21" s="287">
        <f>1620363-1596408</f>
        <v>23955</v>
      </c>
      <c r="D21" s="287">
        <f>1695309-1694297</f>
        <v>1012</v>
      </c>
      <c r="E21" s="287"/>
      <c r="F21" s="287"/>
      <c r="G21" s="287"/>
      <c r="H21" s="287"/>
      <c r="I21" s="287"/>
      <c r="J21" s="287"/>
      <c r="K21" s="287"/>
      <c r="L21" s="287"/>
      <c r="M21" s="287"/>
    </row>
    <row r="22" spans="2:13">
      <c r="B22" s="26" t="s">
        <v>286</v>
      </c>
      <c r="C22" s="287">
        <v>1510999</v>
      </c>
      <c r="D22" s="287">
        <v>1663154</v>
      </c>
      <c r="E22" s="287">
        <v>1698885</v>
      </c>
      <c r="F22" s="287">
        <v>1164441</v>
      </c>
      <c r="G22" s="287">
        <v>1692931</v>
      </c>
      <c r="H22" s="287">
        <v>1417017</v>
      </c>
      <c r="I22" s="287">
        <v>952115</v>
      </c>
      <c r="J22" s="287">
        <v>892669</v>
      </c>
      <c r="K22" s="287">
        <v>875824</v>
      </c>
      <c r="L22" s="287">
        <v>781447</v>
      </c>
      <c r="M22" s="287"/>
    </row>
    <row r="23" spans="2:13">
      <c r="B23" s="26" t="s">
        <v>288</v>
      </c>
      <c r="C23" s="287">
        <v>-254050</v>
      </c>
      <c r="D23" s="287">
        <v>-263006</v>
      </c>
      <c r="E23" s="287">
        <v>-407351</v>
      </c>
      <c r="F23" s="287">
        <v>-456030</v>
      </c>
      <c r="G23" s="287">
        <v>-273175</v>
      </c>
      <c r="H23" s="287">
        <v>-434207</v>
      </c>
      <c r="I23" s="287">
        <v>-198683</v>
      </c>
      <c r="J23" s="287">
        <v>-456669</v>
      </c>
      <c r="K23" s="287">
        <v>-592640</v>
      </c>
      <c r="L23" s="287">
        <v>-179257</v>
      </c>
      <c r="M23" s="287"/>
    </row>
    <row r="24" spans="2:13">
      <c r="B24" s="26" t="s">
        <v>287</v>
      </c>
      <c r="C24" s="287">
        <v>-1460236</v>
      </c>
      <c r="D24" s="287">
        <v>-1802477</v>
      </c>
      <c r="E24" s="287">
        <v>-1192662</v>
      </c>
      <c r="F24" s="287">
        <v>-1206590</v>
      </c>
      <c r="G24" s="287">
        <v>287961</v>
      </c>
      <c r="H24" s="287">
        <v>-1461178</v>
      </c>
      <c r="I24" s="287">
        <v>-690622</v>
      </c>
      <c r="J24" s="287">
        <v>-465820</v>
      </c>
      <c r="K24" s="287">
        <v>-661826</v>
      </c>
      <c r="L24" s="287">
        <v>-463395</v>
      </c>
      <c r="M24" s="287"/>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547</v>
      </c>
    </row>
    <row r="28" spans="2:13">
      <c r="B28" s="25" t="s">
        <v>22</v>
      </c>
      <c r="C28" s="270">
        <f>BS!C4</f>
        <v>100361</v>
      </c>
      <c r="D28" s="287">
        <v>89430</v>
      </c>
      <c r="E28" s="287">
        <v>75868</v>
      </c>
      <c r="F28" s="287">
        <v>51007</v>
      </c>
      <c r="G28" s="287">
        <v>37326</v>
      </c>
      <c r="H28" s="287">
        <v>50182</v>
      </c>
      <c r="I28" s="287">
        <v>70869</v>
      </c>
      <c r="J28" s="287">
        <v>65261</v>
      </c>
      <c r="K28" s="287">
        <v>45658</v>
      </c>
      <c r="L28" s="287">
        <v>43197</v>
      </c>
      <c r="M28" s="287"/>
    </row>
    <row r="29" spans="2:13">
      <c r="B29" s="25" t="s">
        <v>30</v>
      </c>
      <c r="C29" s="270">
        <f>BS!C6</f>
        <v>227738</v>
      </c>
      <c r="D29" s="287">
        <v>230288</v>
      </c>
      <c r="E29" s="287">
        <v>268243</v>
      </c>
      <c r="F29" s="287">
        <v>303542</v>
      </c>
      <c r="G29" s="287">
        <v>234924</v>
      </c>
      <c r="H29" s="287">
        <v>260626</v>
      </c>
      <c r="I29" s="287">
        <v>241325</v>
      </c>
      <c r="J29" s="287">
        <v>234362</v>
      </c>
      <c r="K29" s="287">
        <v>240154</v>
      </c>
      <c r="L29" s="287">
        <v>214551</v>
      </c>
      <c r="M29" s="287"/>
    </row>
    <row r="30" spans="2:13">
      <c r="B30" s="28" t="s">
        <v>38</v>
      </c>
      <c r="C30" s="271">
        <f>BS!C33+BS!C42</f>
        <v>3143428</v>
      </c>
      <c r="D30" s="289">
        <v>3603411</v>
      </c>
      <c r="E30" s="289">
        <v>4383277</v>
      </c>
      <c r="F30" s="289">
        <v>4045470</v>
      </c>
      <c r="G30" s="289">
        <v>4119837</v>
      </c>
      <c r="H30" s="289">
        <v>3549446</v>
      </c>
      <c r="I30" s="289">
        <v>1072340</v>
      </c>
      <c r="J30" s="289">
        <v>1042829</v>
      </c>
      <c r="K30" s="289">
        <v>945690</v>
      </c>
      <c r="L30" s="289">
        <v>903190</v>
      </c>
      <c r="M30" s="289"/>
    </row>
    <row r="31" spans="2:13">
      <c r="B31" s="28" t="s">
        <v>28</v>
      </c>
      <c r="C31" s="271">
        <f>BS!G27</f>
        <v>2646614</v>
      </c>
      <c r="D31" s="289">
        <v>2910513</v>
      </c>
      <c r="E31" s="289">
        <v>2792063</v>
      </c>
      <c r="F31" s="289">
        <v>2826376</v>
      </c>
      <c r="G31" s="289">
        <v>3034836</v>
      </c>
      <c r="H31" s="289">
        <v>2671312</v>
      </c>
      <c r="I31" s="289">
        <v>3421750</v>
      </c>
      <c r="J31" s="289">
        <v>3573500</v>
      </c>
      <c r="K31" s="289">
        <v>3491120</v>
      </c>
      <c r="L31" s="289">
        <v>3541997</v>
      </c>
      <c r="M31" s="289"/>
    </row>
    <row r="32" spans="2:13">
      <c r="B32" s="25" t="s">
        <v>143</v>
      </c>
      <c r="C32" s="270">
        <f>BS!G28</f>
        <v>9054</v>
      </c>
      <c r="D32" s="287">
        <v>10665</v>
      </c>
      <c r="E32" s="287">
        <v>8469</v>
      </c>
      <c r="F32" s="287">
        <v>7635</v>
      </c>
      <c r="G32" s="287">
        <v>5999</v>
      </c>
      <c r="H32" s="287">
        <v>4579</v>
      </c>
      <c r="I32" s="287">
        <v>6262</v>
      </c>
      <c r="J32" s="287">
        <v>3819</v>
      </c>
      <c r="K32" s="287">
        <v>3743</v>
      </c>
      <c r="L32" s="287">
        <v>3720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8568317</v>
      </c>
      <c r="D36" s="270">
        <f t="shared" si="1"/>
        <v>8691449</v>
      </c>
      <c r="E36" s="270">
        <f t="shared" si="1"/>
        <v>8024044</v>
      </c>
      <c r="F36" s="270">
        <f t="shared" si="1"/>
        <v>7508753</v>
      </c>
      <c r="G36" s="270">
        <f t="shared" si="1"/>
        <v>6714255</v>
      </c>
      <c r="H36" s="270">
        <f t="shared" si="1"/>
        <v>7963097</v>
      </c>
      <c r="I36" s="270">
        <f t="shared" si="1"/>
        <v>8493883</v>
      </c>
      <c r="J36" s="270">
        <f t="shared" si="1"/>
        <v>8427399</v>
      </c>
      <c r="K36" s="270">
        <f t="shared" si="1"/>
        <v>7895262</v>
      </c>
      <c r="L36" s="270">
        <f t="shared" si="1"/>
        <v>7567176</v>
      </c>
      <c r="M36" s="270" t="str">
        <f t="shared" si="1"/>
        <v/>
      </c>
    </row>
    <row r="37" spans="2:13">
      <c r="B37" s="38" t="s">
        <v>40</v>
      </c>
      <c r="C37" s="270">
        <f t="shared" ref="C37:M37" si="2">IF(C$4="","",-C5)</f>
        <v>-7675662</v>
      </c>
      <c r="D37" s="270">
        <f t="shared" si="2"/>
        <v>-7702163</v>
      </c>
      <c r="E37" s="270">
        <f t="shared" si="2"/>
        <v>-7321395</v>
      </c>
      <c r="F37" s="270">
        <f t="shared" si="2"/>
        <v>-6961032</v>
      </c>
      <c r="G37" s="270">
        <f t="shared" si="2"/>
        <v>-6339067</v>
      </c>
      <c r="H37" s="270">
        <f t="shared" si="2"/>
        <v>-7232445</v>
      </c>
      <c r="I37" s="270">
        <f t="shared" si="2"/>
        <v>-7356665</v>
      </c>
      <c r="J37" s="270">
        <f t="shared" si="2"/>
        <v>-7385291</v>
      </c>
      <c r="K37" s="270">
        <f t="shared" si="2"/>
        <v>-6838442</v>
      </c>
      <c r="L37" s="270">
        <f t="shared" si="2"/>
        <v>-6522504</v>
      </c>
      <c r="M37" s="270" t="str">
        <f t="shared" si="2"/>
        <v/>
      </c>
    </row>
    <row r="38" spans="2:13">
      <c r="B38" s="30" t="s">
        <v>55</v>
      </c>
      <c r="C38" s="267">
        <f>IF(C36="","",C36+C37)</f>
        <v>892655</v>
      </c>
      <c r="D38" s="267">
        <f t="shared" ref="D38" si="3">IF(D36="","",D36+D37)</f>
        <v>989286</v>
      </c>
      <c r="E38" s="267">
        <f t="shared" ref="E38" si="4">IF(E36="","",E36+E37)</f>
        <v>702649</v>
      </c>
      <c r="F38" s="267">
        <f t="shared" ref="F38" si="5">IF(F36="","",F36+F37)</f>
        <v>547721</v>
      </c>
      <c r="G38" s="267">
        <f t="shared" ref="G38" si="6">IF(G36="","",G36+G37)</f>
        <v>375188</v>
      </c>
      <c r="H38" s="267">
        <f t="shared" ref="H38" si="7">IF(H36="","",H36+H37)</f>
        <v>730652</v>
      </c>
      <c r="I38" s="267">
        <f t="shared" ref="I38" si="8">IF(I36="","",I36+I37)</f>
        <v>1137218</v>
      </c>
      <c r="J38" s="267">
        <f t="shared" ref="J38" si="9">IF(J36="","",J36+J37)</f>
        <v>1042108</v>
      </c>
      <c r="K38" s="267">
        <f t="shared" ref="K38" si="10">IF(K36="","",K36+K37)</f>
        <v>1056820</v>
      </c>
      <c r="L38" s="267">
        <f t="shared" ref="L38" si="11">IF(L36="","",L36+L37)</f>
        <v>1044672</v>
      </c>
      <c r="M38" s="267" t="str">
        <f t="shared" ref="M38" si="12">IF(M36="","",M36+M37)</f>
        <v/>
      </c>
    </row>
    <row r="39" spans="2:13">
      <c r="B39" s="38" t="s">
        <v>51</v>
      </c>
      <c r="C39" s="270">
        <f t="shared" ref="C39:M39" si="13">IF(C$4="","",-C6)</f>
        <v>-494493</v>
      </c>
      <c r="D39" s="270">
        <f t="shared" si="13"/>
        <v>-503213</v>
      </c>
      <c r="E39" s="270">
        <f t="shared" si="13"/>
        <v>-486079</v>
      </c>
      <c r="F39" s="270">
        <f t="shared" si="13"/>
        <v>-458843</v>
      </c>
      <c r="G39" s="270">
        <f t="shared" si="13"/>
        <v>-462619</v>
      </c>
      <c r="H39" s="270">
        <f t="shared" si="13"/>
        <v>-481414</v>
      </c>
      <c r="I39" s="270">
        <f t="shared" si="13"/>
        <v>-447788</v>
      </c>
      <c r="J39" s="270">
        <f t="shared" si="13"/>
        <v>-458819</v>
      </c>
      <c r="K39" s="270">
        <f t="shared" si="13"/>
        <v>-430609</v>
      </c>
      <c r="L39" s="270">
        <f t="shared" si="13"/>
        <v>-430039</v>
      </c>
      <c r="M39" s="270" t="str">
        <f t="shared" si="13"/>
        <v/>
      </c>
    </row>
    <row r="40" spans="2:13">
      <c r="B40" s="66" t="s">
        <v>58</v>
      </c>
      <c r="C40" s="282">
        <f t="shared" ref="C40:M40" si="14">IF(C$4="","",-C7)</f>
        <v>0</v>
      </c>
      <c r="D40" s="282">
        <f t="shared" si="14"/>
        <v>0</v>
      </c>
      <c r="E40" s="282">
        <f t="shared" si="14"/>
        <v>0</v>
      </c>
      <c r="F40" s="282">
        <f t="shared" si="14"/>
        <v>0</v>
      </c>
      <c r="G40" s="282">
        <f t="shared" si="14"/>
        <v>0</v>
      </c>
      <c r="H40" s="282">
        <f t="shared" si="14"/>
        <v>0</v>
      </c>
      <c r="I40" s="282">
        <f t="shared" si="14"/>
        <v>0</v>
      </c>
      <c r="J40" s="282">
        <f t="shared" si="14"/>
        <v>0</v>
      </c>
      <c r="K40" s="282">
        <f t="shared" si="14"/>
        <v>0</v>
      </c>
      <c r="L40" s="282">
        <f t="shared" si="14"/>
        <v>0</v>
      </c>
      <c r="M40" s="282" t="str">
        <f t="shared" si="14"/>
        <v/>
      </c>
    </row>
    <row r="41" spans="2:13">
      <c r="B41" s="66" t="s">
        <v>61</v>
      </c>
      <c r="C41" s="282">
        <f>IF(C$4="","",C39-C40)</f>
        <v>-494493</v>
      </c>
      <c r="D41" s="282">
        <f t="shared" ref="D41:M41" si="15">IF(D$4="","",D39-D40)</f>
        <v>-503213</v>
      </c>
      <c r="E41" s="282">
        <f t="shared" si="15"/>
        <v>-486079</v>
      </c>
      <c r="F41" s="282">
        <f t="shared" si="15"/>
        <v>-458843</v>
      </c>
      <c r="G41" s="282">
        <f t="shared" si="15"/>
        <v>-462619</v>
      </c>
      <c r="H41" s="282">
        <f t="shared" si="15"/>
        <v>-481414</v>
      </c>
      <c r="I41" s="282">
        <f t="shared" si="15"/>
        <v>-447788</v>
      </c>
      <c r="J41" s="282">
        <f t="shared" si="15"/>
        <v>-458819</v>
      </c>
      <c r="K41" s="282">
        <f t="shared" si="15"/>
        <v>-430609</v>
      </c>
      <c r="L41" s="282">
        <f t="shared" si="15"/>
        <v>-430039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398162</v>
      </c>
      <c r="D43" s="271">
        <f t="shared" ref="D43:M43" si="17">IF(D$4="","",D38+D39+D42)</f>
        <v>486073</v>
      </c>
      <c r="E43" s="271">
        <f t="shared" si="17"/>
        <v>216570</v>
      </c>
      <c r="F43" s="271">
        <f t="shared" si="17"/>
        <v>88878</v>
      </c>
      <c r="G43" s="271">
        <f t="shared" si="17"/>
        <v>-87431</v>
      </c>
      <c r="H43" s="271">
        <f t="shared" si="17"/>
        <v>249238</v>
      </c>
      <c r="I43" s="271">
        <f t="shared" si="17"/>
        <v>689430</v>
      </c>
      <c r="J43" s="271">
        <f t="shared" si="17"/>
        <v>583289</v>
      </c>
      <c r="K43" s="271">
        <f t="shared" si="17"/>
        <v>626211</v>
      </c>
      <c r="L43" s="271">
        <f t="shared" si="17"/>
        <v>614633</v>
      </c>
      <c r="M43" s="271" t="str">
        <f t="shared" si="17"/>
        <v/>
      </c>
    </row>
    <row r="44" spans="2:13">
      <c r="B44" s="41" t="s">
        <v>139</v>
      </c>
      <c r="C44" s="290">
        <f t="shared" ref="C44:M44" si="18">IF(C$4="","",C47-C46-C45-C43)</f>
        <v>-73276</v>
      </c>
      <c r="D44" s="290">
        <f t="shared" si="18"/>
        <v>-33257</v>
      </c>
      <c r="E44" s="290">
        <f t="shared" si="18"/>
        <v>-12733</v>
      </c>
      <c r="F44" s="290">
        <f t="shared" si="18"/>
        <v>42296</v>
      </c>
      <c r="G44" s="290">
        <f t="shared" si="18"/>
        <v>477977</v>
      </c>
      <c r="H44" s="290">
        <f t="shared" si="18"/>
        <v>-134980</v>
      </c>
      <c r="I44" s="290">
        <f t="shared" si="18"/>
        <v>32490</v>
      </c>
      <c r="J44" s="290">
        <f t="shared" si="18"/>
        <v>-2045</v>
      </c>
      <c r="K44" s="290">
        <f t="shared" si="18"/>
        <v>-13529</v>
      </c>
      <c r="L44" s="290">
        <f t="shared" si="18"/>
        <v>13450</v>
      </c>
      <c r="M44" s="290" t="str">
        <f t="shared" si="18"/>
        <v/>
      </c>
    </row>
    <row r="45" spans="2:13">
      <c r="B45" s="38" t="s">
        <v>65</v>
      </c>
      <c r="C45" s="285">
        <f t="shared" ref="C45:M45" si="19">IF(C$4="","",C51+C52)</f>
        <v>-57463</v>
      </c>
      <c r="D45" s="285">
        <f t="shared" si="19"/>
        <v>-63288</v>
      </c>
      <c r="E45" s="285">
        <f t="shared" si="19"/>
        <v>-59661</v>
      </c>
      <c r="F45" s="285">
        <f t="shared" si="19"/>
        <v>-80385</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-32312</v>
      </c>
      <c r="D46" s="270">
        <f t="shared" ref="D46:M46" si="20">IF(D$4="","",-D14)</f>
        <v>-56313</v>
      </c>
      <c r="E46" s="270">
        <f t="shared" si="20"/>
        <v>-32989</v>
      </c>
      <c r="F46" s="270">
        <f t="shared" si="20"/>
        <v>-27939</v>
      </c>
      <c r="G46" s="270">
        <f t="shared" si="20"/>
        <v>-29996</v>
      </c>
      <c r="H46" s="270">
        <f t="shared" si="20"/>
        <v>-39872</v>
      </c>
      <c r="I46" s="270">
        <f t="shared" si="20"/>
        <v>-129810</v>
      </c>
      <c r="J46" s="270">
        <f t="shared" si="20"/>
        <v>-121949</v>
      </c>
      <c r="K46" s="270">
        <f t="shared" si="20"/>
        <v>-108832</v>
      </c>
      <c r="L46" s="270">
        <f t="shared" si="20"/>
        <v>-110223</v>
      </c>
      <c r="M46" s="270" t="str">
        <f t="shared" si="20"/>
        <v/>
      </c>
    </row>
    <row r="47" spans="2:13">
      <c r="B47" s="41" t="s">
        <v>39</v>
      </c>
      <c r="C47" s="271">
        <f t="shared" ref="C47:M47" si="21">IF(C$4="","",C15)</f>
        <v>235111</v>
      </c>
      <c r="D47" s="271">
        <f t="shared" si="21"/>
        <v>333215</v>
      </c>
      <c r="E47" s="271">
        <f t="shared" si="21"/>
        <v>111187</v>
      </c>
      <c r="F47" s="271">
        <f t="shared" si="21"/>
        <v>22850</v>
      </c>
      <c r="G47" s="271">
        <f t="shared" si="21"/>
        <v>360550</v>
      </c>
      <c r="H47" s="271">
        <f t="shared" si="21"/>
        <v>74386</v>
      </c>
      <c r="I47" s="271">
        <f t="shared" si="21"/>
        <v>592110</v>
      </c>
      <c r="J47" s="271">
        <f t="shared" si="21"/>
        <v>459295</v>
      </c>
      <c r="K47" s="271">
        <f t="shared" si="21"/>
        <v>503850</v>
      </c>
      <c r="L47" s="271">
        <f t="shared" si="21"/>
        <v>517860</v>
      </c>
      <c r="M47" s="271" t="str">
        <f t="shared" si="21"/>
        <v/>
      </c>
    </row>
    <row r="48" spans="2:13">
      <c r="B48" s="27" t="s">
        <v>41</v>
      </c>
      <c r="C48" s="270">
        <f t="shared" ref="C48:M48" si="22">IF(C$4="","",MIN(-C16,0))</f>
        <v>-2367</v>
      </c>
      <c r="D48" s="270">
        <f t="shared" si="22"/>
        <v>-2761</v>
      </c>
      <c r="E48" s="270">
        <f t="shared" si="22"/>
        <v>-834</v>
      </c>
      <c r="F48" s="270">
        <f t="shared" si="22"/>
        <v>-1636</v>
      </c>
      <c r="G48" s="270">
        <f t="shared" si="22"/>
        <v>-1420</v>
      </c>
      <c r="H48" s="270">
        <f t="shared" si="22"/>
        <v>-752</v>
      </c>
      <c r="I48" s="270">
        <f t="shared" si="22"/>
        <v>-1825</v>
      </c>
      <c r="J48" s="270">
        <f t="shared" si="22"/>
        <v>-1240</v>
      </c>
      <c r="K48" s="270">
        <f t="shared" si="22"/>
        <v>-23</v>
      </c>
      <c r="L48" s="270">
        <f t="shared" si="22"/>
        <v>0</v>
      </c>
      <c r="M48" s="270" t="str">
        <f t="shared" si="22"/>
        <v/>
      </c>
    </row>
    <row r="50" spans="2:13">
      <c r="B50" s="16" t="s">
        <v>65</v>
      </c>
    </row>
    <row r="51" spans="2:13">
      <c r="B51" s="38" t="s">
        <v>37</v>
      </c>
      <c r="C51" s="270">
        <f t="shared" ref="C51:M51" si="23">IF(C$4="","",-C12)</f>
        <v>-104115</v>
      </c>
      <c r="D51" s="270">
        <f t="shared" si="23"/>
        <v>-108592</v>
      </c>
      <c r="E51" s="270">
        <f t="shared" si="23"/>
        <v>-98508</v>
      </c>
      <c r="F51" s="270">
        <f t="shared" si="23"/>
        <v>-88044</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46652</v>
      </c>
      <c r="D52" s="270">
        <f t="shared" ref="D52:M52" si="24">IF(D$4="","",D13)</f>
        <v>45304</v>
      </c>
      <c r="E52" s="270">
        <f t="shared" si="24"/>
        <v>38847</v>
      </c>
      <c r="F52" s="270">
        <f t="shared" si="24"/>
        <v>7659</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-73276</v>
      </c>
      <c r="D58" s="285">
        <f t="shared" ref="D58:M58" si="28">IF(D$4="","",D44-D55-D56-D57)</f>
        <v>-33257</v>
      </c>
      <c r="E58" s="285">
        <f t="shared" si="28"/>
        <v>-12733</v>
      </c>
      <c r="F58" s="285">
        <f t="shared" si="28"/>
        <v>42296</v>
      </c>
      <c r="G58" s="285">
        <f t="shared" si="28"/>
        <v>477977</v>
      </c>
      <c r="H58" s="285">
        <f t="shared" si="28"/>
        <v>-134980</v>
      </c>
      <c r="I58" s="285">
        <f t="shared" si="28"/>
        <v>32490</v>
      </c>
      <c r="J58" s="285">
        <f t="shared" si="28"/>
        <v>-2045</v>
      </c>
      <c r="K58" s="285">
        <f t="shared" si="28"/>
        <v>-13529</v>
      </c>
      <c r="L58" s="285">
        <f t="shared" si="28"/>
        <v>13450</v>
      </c>
      <c r="M58" s="285" t="str">
        <f t="shared" si="28"/>
        <v/>
      </c>
    </row>
    <row r="60" spans="2:13">
      <c r="B60" s="16" t="s">
        <v>48</v>
      </c>
      <c r="C60" s="9"/>
    </row>
    <row r="61" spans="2:13">
      <c r="B61" s="26" t="s">
        <v>44</v>
      </c>
      <c r="C61" s="270">
        <f>IF(C$4="","",-C19)</f>
        <v>-378473</v>
      </c>
      <c r="D61" s="270">
        <f t="shared" ref="D61:M61" si="29">IF(D$4="","",-D19)</f>
        <v>-394190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-305069</v>
      </c>
      <c r="D62" s="270">
        <f t="shared" ref="D62:M62" si="30">IF(D$4="","",IF(D20=0,D61,-D20))</f>
        <v>-316358</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-23955</v>
      </c>
      <c r="D63" s="270">
        <f t="shared" ref="D63:M63" si="31">IF(D$4="","",-D21)</f>
        <v>-1012</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-203287</v>
      </c>
      <c r="D64" s="270">
        <f t="shared" ref="D64:M64" si="32">IF(D$4="","",D22+D23+D24)</f>
        <v>-402329</v>
      </c>
      <c r="E64" s="270">
        <f t="shared" si="32"/>
        <v>98872</v>
      </c>
      <c r="F64" s="270">
        <f t="shared" si="32"/>
        <v>-498179</v>
      </c>
      <c r="G64" s="270">
        <f t="shared" si="32"/>
        <v>1707717</v>
      </c>
      <c r="H64" s="270">
        <f t="shared" si="32"/>
        <v>-478368</v>
      </c>
      <c r="I64" s="270">
        <f t="shared" si="32"/>
        <v>62810</v>
      </c>
      <c r="J64" s="270">
        <f t="shared" si="32"/>
        <v>-29820</v>
      </c>
      <c r="K64" s="270">
        <f t="shared" si="32"/>
        <v>-378642</v>
      </c>
      <c r="L64" s="270">
        <f t="shared" si="32"/>
        <v>138795</v>
      </c>
      <c r="M64" s="270"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5790042</v>
      </c>
      <c r="D76" s="285">
        <f t="shared" ref="D76:M76" si="39">IF(D$4="","",D79+D80)</f>
        <v>6513924</v>
      </c>
      <c r="E76" s="285">
        <f t="shared" si="39"/>
        <v>7175340</v>
      </c>
      <c r="F76" s="285">
        <f t="shared" si="39"/>
        <v>6871846</v>
      </c>
      <c r="G76" s="285">
        <f t="shared" si="39"/>
        <v>7154673</v>
      </c>
      <c r="H76" s="285">
        <f t="shared" si="39"/>
        <v>6220758</v>
      </c>
      <c r="I76" s="285">
        <f t="shared" si="39"/>
        <v>4494090</v>
      </c>
      <c r="J76" s="285">
        <f t="shared" si="39"/>
        <v>4616329</v>
      </c>
      <c r="K76" s="285">
        <f t="shared" si="39"/>
        <v>4436810</v>
      </c>
      <c r="L76" s="285">
        <f t="shared" si="39"/>
        <v>4445187</v>
      </c>
      <c r="M76" s="285" t="str">
        <f t="shared" si="39"/>
        <v/>
      </c>
    </row>
    <row r="77" spans="2:13">
      <c r="B77" s="90" t="s">
        <v>82</v>
      </c>
      <c r="C77" s="260">
        <f t="shared" ref="C77:H78" si="40">IF(C$4="","",C28)</f>
        <v>100361</v>
      </c>
      <c r="D77" s="282">
        <f t="shared" si="40"/>
        <v>89430</v>
      </c>
      <c r="E77" s="282">
        <f t="shared" si="40"/>
        <v>75868</v>
      </c>
      <c r="F77" s="282">
        <f t="shared" si="40"/>
        <v>51007</v>
      </c>
      <c r="G77" s="282">
        <f t="shared" si="40"/>
        <v>37326</v>
      </c>
      <c r="H77" s="282">
        <f t="shared" si="40"/>
        <v>50182</v>
      </c>
      <c r="I77" s="291"/>
      <c r="J77" s="291"/>
      <c r="K77" s="291"/>
      <c r="L77" s="291"/>
      <c r="M77" s="291"/>
    </row>
    <row r="78" spans="2:13">
      <c r="B78" s="90" t="s">
        <v>83</v>
      </c>
      <c r="C78" s="260">
        <f t="shared" si="40"/>
        <v>227738</v>
      </c>
      <c r="D78" s="282">
        <f t="shared" si="40"/>
        <v>230288</v>
      </c>
      <c r="E78" s="282">
        <f t="shared" si="40"/>
        <v>268243</v>
      </c>
      <c r="F78" s="282">
        <f t="shared" si="40"/>
        <v>303542</v>
      </c>
      <c r="G78" s="282">
        <f t="shared" si="40"/>
        <v>234924</v>
      </c>
      <c r="H78" s="282">
        <f t="shared" si="40"/>
        <v>260626</v>
      </c>
      <c r="I78" s="291"/>
      <c r="J78" s="291"/>
      <c r="K78" s="291"/>
      <c r="L78" s="291"/>
      <c r="M78" s="291"/>
    </row>
    <row r="79" spans="2:13">
      <c r="B79" s="25" t="s">
        <v>38</v>
      </c>
      <c r="C79" s="259">
        <f t="shared" ref="C79:M79" si="41">IF(C$4="","",C30)</f>
        <v>3143428</v>
      </c>
      <c r="D79" s="270">
        <f t="shared" si="41"/>
        <v>3603411</v>
      </c>
      <c r="E79" s="270">
        <f t="shared" si="41"/>
        <v>4383277</v>
      </c>
      <c r="F79" s="270">
        <f t="shared" si="41"/>
        <v>4045470</v>
      </c>
      <c r="G79" s="270">
        <f t="shared" si="41"/>
        <v>4119837</v>
      </c>
      <c r="H79" s="270">
        <f t="shared" si="41"/>
        <v>3549446</v>
      </c>
      <c r="I79" s="270">
        <f t="shared" si="41"/>
        <v>1072340</v>
      </c>
      <c r="J79" s="270">
        <f t="shared" si="41"/>
        <v>1042829</v>
      </c>
      <c r="K79" s="270">
        <f t="shared" si="41"/>
        <v>945690</v>
      </c>
      <c r="L79" s="270">
        <f t="shared" si="41"/>
        <v>903190</v>
      </c>
      <c r="M79" s="270" t="str">
        <f t="shared" si="41"/>
        <v/>
      </c>
    </row>
    <row r="80" spans="2:13">
      <c r="B80" s="25" t="s">
        <v>28</v>
      </c>
      <c r="C80" s="259">
        <f t="shared" ref="C80:M80" si="42">IF(C$4="","",C31)</f>
        <v>2646614</v>
      </c>
      <c r="D80" s="270">
        <f t="shared" si="42"/>
        <v>2910513</v>
      </c>
      <c r="E80" s="270">
        <f t="shared" si="42"/>
        <v>2792063</v>
      </c>
      <c r="F80" s="270">
        <f t="shared" si="42"/>
        <v>2826376</v>
      </c>
      <c r="G80" s="270">
        <f t="shared" si="42"/>
        <v>3034836</v>
      </c>
      <c r="H80" s="270">
        <f t="shared" si="42"/>
        <v>2671312</v>
      </c>
      <c r="I80" s="270">
        <f t="shared" si="42"/>
        <v>3421750</v>
      </c>
      <c r="J80" s="270">
        <f t="shared" si="42"/>
        <v>3573500</v>
      </c>
      <c r="K80" s="270">
        <f t="shared" si="42"/>
        <v>3491120</v>
      </c>
      <c r="L80" s="270">
        <f t="shared" si="42"/>
        <v>3541997</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100361</v>
      </c>
      <c r="D4" s="231">
        <v>0.6</v>
      </c>
      <c r="E4" s="24"/>
      <c r="F4" s="4" t="s">
        <v>74</v>
      </c>
      <c r="G4" s="18">
        <v>965267</v>
      </c>
      <c r="H4" s="231">
        <v>0.9</v>
      </c>
    </row>
    <row r="5" spans="2:8" ht="15" customHeight="1">
      <c r="B5" s="1" t="s">
        <v>31</v>
      </c>
      <c r="C5" s="18">
        <v>0</v>
      </c>
      <c r="D5" s="231">
        <v>0.6</v>
      </c>
      <c r="E5" s="24"/>
      <c r="F5" s="1" t="s">
        <v>27</v>
      </c>
      <c r="G5" s="18">
        <v>0</v>
      </c>
      <c r="H5" s="231">
        <v>0.7</v>
      </c>
    </row>
    <row r="6" spans="2:8" ht="15" customHeight="1">
      <c r="B6" s="4" t="s">
        <v>8</v>
      </c>
      <c r="C6" s="18">
        <v>227738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81768</v>
      </c>
      <c r="D9" s="231">
        <v>0.1</v>
      </c>
      <c r="E9" s="24"/>
      <c r="F9" s="4" t="s">
        <v>150</v>
      </c>
      <c r="G9" s="18">
        <v>0</v>
      </c>
      <c r="H9" s="231">
        <v>0.6</v>
      </c>
    </row>
    <row r="10" spans="2:8" ht="15" customHeight="1">
      <c r="B10" s="4" t="s">
        <v>9</v>
      </c>
      <c r="C10" s="18">
        <v>19015</v>
      </c>
      <c r="D10" s="231">
        <v>0.9</v>
      </c>
      <c r="F10" s="1" t="s">
        <v>402</v>
      </c>
      <c r="G10" s="18">
        <v>0</v>
      </c>
      <c r="H10" s="231">
        <v>0.6</v>
      </c>
    </row>
    <row r="11" spans="2:8" ht="15" customHeight="1">
      <c r="B11" s="4" t="s">
        <v>10</v>
      </c>
      <c r="C11" s="18">
        <v>0</v>
      </c>
      <c r="D11" s="231">
        <v>0.05</v>
      </c>
      <c r="H11" s="232"/>
    </row>
    <row r="12" spans="2:8" ht="15" customHeight="1">
      <c r="B12" s="77" t="s">
        <v>69</v>
      </c>
      <c r="C12" s="78">
        <f>SUM(C4:C11)</f>
        <v>428882</v>
      </c>
      <c r="D12" s="19">
        <f>C4*D4+C5*D5+C9*D9+C6*D6+C8*D8+C7*D7+C10*D10+C11*D11</f>
        <v>199375.9</v>
      </c>
      <c r="F12" s="77" t="s">
        <v>67</v>
      </c>
      <c r="G12" s="78">
        <f>SUM(G4:G10)</f>
        <v>965267</v>
      </c>
      <c r="H12" s="19">
        <f>G4*H4+G5*H5+G6*H6+G7*H7+G8*H8+G9*H9+G10*H10</f>
        <v>868740.3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312123</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36745</v>
      </c>
      <c r="H17" s="231">
        <v>0.6</v>
      </c>
    </row>
    <row r="18" spans="2:8" ht="15" customHeight="1">
      <c r="B18" s="4" t="s">
        <v>144</v>
      </c>
      <c r="C18" s="18">
        <v>0</v>
      </c>
      <c r="D18" s="231">
        <v>0.6</v>
      </c>
      <c r="F18" s="4" t="s">
        <v>151</v>
      </c>
      <c r="G18" s="18">
        <v>0</v>
      </c>
      <c r="H18" s="231">
        <v>0.1</v>
      </c>
    </row>
    <row r="19" spans="2:8" ht="15" customHeight="1">
      <c r="B19" s="4" t="s">
        <v>24</v>
      </c>
      <c r="C19" s="18">
        <f>1411441+2117777</f>
        <v>3529218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390300</v>
      </c>
      <c r="H21" s="231">
        <v>0.1</v>
      </c>
    </row>
    <row r="22" spans="2:8" ht="15" customHeight="1">
      <c r="B22" s="4" t="s">
        <v>18</v>
      </c>
      <c r="C22" s="18">
        <v>118943</v>
      </c>
      <c r="D22" s="231">
        <v>0.9</v>
      </c>
      <c r="H22" s="232"/>
    </row>
    <row r="23" spans="2:8" ht="15" customHeight="1">
      <c r="B23" s="4" t="s">
        <v>19</v>
      </c>
      <c r="C23" s="18">
        <v>7460</v>
      </c>
      <c r="D23" s="231">
        <v>0</v>
      </c>
      <c r="H23" s="232"/>
    </row>
    <row r="24" spans="2:8" ht="15" customHeight="1">
      <c r="B24" s="77" t="s">
        <v>70</v>
      </c>
      <c r="C24" s="78">
        <f>SUM(C15:C23)</f>
        <v>3968848</v>
      </c>
      <c r="D24" s="19">
        <f>C15*D15+C16*D16+C18*D18+C17*D17+C19*D19+C20*D20+C21*D21+C22*D22+C23*D23</f>
        <v>584874.9</v>
      </c>
      <c r="F24" s="77" t="s">
        <v>68</v>
      </c>
      <c r="G24" s="78">
        <f>SUM(G15:G21)</f>
        <v>427045</v>
      </c>
      <c r="H24" s="19">
        <f>G15*H15+G16*H16+G17*H17+G18*H18+G19*H19+G20*H20+G21*H21</f>
        <v>61077</v>
      </c>
    </row>
    <row r="26" spans="2:8" ht="15" customHeight="1">
      <c r="B26" s="16" t="s">
        <v>169</v>
      </c>
      <c r="C26" s="164" t="s">
        <v>113</v>
      </c>
      <c r="F26" s="166" t="s">
        <v>165</v>
      </c>
      <c r="G26" s="167" t="s">
        <v>113</v>
      </c>
      <c r="H26" s="168" t="s">
        <v>33</v>
      </c>
    </row>
    <row r="27" spans="2:8" ht="15" customHeight="1">
      <c r="B27" s="4" t="s">
        <v>3</v>
      </c>
      <c r="C27" s="18">
        <v>140000</v>
      </c>
      <c r="F27" s="169" t="s">
        <v>28</v>
      </c>
      <c r="G27" s="82">
        <f>G32-G30</f>
        <v>2646614</v>
      </c>
      <c r="H27" s="170">
        <f>H32-G30</f>
        <v>-1429359.9</v>
      </c>
    </row>
    <row r="28" spans="2:8" ht="15" customHeight="1">
      <c r="B28" s="4" t="s">
        <v>4</v>
      </c>
      <c r="C28" s="18">
        <v>681268</v>
      </c>
      <c r="F28" s="171" t="s">
        <v>209</v>
      </c>
      <c r="G28" s="287">
        <v>9054</v>
      </c>
      <c r="H28" s="170"/>
    </row>
    <row r="29" spans="2:8" ht="15" customHeight="1">
      <c r="B29" s="4" t="s">
        <v>5</v>
      </c>
      <c r="C29" s="18">
        <v>0</v>
      </c>
      <c r="F29" s="172" t="s">
        <v>72</v>
      </c>
      <c r="G29" s="14">
        <f>G27-G28</f>
        <v>2637560</v>
      </c>
      <c r="H29" s="170">
        <f>H27-G28</f>
        <v>-1438413.9</v>
      </c>
    </row>
    <row r="30" spans="2:8" ht="15" customHeight="1">
      <c r="B30" s="2" t="s">
        <v>6</v>
      </c>
      <c r="C30" s="18">
        <v>0</v>
      </c>
      <c r="F30" s="169" t="s">
        <v>21</v>
      </c>
      <c r="G30" s="82">
        <f>C33+C42</f>
        <v>3143428</v>
      </c>
      <c r="H30" s="170"/>
    </row>
    <row r="31" spans="2:8" ht="15" customHeight="1">
      <c r="B31" s="77" t="s">
        <v>172</v>
      </c>
      <c r="C31" s="78">
        <f>SUM(C27:C30)</f>
        <v>821268</v>
      </c>
      <c r="F31" s="172" t="s">
        <v>73</v>
      </c>
      <c r="G31" s="173">
        <f>C31+C40</f>
        <v>2029987</v>
      </c>
      <c r="H31" s="170"/>
    </row>
    <row r="32" spans="2:8" ht="15" customHeight="1">
      <c r="B32" s="4" t="s">
        <v>7</v>
      </c>
      <c r="C32" s="20">
        <f>C33-C31</f>
        <v>987773</v>
      </c>
      <c r="F32" s="174" t="s">
        <v>71</v>
      </c>
      <c r="G32" s="175">
        <f>G35+G40</f>
        <v>5790042</v>
      </c>
      <c r="H32" s="170">
        <f>H35+H40</f>
        <v>1714068.1</v>
      </c>
    </row>
    <row r="33" spans="2:8" ht="15" customHeight="1">
      <c r="B33" s="80" t="s">
        <v>2</v>
      </c>
      <c r="C33" s="81">
        <v>1809041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4397730</v>
      </c>
      <c r="H35" s="182">
        <f>D12+D24</f>
        <v>784250.8</v>
      </c>
    </row>
    <row r="36" spans="2:8" ht="15" customHeight="1">
      <c r="B36" s="4" t="s">
        <v>11</v>
      </c>
      <c r="C36" s="18">
        <v>125000</v>
      </c>
      <c r="F36" s="172" t="s">
        <v>166</v>
      </c>
      <c r="G36" s="173">
        <f>C4+C15</f>
        <v>412484</v>
      </c>
      <c r="H36" s="177"/>
    </row>
    <row r="37" spans="2:8" ht="15" customHeight="1">
      <c r="B37" s="4" t="s">
        <v>12</v>
      </c>
      <c r="C37" s="18">
        <v>1083719</v>
      </c>
      <c r="F37" s="172" t="s">
        <v>167</v>
      </c>
      <c r="G37" s="173">
        <f>C6</f>
        <v>227738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3529218</v>
      </c>
      <c r="H39" s="170">
        <f>C7*D7+C17*D17+C19*D19+C20*D20</f>
        <v>352921.80000000005</v>
      </c>
    </row>
    <row r="40" spans="2:8" ht="15" customHeight="1">
      <c r="B40" s="77" t="s">
        <v>173</v>
      </c>
      <c r="C40" s="78">
        <f>SUM(C36:C39)</f>
        <v>1208719</v>
      </c>
      <c r="F40" s="181" t="s">
        <v>115</v>
      </c>
      <c r="G40" s="175">
        <f>G12+G24</f>
        <v>1392312</v>
      </c>
      <c r="H40" s="182">
        <f>H12+H24</f>
        <v>929817.3</v>
      </c>
    </row>
    <row r="41" spans="2:8" ht="15" customHeight="1">
      <c r="B41" s="4" t="s">
        <v>15</v>
      </c>
      <c r="C41" s="20">
        <f>C42-C40</f>
        <v>125668</v>
      </c>
      <c r="F41" s="172" t="s">
        <v>160</v>
      </c>
      <c r="G41" s="173">
        <f>C70</f>
        <v>965267</v>
      </c>
      <c r="H41" s="182">
        <f>H40-H42</f>
        <v>868740.3</v>
      </c>
    </row>
    <row r="42" spans="2:8" ht="15" customHeight="1">
      <c r="B42" s="80" t="s">
        <v>20</v>
      </c>
      <c r="C42" s="81">
        <v>1334387</v>
      </c>
      <c r="F42" s="183" t="s">
        <v>161</v>
      </c>
      <c r="G42" s="184">
        <f>C82</f>
        <v>427045</v>
      </c>
      <c r="H42" s="185">
        <f>D82</f>
        <v>61077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2637560</v>
      </c>
      <c r="D46" s="73">
        <f>H29</f>
        <v>-1438413.9</v>
      </c>
      <c r="F46" s="223"/>
    </row>
    <row r="47" spans="2:8" ht="15" customHeight="1">
      <c r="B47" s="1" t="str">
        <f>"Equity per share ("&amp;Market_currency&amp;")"</f>
        <v>Equity per share (HKD)</v>
      </c>
      <c r="C47" s="134">
        <f>C46*H1/Common_Shares*Exchange_Rate</f>
        <v>4.5474856206732621</v>
      </c>
      <c r="D47" s="134">
        <f>D46*H1/Common_Shares*Exchange_Rate</f>
        <v>-2.4800067209187837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5.0983946232940358</v>
      </c>
      <c r="D50" s="92">
        <f>G31/Normalized_FCF!G8</f>
        <v>5.0983946232940358</v>
      </c>
      <c r="F50" s="223"/>
    </row>
    <row r="51" spans="2:8" ht="15" customHeight="1">
      <c r="B51" s="1" t="s">
        <v>146</v>
      </c>
      <c r="C51" s="163"/>
      <c r="D51" s="89">
        <f>G29/G32</f>
        <v>0.45553382859744368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9.0538073051324205E-2</v>
      </c>
      <c r="D54" s="89">
        <f>Normalized_FCF!G8/G35</f>
        <v>9.0538073051324205E-2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0.10723990413740381</v>
      </c>
      <c r="F58" s="5"/>
    </row>
    <row r="59" spans="2:8" ht="15" customHeight="1">
      <c r="B59" s="1" t="s">
        <v>89</v>
      </c>
      <c r="C59" s="95"/>
      <c r="D59" s="89">
        <f>G39/G32</f>
        <v>0.60953236608646366</v>
      </c>
      <c r="F59" s="223"/>
    </row>
    <row r="60" spans="2:8" ht="15" customHeight="1">
      <c r="F60" s="223"/>
    </row>
    <row r="61" spans="2:8" ht="15" customHeight="1">
      <c r="B61" s="143" t="s">
        <v>231</v>
      </c>
      <c r="C61" s="210" t="s">
        <v>114</v>
      </c>
      <c r="D61" s="179" t="s">
        <v>91</v>
      </c>
      <c r="F61" s="223"/>
    </row>
    <row r="62" spans="2:8" ht="15" customHeight="1">
      <c r="B62" s="1" t="s">
        <v>210</v>
      </c>
      <c r="C62" s="89">
        <f>IF(G28&lt;=0,0,G28/G29)</f>
        <v>3.4327181182608169E-3</v>
      </c>
      <c r="D62" s="89">
        <f>G28/G29</f>
        <v>3.4327181182608169E-3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965267</v>
      </c>
      <c r="D66" s="73">
        <f>C66-D75</f>
        <v>269920.64917500003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965267</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-697763.03429583332</v>
      </c>
      <c r="D73" s="285">
        <f>(Normalized_FCF!C26+Normalized_FCF!C35-Normalized_FCF!C89)/12</f>
        <v>-695346.35082499997</v>
      </c>
      <c r="F73" s="1" t="s">
        <v>278</v>
      </c>
    </row>
    <row r="74" spans="2:6" ht="15" customHeight="1">
      <c r="B74" s="227" t="s">
        <v>259</v>
      </c>
      <c r="C74" s="228">
        <f>-$C$66/C73</f>
        <v>1.3833736563217707</v>
      </c>
      <c r="D74" s="228">
        <f>-$C$66/D73</f>
        <v>1.3881815858453133</v>
      </c>
      <c r="F74" s="223" t="s">
        <v>257</v>
      </c>
    </row>
    <row r="75" spans="2:6" ht="15" customHeight="1">
      <c r="B75" s="77" t="s">
        <v>258</v>
      </c>
      <c r="C75" s="261"/>
      <c r="D75" s="262">
        <f>MAX(-D73*D76,G5)</f>
        <v>695346.35082499997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36745</v>
      </c>
      <c r="D79" s="73">
        <f>G7*H7+G17*H17</f>
        <v>22047</v>
      </c>
      <c r="F79" s="223"/>
    </row>
    <row r="80" spans="2:6" ht="15" customHeight="1">
      <c r="B80" s="102" t="s">
        <v>152</v>
      </c>
      <c r="C80" s="19">
        <f>G19</f>
        <v>0</v>
      </c>
      <c r="D80" s="73">
        <f>G19*H19</f>
        <v>0</v>
      </c>
      <c r="F80" s="223"/>
    </row>
    <row r="81" spans="2:8" ht="15" customHeight="1">
      <c r="B81" s="102" t="s">
        <v>150</v>
      </c>
      <c r="C81" s="19">
        <f>G9+G21</f>
        <v>390300</v>
      </c>
      <c r="D81" s="73">
        <f>G9*H9+G21*H21</f>
        <v>39030</v>
      </c>
      <c r="F81" s="223"/>
    </row>
    <row r="82" spans="2:8" ht="15" customHeight="1">
      <c r="B82" s="77" t="s">
        <v>159</v>
      </c>
      <c r="C82" s="78">
        <f>SUM(C79:C81)</f>
        <v>427045</v>
      </c>
      <c r="D82" s="78">
        <f>SUM(D79:D81)</f>
        <v>61077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-2029987</v>
      </c>
      <c r="D86" s="201">
        <f>C86*scaling_factor/Common_Shares</f>
        <v>-3.4999532494630086</v>
      </c>
      <c r="E86" s="214" t="str">
        <f>Market_currency</f>
        <v>HKD</v>
      </c>
    </row>
    <row r="87" spans="2:8" ht="15" customHeight="1">
      <c r="B87" s="212" t="s">
        <v>240</v>
      </c>
      <c r="C87" s="73">
        <f>DCF!F5*Exchange_Rate</f>
        <v>269920.64917500003</v>
      </c>
      <c r="D87" s="201">
        <f>C87*scaling_factor/Common_Shares</f>
        <v>0.46537719363582425</v>
      </c>
      <c r="E87" s="214" t="str">
        <f>Market_currency</f>
        <v>HKD</v>
      </c>
    </row>
    <row r="88" spans="2:8" ht="15" customHeight="1">
      <c r="B88" s="213" t="s">
        <v>159</v>
      </c>
      <c r="C88" s="73">
        <f>DCF!F6*Exchange_Rate</f>
        <v>61077</v>
      </c>
      <c r="D88" s="201">
        <f>C88*scaling_factor/Common_Shares</f>
        <v>0.10530444018481507</v>
      </c>
      <c r="E88" s="214" t="str">
        <f>Market_currency</f>
        <v>HKD</v>
      </c>
    </row>
    <row r="89" spans="2:8" ht="15" customHeight="1">
      <c r="B89" s="77" t="s">
        <v>244</v>
      </c>
      <c r="C89" s="162">
        <f>SUM(C86:C88)</f>
        <v>-1698989.3508250001</v>
      </c>
      <c r="D89" s="216">
        <f>SUM(D86:D88)</f>
        <v>-2.929271615642369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8568317</v>
      </c>
      <c r="D4" s="54"/>
      <c r="E4" s="235"/>
      <c r="F4" s="54"/>
      <c r="G4" s="270">
        <f>Data!C36</f>
        <v>8568317</v>
      </c>
      <c r="H4" s="270">
        <f>Data!D36</f>
        <v>8691449</v>
      </c>
      <c r="I4" s="270">
        <f>Data!E36</f>
        <v>8024044</v>
      </c>
      <c r="J4" s="270">
        <f>Data!F36</f>
        <v>7508753</v>
      </c>
      <c r="K4" s="270">
        <f>Data!G36</f>
        <v>6714255</v>
      </c>
      <c r="L4" s="270">
        <f>Data!H36</f>
        <v>7963097</v>
      </c>
      <c r="M4" s="270">
        <f>Data!I36</f>
        <v>8493883</v>
      </c>
      <c r="N4" s="270">
        <f>Data!J36</f>
        <v>8427399</v>
      </c>
      <c r="O4" s="270">
        <f>Data!K36</f>
        <v>7895262</v>
      </c>
      <c r="P4" s="270">
        <f>Data!L36</f>
        <v>7567176</v>
      </c>
      <c r="Q4" s="270" t="str">
        <f>Data!M36</f>
        <v/>
      </c>
    </row>
    <row r="5" spans="1:17" ht="15.75" customHeight="1">
      <c r="A5" s="10"/>
      <c r="B5" s="2" t="s">
        <v>43</v>
      </c>
      <c r="C5" s="266">
        <f>C26</f>
        <v>-7675662</v>
      </c>
      <c r="E5" s="237"/>
      <c r="G5" s="270">
        <f t="shared" ref="G5:Q5" si="1">G26</f>
        <v>-7675662</v>
      </c>
      <c r="H5" s="270">
        <f t="shared" si="1"/>
        <v>-7702163</v>
      </c>
      <c r="I5" s="270">
        <f t="shared" si="1"/>
        <v>-7321395</v>
      </c>
      <c r="J5" s="270">
        <f t="shared" si="1"/>
        <v>-6961032</v>
      </c>
      <c r="K5" s="270">
        <f t="shared" si="1"/>
        <v>-6339067</v>
      </c>
      <c r="L5" s="270">
        <f t="shared" si="1"/>
        <v>-7232445</v>
      </c>
      <c r="M5" s="270">
        <f t="shared" si="1"/>
        <v>-7356665</v>
      </c>
      <c r="N5" s="270">
        <f t="shared" si="1"/>
        <v>-7385291</v>
      </c>
      <c r="O5" s="270">
        <f t="shared" si="1"/>
        <v>-6838442</v>
      </c>
      <c r="P5" s="270">
        <f t="shared" si="1"/>
        <v>-6522504</v>
      </c>
      <c r="Q5" s="270" t="str">
        <f t="shared" si="1"/>
        <v/>
      </c>
    </row>
    <row r="6" spans="1:17" ht="15.75" customHeight="1">
      <c r="A6" s="10"/>
      <c r="B6" s="30" t="s">
        <v>45</v>
      </c>
      <c r="C6" s="267">
        <f>C4+C5</f>
        <v>892655</v>
      </c>
      <c r="E6" s="237"/>
      <c r="G6" s="267">
        <f>IF(G4="","",G4+G5)</f>
        <v>892655</v>
      </c>
      <c r="H6" s="267">
        <f t="shared" ref="H6:Q6" si="2">IF(H4="","",H4+H5)</f>
        <v>989286</v>
      </c>
      <c r="I6" s="267">
        <f t="shared" si="2"/>
        <v>702649</v>
      </c>
      <c r="J6" s="267">
        <f t="shared" si="2"/>
        <v>547721</v>
      </c>
      <c r="K6" s="267">
        <f t="shared" si="2"/>
        <v>375188</v>
      </c>
      <c r="L6" s="267">
        <f t="shared" si="2"/>
        <v>730652</v>
      </c>
      <c r="M6" s="267">
        <f t="shared" si="2"/>
        <v>1137218</v>
      </c>
      <c r="N6" s="267">
        <f t="shared" si="2"/>
        <v>1042108</v>
      </c>
      <c r="O6" s="267">
        <f t="shared" si="2"/>
        <v>1056820</v>
      </c>
      <c r="P6" s="267">
        <f t="shared" si="2"/>
        <v>1044672</v>
      </c>
      <c r="Q6" s="267" t="str">
        <f t="shared" si="2"/>
        <v/>
      </c>
    </row>
    <row r="7" spans="1:17" ht="15.75" customHeight="1">
      <c r="A7" s="10"/>
      <c r="B7" s="8" t="s">
        <v>42</v>
      </c>
      <c r="C7" s="266">
        <f>C35</f>
        <v>-494493</v>
      </c>
      <c r="E7" s="237"/>
      <c r="G7" s="266">
        <f t="shared" ref="G7:Q7" si="3">G35</f>
        <v>-494493</v>
      </c>
      <c r="H7" s="266">
        <f t="shared" si="3"/>
        <v>-503213</v>
      </c>
      <c r="I7" s="266">
        <f t="shared" si="3"/>
        <v>-486079</v>
      </c>
      <c r="J7" s="266">
        <f t="shared" si="3"/>
        <v>-458843</v>
      </c>
      <c r="K7" s="266">
        <f t="shared" si="3"/>
        <v>-462619</v>
      </c>
      <c r="L7" s="266">
        <f t="shared" si="3"/>
        <v>-481414</v>
      </c>
      <c r="M7" s="266">
        <f t="shared" si="3"/>
        <v>-447788</v>
      </c>
      <c r="N7" s="266">
        <f t="shared" si="3"/>
        <v>-458819</v>
      </c>
      <c r="O7" s="266">
        <f t="shared" si="3"/>
        <v>-430609</v>
      </c>
      <c r="P7" s="266">
        <f t="shared" si="3"/>
        <v>-430039</v>
      </c>
      <c r="Q7" s="266" t="str">
        <f t="shared" si="3"/>
        <v/>
      </c>
    </row>
    <row r="8" spans="1:17" ht="15.75" customHeight="1">
      <c r="A8" s="10"/>
      <c r="B8" s="28" t="s">
        <v>127</v>
      </c>
      <c r="C8" s="268">
        <f>C6+C7</f>
        <v>398162</v>
      </c>
      <c r="D8" s="56"/>
      <c r="E8" s="241"/>
      <c r="F8" s="56"/>
      <c r="G8" s="267">
        <f>IF(G$4="","",G6+G7)</f>
        <v>398162</v>
      </c>
      <c r="H8" s="267">
        <f t="shared" ref="H8:Q8" si="4">IF(H$4="","",H6+H7)</f>
        <v>486073</v>
      </c>
      <c r="I8" s="267">
        <f t="shared" si="4"/>
        <v>216570</v>
      </c>
      <c r="J8" s="267">
        <f t="shared" si="4"/>
        <v>88878</v>
      </c>
      <c r="K8" s="267">
        <f t="shared" si="4"/>
        <v>-87431</v>
      </c>
      <c r="L8" s="267">
        <f t="shared" si="4"/>
        <v>249238</v>
      </c>
      <c r="M8" s="267">
        <f t="shared" si="4"/>
        <v>689430</v>
      </c>
      <c r="N8" s="267">
        <f t="shared" si="4"/>
        <v>583289</v>
      </c>
      <c r="O8" s="267">
        <f t="shared" si="4"/>
        <v>626211</v>
      </c>
      <c r="P8" s="267">
        <f t="shared" si="4"/>
        <v>614633</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-82365.964491749997</v>
      </c>
      <c r="E10" s="237"/>
      <c r="G10" s="266">
        <f>G48</f>
        <v>-70508.445586881251</v>
      </c>
      <c r="H10" s="266">
        <f t="shared" ref="H10:Q10" si="6">H48</f>
        <v>-75956.500104348539</v>
      </c>
      <c r="I10" s="266">
        <f t="shared" si="6"/>
        <v>-70523.908872365078</v>
      </c>
      <c r="J10" s="266">
        <f t="shared" si="6"/>
        <v>-82526.710275013364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315796.03550825</v>
      </c>
      <c r="E11" s="237"/>
      <c r="G11" s="267">
        <f t="shared" ref="G11:Q11" si="7">IF(G$4="","",SUM(G8:G10))</f>
        <v>327653.55441311875</v>
      </c>
      <c r="H11" s="267">
        <f t="shared" si="7"/>
        <v>410116.49989565148</v>
      </c>
      <c r="I11" s="267">
        <f t="shared" si="7"/>
        <v>146046.09112763492</v>
      </c>
      <c r="J11" s="267">
        <f t="shared" si="7"/>
        <v>6351.2897249866364</v>
      </c>
      <c r="K11" s="267">
        <f t="shared" si="7"/>
        <v>-87431</v>
      </c>
      <c r="L11" s="267">
        <f t="shared" si="7"/>
        <v>249238</v>
      </c>
      <c r="M11" s="267">
        <f t="shared" si="7"/>
        <v>689430</v>
      </c>
      <c r="N11" s="267">
        <f t="shared" si="7"/>
        <v>583289</v>
      </c>
      <c r="O11" s="267">
        <f t="shared" si="7"/>
        <v>626211</v>
      </c>
      <c r="P11" s="267">
        <f t="shared" si="7"/>
        <v>614633</v>
      </c>
      <c r="Q11" s="267" t="str">
        <f t="shared" si="7"/>
        <v/>
      </c>
    </row>
    <row r="12" spans="1:17" ht="15.75" customHeight="1">
      <c r="A12" s="10"/>
      <c r="B12" s="2" t="s">
        <v>60</v>
      </c>
      <c r="C12" s="266">
        <f>-C11*C41</f>
        <v>-52106.345858861256</v>
      </c>
      <c r="E12" s="237"/>
      <c r="G12" s="266">
        <f>Data!C46</f>
        <v>-32312</v>
      </c>
      <c r="H12" s="266">
        <f>Data!D46</f>
        <v>-56313</v>
      </c>
      <c r="I12" s="266">
        <f>Data!E46</f>
        <v>-32989</v>
      </c>
      <c r="J12" s="266">
        <f>Data!F46</f>
        <v>-27939</v>
      </c>
      <c r="K12" s="266">
        <f>Data!G46</f>
        <v>-29996</v>
      </c>
      <c r="L12" s="266">
        <f>Data!H46</f>
        <v>-39872</v>
      </c>
      <c r="M12" s="266">
        <f>Data!I46</f>
        <v>-129810</v>
      </c>
      <c r="N12" s="266">
        <f>Data!J46</f>
        <v>-121949</v>
      </c>
      <c r="O12" s="266">
        <f>Data!K46</f>
        <v>-108832</v>
      </c>
      <c r="P12" s="266">
        <f>Data!L46</f>
        <v>-110223</v>
      </c>
      <c r="Q12" s="266" t="str">
        <f>Data!M46</f>
        <v/>
      </c>
    </row>
    <row r="13" spans="1:17" ht="15.75" customHeight="1">
      <c r="A13" s="10"/>
      <c r="B13" s="38" t="s">
        <v>208</v>
      </c>
      <c r="C13" s="266">
        <f>-C4*C79</f>
        <v>-29412.617008902169</v>
      </c>
      <c r="D13" s="57"/>
      <c r="E13" s="242"/>
      <c r="F13" s="57"/>
      <c r="G13" s="270">
        <f>Data!C48</f>
        <v>-2367</v>
      </c>
      <c r="H13" s="270">
        <f>Data!D48</f>
        <v>-2761</v>
      </c>
      <c r="I13" s="270">
        <f>Data!E48</f>
        <v>-834</v>
      </c>
      <c r="J13" s="270">
        <f>Data!F48</f>
        <v>-1636</v>
      </c>
      <c r="K13" s="270">
        <f>Data!G48</f>
        <v>-1420</v>
      </c>
      <c r="L13" s="270">
        <f>Data!H48</f>
        <v>-752</v>
      </c>
      <c r="M13" s="270">
        <f>Data!I48</f>
        <v>-1825</v>
      </c>
      <c r="N13" s="270">
        <f>Data!J48</f>
        <v>-1240</v>
      </c>
      <c r="O13" s="270">
        <f>Data!K48</f>
        <v>-23</v>
      </c>
      <c r="P13" s="270">
        <f>Data!L48</f>
        <v>0</v>
      </c>
      <c r="Q13" s="270" t="str">
        <f>Data!M48</f>
        <v/>
      </c>
    </row>
    <row r="14" spans="1:17" ht="15.75" customHeight="1">
      <c r="A14" s="10"/>
      <c r="B14" s="39" t="s">
        <v>129</v>
      </c>
      <c r="C14" s="269">
        <f>SUM(C11:C13)</f>
        <v>234277.07264048661</v>
      </c>
      <c r="D14" s="58"/>
      <c r="E14" s="243"/>
      <c r="F14" s="58"/>
      <c r="G14" s="267">
        <f t="shared" ref="G14:Q14" si="8">IF(G$4="","",SUM(G11:G13))</f>
        <v>292974.55441311875</v>
      </c>
      <c r="H14" s="267">
        <f t="shared" si="8"/>
        <v>351042.49989565148</v>
      </c>
      <c r="I14" s="267">
        <f t="shared" si="8"/>
        <v>112223.09112763492</v>
      </c>
      <c r="J14" s="267">
        <f t="shared" si="8"/>
        <v>-23223.710275013364</v>
      </c>
      <c r="K14" s="267">
        <f t="shared" si="8"/>
        <v>-118847</v>
      </c>
      <c r="L14" s="267">
        <f t="shared" si="8"/>
        <v>208614</v>
      </c>
      <c r="M14" s="267">
        <f t="shared" si="8"/>
        <v>557795</v>
      </c>
      <c r="N14" s="267">
        <f t="shared" si="8"/>
        <v>460100</v>
      </c>
      <c r="O14" s="267">
        <f t="shared" si="8"/>
        <v>517356</v>
      </c>
      <c r="P14" s="267">
        <f t="shared" si="8"/>
        <v>504410</v>
      </c>
      <c r="Q14" s="267" t="str">
        <f t="shared" si="8"/>
        <v/>
      </c>
    </row>
    <row r="15" spans="1:17" ht="15.75" customHeight="1">
      <c r="A15" s="10"/>
      <c r="B15" s="2" t="s">
        <v>62</v>
      </c>
      <c r="C15" s="266">
        <f>BS!$G$39*BS!D58</f>
        <v>378473</v>
      </c>
      <c r="E15" s="237"/>
      <c r="G15" s="266">
        <f>IF(Data!C61="","",-Data!C61)</f>
        <v>378473</v>
      </c>
      <c r="H15" s="266">
        <f>IF(Data!D61="","",-Data!D61)</f>
        <v>394190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-378473</v>
      </c>
      <c r="E16" s="237"/>
      <c r="G16" s="266">
        <f>Data!C62</f>
        <v>-305069</v>
      </c>
      <c r="H16" s="266">
        <f>Data!D62</f>
        <v>-316358</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234277.07264048661</v>
      </c>
      <c r="D19" s="26"/>
      <c r="E19" s="234"/>
      <c r="F19" s="26"/>
      <c r="G19" s="271">
        <f t="shared" ref="G19:Q19" si="9">IF(G$4="","",G14+G17)</f>
        <v>292974.55441311875</v>
      </c>
      <c r="H19" s="271">
        <f t="shared" si="9"/>
        <v>351042.49989565148</v>
      </c>
      <c r="I19" s="271">
        <f t="shared" si="9"/>
        <v>112223.09112763492</v>
      </c>
      <c r="J19" s="271">
        <f t="shared" si="9"/>
        <v>-23223.710275013364</v>
      </c>
      <c r="K19" s="271">
        <f t="shared" si="9"/>
        <v>-118847</v>
      </c>
      <c r="L19" s="271">
        <f t="shared" si="9"/>
        <v>208614</v>
      </c>
      <c r="M19" s="271">
        <f t="shared" si="9"/>
        <v>557795</v>
      </c>
      <c r="N19" s="271">
        <f t="shared" si="9"/>
        <v>460100</v>
      </c>
      <c r="O19" s="271">
        <f t="shared" si="9"/>
        <v>517356</v>
      </c>
      <c r="P19" s="271">
        <f t="shared" si="9"/>
        <v>504410</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-7675662</v>
      </c>
      <c r="D23" s="55"/>
      <c r="E23" s="236"/>
      <c r="F23" s="55"/>
      <c r="G23" s="270">
        <f>Data!C37</f>
        <v>-7675662</v>
      </c>
      <c r="H23" s="270">
        <f>Data!D37</f>
        <v>-7702163</v>
      </c>
      <c r="I23" s="270">
        <f>Data!E37</f>
        <v>-7321395</v>
      </c>
      <c r="J23" s="270">
        <f>Data!F37</f>
        <v>-6961032</v>
      </c>
      <c r="K23" s="270">
        <f>Data!G37</f>
        <v>-6339067</v>
      </c>
      <c r="L23" s="270">
        <f>Data!H37</f>
        <v>-7232445</v>
      </c>
      <c r="M23" s="270">
        <f>Data!I37</f>
        <v>-7356665</v>
      </c>
      <c r="N23" s="270">
        <f>Data!J37</f>
        <v>-7385291</v>
      </c>
      <c r="O23" s="270">
        <f>Data!K37</f>
        <v>-6838442</v>
      </c>
      <c r="P23" s="270">
        <f>Data!L37</f>
        <v>-6522504</v>
      </c>
      <c r="Q23" s="270" t="str">
        <f>Data!M37</f>
        <v/>
      </c>
    </row>
    <row r="24" spans="1:17" ht="15.75" customHeight="1">
      <c r="A24" s="10"/>
      <c r="B24" s="65" t="s">
        <v>59</v>
      </c>
      <c r="C24" s="266">
        <f>-C4*C30</f>
        <v>0</v>
      </c>
      <c r="D24" s="26"/>
      <c r="E24" s="234"/>
      <c r="F24" s="26"/>
      <c r="G24" s="270">
        <f>Data!C40</f>
        <v>0</v>
      </c>
      <c r="H24" s="270">
        <f>Data!D40</f>
        <v>0</v>
      </c>
      <c r="I24" s="270">
        <f>Data!E40</f>
        <v>0</v>
      </c>
      <c r="J24" s="270">
        <f>Data!F40</f>
        <v>0</v>
      </c>
      <c r="K24" s="270">
        <f>Data!G40</f>
        <v>0</v>
      </c>
      <c r="L24" s="270">
        <f>Data!H40</f>
        <v>0</v>
      </c>
      <c r="M24" s="270">
        <f>Data!I40</f>
        <v>0</v>
      </c>
      <c r="N24" s="270">
        <f>Data!J40</f>
        <v>0</v>
      </c>
      <c r="O24" s="270">
        <f>Data!K40</f>
        <v>0</v>
      </c>
      <c r="P24" s="270">
        <f>Data!L40</f>
        <v>0</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-7675662</v>
      </c>
      <c r="D26" s="9"/>
      <c r="E26" s="240"/>
      <c r="F26" s="9"/>
      <c r="G26" s="267">
        <f>IF(G$4="","",SUM(G23:G25))</f>
        <v>-7675662</v>
      </c>
      <c r="H26" s="267">
        <f t="shared" ref="H26:Q26" si="10">IF(H$4="","",SUM(H23:H25))</f>
        <v>-7702163</v>
      </c>
      <c r="I26" s="267">
        <f t="shared" si="10"/>
        <v>-7321395</v>
      </c>
      <c r="J26" s="267">
        <f t="shared" si="10"/>
        <v>-6961032</v>
      </c>
      <c r="K26" s="267">
        <f t="shared" si="10"/>
        <v>-6339067</v>
      </c>
      <c r="L26" s="267">
        <f t="shared" si="10"/>
        <v>-7232445</v>
      </c>
      <c r="M26" s="267">
        <f t="shared" si="10"/>
        <v>-7356665</v>
      </c>
      <c r="N26" s="267">
        <f t="shared" si="10"/>
        <v>-7385291</v>
      </c>
      <c r="O26" s="267">
        <f t="shared" si="10"/>
        <v>-6838442</v>
      </c>
      <c r="P26" s="267">
        <f t="shared" si="10"/>
        <v>-6522504</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0.89581909726262465</v>
      </c>
      <c r="D29" s="25"/>
      <c r="E29" s="235"/>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5"/>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7"/>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-494493</v>
      </c>
      <c r="D35" s="55"/>
      <c r="E35" s="236"/>
      <c r="F35" s="55"/>
      <c r="G35" s="267">
        <f>IF(G4="","",Data!C41)</f>
        <v>-494493</v>
      </c>
      <c r="H35" s="267">
        <f>IF(H4="","",Data!D41)</f>
        <v>-503213</v>
      </c>
      <c r="I35" s="267">
        <f>IF(I4="","",Data!E41)</f>
        <v>-486079</v>
      </c>
      <c r="J35" s="267">
        <f>IF(J4="","",Data!F41)</f>
        <v>-458843</v>
      </c>
      <c r="K35" s="267">
        <f>IF(K4="","",Data!G41)</f>
        <v>-462619</v>
      </c>
      <c r="L35" s="267">
        <f>IF(L4="","",Data!H41)</f>
        <v>-481414</v>
      </c>
      <c r="M35" s="267">
        <f>IF(M4="","",Data!I41)</f>
        <v>-447788</v>
      </c>
      <c r="N35" s="267">
        <f>IF(N4="","",Data!J41)</f>
        <v>-458819</v>
      </c>
      <c r="O35" s="267">
        <f>IF(O4="","",Data!K41)</f>
        <v>-430609</v>
      </c>
      <c r="P35" s="267">
        <f>IF(P4="","",Data!L41)</f>
        <v>-430039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5.7711800345388718E-2</v>
      </c>
      <c r="E38" s="237"/>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0.16500000000000001</v>
      </c>
      <c r="D41" s="26"/>
      <c r="E41" s="234" t="s">
        <v>403</v>
      </c>
      <c r="F41" s="26"/>
      <c r="G41" s="6">
        <f t="shared" ref="G41:Q41" si="16">IF(G$4="","",-G12/SUM(G8+G9,G10))</f>
        <v>9.8616357322526507E-2</v>
      </c>
      <c r="H41" s="6">
        <f t="shared" si="16"/>
        <v>0.13730976445553414</v>
      </c>
      <c r="I41" s="6">
        <f t="shared" si="16"/>
        <v>0.2258807459021257</v>
      </c>
      <c r="J41" s="6">
        <f t="shared" si="16"/>
        <v>4.3989490654291927</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-89319.428</v>
      </c>
      <c r="E45" s="237"/>
      <c r="G45" s="266">
        <f>Data!C51</f>
        <v>-104115</v>
      </c>
      <c r="H45" s="266">
        <f>Data!D51</f>
        <v>-108592</v>
      </c>
      <c r="I45" s="266">
        <f>Data!E51</f>
        <v>-98508</v>
      </c>
      <c r="J45" s="266">
        <f>Data!F51</f>
        <v>-88044</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6953.4635082499999</v>
      </c>
      <c r="E46" s="237"/>
      <c r="G46" s="274">
        <f t="shared" ref="G46:Q46" si="17">IFERROR(IF(G$4="","",($C$46/$C$47)*G47),0)</f>
        <v>33606.554413118749</v>
      </c>
      <c r="H46" s="274">
        <f t="shared" si="17"/>
        <v>32635.499895651461</v>
      </c>
      <c r="I46" s="274">
        <f t="shared" si="17"/>
        <v>27984.091127634918</v>
      </c>
      <c r="J46" s="274">
        <f t="shared" si="17"/>
        <v>5517.2897249866355</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9652.67</v>
      </c>
      <c r="D47" s="246"/>
      <c r="E47" s="247"/>
      <c r="F47" s="246"/>
      <c r="G47" s="278">
        <f>Data!C52</f>
        <v>46652</v>
      </c>
      <c r="H47" s="278">
        <f>Data!D52</f>
        <v>45304</v>
      </c>
      <c r="I47" s="278">
        <f>Data!E52</f>
        <v>38847</v>
      </c>
      <c r="J47" s="278">
        <f>Data!F52</f>
        <v>7659</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-82365.964491749997</v>
      </c>
      <c r="E48" s="237"/>
      <c r="G48" s="267">
        <f>IF(G$4="","",(G45+G46))</f>
        <v>-70508.445586881251</v>
      </c>
      <c r="H48" s="267">
        <f t="shared" ref="H48:Q48" si="18">IF(H$4="","",(H45+H46))</f>
        <v>-75956.500104348539</v>
      </c>
      <c r="I48" s="267">
        <f t="shared" si="18"/>
        <v>-70523.908872365078</v>
      </c>
      <c r="J48" s="267">
        <f t="shared" si="18"/>
        <v>-82526.710275013364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0.01</v>
      </c>
      <c r="E51" s="234"/>
      <c r="G51" s="6">
        <f>IF(Normalized_FCF!G4="","",Normalized_FCF!G47/BS!$C$66)</f>
        <v>4.8330669130924396E-2</v>
      </c>
      <c r="H51" s="151"/>
      <c r="I51" s="151"/>
      <c r="J51" s="151"/>
      <c r="K51" s="151"/>
      <c r="L51" s="151"/>
      <c r="M51" s="151"/>
      <c r="N51" s="151"/>
      <c r="O51" s="151"/>
      <c r="P51" s="151"/>
      <c r="Q51" s="151"/>
    </row>
    <row r="52" spans="1:17" ht="15.75" customHeight="1">
      <c r="A52" s="10"/>
      <c r="B52" s="8" t="s">
        <v>84</v>
      </c>
      <c r="C52" s="79">
        <v>4.3999999999999997E-2</v>
      </c>
      <c r="E52" s="234"/>
      <c r="G52" s="22">
        <f>IFERROR(ABS(Normalized_FCF!G45/BS!$G$31),0)</f>
        <v>5.1288505788460712E-2</v>
      </c>
      <c r="H52" s="151"/>
      <c r="I52" s="151"/>
      <c r="J52" s="151"/>
      <c r="K52" s="151"/>
      <c r="L52" s="151"/>
      <c r="M52" s="151"/>
      <c r="N52" s="151"/>
      <c r="O52" s="151"/>
      <c r="P52" s="151"/>
      <c r="Q52" s="151"/>
    </row>
    <row r="53" spans="1:17" ht="15.75" customHeight="1">
      <c r="A53" s="10"/>
      <c r="B53" s="25" t="s">
        <v>87</v>
      </c>
      <c r="C53" s="40">
        <f>-C8/C45</f>
        <v>4.4577311892324252</v>
      </c>
      <c r="E53" s="237"/>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-73276</v>
      </c>
      <c r="H60" s="266">
        <f>Data!D58</f>
        <v>-33257</v>
      </c>
      <c r="I60" s="266">
        <f>Data!E58</f>
        <v>-12733</v>
      </c>
      <c r="J60" s="266">
        <f>Data!F58</f>
        <v>42296</v>
      </c>
      <c r="K60" s="266">
        <f>Data!G58</f>
        <v>477977</v>
      </c>
      <c r="L60" s="266">
        <f>Data!H58</f>
        <v>-134980</v>
      </c>
      <c r="M60" s="266">
        <f>Data!I58</f>
        <v>32490</v>
      </c>
      <c r="N60" s="266">
        <f>Data!J58</f>
        <v>-2045</v>
      </c>
      <c r="O60" s="266">
        <f>Data!K58</f>
        <v>-13529</v>
      </c>
      <c r="P60" s="266">
        <f>Data!L58</f>
        <v>13450</v>
      </c>
      <c r="Q60" s="266" t="str">
        <f>Data!M58</f>
        <v/>
      </c>
    </row>
    <row r="61" spans="1:17" ht="15.75" customHeight="1">
      <c r="A61" s="10"/>
      <c r="B61" s="30" t="s">
        <v>164</v>
      </c>
      <c r="C61" s="267">
        <f>C59+C60</f>
        <v>0</v>
      </c>
      <c r="E61" s="237"/>
      <c r="G61" s="267">
        <f t="shared" ref="G61:Q61" si="21">IF(G4="","",G59+G60)</f>
        <v>-73276</v>
      </c>
      <c r="H61" s="267">
        <f t="shared" si="21"/>
        <v>-33257</v>
      </c>
      <c r="I61" s="267">
        <f t="shared" si="21"/>
        <v>-12733</v>
      </c>
      <c r="J61" s="267">
        <f t="shared" si="21"/>
        <v>42296</v>
      </c>
      <c r="K61" s="267">
        <f t="shared" si="21"/>
        <v>477977</v>
      </c>
      <c r="L61" s="267">
        <f t="shared" si="21"/>
        <v>-134980</v>
      </c>
      <c r="M61" s="267">
        <f t="shared" si="21"/>
        <v>32490</v>
      </c>
      <c r="N61" s="267">
        <f t="shared" si="21"/>
        <v>-2045</v>
      </c>
      <c r="O61" s="267">
        <f t="shared" si="21"/>
        <v>-13529</v>
      </c>
      <c r="P61" s="267">
        <f t="shared" si="21"/>
        <v>13450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4"/>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4"/>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4"/>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4"/>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9.6128521495820012E-3</v>
      </c>
      <c r="D76" s="26"/>
      <c r="E76" s="234" t="s">
        <v>548</v>
      </c>
      <c r="F76" s="26"/>
      <c r="G76" s="6">
        <f t="shared" ref="G76:Q76" si="28">IF(G$4="","",ABS(G10/G$4))</f>
        <v>8.2289725726628991E-3</v>
      </c>
      <c r="H76" s="6">
        <f t="shared" si="28"/>
        <v>8.7392217459192987E-3</v>
      </c>
      <c r="I76" s="6">
        <f t="shared" si="28"/>
        <v>8.7890730499938785E-3</v>
      </c>
      <c r="J76" s="6">
        <f t="shared" si="28"/>
        <v>1.0990734450182789E-2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3.6856250242404666E-2</v>
      </c>
      <c r="D77" s="26"/>
      <c r="E77" s="234"/>
      <c r="F77" s="26"/>
      <c r="G77" s="62">
        <f t="shared" ref="G77:Q77" si="29">IF(G$4="","",G11/G$4)</f>
        <v>3.8240129819323766E-2</v>
      </c>
      <c r="H77" s="62">
        <f t="shared" si="29"/>
        <v>4.7186205648293109E-2</v>
      </c>
      <c r="I77" s="62">
        <f t="shared" si="29"/>
        <v>1.8201058110802349E-2</v>
      </c>
      <c r="J77" s="62">
        <f t="shared" si="29"/>
        <v>8.4585146494852565E-4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6.0812812899967705E-3</v>
      </c>
      <c r="D78" s="26"/>
      <c r="E78" s="234"/>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3">
        <f>MIN(BS!C62,MAX(G81:K81))</f>
        <v>3.4327181182608169E-3</v>
      </c>
      <c r="D79" s="26"/>
      <c r="E79" s="234"/>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2.734225083414708E-2</v>
      </c>
      <c r="D80" s="26"/>
      <c r="E80" s="234"/>
      <c r="F80" s="26"/>
      <c r="G80" s="62">
        <f t="shared" ref="G80:Q80" si="32">IF(G$4="","",ABS(G14/G$4))</f>
        <v>3.4192777229544467E-2</v>
      </c>
      <c r="H80" s="62">
        <f t="shared" si="32"/>
        <v>4.0389410315316981E-2</v>
      </c>
      <c r="I80" s="62">
        <f t="shared" si="32"/>
        <v>1.3985851913029755E-2</v>
      </c>
      <c r="J80" s="62">
        <f t="shared" si="32"/>
        <v>3.0928851002308059E-3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4"/>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5"/>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2.734225083414708E-2</v>
      </c>
      <c r="D85" s="72"/>
      <c r="E85" s="234"/>
      <c r="F85" s="72"/>
      <c r="G85" s="62">
        <f t="shared" ref="G85:Q85" si="35">IF(G$4="","",ABS(G19/G$4))</f>
        <v>3.4192777229544467E-2</v>
      </c>
      <c r="H85" s="62">
        <f t="shared" si="35"/>
        <v>4.0389410315316981E-2</v>
      </c>
      <c r="I85" s="62">
        <f t="shared" si="35"/>
        <v>1.3985851913029755E-2</v>
      </c>
      <c r="J85" s="62">
        <f t="shared" si="35"/>
        <v>3.0928851002308059E-3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0.1+0.2</f>
        <v>0.30000000000000004</v>
      </c>
      <c r="E88" s="237"/>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174001.20990000005</v>
      </c>
      <c r="E89" s="237"/>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0.74271548615009453</v>
      </c>
      <c r="E90" s="237"/>
      <c r="G90" s="152">
        <f t="shared" ref="G90:Q90" si="37">IF(G$4="","",G88/(G19*scaling_factor/Common_Shares))</f>
        <v>0.69289775679204868</v>
      </c>
      <c r="H90" s="152">
        <f t="shared" si="37"/>
        <v>0.94177285915030962</v>
      </c>
      <c r="I90" s="152">
        <f t="shared" si="37"/>
        <v>1.9639588459502533</v>
      </c>
      <c r="J90" s="152">
        <f t="shared" si="37"/>
        <v>-9.4903669538597519</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6.4655172413793122E-2</v>
      </c>
      <c r="E92" s="237"/>
      <c r="G92" s="22">
        <f t="shared" ref="G92:Q92" si="38">IF(G$4="","",(G88*(1-dividend_tax_rate))/Market_Price)</f>
        <v>7.5431034482758619E-2</v>
      </c>
      <c r="H92" s="22">
        <f t="shared" si="38"/>
        <v>0.12284482758620689</v>
      </c>
      <c r="I92" s="22">
        <f t="shared" si="38"/>
        <v>8.1896551724137942E-2</v>
      </c>
      <c r="J92" s="22">
        <f t="shared" si="38"/>
        <v>8.1896551724137942E-2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-3.618919662296205E-2</v>
      </c>
      <c r="D96" s="26"/>
      <c r="E96" s="234"/>
      <c r="F96" s="26"/>
      <c r="G96" s="6">
        <f t="shared" ref="G96:Q96" si="40">IF(H5="","",G11/H11-1)</f>
        <v>-0.20107200150082793</v>
      </c>
      <c r="H96" s="6">
        <f t="shared" si="40"/>
        <v>1.8081306163629942</v>
      </c>
      <c r="I96" s="6">
        <f t="shared" si="40"/>
        <v>21.99471405832336</v>
      </c>
      <c r="J96" s="6">
        <f t="shared" si="40"/>
        <v>-1.0726434528369415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5790042</v>
      </c>
      <c r="D100" s="25"/>
      <c r="E100" s="238"/>
      <c r="F100" s="25"/>
      <c r="G100" s="270">
        <f t="shared" ref="G100:Q100" si="41">IF(G$4="","",G104+G103)</f>
        <v>5790042</v>
      </c>
      <c r="H100" s="270">
        <f t="shared" si="41"/>
        <v>6513924</v>
      </c>
      <c r="I100" s="270">
        <f t="shared" si="41"/>
        <v>7175340</v>
      </c>
      <c r="J100" s="270">
        <f t="shared" si="41"/>
        <v>6871846</v>
      </c>
      <c r="K100" s="270">
        <f t="shared" si="41"/>
        <v>7154673</v>
      </c>
      <c r="L100" s="270">
        <f t="shared" si="41"/>
        <v>6220758</v>
      </c>
      <c r="M100" s="270">
        <f t="shared" si="41"/>
        <v>4494090</v>
      </c>
      <c r="N100" s="270">
        <f t="shared" si="41"/>
        <v>4616329</v>
      </c>
      <c r="O100" s="270">
        <f t="shared" si="41"/>
        <v>4436810</v>
      </c>
      <c r="P100" s="270">
        <f t="shared" si="41"/>
        <v>4445187</v>
      </c>
      <c r="Q100" s="270" t="str">
        <f t="shared" si="41"/>
        <v/>
      </c>
    </row>
    <row r="101" spans="1:17" ht="15.75" customHeight="1">
      <c r="A101" s="10"/>
      <c r="B101" s="90" t="s">
        <v>179</v>
      </c>
      <c r="C101" s="281">
        <f>BS!C4</f>
        <v>100361</v>
      </c>
      <c r="D101" s="86"/>
      <c r="E101" s="239"/>
      <c r="F101" s="86"/>
      <c r="G101" s="282">
        <f>IF(G$4="","",Data!D77)</f>
        <v>89430</v>
      </c>
      <c r="H101" s="282">
        <f>IF(H$4="","",Data!E77)</f>
        <v>75868</v>
      </c>
      <c r="I101" s="282">
        <f>IF(I$4="","",Data!F77)</f>
        <v>51007</v>
      </c>
      <c r="J101" s="282">
        <f>IF(J$4="","",Data!G77)</f>
        <v>37326</v>
      </c>
      <c r="K101" s="282">
        <f>IF(K$4="","",Data!H77)</f>
        <v>50182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227738</v>
      </c>
      <c r="D102" s="86"/>
      <c r="E102" s="239"/>
      <c r="F102" s="86"/>
      <c r="G102" s="282">
        <f>IF(G$4="","",Data!D78)</f>
        <v>230288</v>
      </c>
      <c r="H102" s="282">
        <f>IF(H$4="","",Data!E78)</f>
        <v>268243</v>
      </c>
      <c r="I102" s="282">
        <f>IF(I$4="","",Data!F78)</f>
        <v>303542</v>
      </c>
      <c r="J102" s="282">
        <f>IF(J$4="","",Data!G78)</f>
        <v>234924</v>
      </c>
      <c r="K102" s="282">
        <f>IF(K$4="","",Data!H78)</f>
        <v>260626</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3143428</v>
      </c>
      <c r="D103" s="25"/>
      <c r="E103" s="238"/>
      <c r="F103" s="25"/>
      <c r="G103" s="270">
        <f>Data!C79</f>
        <v>3143428</v>
      </c>
      <c r="H103" s="270">
        <f>Data!D79</f>
        <v>3603411</v>
      </c>
      <c r="I103" s="270">
        <f>Data!E79</f>
        <v>4383277</v>
      </c>
      <c r="J103" s="270">
        <f>Data!F79</f>
        <v>4045470</v>
      </c>
      <c r="K103" s="270">
        <f>Data!G79</f>
        <v>4119837</v>
      </c>
      <c r="L103" s="270">
        <f>Data!H79</f>
        <v>3549446</v>
      </c>
      <c r="M103" s="270">
        <f>Data!I79</f>
        <v>1072340</v>
      </c>
      <c r="N103" s="270">
        <f>Data!J79</f>
        <v>1042829</v>
      </c>
      <c r="O103" s="270">
        <f>Data!K79</f>
        <v>945690</v>
      </c>
      <c r="P103" s="270">
        <f>Data!L79</f>
        <v>903190</v>
      </c>
      <c r="Q103" s="270" t="str">
        <f>Data!M79</f>
        <v/>
      </c>
    </row>
    <row r="104" spans="1:17" ht="15.75" customHeight="1">
      <c r="A104" s="10"/>
      <c r="B104" s="25" t="s">
        <v>28</v>
      </c>
      <c r="C104" s="280">
        <f>BS!G27</f>
        <v>2646614</v>
      </c>
      <c r="D104" s="25"/>
      <c r="E104" s="238"/>
      <c r="F104" s="25"/>
      <c r="G104" s="270">
        <f>Data!C80</f>
        <v>2646614</v>
      </c>
      <c r="H104" s="270">
        <f>Data!D80</f>
        <v>2910513</v>
      </c>
      <c r="I104" s="270">
        <f>Data!E80</f>
        <v>2792063</v>
      </c>
      <c r="J104" s="270">
        <f>Data!F80</f>
        <v>2826376</v>
      </c>
      <c r="K104" s="270">
        <f>Data!G80</f>
        <v>3034836</v>
      </c>
      <c r="L104" s="270">
        <f>Data!H80</f>
        <v>2671312</v>
      </c>
      <c r="M104" s="270">
        <f>Data!I80</f>
        <v>3421750</v>
      </c>
      <c r="N104" s="270">
        <f>Data!J80</f>
        <v>3573500</v>
      </c>
      <c r="O104" s="270">
        <f>Data!K80</f>
        <v>3491120</v>
      </c>
      <c r="P104" s="270">
        <f>Data!L80</f>
        <v>3541997</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1.171303536038641E-2</v>
      </c>
      <c r="D107" s="25"/>
      <c r="E107" s="238"/>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2.6579081983077891E-2</v>
      </c>
      <c r="D108" s="25"/>
      <c r="E108" s="238"/>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6.4267473661376968</v>
      </c>
      <c r="H112" s="251">
        <f>IF(H$4="","",Data!D$22/Data!D15)</f>
        <v>4.9912338880302505</v>
      </c>
      <c r="I112" s="251">
        <f>IF(I$4="","",Data!E$22/Data!E15)</f>
        <v>15.279529081637241</v>
      </c>
      <c r="J112" s="251">
        <f>IF(J$4="","",Data!F$22/Data!F15)</f>
        <v>50.960218818380746</v>
      </c>
      <c r="K112" s="251">
        <f>IF(K$4="","",Data!G$22/Data!G15)</f>
        <v>4.6954125641381221</v>
      </c>
      <c r="L112" s="251">
        <f>IF(L$4="","",Data!H$22/Data!H15)</f>
        <v>19.049512004947168</v>
      </c>
      <c r="M112" s="251">
        <f>IF(M$4="","",Data!I$22/Data!I15)</f>
        <v>1.608003580415801</v>
      </c>
      <c r="N112" s="251">
        <f>IF(N$4="","",Data!J$22/Data!J15)</f>
        <v>1.9435635049369142</v>
      </c>
      <c r="O112" s="251">
        <f>IF(O$4="","",Data!K$22/Data!K15)</f>
        <v>1.738263372035328</v>
      </c>
      <c r="P112" s="251">
        <f>IF(P$4="","",Data!L$22/Data!L15)</f>
        <v>1.5089927779708801</v>
      </c>
      <c r="Q112" s="251" t="str">
        <f>IF(Q$4="","",Data!M$22/Data!M15)</f>
        <v/>
      </c>
    </row>
    <row r="113" spans="1:17" ht="15.75" customHeight="1">
      <c r="A113" s="10"/>
      <c r="B113" s="2" t="s">
        <v>304</v>
      </c>
      <c r="C113" s="151"/>
      <c r="E113" s="459">
        <f>(Normalized_FCF!E117/Normalized_FCF!C117)^(1/DCF!C15)-1</f>
        <v>0</v>
      </c>
      <c r="G113" s="251">
        <f>IF(G$4="","",Data!C$22/G19)</f>
        <v>5.1574410720644508</v>
      </c>
      <c r="H113" s="251">
        <f>IF(H$4="","",Data!D$22/H19)</f>
        <v>4.7377568257244578</v>
      </c>
      <c r="I113" s="251">
        <f>IF(I$4="","",Data!E$22/I19)</f>
        <v>15.138461995025636</v>
      </c>
      <c r="J113" s="251">
        <f>IF(J$4="","",Data!F$22/J19)</f>
        <v>-50.14017942054825</v>
      </c>
      <c r="K113" s="251">
        <f>IF(K$4="","",Data!G$22/K19)</f>
        <v>-14.244625442796201</v>
      </c>
      <c r="L113" s="251">
        <f>IF(L$4="","",Data!H$22/L19)</f>
        <v>6.7925307026374071</v>
      </c>
      <c r="M113" s="251">
        <f>IF(M$4="","",Data!I$22/M19)</f>
        <v>1.7069263797631746</v>
      </c>
      <c r="N113" s="251">
        <f>IF(N$4="","",Data!J$22/N19)</f>
        <v>1.94016300804173</v>
      </c>
      <c r="O113" s="251">
        <f>IF(O$4="","",Data!K$22/O19)</f>
        <v>1.6928845901081653</v>
      </c>
      <c r="P113" s="251">
        <f>IF(P$4="","",Data!L$22/P19)</f>
        <v>1.5492297932237664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3.6856250242404666E-2</v>
      </c>
      <c r="E116" s="22">
        <f>E119/E117/E118</f>
        <v>5.5599077391744495E-2</v>
      </c>
      <c r="G116" s="22">
        <f t="shared" ref="G116:Q116" si="44">IF(G4="","",G77)</f>
        <v>3.8240129819323766E-2</v>
      </c>
      <c r="H116" s="22">
        <f t="shared" si="44"/>
        <v>4.7186205648293109E-2</v>
      </c>
      <c r="I116" s="22">
        <f t="shared" si="44"/>
        <v>1.8201058110802349E-2</v>
      </c>
      <c r="J116" s="22">
        <f t="shared" si="44"/>
        <v>8.4585146494852565E-4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52">
        <f>G117</f>
        <v>1.4798367611150316</v>
      </c>
      <c r="E117" s="452">
        <f>C117</f>
        <v>1.4798367611150316</v>
      </c>
      <c r="G117" s="40">
        <f t="shared" ref="G117:Q117" si="45">IF(G4="","",G4/G100)</f>
        <v>1.4798367611150316</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2.187716833659914</v>
      </c>
      <c r="D118" s="11"/>
      <c r="E118" s="15">
        <f>C100/C104</f>
        <v>2.187716833659914</v>
      </c>
      <c r="F118" s="11"/>
      <c r="G118" s="15">
        <f t="shared" ref="G118:Q118" si="46">IF(G$4="","",G100/G104)</f>
        <v>2.187716833659914</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62">
        <f>C11/C104</f>
        <v>0.11932077571880524</v>
      </c>
      <c r="D119" s="100"/>
      <c r="E119" s="453">
        <v>0.18</v>
      </c>
      <c r="F119" s="100"/>
      <c r="G119" s="99">
        <f t="shared" ref="G119:Q119" si="47">IF(G$4="","",G11/G104)</f>
        <v>0.12380103574345135</v>
      </c>
      <c r="H119" s="99">
        <f t="shared" si="47"/>
        <v>0.14090866451915915</v>
      </c>
      <c r="I119" s="99">
        <f t="shared" si="47"/>
        <v>5.2307591600775097E-2</v>
      </c>
      <c r="J119" s="99">
        <f t="shared" si="47"/>
        <v>2.2471496096013541E-3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0.40392317865225363</v>
      </c>
      <c r="D123" s="26"/>
      <c r="E123" s="234"/>
      <c r="F123" s="26"/>
      <c r="G123" s="159">
        <f t="shared" ref="G123:Q123" si="48">IF(G$4="","",G14*$C$3/Common_Shares*Exchange_Rate)</f>
        <v>0.50512502973081697</v>
      </c>
      <c r="H123" s="159">
        <f t="shared" si="48"/>
        <v>0.60524148095992891</v>
      </c>
      <c r="I123" s="159">
        <f t="shared" si="48"/>
        <v>0.19348674275103692</v>
      </c>
      <c r="J123" s="159">
        <f t="shared" si="48"/>
        <v>-4.0040601364255281E-2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8.7052409192296051E-2</v>
      </c>
      <c r="D124" s="26"/>
      <c r="E124" s="234"/>
      <c r="F124" s="26"/>
      <c r="G124" s="74">
        <f t="shared" ref="G124" si="49">IF(G$4="","",G123/Market_Price)</f>
        <v>0.1088631529592278</v>
      </c>
      <c r="H124" s="74">
        <f t="shared" ref="H124" si="50">IF(H$4="","",H123/Market_Price)</f>
        <v>0.13043997434481228</v>
      </c>
      <c r="I124" s="74">
        <f t="shared" ref="I124" si="51">IF(I$4="","",I123/Market_Price)</f>
        <v>4.1699729041171751E-2</v>
      </c>
      <c r="J124" s="74">
        <f t="shared" ref="J124" si="52">IF(J$4="","",J123/Market_Price)</f>
        <v>-8.6294399491929491E-3</v>
      </c>
      <c r="K124" s="74">
        <f t="shared" ref="K124" si="53">IF(K$4="","",K123/Market_Price)</f>
        <v>-4.416103359441105E-2</v>
      </c>
      <c r="L124" s="74">
        <f t="shared" ref="L124" si="54">IF(L$4="","",L123/Market_Price)</f>
        <v>7.751655373938314E-2</v>
      </c>
      <c r="M124" s="74">
        <f t="shared" ref="M124" si="55">IF(M$4="","",M123/Market_Price)</f>
        <v>0.20726483406223561</v>
      </c>
      <c r="N124" s="74">
        <f t="shared" ref="N124" si="56">IF(N$4="","",N123/Market_Price)</f>
        <v>0.17096343666048386</v>
      </c>
      <c r="O124" s="74">
        <f t="shared" ref="O124" si="57">IF(O$4="","",O123/Market_Price)</f>
        <v>0.19223855626368461</v>
      </c>
      <c r="P124" s="74">
        <f t="shared" ref="P124" si="58">IF(P$4="","",P123/Market_Price)</f>
        <v>0.18742809625280304</v>
      </c>
      <c r="Q124" s="74" t="str">
        <f t="shared" ref="Q124" si="59">IF(Q$4="","",Q123/Market_Price)</f>
        <v/>
      </c>
    </row>
    <row r="125" spans="1:17" ht="15.75" customHeight="1">
      <c r="B125" s="2" t="s">
        <v>306</v>
      </c>
      <c r="C125" s="151"/>
      <c r="G125" s="22">
        <f>IF(G$4="","",(Data!C47*$C$3)/(Market_Price*Common_Shares))</f>
        <v>8.7362278975620572E-2</v>
      </c>
      <c r="H125" s="22">
        <f>IF(H$4="","",(Data!D47*$C$3)/(Market_Price*Common_Shares))</f>
        <v>0.12381565213393421</v>
      </c>
      <c r="I125" s="22">
        <f>IF(I$4="","",(Data!E47*$C$3)/(Market_Price*Common_Shares))</f>
        <v>4.1314739473960485E-2</v>
      </c>
      <c r="J125" s="22">
        <f>IF(J$4="","",(Data!F47*$C$3)/(Market_Price*Common_Shares))</f>
        <v>8.4905771086547632E-3</v>
      </c>
      <c r="K125" s="22">
        <f>IF(K$4="","",(Data!G47*$C$3)/(Market_Price*Common_Shares))</f>
        <v>0.13397276046063347</v>
      </c>
      <c r="L125" s="22">
        <f>IF(L$4="","",(Data!H47*$C$3)/(Market_Price*Common_Shares))</f>
        <v>2.7640265593190074E-2</v>
      </c>
      <c r="M125" s="22">
        <f>IF(M$4="","",(Data!I47*$C$3)/(Market_Price*Common_Shares))</f>
        <v>0.22001556287989371</v>
      </c>
      <c r="N125" s="22">
        <f>IF(N$4="","",(Data!J47*$C$3)/(Market_Price*Common_Shares))</f>
        <v>0.17066431567262971</v>
      </c>
      <c r="O125" s="22">
        <f>IF(O$4="","",(Data!K47*$C$3)/(Market_Price*Common_Shares))</f>
        <v>0.18722001208733927</v>
      </c>
      <c r="P125" s="22">
        <f>IF(P$4="","",(Data!L47*$C$3)/(Market_Price*Common_Shares))</f>
        <v>0.19242583201260199</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234277.07264048661</v>
      </c>
      <c r="D4" t="str">
        <f>Reporting_currency</f>
        <v>HKD</v>
      </c>
      <c r="E4" s="135" t="s">
        <v>431</v>
      </c>
      <c r="F4" s="275">
        <f>-BS!G31</f>
        <v>-2029987</v>
      </c>
      <c r="G4" t="str">
        <f>Reporting_currency</f>
        <v>HKD</v>
      </c>
      <c r="H4" s="308" t="s">
        <v>394</v>
      </c>
      <c r="I4" s="305">
        <f>Normalized_FCF!C4</f>
        <v>8568317</v>
      </c>
      <c r="J4" s="305"/>
    </row>
    <row r="5" spans="2:15">
      <c r="B5" s="187" t="s">
        <v>105</v>
      </c>
      <c r="C5" s="188">
        <f>Equity_Cost</f>
        <v>7.2499999999999995E-2</v>
      </c>
      <c r="E5" s="135" t="s">
        <v>432</v>
      </c>
      <c r="F5" s="275">
        <f>BS!D66</f>
        <v>269920.64917500003</v>
      </c>
      <c r="G5" t="str">
        <f>Reporting_currency</f>
        <v>HKD</v>
      </c>
      <c r="H5" s="308" t="s">
        <v>395</v>
      </c>
      <c r="I5" s="305">
        <f>Normalized_FCF!C7</f>
        <v>-494493</v>
      </c>
      <c r="J5" s="305"/>
    </row>
    <row r="6" spans="2:15" ht="13.25" customHeight="1">
      <c r="B6" s="136" t="s">
        <v>194</v>
      </c>
      <c r="C6" s="283">
        <f>(C4*(1+Terminal_Growth))/(Equity_Cost-Terminal_Growth)</f>
        <v>3785917.4938702644</v>
      </c>
      <c r="D6" t="str">
        <f>Reporting_currency</f>
        <v>HKD</v>
      </c>
      <c r="E6" s="187" t="s">
        <v>433</v>
      </c>
      <c r="F6" s="284">
        <f>BS!H42</f>
        <v>61077</v>
      </c>
      <c r="G6" t="str">
        <f>Reporting_currency</f>
        <v>HKD</v>
      </c>
      <c r="H6" s="308" t="s">
        <v>416</v>
      </c>
      <c r="I6" s="305">
        <f>I7+I8</f>
        <v>-82365.964491749997</v>
      </c>
      <c r="J6" s="305"/>
      <c r="N6" s="135"/>
    </row>
    <row r="7" spans="2:15" ht="12.75" customHeight="1">
      <c r="B7" s="318" t="s">
        <v>430</v>
      </c>
      <c r="C7" s="275">
        <f>F7</f>
        <v>-1698989.3508250001</v>
      </c>
      <c r="E7" s="140" t="s">
        <v>424</v>
      </c>
      <c r="F7" s="283">
        <f>SUM(F4:F6)</f>
        <v>-1698989.3508250001</v>
      </c>
      <c r="G7" t="str">
        <f>Reporting_currency</f>
        <v>HKD</v>
      </c>
      <c r="H7" s="312" t="s">
        <v>417</v>
      </c>
      <c r="I7" s="313">
        <f>Normalized_FCF!C9</f>
        <v>0</v>
      </c>
      <c r="J7" s="313"/>
      <c r="N7" s="304"/>
      <c r="O7" s="304"/>
    </row>
    <row r="8" spans="2:15" ht="13.15">
      <c r="B8" s="136" t="s">
        <v>426</v>
      </c>
      <c r="C8" s="283">
        <f>C6+C7</f>
        <v>2086928.1430452643</v>
      </c>
      <c r="D8" t="str">
        <f>Reporting_currency</f>
        <v>HKD</v>
      </c>
      <c r="E8" s="140" t="s">
        <v>464</v>
      </c>
      <c r="F8" s="108">
        <f>FV_adjustments*scaling_factor/Common_Shares*Exchange_Rate</f>
        <v>-2.929271615642369</v>
      </c>
      <c r="G8" s="294" t="str">
        <f>Market_currency</f>
        <v>HKD</v>
      </c>
      <c r="H8" s="314" t="str">
        <f>Normalized_FCF!B10</f>
        <v>Net Interest Income</v>
      </c>
      <c r="I8" s="313">
        <f>Normalized_FCF!C10</f>
        <v>-82365.964491749997</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3.4327181182608169E-3</v>
      </c>
      <c r="J9" s="306"/>
      <c r="N9" s="304"/>
      <c r="O9" s="304"/>
    </row>
    <row r="10" spans="2:15" ht="13.5" thickTop="1">
      <c r="B10" s="107" t="s">
        <v>427</v>
      </c>
      <c r="C10" s="283">
        <f>C8*Exchange_Rate</f>
        <v>2086928.1430452643</v>
      </c>
      <c r="D10" t="str">
        <f>Market_currency</f>
        <v>HKD</v>
      </c>
      <c r="H10" s="308" t="s">
        <v>397</v>
      </c>
      <c r="I10" s="306">
        <f>Normalized_FCF!C41</f>
        <v>0.16500000000000001</v>
      </c>
      <c r="N10" s="304"/>
      <c r="O10" s="304"/>
    </row>
    <row r="11" spans="2:15" ht="13.15">
      <c r="B11" s="136" t="s">
        <v>425</v>
      </c>
      <c r="C11" s="108">
        <f>(C10*scaling_factor)/Common_Shares</f>
        <v>3.5981269513780507</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0.01</v>
      </c>
      <c r="J15" s="126"/>
    </row>
    <row r="16" spans="2:15" ht="13.25" customHeight="1">
      <c r="B16" s="114" t="s">
        <v>422</v>
      </c>
      <c r="C16" s="147">
        <f>Scenarios!C46</f>
        <v>2.0287009867734501E-2</v>
      </c>
      <c r="E16" s="308" t="s">
        <v>400</v>
      </c>
      <c r="F16" s="311">
        <f>Scenarios!C41</f>
        <v>2.0287009867734501E-2</v>
      </c>
    </row>
    <row r="17" spans="1:21" ht="13.25" customHeight="1">
      <c r="B17" s="308" t="s">
        <v>550</v>
      </c>
      <c r="C17" s="306">
        <f>Normalized_FCF!C77</f>
        <v>3.6856250242404666E-2</v>
      </c>
      <c r="E17" s="308" t="s">
        <v>551</v>
      </c>
      <c r="F17" s="311">
        <f>Scenarios!C40</f>
        <v>5.5599077391744495E-2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6.5009729540294972</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8742142.5315288771</v>
      </c>
      <c r="D21" s="299">
        <f t="shared" ref="D21:D50" si="1">IF(A21="",0,IF(A21="I",$C$16,$F$16))</f>
        <v>2.0287009867734501E-2</v>
      </c>
      <c r="E21" s="299">
        <f>$C$17</f>
        <v>3.6856250242404666E-2</v>
      </c>
      <c r="F21" s="277">
        <f>C21*E21</f>
        <v>322202.59279679734</v>
      </c>
      <c r="G21" s="299">
        <f t="shared" ref="G21:G50" si="2">IF(A21="",0%,IF(A21="I",$C$18,$F$18))</f>
        <v>0</v>
      </c>
      <c r="H21" s="277">
        <f>(F21*(1-$I$10)+C21*(G21-$I$9))</f>
        <v>239029.85392492812</v>
      </c>
      <c r="I21" s="299">
        <f>H21/C4-1</f>
        <v>2.0287009867734573E-2</v>
      </c>
      <c r="J21" s="299">
        <f>H21/C21</f>
        <v>2.734225083414708E-2</v>
      </c>
      <c r="K21" s="119">
        <f t="shared" ref="K21:K50" si="3">IF($C$15&lt;B21,0,1/(1+Equity_Cost)^B21)</f>
        <v>0.93240093240093236</v>
      </c>
      <c r="L21" s="277">
        <f t="shared" ref="L21:L51" si="4">H21*K21</f>
        <v>222871.65867126163</v>
      </c>
    </row>
    <row r="22" spans="1:21">
      <c r="A22" s="302" t="str">
        <f t="shared" si="0"/>
        <v>I</v>
      </c>
      <c r="B22" s="117">
        <v>2</v>
      </c>
      <c r="C22" s="277">
        <f t="shared" ref="C22:C50" si="5">IF(A22="",0,C21*(1+D22))</f>
        <v>8919494.4633311462</v>
      </c>
      <c r="D22" s="299">
        <f t="shared" si="1"/>
        <v>2.0287009867734501E-2</v>
      </c>
      <c r="E22" s="299">
        <f t="shared" ref="E22:E50" si="6">IF($C$15&lt;B22,0,IF(B22&gt;=$F$15,$F$17,$C$17))</f>
        <v>3.6856250242404666E-2</v>
      </c>
      <c r="F22" s="277">
        <f t="shared" ref="F22:F50" si="7">IF(A22="", 0,C22*E22)</f>
        <v>328739.11997627566</v>
      </c>
      <c r="G22" s="299">
        <f t="shared" si="2"/>
        <v>0</v>
      </c>
      <c r="H22" s="277">
        <f t="shared" ref="H22:H50" si="8">IF(A22="", 0,F22*(1-$I$10)+C22*(G22-$I$9))</f>
        <v>243879.05493018631</v>
      </c>
      <c r="I22" s="299">
        <f t="shared" ref="I22:I50" si="9">IF(A22="", 0,H22/H21-1)</f>
        <v>2.0287009867734573E-2</v>
      </c>
      <c r="J22" s="299">
        <f>IF(A22="", 0,H22/C22)</f>
        <v>2.7342250834147083E-2</v>
      </c>
      <c r="K22" s="119">
        <f t="shared" si="3"/>
        <v>0.86937149874212816</v>
      </c>
      <c r="L22" s="277">
        <f t="shared" si="4"/>
        <v>212021.49949646986</v>
      </c>
    </row>
    <row r="23" spans="1:21">
      <c r="A23" s="302" t="str">
        <f t="shared" si="0"/>
        <v>I</v>
      </c>
      <c r="B23" s="117">
        <v>3</v>
      </c>
      <c r="C23" s="277">
        <f t="shared" si="5"/>
        <v>9100444.3355239499</v>
      </c>
      <c r="D23" s="299">
        <f t="shared" si="1"/>
        <v>2.0287009867734501E-2</v>
      </c>
      <c r="E23" s="299">
        <f t="shared" si="6"/>
        <v>3.6856250242404666E-2</v>
      </c>
      <c r="F23" s="277">
        <f t="shared" si="7"/>
        <v>335408.25374714477</v>
      </c>
      <c r="G23" s="299">
        <f t="shared" si="2"/>
        <v>0</v>
      </c>
      <c r="H23" s="277">
        <f t="shared" si="8"/>
        <v>248826.6317240888</v>
      </c>
      <c r="I23" s="299">
        <f t="shared" si="9"/>
        <v>2.0287009867734573E-2</v>
      </c>
      <c r="J23" s="299">
        <f t="shared" ref="J23:J50" si="10">IF(A23="", 0,H23/C23)</f>
        <v>2.734225083414708E-2</v>
      </c>
      <c r="K23" s="119">
        <f t="shared" si="3"/>
        <v>0.81060279602995633</v>
      </c>
      <c r="L23" s="277">
        <f t="shared" si="4"/>
        <v>201699.5634022626</v>
      </c>
      <c r="N23" s="275"/>
      <c r="O23" s="275"/>
      <c r="P23" s="275"/>
      <c r="Q23" s="275"/>
      <c r="R23" s="275"/>
      <c r="S23" s="275"/>
      <c r="T23" s="275"/>
      <c r="U23" s="275"/>
    </row>
    <row r="24" spans="1:21">
      <c r="A24" s="302" t="str">
        <f t="shared" si="0"/>
        <v>I</v>
      </c>
      <c r="B24" s="117">
        <v>4</v>
      </c>
      <c r="C24" s="277">
        <f t="shared" si="5"/>
        <v>9285065.1395594943</v>
      </c>
      <c r="D24" s="299">
        <f t="shared" si="1"/>
        <v>2.0287009867734501E-2</v>
      </c>
      <c r="E24" s="299">
        <f t="shared" si="6"/>
        <v>3.6856250242404666E-2</v>
      </c>
      <c r="F24" s="277">
        <f t="shared" si="7"/>
        <v>342212.68430063274</v>
      </c>
      <c r="G24" s="299">
        <f t="shared" si="2"/>
        <v>0</v>
      </c>
      <c r="H24" s="277">
        <f t="shared" si="8"/>
        <v>253874.58005723055</v>
      </c>
      <c r="I24" s="299">
        <f t="shared" si="9"/>
        <v>2.0287009867734573E-2</v>
      </c>
      <c r="J24" s="299">
        <f t="shared" si="10"/>
        <v>2.734225083414708E-2</v>
      </c>
      <c r="K24" s="119">
        <f t="shared" si="3"/>
        <v>0.75580680282513402</v>
      </c>
      <c r="L24" s="277">
        <f t="shared" si="4"/>
        <v>191880.13467162894</v>
      </c>
      <c r="N24" s="275"/>
      <c r="O24" s="275"/>
      <c r="P24" s="275"/>
      <c r="Q24" s="275"/>
      <c r="R24" s="275"/>
      <c r="S24" s="275"/>
      <c r="T24" s="275"/>
      <c r="U24" s="275"/>
    </row>
    <row r="25" spans="1:21">
      <c r="A25" s="302" t="str">
        <f t="shared" si="0"/>
        <v>II</v>
      </c>
      <c r="B25" s="117">
        <v>5</v>
      </c>
      <c r="C25" s="277">
        <f t="shared" si="5"/>
        <v>9473431.3476682957</v>
      </c>
      <c r="D25" s="299">
        <f t="shared" si="1"/>
        <v>2.0287009867734501E-2</v>
      </c>
      <c r="E25" s="299">
        <f t="shared" si="6"/>
        <v>5.5599077391744495E-2</v>
      </c>
      <c r="F25" s="277">
        <f t="shared" si="7"/>
        <v>526714.04266438796</v>
      </c>
      <c r="G25" s="299">
        <f t="shared" si="2"/>
        <v>0</v>
      </c>
      <c r="H25" s="277">
        <f t="shared" si="8"/>
        <v>407286.606195523</v>
      </c>
      <c r="I25" s="299">
        <f t="shared" si="9"/>
        <v>0.60428273718349046</v>
      </c>
      <c r="J25" s="299">
        <f t="shared" si="10"/>
        <v>4.2992511503845837E-2</v>
      </c>
      <c r="K25" s="119">
        <f t="shared" si="3"/>
        <v>0.70471496766912267</v>
      </c>
      <c r="L25" s="277">
        <f t="shared" si="4"/>
        <v>287020.96751714469</v>
      </c>
      <c r="N25" s="275"/>
      <c r="O25" s="275"/>
      <c r="P25" s="275"/>
      <c r="Q25" s="275"/>
      <c r="R25" s="275"/>
      <c r="S25" s="275"/>
      <c r="T25" s="275"/>
      <c r="U25" s="275"/>
    </row>
    <row r="26" spans="1:21">
      <c r="A26" s="302" t="str">
        <f t="shared" si="0"/>
        <v>II</v>
      </c>
      <c r="B26" s="117">
        <v>6</v>
      </c>
      <c r="C26" s="277">
        <f t="shared" si="5"/>
        <v>9665618.9428997487</v>
      </c>
      <c r="D26" s="299">
        <f t="shared" si="1"/>
        <v>2.0287009867734501E-2</v>
      </c>
      <c r="E26" s="299">
        <f t="shared" si="6"/>
        <v>5.5599077391744495E-2</v>
      </c>
      <c r="F26" s="277">
        <f t="shared" si="7"/>
        <v>537399.49564539478</v>
      </c>
      <c r="G26" s="299">
        <f t="shared" si="2"/>
        <v>0</v>
      </c>
      <c r="H26" s="277">
        <f t="shared" si="8"/>
        <v>415549.23359440768</v>
      </c>
      <c r="I26" s="299">
        <f t="shared" si="9"/>
        <v>2.0287009867734573E-2</v>
      </c>
      <c r="J26" s="299">
        <f t="shared" si="10"/>
        <v>4.2992511503845837E-2</v>
      </c>
      <c r="K26" s="119">
        <f t="shared" si="3"/>
        <v>0.65707689293158289</v>
      </c>
      <c r="L26" s="277">
        <f t="shared" si="4"/>
        <v>273047.79927031393</v>
      </c>
    </row>
    <row r="27" spans="1:21">
      <c r="A27" s="302" t="str">
        <f t="shared" si="0"/>
        <v>II</v>
      </c>
      <c r="B27" s="117">
        <v>7</v>
      </c>
      <c r="C27" s="277">
        <f t="shared" si="5"/>
        <v>9861705.4497721177</v>
      </c>
      <c r="D27" s="299">
        <f t="shared" si="1"/>
        <v>2.0287009867734501E-2</v>
      </c>
      <c r="E27" s="299">
        <f t="shared" si="6"/>
        <v>5.5599077391744495E-2</v>
      </c>
      <c r="F27" s="277">
        <f t="shared" si="7"/>
        <v>548301.72451646847</v>
      </c>
      <c r="G27" s="299">
        <f t="shared" si="2"/>
        <v>0</v>
      </c>
      <c r="H27" s="277">
        <f t="shared" si="8"/>
        <v>423979.48499686702</v>
      </c>
      <c r="I27" s="299">
        <f t="shared" si="9"/>
        <v>2.0287009867734795E-2</v>
      </c>
      <c r="J27" s="299">
        <f t="shared" si="10"/>
        <v>4.2992511503845844E-2</v>
      </c>
      <c r="K27" s="119">
        <f t="shared" si="3"/>
        <v>0.61265910762851561</v>
      </c>
      <c r="L27" s="277">
        <f t="shared" si="4"/>
        <v>259754.89293097818</v>
      </c>
    </row>
    <row r="28" spans="1:21">
      <c r="A28" s="302" t="str">
        <f t="shared" si="0"/>
        <v>II</v>
      </c>
      <c r="B28" s="117">
        <v>8</v>
      </c>
      <c r="C28" s="277">
        <f t="shared" si="5"/>
        <v>10061769.965544336</v>
      </c>
      <c r="D28" s="299">
        <f t="shared" si="1"/>
        <v>2.0287009867734501E-2</v>
      </c>
      <c r="E28" s="299">
        <f t="shared" si="6"/>
        <v>5.5599077391744495E-2</v>
      </c>
      <c r="F28" s="277">
        <f t="shared" si="7"/>
        <v>559425.12701222987</v>
      </c>
      <c r="G28" s="299">
        <f t="shared" si="2"/>
        <v>0</v>
      </c>
      <c r="H28" s="277">
        <f t="shared" si="8"/>
        <v>432580.76099271537</v>
      </c>
      <c r="I28" s="299">
        <f t="shared" si="9"/>
        <v>2.0287009867734351E-2</v>
      </c>
      <c r="J28" s="299">
        <f t="shared" si="10"/>
        <v>4.2992511503845837E-2</v>
      </c>
      <c r="K28" s="119">
        <f t="shared" si="3"/>
        <v>0.5712439231967511</v>
      </c>
      <c r="L28" s="277">
        <f t="shared" si="4"/>
        <v>247109.13100891485</v>
      </c>
    </row>
    <row r="29" spans="1:21">
      <c r="A29" s="302" t="str">
        <f t="shared" si="0"/>
        <v>II</v>
      </c>
      <c r="B29" s="117">
        <v>9</v>
      </c>
      <c r="C29" s="277">
        <f t="shared" si="5"/>
        <v>10265893.192122208</v>
      </c>
      <c r="D29" s="299">
        <f t="shared" si="1"/>
        <v>2.0287009867734501E-2</v>
      </c>
      <c r="E29" s="299">
        <f t="shared" si="6"/>
        <v>5.5599077391744495E-2</v>
      </c>
      <c r="F29" s="277">
        <f t="shared" si="7"/>
        <v>570774.19008418557</v>
      </c>
      <c r="G29" s="299">
        <f t="shared" si="2"/>
        <v>0</v>
      </c>
      <c r="H29" s="277">
        <f t="shared" si="8"/>
        <v>441356.53115956666</v>
      </c>
      <c r="I29" s="299">
        <f t="shared" si="9"/>
        <v>2.0287009867734351E-2</v>
      </c>
      <c r="J29" s="299">
        <f t="shared" si="10"/>
        <v>4.2992511503845837E-2</v>
      </c>
      <c r="K29" s="119">
        <f t="shared" si="3"/>
        <v>0.53262836661701729</v>
      </c>
      <c r="L29" s="277">
        <f t="shared" si="4"/>
        <v>235079.00828727268</v>
      </c>
    </row>
    <row r="30" spans="1:21">
      <c r="A30" s="302" t="str">
        <f t="shared" si="0"/>
        <v>II</v>
      </c>
      <c r="B30" s="117">
        <v>10</v>
      </c>
      <c r="C30" s="277">
        <f t="shared" si="5"/>
        <v>10474157.4686119</v>
      </c>
      <c r="D30" s="299">
        <f t="shared" si="1"/>
        <v>2.0287009867734501E-2</v>
      </c>
      <c r="E30" s="299">
        <f t="shared" si="6"/>
        <v>5.5599077391744495E-2</v>
      </c>
      <c r="F30" s="277">
        <f t="shared" si="7"/>
        <v>582353.49171067157</v>
      </c>
      <c r="G30" s="299">
        <f t="shared" si="2"/>
        <v>0</v>
      </c>
      <c r="H30" s="277">
        <f t="shared" si="8"/>
        <v>450310.3354623898</v>
      </c>
      <c r="I30" s="299">
        <f t="shared" si="9"/>
        <v>2.0287009867734351E-2</v>
      </c>
      <c r="J30" s="299">
        <f t="shared" si="10"/>
        <v>4.299251150384583E-2</v>
      </c>
      <c r="K30" s="119">
        <f t="shared" si="3"/>
        <v>0.49662318565689262</v>
      </c>
      <c r="L30" s="277">
        <f t="shared" si="4"/>
        <v>223634.553331556</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10578899.043298019</v>
      </c>
      <c r="D51" s="301">
        <f>Terminal_Growth</f>
        <v>0.01</v>
      </c>
      <c r="E51" s="301">
        <f>F17</f>
        <v>5.5599077391744495E-2</v>
      </c>
      <c r="F51" s="277">
        <f>C51*E51</f>
        <v>588177.02662777831</v>
      </c>
      <c r="G51" s="299">
        <f>F18</f>
        <v>0</v>
      </c>
      <c r="H51" s="277">
        <f>(F51*(1-$I$10)+C51*(G51-$I$9))/Equity_Cost</f>
        <v>6273288.8112691557</v>
      </c>
      <c r="I51" s="415">
        <f>(F51*(1-$I$10)+C51*(G51-$I$9))/VLOOKUP(C15,B21:H50,COLUMN(H20)-1,FALSE)-1</f>
        <v>1.0000000000000009E-2</v>
      </c>
      <c r="J51" s="454"/>
      <c r="K51" s="119">
        <f>1/(1+Equity_Cost)^C15</f>
        <v>0.49662318565689262</v>
      </c>
      <c r="L51" s="277">
        <f t="shared" si="4"/>
        <v>3115460.6739982292</v>
      </c>
    </row>
    <row r="52" spans="1:21" ht="13.15">
      <c r="G52" s="111"/>
      <c r="H52" s="111"/>
      <c r="I52" s="111"/>
      <c r="J52" s="468" t="s">
        <v>420</v>
      </c>
      <c r="K52" s="468"/>
      <c r="L52" s="317">
        <f>SUM(L21:L51)</f>
        <v>5469579.8825860322</v>
      </c>
    </row>
    <row r="53" spans="1:21">
      <c r="C53" s="111"/>
    </row>
    <row r="54" spans="1:21" ht="13.15">
      <c r="B54" s="115" t="s">
        <v>108</v>
      </c>
      <c r="C54" s="128"/>
      <c r="D54" s="128"/>
      <c r="E54" s="113"/>
      <c r="F54" s="113"/>
      <c r="G54" s="113"/>
      <c r="H54" s="113"/>
      <c r="I54" s="113"/>
      <c r="J54" s="113"/>
      <c r="K54" s="113"/>
      <c r="L54" s="113"/>
    </row>
    <row r="55" spans="1:21" ht="13.15">
      <c r="A55" s="125">
        <f>L52</f>
        <v>5469579.8825860322</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5003357.1530191349</v>
      </c>
      <c r="C56" s="118">
        <v>5053390.724549327</v>
      </c>
      <c r="D56" s="118">
        <v>5103424.2960795164</v>
      </c>
      <c r="E56" s="118">
        <v>5153457.8676097076</v>
      </c>
      <c r="F56" s="118">
        <v>5203491.4391398998</v>
      </c>
      <c r="G56" s="295"/>
      <c r="H56" s="295"/>
      <c r="I56" s="295"/>
      <c r="J56" s="295"/>
      <c r="K56" s="295"/>
      <c r="L56" s="295"/>
    </row>
    <row r="57" spans="1:21" ht="13.15">
      <c r="A57" s="131">
        <v>2</v>
      </c>
      <c r="B57" s="118">
        <v>5000154.6190864481</v>
      </c>
      <c r="C57" s="118">
        <v>5098451.481304287</v>
      </c>
      <c r="D57" s="118">
        <v>5197704.6864137491</v>
      </c>
      <c r="E57" s="118">
        <v>5297914.2344148345</v>
      </c>
      <c r="F57" s="118">
        <v>5399080.1253075423</v>
      </c>
      <c r="G57" s="295"/>
      <c r="H57" s="295"/>
      <c r="I57" s="295"/>
      <c r="J57" s="295"/>
      <c r="K57" s="295"/>
      <c r="L57" s="295"/>
    </row>
    <row r="58" spans="1:21" ht="13.15">
      <c r="A58" s="131">
        <v>3</v>
      </c>
      <c r="B58" s="118">
        <v>4997168.5734615643</v>
      </c>
      <c r="C58" s="118">
        <v>5140886.3198334342</v>
      </c>
      <c r="D58" s="118">
        <v>5287369.9527456053</v>
      </c>
      <c r="E58" s="118">
        <v>5436646.2230481952</v>
      </c>
      <c r="F58" s="118">
        <v>5588741.8815913182</v>
      </c>
      <c r="G58" s="295"/>
      <c r="H58" s="295"/>
      <c r="I58" s="295"/>
      <c r="J58" s="295"/>
      <c r="K58" s="295"/>
      <c r="L58" s="295"/>
    </row>
    <row r="59" spans="1:21" ht="13.15">
      <c r="A59" s="131">
        <v>4</v>
      </c>
      <c r="B59" s="118">
        <v>4994384.3817367302</v>
      </c>
      <c r="C59" s="118">
        <v>5180848.265674402</v>
      </c>
      <c r="D59" s="118">
        <v>5372646.0102360426</v>
      </c>
      <c r="E59" s="118">
        <v>5569880.6736704428</v>
      </c>
      <c r="F59" s="118">
        <v>5772656.3119270988</v>
      </c>
      <c r="G59" s="295"/>
      <c r="H59" s="295"/>
      <c r="I59" s="295"/>
      <c r="J59" s="295"/>
      <c r="K59" s="295"/>
      <c r="L59" s="295"/>
    </row>
    <row r="60" spans="1:21" ht="13.15">
      <c r="A60" s="131">
        <v>5</v>
      </c>
      <c r="B60" s="118">
        <v>4875208.8152701324</v>
      </c>
      <c r="C60" s="118">
        <v>5099558.5936578438</v>
      </c>
      <c r="D60" s="118">
        <v>5332458.3165818732</v>
      </c>
      <c r="E60" s="118">
        <v>5574156.1572962776</v>
      </c>
      <c r="F60" s="118">
        <v>5824905.1001867503</v>
      </c>
      <c r="G60" s="295"/>
      <c r="H60" s="295"/>
      <c r="I60" s="295"/>
      <c r="J60" s="295"/>
      <c r="K60" s="295"/>
      <c r="L60" s="295"/>
    </row>
    <row r="61" spans="1:21" ht="13.15">
      <c r="A61" s="131">
        <v>6</v>
      </c>
      <c r="B61" s="118">
        <v>4872788.318337528</v>
      </c>
      <c r="C61" s="118">
        <v>5134998.6801189007</v>
      </c>
      <c r="D61" s="118">
        <v>5409590.0080750082</v>
      </c>
      <c r="E61" s="118">
        <v>5697040.452569738</v>
      </c>
      <c r="F61" s="118">
        <v>5997842.0851856861</v>
      </c>
      <c r="G61" s="295"/>
      <c r="H61" s="295"/>
      <c r="I61" s="295"/>
      <c r="J61" s="295"/>
      <c r="K61" s="295"/>
      <c r="L61" s="295"/>
    </row>
    <row r="62" spans="1:21" ht="13.15">
      <c r="A62" s="131">
        <v>7</v>
      </c>
      <c r="B62" s="118">
        <v>4761832.5323804338</v>
      </c>
      <c r="C62" s="118">
        <v>5056380.8953724783</v>
      </c>
      <c r="D62" s="118">
        <v>5367593.8669741768</v>
      </c>
      <c r="E62" s="118">
        <v>5696276.9705981659</v>
      </c>
      <c r="F62" s="118">
        <v>6043267.0621344708</v>
      </c>
      <c r="G62" s="295"/>
      <c r="H62" s="295"/>
      <c r="I62" s="295"/>
      <c r="J62" s="295"/>
      <c r="K62" s="295"/>
      <c r="L62" s="295"/>
    </row>
    <row r="63" spans="1:21" ht="13.15">
      <c r="A63" s="131">
        <v>8</v>
      </c>
      <c r="B63" s="118">
        <v>4759728.221334435</v>
      </c>
      <c r="C63" s="118">
        <v>5087810.7895364296</v>
      </c>
      <c r="D63" s="118">
        <v>5437359.0274151294</v>
      </c>
      <c r="E63" s="118">
        <v>5809615.1496827081</v>
      </c>
      <c r="F63" s="118">
        <v>6205881.8212151956</v>
      </c>
      <c r="G63" s="295"/>
      <c r="H63" s="295"/>
      <c r="I63" s="295"/>
      <c r="J63" s="295"/>
      <c r="K63" s="295"/>
      <c r="L63" s="295"/>
    </row>
    <row r="64" spans="1:21" ht="13.15">
      <c r="A64" s="131">
        <v>9</v>
      </c>
      <c r="B64" s="118">
        <v>4656415.19251741</v>
      </c>
      <c r="C64" s="118">
        <v>5011942.8818635745</v>
      </c>
      <c r="D64" s="118">
        <v>5394003.5636892561</v>
      </c>
      <c r="E64" s="118">
        <v>5804390.6657276358</v>
      </c>
      <c r="F64" s="118">
        <v>6245002.5637388434</v>
      </c>
      <c r="G64" s="295"/>
      <c r="H64" s="295"/>
      <c r="I64" s="295"/>
      <c r="J64" s="295"/>
      <c r="K64" s="295"/>
      <c r="L64" s="295"/>
    </row>
    <row r="65" spans="1:21" ht="13.15">
      <c r="A65" s="131">
        <v>10</v>
      </c>
      <c r="B65" s="118">
        <v>4654585.7644695304</v>
      </c>
      <c r="C65" s="118">
        <v>5039816.353567509</v>
      </c>
      <c r="D65" s="118">
        <v>5457105.7402023301</v>
      </c>
      <c r="E65" s="118">
        <v>5908924.3069843482</v>
      </c>
      <c r="F65" s="118">
        <v>6397911.2077229228</v>
      </c>
      <c r="G65" s="295"/>
      <c r="H65" s="295"/>
      <c r="I65" s="295"/>
      <c r="J65" s="295"/>
      <c r="K65" s="295"/>
      <c r="L65" s="295"/>
    </row>
    <row r="66" spans="1:21" ht="13.15">
      <c r="A66" s="131">
        <v>15</v>
      </c>
      <c r="B66" s="118">
        <v>4382367.9364093728</v>
      </c>
      <c r="C66" s="277">
        <v>4875696.9718975527</v>
      </c>
      <c r="D66" s="118">
        <v>5431264.0334148053</v>
      </c>
      <c r="E66" s="118">
        <v>6056842.3306294195</v>
      </c>
      <c r="F66" s="118">
        <v>6761122.0969803389</v>
      </c>
      <c r="G66" s="295"/>
      <c r="H66" s="295"/>
      <c r="I66" s="295"/>
      <c r="J66" s="295"/>
      <c r="K66" s="295"/>
      <c r="L66" s="295"/>
      <c r="M66" s="275"/>
      <c r="N66" s="275"/>
      <c r="O66" s="275"/>
      <c r="P66" s="275"/>
      <c r="Q66" s="275"/>
      <c r="R66" s="275"/>
      <c r="S66" s="275"/>
      <c r="T66" s="275"/>
      <c r="U66" s="275"/>
    </row>
    <row r="67" spans="1:21" ht="13.15">
      <c r="A67" s="132">
        <v>20</v>
      </c>
      <c r="B67" s="118">
        <v>4229091.7603348624</v>
      </c>
      <c r="C67" s="277">
        <v>4801153.6881379737</v>
      </c>
      <c r="D67" s="118">
        <v>5467859.928450427</v>
      </c>
      <c r="E67" s="118">
        <v>6245453.4867238877</v>
      </c>
      <c r="F67" s="118">
        <v>7152905.2207950531</v>
      </c>
      <c r="G67" s="295"/>
      <c r="H67" s="295"/>
      <c r="I67" s="295"/>
      <c r="J67" s="295"/>
      <c r="K67" s="295"/>
      <c r="L67" s="295"/>
      <c r="M67" s="275"/>
      <c r="N67" s="275"/>
      <c r="O67" s="275"/>
      <c r="P67" s="275"/>
      <c r="Q67" s="275"/>
      <c r="R67" s="275"/>
      <c r="S67" s="275"/>
      <c r="T67" s="275"/>
      <c r="U67" s="275"/>
    </row>
    <row r="68" spans="1:21" ht="13.15">
      <c r="A68" s="132">
        <v>25</v>
      </c>
      <c r="B68" s="118">
        <v>4038806.2892856319</v>
      </c>
      <c r="C68" s="277">
        <v>4657158.6538417432</v>
      </c>
      <c r="D68" s="118">
        <v>5400768.1880279286</v>
      </c>
      <c r="E68" s="118">
        <v>6296952.6525750346</v>
      </c>
      <c r="F68" s="118">
        <v>7379001.8571630707</v>
      </c>
      <c r="G68" s="295"/>
      <c r="H68" s="295"/>
      <c r="I68" s="295"/>
      <c r="J68" s="295"/>
      <c r="K68" s="295"/>
      <c r="L68" s="295"/>
      <c r="M68" s="275"/>
      <c r="N68" s="275"/>
      <c r="O68" s="275"/>
      <c r="P68" s="275"/>
      <c r="Q68" s="275"/>
      <c r="R68" s="275"/>
      <c r="S68" s="275"/>
      <c r="T68" s="275"/>
      <c r="U68" s="275"/>
    </row>
    <row r="69" spans="1:21" ht="13.15">
      <c r="A69" s="132">
        <v>30</v>
      </c>
      <c r="B69" s="118">
        <v>3931882.9392043096</v>
      </c>
      <c r="C69" s="277">
        <v>4585328.2816651389</v>
      </c>
      <c r="D69" s="118">
        <v>5392684.5969257951</v>
      </c>
      <c r="E69" s="118">
        <v>6394389.1986714406</v>
      </c>
      <c r="F69" s="118">
        <v>7641763.0457741832</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3.5981269513780507</v>
      </c>
      <c r="C73" s="119">
        <f>C11</f>
        <v>3.5981269513780507</v>
      </c>
      <c r="D73" s="119">
        <f>C11</f>
        <v>3.5981269513780507</v>
      </c>
      <c r="E73" s="119">
        <f>C11</f>
        <v>3.5981269513780507</v>
      </c>
      <c r="F73" s="119">
        <f>C11</f>
        <v>3.5981269513780507</v>
      </c>
      <c r="G73" s="296"/>
      <c r="H73" s="296"/>
      <c r="I73" s="296"/>
      <c r="J73" s="296"/>
      <c r="K73" s="296"/>
      <c r="L73" s="296"/>
    </row>
    <row r="74" spans="1:21" ht="13.15">
      <c r="A74" s="131">
        <v>1</v>
      </c>
      <c r="B74" s="119">
        <f t="shared" ref="B74:F87" si="11">(B56+FV_adjustments)/Common_Shares*scaling_factor*Exchange_Rate</f>
        <v>5.6971462510401798</v>
      </c>
      <c r="C74" s="119">
        <f t="shared" si="11"/>
        <v>5.7834104297070068</v>
      </c>
      <c r="D74" s="119">
        <f t="shared" si="11"/>
        <v>5.8696746083738285</v>
      </c>
      <c r="E74" s="119">
        <f t="shared" si="11"/>
        <v>5.9559387870406537</v>
      </c>
      <c r="F74" s="119">
        <f t="shared" si="11"/>
        <v>6.0422029657074807</v>
      </c>
      <c r="G74" s="296"/>
      <c r="H74" s="296"/>
      <c r="I74" s="296"/>
      <c r="J74" s="296"/>
      <c r="K74" s="296"/>
      <c r="L74" s="296"/>
    </row>
    <row r="75" spans="1:21" ht="13.15">
      <c r="A75" s="131">
        <v>2</v>
      </c>
      <c r="B75" s="119">
        <f t="shared" si="11"/>
        <v>5.6916246792053737</v>
      </c>
      <c r="C75" s="119">
        <f t="shared" si="11"/>
        <v>5.8611008494130363</v>
      </c>
      <c r="D75" s="119">
        <f t="shared" si="11"/>
        <v>6.0322258752099902</v>
      </c>
      <c r="E75" s="119">
        <f t="shared" si="11"/>
        <v>6.2049997565962345</v>
      </c>
      <c r="F75" s="119">
        <f t="shared" si="11"/>
        <v>6.3794224935717683</v>
      </c>
      <c r="G75" s="296"/>
      <c r="H75" s="296"/>
      <c r="I75" s="296"/>
      <c r="J75" s="296"/>
      <c r="K75" s="296"/>
      <c r="L75" s="296"/>
    </row>
    <row r="76" spans="1:21" ht="13.15">
      <c r="A76" s="131">
        <v>3</v>
      </c>
      <c r="B76" s="119">
        <f t="shared" si="11"/>
        <v>5.68647636047828</v>
      </c>
      <c r="C76" s="119">
        <f t="shared" si="11"/>
        <v>5.9342638553832856</v>
      </c>
      <c r="D76" s="119">
        <f t="shared" si="11"/>
        <v>6.1868200870261969</v>
      </c>
      <c r="E76" s="119">
        <f t="shared" si="11"/>
        <v>6.4441911772416853</v>
      </c>
      <c r="F76" s="119">
        <f t="shared" si="11"/>
        <v>6.7064232478644126</v>
      </c>
      <c r="G76" s="296"/>
      <c r="H76" s="296"/>
      <c r="I76" s="296"/>
      <c r="J76" s="296"/>
      <c r="K76" s="296"/>
      <c r="L76" s="296"/>
    </row>
    <row r="77" spans="1:21" ht="13.15">
      <c r="A77" s="131">
        <v>4</v>
      </c>
      <c r="B77" s="119">
        <f t="shared" si="11"/>
        <v>5.6816760632968393</v>
      </c>
      <c r="C77" s="119">
        <f t="shared" si="11"/>
        <v>6.003163282917038</v>
      </c>
      <c r="D77" s="119">
        <f t="shared" si="11"/>
        <v>6.3338467500122402</v>
      </c>
      <c r="E77" s="119">
        <f t="shared" si="11"/>
        <v>6.6739041499827687</v>
      </c>
      <c r="F77" s="119">
        <f t="shared" si="11"/>
        <v>7.0235148883906104</v>
      </c>
      <c r="G77" s="296"/>
      <c r="H77" s="296"/>
      <c r="I77" s="296"/>
      <c r="J77" s="296"/>
      <c r="K77" s="296"/>
      <c r="L77" s="296"/>
    </row>
    <row r="78" spans="1:21" ht="13.15">
      <c r="A78" s="131">
        <v>5</v>
      </c>
      <c r="B78" s="119">
        <f t="shared" si="11"/>
        <v>5.4762023774499031</v>
      </c>
      <c r="C78" s="119">
        <f t="shared" si="11"/>
        <v>5.8630096505429705</v>
      </c>
      <c r="D78" s="119">
        <f t="shared" si="11"/>
        <v>6.2645581048173042</v>
      </c>
      <c r="E78" s="119">
        <f t="shared" si="11"/>
        <v>6.6812756222184362</v>
      </c>
      <c r="F78" s="119">
        <f t="shared" si="11"/>
        <v>7.1135983796887672</v>
      </c>
      <c r="G78" s="296"/>
      <c r="H78" s="296"/>
      <c r="I78" s="296"/>
      <c r="J78" s="296"/>
      <c r="K78" s="296"/>
      <c r="L78" s="296"/>
    </row>
    <row r="79" spans="1:21" ht="13.15">
      <c r="A79" s="131">
        <v>6</v>
      </c>
      <c r="B79" s="119">
        <f t="shared" si="11"/>
        <v>5.4720291358948669</v>
      </c>
      <c r="C79" s="119">
        <f t="shared" si="11"/>
        <v>5.924112823011872</v>
      </c>
      <c r="D79" s="119">
        <f t="shared" si="11"/>
        <v>6.397542855102885</v>
      </c>
      <c r="E79" s="119">
        <f t="shared" si="11"/>
        <v>6.8931436236146615</v>
      </c>
      <c r="F79" s="119">
        <f t="shared" si="11"/>
        <v>7.411763521928278</v>
      </c>
      <c r="G79" s="296"/>
      <c r="H79" s="296"/>
      <c r="I79" s="296"/>
      <c r="J79" s="296"/>
      <c r="K79" s="296"/>
      <c r="L79" s="296"/>
    </row>
    <row r="80" spans="1:21" ht="13.15">
      <c r="A80" s="131">
        <f t="shared" ref="A80" si="12">A62</f>
        <v>7</v>
      </c>
      <c r="B80" s="119">
        <f t="shared" si="11"/>
        <v>5.2807273868653146</v>
      </c>
      <c r="C80" s="119">
        <f t="shared" si="11"/>
        <v>5.7885658607954511</v>
      </c>
      <c r="D80" s="119">
        <f t="shared" si="11"/>
        <v>6.325136218749666</v>
      </c>
      <c r="E80" s="119">
        <f t="shared" si="11"/>
        <v>6.8918272845409083</v>
      </c>
      <c r="F80" s="119">
        <f t="shared" si="11"/>
        <v>7.4900819031192327</v>
      </c>
      <c r="G80" s="296"/>
      <c r="H80" s="296"/>
      <c r="I80" s="296"/>
      <c r="J80" s="296"/>
      <c r="K80" s="296"/>
      <c r="L80" s="296"/>
    </row>
    <row r="81" spans="1:12" ht="13.15">
      <c r="A81" s="131">
        <v>8</v>
      </c>
      <c r="B81" s="119">
        <f t="shared" si="11"/>
        <v>5.2770992895999997</v>
      </c>
      <c r="C81" s="119">
        <f t="shared" si="11"/>
        <v>5.8427549566908432</v>
      </c>
      <c r="D81" s="119">
        <f t="shared" si="11"/>
        <v>6.4454201417425825</v>
      </c>
      <c r="E81" s="119">
        <f t="shared" si="11"/>
        <v>7.0872365793665226</v>
      </c>
      <c r="F81" s="119">
        <f t="shared" si="11"/>
        <v>7.7704502278697003</v>
      </c>
      <c r="G81" s="296"/>
      <c r="H81" s="296"/>
      <c r="I81" s="296"/>
      <c r="J81" s="296"/>
      <c r="K81" s="296"/>
      <c r="L81" s="296"/>
    </row>
    <row r="82" spans="1:12" ht="13.15">
      <c r="A82" s="131">
        <f t="shared" ref="A82" si="13">A64</f>
        <v>9</v>
      </c>
      <c r="B82" s="119">
        <f t="shared" si="11"/>
        <v>5.0989746164272107</v>
      </c>
      <c r="C82" s="119">
        <f t="shared" si="11"/>
        <v>5.7119491288754096</v>
      </c>
      <c r="D82" s="119">
        <f t="shared" si="11"/>
        <v>6.3706698619874178</v>
      </c>
      <c r="E82" s="119">
        <f t="shared" si="11"/>
        <v>7.0782289110438583</v>
      </c>
      <c r="F82" s="119">
        <f t="shared" si="11"/>
        <v>7.8378993149412164</v>
      </c>
      <c r="G82" s="296"/>
      <c r="H82" s="296"/>
      <c r="I82" s="296"/>
      <c r="J82" s="296"/>
      <c r="K82" s="296"/>
      <c r="L82" s="296"/>
    </row>
    <row r="83" spans="1:12" ht="13.15">
      <c r="A83" s="131">
        <f t="shared" ref="A83:A87" si="14">A65</f>
        <v>10</v>
      </c>
      <c r="B83" s="119">
        <f t="shared" si="11"/>
        <v>5.0958204520700807</v>
      </c>
      <c r="C83" s="119">
        <f t="shared" si="11"/>
        <v>5.7600065045453039</v>
      </c>
      <c r="D83" s="119">
        <f t="shared" si="11"/>
        <v>6.4794659615363912</v>
      </c>
      <c r="E83" s="119">
        <f t="shared" si="11"/>
        <v>7.2584580737895443</v>
      </c>
      <c r="F83" s="119">
        <f t="shared" si="11"/>
        <v>8.1015330748535028</v>
      </c>
      <c r="G83" s="296"/>
      <c r="H83" s="296"/>
      <c r="I83" s="296"/>
      <c r="J83" s="296"/>
      <c r="K83" s="296"/>
      <c r="L83" s="296"/>
    </row>
    <row r="84" spans="1:12" ht="13.15">
      <c r="A84" s="131">
        <f t="shared" si="14"/>
        <v>15</v>
      </c>
      <c r="B84" s="119">
        <f t="shared" si="11"/>
        <v>4.6264826327239916</v>
      </c>
      <c r="C84" s="119">
        <f t="shared" si="11"/>
        <v>5.4770440209552005</v>
      </c>
      <c r="D84" s="119">
        <f t="shared" si="11"/>
        <v>6.4349116044677661</v>
      </c>
      <c r="E84" s="119">
        <f t="shared" si="11"/>
        <v>7.5134873757066085</v>
      </c>
      <c r="F84" s="119">
        <f t="shared" si="11"/>
        <v>8.7277543915894444</v>
      </c>
      <c r="G84" s="296"/>
      <c r="H84" s="296"/>
      <c r="I84" s="296"/>
      <c r="J84" s="296"/>
      <c r="K84" s="296"/>
      <c r="L84" s="296"/>
    </row>
    <row r="85" spans="1:12" ht="13.15">
      <c r="A85" s="132">
        <f t="shared" si="14"/>
        <v>20</v>
      </c>
      <c r="B85" s="119">
        <f t="shared" si="11"/>
        <v>4.3622152011999242</v>
      </c>
      <c r="C85" s="119">
        <f t="shared" si="11"/>
        <v>5.3485220115925873</v>
      </c>
      <c r="D85" s="119">
        <f t="shared" si="11"/>
        <v>6.498007536484538</v>
      </c>
      <c r="E85" s="119">
        <f t="shared" si="11"/>
        <v>7.8386767629577641</v>
      </c>
      <c r="F85" s="119">
        <f t="shared" si="11"/>
        <v>9.4032378391583595</v>
      </c>
      <c r="G85" s="296"/>
      <c r="H85" s="296"/>
      <c r="I85" s="296"/>
      <c r="J85" s="296"/>
      <c r="K85" s="296"/>
      <c r="L85" s="296"/>
    </row>
    <row r="86" spans="1:12" ht="13.15">
      <c r="A86" s="132">
        <f t="shared" si="14"/>
        <v>25</v>
      </c>
      <c r="B86" s="119">
        <f t="shared" si="11"/>
        <v>4.0341390840994924</v>
      </c>
      <c r="C86" s="119">
        <f t="shared" si="11"/>
        <v>5.1002564373836741</v>
      </c>
      <c r="D86" s="119">
        <f t="shared" si="11"/>
        <v>6.3823329263004078</v>
      </c>
      <c r="E86" s="119">
        <f t="shared" si="11"/>
        <v>7.9274678108144023</v>
      </c>
      <c r="F86" s="119">
        <f t="shared" si="11"/>
        <v>9.7930569154129845</v>
      </c>
      <c r="G86" s="296"/>
      <c r="H86" s="296"/>
      <c r="I86" s="296"/>
      <c r="J86" s="296"/>
      <c r="K86" s="296"/>
      <c r="L86" s="296"/>
    </row>
    <row r="87" spans="1:12" ht="13.15">
      <c r="A87" s="132">
        <f t="shared" si="14"/>
        <v>30</v>
      </c>
      <c r="B87" s="119">
        <f t="shared" si="11"/>
        <v>3.8497897623744795</v>
      </c>
      <c r="C87" s="119">
        <f t="shared" si="11"/>
        <v>4.9764118292607433</v>
      </c>
      <c r="D87" s="119">
        <f t="shared" si="11"/>
        <v>6.3683957971733536</v>
      </c>
      <c r="E87" s="119">
        <f t="shared" si="11"/>
        <v>8.0954606876784272</v>
      </c>
      <c r="F87" s="119">
        <f t="shared" si="11"/>
        <v>10.246090297356922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10</v>
      </c>
      <c r="E90" s="127">
        <f>INDEX(B$73:F$87, MATCH(D90, A$73:A$87, 0), MATCH(C90, B$72:F$72, 0))</f>
        <v>8.1015330748535028</v>
      </c>
      <c r="F90" s="130">
        <f>Scenarios!F29</f>
        <v>0.05</v>
      </c>
      <c r="G90" s="297"/>
      <c r="H90" s="297"/>
      <c r="I90" s="297"/>
      <c r="J90" s="297"/>
      <c r="K90" s="297"/>
      <c r="L90" s="297"/>
    </row>
    <row r="91" spans="1:12">
      <c r="B91" s="120" t="str">
        <f>Scenarios!B22</f>
        <v>Optimistic</v>
      </c>
      <c r="C91" s="130">
        <f>Scenarios!C22</f>
        <v>0.03</v>
      </c>
      <c r="D91" s="133">
        <f>Scenarios!D22</f>
        <v>10</v>
      </c>
      <c r="E91" s="127">
        <f>INDEX(B$73:F$87, MATCH(D91, A$73:A$87, 0), MATCH(C91, B$72:F$72, 0))</f>
        <v>7.2584580737895443</v>
      </c>
      <c r="F91" s="130">
        <f>Scenarios!F22*(1-F$90-F$94)</f>
        <v>0.18</v>
      </c>
      <c r="G91" s="297"/>
      <c r="H91" s="297"/>
      <c r="I91" s="297"/>
      <c r="J91" s="297"/>
      <c r="K91" s="297"/>
      <c r="L91" s="297"/>
    </row>
    <row r="92" spans="1:12">
      <c r="B92" s="120" t="str">
        <f>Scenarios!B23</f>
        <v>Base</v>
      </c>
      <c r="C92" s="130">
        <f>Scenarios!C23</f>
        <v>0.02</v>
      </c>
      <c r="D92" s="133">
        <f>Scenarios!D23</f>
        <v>10</v>
      </c>
      <c r="E92" s="127">
        <f>INDEX(B$73:F$87, MATCH(D92, A$73:A$87, 0), MATCH(C92, B$72:F$72, 0))</f>
        <v>6.4794659615363912</v>
      </c>
      <c r="F92" s="130">
        <f>Scenarios!F23*(1-F$90-F$94)</f>
        <v>0.53999999999999992</v>
      </c>
      <c r="G92" s="297"/>
      <c r="H92" s="297"/>
      <c r="I92" s="297"/>
      <c r="J92" s="297"/>
      <c r="K92" s="297"/>
      <c r="L92" s="297"/>
    </row>
    <row r="93" spans="1:12">
      <c r="B93" s="120" t="str">
        <f>Scenarios!B24</f>
        <v>Pessimistic</v>
      </c>
      <c r="C93" s="130">
        <f>Scenarios!C24</f>
        <v>0.01</v>
      </c>
      <c r="D93" s="133">
        <f>Scenarios!D24</f>
        <v>10</v>
      </c>
      <c r="E93" s="127">
        <f>INDEX(B$73:F$87, MATCH(D93, A$73:A$87, 0), MATCH(C93, B$72:F$72, 0))</f>
        <v>5.7600065045453039</v>
      </c>
      <c r="F93" s="130">
        <f>Scenarios!F24*(1-F$90-F$94)</f>
        <v>0.18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5.0958204520700807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398162</v>
      </c>
      <c r="D7" s="469"/>
      <c r="E7" s="469"/>
      <c r="F7" s="469"/>
      <c r="G7" s="469"/>
    </row>
    <row r="8" spans="2:7">
      <c r="B8" s="97" t="s">
        <v>63</v>
      </c>
      <c r="C8" s="447">
        <f>Normalized_FCF!G19</f>
        <v>292974.55441311875</v>
      </c>
      <c r="D8" s="469"/>
      <c r="E8" s="469"/>
      <c r="F8" s="469"/>
      <c r="G8" s="469"/>
    </row>
    <row r="9" spans="2:7">
      <c r="B9" s="97" t="s">
        <v>54</v>
      </c>
      <c r="C9" s="447">
        <f>Normalized_FCF!C19</f>
        <v>234277.07264048661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3.3358728201447585E-2</v>
      </c>
      <c r="D12" s="469"/>
      <c r="E12" s="469"/>
      <c r="F12" s="469"/>
      <c r="G12" s="469"/>
    </row>
    <row r="13" spans="2:7">
      <c r="B13" s="135" t="s">
        <v>127</v>
      </c>
      <c r="C13" s="249">
        <f ca="1">(Normalized_FCF!G8/OFFSET(Normalized_FCF!G8, 0, $C$4))^(1/$C$4) - 1</f>
        <v>0.35590966478967423</v>
      </c>
      <c r="D13" s="469"/>
      <c r="E13" s="469"/>
      <c r="F13" s="469"/>
      <c r="G13" s="469"/>
    </row>
    <row r="14" spans="2:7">
      <c r="B14" s="97" t="s">
        <v>63</v>
      </c>
      <c r="C14" s="249">
        <f ca="1">(Normalized_FCF!G19/OFFSET(Normalized_FCF!G19, 0, $C$4))^(1/$C$4) - 1</f>
        <v>0.61574878392807708</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7.2584580737895443</v>
      </c>
      <c r="F22" s="328">
        <f>1-F23-F24</f>
        <v>0.2</v>
      </c>
      <c r="G22" s="328">
        <f>F22*(1-F$29-F$30)</f>
        <v>0.18</v>
      </c>
    </row>
    <row r="23" spans="2:7">
      <c r="B23" s="302" t="s">
        <v>437</v>
      </c>
      <c r="C23" s="324">
        <v>0.02</v>
      </c>
      <c r="D23" s="325">
        <f>C18</f>
        <v>10</v>
      </c>
      <c r="E23" s="326">
        <f>DCF!E92</f>
        <v>6.4794659615363912</v>
      </c>
      <c r="F23" s="327">
        <v>0.6</v>
      </c>
      <c r="G23" s="328">
        <f t="shared" ref="G23:G24" si="0">F23*(1-F$29-F$30)</f>
        <v>0.53999999999999992</v>
      </c>
    </row>
    <row r="24" spans="2:7">
      <c r="B24" s="302" t="s">
        <v>446</v>
      </c>
      <c r="C24" s="324">
        <v>0.01</v>
      </c>
      <c r="D24" s="325">
        <f>C18</f>
        <v>10</v>
      </c>
      <c r="E24" s="326">
        <f>DCF!E93</f>
        <v>5.7600065045453039</v>
      </c>
      <c r="F24" s="327">
        <v>0.2</v>
      </c>
      <c r="G24" s="328">
        <f t="shared" si="0"/>
        <v>0.18</v>
      </c>
    </row>
    <row r="25" spans="2:7">
      <c r="B25" s="141" t="s">
        <v>451</v>
      </c>
      <c r="C25" s="441">
        <f>E23*F23+E24*F24+E22*F22</f>
        <v>6.4913724925888046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10</v>
      </c>
      <c r="E29" s="326">
        <f>DCF!E90</f>
        <v>8.1015330748535028</v>
      </c>
      <c r="F29" s="327">
        <v>0.05</v>
      </c>
      <c r="G29" s="328">
        <f>F29</f>
        <v>0.05</v>
      </c>
    </row>
    <row r="30" spans="2:7">
      <c r="B30" s="315" t="s">
        <v>447</v>
      </c>
      <c r="C30" s="324">
        <v>0</v>
      </c>
      <c r="D30" s="325">
        <f>C18</f>
        <v>10</v>
      </c>
      <c r="E30" s="326">
        <f>DCF!E94</f>
        <v>5.0958204520700807</v>
      </c>
      <c r="F30" s="327">
        <v>0.05</v>
      </c>
      <c r="G30" s="328">
        <f>F30</f>
        <v>0.05</v>
      </c>
    </row>
    <row r="31" spans="2:7">
      <c r="E31" s="329"/>
      <c r="F31" s="329"/>
    </row>
    <row r="32" spans="2:7" ht="13.15">
      <c r="B32" s="145" t="s">
        <v>456</v>
      </c>
    </row>
    <row r="33" spans="2:7">
      <c r="B33" s="97" t="s">
        <v>458</v>
      </c>
      <c r="C33" s="155">
        <f>Normalized_FCF!C88*(1-dividend_tax_rate)</f>
        <v>0.30000000000000004</v>
      </c>
      <c r="D33" t="str">
        <f>Market_currency</f>
        <v>HKD</v>
      </c>
      <c r="E33" s="97" t="s">
        <v>455</v>
      </c>
      <c r="F33" s="219">
        <f>Holding_Period</f>
        <v>3</v>
      </c>
    </row>
    <row r="34" spans="2:7">
      <c r="B34" s="97" t="s">
        <v>233</v>
      </c>
      <c r="C34" s="146">
        <f>Market_Price</f>
        <v>4.6399999999999997</v>
      </c>
      <c r="D34" t="str">
        <f>Market_currency</f>
        <v>HKD</v>
      </c>
      <c r="E34" s="97" t="s">
        <v>454</v>
      </c>
      <c r="F34" s="330">
        <f>RATE(Holding_Period,$C$33,-C34,$C$36)</f>
        <v>0.17728071501379791</v>
      </c>
    </row>
    <row r="35" spans="2:7">
      <c r="B35" s="97" t="s">
        <v>434</v>
      </c>
      <c r="C35" s="320">
        <f>DCF!C11</f>
        <v>3.5981269513780507</v>
      </c>
      <c r="D35" s="97" t="str">
        <f>Market_currency</f>
        <v>HKD</v>
      </c>
      <c r="E35" s="97" t="s">
        <v>454</v>
      </c>
      <c r="F35" s="330">
        <f>RATE(Holding_Period,$C$33,-C35,$C$36)</f>
        <v>0.28788099229933978</v>
      </c>
    </row>
    <row r="36" spans="2:7">
      <c r="B36" s="97" t="s">
        <v>435</v>
      </c>
      <c r="C36" s="321">
        <f>E22*G22+E23*G23+E24*G24+E30*G30+E29*G29</f>
        <v>6.5021029196761031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5.5599077391744495E-2</v>
      </c>
      <c r="E40" s="97" t="s">
        <v>401</v>
      </c>
    </row>
    <row r="41" spans="2:7">
      <c r="B41" s="97" t="s">
        <v>400</v>
      </c>
      <c r="C41" s="455">
        <f>DCF!C16</f>
        <v>2.0287009867734501E-2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2.0287009867734501E-2</v>
      </c>
      <c r="D46" s="138"/>
      <c r="E46" s="221" t="s">
        <v>252</v>
      </c>
    </row>
    <row r="47" spans="2:7">
      <c r="B47" s="97" t="s">
        <v>96</v>
      </c>
      <c r="C47" s="146">
        <f>DCF!I18</f>
        <v>6.5009729540294972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-0.45051141943294376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0.30000000000000004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0.54895547283303592</v>
      </c>
      <c r="D62" s="119">
        <f>C36/(1+F62)^Holding_Period</f>
        <v>2.9963607924774678</v>
      </c>
      <c r="E62" s="332">
        <f>C62+D62</f>
        <v>3.5453162653105039</v>
      </c>
      <c r="F62" s="301">
        <f>Thesis!E22</f>
        <v>0.29465259038036606</v>
      </c>
      <c r="G62" s="440">
        <f>(1-E62/C36)</f>
        <v>0.4547431332435582</v>
      </c>
    </row>
    <row r="63" spans="2:7" ht="13.15">
      <c r="B63" s="302" t="s">
        <v>313</v>
      </c>
      <c r="C63" s="119">
        <f>PV(F63, Holding_Period, -C58, 0)</f>
        <v>0.63120118418072357</v>
      </c>
      <c r="D63" s="119">
        <f>C36/(1+F63)^Holding_Period</f>
        <v>3.7557273182244653</v>
      </c>
      <c r="E63" s="332">
        <f>C63+D63</f>
        <v>4.3869285024051887</v>
      </c>
      <c r="F63" s="301">
        <f>Thesis!E23</f>
        <v>0.20075184365903009</v>
      </c>
      <c r="G63" s="440">
        <f>(1-E63/C36)</f>
        <v>0.32530620376219455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0.7237809377815948</v>
      </c>
      <c r="D66" s="119">
        <f>C36/(1+F66)^Holding_Period</f>
        <v>4.6604498441297393</v>
      </c>
      <c r="E66" s="332">
        <f>C66+D66</f>
        <v>5.3842307819113344</v>
      </c>
      <c r="F66" s="301">
        <f>Thesis!E24</f>
        <v>0.1174</v>
      </c>
      <c r="G66" s="440">
        <f>(1-E66/C36)</f>
        <v>0.17192470675632654</v>
      </c>
    </row>
    <row r="67" spans="2:7" ht="13.15">
      <c r="B67" s="302" t="s">
        <v>314</v>
      </c>
      <c r="C67" s="119">
        <f>PV(F67, Holding_Period, -C58, 0)</f>
        <v>0.78371256815190493</v>
      </c>
      <c r="D67" s="119">
        <f>C36/(1+F67)^Holding_Period</f>
        <v>5.270622806763992</v>
      </c>
      <c r="E67" s="332">
        <f>C67+D67</f>
        <v>6.0543353749158966</v>
      </c>
      <c r="F67" s="301">
        <f>Thesis!E25</f>
        <v>7.2499999999999995E-2</v>
      </c>
      <c r="G67" s="440">
        <f>(1-E67/C36)</f>
        <v>6.8865034942035552E-2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大家乐集团</v>
      </c>
      <c r="D4" s="349"/>
      <c r="E4" s="434" t="s">
        <v>540</v>
      </c>
      <c r="F4" s="437" t="str">
        <f>Thesis!F4</f>
        <v>INT</v>
      </c>
    </row>
    <row r="5" spans="1:10">
      <c r="B5" s="343" t="s">
        <v>364</v>
      </c>
      <c r="C5" s="355" t="str">
        <f>Thesis!C5</f>
        <v>0341.HK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4.6399999999999997</v>
      </c>
    </row>
    <row r="9" spans="1:10">
      <c r="B9" s="351" t="s">
        <v>361</v>
      </c>
      <c r="C9" s="353">
        <f>Common_Shares</f>
        <v>580004033</v>
      </c>
    </row>
    <row r="10" spans="1:10">
      <c r="B10" s="351" t="s">
        <v>367</v>
      </c>
      <c r="C10" s="357">
        <f>投资主题!C8*Common_Shares/1000000</f>
        <v>2691.2187131199998</v>
      </c>
      <c r="D10" s="343" t="s">
        <v>529</v>
      </c>
      <c r="E10" s="360">
        <f>Scenarios!F34</f>
        <v>0.17728071501379791</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0.01</v>
      </c>
      <c r="D17" s="351" t="s">
        <v>339</v>
      </c>
      <c r="E17" s="344" t="str">
        <f>Reporting_currency</f>
        <v>HKD</v>
      </c>
    </row>
    <row r="18" spans="1:6">
      <c r="B18" s="343" t="str">
        <f>"预期股权价值 ("&amp;C7&amp;") :"</f>
        <v>预期股权价值 (HKD) :</v>
      </c>
      <c r="C18" s="359">
        <f>C125</f>
        <v>6.5021029196761031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3.5453162653105039</v>
      </c>
      <c r="D22" s="365" t="s">
        <v>440</v>
      </c>
      <c r="E22" s="366">
        <f>Thesis!E22</f>
        <v>0.29465259038036606</v>
      </c>
    </row>
    <row r="23" spans="1:6">
      <c r="B23" s="343" t="s">
        <v>341</v>
      </c>
      <c r="C23" s="367">
        <f>E141</f>
        <v>4.3869285024051887</v>
      </c>
      <c r="D23" s="365" t="s">
        <v>441</v>
      </c>
      <c r="E23" s="368">
        <f>Thesis!E23</f>
        <v>0.20075184365903009</v>
      </c>
    </row>
    <row r="24" spans="1:6">
      <c r="B24" s="343" t="s">
        <v>343</v>
      </c>
      <c r="C24" s="367">
        <f>E144</f>
        <v>5.3842307819113344</v>
      </c>
      <c r="D24" s="365" t="s">
        <v>443</v>
      </c>
      <c r="E24" s="368">
        <f>Thesis!E24</f>
        <v>0.1174</v>
      </c>
    </row>
    <row r="25" spans="1:6">
      <c r="B25" s="343" t="s">
        <v>342</v>
      </c>
      <c r="C25" s="367">
        <f>E145</f>
        <v>6.0543353749158966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398162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378473</v>
      </c>
      <c r="D37" s="343" t="str">
        <f>Reporting_currency</f>
        <v>HKD</v>
      </c>
    </row>
    <row r="38" spans="2:6">
      <c r="B38" s="375" t="s">
        <v>200</v>
      </c>
      <c r="C38" s="373">
        <f>Normalized_FCF!C16</f>
        <v>-378473</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6953.4635082499999</v>
      </c>
      <c r="D44" s="343" t="str">
        <f>Reporting_currency</f>
        <v>HKD</v>
      </c>
      <c r="E44" s="371"/>
      <c r="F44" s="371"/>
    </row>
    <row r="45" spans="2:6">
      <c r="B45" s="372" t="s">
        <v>268</v>
      </c>
      <c r="C45" s="376">
        <f>Normalized_FCF!C45</f>
        <v>-89319.428</v>
      </c>
      <c r="D45" s="343" t="str">
        <f>Reporting_currency</f>
        <v>HKD</v>
      </c>
      <c r="E45" s="371"/>
      <c r="F45" s="371"/>
    </row>
    <row r="46" spans="2:6">
      <c r="B46" s="372" t="s">
        <v>203</v>
      </c>
      <c r="C46" s="373">
        <f>Normalized_FCF!C10</f>
        <v>-82365.964491749997</v>
      </c>
      <c r="D46" s="343" t="str">
        <f>Reporting_currency</f>
        <v>HKD</v>
      </c>
    </row>
    <row r="48" spans="2:6">
      <c r="B48" s="343" t="s">
        <v>505</v>
      </c>
    </row>
    <row r="49" spans="2:6">
      <c r="B49" s="372" t="s">
        <v>223</v>
      </c>
      <c r="C49" s="373">
        <f>Normalized_FCF!C13</f>
        <v>-29412.617008902169</v>
      </c>
      <c r="D49" s="343" t="str">
        <f>Reporting_currency</f>
        <v>HKD</v>
      </c>
    </row>
    <row r="51" spans="2:6">
      <c r="B51" s="470" t="s">
        <v>506</v>
      </c>
      <c r="C51" s="470"/>
      <c r="D51" s="470"/>
      <c r="E51" s="470"/>
      <c r="F51" s="470"/>
    </row>
    <row r="52" spans="2:6">
      <c r="B52" s="372" t="s">
        <v>496</v>
      </c>
      <c r="C52" s="373">
        <f>Normalized_FCF!C12</f>
        <v>-52106.345858861256</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292974.55441311875</v>
      </c>
      <c r="D60" s="343" t="str">
        <f>Reporting_currency</f>
        <v>HKD</v>
      </c>
    </row>
    <row r="61" spans="2:6">
      <c r="B61" s="372" t="s">
        <v>213</v>
      </c>
      <c r="C61" s="373">
        <f>Normalized_FCF!C19</f>
        <v>234277.07264048661</v>
      </c>
      <c r="D61" s="343" t="str">
        <f>Reporting_currency</f>
        <v>HKD</v>
      </c>
    </row>
    <row r="62" spans="2:6">
      <c r="B62" s="377" t="s">
        <v>302</v>
      </c>
      <c r="C62" s="378">
        <f>Normalized_FCF!C124</f>
        <v>8.7052409192296051E-2</v>
      </c>
      <c r="F62" s="379"/>
    </row>
    <row r="63" spans="2:6">
      <c r="B63" s="377" t="s">
        <v>332</v>
      </c>
      <c r="C63" s="378">
        <f>Normalized_FCF!C92</f>
        <v>6.4655172413793122E-2</v>
      </c>
      <c r="E63" s="372" t="s">
        <v>373</v>
      </c>
      <c r="F63" s="380">
        <f>Normalized_FCF!C90</f>
        <v>0.74271548615009453</v>
      </c>
    </row>
    <row r="65" spans="1:6">
      <c r="B65" s="369" t="s">
        <v>376</v>
      </c>
      <c r="C65" s="381" t="s">
        <v>327</v>
      </c>
      <c r="D65" s="381" t="s">
        <v>374</v>
      </c>
    </row>
    <row r="66" spans="1:6">
      <c r="B66" s="372" t="s">
        <v>326</v>
      </c>
      <c r="C66" s="378">
        <f>Normalized_FCF!E119</f>
        <v>0.18</v>
      </c>
      <c r="D66" s="378">
        <f>Normalized_FCF!G119</f>
        <v>0.12380103574345135</v>
      </c>
    </row>
    <row r="67" spans="1:6">
      <c r="B67" s="382" t="str">
        <f>Normalized_FCF!B116</f>
        <v>Pre-tax Profit/Sales</v>
      </c>
      <c r="C67" s="383">
        <f>Normalized_FCF!E116</f>
        <v>5.5599077391744495E-2</v>
      </c>
      <c r="D67" s="383">
        <f>Normalized_FCF!G116</f>
        <v>3.8240129819323766E-2</v>
      </c>
    </row>
    <row r="68" spans="1:6">
      <c r="B68" s="382" t="str">
        <f>Normalized_FCF!B117</f>
        <v>Sales/Total Assets</v>
      </c>
      <c r="C68" s="384">
        <f>Normalized_FCF!E117</f>
        <v>1.4798367611150316</v>
      </c>
      <c r="D68" s="384">
        <f>Normalized_FCF!G117</f>
        <v>1.4798367611150316</v>
      </c>
    </row>
    <row r="69" spans="1:6">
      <c r="B69" s="382" t="str">
        <f>Normalized_FCF!B118</f>
        <v>Total Assets/Equity</v>
      </c>
      <c r="C69" s="384">
        <f>Normalized_FCF!E118</f>
        <v>2.187716833659914</v>
      </c>
      <c r="D69" s="384">
        <f>Normalized_FCF!G118</f>
        <v>2.187716833659914</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-2029987</v>
      </c>
      <c r="D78" s="343" t="str">
        <f>Reporting_currency</f>
        <v>HKD</v>
      </c>
    </row>
    <row r="79" spans="1:6">
      <c r="B79" s="372" t="s">
        <v>234</v>
      </c>
      <c r="C79" s="387">
        <f>C78*scaling_factor*Exchange_Rate/Common_Shares</f>
        <v>-3.4999532494630086</v>
      </c>
      <c r="D79" s="343" t="str">
        <f>Market_currency</f>
        <v>HKD</v>
      </c>
    </row>
    <row r="80" spans="1:6">
      <c r="B80" s="382" t="s">
        <v>309</v>
      </c>
      <c r="C80" s="388">
        <f>IF(BS!G31/BS!G27&gt;300%,"nm",BS!G31/BS!G27)</f>
        <v>0.76701287002940366</v>
      </c>
    </row>
    <row r="81" spans="1:6">
      <c r="B81" s="382" t="s">
        <v>311</v>
      </c>
      <c r="C81" s="389">
        <f>IF(BS!C50&gt;30,"nm",BS!C50)</f>
        <v>5.0983946232940358</v>
      </c>
    </row>
    <row r="83" spans="1:6">
      <c r="B83" s="343" t="s">
        <v>512</v>
      </c>
    </row>
    <row r="84" spans="1:6">
      <c r="B84" s="343" t="s">
        <v>224</v>
      </c>
      <c r="C84" s="373">
        <f>DCF!F5</f>
        <v>269920.64917500003</v>
      </c>
      <c r="D84" s="343" t="str">
        <f>Reporting_currency</f>
        <v>HKD</v>
      </c>
    </row>
    <row r="85" spans="1:6">
      <c r="B85" s="382" t="s">
        <v>481</v>
      </c>
      <c r="C85" s="390">
        <f>BS!C66</f>
        <v>965267</v>
      </c>
      <c r="D85" s="391" t="str">
        <f>Reporting_currency</f>
        <v>HKD</v>
      </c>
    </row>
    <row r="86" spans="1:6">
      <c r="B86" s="372" t="s">
        <v>235</v>
      </c>
      <c r="C86" s="387">
        <f>C84*scaling_factor*Exchange_Rate/Common_Shares</f>
        <v>0.46537719363582425</v>
      </c>
      <c r="D86" s="343" t="str">
        <f>Market_currency</f>
        <v>HKD</v>
      </c>
    </row>
    <row r="88" spans="1:6">
      <c r="B88" s="343" t="s">
        <v>513</v>
      </c>
    </row>
    <row r="89" spans="1:6">
      <c r="B89" s="343" t="s">
        <v>217</v>
      </c>
      <c r="C89" s="373">
        <f>DCF!F6</f>
        <v>61077</v>
      </c>
      <c r="D89" s="343" t="str">
        <f>Reporting_currency</f>
        <v>HKD</v>
      </c>
    </row>
    <row r="90" spans="1:6">
      <c r="B90" s="372" t="s">
        <v>236</v>
      </c>
      <c r="C90" s="387">
        <f>C89*scaling_factor*Exchange_Rate/Common_Shares</f>
        <v>0.10530444018481507</v>
      </c>
      <c r="D90" s="343" t="str">
        <f>Market_currency</f>
        <v>HKD</v>
      </c>
    </row>
    <row r="92" spans="1:6">
      <c r="B92" s="372" t="s">
        <v>480</v>
      </c>
      <c r="C92" s="387">
        <f>DCF!F8</f>
        <v>-2.929271615642369</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-2.4800067209187837</v>
      </c>
      <c r="D111" s="343" t="str">
        <f>Market_currency</f>
        <v>HKD</v>
      </c>
    </row>
    <row r="112" spans="1:6">
      <c r="A112" s="385"/>
      <c r="B112" s="372" t="s">
        <v>377</v>
      </c>
      <c r="C112" s="394">
        <f>DCF!C11</f>
        <v>3.5981269513780507</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10</v>
      </c>
      <c r="E118" s="398" t="str">
        <f>ROUND(DCF!E90,2)&amp;" "&amp;Market_currency</f>
        <v>8.1 HKD</v>
      </c>
      <c r="F118" s="399">
        <f>DCF!F90</f>
        <v>0.05</v>
      </c>
    </row>
    <row r="119" spans="1:6">
      <c r="A119" s="385"/>
      <c r="B119" s="400" t="str">
        <f>DCF!B91</f>
        <v>Optimistic</v>
      </c>
      <c r="C119" s="401">
        <f>DCF!C91</f>
        <v>0.03</v>
      </c>
      <c r="D119" s="402">
        <f>DCF!D91</f>
        <v>10</v>
      </c>
      <c r="E119" s="398" t="str">
        <f>ROUND(DCF!E91,2)&amp;" "&amp;Market_currency</f>
        <v>7.26 HKD</v>
      </c>
      <c r="F119" s="403">
        <f>DCF!F91</f>
        <v>0.18</v>
      </c>
    </row>
    <row r="120" spans="1:6">
      <c r="B120" s="400" t="str">
        <f>DCF!B92</f>
        <v>Base</v>
      </c>
      <c r="C120" s="401">
        <f>DCF!C92</f>
        <v>0.02</v>
      </c>
      <c r="D120" s="402">
        <f>DCF!D92</f>
        <v>10</v>
      </c>
      <c r="E120" s="398" t="str">
        <f>ROUND(DCF!E92,2)&amp;" "&amp;Market_currency</f>
        <v>6.48 HKD</v>
      </c>
      <c r="F120" s="403">
        <f>DCF!F92</f>
        <v>0.53999999999999992</v>
      </c>
    </row>
    <row r="121" spans="1:6">
      <c r="B121" s="400" t="str">
        <f>DCF!B93</f>
        <v>Pessimistic</v>
      </c>
      <c r="C121" s="401">
        <f>DCF!C93</f>
        <v>0.01</v>
      </c>
      <c r="D121" s="402">
        <f>DCF!D93</f>
        <v>10</v>
      </c>
      <c r="E121" s="398" t="str">
        <f>ROUND(DCF!E93,2)&amp;" "&amp;Market_currency</f>
        <v>5.76 HKD</v>
      </c>
      <c r="F121" s="403">
        <f>DCF!F93</f>
        <v>0.18</v>
      </c>
    </row>
    <row r="122" spans="1:6">
      <c r="B122" s="400" t="str">
        <f>DCF!B94</f>
        <v>Devil's advocate</v>
      </c>
      <c r="C122" s="401">
        <f>DCF!C94</f>
        <v>0</v>
      </c>
      <c r="D122" s="402">
        <f>DCF!D94</f>
        <v>10</v>
      </c>
      <c r="E122" s="398" t="str">
        <f>ROUND(DCF!E94,2)&amp;" "&amp;Market_currency</f>
        <v>5.1 HKD</v>
      </c>
      <c r="F122" s="403">
        <f>DCF!F94</f>
        <v>0.05</v>
      </c>
    </row>
    <row r="124" spans="1:6">
      <c r="B124" s="470" t="s">
        <v>519</v>
      </c>
      <c r="C124" s="470"/>
      <c r="D124" s="470"/>
      <c r="E124" s="470"/>
      <c r="F124" s="470"/>
    </row>
    <row r="125" spans="1:6">
      <c r="B125" s="372" t="s">
        <v>218</v>
      </c>
      <c r="C125" s="404">
        <f>Scenarios!C36</f>
        <v>6.5021029196761031</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0.30000000000000004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0.54895547283303592</v>
      </c>
      <c r="D140" s="409">
        <f>Scenarios!D62</f>
        <v>2.9963607924774678</v>
      </c>
      <c r="E140" s="410">
        <f>Scenarios!E62</f>
        <v>3.5453162653105039</v>
      </c>
      <c r="F140" s="411">
        <f>E22</f>
        <v>0.29465259038036606</v>
      </c>
    </row>
    <row r="141" spans="1:6">
      <c r="B141" s="408" t="s">
        <v>313</v>
      </c>
      <c r="C141" s="409">
        <f>Scenarios!C63</f>
        <v>0.63120118418072357</v>
      </c>
      <c r="D141" s="409">
        <f>Scenarios!D63</f>
        <v>3.7557273182244653</v>
      </c>
      <c r="E141" s="410">
        <f>Scenarios!E63</f>
        <v>4.3869285024051887</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0.7237809377815948</v>
      </c>
      <c r="D144" s="409">
        <f>Scenarios!D66</f>
        <v>4.6604498441297393</v>
      </c>
      <c r="E144" s="410">
        <f>Scenarios!E66</f>
        <v>5.3842307819113344</v>
      </c>
      <c r="F144" s="411">
        <f>E24</f>
        <v>0.1174</v>
      </c>
    </row>
    <row r="145" spans="1:6">
      <c r="B145" s="408" t="s">
        <v>314</v>
      </c>
      <c r="C145" s="409">
        <f>Scenarios!C67</f>
        <v>0.78371256815190493</v>
      </c>
      <c r="D145" s="409">
        <f>Scenarios!D67</f>
        <v>5.270622806763992</v>
      </c>
      <c r="E145" s="410">
        <f>Scenarios!E67</f>
        <v>6.0543353749158966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2026-01-23T09:01:39Z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