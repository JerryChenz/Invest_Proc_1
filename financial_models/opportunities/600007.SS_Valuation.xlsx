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74DC89-FC29-4D2F-A299-571EA47D024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<sst xmlns="http://schemas.openxmlformats.org/spreadsheetml/2006/main" count="686" uniqueCount="466">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</sst>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22.1</v>
      </c>
      <c r="D12" s="50"/>
      <c r="E12" s="48"/>
    </row>
    <row r="13" spans="1:10">
      <c r="B13" s="1" t="s">
        <v>413</v>
      </c>
      <c r="C13" s="48" t="s">
        <v>411</v>
      </c>
      <c r="D13" s="48"/>
      <c r="E13" s="5"/>
    </row>
    <row r="14" spans="1:10">
      <c r="B14" s="4" t="s">
        <v>417</v>
      </c>
      <c r="C14" s="35">
        <f>Thesis!C12*Common_Shares/1000000</f>
        <v>22260.944001400003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5.1979747974227886E-2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1545350950.0180476</v>
      </c>
      <c r="D41" s="1" t="str">
        <f>Reporting_currency</f>
        <v>CNY</v>
      </c>
    </row>
    <row r="42" spans="1:6">
      <c r="B42" s="47"/>
      <c r="C42" s="76"/>
    </row>
    <row r="43" spans="1:6" ht="24.6" customHeight="1">
      <c r="B43" s="359" t="s">
        <v>232</v>
      </c>
      <c r="C43" s="359"/>
      <c r="D43" s="359"/>
      <c r="E43" s="359"/>
      <c r="F43" s="359"/>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59" t="s">
        <v>240</v>
      </c>
      <c r="C58" s="359"/>
      <c r="D58" s="359"/>
      <c r="E58" s="359"/>
      <c r="F58" s="359"/>
    </row>
    <row r="59" spans="2:6">
      <c r="B59" s="47" t="s">
        <v>238</v>
      </c>
      <c r="C59" s="349">
        <f>Normalized_FCF!C14</f>
        <v>-373061939.75451189</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4.8970351758070782E-2</v>
      </c>
      <c r="F69" s="314"/>
    </row>
    <row r="70" spans="1:6">
      <c r="B70" s="227" t="s">
        <v>454</v>
      </c>
      <c r="C70" s="92">
        <f>Normalized_FCF!C94</f>
        <v>4.4796380090497738E-2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58" t="s">
        <v>363</v>
      </c>
      <c r="C116" s="358"/>
      <c r="D116" s="358"/>
      <c r="E116" s="358"/>
      <c r="F116" s="358"/>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4.4796380090497738E-2</v>
      </c>
      <c r="E94" s="268"/>
      <c r="G94" s="23">
        <f t="shared" ref="G94:Q94" si="39">IF(G$4="","",(G90*(1-dividend_tax_rate))/Market_Price)</f>
        <v>4.4796380090497738E-2</v>
      </c>
      <c r="H94" s="23">
        <f t="shared" si="39"/>
        <v>5.2941176470588241E-2</v>
      </c>
      <c r="I94" s="23">
        <f t="shared" si="39"/>
        <v>2.8506787330316741E-2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4.8970351758070782E-2</v>
      </c>
      <c r="D126" s="27"/>
      <c r="E126" s="265"/>
      <c r="F126" s="27"/>
      <c r="G126" s="77">
        <f t="shared" ref="G126" si="50">IF(G$4="","",G125/Market_Price)</f>
        <v>5.3806462831255987E-2</v>
      </c>
      <c r="H126" s="77">
        <f t="shared" ref="H126" si="51">IF(H$4="","",H125/Market_Price)</f>
        <v>5.4344638705524681E-2</v>
      </c>
      <c r="I126" s="77">
        <f t="shared" ref="I126" si="52">IF(I$4="","",I125/Market_Price)</f>
        <v>4.1074642923610759E-2</v>
      </c>
      <c r="J126" s="77">
        <f t="shared" ref="J126" si="53">IF(J$4="","",J125/Market_Price)</f>
        <v>4.3557707702737994E-2</v>
      </c>
      <c r="K126" s="77">
        <f t="shared" ref="K126" si="54">IF(K$4="","",K125/Market_Price)</f>
        <v>3.4128235395238425E-2</v>
      </c>
      <c r="L126" s="77">
        <f t="shared" ref="L126" si="55">IF(L$4="","",L125/Market_Price)</f>
        <v>4.2121898017488807E-2</v>
      </c>
      <c r="M126" s="77">
        <f t="shared" ref="M126" si="56">IF(M$4="","",M125/Market_Price)</f>
        <v>3.4495869849531346E-2</v>
      </c>
      <c r="N126" s="77">
        <f t="shared" ref="N126" si="57">IF(N$4="","",N125/Market_Price)</f>
        <v>3.3488769836225979E-2</v>
      </c>
      <c r="O126" s="77">
        <f t="shared" ref="O126" si="58">IF(O$4="","",O125/Market_Price)</f>
        <v>3.4280613030247375E-2</v>
      </c>
      <c r="P126" s="77">
        <f t="shared" ref="P126" si="59">IF(P$4="","",P125/Market_Price)</f>
        <v>3.1805993220928613E-2</v>
      </c>
      <c r="Q126" s="77" t="str">
        <f t="shared" ref="Q126" si="60">IF(Q$4="","",Q125/Market_Price)</f>
        <v/>
      </c>
    </row>
    <row r="127" spans="1:17" ht="15.75" customHeight="1">
      <c r="B127" s="2" t="s">
        <v>391</v>
      </c>
      <c r="C127" s="169"/>
      <c r="G127" s="23">
        <f>IF(G$4="","",(Data!C47*$C$3)/(Market_Price*Common_Shares))</f>
        <v>5.6759577128469331E-2</v>
      </c>
      <c r="H127" s="23">
        <f>IF(H$4="","",(Data!D47*$C$3)/(Market_Price*Common_Shares))</f>
        <v>5.660601800717667E-2</v>
      </c>
      <c r="I127" s="23">
        <f>IF(I$4="","",(Data!E47*$C$3)/(Market_Price*Common_Shares))</f>
        <v>5.0170954247482073E-2</v>
      </c>
      <c r="J127" s="23">
        <f>IF(J$4="","",(Data!F47*$C$3)/(Market_Price*Common_Shares))</f>
        <v>4.6027031869608138E-2</v>
      </c>
      <c r="K127" s="23">
        <f>IF(K$4="","",(Data!G47*$C$3)/(Market_Price*Common_Shares))</f>
        <v>3.7111222504672046E-2</v>
      </c>
      <c r="L127" s="23">
        <f>IF(L$4="","",(Data!H47*$C$3)/(Market_Price*Common_Shares))</f>
        <v>4.3712548126386842E-2</v>
      </c>
      <c r="M127" s="23">
        <f>IF(M$4="","",(Data!I47*$C$3)/(Market_Price*Common_Shares))</f>
        <v>3.4835663211372797E-2</v>
      </c>
      <c r="N127" s="23">
        <f>IF(N$4="","",(Data!J47*$C$3)/(Market_Price*Common_Shares))</f>
        <v>2.8552335334926796E-2</v>
      </c>
      <c r="O127" s="23">
        <f>IF(O$4="","",(Data!K47*$C$3)/(Market_Price*Common_Shares))</f>
        <v>3.0857401058858942E-2</v>
      </c>
      <c r="P127" s="23">
        <f>IF(P$4="","",(Data!L47*$C$3)/(Market_Price*Common_Shares))</f>
        <v>2.8222663062289193E-2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-22.1</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22.1</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22.1</v>
      </c>
      <c r="D86" t="str">
        <f>Market_currency</f>
        <v>CNY</v>
      </c>
    </row>
    <row r="87" spans="2:8" ht="13.15">
      <c r="B87" s="100" t="s">
        <v>297</v>
      </c>
      <c r="C87" s="237">
        <f ca="1">IRR(OFFSET($I$3, 0, 0, $C$76 + 1, 1))</f>
        <v>5.1979747974227886E-2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