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7D1EDE-DB46-45F8-B3A9-00F5DC642362}" xr6:coauthVersionLast="47" xr6:coauthVersionMax="47" xr10:uidLastSave="{00000000-0000-0000-0000-000000000000}"/>
  <bookViews>
    <workbookView xWindow="-98" yWindow="-98" windowWidth="17115" windowHeight="10755" firstSheet="1"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<sst xmlns="http://schemas.openxmlformats.org/spreadsheetml/2006/main" count="836" uniqueCount="561">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</sst>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20.53</v>
      </c>
      <c r="D12" s="50"/>
      <c r="E12" s="48"/>
    </row>
    <row r="13" spans="1:10">
      <c r="B13" s="1" t="s">
        <v>464</v>
      </c>
      <c r="C13" s="48" t="s">
        <v>394</v>
      </c>
      <c r="D13" s="48"/>
      <c r="E13" s="5"/>
    </row>
    <row r="14" spans="1:10">
      <c r="B14" s="4" t="s">
        <v>465</v>
      </c>
      <c r="C14" s="35">
        <f>Thesis!C12*Common_Shares/1000000</f>
        <v>20679.510423020001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67" t="s">
        <v>468</v>
      </c>
      <c r="C18" s="367"/>
      <c r="D18" s="367"/>
      <c r="E18" s="367"/>
      <c r="F18" s="367"/>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2.002653273777133E-2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67" t="s">
        <v>469</v>
      </c>
      <c r="C36" s="367"/>
      <c r="D36" s="367"/>
      <c r="E36" s="367"/>
      <c r="F36" s="367"/>
    </row>
    <row r="37" spans="1:6" ht="24.6" customHeight="1">
      <c r="B37" s="369" t="s">
        <v>330</v>
      </c>
      <c r="C37" s="369"/>
      <c r="D37" s="369"/>
      <c r="E37" s="369"/>
      <c r="F37" s="369"/>
    </row>
    <row r="39" spans="1:6">
      <c r="B39" s="210" t="s">
        <v>226</v>
      </c>
      <c r="C39" s="108">
        <f>scaling_factor</f>
        <v>1</v>
      </c>
    </row>
    <row r="40" spans="1:6" ht="24.6" customHeight="1">
      <c r="B40" s="368" t="s">
        <v>227</v>
      </c>
      <c r="C40" s="368"/>
      <c r="D40" s="368"/>
      <c r="E40" s="368"/>
      <c r="F40" s="368"/>
    </row>
    <row r="41" spans="1:6">
      <c r="B41" s="47" t="s">
        <v>228</v>
      </c>
      <c r="C41" s="349">
        <f>Normalized_FCF!C8</f>
        <v>1545350950.0180476</v>
      </c>
      <c r="D41" s="1" t="str">
        <f>Reporting_currency</f>
        <v>CNY</v>
      </c>
    </row>
    <row r="42" spans="1:6">
      <c r="B42" s="47"/>
      <c r="C42" s="76"/>
    </row>
    <row r="43" spans="1:6" ht="24.6" customHeight="1">
      <c r="B43" s="368" t="s">
        <v>229</v>
      </c>
      <c r="C43" s="368"/>
      <c r="D43" s="368"/>
      <c r="E43" s="368"/>
      <c r="F43" s="368"/>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68" t="s">
        <v>232</v>
      </c>
      <c r="C47" s="368"/>
      <c r="D47" s="368"/>
      <c r="E47" s="368"/>
      <c r="F47" s="368"/>
    </row>
    <row r="48" spans="1:6">
      <c r="B48" s="47" t="s">
        <v>233</v>
      </c>
      <c r="C48" s="349">
        <f>Normalized_FCF!C11</f>
        <v>0</v>
      </c>
      <c r="D48" s="1" t="str">
        <f>Reporting_currency</f>
        <v>CNY</v>
      </c>
    </row>
    <row r="50" spans="2:6">
      <c r="B50" s="368" t="s">
        <v>236</v>
      </c>
      <c r="C50" s="368"/>
      <c r="D50" s="368"/>
      <c r="E50" s="368"/>
      <c r="F50" s="368"/>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68" t="s">
        <v>237</v>
      </c>
      <c r="C58" s="368"/>
      <c r="D58" s="368"/>
      <c r="E58" s="368"/>
      <c r="F58" s="368"/>
    </row>
    <row r="59" spans="2:6">
      <c r="B59" s="47" t="s">
        <v>235</v>
      </c>
      <c r="C59" s="349">
        <f>Normalized_FCF!C14</f>
        <v>-373061939.75451189</v>
      </c>
      <c r="D59" s="1" t="str">
        <f>Reporting_currency</f>
        <v>CNY</v>
      </c>
    </row>
    <row r="61" spans="2:6">
      <c r="B61" s="368" t="s">
        <v>329</v>
      </c>
      <c r="C61" s="371"/>
      <c r="D61" s="371"/>
      <c r="E61" s="371"/>
      <c r="F61" s="371"/>
    </row>
    <row r="62" spans="2:6">
      <c r="B62" s="47" t="s">
        <v>238</v>
      </c>
      <c r="C62" s="349">
        <f>Normalized_FCF!C17</f>
        <v>0</v>
      </c>
      <c r="D62" s="1" t="str">
        <f>Reporting_currency</f>
        <v>CNY</v>
      </c>
    </row>
    <row r="64" spans="2:6" ht="24.6" customHeight="1">
      <c r="B64" s="367" t="s">
        <v>334</v>
      </c>
      <c r="C64" s="367"/>
      <c r="D64" s="367"/>
      <c r="E64" s="367"/>
      <c r="F64" s="367"/>
    </row>
    <row r="65" spans="1:6" ht="24.6" customHeight="1">
      <c r="B65" s="367" t="s">
        <v>348</v>
      </c>
      <c r="C65" s="367"/>
      <c r="D65" s="367"/>
      <c r="E65" s="367"/>
      <c r="F65" s="367"/>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5.2715283675273471E-2</v>
      </c>
      <c r="F69" s="314"/>
    </row>
    <row r="70" spans="1:6">
      <c r="B70" s="227" t="s">
        <v>434</v>
      </c>
      <c r="C70" s="92">
        <f>Normalized_FCF!C94</f>
        <v>4.8222113979542139E-2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67" t="s">
        <v>471</v>
      </c>
      <c r="C80" s="367"/>
      <c r="D80" s="367"/>
      <c r="E80" s="367"/>
      <c r="F80" s="367"/>
    </row>
    <row r="81" spans="1:6">
      <c r="B81" s="369" t="s">
        <v>248</v>
      </c>
      <c r="C81" s="369"/>
      <c r="D81" s="369"/>
      <c r="E81" s="369"/>
      <c r="F81" s="369"/>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67" t="s">
        <v>349</v>
      </c>
      <c r="C89" s="367"/>
      <c r="D89" s="367"/>
      <c r="E89" s="367"/>
      <c r="F89" s="367"/>
    </row>
    <row r="90" spans="1:6" ht="24.6" customHeight="1">
      <c r="B90" s="367" t="s">
        <v>350</v>
      </c>
      <c r="C90" s="367"/>
      <c r="D90" s="367"/>
      <c r="E90" s="367"/>
      <c r="F90" s="367"/>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67" t="s">
        <v>351</v>
      </c>
      <c r="C97" s="367"/>
      <c r="D97" s="367"/>
      <c r="E97" s="367"/>
      <c r="F97" s="367"/>
    </row>
    <row r="98" spans="2:6">
      <c r="B98" s="1" t="s">
        <v>249</v>
      </c>
    </row>
    <row r="100" spans="2:6">
      <c r="B100" s="210" t="s">
        <v>226</v>
      </c>
    </row>
    <row r="101" spans="2:6" ht="24.6" customHeight="1">
      <c r="B101" s="367" t="s">
        <v>335</v>
      </c>
      <c r="C101" s="367"/>
      <c r="D101" s="367"/>
      <c r="E101" s="367"/>
      <c r="F101" s="367"/>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67" t="s">
        <v>352</v>
      </c>
      <c r="C116" s="367"/>
      <c r="D116" s="367"/>
      <c r="E116" s="367"/>
      <c r="F116" s="367"/>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68" t="s">
        <v>473</v>
      </c>
      <c r="C123" s="368"/>
      <c r="D123" s="368"/>
      <c r="E123" s="368"/>
      <c r="F123" s="368"/>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0" t="s">
        <v>353</v>
      </c>
      <c r="C138" s="370"/>
      <c r="D138" s="370"/>
      <c r="E138" s="370"/>
      <c r="F138" s="370"/>
    </row>
    <row r="139" spans="1:6">
      <c r="B139" s="367" t="s">
        <v>476</v>
      </c>
      <c r="C139" s="367"/>
      <c r="D139" s="367"/>
      <c r="E139" s="367"/>
      <c r="F139" s="367"/>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4" t="s">
        <v>477</v>
      </c>
      <c r="C179" s="367"/>
      <c r="D179" s="367"/>
      <c r="E179" s="367"/>
      <c r="F179" s="367"/>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68" t="s">
        <v>478</v>
      </c>
      <c r="C188" s="368"/>
      <c r="D188" s="368"/>
      <c r="E188" s="368"/>
      <c r="F188" s="368"/>
    </row>
    <row r="190" spans="1:6">
      <c r="B190" s="1" t="s">
        <v>366</v>
      </c>
    </row>
    <row r="191" spans="1:6" ht="24.6" customHeight="1">
      <c r="B191" s="373" t="s">
        <v>363</v>
      </c>
      <c r="C191" s="373"/>
      <c r="D191" s="373"/>
      <c r="E191" s="373"/>
      <c r="F191" s="373"/>
    </row>
    <row r="192" spans="1:6" ht="24.6" customHeight="1">
      <c r="B192" s="373" t="s">
        <v>364</v>
      </c>
      <c r="C192" s="373"/>
      <c r="D192" s="373"/>
      <c r="E192" s="373"/>
      <c r="F192" s="373"/>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4.8222113979542139E-2</v>
      </c>
      <c r="E94" s="268"/>
      <c r="G94" s="23">
        <f t="shared" ref="G94:Q94" si="39">IF(G$4="","",(G90*(1-dividend_tax_rate))/Market_Price)</f>
        <v>4.8222113979542139E-2</v>
      </c>
      <c r="H94" s="23">
        <f t="shared" si="39"/>
        <v>5.6989771066731615E-2</v>
      </c>
      <c r="I94" s="23">
        <f t="shared" si="39"/>
        <v>3.0686799805163173E-2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5.2715283675273471E-2</v>
      </c>
      <c r="D126" s="27"/>
      <c r="E126" s="265"/>
      <c r="F126" s="27"/>
      <c r="G126" s="77">
        <f t="shared" ref="G126" si="50">IF(G$4="","",G125/Market_Price)</f>
        <v>5.7921228863651107E-2</v>
      </c>
      <c r="H126" s="77">
        <f t="shared" ref="H126" si="51">IF(H$4="","",H125/Market_Price)</f>
        <v>5.8500560905606208E-2</v>
      </c>
      <c r="I126" s="77">
        <f t="shared" ref="I126" si="52">IF(I$4="","",I125/Market_Price)</f>
        <v>4.4215762718548358E-2</v>
      </c>
      <c r="J126" s="77">
        <f t="shared" ref="J126" si="53">IF(J$4="","",J125/Market_Price)</f>
        <v>4.6888716036556727E-2</v>
      </c>
      <c r="K126" s="77">
        <f t="shared" ref="K126" si="54">IF(K$4="","",K125/Market_Price)</f>
        <v>3.6738139417183104E-2</v>
      </c>
      <c r="L126" s="77">
        <f t="shared" ref="L126" si="55">IF(L$4="","",L125/Market_Price)</f>
        <v>4.5343105026132619E-2</v>
      </c>
      <c r="M126" s="77">
        <f t="shared" ref="M126" si="56">IF(M$4="","",M125/Market_Price)</f>
        <v>3.7133888147815042E-2</v>
      </c>
      <c r="N126" s="77">
        <f t="shared" ref="N126" si="57">IF(N$4="","",N125/Market_Price)</f>
        <v>3.6049771718489734E-2</v>
      </c>
      <c r="O126" s="77">
        <f t="shared" ref="O126" si="58">IF(O$4="","",O125/Market_Price)</f>
        <v>3.6902169896174716E-2</v>
      </c>
      <c r="P126" s="77">
        <f t="shared" ref="P126" si="59">IF(P$4="","",P125/Market_Price)</f>
        <v>3.4238307363980633E-2</v>
      </c>
      <c r="Q126" s="77" t="str">
        <f t="shared" ref="Q126" si="60">IF(Q$4="","",Q125/Market_Price)</f>
        <v/>
      </c>
    </row>
    <row r="127" spans="1:17" ht="15.75" customHeight="1">
      <c r="B127" s="2" t="s">
        <v>375</v>
      </c>
      <c r="C127" s="169"/>
      <c r="G127" s="23">
        <f>IF(G$4="","",(Data!C47*$C$3)/(Market_Price*Common_Shares))</f>
        <v>6.1100178009701522E-2</v>
      </c>
      <c r="H127" s="23">
        <f>IF(H$4="","",(Data!D47*$C$3)/(Market_Price*Common_Shares))</f>
        <v>6.0934875692089843E-2</v>
      </c>
      <c r="I127" s="23">
        <f>IF(I$4="","",(Data!E47*$C$3)/(Market_Price*Common_Shares))</f>
        <v>5.400770038330998E-2</v>
      </c>
      <c r="J127" s="23">
        <f>IF(J$4="","",(Data!F47*$C$3)/(Market_Price*Common_Shares))</f>
        <v>4.9546877950235747E-2</v>
      </c>
      <c r="K127" s="23">
        <f>IF(K$4="","",(Data!G47*$C$3)/(Market_Price*Common_Shares))</f>
        <v>3.9949245852569523E-2</v>
      </c>
      <c r="L127" s="23">
        <f>IF(L$4="","",(Data!H47*$C$3)/(Market_Price*Common_Shares))</f>
        <v>4.7055397642140728E-2</v>
      </c>
      <c r="M127" s="23">
        <f>IF(M$4="","",(Data!I47*$C$3)/(Market_Price*Common_Shares))</f>
        <v>3.7499666681507005E-2</v>
      </c>
      <c r="N127" s="23">
        <f>IF(N$4="","",(Data!J47*$C$3)/(Market_Price*Common_Shares))</f>
        <v>3.0735831022985011E-2</v>
      </c>
      <c r="O127" s="23">
        <f>IF(O$4="","",(Data!K47*$C$3)/(Market_Price*Common_Shares))</f>
        <v>3.3217173083330866E-2</v>
      </c>
      <c r="P127" s="23">
        <f>IF(P$4="","",(Data!L47*$C$3)/(Market_Price*Common_Shares))</f>
        <v>3.0380947573141314E-2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5" t="s">
        <v>245</v>
      </c>
      <c r="F6" s="375"/>
      <c r="H6" s="120"/>
    </row>
    <row r="7" spans="2:8">
      <c r="B7" s="148" t="s">
        <v>220</v>
      </c>
      <c r="C7" s="338">
        <f>BS!G31</f>
        <v>1232137409</v>
      </c>
      <c r="D7" t="str">
        <f>Reporting_currency</f>
        <v>CNY</v>
      </c>
      <c r="E7" s="375"/>
      <c r="F7" s="375"/>
      <c r="H7" s="120"/>
    </row>
    <row r="8" spans="2:8">
      <c r="B8" s="148" t="s">
        <v>221</v>
      </c>
      <c r="C8" s="338">
        <f>BS!D66</f>
        <v>3438409570.5196743</v>
      </c>
      <c r="D8" t="str">
        <f>Reporting_currency</f>
        <v>CNY</v>
      </c>
      <c r="E8" s="375"/>
      <c r="F8" s="375"/>
      <c r="H8" s="120"/>
    </row>
    <row r="9" spans="2:8">
      <c r="B9" s="205" t="s">
        <v>186</v>
      </c>
      <c r="C9" s="348">
        <f>BS!H42</f>
        <v>601196472.20000005</v>
      </c>
      <c r="D9" t="str">
        <f>Reporting_currency</f>
        <v>CNY</v>
      </c>
      <c r="E9" s="375"/>
      <c r="F9" s="375"/>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5"/>
      <c r="F6" s="375"/>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-20.53</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77"/>
      <c r="H7" s="247">
        <v>4</v>
      </c>
      <c r="I7" s="124" t="str">
        <f t="shared" si="0"/>
        <v/>
      </c>
    </row>
    <row r="8" spans="2:9">
      <c r="B8" s="100" t="s">
        <v>64</v>
      </c>
      <c r="C8" s="338">
        <f>Normalized_FCF!G19</f>
        <v>1197782656</v>
      </c>
      <c r="D8" t="str">
        <f>Reporting_currency</f>
        <v>CNY</v>
      </c>
      <c r="E8" s="377"/>
      <c r="F8" s="377"/>
      <c r="H8" s="247">
        <v>5</v>
      </c>
      <c r="I8" s="124" t="str">
        <f t="shared" si="0"/>
        <v/>
      </c>
    </row>
    <row r="9" spans="2:9">
      <c r="B9" s="100" t="s">
        <v>55</v>
      </c>
      <c r="C9" s="338">
        <f>Normalized_FCF!C19</f>
        <v>1090126258.2152739</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2.9436096404119594E-2</v>
      </c>
      <c r="D12" s="158"/>
      <c r="E12" s="377"/>
      <c r="F12" s="377"/>
      <c r="H12" s="247">
        <v>9</v>
      </c>
      <c r="I12" s="124" t="str">
        <f t="shared" si="0"/>
        <v/>
      </c>
    </row>
    <row r="13" spans="2:9">
      <c r="B13" s="148" t="s">
        <v>148</v>
      </c>
      <c r="C13" s="158">
        <f ca="1">(Normalized_FCF!G8/OFFSET(Normalized_FCF!G8, 0, $C$4))^(1/$C$4) - 1</f>
        <v>5.4272741432500604E-2</v>
      </c>
      <c r="E13" s="377"/>
      <c r="F13" s="377"/>
      <c r="H13" s="247">
        <v>10</v>
      </c>
      <c r="I13" s="124" t="str">
        <f t="shared" si="0"/>
        <v/>
      </c>
    </row>
    <row r="14" spans="2:9">
      <c r="B14" s="100" t="s">
        <v>64</v>
      </c>
      <c r="C14" s="158">
        <f ca="1">(Normalized_FCF!G19/OFFSET(Normalized_FCF!G19, 0, $C$4))^(1/$C$4) - 1</f>
        <v>7.2975508413014145E-2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20.53</v>
      </c>
      <c r="D21" t="str">
        <f>Market_currency</f>
        <v>CNY</v>
      </c>
      <c r="E21" s="378"/>
      <c r="F21" s="378"/>
    </row>
    <row r="22" spans="2:6">
      <c r="B22" s="100" t="s">
        <v>273</v>
      </c>
      <c r="C22" s="160">
        <f>IF(valuation_method="DCF",DCF!C12,DDM!C7)</f>
        <v>17.217101284437963</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0.03</v>
      </c>
      <c r="D26" s="164"/>
      <c r="E26" s="376"/>
      <c r="F26" s="376"/>
    </row>
    <row r="27" spans="2:6">
      <c r="B27" s="100" t="s">
        <v>109</v>
      </c>
      <c r="C27" s="160">
        <f>IF(valuation_method="DCF",DCF!E76,DDM!E71)</f>
        <v>18.617477399325978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17.662057800120074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0.05</v>
      </c>
      <c r="D38" s="164"/>
      <c r="E38" s="376"/>
      <c r="F38" s="376"/>
    </row>
    <row r="39" spans="2:6">
      <c r="B39" s="100" t="s">
        <v>109</v>
      </c>
      <c r="C39" s="160">
        <f>IF(valuation_method="DCF",DCF!E75,DDM!E70)</f>
        <v>19.668960138850984</v>
      </c>
      <c r="D39" t="str">
        <f>Market_currency</f>
        <v>CNY</v>
      </c>
      <c r="E39" s="376"/>
      <c r="F39" s="376"/>
    </row>
    <row r="40" spans="2:6">
      <c r="B40" s="100" t="s">
        <v>143</v>
      </c>
      <c r="C40" s="167">
        <f>1-C28-C34</f>
        <v>0.2</v>
      </c>
      <c r="D40" s="165"/>
      <c r="E40" s="376"/>
      <c r="F40" s="376"/>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17.217101284437966</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0.06</v>
      </c>
      <c r="D56" s="164"/>
      <c r="E56" s="376"/>
      <c r="F56" s="376"/>
    </row>
    <row r="57" spans="2:6">
      <c r="B57" s="100" t="s">
        <v>109</v>
      </c>
      <c r="C57" s="160">
        <f>IF(valuation_method="DCF",DCF!E74,DDM!E69)</f>
        <v>22.490970255226095</v>
      </c>
      <c r="D57" t="str">
        <f>Market_currency</f>
        <v>CNY</v>
      </c>
      <c r="E57" s="376"/>
      <c r="F57" s="376"/>
    </row>
    <row r="58" spans="2:6">
      <c r="B58" s="100" t="s">
        <v>143</v>
      </c>
      <c r="C58" s="165">
        <v>0.05</v>
      </c>
      <c r="D58" s="165"/>
      <c r="E58" s="376"/>
      <c r="F58" s="376"/>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20.53</v>
      </c>
      <c r="D86" t="str">
        <f>Market_currency</f>
        <v>CNY</v>
      </c>
    </row>
    <row r="87" spans="2:8" ht="13.15">
      <c r="B87" s="100" t="s">
        <v>293</v>
      </c>
      <c r="C87" s="237">
        <f ca="1">IRR(OFFSET($I$3, 0, 0, $C$76 + 1, 1))</f>
        <v>2.002653273777133E-2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20.53</v>
      </c>
      <c r="D12" s="50"/>
      <c r="E12" s="48"/>
    </row>
    <row r="13" spans="1:10">
      <c r="B13" s="1" t="s">
        <v>485</v>
      </c>
      <c r="C13" s="32" t="str">
        <f>Market_currency</f>
        <v>CNY</v>
      </c>
      <c r="D13" s="48"/>
      <c r="E13" s="5"/>
    </row>
    <row r="14" spans="1:10">
      <c r="B14" s="4" t="s">
        <v>486</v>
      </c>
      <c r="C14" s="35">
        <f>投资主题!C12*Common_Shares/1000000</f>
        <v>20679.510423020001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67" t="s">
        <v>489</v>
      </c>
      <c r="C18" s="367"/>
      <c r="D18" s="367"/>
      <c r="E18" s="367"/>
      <c r="F18" s="367"/>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2.002653273777133E-2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67" t="s">
        <v>492</v>
      </c>
      <c r="C36" s="367"/>
      <c r="D36" s="367"/>
      <c r="E36" s="367"/>
      <c r="F36" s="367"/>
    </row>
    <row r="37" spans="1:6" ht="24.6" customHeight="1">
      <c r="B37" s="369" t="s">
        <v>330</v>
      </c>
      <c r="C37" s="369"/>
      <c r="D37" s="369"/>
      <c r="E37" s="369"/>
      <c r="F37" s="369"/>
    </row>
    <row r="39" spans="1:6">
      <c r="B39" s="210" t="s">
        <v>493</v>
      </c>
      <c r="C39" s="108">
        <f>scaling_factor</f>
        <v>1</v>
      </c>
    </row>
    <row r="40" spans="1:6">
      <c r="B40" s="368" t="s">
        <v>494</v>
      </c>
      <c r="C40" s="368"/>
      <c r="D40" s="368"/>
      <c r="E40" s="368"/>
      <c r="F40" s="368"/>
    </row>
    <row r="41" spans="1:6">
      <c r="B41" s="47" t="s">
        <v>228</v>
      </c>
      <c r="C41" s="349">
        <f>Normalized_FCF!C8</f>
        <v>1545350950.0180476</v>
      </c>
      <c r="D41" s="1" t="str">
        <f>Reporting_currency</f>
        <v>CNY</v>
      </c>
    </row>
    <row r="42" spans="1:6">
      <c r="B42" s="47"/>
      <c r="C42" s="76"/>
    </row>
    <row r="43" spans="1:6" ht="24.6" customHeight="1">
      <c r="B43" s="368" t="s">
        <v>495</v>
      </c>
      <c r="C43" s="368"/>
      <c r="D43" s="368"/>
      <c r="E43" s="368"/>
      <c r="F43" s="368"/>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68" t="s">
        <v>496</v>
      </c>
      <c r="C47" s="368"/>
      <c r="D47" s="368"/>
      <c r="E47" s="368"/>
      <c r="F47" s="368"/>
    </row>
    <row r="48" spans="1:6">
      <c r="B48" s="47" t="s">
        <v>233</v>
      </c>
      <c r="C48" s="349">
        <f>Normalized_FCF!C11</f>
        <v>0</v>
      </c>
      <c r="D48" s="1" t="str">
        <f>Reporting_currency</f>
        <v>CNY</v>
      </c>
    </row>
    <row r="50" spans="2:6">
      <c r="B50" s="368" t="s">
        <v>497</v>
      </c>
      <c r="C50" s="368"/>
      <c r="D50" s="368"/>
      <c r="E50" s="368"/>
      <c r="F50" s="368"/>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68" t="s">
        <v>237</v>
      </c>
      <c r="C58" s="368"/>
      <c r="D58" s="368"/>
      <c r="E58" s="368"/>
      <c r="F58" s="368"/>
    </row>
    <row r="59" spans="2:6">
      <c r="B59" s="47" t="s">
        <v>235</v>
      </c>
      <c r="C59" s="349">
        <f>Normalized_FCF!C14</f>
        <v>-373061939.75451189</v>
      </c>
      <c r="D59" s="1" t="str">
        <f>Reporting_currency</f>
        <v>CNY</v>
      </c>
    </row>
    <row r="61" spans="2:6">
      <c r="B61" s="368" t="s">
        <v>499</v>
      </c>
      <c r="C61" s="371"/>
      <c r="D61" s="371"/>
      <c r="E61" s="371"/>
      <c r="F61" s="371"/>
    </row>
    <row r="62" spans="2:6">
      <c r="B62" s="47" t="s">
        <v>238</v>
      </c>
      <c r="C62" s="349">
        <f>Normalized_FCF!C17</f>
        <v>0</v>
      </c>
      <c r="D62" s="1" t="str">
        <f>Reporting_currency</f>
        <v>CNY</v>
      </c>
    </row>
    <row r="64" spans="2:6">
      <c r="B64" s="367" t="s">
        <v>500</v>
      </c>
      <c r="C64" s="367"/>
      <c r="D64" s="367"/>
      <c r="E64" s="367"/>
      <c r="F64" s="367"/>
    </row>
    <row r="65" spans="1:6">
      <c r="B65" s="367" t="s">
        <v>501</v>
      </c>
      <c r="C65" s="367"/>
      <c r="D65" s="367"/>
      <c r="E65" s="367"/>
      <c r="F65" s="367"/>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5.2715283675273471E-2</v>
      </c>
      <c r="F69" s="314"/>
    </row>
    <row r="70" spans="1:6">
      <c r="B70" s="227" t="s">
        <v>434</v>
      </c>
      <c r="C70" s="92">
        <f>Normalized_FCF!C94</f>
        <v>4.8222113979542139E-2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67" t="s">
        <v>506</v>
      </c>
      <c r="C80" s="367"/>
      <c r="D80" s="367"/>
      <c r="E80" s="367"/>
      <c r="F80" s="367"/>
    </row>
    <row r="81" spans="1:6">
      <c r="B81" s="369" t="s">
        <v>248</v>
      </c>
      <c r="C81" s="369"/>
      <c r="D81" s="369"/>
      <c r="E81" s="369"/>
      <c r="F81" s="369"/>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67" t="s">
        <v>507</v>
      </c>
      <c r="C89" s="367"/>
      <c r="D89" s="367"/>
      <c r="E89" s="367"/>
      <c r="F89" s="367"/>
    </row>
    <row r="90" spans="1:6">
      <c r="B90" s="367" t="s">
        <v>508</v>
      </c>
      <c r="C90" s="367"/>
      <c r="D90" s="367"/>
      <c r="E90" s="367"/>
      <c r="F90" s="367"/>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67" t="s">
        <v>510</v>
      </c>
      <c r="C97" s="367"/>
      <c r="D97" s="367"/>
      <c r="E97" s="367"/>
      <c r="F97" s="367"/>
    </row>
    <row r="98" spans="2:6">
      <c r="B98" s="1" t="s">
        <v>249</v>
      </c>
    </row>
    <row r="100" spans="2:6">
      <c r="B100" s="210" t="s">
        <v>493</v>
      </c>
    </row>
    <row r="101" spans="2:6">
      <c r="B101" s="367" t="s">
        <v>511</v>
      </c>
      <c r="C101" s="367"/>
      <c r="D101" s="367"/>
      <c r="E101" s="367"/>
      <c r="F101" s="367"/>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67" t="s">
        <v>516</v>
      </c>
      <c r="C116" s="367"/>
      <c r="D116" s="367"/>
      <c r="E116" s="367"/>
      <c r="F116" s="367"/>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68" t="s">
        <v>519</v>
      </c>
      <c r="C123" s="368"/>
      <c r="D123" s="368"/>
      <c r="E123" s="368"/>
      <c r="F123" s="368"/>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0" t="s">
        <v>526</v>
      </c>
      <c r="C138" s="370"/>
      <c r="D138" s="370"/>
      <c r="E138" s="370"/>
      <c r="F138" s="370"/>
    </row>
    <row r="139" spans="1:6" ht="24.6" customHeight="1">
      <c r="B139" s="367" t="s">
        <v>527</v>
      </c>
      <c r="C139" s="367"/>
      <c r="D139" s="367"/>
      <c r="E139" s="367"/>
      <c r="F139" s="367"/>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4" t="s">
        <v>534</v>
      </c>
      <c r="C179" s="367"/>
      <c r="D179" s="367"/>
      <c r="E179" s="367"/>
      <c r="F179" s="367"/>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68" t="s">
        <v>541</v>
      </c>
      <c r="C188" s="368"/>
      <c r="D188" s="368"/>
      <c r="E188" s="368"/>
      <c r="F188" s="368"/>
    </row>
    <row r="190" spans="1:6">
      <c r="B190" s="1" t="s">
        <v>542</v>
      </c>
    </row>
    <row r="191" spans="1:6">
      <c r="B191" s="373" t="s">
        <v>543</v>
      </c>
      <c r="C191" s="373"/>
      <c r="D191" s="373"/>
      <c r="E191" s="373"/>
      <c r="F191" s="373"/>
    </row>
    <row r="192" spans="1:6">
      <c r="B192" s="373" t="s">
        <v>544</v>
      </c>
      <c r="C192" s="373"/>
      <c r="D192" s="373"/>
      <c r="E192" s="373"/>
      <c r="F192" s="373"/>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2025-08-05T03:11:09Z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