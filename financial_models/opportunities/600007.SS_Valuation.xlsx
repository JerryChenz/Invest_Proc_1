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29D493D2-02C4-42B3-BADC-A72C80661958}" xr6:coauthVersionLast="47" xr6:coauthVersionMax="47" xr10:uidLastSave="{00000000-0000-0000-0000-000000000000}"/>
  <bookViews>
    <workbookView xWindow="1103" yWindow="1103" windowWidth="12690" windowHeight="7642"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19" i="3"/>
  <c r="C23" i="3"/>
  <c r="C4" i="3"/>
  <c r="C25" i="4"/>
  <c r="D25" i="4"/>
  <c r="E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D38" i="4"/>
  <c r="E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C34" i="2" l="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4" i="2" l="1"/>
  <c r="C33" i="2"/>
  <c r="C31" i="4"/>
  <c r="Q120" i="2"/>
  <c r="Q117" i="2"/>
  <c r="Q118" i="2"/>
  <c r="K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H118" i="2" s="1"/>
  <c r="P101" i="2"/>
  <c r="P119" i="2" s="1"/>
  <c r="M101" i="2"/>
  <c r="M118" i="2" s="1"/>
  <c r="N101" i="2"/>
  <c r="N118" i="2" s="1"/>
  <c r="Q55" i="2"/>
  <c r="Q124" i="2"/>
  <c r="Q125" i="2"/>
  <c r="Q101" i="2"/>
  <c r="K101" i="2"/>
  <c r="I101" i="2"/>
  <c r="I118" i="2" s="1"/>
  <c r="O101" i="2"/>
  <c r="O119" i="2" s="1"/>
  <c r="J101" i="2"/>
  <c r="J118" i="2" s="1"/>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C28" i="2" s="1"/>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9" i="2" l="1"/>
  <c r="P118" i="2"/>
  <c r="O118" i="2"/>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N97" i="2" l="1"/>
  <c r="N120" i="2"/>
  <c r="N116" i="2" s="1"/>
  <c r="K16" i="2"/>
  <c r="K19" i="2" s="1"/>
  <c r="K120" i="2"/>
  <c r="K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<sst xmlns="http://schemas.openxmlformats.org/spreadsheetml/2006/main" count="685" uniqueCount="466">
  <si>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</si>
  <si>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</si>
  <si>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</si>
  <si>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</si>
  <si>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</si>
  <si>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</si>
  <si>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</si>
  <si>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</si>
  <si>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</si>
  <si>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</si>
  <si>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</si>
  <si>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</si>
  <si>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</si>
  <si>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</si>
  <si>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</si>
  <si>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</si>
  <si>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</si>
  <si>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</si>
  <si>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</si>
  <si>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</si>
  <si>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</si>
  <si>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</si>
  <si>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</si>
  <si>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</si>
  <si>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</si>
  <si>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</si>
  <si>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</si>
  <si>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</si>
  <si>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</si>
  <si>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</si>
  <si>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</si>
  <si>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</si>
  <si>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</si>
  <si>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</si>
  <si>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</si>
  <si>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</si>
  <si>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</si>
  <si>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</si>
  <si>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</si>
  <si>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</si>
  <si>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</si>
  <si>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</si>
  <si>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</si>
  <si>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</si>
  <si>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</si>
  <si>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</si>
  <si>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</si>
  <si>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</si>
  <si>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</si>
  <si>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</si>
  <si>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</si>
  <si>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</si>
  <si>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</si>
  <si>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</si>
  <si>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</si>
  <si>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</si>
  <si>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</si>
  <si>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</si>
  <si>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</si>
  <si>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</si>
  <si>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</si>
  <si>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</si>
  <si>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</si>
  <si>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</si>
  <si>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</si>
  <si>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</si>
  <si>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</si>
  <si>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</si>
  <si>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</si>
  <si>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</si>
  <si>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</si>
  <si>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</si>
  <si>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</si>
  <si>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</si>
  <si>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</si>
  <si>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</si>
  <si>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</si>
  <si>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</si>
  <si>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</si>
  <si>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</si>
  <si>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</si>
  <si>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</si>
  <si>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</si>
  <si>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</si>
  <si>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</si>
  <si>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</si>
  <si>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</si>
  <si>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</si>
  <si>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</si>
  <si>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</si>
  <si>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</si>
  <si>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</si>
  <si>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</si>
  <si>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</si>
  <si>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</si>
  <si>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</si>
  <si>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</si>
  <si>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</si>
  <si>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</si>
  <si>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</si>
  <si>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</si>
  <si>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</si>
  <si>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</si>
  <si>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</si>
  <si>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</si>
  <si>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</si>
  <si>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</si>
  <si>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</si>
  <si>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</si>
  <si>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</si>
  <si>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</si>
  <si>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</si>
  <si>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</si>
  <si>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</si>
  <si>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</si>
  <si>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</si>
  <si>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</si>
  <si>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</si>
  <si>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</si>
  <si>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</si>
  <si>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</si>
  <si>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</si>
  <si>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</si>
  <si>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</si>
  <si>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</si>
  <si>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</si>
  <si>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</si>
  <si>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</si>
  <si>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</si>
  <si>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</si>
  <si>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</si>
  <si>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</si>
  <si>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</si>
  <si>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</si>
  <si>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</si>
  <si>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</si>
  <si>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</si>
  <si>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</si>
  <si>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</si>
  <si>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</si>
  <si>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</si>
  <si>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</si>
  <si>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</si>
  <si>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</si>
  <si>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</si>
  <si>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</si>
  <si>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</si>
  <si>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</si>
  <si>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</si>
  <si>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</si>
  <si>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</si>
  <si>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</si>
  <si>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</si>
  <si>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</si>
  <si>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</si>
  <si>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</si>
  <si>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</si>
  <si>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</si>
  <si>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</si>
  <si>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</si>
  <si>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</si>
  <si>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</si>
  <si>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</si>
  <si>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</si>
  <si>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</si>
  <si>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</si>
  <si>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</si>
  <si>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</si>
  <si>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</si>
  <si>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</si>
  <si>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</si>
  <si>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</si>
  <si>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</si>
  <si>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</si>
  <si>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</si>
  <si>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</si>
  <si>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</si>
  <si>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</si>
  <si>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</si>
  <si>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</si>
  <si>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</si>
  <si>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</si>
  <si>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</si>
  <si>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</si>
  <si>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</si>
  <si>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</si>
  <si>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</si>
  <si>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</si>
  <si>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</si>
  <si>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</si>
  <si>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</si>
  <si>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</si>
  <si>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</si>
  <si>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</si>
  <si>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</si>
  <si>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</si>
  <si>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</si>
  <si>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</si>
  <si>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</si>
  <si>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</si>
  <si>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</si>
  <si>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</si>
  <si>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</si>
  <si>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</si>
  <si>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</si>
  <si>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</si>
  <si>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</si>
  <si>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</si>
  <si>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</si>
  <si>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</si>
  <si>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</si>
  <si>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</si>
  <si>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</si>
  <si>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</si>
  <si>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</si>
  <si>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</si>
  <si>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</si>
  <si>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</si>
  <si>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</si>
  <si>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</si>
  <si>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</si>
  <si>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</si>
  <si>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</si>
  <si>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</si>
  <si>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</si>
  <si>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</si>
  <si>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</si>
  <si>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</si>
  <si>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</si>
  <si>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</si>
  <si>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</si>
  <si>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</si>
  <si>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</si>
  <si>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</si>
  <si>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</si>
  <si>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</si>
  <si>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</si>
  <si>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</si>
  <si>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</si>
  <si>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</si>
  <si>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</si>
  <si>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</si>
  <si>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</si>
  <si>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</si>
  <si>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</si>
  <si>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</si>
  <si>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</si>
  <si>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</si>
  <si>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</si>
  <si>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</si>
  <si>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</si>
  <si>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</si>
  <si>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</si>
  <si>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</si>
  <si>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</si>
  <si>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</si>
  <si>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</si>
  <si>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</si>
  <si>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</si>
  <si>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</si>
  <si>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</si>
  <si>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</si>
  <si>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</si>
  <si>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</si>
  <si>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</si>
  <si>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</si>
  <si>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</si>
  <si>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</si>
  <si>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</si>
  <si>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</si>
  <si>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</si>
  <si>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</si>
  <si>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</si>
  <si>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</si>
  <si>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</si>
  <si>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</si>
  <si>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</si>
  <si>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</si>
  <si>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</si>
  <si>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</si>
  <si>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</si>
  <si>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</si>
  <si>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</si>
  <si>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</si>
  <si>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</si>
  <si>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</si>
  <si>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</si>
  <si>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</si>
  <si>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</si>
  <si>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</si>
  <si>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</si>
  <si>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</si>
  <si>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</si>
  <si>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</si>
  <si>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</si>
  <si>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</si>
  <si>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</si>
  <si>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</si>
  <si>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</si>
  <si>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</si>
  <si>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</si>
  <si>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</si>
  <si>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</si>
  <si>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</si>
  <si>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</si>
  <si>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</si>
  <si>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</si>
  <si>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</si>
  <si>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</si>
  <si>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</si>
  <si>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</si>
  <si>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</si>
  <si>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</si>
  <si>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</si>
  <si>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</si>
  <si>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</si>
  <si>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</si>
  <si>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</si>
  <si>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</si>
  <si>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</si>
  <si>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</si>
  <si>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</si>
  <si>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</si>
  <si>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</si>
  <si>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</si>
  <si>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</si>
  <si>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</si>
  <si>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</si>
  <si>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</si>
  <si>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</si>
  <si>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</si>
  <si>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</si>
  <si>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</si>
  <si>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</si>
  <si>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</si>
  <si>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</si>
  <si>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</si>
  <si>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</si>
  <si>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</si>
  <si>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</si>
  <si>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</si>
  <si>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</si>
  <si>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</si>
  <si>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</si>
  <si>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</si>
  <si>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</si>
  <si>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</si>
  <si>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</si>
  <si>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</si>
  <si>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</si>
  <si>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</si>
  <si>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</si>
  <si>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</si>
  <si>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</si>
  <si>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</si>
  <si>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</si>
  <si>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</si>
  <si>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</si>
  <si>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</si>
  <si>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</si>
  <si>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</si>
  <si>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</si>
  <si>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</si>
  <si>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</si>
  <si>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</si>
  <si>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</si>
  <si>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</si>
  <si>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</si>
  <si>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</si>
  <si>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</si>
  <si>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</si>
  <si>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</si>
  <si>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</si>
  <si>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</si>
  <si>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</si>
  <si>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</si>
  <si>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</si>
  <si>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</si>
  <si>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</si>
  <si>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</si>
  <si>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</si>
  <si>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</si>
  <si>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</si>
  <si>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</si>
  <si>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</si>
  <si>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</si>
  <si>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</si>
  <si>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</si>
  <si>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</si>
  <si>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</si>
  <si>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</si>
  <si>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</si>
  <si>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</si>
  <si>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</si>
  <si>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</si>
  <si>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</si>
  <si>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</si>
  <si>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</si>
  <si>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</si>
  <si>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</si>
  <si>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</si>
  <si>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</si>
  <si>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</si>
  <si>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</si>
  <si>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</si>
  <si>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</si>
  <si>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</si>
  <si>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</si>
  <si>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</si>
  <si>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</si>
  <si>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</si>
  <si>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</si>
  <si>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</si>
  <si>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</si>
  <si>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</si>
  <si>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</si>
  <si>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</si>
  <si>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</si>
  <si>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</si>
  <si>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</si>
  <si>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</si>
  <si>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</si>
  <si>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</si>
  <si>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</si>
  <si>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</si>
  <si>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</si>
  <si>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</si>
  <si>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</si>
  <si>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</si>
  <si>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</si>
  <si>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</si>
  <si>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</si>
  <si>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</si>
  <si>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</si>
  <si>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</si>
  <si>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</si>
  <si>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</si>
  <si>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</si>
  <si>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</si>
  <si>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</si>
  <si>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</si>
  <si>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</si>
  <si>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</si>
  <si>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</si>
  <si>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</si>
  <si>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</si>
  <si>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</si>
  <si>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</si>
  <si>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</si>
  <si>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</si>
  <si>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</si>
  <si>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</si>
  <si>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</si>
  <si>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</si>
  <si>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</si>
  <si>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CN</t>
  </si>
  <si>
    <t>Y</t>
  </si>
  <si>
    <t>中国国贸</t>
  </si>
  <si>
    <t>600007.SS</t>
  </si>
  <si>
    <t/>
  </si>
  <si>
    <t>RES_01</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</si>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</sst>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45797</v>
      </c>
      <c r="D1" s="316" t="s">
        <v>455</v>
      </c>
      <c r="E1" s="292" t="s">
        <v>353</v>
      </c>
      <c r="F1" s="254" t="s">
        <v>456</v>
      </c>
    </row>
    <row r="2" spans="1:10" ht="13.9">
      <c r="A2" s="222" t="s">
        <v>267</v>
      </c>
      <c r="B2" s="36"/>
      <c r="C2" s="36"/>
      <c r="D2" s="36"/>
      <c r="E2" s="36"/>
      <c r="F2" s="36"/>
      <c r="G2" s="22"/>
      <c r="H2" s="22"/>
      <c r="I2" s="22"/>
      <c r="J2" s="22"/>
    </row>
    <row r="4" spans="1:10">
      <c r="B4" s="45" t="s">
        <v>415</v>
      </c>
      <c r="C4" s="46"/>
      <c r="D4" s="5"/>
      <c r="E4" s="2"/>
      <c r="F4" s="2"/>
    </row>
    <row r="5" spans="1:10" ht="12.4">
      <c r="B5" s="4" t="s">
        <v>315</v>
      </c>
      <c r="C5" s="294" t="s">
        <v>457</v>
      </c>
    </row>
    <row r="6" spans="1:10">
      <c r="B6" s="4" t="s">
        <v>0</v>
      </c>
      <c r="C6" s="51">
        <v>1007282534</v>
      </c>
      <c r="E6" s="48"/>
    </row>
    <row r="7" spans="1:10">
      <c r="B7" s="2" t="s">
        <v>307</v>
      </c>
      <c r="C7" s="250">
        <v>6</v>
      </c>
      <c r="D7" s="48"/>
      <c r="E7" s="48"/>
    </row>
    <row r="8" spans="1:10">
      <c r="B8" s="1" t="s">
        <v>268</v>
      </c>
      <c r="C8" s="33">
        <f>EOMONTH(EDATE(BS!C1,C7+2),0)</f>
        <v>45900</v>
      </c>
      <c r="E8" s="48"/>
    </row>
    <row r="9" spans="1:10">
      <c r="E9" s="34"/>
    </row>
    <row r="10" spans="1:10">
      <c r="B10" s="45" t="s">
        <v>418</v>
      </c>
      <c r="C10" s="46"/>
      <c r="E10" s="34"/>
    </row>
    <row r="11" spans="1:10">
      <c r="B11" s="1" t="s">
        <v>417</v>
      </c>
      <c r="C11" s="49" t="s">
        <v>458</v>
      </c>
      <c r="D11" s="49" t="s">
        <v>459</v>
      </c>
      <c r="E11" s="34"/>
    </row>
    <row r="12" spans="1:10">
      <c r="B12" s="4" t="s">
        <v>94</v>
      </c>
      <c r="C12" s="50">
        <v>22.05</v>
      </c>
      <c r="D12" s="50"/>
      <c r="E12" s="48"/>
    </row>
    <row r="13" spans="1:10">
      <c r="B13" s="1" t="s">
        <v>416</v>
      </c>
      <c r="C13" s="48" t="s">
        <v>414</v>
      </c>
      <c r="D13" s="48"/>
      <c r="E13" s="5"/>
    </row>
    <row r="14" spans="1:10">
      <c r="B14" s="4" t="s">
        <v>420</v>
      </c>
      <c r="C14" s="35">
        <f>Thesis!C12*Common_Shares/1000000</f>
        <v>22210.579874700001</v>
      </c>
      <c r="D14" s="35" t="str">
        <f>IF(D11="","",Thesis!D12*Common_Shares/1000000)</f>
        <v/>
      </c>
      <c r="E14" s="5"/>
    </row>
    <row r="15" spans="1:10">
      <c r="B15" s="4" t="s">
        <v>419</v>
      </c>
      <c r="C15" s="32" t="str">
        <f>IF(C25=C13,C13,C25&amp;"/"&amp;C13)</f>
        <v>CNY</v>
      </c>
      <c r="D15" s="32" t="str">
        <f>IF(D11="","",IF(C25=D13,D13,C25&amp;"/"&amp;D13))</f>
        <v/>
      </c>
      <c r="E15" s="5"/>
    </row>
    <row r="16" spans="1:10">
      <c r="B16" s="4" t="s">
        <v>1</v>
      </c>
      <c r="C16" s="50">
        <v>1</v>
      </c>
      <c r="D16" s="50"/>
      <c r="E16" s="5"/>
    </row>
    <row r="17" spans="2:6">
      <c r="D17" s="5"/>
      <c r="E17" s="5"/>
    </row>
    <row r="18" spans="2:6" ht="24.5" customHeight="1">
      <c r="B18" s="358" t="s">
        <v>359</v>
      </c>
      <c r="C18" s="358"/>
      <c r="D18" s="358"/>
      <c r="E18" s="358"/>
      <c r="F18" s="358"/>
    </row>
    <row r="20" spans="2:6">
      <c r="B20" s="45" t="s">
        <v>306</v>
      </c>
      <c r="C20" s="46"/>
      <c r="D20" s="5"/>
    </row>
    <row r="21" spans="2:6">
      <c r="B21" s="2" t="s">
        <v>348</v>
      </c>
      <c r="C21" s="32" t="str">
        <f>IF(Scenarios!C69="Y",Scenarios!B69,"")&amp;IF(Scenarios!C70="Y",Scenarios!B70,"")&amp;IF(Scenarios!C71="Y",Scenarios!B71,"")&amp;" "&amp;IF(Scenarios!C72="Y",Scenarios!B72,"")</f>
        <v xml:space="preserve">Low Growth </v>
      </c>
      <c r="D21" s="1" t="s">
        <v>439</v>
      </c>
      <c r="E21" s="308" t="s">
        <v>462</v>
      </c>
    </row>
    <row r="22" spans="2:6">
      <c r="B22" s="2" t="s">
        <v>56</v>
      </c>
      <c r="C22" s="48" t="s">
        <v>460</v>
      </c>
      <c r="D22" s="1" t="str">
        <f>IF(valuation_method="DDM","DDM Terminal Value","")</f>
        <v/>
      </c>
      <c r="E22" s="313"/>
    </row>
    <row r="23" spans="2:6">
      <c r="B23" s="1" t="s">
        <v>434</v>
      </c>
      <c r="C23" s="262" t="s">
        <v>461</v>
      </c>
    </row>
    <row r="24" spans="2:6">
      <c r="B24" s="1" t="s">
        <v>435</v>
      </c>
      <c r="C24" s="262" t="s">
        <v>461</v>
      </c>
    </row>
    <row r="25" spans="2:6">
      <c r="B25" s="4" t="s">
        <v>347</v>
      </c>
      <c r="C25" s="48" t="s">
        <v>414</v>
      </c>
      <c r="D25" s="32" t="str">
        <f>IF(D11="","",Market_currency&amp;"/"&amp;D13&amp;":")</f>
        <v/>
      </c>
      <c r="E25" s="299" t="str">
        <f>IF(D11="","",1/Exchange_Rate*D16)</f>
        <v/>
      </c>
    </row>
    <row r="26" spans="2:6">
      <c r="B26" s="1" t="str">
        <f>"Expected Equity Value ("&amp;C13&amp;") :"</f>
        <v>Expected Equity Value (CNY) :</v>
      </c>
      <c r="C26" s="304">
        <f>C132</f>
        <v>22.601441956902718</v>
      </c>
      <c r="D26" s="1" t="s">
        <v>399</v>
      </c>
      <c r="E26" s="301">
        <f ca="1">Scenarios!C87</f>
        <v>5.775937618961291E-2</v>
      </c>
    </row>
    <row r="27" spans="2:6">
      <c r="D27" s="5"/>
      <c r="E27" s="5"/>
    </row>
    <row r="28" spans="2:6">
      <c r="B28" s="45" t="s">
        <v>433</v>
      </c>
      <c r="C28" s="309" t="str">
        <f>C145&amp;" ("&amp;Market_currency&amp;")"</f>
        <v>600007.SS (CNY)</v>
      </c>
      <c r="D28" s="309" t="str">
        <f>IF(D11="","",D145&amp;" ("&amp;D13&amp;")")</f>
        <v/>
      </c>
      <c r="E28" s="305" t="s">
        <v>429</v>
      </c>
      <c r="F28" s="303">
        <v>3</v>
      </c>
    </row>
    <row r="29" spans="2:6">
      <c r="B29" s="1" t="s">
        <v>425</v>
      </c>
      <c r="C29" s="310">
        <f>C149</f>
        <v>11.355103666814504</v>
      </c>
      <c r="D29" s="310" t="str">
        <f>D149</f>
        <v/>
      </c>
      <c r="E29" s="306" t="s">
        <v>424</v>
      </c>
      <c r="F29" s="302">
        <v>0.33699999999999997</v>
      </c>
    </row>
    <row r="30" spans="2:6">
      <c r="B30" s="1" t="s">
        <v>426</v>
      </c>
      <c r="C30" s="311">
        <f>C157</f>
        <v>15.879140273250821</v>
      </c>
      <c r="D30" s="311" t="str">
        <f>D157</f>
        <v/>
      </c>
      <c r="E30" s="307" t="s">
        <v>437</v>
      </c>
      <c r="F30" s="312">
        <v>0.187</v>
      </c>
    </row>
    <row r="31" spans="2:6">
      <c r="B31" s="1" t="s">
        <v>427</v>
      </c>
      <c r="C31" s="311">
        <f>C165</f>
        <v>21.916919635758642</v>
      </c>
      <c r="D31" s="311" t="str">
        <f>D165</f>
        <v/>
      </c>
      <c r="E31" s="307" t="s">
        <v>436</v>
      </c>
      <c r="F31" s="312">
        <v>0.06</v>
      </c>
    </row>
    <row r="32" spans="2:6">
      <c r="B32" s="1" t="s">
        <v>428</v>
      </c>
      <c r="C32" s="311">
        <f>C173</f>
        <v>20.396738931178472</v>
      </c>
      <c r="D32" s="311" t="str">
        <f>D173</f>
        <v/>
      </c>
      <c r="E32" s="307" t="s">
        <v>438</v>
      </c>
      <c r="F32" s="312">
        <v>8.6999999999999994E-2</v>
      </c>
    </row>
    <row r="33" spans="1:6">
      <c r="D33" s="5"/>
      <c r="E33" s="5"/>
    </row>
    <row r="34" spans="1:6" ht="13.9">
      <c r="A34" s="222" t="s">
        <v>354</v>
      </c>
      <c r="B34" s="36"/>
      <c r="C34" s="36"/>
      <c r="D34" s="36"/>
      <c r="E34" s="36"/>
      <c r="F34" s="36"/>
    </row>
    <row r="36" spans="1:6" ht="24.5" customHeight="1">
      <c r="B36" s="358" t="s">
        <v>360</v>
      </c>
      <c r="C36" s="358"/>
      <c r="D36" s="358"/>
      <c r="E36" s="358"/>
      <c r="F36" s="358"/>
    </row>
    <row r="37" spans="1:6" ht="24.5" customHeight="1">
      <c r="B37" s="361" t="s">
        <v>339</v>
      </c>
      <c r="C37" s="361"/>
      <c r="D37" s="361"/>
      <c r="E37" s="361"/>
      <c r="F37" s="361"/>
    </row>
    <row r="39" spans="1:6">
      <c r="B39" s="210" t="s">
        <v>230</v>
      </c>
      <c r="C39" s="108">
        <f>scaling_factor</f>
        <v>1</v>
      </c>
    </row>
    <row r="40" spans="1:6" ht="24.5" customHeight="1">
      <c r="B40" s="359" t="s">
        <v>231</v>
      </c>
      <c r="C40" s="359"/>
      <c r="D40" s="359"/>
      <c r="E40" s="359"/>
      <c r="F40" s="359"/>
    </row>
    <row r="41" spans="1:6">
      <c r="B41" s="47" t="s">
        <v>232</v>
      </c>
      <c r="C41" s="349">
        <f>Normalized_FCF!C8</f>
        <v>1545350950.0180476</v>
      </c>
      <c r="D41" s="1" t="str">
        <f>Reporting_currency</f>
        <v>CNY</v>
      </c>
    </row>
    <row r="42" spans="1:6">
      <c r="B42" s="47"/>
      <c r="C42" s="76"/>
    </row>
    <row r="43" spans="1:6" ht="24.5" customHeight="1">
      <c r="B43" s="359" t="s">
        <v>233</v>
      </c>
      <c r="C43" s="359"/>
      <c r="D43" s="359"/>
      <c r="E43" s="359"/>
      <c r="F43" s="359"/>
    </row>
    <row r="44" spans="1:6">
      <c r="B44" s="47" t="s">
        <v>234</v>
      </c>
      <c r="C44" s="349">
        <f>Normalized_FCF!C9</f>
        <v>462652711</v>
      </c>
      <c r="D44" s="1" t="str">
        <f>Reporting_currency</f>
        <v>CNY</v>
      </c>
    </row>
    <row r="45" spans="1:6">
      <c r="B45" s="52" t="s">
        <v>235</v>
      </c>
      <c r="C45" s="349">
        <f>Normalized_FCF!C10</f>
        <v>-490634169.24661446</v>
      </c>
      <c r="D45" s="1" t="str">
        <f>Reporting_currency</f>
        <v>CNY</v>
      </c>
    </row>
    <row r="47" spans="1:6">
      <c r="B47" s="359" t="s">
        <v>236</v>
      </c>
      <c r="C47" s="359"/>
      <c r="D47" s="359"/>
      <c r="E47" s="359"/>
      <c r="F47" s="359"/>
    </row>
    <row r="48" spans="1:6">
      <c r="B48" s="47" t="s">
        <v>237</v>
      </c>
      <c r="C48" s="349">
        <f>Normalized_FCF!C11</f>
        <v>0</v>
      </c>
      <c r="D48" s="1" t="str">
        <f>Reporting_currency</f>
        <v>CNY</v>
      </c>
    </row>
    <row r="50" spans="2:6">
      <c r="B50" s="359" t="s">
        <v>240</v>
      </c>
      <c r="C50" s="359"/>
      <c r="D50" s="359"/>
      <c r="E50" s="359"/>
      <c r="F50" s="359"/>
    </row>
    <row r="51" spans="2:6">
      <c r="B51" s="47" t="s">
        <v>340</v>
      </c>
      <c r="C51" s="350">
        <f>Normalized_FCF!C48</f>
        <v>0</v>
      </c>
      <c r="D51" s="1" t="str">
        <f>Reporting_currency</f>
        <v>CNY</v>
      </c>
      <c r="E51" s="286"/>
      <c r="F51" s="286"/>
    </row>
    <row r="52" spans="2:6">
      <c r="B52" s="47" t="s">
        <v>341</v>
      </c>
      <c r="C52" s="350">
        <f>Normalized_FCF!C47</f>
        <v>-53103191</v>
      </c>
      <c r="D52" s="1" t="str">
        <f>Reporting_currency</f>
        <v>CNY</v>
      </c>
      <c r="E52" s="286"/>
      <c r="F52" s="286"/>
    </row>
    <row r="53" spans="2:6">
      <c r="B53" s="47" t="s">
        <v>238</v>
      </c>
      <c r="C53" s="349">
        <f>Normalized_FCF!C12</f>
        <v>-53103191</v>
      </c>
      <c r="D53" s="1" t="str">
        <f>Reporting_currency</f>
        <v>CNY</v>
      </c>
    </row>
    <row r="55" spans="2:6">
      <c r="B55" s="1" t="s">
        <v>246</v>
      </c>
    </row>
    <row r="56" spans="2:6">
      <c r="B56" s="47" t="s">
        <v>265</v>
      </c>
      <c r="C56" s="349">
        <f>Normalized_FCF!C15</f>
        <v>-1078102.8016474061</v>
      </c>
      <c r="D56" s="1" t="str">
        <f>Reporting_currency</f>
        <v>CNY</v>
      </c>
    </row>
    <row r="58" spans="2:6">
      <c r="B58" s="359" t="s">
        <v>241</v>
      </c>
      <c r="C58" s="359"/>
      <c r="D58" s="359"/>
      <c r="E58" s="359"/>
      <c r="F58" s="359"/>
    </row>
    <row r="59" spans="2:6">
      <c r="B59" s="47" t="s">
        <v>239</v>
      </c>
      <c r="C59" s="349">
        <f>Normalized_FCF!C14</f>
        <v>-373061939.75451189</v>
      </c>
      <c r="D59" s="1" t="str">
        <f>Reporting_currency</f>
        <v>CNY</v>
      </c>
    </row>
    <row r="61" spans="2:6">
      <c r="B61" s="359" t="s">
        <v>338</v>
      </c>
      <c r="C61" s="360"/>
      <c r="D61" s="360"/>
      <c r="E61" s="360"/>
      <c r="F61" s="360"/>
    </row>
    <row r="62" spans="2:6">
      <c r="B62" s="47" t="s">
        <v>242</v>
      </c>
      <c r="C62" s="349">
        <f>Normalized_FCF!C17</f>
        <v>0</v>
      </c>
      <c r="D62" s="1" t="str">
        <f>Reporting_currency</f>
        <v>CNY</v>
      </c>
    </row>
    <row r="64" spans="2:6" ht="24.5" customHeight="1">
      <c r="B64" s="358" t="s">
        <v>343</v>
      </c>
      <c r="C64" s="358"/>
      <c r="D64" s="358"/>
      <c r="E64" s="358"/>
      <c r="F64" s="358"/>
    </row>
    <row r="65" spans="1:6" ht="24.5" customHeight="1">
      <c r="B65" s="358" t="s">
        <v>361</v>
      </c>
      <c r="C65" s="358"/>
      <c r="D65" s="358"/>
      <c r="E65" s="358"/>
      <c r="F65" s="358"/>
    </row>
    <row r="67" spans="1:6">
      <c r="B67" s="47" t="s">
        <v>270</v>
      </c>
      <c r="C67" s="349">
        <f>Normalized_FCF!G19</f>
        <v>1197782656</v>
      </c>
      <c r="D67" s="1" t="str">
        <f>Reporting_currency</f>
        <v>CNY</v>
      </c>
    </row>
    <row r="68" spans="1:6">
      <c r="B68" s="47" t="s">
        <v>248</v>
      </c>
      <c r="C68" s="349">
        <f>Normalized_FCF!C19</f>
        <v>1090126258.2152739</v>
      </c>
      <c r="D68" s="1" t="str">
        <f>Reporting_currency</f>
        <v>CNY</v>
      </c>
    </row>
    <row r="69" spans="1:6">
      <c r="B69" s="227" t="s">
        <v>390</v>
      </c>
      <c r="C69" s="92">
        <f>Normalized_FCF!C125</f>
        <v>4.9081395639608359E-2</v>
      </c>
      <c r="F69" s="314"/>
    </row>
    <row r="70" spans="1:6">
      <c r="B70" s="227" t="s">
        <v>308</v>
      </c>
      <c r="C70" s="92">
        <f>Normalized_FCF!C93</f>
        <v>4.9886621315192746E-2</v>
      </c>
      <c r="E70" s="47" t="s">
        <v>448</v>
      </c>
      <c r="F70" s="315">
        <f>Normalized_FCF!C92</f>
        <v>1.0164059245889612</v>
      </c>
    </row>
    <row r="72" spans="1:6">
      <c r="B72" s="210" t="s">
        <v>450</v>
      </c>
      <c r="C72" s="323" t="s">
        <v>452</v>
      </c>
      <c r="D72" s="323" t="s">
        <v>453</v>
      </c>
    </row>
    <row r="73" spans="1:6">
      <c r="B73" s="47" t="s">
        <v>451</v>
      </c>
      <c r="C73" s="92">
        <f>Normalized_FCF!C120</f>
        <v>0.15161114820375229</v>
      </c>
      <c r="D73" s="92">
        <f>Normalized_FCF!G120</f>
        <v>0.16779050789746269</v>
      </c>
    </row>
    <row r="74" spans="1:6">
      <c r="B74" s="259" t="str">
        <f>Normalized_FCF!B117</f>
        <v>Pre-tax Profit/Sales</v>
      </c>
      <c r="C74" s="322">
        <f>Normalized_FCF!C117</f>
        <v>0.3932476207375345</v>
      </c>
      <c r="D74" s="322">
        <f>Normalized_FCF!G117</f>
        <v>0.41423799416800827</v>
      </c>
    </row>
    <row r="75" spans="1:6">
      <c r="B75" s="259" t="str">
        <f>Normalized_FCF!B118</f>
        <v>Sales/Total Assets</v>
      </c>
      <c r="C75" s="324">
        <f>Normalized_FCF!C118</f>
        <v>0.30212796693987309</v>
      </c>
      <c r="D75" s="324">
        <f>Normalized_FCF!G118</f>
        <v>0.31742662653511533</v>
      </c>
    </row>
    <row r="76" spans="1:6">
      <c r="B76" s="259" t="str">
        <f>Normalized_FCF!B119</f>
        <v>Total Assets/Equity</v>
      </c>
      <c r="C76" s="324">
        <f>Normalized_FCF!C119</f>
        <v>1.2760688428830085</v>
      </c>
      <c r="D76" s="324">
        <f>Normalized_FCF!G119</f>
        <v>1.2760688428830085</v>
      </c>
    </row>
    <row r="78" spans="1:6" ht="13.9">
      <c r="A78" s="222" t="s">
        <v>355</v>
      </c>
      <c r="B78" s="36"/>
      <c r="C78" s="36"/>
      <c r="D78" s="36"/>
      <c r="E78" s="36"/>
      <c r="F78" s="36"/>
    </row>
    <row r="79" spans="1:6">
      <c r="A79" s="209"/>
    </row>
    <row r="80" spans="1:6" ht="24.5" customHeight="1">
      <c r="A80" s="17"/>
      <c r="B80" s="358" t="s">
        <v>362</v>
      </c>
      <c r="C80" s="358"/>
      <c r="D80" s="358"/>
      <c r="E80" s="358"/>
      <c r="F80" s="358"/>
    </row>
    <row r="81" spans="1:6">
      <c r="B81" s="361" t="s">
        <v>252</v>
      </c>
      <c r="C81" s="361"/>
      <c r="D81" s="361"/>
      <c r="E81" s="361"/>
      <c r="F81" s="361"/>
    </row>
    <row r="83" spans="1:6">
      <c r="B83" s="210" t="s">
        <v>230</v>
      </c>
    </row>
    <row r="84" spans="1:6">
      <c r="B84" s="1" t="s">
        <v>431</v>
      </c>
      <c r="C84" s="92">
        <f>F31</f>
        <v>0.06</v>
      </c>
    </row>
    <row r="85" spans="1:6">
      <c r="B85" s="1" t="s">
        <v>430</v>
      </c>
      <c r="C85" s="92">
        <f>IF(C23="Y",1%,0)+IF(C24="Y",1%,0)</f>
        <v>0</v>
      </c>
    </row>
    <row r="86" spans="1:6">
      <c r="B86" s="80" t="s">
        <v>247</v>
      </c>
      <c r="C86" s="236">
        <f>F31+C85</f>
        <v>0.06</v>
      </c>
    </row>
    <row r="87" spans="1:6">
      <c r="C87" s="121"/>
    </row>
    <row r="88" spans="1:6">
      <c r="B88" s="293" t="s">
        <v>356</v>
      </c>
      <c r="C88" s="121"/>
    </row>
    <row r="89" spans="1:6" ht="24.5" customHeight="1">
      <c r="B89" s="358" t="s">
        <v>363</v>
      </c>
      <c r="C89" s="358"/>
      <c r="D89" s="358"/>
      <c r="E89" s="358"/>
      <c r="F89" s="358"/>
    </row>
    <row r="90" spans="1:6" ht="24.5" customHeight="1">
      <c r="B90" s="358" t="s">
        <v>364</v>
      </c>
      <c r="C90" s="358"/>
      <c r="D90" s="358"/>
      <c r="E90" s="358"/>
      <c r="F90" s="358"/>
    </row>
    <row r="92" spans="1:6">
      <c r="B92" s="47" t="s">
        <v>251</v>
      </c>
      <c r="C92" s="236">
        <v>0</v>
      </c>
    </row>
    <row r="93" spans="1:6">
      <c r="B93" s="47" t="s">
        <v>280</v>
      </c>
      <c r="C93" s="223">
        <f>DCF!C6*scaling_factor*Exchange_Rate/Common_Shares</f>
        <v>18.037412897556077</v>
      </c>
      <c r="D93" s="1" t="str">
        <f>Market_currency</f>
        <v>CNY</v>
      </c>
    </row>
    <row r="95" spans="1:6" ht="13.9">
      <c r="A95" s="222" t="s">
        <v>357</v>
      </c>
      <c r="B95" s="36"/>
      <c r="C95" s="36"/>
      <c r="D95" s="36"/>
      <c r="E95" s="36"/>
      <c r="F95" s="36"/>
    </row>
    <row r="96" spans="1:6">
      <c r="A96" s="209"/>
    </row>
    <row r="97" spans="2:6">
      <c r="B97" s="358" t="s">
        <v>365</v>
      </c>
      <c r="C97" s="358"/>
      <c r="D97" s="358"/>
      <c r="E97" s="358"/>
      <c r="F97" s="358"/>
    </row>
    <row r="98" spans="2:6">
      <c r="B98" s="1" t="s">
        <v>253</v>
      </c>
    </row>
    <row r="100" spans="2:6">
      <c r="B100" s="210" t="s">
        <v>230</v>
      </c>
    </row>
    <row r="101" spans="2:6" ht="24.5" customHeight="1">
      <c r="B101" s="358" t="s">
        <v>344</v>
      </c>
      <c r="C101" s="358"/>
      <c r="D101" s="358"/>
      <c r="E101" s="358"/>
      <c r="F101" s="358"/>
    </row>
    <row r="102" spans="2:6">
      <c r="B102" s="47" t="s">
        <v>255</v>
      </c>
      <c r="C102" s="349">
        <f>DCF!C7</f>
        <v>1232137409</v>
      </c>
      <c r="D102" s="1" t="str">
        <f>Reporting_currency</f>
        <v>CNY</v>
      </c>
    </row>
    <row r="103" spans="2:6">
      <c r="B103" s="47" t="s">
        <v>281</v>
      </c>
      <c r="C103" s="223">
        <f>C102*scaling_factor*Exchange_Rate/Common_Shares</f>
        <v>1.2232292007557037</v>
      </c>
      <c r="D103" s="1" t="str">
        <f>Market_currency</f>
        <v>CNY</v>
      </c>
    </row>
    <row r="104" spans="2:6">
      <c r="B104" s="296" t="s">
        <v>404</v>
      </c>
      <c r="C104" s="325">
        <f>IF(BS!G31/BS!G27&gt;300%,"nm",BS!G31/BS!G27)</f>
        <v>0.12757636177577109</v>
      </c>
    </row>
    <row r="105" spans="2:6">
      <c r="B105" s="296" t="s">
        <v>406</v>
      </c>
      <c r="C105" s="326">
        <f>IF(BS!C50&gt;30,"nm",BS!C50)</f>
        <v>0.79731882844192148</v>
      </c>
    </row>
    <row r="107" spans="2:6">
      <c r="B107" s="1" t="s">
        <v>254</v>
      </c>
    </row>
    <row r="108" spans="2:6">
      <c r="B108" s="47" t="s">
        <v>264</v>
      </c>
      <c r="C108" s="349">
        <f>BS!C66</f>
        <v>3986106600</v>
      </c>
      <c r="D108" s="1" t="str">
        <f>Reporting_currency</f>
        <v>CNY</v>
      </c>
    </row>
    <row r="109" spans="2:6">
      <c r="B109" s="47" t="s">
        <v>266</v>
      </c>
      <c r="C109" s="349">
        <f>DCF!C8</f>
        <v>3438409570.5196743</v>
      </c>
      <c r="D109" s="1" t="str">
        <f>Reporting_currency</f>
        <v>CNY</v>
      </c>
    </row>
    <row r="110" spans="2:6">
      <c r="B110" s="47" t="s">
        <v>282</v>
      </c>
      <c r="C110" s="223">
        <f>C109*scaling_factor*Exchange_Rate/Common_Shares</f>
        <v>3.4135502745843049</v>
      </c>
      <c r="D110" s="1" t="str">
        <f>Market_currency</f>
        <v>CNY</v>
      </c>
    </row>
    <row r="112" spans="2:6">
      <c r="B112" s="1" t="s">
        <v>256</v>
      </c>
    </row>
    <row r="113" spans="1:6">
      <c r="B113" s="47" t="s">
        <v>257</v>
      </c>
      <c r="C113" s="349">
        <f>DCF!C9</f>
        <v>601196472.20000005</v>
      </c>
      <c r="D113" s="1" t="str">
        <f>Reporting_currency</f>
        <v>CNY</v>
      </c>
    </row>
    <row r="114" spans="1:6">
      <c r="B114" s="47" t="s">
        <v>283</v>
      </c>
      <c r="C114" s="223">
        <f>C113*scaling_factor*Exchange_Rate/Common_Shares</f>
        <v>0.59684989256450272</v>
      </c>
      <c r="D114" s="1" t="str">
        <f>Market_currency</f>
        <v>CNY</v>
      </c>
    </row>
    <row r="116" spans="1:6" ht="24.5" customHeight="1">
      <c r="B116" s="358" t="s">
        <v>366</v>
      </c>
      <c r="C116" s="358"/>
      <c r="D116" s="358"/>
      <c r="E116" s="358"/>
      <c r="F116" s="358"/>
    </row>
    <row r="118" spans="1:6">
      <c r="B118" s="47" t="s">
        <v>449</v>
      </c>
      <c r="C118" s="223">
        <f>IF(valuation_method="DCF",DCF!C12,DDM!C7)</f>
        <v>20.824583863949179</v>
      </c>
      <c r="D118" s="1" t="str">
        <f>Market_currency</f>
        <v>CNY</v>
      </c>
    </row>
    <row r="119" spans="1:6">
      <c r="B119" s="296" t="s">
        <v>405</v>
      </c>
      <c r="C119" s="223">
        <f>BS!D47</f>
        <v>2.5713378719718771</v>
      </c>
      <c r="D119" s="1" t="str">
        <f>Market_currency</f>
        <v>CNY</v>
      </c>
    </row>
    <row r="121" spans="1:6" ht="13.9">
      <c r="A121" s="222" t="s">
        <v>358</v>
      </c>
      <c r="B121" s="36"/>
      <c r="C121" s="36"/>
      <c r="D121" s="36"/>
      <c r="E121" s="36"/>
      <c r="F121" s="36"/>
    </row>
    <row r="123" spans="1:6" ht="24.5" customHeight="1">
      <c r="B123" s="359" t="s">
        <v>367</v>
      </c>
      <c r="C123" s="359"/>
      <c r="D123" s="359"/>
      <c r="E123" s="359"/>
      <c r="F123" s="359"/>
    </row>
    <row r="125" spans="1:6" ht="12.4">
      <c r="B125" s="233" t="s">
        <v>117</v>
      </c>
      <c r="C125" s="233" t="s">
        <v>132</v>
      </c>
      <c r="D125" s="233" t="s">
        <v>112</v>
      </c>
      <c r="E125" s="233" t="s">
        <v>259</v>
      </c>
      <c r="F125" s="233" t="s">
        <v>147</v>
      </c>
    </row>
    <row r="126" spans="1:6">
      <c r="B126" s="228" t="str">
        <f>DCF!B74</f>
        <v>Snowball Scenario</v>
      </c>
      <c r="C126" s="229">
        <f>DCF!C74</f>
        <v>0.06</v>
      </c>
      <c r="D126" s="230">
        <f>DCF!D74</f>
        <v>15</v>
      </c>
      <c r="E126" s="231" t="str">
        <f>ROUND(IF(valuation_method="DCF",DCF!E74,DDM!E69),2)&amp;" "&amp;Market_currency</f>
        <v>27 CNY</v>
      </c>
      <c r="F126" s="232">
        <f>DCF!F74</f>
        <v>0.05</v>
      </c>
    </row>
    <row r="127" spans="1:6">
      <c r="B127" s="218" t="str">
        <f>DCF!B75</f>
        <v>Optimistic</v>
      </c>
      <c r="C127" s="219">
        <f>DCF!C75</f>
        <v>0.05</v>
      </c>
      <c r="D127" s="220">
        <f>DCF!D75</f>
        <v>10</v>
      </c>
      <c r="E127" s="231" t="str">
        <f>ROUND(IF(valuation_method="DCF",DCF!E75,DDM!E70),2)&amp;" "&amp;Market_currency</f>
        <v>23.64 CNY</v>
      </c>
      <c r="F127" s="221">
        <f>DCF!F75</f>
        <v>0.18</v>
      </c>
    </row>
    <row r="128" spans="1:6">
      <c r="B128" s="218" t="str">
        <f>DCF!B76</f>
        <v>Base</v>
      </c>
      <c r="C128" s="219">
        <f>DCF!C76</f>
        <v>0.03</v>
      </c>
      <c r="D128" s="220">
        <f>DCF!D76</f>
        <v>10</v>
      </c>
      <c r="E128" s="231" t="str">
        <f>ROUND(IF(valuation_method="DCF",DCF!E76,DDM!E71),2)&amp;" "&amp;Market_currency</f>
        <v>22.43 CNY</v>
      </c>
      <c r="F128" s="221">
        <f>DCF!F76</f>
        <v>0.53999999999999992</v>
      </c>
    </row>
    <row r="129" spans="1:6">
      <c r="B129" s="218" t="str">
        <f>DCF!B77</f>
        <v>Pessimistic</v>
      </c>
      <c r="C129" s="219">
        <f>DCF!C77</f>
        <v>0.01</v>
      </c>
      <c r="D129" s="220">
        <f>DCF!D77</f>
        <v>10</v>
      </c>
      <c r="E129" s="231" t="str">
        <f>ROUND(IF(valuation_method="DCF",DCF!E77,DDM!E72),2)&amp;" "&amp;Market_currency</f>
        <v>21.34 CNY</v>
      </c>
      <c r="F129" s="221">
        <f>DCF!F77</f>
        <v>0.18</v>
      </c>
    </row>
    <row r="130" spans="1:6">
      <c r="B130" s="218" t="str">
        <f>DCF!B78</f>
        <v>Devil's advocate</v>
      </c>
      <c r="C130" s="219">
        <f>DCF!C78</f>
        <v>0</v>
      </c>
      <c r="D130" s="220">
        <f>DCF!D78</f>
        <v>15</v>
      </c>
      <c r="E130" s="231" t="str">
        <f>ROUND(IF(valuation_method="DCF",DCF!E78,DDM!E73),2)&amp;" "&amp;Market_currency</f>
        <v>20.82 CNY</v>
      </c>
      <c r="F130" s="221">
        <f>DCF!F78</f>
        <v>0.05</v>
      </c>
    </row>
    <row r="132" spans="1:6">
      <c r="B132" s="211" t="s">
        <v>258</v>
      </c>
      <c r="C132" s="217">
        <f>Scenarios!C60</f>
        <v>22.601441956902718</v>
      </c>
      <c r="D132" s="212" t="str">
        <f>Market_currency</f>
        <v>CNY</v>
      </c>
    </row>
    <row r="134" spans="1:6" ht="24.5" customHeight="1">
      <c r="B134" s="362" t="s">
        <v>370</v>
      </c>
      <c r="C134" s="362"/>
      <c r="D134" s="362"/>
      <c r="E134" s="362"/>
      <c r="F134" s="362"/>
    </row>
    <row r="136" spans="1:6" ht="13.9">
      <c r="A136" s="222" t="s">
        <v>402</v>
      </c>
      <c r="B136" s="36"/>
      <c r="C136" s="36"/>
      <c r="D136" s="36"/>
      <c r="E136" s="36"/>
      <c r="F136" s="36"/>
    </row>
    <row r="138" spans="1:6">
      <c r="B138" s="363" t="s">
        <v>368</v>
      </c>
      <c r="C138" s="363"/>
      <c r="D138" s="363"/>
      <c r="E138" s="363"/>
      <c r="F138" s="363"/>
    </row>
    <row r="139" spans="1:6" ht="24.5" customHeight="1">
      <c r="B139" s="358" t="s">
        <v>369</v>
      </c>
      <c r="C139" s="358"/>
      <c r="D139" s="358"/>
      <c r="E139" s="358"/>
      <c r="F139" s="358"/>
    </row>
    <row r="140" spans="1:6">
      <c r="B140" s="210" t="s">
        <v>230</v>
      </c>
    </row>
    <row r="141" spans="1:6">
      <c r="B141" s="1" t="s">
        <v>263</v>
      </c>
      <c r="C141" s="225">
        <f>F28</f>
        <v>3</v>
      </c>
    </row>
    <row r="142" spans="1:6">
      <c r="B142" s="1" t="s">
        <v>276</v>
      </c>
      <c r="C142" s="224">
        <f>F29</f>
        <v>0.33699999999999997</v>
      </c>
    </row>
    <row r="143" spans="1:6">
      <c r="B143" s="212" t="s">
        <v>261</v>
      </c>
      <c r="C143" s="213">
        <f>Scenarios!C77</f>
        <v>1.1000000000000001</v>
      </c>
      <c r="D143" s="212" t="str">
        <f>Market_currency</f>
        <v>CNY</v>
      </c>
    </row>
    <row r="145" spans="2:4">
      <c r="B145" s="210" t="s">
        <v>408</v>
      </c>
      <c r="C145" s="241" t="str">
        <f>C11</f>
        <v>600007.SS</v>
      </c>
      <c r="D145" s="241" t="str">
        <f>IF(D11="","",D11)</f>
        <v/>
      </c>
    </row>
    <row r="146" spans="2:4">
      <c r="B146" s="1" t="s">
        <v>407</v>
      </c>
      <c r="C146" s="297">
        <f>F29</f>
        <v>0.33699999999999997</v>
      </c>
    </row>
    <row r="147" spans="2:4">
      <c r="B147" s="212" t="str">
        <f>"PV("&amp;C141&amp;" yrs of Dividends)"</f>
        <v>PV(3 yrs of Dividends)</v>
      </c>
      <c r="C147" s="216">
        <f>Scenarios!C81</f>
        <v>1.8983532786438633</v>
      </c>
    </row>
    <row r="148" spans="2:4">
      <c r="B148" s="212" t="str">
        <f>"+ PV(Equity Value realized at year "&amp;C141&amp;")"</f>
        <v>+ PV(Equity Value realized at year 3)</v>
      </c>
      <c r="C148" s="216">
        <f>Scenarios!C82</f>
        <v>9.4567503881706401</v>
      </c>
    </row>
    <row r="149" spans="2:4">
      <c r="B149" s="80" t="s">
        <v>260</v>
      </c>
      <c r="C149" s="215">
        <f>Scenarios!C83</f>
        <v>11.355103666814504</v>
      </c>
      <c r="D149" s="300" t="str">
        <f>IF($D$11="","",C149*$E$25)</f>
        <v/>
      </c>
    </row>
    <row r="150" spans="2:4">
      <c r="B150" s="259" t="s">
        <v>416</v>
      </c>
      <c r="C150" s="298" t="str">
        <f>Market_currency</f>
        <v>CNY</v>
      </c>
      <c r="D150" s="298" t="str">
        <f>IF($D$11="","",D$13)</f>
        <v/>
      </c>
    </row>
    <row r="151" spans="2:4">
      <c r="B151" s="214" t="s">
        <v>262</v>
      </c>
      <c r="C151" s="92">
        <f>Scenarios!F83</f>
        <v>0.4975938398768166</v>
      </c>
    </row>
    <row r="153" spans="2:4">
      <c r="B153" s="210" t="s">
        <v>411</v>
      </c>
    </row>
    <row r="154" spans="2:4">
      <c r="B154" s="1" t="s">
        <v>410</v>
      </c>
      <c r="C154" s="297">
        <f>Scenarios!C90</f>
        <v>0.187</v>
      </c>
    </row>
    <row r="155" spans="2:4">
      <c r="B155" s="212" t="str">
        <f>"PV("&amp;C141&amp;" yrs of Dividends)"</f>
        <v>PV(3 yrs of Dividends)</v>
      </c>
      <c r="C155" s="216">
        <f>Scenarios!C91</f>
        <v>2.365137899745049</v>
      </c>
    </row>
    <row r="156" spans="2:4">
      <c r="B156" s="212" t="str">
        <f>"+ PV(Equity Value realized at year "&amp;C141&amp;")"</f>
        <v>+ PV(Equity Value realized at year 3)</v>
      </c>
      <c r="C156" s="216">
        <f>Scenarios!C92</f>
        <v>13.514002373505772</v>
      </c>
    </row>
    <row r="157" spans="2:4">
      <c r="B157" s="80" t="s">
        <v>260</v>
      </c>
      <c r="C157" s="215">
        <f>Scenarios!C93</f>
        <v>15.879140273250821</v>
      </c>
      <c r="D157" s="300" t="str">
        <f>IF($D$11="","",C157*$E$25)</f>
        <v/>
      </c>
    </row>
    <row r="158" spans="2:4">
      <c r="B158" s="259" t="s">
        <v>416</v>
      </c>
      <c r="C158" s="298" t="str">
        <f>Market_currency</f>
        <v>CNY</v>
      </c>
      <c r="D158" s="298" t="str">
        <f>IF($D$11="","",D$13)</f>
        <v/>
      </c>
    </row>
    <row r="159" spans="2:4">
      <c r="B159" s="214" t="s">
        <v>262</v>
      </c>
      <c r="C159" s="92">
        <f>Scenarios!F93</f>
        <v>0.29742800023424332</v>
      </c>
    </row>
    <row r="161" spans="2:4">
      <c r="B161" s="210" t="s">
        <v>400</v>
      </c>
    </row>
    <row r="162" spans="2:4">
      <c r="B162" s="1" t="s">
        <v>409</v>
      </c>
      <c r="C162" s="92">
        <f>Scenarios!C96</f>
        <v>0.06</v>
      </c>
    </row>
    <row r="163" spans="2:4">
      <c r="B163" s="212" t="str">
        <f>"PV("&amp;C141&amp;" yrs of Dividends)"</f>
        <v>PV(3 yrs of Dividends)</v>
      </c>
      <c r="C163" s="216">
        <f>Scenarios!C97</f>
        <v>2.9403131444078037</v>
      </c>
    </row>
    <row r="164" spans="2:4">
      <c r="B164" s="212" t="str">
        <f>"+ PV(Equity Value realized at year "&amp;C141&amp;")"</f>
        <v>+ PV(Equity Value realized at year 3)</v>
      </c>
      <c r="C164" s="216">
        <f>Scenarios!C98</f>
        <v>18.976606491350839</v>
      </c>
    </row>
    <row r="165" spans="2:4">
      <c r="B165" s="80" t="s">
        <v>401</v>
      </c>
      <c r="C165" s="215">
        <f>Scenarios!C99</f>
        <v>21.916919635758642</v>
      </c>
      <c r="D165" s="300" t="str">
        <f>IF($D$11="","",C165*$E$25)</f>
        <v/>
      </c>
    </row>
    <row r="166" spans="2:4">
      <c r="B166" s="259" t="s">
        <v>416</v>
      </c>
      <c r="C166" s="298" t="str">
        <f>Market_currency</f>
        <v>CNY</v>
      </c>
      <c r="D166" s="298" t="str">
        <f>IF($D$11="","",D$13)</f>
        <v/>
      </c>
    </row>
    <row r="167" spans="2:4">
      <c r="B167" s="214" t="s">
        <v>262</v>
      </c>
      <c r="C167" s="92">
        <f>Scenarios!F99</f>
        <v>3.0286665888368924E-2</v>
      </c>
    </row>
    <row r="169" spans="2:4">
      <c r="B169" s="210" t="s">
        <v>432</v>
      </c>
    </row>
    <row r="170" spans="2:4">
      <c r="B170" s="1" t="s">
        <v>423</v>
      </c>
      <c r="C170" s="92">
        <f>F32</f>
        <v>8.6999999999999994E-2</v>
      </c>
    </row>
    <row r="171" spans="2:4">
      <c r="B171" s="212" t="str">
        <f>"PV("&amp;C141&amp;" yrs of Dividends)"</f>
        <v>PV(3 yrs of Dividends)</v>
      </c>
      <c r="C171" s="216">
        <f>Scenarios!C103</f>
        <v>2.7993790642942851</v>
      </c>
    </row>
    <row r="172" spans="2:4">
      <c r="B172" s="212" t="str">
        <f>"+ PV(Equity Value realized at year "&amp;C141&amp;")"</f>
        <v>+ PV(Equity Value realized at year 3)</v>
      </c>
      <c r="C172" s="216">
        <f>Scenarios!C104</f>
        <v>17.597359866884187</v>
      </c>
    </row>
    <row r="173" spans="2:4">
      <c r="B173" s="80" t="s">
        <v>401</v>
      </c>
      <c r="C173" s="215">
        <f>Scenarios!C105</f>
        <v>20.396738931178472</v>
      </c>
      <c r="D173" s="300" t="str">
        <f>IF($D$11="","",C173*$E$25)</f>
        <v/>
      </c>
    </row>
    <row r="174" spans="2:4">
      <c r="B174" s="259" t="s">
        <v>416</v>
      </c>
      <c r="C174" s="298" t="str">
        <f>Market_currency</f>
        <v>CNY</v>
      </c>
      <c r="D174" s="298" t="str">
        <f>IF($D$11="","",D$13)</f>
        <v/>
      </c>
    </row>
    <row r="175" spans="2:4">
      <c r="B175" s="214" t="s">
        <v>262</v>
      </c>
      <c r="C175" s="92">
        <f>Scenarios!F105</f>
        <v>0.11969174215505141</v>
      </c>
    </row>
    <row r="177" spans="1:6" ht="13.9">
      <c r="A177" s="222" t="s">
        <v>374</v>
      </c>
      <c r="B177" s="36"/>
      <c r="C177" s="36"/>
      <c r="D177" s="36"/>
      <c r="E177" s="36"/>
      <c r="F177" s="36"/>
    </row>
    <row r="179" spans="1:6">
      <c r="B179" s="357" t="s">
        <v>376</v>
      </c>
      <c r="C179" s="358"/>
      <c r="D179" s="358"/>
      <c r="E179" s="358"/>
      <c r="F179" s="358"/>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9" t="s">
        <v>381</v>
      </c>
      <c r="C188" s="359"/>
      <c r="D188" s="359"/>
      <c r="E188" s="359"/>
      <c r="F188" s="359"/>
    </row>
    <row r="190" spans="1:6">
      <c r="B190" s="1" t="s">
        <v>385</v>
      </c>
    </row>
    <row r="191" spans="1:6" ht="24.5" customHeight="1">
      <c r="B191" s="356" t="s">
        <v>382</v>
      </c>
      <c r="C191" s="356"/>
      <c r="D191" s="356"/>
      <c r="E191" s="356"/>
      <c r="F191" s="356"/>
    </row>
    <row r="192" spans="1:6" ht="24.5" customHeight="1">
      <c r="B192" s="356" t="s">
        <v>383</v>
      </c>
      <c r="C192" s="356"/>
      <c r="D192" s="356"/>
      <c r="E192" s="356"/>
      <c r="F192" s="356"/>
    </row>
    <row r="194" spans="2:2">
      <c r="B194" s="1" t="s">
        <v>389</v>
      </c>
    </row>
    <row r="195" spans="2:2">
      <c r="B195" s="214" t="s">
        <v>386</v>
      </c>
    </row>
    <row r="196" spans="2:2">
      <c r="B196" s="214" t="s">
        <v>387</v>
      </c>
    </row>
    <row r="197" spans="2:2">
      <c r="B197" s="214" t="s">
        <v>388</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3912067946</v>
      </c>
      <c r="D4" s="351">
        <v>3953761873</v>
      </c>
      <c r="E4" s="351">
        <v>3442276658</v>
      </c>
      <c r="F4" s="351">
        <v>3585982881</v>
      </c>
      <c r="G4" s="351">
        <v>3097760404</v>
      </c>
      <c r="H4" s="351">
        <v>3530148817</v>
      </c>
      <c r="I4" s="351">
        <v>3170768175</v>
      </c>
      <c r="J4" s="351">
        <v>2766461106</v>
      </c>
      <c r="K4" s="351">
        <v>2349397869</v>
      </c>
      <c r="L4" s="351">
        <v>2271278419</v>
      </c>
      <c r="M4" s="351"/>
    </row>
    <row r="5" spans="2:13">
      <c r="B5" s="40" t="s">
        <v>43</v>
      </c>
      <c r="C5" s="351">
        <v>2022497629</v>
      </c>
      <c r="D5" s="351">
        <v>2044370995</v>
      </c>
      <c r="E5" s="351">
        <v>1859278213</v>
      </c>
      <c r="F5" s="351">
        <v>1944558974</v>
      </c>
      <c r="G5" s="351">
        <v>1759673042</v>
      </c>
      <c r="H5" s="351">
        <v>1964870699</v>
      </c>
      <c r="I5" s="351">
        <v>1823717021</v>
      </c>
      <c r="J5" s="351">
        <v>1601141545</v>
      </c>
      <c r="K5" s="351">
        <v>1217181691</v>
      </c>
      <c r="L5" s="351">
        <v>1231847822</v>
      </c>
      <c r="M5" s="351"/>
    </row>
    <row r="6" spans="2:13">
      <c r="B6" s="40" t="s">
        <v>54</v>
      </c>
      <c r="C6" s="351">
        <v>215939947</v>
      </c>
      <c r="D6" s="351">
        <v>207397035</v>
      </c>
      <c r="E6" s="351">
        <v>195156946</v>
      </c>
      <c r="F6" s="351">
        <v>213185806</v>
      </c>
      <c r="G6" s="351">
        <v>192953310</v>
      </c>
      <c r="H6" s="351">
        <v>185898567</v>
      </c>
      <c r="I6" s="351">
        <v>172963266</v>
      </c>
      <c r="J6" s="351">
        <v>205630910</v>
      </c>
      <c r="K6" s="351">
        <v>136851488</v>
      </c>
      <c r="L6" s="351">
        <v>120069547</v>
      </c>
      <c r="M6" s="351"/>
    </row>
    <row r="7" spans="2:13">
      <c r="B7" s="69" t="s">
        <v>61</v>
      </c>
      <c r="C7" s="352">
        <v>89269733</v>
      </c>
      <c r="D7" s="352">
        <v>87498038</v>
      </c>
      <c r="E7" s="352">
        <v>73672626</v>
      </c>
      <c r="F7" s="352">
        <v>96781098</v>
      </c>
      <c r="G7" s="352">
        <v>101231609</v>
      </c>
      <c r="H7" s="352">
        <v>100438990</v>
      </c>
      <c r="I7" s="352">
        <v>86961905</v>
      </c>
      <c r="J7" s="352">
        <v>94773690</v>
      </c>
      <c r="K7" s="352">
        <v>54486141</v>
      </c>
      <c r="L7" s="352">
        <v>46321930</v>
      </c>
      <c r="M7" s="352"/>
    </row>
    <row r="8" spans="2:13">
      <c r="B8" s="40" t="s">
        <v>49</v>
      </c>
      <c r="C8" s="351"/>
      <c r="D8" s="351"/>
      <c r="E8" s="351"/>
      <c r="F8" s="351"/>
      <c r="G8" s="351"/>
      <c r="H8" s="351"/>
      <c r="I8" s="351"/>
      <c r="J8" s="351"/>
      <c r="K8" s="351"/>
      <c r="L8" s="351"/>
      <c r="M8" s="351"/>
    </row>
    <row r="9" spans="2:13">
      <c r="B9" s="40" t="s">
        <v>159</v>
      </c>
      <c r="C9" s="351"/>
      <c r="D9" s="351"/>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53103191</v>
      </c>
      <c r="D12" s="351">
        <v>71173386</v>
      </c>
      <c r="E12" s="351">
        <v>95605656</v>
      </c>
      <c r="F12" s="351">
        <v>115890645</v>
      </c>
      <c r="G12" s="351">
        <v>105753716</v>
      </c>
      <c r="H12" s="351">
        <v>112756416</v>
      </c>
      <c r="I12" s="351">
        <v>145025415</v>
      </c>
      <c r="J12" s="351"/>
      <c r="K12" s="351"/>
      <c r="L12" s="351"/>
      <c r="M12" s="351"/>
    </row>
    <row r="13" spans="2:13">
      <c r="B13" s="40" t="s">
        <v>67</v>
      </c>
      <c r="C13" s="351">
        <v>44666271</v>
      </c>
      <c r="D13" s="351">
        <v>31733562</v>
      </c>
      <c r="E13" s="351">
        <v>52174747</v>
      </c>
      <c r="F13" s="351">
        <v>33876650</v>
      </c>
      <c r="G13" s="351">
        <v>19155473</v>
      </c>
      <c r="H13" s="351">
        <v>4307482</v>
      </c>
      <c r="I13" s="351">
        <v>4873611</v>
      </c>
      <c r="J13" s="351"/>
      <c r="K13" s="351"/>
      <c r="L13" s="351"/>
      <c r="M13" s="351"/>
    </row>
    <row r="14" spans="2:13">
      <c r="B14" s="40" t="s">
        <v>50</v>
      </c>
      <c r="C14" s="351">
        <v>421611829</v>
      </c>
      <c r="D14" s="351">
        <v>420155428</v>
      </c>
      <c r="E14" s="351">
        <v>376893525</v>
      </c>
      <c r="F14" s="351">
        <v>341900302</v>
      </c>
      <c r="G14" s="351">
        <v>278949056</v>
      </c>
      <c r="H14" s="351">
        <v>328294411</v>
      </c>
      <c r="I14" s="351">
        <v>260328417</v>
      </c>
      <c r="J14" s="351">
        <v>213401798</v>
      </c>
      <c r="K14" s="351">
        <v>231671396</v>
      </c>
      <c r="L14" s="351">
        <v>210665216</v>
      </c>
      <c r="M14" s="351"/>
    </row>
    <row r="15" spans="2:13">
      <c r="B15" s="43" t="s">
        <v>42</v>
      </c>
      <c r="C15" s="353">
        <v>1263521768</v>
      </c>
      <c r="D15" s="353">
        <v>1260103397</v>
      </c>
      <c r="E15" s="353">
        <v>1116852803</v>
      </c>
      <c r="F15" s="353">
        <v>1024605179</v>
      </c>
      <c r="G15" s="353">
        <v>826130846</v>
      </c>
      <c r="H15" s="353">
        <v>973082586</v>
      </c>
      <c r="I15" s="353">
        <v>775474748</v>
      </c>
      <c r="J15" s="353">
        <v>635601938</v>
      </c>
      <c r="K15" s="353">
        <v>686914877</v>
      </c>
      <c r="L15" s="353">
        <v>628263122</v>
      </c>
      <c r="M15" s="353"/>
    </row>
    <row r="16" spans="2:13">
      <c r="B16" s="28" t="s">
        <v>44</v>
      </c>
      <c r="C16" s="351">
        <v>1132694</v>
      </c>
      <c r="D16" s="351">
        <v>902070</v>
      </c>
      <c r="E16" s="351">
        <v>981992</v>
      </c>
      <c r="F16" s="351">
        <v>811462</v>
      </c>
      <c r="G16" s="351">
        <v>704543</v>
      </c>
      <c r="H16" s="351">
        <v>655511</v>
      </c>
      <c r="I16" s="351">
        <v>823429</v>
      </c>
      <c r="J16" s="351">
        <v>795223</v>
      </c>
      <c r="K16" s="351">
        <v>574487</v>
      </c>
      <c r="L16" s="351">
        <v>664400</v>
      </c>
      <c r="M16" s="351"/>
    </row>
    <row r="18" spans="2:13">
      <c r="B18" s="16" t="s">
        <v>51</v>
      </c>
      <c r="C18" s="9"/>
    </row>
    <row r="19" spans="2:13">
      <c r="B19" s="27" t="s">
        <v>47</v>
      </c>
      <c r="C19" s="351">
        <v>462652711</v>
      </c>
      <c r="D19" s="351">
        <v>475220049</v>
      </c>
      <c r="E19" s="351">
        <v>495414928</v>
      </c>
      <c r="F19" s="351">
        <v>518843271</v>
      </c>
      <c r="G19" s="351">
        <v>514548362</v>
      </c>
      <c r="H19" s="351">
        <v>506465473</v>
      </c>
      <c r="I19" s="351">
        <v>461283106</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371</v>
      </c>
      <c r="C22" s="351">
        <v>1796295378</v>
      </c>
      <c r="D22" s="351">
        <v>1918660921</v>
      </c>
      <c r="E22" s="351">
        <v>1824331237</v>
      </c>
      <c r="F22" s="351">
        <v>1780173946</v>
      </c>
      <c r="G22" s="351">
        <v>1406522534</v>
      </c>
      <c r="H22" s="351">
        <v>1537171961</v>
      </c>
      <c r="I22" s="351">
        <v>1444509542</v>
      </c>
      <c r="J22" s="351">
        <v>1205496354</v>
      </c>
      <c r="K22" s="351">
        <v>1115094373</v>
      </c>
      <c r="L22" s="351">
        <v>1144557072</v>
      </c>
      <c r="M22" s="351"/>
    </row>
    <row r="23" spans="2:13">
      <c r="B23" s="27" t="s">
        <v>373</v>
      </c>
      <c r="C23" s="351">
        <v>-63639368</v>
      </c>
      <c r="D23" s="351">
        <v>-64835794</v>
      </c>
      <c r="E23" s="351">
        <v>-70210601</v>
      </c>
      <c r="F23" s="351">
        <v>-142527256</v>
      </c>
      <c r="G23" s="351">
        <v>-270895581</v>
      </c>
      <c r="H23" s="351">
        <v>-402194776</v>
      </c>
      <c r="I23" s="351">
        <v>-379835205</v>
      </c>
      <c r="J23" s="351">
        <v>-373540520</v>
      </c>
      <c r="K23" s="351">
        <v>-977214365</v>
      </c>
      <c r="L23" s="351">
        <v>-798541878</v>
      </c>
      <c r="M23" s="351"/>
    </row>
    <row r="24" spans="2:13">
      <c r="B24" s="27" t="s">
        <v>372</v>
      </c>
      <c r="C24" s="351">
        <v>-1858931831</v>
      </c>
      <c r="D24" s="351">
        <v>-1289833762</v>
      </c>
      <c r="E24" s="351">
        <v>-1265281759</v>
      </c>
      <c r="F24" s="351">
        <v>-531189995</v>
      </c>
      <c r="G24" s="351">
        <v>-505624628</v>
      </c>
      <c r="H24" s="351">
        <v>-473414072</v>
      </c>
      <c r="I24" s="351">
        <v>-1448089374</v>
      </c>
      <c r="J24" s="351">
        <v>-325459944</v>
      </c>
      <c r="K24" s="351">
        <v>-187105322</v>
      </c>
      <c r="L24" s="351">
        <v>-663410674</v>
      </c>
      <c r="M24" s="351"/>
    </row>
    <row r="25" spans="2:13">
      <c r="B25" s="24" t="str">
        <f>"Dividend per share ("&amp;Market_currency&amp;")"</f>
        <v>Dividend per share (CNY)</v>
      </c>
      <c r="C25" s="39">
        <f>11/10</f>
        <v>1.1000000000000001</v>
      </c>
      <c r="D25" s="39">
        <f>13/10</f>
        <v>1.3</v>
      </c>
      <c r="E25" s="39">
        <f>7/10</f>
        <v>0.7</v>
      </c>
      <c r="F25" s="39"/>
      <c r="G25" s="39"/>
      <c r="H25" s="39"/>
      <c r="I25" s="39"/>
      <c r="J25" s="39"/>
      <c r="K25" s="39"/>
      <c r="L25" s="39"/>
      <c r="M25" s="39"/>
    </row>
    <row r="27" spans="2:13">
      <c r="B27" s="16" t="s">
        <v>28</v>
      </c>
      <c r="C27" s="97" t="s">
        <v>463</v>
      </c>
    </row>
    <row r="28" spans="2:13">
      <c r="B28" s="26" t="s">
        <v>24</v>
      </c>
      <c r="C28" s="333">
        <f>BS!C4</f>
        <v>228574200</v>
      </c>
      <c r="D28" s="351">
        <v>258206405</v>
      </c>
      <c r="E28" s="351">
        <v>377357021</v>
      </c>
      <c r="F28" s="351">
        <v>368491616</v>
      </c>
      <c r="G28" s="351">
        <v>440548083</v>
      </c>
      <c r="H28" s="351">
        <v>421649740</v>
      </c>
      <c r="I28" s="351">
        <v>325786547</v>
      </c>
      <c r="J28" s="351">
        <v>299260334</v>
      </c>
      <c r="K28" s="351">
        <v>144293862</v>
      </c>
      <c r="L28" s="351">
        <v>141547001</v>
      </c>
      <c r="M28" s="351"/>
    </row>
    <row r="29" spans="2:13">
      <c r="B29" s="26" t="s">
        <v>32</v>
      </c>
      <c r="C29" s="333">
        <f>BS!C6</f>
        <v>30681363</v>
      </c>
      <c r="D29" s="351">
        <v>32289866</v>
      </c>
      <c r="E29" s="351">
        <v>32129347</v>
      </c>
      <c r="F29" s="351">
        <v>32745245</v>
      </c>
      <c r="G29" s="351">
        <v>33982961</v>
      </c>
      <c r="H29" s="351">
        <v>32833169</v>
      </c>
      <c r="I29" s="351">
        <v>29410625</v>
      </c>
      <c r="J29" s="351">
        <v>25220478</v>
      </c>
      <c r="K29" s="351">
        <v>22595729</v>
      </c>
      <c r="L29" s="351">
        <v>23419985</v>
      </c>
      <c r="M29" s="351"/>
    </row>
    <row r="30" spans="2:13">
      <c r="B30" s="29" t="s">
        <v>40</v>
      </c>
      <c r="C30" s="334">
        <f>BS!C33+BS!C42</f>
        <v>2666283503</v>
      </c>
      <c r="D30" s="353">
        <v>3177151047</v>
      </c>
      <c r="E30" s="353">
        <v>3678311933</v>
      </c>
      <c r="F30" s="353">
        <v>4088929705</v>
      </c>
      <c r="G30" s="353">
        <v>4074330379</v>
      </c>
      <c r="H30" s="353">
        <v>4229364458</v>
      </c>
      <c r="I30" s="353">
        <v>4170411465</v>
      </c>
      <c r="J30" s="353">
        <v>5196347300</v>
      </c>
      <c r="K30" s="353">
        <v>5071716119</v>
      </c>
      <c r="L30" s="353">
        <v>4567360550</v>
      </c>
      <c r="M30" s="353"/>
    </row>
    <row r="31" spans="2:13">
      <c r="B31" s="29" t="s">
        <v>30</v>
      </c>
      <c r="C31" s="334">
        <f>BS!G27</f>
        <v>9658038463</v>
      </c>
      <c r="D31" s="353">
        <v>9703983988</v>
      </c>
      <c r="E31" s="353">
        <v>9148978365</v>
      </c>
      <c r="F31" s="353">
        <v>8636995082</v>
      </c>
      <c r="G31" s="353">
        <v>8015792917</v>
      </c>
      <c r="H31" s="353">
        <v>7573059434</v>
      </c>
      <c r="I31" s="353">
        <v>6922316334</v>
      </c>
      <c r="J31" s="353">
        <v>6469671997</v>
      </c>
      <c r="K31" s="353">
        <v>6136754819</v>
      </c>
      <c r="L31" s="353">
        <v>5651796449</v>
      </c>
      <c r="M31" s="353"/>
    </row>
    <row r="32" spans="2:13">
      <c r="B32" s="26" t="s">
        <v>172</v>
      </c>
      <c r="C32" s="333">
        <f>BS!G28</f>
        <v>4958355</v>
      </c>
      <c r="D32" s="351">
        <v>3825661</v>
      </c>
      <c r="E32" s="351">
        <v>3525797</v>
      </c>
      <c r="F32" s="351">
        <v>3043805</v>
      </c>
      <c r="G32" s="351">
        <v>2722343</v>
      </c>
      <c r="H32" s="351">
        <v>2647800</v>
      </c>
      <c r="I32" s="351">
        <v>2467743</v>
      </c>
      <c r="J32" s="351">
        <v>2144314</v>
      </c>
      <c r="K32" s="351">
        <v>1849091</v>
      </c>
      <c r="L32" s="351">
        <v>1774604</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3912067946</v>
      </c>
      <c r="D36" s="333">
        <f t="shared" si="1"/>
        <v>3953761873</v>
      </c>
      <c r="E36" s="333">
        <f t="shared" si="1"/>
        <v>3442276658</v>
      </c>
      <c r="F36" s="333">
        <f t="shared" si="1"/>
        <v>3585982881</v>
      </c>
      <c r="G36" s="333">
        <f t="shared" si="1"/>
        <v>3097760404</v>
      </c>
      <c r="H36" s="333">
        <f t="shared" si="1"/>
        <v>3530148817</v>
      </c>
      <c r="I36" s="333">
        <f t="shared" si="1"/>
        <v>3170768175</v>
      </c>
      <c r="J36" s="333">
        <f t="shared" si="1"/>
        <v>2766461106</v>
      </c>
      <c r="K36" s="333">
        <f t="shared" si="1"/>
        <v>2349397869</v>
      </c>
      <c r="L36" s="333">
        <f t="shared" si="1"/>
        <v>2271278419</v>
      </c>
      <c r="M36" s="333" t="str">
        <f t="shared" si="1"/>
        <v/>
      </c>
    </row>
    <row r="37" spans="2:13">
      <c r="B37" s="40" t="s">
        <v>43</v>
      </c>
      <c r="C37" s="333">
        <f t="shared" ref="C37:M37" si="2">IF(C$4="","",-C5)</f>
        <v>-2022497629</v>
      </c>
      <c r="D37" s="333">
        <f t="shared" si="2"/>
        <v>-2044370995</v>
      </c>
      <c r="E37" s="333">
        <f t="shared" si="2"/>
        <v>-1859278213</v>
      </c>
      <c r="F37" s="333">
        <f t="shared" si="2"/>
        <v>-1944558974</v>
      </c>
      <c r="G37" s="333">
        <f t="shared" si="2"/>
        <v>-1759673042</v>
      </c>
      <c r="H37" s="333">
        <f t="shared" si="2"/>
        <v>-1964870699</v>
      </c>
      <c r="I37" s="333">
        <f t="shared" si="2"/>
        <v>-1823717021</v>
      </c>
      <c r="J37" s="333">
        <f t="shared" si="2"/>
        <v>-1601141545</v>
      </c>
      <c r="K37" s="333">
        <f t="shared" si="2"/>
        <v>-1217181691</v>
      </c>
      <c r="L37" s="333">
        <f t="shared" si="2"/>
        <v>-1231847822</v>
      </c>
      <c r="M37" s="333" t="str">
        <f t="shared" si="2"/>
        <v/>
      </c>
    </row>
    <row r="38" spans="2:13">
      <c r="B38" s="31" t="s">
        <v>58</v>
      </c>
      <c r="C38" s="329">
        <f>IF(C36="","",C36+C37)</f>
        <v>1889570317</v>
      </c>
      <c r="D38" s="329">
        <f t="shared" ref="D38" si="3">IF(D36="","",D36+D37)</f>
        <v>1909390878</v>
      </c>
      <c r="E38" s="329">
        <f t="shared" ref="E38" si="4">IF(E36="","",E36+E37)</f>
        <v>1582998445</v>
      </c>
      <c r="F38" s="329">
        <f t="shared" ref="F38" si="5">IF(F36="","",F36+F37)</f>
        <v>1641423907</v>
      </c>
      <c r="G38" s="329">
        <f t="shared" ref="G38" si="6">IF(G36="","",G36+G37)</f>
        <v>1338087362</v>
      </c>
      <c r="H38" s="329">
        <f t="shared" ref="H38" si="7">IF(H36="","",H36+H37)</f>
        <v>1565278118</v>
      </c>
      <c r="I38" s="329">
        <f t="shared" ref="I38" si="8">IF(I36="","",I36+I37)</f>
        <v>1347051154</v>
      </c>
      <c r="J38" s="329">
        <f t="shared" ref="J38" si="9">IF(J36="","",J36+J37)</f>
        <v>1165319561</v>
      </c>
      <c r="K38" s="329">
        <f t="shared" ref="K38" si="10">IF(K36="","",K36+K37)</f>
        <v>1132216178</v>
      </c>
      <c r="L38" s="329">
        <f t="shared" ref="L38" si="11">IF(L36="","",L36+L37)</f>
        <v>1039430597</v>
      </c>
      <c r="M38" s="329" t="str">
        <f t="shared" ref="M38" si="12">IF(M36="","",M36+M37)</f>
        <v/>
      </c>
    </row>
    <row r="39" spans="2:13">
      <c r="B39" s="40" t="s">
        <v>54</v>
      </c>
      <c r="C39" s="333">
        <f t="shared" ref="C39:M39" si="13">IF(C$4="","",-C6)</f>
        <v>-215939947</v>
      </c>
      <c r="D39" s="333">
        <f t="shared" si="13"/>
        <v>-207397035</v>
      </c>
      <c r="E39" s="333">
        <f t="shared" si="13"/>
        <v>-195156946</v>
      </c>
      <c r="F39" s="333">
        <f t="shared" si="13"/>
        <v>-213185806</v>
      </c>
      <c r="G39" s="333">
        <f t="shared" si="13"/>
        <v>-192953310</v>
      </c>
      <c r="H39" s="333">
        <f t="shared" si="13"/>
        <v>-185898567</v>
      </c>
      <c r="I39" s="333">
        <f t="shared" si="13"/>
        <v>-172963266</v>
      </c>
      <c r="J39" s="333">
        <f t="shared" si="13"/>
        <v>-205630910</v>
      </c>
      <c r="K39" s="333">
        <f t="shared" si="13"/>
        <v>-136851488</v>
      </c>
      <c r="L39" s="333">
        <f t="shared" si="13"/>
        <v>-120069547</v>
      </c>
      <c r="M39" s="333" t="str">
        <f t="shared" si="13"/>
        <v/>
      </c>
    </row>
    <row r="40" spans="2:13">
      <c r="B40" s="69" t="s">
        <v>61</v>
      </c>
      <c r="C40" s="346">
        <f t="shared" ref="C40:M40" si="14">IF(C$4="","",-C7)</f>
        <v>-89269733</v>
      </c>
      <c r="D40" s="346">
        <f t="shared" si="14"/>
        <v>-87498038</v>
      </c>
      <c r="E40" s="346">
        <f t="shared" si="14"/>
        <v>-73672626</v>
      </c>
      <c r="F40" s="346">
        <f t="shared" si="14"/>
        <v>-96781098</v>
      </c>
      <c r="G40" s="346">
        <f t="shared" si="14"/>
        <v>-101231609</v>
      </c>
      <c r="H40" s="346">
        <f t="shared" si="14"/>
        <v>-100438990</v>
      </c>
      <c r="I40" s="346">
        <f t="shared" si="14"/>
        <v>-86961905</v>
      </c>
      <c r="J40" s="346">
        <f t="shared" si="14"/>
        <v>-94773690</v>
      </c>
      <c r="K40" s="346">
        <f t="shared" si="14"/>
        <v>-54486141</v>
      </c>
      <c r="L40" s="346">
        <f t="shared" si="14"/>
        <v>-46321930</v>
      </c>
      <c r="M40" s="346" t="str">
        <f t="shared" si="14"/>
        <v/>
      </c>
    </row>
    <row r="41" spans="2:13">
      <c r="B41" s="69" t="s">
        <v>64</v>
      </c>
      <c r="C41" s="346">
        <f>IF(C$4="","",C39-C40)</f>
        <v>-126670214</v>
      </c>
      <c r="D41" s="346">
        <f t="shared" ref="D41:M41" si="15">IF(D$4="","",D39-D40)</f>
        <v>-119898997</v>
      </c>
      <c r="E41" s="346">
        <f t="shared" si="15"/>
        <v>-121484320</v>
      </c>
      <c r="F41" s="346">
        <f t="shared" si="15"/>
        <v>-116404708</v>
      </c>
      <c r="G41" s="346">
        <f t="shared" si="15"/>
        <v>-91721701</v>
      </c>
      <c r="H41" s="346">
        <f t="shared" si="15"/>
        <v>-85459577</v>
      </c>
      <c r="I41" s="346">
        <f t="shared" si="15"/>
        <v>-86001361</v>
      </c>
      <c r="J41" s="346">
        <f t="shared" si="15"/>
        <v>-110857220</v>
      </c>
      <c r="K41" s="346">
        <f t="shared" si="15"/>
        <v>-82365347</v>
      </c>
      <c r="L41" s="346">
        <f t="shared" si="15"/>
        <v>-73747617</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152</v>
      </c>
      <c r="C43" s="334">
        <f>IF(C$4="","",C38+C39+C42)</f>
        <v>1673630370</v>
      </c>
      <c r="D43" s="334">
        <f t="shared" ref="D43:M43" si="17">IF(D$4="","",D38+D39+D42)</f>
        <v>1701993843</v>
      </c>
      <c r="E43" s="334">
        <f t="shared" si="17"/>
        <v>1387841499</v>
      </c>
      <c r="F43" s="334">
        <f t="shared" si="17"/>
        <v>1428238101</v>
      </c>
      <c r="G43" s="334">
        <f t="shared" si="17"/>
        <v>1145134052</v>
      </c>
      <c r="H43" s="334">
        <f t="shared" si="17"/>
        <v>1379379551</v>
      </c>
      <c r="I43" s="334">
        <f t="shared" si="17"/>
        <v>1174087888</v>
      </c>
      <c r="J43" s="334">
        <f t="shared" si="17"/>
        <v>959688651</v>
      </c>
      <c r="K43" s="334">
        <f t="shared" si="17"/>
        <v>995364690</v>
      </c>
      <c r="L43" s="334">
        <f t="shared" si="17"/>
        <v>919361050</v>
      </c>
      <c r="M43" s="334" t="str">
        <f t="shared" si="17"/>
        <v/>
      </c>
    </row>
    <row r="44" spans="2:13">
      <c r="B44" s="43" t="s">
        <v>168</v>
      </c>
      <c r="C44" s="354">
        <f t="shared" ref="C44:M44" si="18">IF(C$4="","",C47-C46-C45-C43)</f>
        <v>19940147</v>
      </c>
      <c r="D44" s="354">
        <f t="shared" si="18"/>
        <v>17704806</v>
      </c>
      <c r="E44" s="354">
        <f t="shared" si="18"/>
        <v>149335738</v>
      </c>
      <c r="F44" s="354">
        <f t="shared" si="18"/>
        <v>20281375</v>
      </c>
      <c r="G44" s="354">
        <f t="shared" si="18"/>
        <v>46544093</v>
      </c>
      <c r="H44" s="354">
        <f t="shared" si="18"/>
        <v>30446380</v>
      </c>
      <c r="I44" s="354">
        <f t="shared" si="18"/>
        <v>1867081</v>
      </c>
      <c r="J44" s="354">
        <f t="shared" si="18"/>
        <v>-110684915</v>
      </c>
      <c r="K44" s="354">
        <f t="shared" si="18"/>
        <v>-76778417</v>
      </c>
      <c r="L44" s="354">
        <f t="shared" si="18"/>
        <v>-80432712</v>
      </c>
      <c r="M44" s="354" t="str">
        <f t="shared" si="18"/>
        <v/>
      </c>
    </row>
    <row r="45" spans="2:13">
      <c r="B45" s="40" t="s">
        <v>68</v>
      </c>
      <c r="C45" s="349">
        <f t="shared" ref="C45:M45" si="19">IF(C$4="","",C51+C52)</f>
        <v>-8436920</v>
      </c>
      <c r="D45" s="349">
        <f t="shared" si="19"/>
        <v>-39439824</v>
      </c>
      <c r="E45" s="349">
        <f t="shared" si="19"/>
        <v>-43430909</v>
      </c>
      <c r="F45" s="349">
        <f t="shared" si="19"/>
        <v>-82013995</v>
      </c>
      <c r="G45" s="349">
        <f t="shared" si="19"/>
        <v>-86598243</v>
      </c>
      <c r="H45" s="349">
        <f t="shared" si="19"/>
        <v>-108448934</v>
      </c>
      <c r="I45" s="349">
        <f t="shared" si="19"/>
        <v>-140151804</v>
      </c>
      <c r="J45" s="349">
        <f t="shared" si="19"/>
        <v>0</v>
      </c>
      <c r="K45" s="349">
        <f t="shared" si="19"/>
        <v>0</v>
      </c>
      <c r="L45" s="349">
        <f t="shared" si="19"/>
        <v>0</v>
      </c>
      <c r="M45" s="349" t="str">
        <f t="shared" si="19"/>
        <v/>
      </c>
    </row>
    <row r="46" spans="2:13">
      <c r="B46" s="40" t="s">
        <v>50</v>
      </c>
      <c r="C46" s="333">
        <f t="shared" ref="C46:M46" si="20">IF(C$4="","",-C14)</f>
        <v>-421611829</v>
      </c>
      <c r="D46" s="333">
        <f t="shared" si="20"/>
        <v>-420155428</v>
      </c>
      <c r="E46" s="333">
        <f t="shared" si="20"/>
        <v>-376893525</v>
      </c>
      <c r="F46" s="333">
        <f t="shared" si="20"/>
        <v>-341900302</v>
      </c>
      <c r="G46" s="333">
        <f t="shared" si="20"/>
        <v>-278949056</v>
      </c>
      <c r="H46" s="333">
        <f t="shared" si="20"/>
        <v>-328294411</v>
      </c>
      <c r="I46" s="333">
        <f t="shared" si="20"/>
        <v>-260328417</v>
      </c>
      <c r="J46" s="333">
        <f t="shared" si="20"/>
        <v>-213401798</v>
      </c>
      <c r="K46" s="333">
        <f t="shared" si="20"/>
        <v>-231671396</v>
      </c>
      <c r="L46" s="333">
        <f t="shared" si="20"/>
        <v>-210665216</v>
      </c>
      <c r="M46" s="333" t="str">
        <f t="shared" si="20"/>
        <v/>
      </c>
    </row>
    <row r="47" spans="2:13">
      <c r="B47" s="43" t="s">
        <v>42</v>
      </c>
      <c r="C47" s="334">
        <f t="shared" ref="C47:M47" si="21">IF(C$4="","",C15)</f>
        <v>1263521768</v>
      </c>
      <c r="D47" s="334">
        <f t="shared" si="21"/>
        <v>1260103397</v>
      </c>
      <c r="E47" s="334">
        <f t="shared" si="21"/>
        <v>1116852803</v>
      </c>
      <c r="F47" s="334">
        <f t="shared" si="21"/>
        <v>1024605179</v>
      </c>
      <c r="G47" s="334">
        <f t="shared" si="21"/>
        <v>826130846</v>
      </c>
      <c r="H47" s="334">
        <f t="shared" si="21"/>
        <v>973082586</v>
      </c>
      <c r="I47" s="334">
        <f t="shared" si="21"/>
        <v>775474748</v>
      </c>
      <c r="J47" s="334">
        <f t="shared" si="21"/>
        <v>635601938</v>
      </c>
      <c r="K47" s="334">
        <f t="shared" si="21"/>
        <v>686914877</v>
      </c>
      <c r="L47" s="334">
        <f t="shared" si="21"/>
        <v>628263122</v>
      </c>
      <c r="M47" s="334" t="str">
        <f t="shared" si="21"/>
        <v/>
      </c>
    </row>
    <row r="48" spans="2:13">
      <c r="B48" s="28" t="s">
        <v>44</v>
      </c>
      <c r="C48" s="333">
        <f t="shared" ref="C48:M48" si="22">IF(C$4="","",MIN(-C16,0))</f>
        <v>-1132694</v>
      </c>
      <c r="D48" s="333">
        <f t="shared" si="22"/>
        <v>-902070</v>
      </c>
      <c r="E48" s="333">
        <f t="shared" si="22"/>
        <v>-981992</v>
      </c>
      <c r="F48" s="333">
        <f t="shared" si="22"/>
        <v>-811462</v>
      </c>
      <c r="G48" s="333">
        <f t="shared" si="22"/>
        <v>-704543</v>
      </c>
      <c r="H48" s="333">
        <f t="shared" si="22"/>
        <v>-655511</v>
      </c>
      <c r="I48" s="333">
        <f t="shared" si="22"/>
        <v>-823429</v>
      </c>
      <c r="J48" s="333">
        <f t="shared" si="22"/>
        <v>-795223</v>
      </c>
      <c r="K48" s="333">
        <f t="shared" si="22"/>
        <v>-574487</v>
      </c>
      <c r="L48" s="333">
        <f t="shared" si="22"/>
        <v>-664400</v>
      </c>
      <c r="M48" s="333" t="str">
        <f t="shared" si="22"/>
        <v/>
      </c>
    </row>
    <row r="50" spans="2:13">
      <c r="B50" s="16" t="s">
        <v>68</v>
      </c>
    </row>
    <row r="51" spans="2:13">
      <c r="B51" s="40" t="s">
        <v>39</v>
      </c>
      <c r="C51" s="333">
        <f t="shared" ref="C51:M51" si="23">IF(C$4="","",-C12)</f>
        <v>-53103191</v>
      </c>
      <c r="D51" s="333">
        <f t="shared" si="23"/>
        <v>-71173386</v>
      </c>
      <c r="E51" s="333">
        <f t="shared" si="23"/>
        <v>-95605656</v>
      </c>
      <c r="F51" s="333">
        <f t="shared" si="23"/>
        <v>-115890645</v>
      </c>
      <c r="G51" s="333">
        <f t="shared" si="23"/>
        <v>-105753716</v>
      </c>
      <c r="H51" s="333">
        <f t="shared" si="23"/>
        <v>-112756416</v>
      </c>
      <c r="I51" s="333">
        <f t="shared" si="23"/>
        <v>-145025415</v>
      </c>
      <c r="J51" s="333">
        <f t="shared" si="23"/>
        <v>0</v>
      </c>
      <c r="K51" s="333">
        <f t="shared" si="23"/>
        <v>0</v>
      </c>
      <c r="L51" s="333">
        <f t="shared" si="23"/>
        <v>0</v>
      </c>
      <c r="M51" s="333" t="str">
        <f t="shared" si="23"/>
        <v/>
      </c>
    </row>
    <row r="52" spans="2:13">
      <c r="B52" s="40" t="s">
        <v>67</v>
      </c>
      <c r="C52" s="333">
        <f t="shared" ref="C52:M52" si="24">IF(C$4="","",C13)</f>
        <v>44666271</v>
      </c>
      <c r="D52" s="333">
        <f t="shared" si="24"/>
        <v>31733562</v>
      </c>
      <c r="E52" s="333">
        <f t="shared" si="24"/>
        <v>52174747</v>
      </c>
      <c r="F52" s="333">
        <f t="shared" si="24"/>
        <v>33876650</v>
      </c>
      <c r="G52" s="333">
        <f t="shared" si="24"/>
        <v>19155473</v>
      </c>
      <c r="H52" s="333">
        <f t="shared" si="24"/>
        <v>4307482</v>
      </c>
      <c r="I52" s="333">
        <f t="shared" si="24"/>
        <v>4873611</v>
      </c>
      <c r="J52" s="333">
        <f t="shared" si="24"/>
        <v>0</v>
      </c>
      <c r="K52" s="333">
        <f t="shared" si="24"/>
        <v>0</v>
      </c>
      <c r="L52" s="333">
        <f t="shared" si="24"/>
        <v>0</v>
      </c>
      <c r="M52" s="333" t="str">
        <f t="shared" si="24"/>
        <v/>
      </c>
    </row>
    <row r="54" spans="2:13">
      <c r="B54" s="174" t="s">
        <v>168</v>
      </c>
    </row>
    <row r="55" spans="2:13">
      <c r="B55" s="40" t="s">
        <v>159</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160</v>
      </c>
      <c r="C58" s="349">
        <f>IF(C$4="","",C44-C55-C56-C57)</f>
        <v>19940147</v>
      </c>
      <c r="D58" s="349">
        <f t="shared" ref="D58:M58" si="28">IF(D$4="","",D44-D55-D56-D57)</f>
        <v>17704806</v>
      </c>
      <c r="E58" s="349">
        <f t="shared" si="28"/>
        <v>149335738</v>
      </c>
      <c r="F58" s="349">
        <f t="shared" si="28"/>
        <v>20281375</v>
      </c>
      <c r="G58" s="349">
        <f t="shared" si="28"/>
        <v>46544093</v>
      </c>
      <c r="H58" s="349">
        <f t="shared" si="28"/>
        <v>30446380</v>
      </c>
      <c r="I58" s="349">
        <f t="shared" si="28"/>
        <v>1867081</v>
      </c>
      <c r="J58" s="349">
        <f t="shared" si="28"/>
        <v>-110684915</v>
      </c>
      <c r="K58" s="349">
        <f t="shared" si="28"/>
        <v>-76778417</v>
      </c>
      <c r="L58" s="349">
        <f t="shared" si="28"/>
        <v>-80432712</v>
      </c>
      <c r="M58" s="349" t="str">
        <f t="shared" si="28"/>
        <v/>
      </c>
    </row>
    <row r="60" spans="2:13">
      <c r="B60" s="16" t="s">
        <v>51</v>
      </c>
      <c r="C60" s="9"/>
    </row>
    <row r="61" spans="2:13">
      <c r="B61" s="27" t="s">
        <v>47</v>
      </c>
      <c r="C61" s="333">
        <f>IF(C$4="","",-C19)</f>
        <v>-462652711</v>
      </c>
      <c r="D61" s="333">
        <f t="shared" ref="D61:M61" si="29">IF(D$4="","",-D19)</f>
        <v>-475220049</v>
      </c>
      <c r="E61" s="333">
        <f t="shared" si="29"/>
        <v>-495414928</v>
      </c>
      <c r="F61" s="333">
        <f t="shared" si="29"/>
        <v>-518843271</v>
      </c>
      <c r="G61" s="333">
        <f t="shared" si="29"/>
        <v>-514548362</v>
      </c>
      <c r="H61" s="333">
        <f t="shared" si="29"/>
        <v>-506465473</v>
      </c>
      <c r="I61" s="333">
        <f t="shared" si="29"/>
        <v>-461283106</v>
      </c>
      <c r="J61" s="333">
        <f t="shared" si="29"/>
        <v>0</v>
      </c>
      <c r="K61" s="333">
        <f t="shared" si="29"/>
        <v>0</v>
      </c>
      <c r="L61" s="333">
        <f t="shared" si="29"/>
        <v>0</v>
      </c>
      <c r="M61" s="333" t="str">
        <f t="shared" si="29"/>
        <v/>
      </c>
    </row>
    <row r="62" spans="2:13">
      <c r="B62" s="27" t="s">
        <v>53</v>
      </c>
      <c r="C62" s="333">
        <f>IF(C$4="","",IF(C20=0,C61,-C20))</f>
        <v>-462652711</v>
      </c>
      <c r="D62" s="333">
        <f t="shared" ref="D62:M62" si="30">IF(D$4="","",IF(D20=0,D61,-D20))</f>
        <v>-475220049</v>
      </c>
      <c r="E62" s="333">
        <f t="shared" si="30"/>
        <v>-495414928</v>
      </c>
      <c r="F62" s="333">
        <f t="shared" si="30"/>
        <v>-518843271</v>
      </c>
      <c r="G62" s="333">
        <f t="shared" si="30"/>
        <v>-514548362</v>
      </c>
      <c r="H62" s="333">
        <f t="shared" si="30"/>
        <v>-506465473</v>
      </c>
      <c r="I62" s="333">
        <f t="shared" si="30"/>
        <v>-461283106</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393</v>
      </c>
      <c r="C64" s="333">
        <f>IF(C$4="","",C22+C23+C24)</f>
        <v>-126275821</v>
      </c>
      <c r="D64" s="333">
        <f t="shared" ref="D64:M64" si="32">IF(D$4="","",D22+D23+D24)</f>
        <v>563991365</v>
      </c>
      <c r="E64" s="333">
        <f t="shared" si="32"/>
        <v>488838877</v>
      </c>
      <c r="F64" s="333">
        <f t="shared" si="32"/>
        <v>1106456695</v>
      </c>
      <c r="G64" s="333">
        <f t="shared" si="32"/>
        <v>630002325</v>
      </c>
      <c r="H64" s="333">
        <f t="shared" si="32"/>
        <v>661563113</v>
      </c>
      <c r="I64" s="333">
        <f t="shared" si="32"/>
        <v>-383415037</v>
      </c>
      <c r="J64" s="333">
        <f t="shared" si="32"/>
        <v>506495890</v>
      </c>
      <c r="K64" s="333">
        <f t="shared" si="32"/>
        <v>-49225314</v>
      </c>
      <c r="L64" s="333">
        <f t="shared" si="32"/>
        <v>-317395480</v>
      </c>
      <c r="M64" s="333" t="str">
        <f t="shared" si="32"/>
        <v/>
      </c>
    </row>
    <row r="65" spans="2:13">
      <c r="B65" s="24" t="s">
        <v>36</v>
      </c>
      <c r="C65" s="73">
        <f>IF(C$4="","",C25)</f>
        <v>1.1000000000000001</v>
      </c>
      <c r="D65" s="73">
        <f t="shared" ref="D65:M65" si="33">IF(D$4="","",D25)</f>
        <v>1.3</v>
      </c>
      <c r="E65" s="73">
        <f t="shared" si="33"/>
        <v>0.7</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-1.054538142135597E-2</v>
      </c>
      <c r="D68" s="92">
        <f t="shared" si="34"/>
        <v>0.14858922330117963</v>
      </c>
      <c r="E68" s="92">
        <f t="shared" si="34"/>
        <v>-4.007443085169593E-2</v>
      </c>
      <c r="F68" s="92">
        <f t="shared" si="34"/>
        <v>0.15760498338398921</v>
      </c>
      <c r="G68" s="92">
        <f t="shared" si="34"/>
        <v>-0.12248447173608201</v>
      </c>
      <c r="H68" s="92">
        <f t="shared" si="34"/>
        <v>0.11334182197031795</v>
      </c>
      <c r="I68" s="92">
        <f t="shared" si="34"/>
        <v>0.14614594368347511</v>
      </c>
      <c r="J68" s="92">
        <f t="shared" si="34"/>
        <v>0.17751920290006873</v>
      </c>
      <c r="K68" s="92">
        <f t="shared" si="34"/>
        <v>3.4394484333802877E-2</v>
      </c>
      <c r="L68" s="92" t="str">
        <f t="shared" si="34"/>
        <v/>
      </c>
      <c r="M68" s="92" t="str">
        <f t="shared" si="34"/>
        <v/>
      </c>
    </row>
    <row r="69" spans="2:13">
      <c r="B69" s="31" t="s">
        <v>58</v>
      </c>
      <c r="C69" s="92">
        <f>IF(D$36="","",C38/D38-1)</f>
        <v>-1.0380567556058096E-2</v>
      </c>
      <c r="D69" s="92">
        <f t="shared" ref="D69:M69" si="35">IF(E$36="","",D38/E38-1)</f>
        <v>0.20618619938063176</v>
      </c>
      <c r="E69" s="92">
        <f t="shared" si="35"/>
        <v>-3.5594377388339038E-2</v>
      </c>
      <c r="F69" s="92">
        <f t="shared" si="35"/>
        <v>0.22669412596993044</v>
      </c>
      <c r="G69" s="92">
        <f t="shared" si="35"/>
        <v>-0.14514401842548474</v>
      </c>
      <c r="H69" s="92">
        <f t="shared" si="35"/>
        <v>0.16200347206710464</v>
      </c>
      <c r="I69" s="92">
        <f t="shared" si="35"/>
        <v>0.1559500064034367</v>
      </c>
      <c r="J69" s="92">
        <f t="shared" si="35"/>
        <v>2.923768768123014E-2</v>
      </c>
      <c r="K69" s="92">
        <f t="shared" si="35"/>
        <v>8.9265778078687852E-2</v>
      </c>
      <c r="L69" s="92" t="str">
        <f t="shared" si="35"/>
        <v/>
      </c>
      <c r="M69" s="92" t="str">
        <f t="shared" si="35"/>
        <v/>
      </c>
    </row>
    <row r="70" spans="2:13">
      <c r="B70" s="80" t="str">
        <f>B43</f>
        <v>Operating EBIT</v>
      </c>
      <c r="C70" s="101">
        <f>IF(D$36="","",C43/D43-1)</f>
        <v>-1.6664850532012165E-2</v>
      </c>
      <c r="D70" s="101">
        <f t="shared" ref="D70:M70" si="36">IF(E$36="","",D43/E43-1)</f>
        <v>0.22636039074084491</v>
      </c>
      <c r="E70" s="101">
        <f t="shared" si="36"/>
        <v>-2.8284220937472404E-2</v>
      </c>
      <c r="F70" s="101">
        <f t="shared" si="36"/>
        <v>0.24722350060724585</v>
      </c>
      <c r="G70" s="101">
        <f t="shared" si="36"/>
        <v>-0.16981946617244004</v>
      </c>
      <c r="H70" s="101">
        <f t="shared" si="36"/>
        <v>0.17485204054843284</v>
      </c>
      <c r="I70" s="101">
        <f t="shared" si="36"/>
        <v>0.22340499366809752</v>
      </c>
      <c r="J70" s="101">
        <f t="shared" si="36"/>
        <v>-3.5842178608927799E-2</v>
      </c>
      <c r="K70" s="101">
        <f t="shared" si="36"/>
        <v>8.2670067434333916E-2</v>
      </c>
      <c r="L70" s="101" t="str">
        <f t="shared" si="36"/>
        <v/>
      </c>
      <c r="M70" s="101" t="str">
        <f t="shared" si="36"/>
        <v/>
      </c>
    </row>
    <row r="71" spans="2:13">
      <c r="B71" s="43" t="s">
        <v>168</v>
      </c>
      <c r="C71" s="101">
        <f>IF(D$36="","",C44/D44-1)</f>
        <v>0.12625617021728441</v>
      </c>
      <c r="D71" s="101">
        <f t="shared" ref="D71:M71" si="37">IF(E$36="","",D44/E44-1)</f>
        <v>-0.88144294033622417</v>
      </c>
      <c r="E71" s="101">
        <f t="shared" si="37"/>
        <v>6.3631959371590927</v>
      </c>
      <c r="F71" s="101">
        <f t="shared" si="37"/>
        <v>-0.56425458757999647</v>
      </c>
      <c r="G71" s="101">
        <f t="shared" si="37"/>
        <v>0.52872338189301971</v>
      </c>
      <c r="H71" s="101">
        <f t="shared" si="37"/>
        <v>15.306941155739896</v>
      </c>
      <c r="I71" s="101">
        <f t="shared" si="37"/>
        <v>-1.0168684323423838</v>
      </c>
      <c r="J71" s="101">
        <f t="shared" si="37"/>
        <v>0.44161496583082727</v>
      </c>
      <c r="K71" s="101">
        <f t="shared" si="37"/>
        <v>-4.5432945242477984E-2</v>
      </c>
      <c r="L71" s="101" t="str">
        <f t="shared" si="37"/>
        <v/>
      </c>
      <c r="M71" s="101" t="str">
        <f t="shared" si="37"/>
        <v/>
      </c>
    </row>
    <row r="72" spans="2:13">
      <c r="B72" s="80" t="str">
        <f>B47</f>
        <v>Reported Net Income</v>
      </c>
      <c r="C72" s="101">
        <f>IF(D$36="","",C47/D47-1)</f>
        <v>2.712770244202467E-3</v>
      </c>
      <c r="D72" s="101">
        <f t="shared" ref="D72:M72" si="38">IF(E$36="","",D47/E47-1)</f>
        <v>0.12826273401043697</v>
      </c>
      <c r="E72" s="101">
        <f t="shared" si="38"/>
        <v>9.0032361626389834E-2</v>
      </c>
      <c r="F72" s="101">
        <f t="shared" si="38"/>
        <v>0.24024563900619689</v>
      </c>
      <c r="G72" s="101">
        <f t="shared" si="38"/>
        <v>-0.15101671956135487</v>
      </c>
      <c r="H72" s="101">
        <f t="shared" si="38"/>
        <v>0.25482175726500889</v>
      </c>
      <c r="I72" s="101">
        <f t="shared" si="38"/>
        <v>0.22006353605548634</v>
      </c>
      <c r="J72" s="101">
        <f t="shared" si="38"/>
        <v>-7.4700578948153962E-2</v>
      </c>
      <c r="K72" s="101">
        <f t="shared" si="38"/>
        <v>9.3355399905200809E-2</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12324321966</v>
      </c>
      <c r="D76" s="349">
        <f t="shared" ref="D76:M76" si="39">IF(D$4="","",D79+D80)</f>
        <v>12881135035</v>
      </c>
      <c r="E76" s="349">
        <f t="shared" si="39"/>
        <v>12827290298</v>
      </c>
      <c r="F76" s="349">
        <f t="shared" si="39"/>
        <v>12725924787</v>
      </c>
      <c r="G76" s="349">
        <f t="shared" si="39"/>
        <v>12090123296</v>
      </c>
      <c r="H76" s="349">
        <f t="shared" si="39"/>
        <v>11802423892</v>
      </c>
      <c r="I76" s="349">
        <f t="shared" si="39"/>
        <v>11092727799</v>
      </c>
      <c r="J76" s="349">
        <f t="shared" si="39"/>
        <v>11666019297</v>
      </c>
      <c r="K76" s="349">
        <f t="shared" si="39"/>
        <v>11208470938</v>
      </c>
      <c r="L76" s="349">
        <f t="shared" si="39"/>
        <v>10219156999</v>
      </c>
      <c r="M76" s="349" t="str">
        <f t="shared" si="39"/>
        <v/>
      </c>
    </row>
    <row r="77" spans="2:13">
      <c r="B77" s="93" t="s">
        <v>85</v>
      </c>
      <c r="C77" s="318">
        <f t="shared" ref="C77:H78" si="40">IF(C$4="","",C28)</f>
        <v>228574200</v>
      </c>
      <c r="D77" s="346">
        <f t="shared" si="40"/>
        <v>258206405</v>
      </c>
      <c r="E77" s="346">
        <f t="shared" si="40"/>
        <v>377357021</v>
      </c>
      <c r="F77" s="346">
        <f t="shared" si="40"/>
        <v>368491616</v>
      </c>
      <c r="G77" s="346">
        <f t="shared" si="40"/>
        <v>440548083</v>
      </c>
      <c r="H77" s="346">
        <f t="shared" si="40"/>
        <v>421649740</v>
      </c>
      <c r="I77" s="355"/>
      <c r="J77" s="355"/>
      <c r="K77" s="355"/>
      <c r="L77" s="355"/>
      <c r="M77" s="355"/>
    </row>
    <row r="78" spans="2:13">
      <c r="B78" s="93" t="s">
        <v>86</v>
      </c>
      <c r="C78" s="318">
        <f t="shared" si="40"/>
        <v>30681363</v>
      </c>
      <c r="D78" s="346">
        <f t="shared" si="40"/>
        <v>32289866</v>
      </c>
      <c r="E78" s="346">
        <f t="shared" si="40"/>
        <v>32129347</v>
      </c>
      <c r="F78" s="346">
        <f t="shared" si="40"/>
        <v>32745245</v>
      </c>
      <c r="G78" s="346">
        <f t="shared" si="40"/>
        <v>33982961</v>
      </c>
      <c r="H78" s="346">
        <f t="shared" si="40"/>
        <v>32833169</v>
      </c>
      <c r="I78" s="355"/>
      <c r="J78" s="355"/>
      <c r="K78" s="355"/>
      <c r="L78" s="355"/>
      <c r="M78" s="355"/>
    </row>
    <row r="79" spans="2:13">
      <c r="B79" s="26" t="s">
        <v>40</v>
      </c>
      <c r="C79" s="317">
        <f t="shared" ref="C79:M79" si="41">IF(C$4="","",C30)</f>
        <v>2666283503</v>
      </c>
      <c r="D79" s="333">
        <f t="shared" si="41"/>
        <v>3177151047</v>
      </c>
      <c r="E79" s="333">
        <f t="shared" si="41"/>
        <v>3678311933</v>
      </c>
      <c r="F79" s="333">
        <f t="shared" si="41"/>
        <v>4088929705</v>
      </c>
      <c r="G79" s="333">
        <f t="shared" si="41"/>
        <v>4074330379</v>
      </c>
      <c r="H79" s="333">
        <f t="shared" si="41"/>
        <v>4229364458</v>
      </c>
      <c r="I79" s="333">
        <f t="shared" si="41"/>
        <v>4170411465</v>
      </c>
      <c r="J79" s="333">
        <f t="shared" si="41"/>
        <v>5196347300</v>
      </c>
      <c r="K79" s="333">
        <f t="shared" si="41"/>
        <v>5071716119</v>
      </c>
      <c r="L79" s="333">
        <f t="shared" si="41"/>
        <v>4567360550</v>
      </c>
      <c r="M79" s="333" t="str">
        <f t="shared" si="41"/>
        <v/>
      </c>
    </row>
    <row r="80" spans="2:13">
      <c r="B80" s="26" t="s">
        <v>30</v>
      </c>
      <c r="C80" s="317">
        <f t="shared" ref="C80:M80" si="42">IF(C$4="","",C31)</f>
        <v>9658038463</v>
      </c>
      <c r="D80" s="333">
        <f t="shared" si="42"/>
        <v>9703983988</v>
      </c>
      <c r="E80" s="333">
        <f t="shared" si="42"/>
        <v>9148978365</v>
      </c>
      <c r="F80" s="333">
        <f t="shared" si="42"/>
        <v>8636995082</v>
      </c>
      <c r="G80" s="333">
        <f t="shared" si="42"/>
        <v>8015792917</v>
      </c>
      <c r="H80" s="333">
        <f t="shared" si="42"/>
        <v>7573059434</v>
      </c>
      <c r="I80" s="333">
        <f t="shared" si="42"/>
        <v>6922316334</v>
      </c>
      <c r="J80" s="333">
        <f t="shared" si="42"/>
        <v>6469671997</v>
      </c>
      <c r="K80" s="333">
        <f t="shared" si="42"/>
        <v>6136754819</v>
      </c>
      <c r="L80" s="333">
        <f t="shared" si="42"/>
        <v>5651796449</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f>222388649+6185551</f>
        <v>228574200</v>
      </c>
      <c r="D4" s="261">
        <v>0.6</v>
      </c>
      <c r="E4" s="25"/>
      <c r="F4" s="4" t="s">
        <v>77</v>
      </c>
      <c r="G4" s="19">
        <v>3986106599</v>
      </c>
      <c r="H4" s="261">
        <v>0.9</v>
      </c>
    </row>
    <row r="5" spans="2:8" ht="15" customHeight="1">
      <c r="B5" s="1" t="s">
        <v>33</v>
      </c>
      <c r="C5" s="19">
        <v>0</v>
      </c>
      <c r="D5" s="261">
        <v>0.6</v>
      </c>
      <c r="E5" s="25"/>
      <c r="F5" s="1" t="s">
        <v>29</v>
      </c>
      <c r="G5" s="19">
        <v>0</v>
      </c>
      <c r="H5" s="261">
        <v>0.7</v>
      </c>
    </row>
    <row r="6" spans="2:8" ht="15" customHeight="1">
      <c r="B6" s="4" t="s">
        <v>10</v>
      </c>
      <c r="C6" s="19">
        <v>30681363</v>
      </c>
      <c r="D6" s="261">
        <v>0.5</v>
      </c>
      <c r="E6" s="25"/>
      <c r="F6" s="4" t="s">
        <v>177</v>
      </c>
      <c r="G6" s="19">
        <v>0</v>
      </c>
      <c r="H6" s="261">
        <v>0.6</v>
      </c>
    </row>
    <row r="7" spans="2:8" ht="15" customHeight="1">
      <c r="B7" s="1" t="s">
        <v>69</v>
      </c>
      <c r="C7" s="19">
        <v>0</v>
      </c>
      <c r="D7" s="261">
        <v>0.6</v>
      </c>
      <c r="E7" s="25"/>
      <c r="F7" s="4" t="s">
        <v>178</v>
      </c>
      <c r="G7" s="19">
        <v>0</v>
      </c>
      <c r="H7" s="261">
        <v>0.6</v>
      </c>
    </row>
    <row r="8" spans="2:8" ht="15" customHeight="1">
      <c r="B8" s="1" t="s">
        <v>173</v>
      </c>
      <c r="C8" s="19">
        <v>0</v>
      </c>
      <c r="D8" s="261">
        <v>0.6</v>
      </c>
      <c r="E8" s="25"/>
      <c r="F8" s="1" t="s">
        <v>179</v>
      </c>
      <c r="G8" s="19">
        <v>0</v>
      </c>
      <c r="H8" s="261">
        <v>0.6</v>
      </c>
    </row>
    <row r="9" spans="2:8" ht="15" customHeight="1">
      <c r="B9" s="4" t="s">
        <v>25</v>
      </c>
      <c r="C9" s="19">
        <v>32164761</v>
      </c>
      <c r="D9" s="261">
        <v>0.1</v>
      </c>
      <c r="E9" s="25"/>
      <c r="F9" s="4" t="s">
        <v>180</v>
      </c>
      <c r="G9" s="19">
        <v>0</v>
      </c>
      <c r="H9" s="261">
        <v>0.6</v>
      </c>
    </row>
    <row r="10" spans="2:8" ht="15" customHeight="1">
      <c r="B10" s="4" t="s">
        <v>11</v>
      </c>
      <c r="C10" s="19">
        <v>0</v>
      </c>
      <c r="D10" s="261">
        <v>0.9</v>
      </c>
      <c r="H10" s="262"/>
    </row>
    <row r="11" spans="2:8" ht="15" customHeight="1">
      <c r="B11" s="4" t="s">
        <v>12</v>
      </c>
      <c r="C11" s="19">
        <v>171668</v>
      </c>
      <c r="D11" s="261">
        <v>0.05</v>
      </c>
      <c r="H11" s="262"/>
    </row>
    <row r="12" spans="2:8" ht="15" customHeight="1">
      <c r="B12" s="80" t="s">
        <v>72</v>
      </c>
      <c r="C12" s="81">
        <f>SUM(C4:C11)</f>
        <v>291591992</v>
      </c>
      <c r="D12" s="20">
        <f>C4*D4+C5*D5+C9*D9+C6*D6+C8*D8+C7*D7+C10*D10+C11*D11</f>
        <v>155710261</v>
      </c>
      <c r="F12" s="80" t="s">
        <v>70</v>
      </c>
      <c r="G12" s="81">
        <f>SUM(G4:G9)</f>
        <v>3986106599</v>
      </c>
      <c r="H12" s="20">
        <f>G4*H4+G5*H5+G6*H6+G7*H7+G8*H8+G9*H9</f>
        <v>3587495939.0999999</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454</v>
      </c>
      <c r="C15" s="19">
        <v>0</v>
      </c>
      <c r="D15" s="261">
        <v>0.4</v>
      </c>
      <c r="F15" s="4" t="s">
        <v>78</v>
      </c>
      <c r="G15" s="19">
        <v>1</v>
      </c>
      <c r="H15" s="261">
        <v>0.8</v>
      </c>
    </row>
    <row r="16" spans="2:8" ht="15" customHeight="1">
      <c r="B16" s="1" t="s">
        <v>34</v>
      </c>
      <c r="C16" s="19">
        <v>0</v>
      </c>
      <c r="D16" s="261">
        <v>0.5</v>
      </c>
      <c r="F16" s="4" t="s">
        <v>177</v>
      </c>
      <c r="G16" s="19">
        <v>0</v>
      </c>
      <c r="H16" s="261">
        <v>0.6</v>
      </c>
    </row>
    <row r="17" spans="2:8" ht="15" customHeight="1">
      <c r="B17" s="1" t="s">
        <v>69</v>
      </c>
      <c r="C17" s="19">
        <v>0</v>
      </c>
      <c r="D17" s="261">
        <v>0.6</v>
      </c>
      <c r="F17" s="4" t="s">
        <v>178</v>
      </c>
      <c r="G17" s="19">
        <v>0</v>
      </c>
      <c r="H17" s="261">
        <v>0.6</v>
      </c>
    </row>
    <row r="18" spans="2:8" ht="15" customHeight="1">
      <c r="B18" s="4" t="s">
        <v>173</v>
      </c>
      <c r="C18" s="19">
        <v>1386748288</v>
      </c>
      <c r="D18" s="261">
        <v>0.6</v>
      </c>
      <c r="F18" s="4" t="s">
        <v>181</v>
      </c>
      <c r="G18" s="19">
        <v>0</v>
      </c>
      <c r="H18" s="261">
        <v>0.1</v>
      </c>
    </row>
    <row r="19" spans="2:8" ht="15" customHeight="1">
      <c r="B19" s="4" t="s">
        <v>26</v>
      </c>
      <c r="C19" s="19">
        <f>35040471</f>
        <v>35040471</v>
      </c>
      <c r="D19" s="261">
        <v>0.1</v>
      </c>
      <c r="F19" s="4" t="s">
        <v>182</v>
      </c>
      <c r="G19" s="19">
        <v>28358189</v>
      </c>
      <c r="H19" s="261">
        <v>0.1</v>
      </c>
    </row>
    <row r="20" spans="2:8" ht="15" customHeight="1">
      <c r="B20" s="4" t="s">
        <v>18</v>
      </c>
      <c r="C20" s="19">
        <v>0</v>
      </c>
      <c r="D20" s="261">
        <v>0.05</v>
      </c>
      <c r="F20" s="4" t="s">
        <v>179</v>
      </c>
      <c r="G20" s="19">
        <v>0</v>
      </c>
      <c r="H20" s="261">
        <v>0.2</v>
      </c>
    </row>
    <row r="21" spans="2:8" ht="15" customHeight="1">
      <c r="B21" s="4" t="s">
        <v>19</v>
      </c>
      <c r="C21" s="19">
        <v>432849427</v>
      </c>
      <c r="D21" s="261">
        <v>0.05</v>
      </c>
      <c r="F21" s="1" t="s">
        <v>180</v>
      </c>
      <c r="G21" s="19">
        <v>5983606533</v>
      </c>
      <c r="H21" s="261">
        <v>0.1</v>
      </c>
    </row>
    <row r="22" spans="2:8" ht="15" customHeight="1">
      <c r="B22" s="4" t="s">
        <v>20</v>
      </c>
      <c r="C22" s="19">
        <v>66341579</v>
      </c>
      <c r="D22" s="261">
        <v>0.9</v>
      </c>
      <c r="H22" s="262"/>
    </row>
    <row r="23" spans="2:8" ht="15" customHeight="1">
      <c r="B23" s="4" t="s">
        <v>21</v>
      </c>
      <c r="C23" s="19">
        <f>79921743+33757144</f>
        <v>113678887</v>
      </c>
      <c r="D23" s="261">
        <v>0</v>
      </c>
      <c r="H23" s="262"/>
    </row>
    <row r="24" spans="2:8" ht="15" customHeight="1">
      <c r="B24" s="80" t="s">
        <v>73</v>
      </c>
      <c r="C24" s="81">
        <f>SUM(C15:C23)</f>
        <v>2034658652</v>
      </c>
      <c r="D24" s="20">
        <f>C15*D15+C16*D16+C18*D18+C17*D17+C19*D19+C20*D20+C21*D21+C22*D22+C23*D23</f>
        <v>916902912.35000002</v>
      </c>
      <c r="F24" s="80" t="s">
        <v>71</v>
      </c>
      <c r="G24" s="81">
        <f>SUM(G15:G21)</f>
        <v>6011964723</v>
      </c>
      <c r="H24" s="20">
        <f>G15*H15+G16*H16+G17*H17+G18*H18+G19*H19+G20*H20+G21*H21</f>
        <v>601196473.00000012</v>
      </c>
    </row>
    <row r="26" spans="2:8" ht="15" customHeight="1">
      <c r="B26" s="16" t="s">
        <v>200</v>
      </c>
      <c r="C26" s="182" t="s">
        <v>136</v>
      </c>
      <c r="F26" s="184" t="s">
        <v>196</v>
      </c>
      <c r="G26" s="185" t="s">
        <v>136</v>
      </c>
      <c r="H26" s="186" t="s">
        <v>35</v>
      </c>
    </row>
    <row r="27" spans="2:8" ht="15" customHeight="1">
      <c r="B27" s="4" t="s">
        <v>5</v>
      </c>
      <c r="C27" s="19">
        <v>111425305</v>
      </c>
      <c r="F27" s="187" t="s">
        <v>30</v>
      </c>
      <c r="G27" s="85">
        <f>G32-G30</f>
        <v>9658038463</v>
      </c>
      <c r="H27" s="188">
        <f>H32-G30</f>
        <v>2595022082.4499998</v>
      </c>
    </row>
    <row r="28" spans="2:8" ht="15" customHeight="1">
      <c r="B28" s="4" t="s">
        <v>6</v>
      </c>
      <c r="C28" s="19">
        <v>0</v>
      </c>
      <c r="F28" s="189" t="s">
        <v>244</v>
      </c>
      <c r="G28" s="12">
        <v>4958355</v>
      </c>
      <c r="H28" s="188"/>
    </row>
    <row r="29" spans="2:8" ht="15" customHeight="1">
      <c r="B29" s="4" t="s">
        <v>7</v>
      </c>
      <c r="C29" s="19">
        <v>0</v>
      </c>
      <c r="F29" s="190" t="s">
        <v>75</v>
      </c>
      <c r="G29" s="14">
        <f>G27-G28</f>
        <v>9653080108</v>
      </c>
      <c r="H29" s="188">
        <f>H27-G28</f>
        <v>2590063727.4499998</v>
      </c>
    </row>
    <row r="30" spans="2:8" ht="15" customHeight="1">
      <c r="B30" s="2" t="s">
        <v>8</v>
      </c>
      <c r="C30" s="19">
        <v>0</v>
      </c>
      <c r="F30" s="187" t="s">
        <v>23</v>
      </c>
      <c r="G30" s="85">
        <f>C33+C42</f>
        <v>2666283503</v>
      </c>
      <c r="H30" s="188"/>
    </row>
    <row r="31" spans="2:8" ht="15" customHeight="1">
      <c r="B31" s="80" t="s">
        <v>203</v>
      </c>
      <c r="C31" s="81">
        <f>SUM(C27:C30)</f>
        <v>111425305</v>
      </c>
      <c r="F31" s="190" t="s">
        <v>76</v>
      </c>
      <c r="G31" s="191">
        <f>C31+C40</f>
        <v>1232137409</v>
      </c>
      <c r="H31" s="188"/>
    </row>
    <row r="32" spans="2:8" ht="15" customHeight="1">
      <c r="B32" s="4" t="s">
        <v>9</v>
      </c>
      <c r="C32" s="21">
        <f>C33-C31</f>
        <v>1434146094</v>
      </c>
      <c r="F32" s="192" t="s">
        <v>74</v>
      </c>
      <c r="G32" s="193">
        <f>G35+G40</f>
        <v>12324321966</v>
      </c>
      <c r="H32" s="188">
        <f>H35+H40</f>
        <v>5261305585.4499998</v>
      </c>
    </row>
    <row r="33" spans="2:8" ht="15" customHeight="1">
      <c r="B33" s="83" t="s">
        <v>4</v>
      </c>
      <c r="C33" s="84">
        <v>1545571399</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2326250644</v>
      </c>
      <c r="H35" s="200">
        <f>D12+D24</f>
        <v>1072613173.35</v>
      </c>
    </row>
    <row r="36" spans="2:8" ht="15" customHeight="1">
      <c r="B36" s="4" t="s">
        <v>13</v>
      </c>
      <c r="C36" s="19">
        <v>1085000000</v>
      </c>
      <c r="F36" s="190" t="s">
        <v>197</v>
      </c>
      <c r="G36" s="191">
        <f>C4+C15</f>
        <v>228574200</v>
      </c>
      <c r="H36" s="195"/>
    </row>
    <row r="37" spans="2:8" ht="15" customHeight="1">
      <c r="B37" s="4" t="s">
        <v>14</v>
      </c>
      <c r="C37" s="19">
        <v>35712104</v>
      </c>
      <c r="F37" s="190" t="s">
        <v>198</v>
      </c>
      <c r="G37" s="191">
        <f>C6</f>
        <v>30681363</v>
      </c>
      <c r="H37" s="195"/>
    </row>
    <row r="38" spans="2:8" ht="15" customHeight="1">
      <c r="B38" s="4" t="s">
        <v>15</v>
      </c>
      <c r="C38" s="19">
        <v>0</v>
      </c>
      <c r="F38" s="190" t="s">
        <v>199</v>
      </c>
      <c r="G38" s="191">
        <f>C7+C17</f>
        <v>0</v>
      </c>
      <c r="H38" s="195"/>
    </row>
    <row r="39" spans="2:8" ht="15" customHeight="1">
      <c r="B39" s="2" t="s">
        <v>16</v>
      </c>
      <c r="C39" s="19">
        <v>0</v>
      </c>
      <c r="F39" s="190" t="s">
        <v>79</v>
      </c>
      <c r="G39" s="191">
        <f>C7+C17+C19+C20</f>
        <v>35040471</v>
      </c>
      <c r="H39" s="188">
        <f>C7*D7+C17*D17+C19*D19+C20*D20</f>
        <v>3504047.1</v>
      </c>
    </row>
    <row r="40" spans="2:8" ht="15" customHeight="1">
      <c r="B40" s="80" t="s">
        <v>204</v>
      </c>
      <c r="C40" s="81">
        <f>SUM(C36:C39)</f>
        <v>1120712104</v>
      </c>
      <c r="F40" s="199" t="s">
        <v>138</v>
      </c>
      <c r="G40" s="193">
        <f>G12+G24</f>
        <v>9998071322</v>
      </c>
      <c r="H40" s="200">
        <f>H12+H24</f>
        <v>4188692412.0999999</v>
      </c>
    </row>
    <row r="41" spans="2:8" ht="15" customHeight="1">
      <c r="B41" s="4" t="s">
        <v>17</v>
      </c>
      <c r="C41" s="21">
        <f>C42-C40</f>
        <v>0</v>
      </c>
      <c r="F41" s="190" t="s">
        <v>191</v>
      </c>
      <c r="G41" s="191">
        <f>C70</f>
        <v>3986106600</v>
      </c>
      <c r="H41" s="200">
        <f>H40-H42</f>
        <v>3587495939.8999996</v>
      </c>
    </row>
    <row r="42" spans="2:8" ht="15" customHeight="1">
      <c r="B42" s="83" t="s">
        <v>22</v>
      </c>
      <c r="C42" s="84">
        <v>1120712104</v>
      </c>
      <c r="F42" s="201" t="s">
        <v>192</v>
      </c>
      <c r="G42" s="202">
        <f>C82</f>
        <v>6011964722</v>
      </c>
      <c r="H42" s="203">
        <f>D82</f>
        <v>601196472.20000005</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9653080108</v>
      </c>
      <c r="D46" s="76">
        <f>H29</f>
        <v>2590063727.4499998</v>
      </c>
      <c r="F46" s="253"/>
    </row>
    <row r="47" spans="2:8" ht="15" customHeight="1">
      <c r="B47" s="1" t="str">
        <f>"Equity per share ("&amp;Market_currency&amp;")"</f>
        <v>Equity per share (CNY)</v>
      </c>
      <c r="C47" s="147">
        <f>C46*H1/Common_Shares*Exchange_Rate</f>
        <v>9.5832894765551444</v>
      </c>
      <c r="D47" s="147">
        <f>D46*H1/Common_Shares*Exchange_Rate</f>
        <v>2.5713378719718771</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0.79731882844192148</v>
      </c>
      <c r="D50" s="95">
        <f>G31/Normalized_FCF!G8</f>
        <v>0.73620641157461786</v>
      </c>
      <c r="F50" s="253"/>
    </row>
    <row r="51" spans="2:8" ht="15" customHeight="1">
      <c r="B51" s="1" t="s">
        <v>176</v>
      </c>
      <c r="C51" s="181"/>
      <c r="D51" s="92">
        <f>G29/G32</f>
        <v>0.7832544568886346</v>
      </c>
      <c r="F51" s="253"/>
    </row>
    <row r="52" spans="2:8" ht="15" customHeight="1">
      <c r="F52" s="253"/>
    </row>
    <row r="53" spans="2:8" ht="15" customHeight="1">
      <c r="B53" s="157" t="s">
        <v>142</v>
      </c>
      <c r="C53" s="235" t="s">
        <v>57</v>
      </c>
      <c r="D53" s="197" t="s">
        <v>95</v>
      </c>
      <c r="F53" s="253"/>
    </row>
    <row r="54" spans="2:8" ht="15" customHeight="1">
      <c r="B54" s="1" t="s">
        <v>139</v>
      </c>
      <c r="C54" s="92">
        <f>Normalized_FCF!C8/G35</f>
        <v>0.66430973549815275</v>
      </c>
      <c r="D54" s="92">
        <f>Normalized_FCF!G8/G35</f>
        <v>0.71945401683895249</v>
      </c>
      <c r="F54" s="253"/>
    </row>
    <row r="55" spans="2:8" ht="15" customHeight="1">
      <c r="B55" s="1" t="s">
        <v>141</v>
      </c>
      <c r="C55" s="92">
        <f>Normalized_FCF!C11/G40</f>
        <v>0</v>
      </c>
      <c r="D55" s="92">
        <f>Normalized_FCF!G11/G40</f>
        <v>0</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13.203381626919342</v>
      </c>
      <c r="F58" s="5"/>
    </row>
    <row r="59" spans="2:8" ht="15" customHeight="1">
      <c r="B59" s="1" t="s">
        <v>92</v>
      </c>
      <c r="C59" s="98"/>
      <c r="D59" s="92">
        <f>G39/G32</f>
        <v>2.8431966559027497E-3</v>
      </c>
      <c r="F59" s="253"/>
    </row>
    <row r="60" spans="2:8" ht="15" customHeight="1">
      <c r="F60" s="253"/>
    </row>
    <row r="61" spans="2:8" ht="15" customHeight="1">
      <c r="B61" s="157" t="s">
        <v>274</v>
      </c>
      <c r="C61" s="235" t="s">
        <v>137</v>
      </c>
      <c r="D61" s="197" t="s">
        <v>95</v>
      </c>
      <c r="F61" s="253"/>
    </row>
    <row r="62" spans="2:8" ht="15" customHeight="1">
      <c r="B62" s="1" t="s">
        <v>245</v>
      </c>
      <c r="C62" s="92">
        <f>IF(G28&lt;=0,0,G28/G29)</f>
        <v>5.1365522139309278E-4</v>
      </c>
      <c r="D62" s="92">
        <f>G28/G29</f>
        <v>5.1365522139309278E-4</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3986106600</v>
      </c>
      <c r="D66" s="76">
        <f>C66-D75</f>
        <v>3438409570.5196743</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3986106600</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-278870696.94999999</v>
      </c>
      <c r="D73" s="349">
        <f>(Normalized_FCF!C25+Normalized_FCF!C35-Normalized_FCF!C91)/12</f>
        <v>-273848514.74016273</v>
      </c>
      <c r="F73" s="1" t="s">
        <v>351</v>
      </c>
    </row>
    <row r="74" spans="2:6" ht="15" customHeight="1">
      <c r="B74" s="257" t="s">
        <v>321</v>
      </c>
      <c r="C74" s="258">
        <f>-$C$66/C73</f>
        <v>14.29374489179366</v>
      </c>
      <c r="D74" s="258">
        <f>-$C$66/D73</f>
        <v>14.555881757409422</v>
      </c>
      <c r="F74" s="253" t="s">
        <v>319</v>
      </c>
    </row>
    <row r="75" spans="2:6" ht="15" customHeight="1">
      <c r="B75" s="80" t="s">
        <v>320</v>
      </c>
      <c r="C75" s="320"/>
      <c r="D75" s="321">
        <f>MAX(-D73*D76,G5)</f>
        <v>547697029.48032546</v>
      </c>
      <c r="F75" s="253" t="s">
        <v>352</v>
      </c>
    </row>
    <row r="76" spans="2:6" ht="15" customHeight="1">
      <c r="B76" s="259" t="s">
        <v>322</v>
      </c>
      <c r="C76" s="260"/>
      <c r="D76" s="290">
        <f>IF(valuation_method="DCF",IF(D74&lt;=3,1,IF(D74&gt;18,6,2)),-C66/D73)</f>
        <v>2</v>
      </c>
      <c r="F76" s="253" t="s">
        <v>323</v>
      </c>
    </row>
    <row r="77" spans="2:6" ht="15" customHeight="1">
      <c r="F77" s="253"/>
    </row>
    <row r="78" spans="2:6" ht="15" customHeight="1">
      <c r="B78" s="16" t="s">
        <v>189</v>
      </c>
      <c r="C78" s="234" t="s">
        <v>136</v>
      </c>
      <c r="D78" s="183" t="s">
        <v>35</v>
      </c>
      <c r="F78" s="253"/>
    </row>
    <row r="79" spans="2:6" ht="15" customHeight="1">
      <c r="B79" s="105" t="s">
        <v>178</v>
      </c>
      <c r="C79" s="20">
        <f>G7+G17</f>
        <v>0</v>
      </c>
      <c r="D79" s="76">
        <f>G7*H7+G17*H17</f>
        <v>0</v>
      </c>
      <c r="F79" s="253"/>
    </row>
    <row r="80" spans="2:6" ht="15" customHeight="1">
      <c r="B80" s="105" t="s">
        <v>182</v>
      </c>
      <c r="C80" s="20">
        <f>G19</f>
        <v>28358189</v>
      </c>
      <c r="D80" s="76">
        <f>G19*H19</f>
        <v>2835818.9000000004</v>
      </c>
      <c r="F80" s="253"/>
    </row>
    <row r="81" spans="2:8" ht="15" customHeight="1">
      <c r="B81" s="105" t="s">
        <v>180</v>
      </c>
      <c r="C81" s="20">
        <f>G9+G21</f>
        <v>5983606533</v>
      </c>
      <c r="D81" s="76">
        <f>G9*H9+G21*H21</f>
        <v>598360653.30000007</v>
      </c>
      <c r="F81" s="253"/>
    </row>
    <row r="82" spans="2:8" ht="15" customHeight="1">
      <c r="B82" s="80" t="s">
        <v>189</v>
      </c>
      <c r="C82" s="81">
        <f>SUM(C79:C81)</f>
        <v>6011964722</v>
      </c>
      <c r="D82" s="81">
        <f>SUM(D79:D81)</f>
        <v>601196472.20000005</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-1232137409</v>
      </c>
      <c r="D86" s="223">
        <f>C86*scaling_factor/Common_Shares</f>
        <v>-1.2232292007557037</v>
      </c>
      <c r="E86" s="240" t="str">
        <f>Market_currency</f>
        <v>CNY</v>
      </c>
    </row>
    <row r="87" spans="2:8" ht="15" customHeight="1">
      <c r="B87" s="238" t="s">
        <v>287</v>
      </c>
      <c r="C87" s="76">
        <f>DCF!C8*Exchange_Rate</f>
        <v>3438409570.5196743</v>
      </c>
      <c r="D87" s="223">
        <f>C87*scaling_factor/Common_Shares</f>
        <v>3.4135502745843049</v>
      </c>
      <c r="E87" s="240" t="str">
        <f>Market_currency</f>
        <v>CNY</v>
      </c>
    </row>
    <row r="88" spans="2:8" ht="15" customHeight="1">
      <c r="B88" s="239" t="s">
        <v>189</v>
      </c>
      <c r="C88" s="76">
        <f>DCF!C9*Exchange_Rate</f>
        <v>601196472.20000005</v>
      </c>
      <c r="D88" s="223">
        <f>C88*scaling_factor/Common_Shares</f>
        <v>0.59684989256450272</v>
      </c>
      <c r="E88" s="240" t="str">
        <f>Market_currency</f>
        <v>CNY</v>
      </c>
    </row>
    <row r="89" spans="2:8" ht="15" customHeight="1">
      <c r="B89" s="80" t="s">
        <v>291</v>
      </c>
      <c r="C89" s="180">
        <f>SUM(C86:C88)</f>
        <v>2807468633.7196741</v>
      </c>
      <c r="D89" s="242">
        <f>SUM(D86:D88)</f>
        <v>2.7871709663931039</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AVERAGE(G4:J4)</f>
        <v>3723522339.5</v>
      </c>
      <c r="D4" s="57"/>
      <c r="E4" s="266"/>
      <c r="F4" s="57"/>
      <c r="G4" s="333">
        <f>Data!C36</f>
        <v>3912067946</v>
      </c>
      <c r="H4" s="333">
        <f>Data!D36</f>
        <v>3953761873</v>
      </c>
      <c r="I4" s="333">
        <f>Data!E36</f>
        <v>3442276658</v>
      </c>
      <c r="J4" s="333">
        <f>Data!F36</f>
        <v>3585982881</v>
      </c>
      <c r="K4" s="333">
        <f>Data!G36</f>
        <v>3097760404</v>
      </c>
      <c r="L4" s="333">
        <f>Data!H36</f>
        <v>3530148817</v>
      </c>
      <c r="M4" s="333">
        <f>Data!I36</f>
        <v>3170768175</v>
      </c>
      <c r="N4" s="333">
        <f>Data!J36</f>
        <v>2766461106</v>
      </c>
      <c r="O4" s="333">
        <f>Data!K36</f>
        <v>2349397869</v>
      </c>
      <c r="P4" s="333">
        <f>Data!L36</f>
        <v>2271278419</v>
      </c>
      <c r="Q4" s="333" t="str">
        <f>Data!M36</f>
        <v/>
      </c>
    </row>
    <row r="5" spans="1:17" ht="15.75" customHeight="1">
      <c r="A5" s="10"/>
      <c r="B5" s="2" t="s">
        <v>46</v>
      </c>
      <c r="C5" s="328">
        <f>C25</f>
        <v>-2057056829.7319524</v>
      </c>
      <c r="E5" s="268"/>
      <c r="G5" s="333">
        <f t="shared" ref="G5:Q5" si="1">G25</f>
        <v>-2111767362</v>
      </c>
      <c r="H5" s="333">
        <f t="shared" si="1"/>
        <v>-2131869033</v>
      </c>
      <c r="I5" s="333">
        <f t="shared" si="1"/>
        <v>-1932950839</v>
      </c>
      <c r="J5" s="333">
        <f t="shared" si="1"/>
        <v>-2041340072</v>
      </c>
      <c r="K5" s="333">
        <f t="shared" si="1"/>
        <v>-1860904651</v>
      </c>
      <c r="L5" s="333">
        <f t="shared" si="1"/>
        <v>-2065309689</v>
      </c>
      <c r="M5" s="333">
        <f t="shared" si="1"/>
        <v>-1910678926</v>
      </c>
      <c r="N5" s="333">
        <f t="shared" si="1"/>
        <v>-1695915235</v>
      </c>
      <c r="O5" s="333">
        <f t="shared" si="1"/>
        <v>-1271667832</v>
      </c>
      <c r="P5" s="333">
        <f t="shared" si="1"/>
        <v>-1278169752</v>
      </c>
      <c r="Q5" s="333" t="str">
        <f t="shared" si="1"/>
        <v/>
      </c>
    </row>
    <row r="6" spans="1:17" ht="15.75" customHeight="1">
      <c r="A6" s="10"/>
      <c r="B6" s="31" t="s">
        <v>48</v>
      </c>
      <c r="C6" s="329">
        <f>C4+C5</f>
        <v>1666465509.7680476</v>
      </c>
      <c r="E6" s="268"/>
      <c r="G6" s="329">
        <f>IF(G4="","",G4+G5)</f>
        <v>1800300584</v>
      </c>
      <c r="H6" s="329">
        <f t="shared" ref="H6:Q6" si="2">IF(H4="","",H4+H5)</f>
        <v>1821892840</v>
      </c>
      <c r="I6" s="329">
        <f t="shared" si="2"/>
        <v>1509325819</v>
      </c>
      <c r="J6" s="329">
        <f t="shared" si="2"/>
        <v>1544642809</v>
      </c>
      <c r="K6" s="329">
        <f t="shared" si="2"/>
        <v>1236855753</v>
      </c>
      <c r="L6" s="329">
        <f t="shared" si="2"/>
        <v>1464839128</v>
      </c>
      <c r="M6" s="329">
        <f t="shared" si="2"/>
        <v>1260089249</v>
      </c>
      <c r="N6" s="329">
        <f t="shared" si="2"/>
        <v>1070545871</v>
      </c>
      <c r="O6" s="329">
        <f t="shared" si="2"/>
        <v>1077730037</v>
      </c>
      <c r="P6" s="329">
        <f t="shared" si="2"/>
        <v>993108667</v>
      </c>
      <c r="Q6" s="329" t="str">
        <f t="shared" si="2"/>
        <v/>
      </c>
    </row>
    <row r="7" spans="1:17" ht="15.75" customHeight="1">
      <c r="A7" s="10"/>
      <c r="B7" s="8" t="s">
        <v>45</v>
      </c>
      <c r="C7" s="328">
        <f>C35</f>
        <v>-121114559.75</v>
      </c>
      <c r="E7" s="268"/>
      <c r="G7" s="328">
        <f t="shared" ref="G7:Q7" si="3">G35</f>
        <v>-126670214</v>
      </c>
      <c r="H7" s="328">
        <f t="shared" si="3"/>
        <v>-119898997</v>
      </c>
      <c r="I7" s="328">
        <f t="shared" si="3"/>
        <v>-121484320</v>
      </c>
      <c r="J7" s="328">
        <f t="shared" si="3"/>
        <v>-116404708</v>
      </c>
      <c r="K7" s="328">
        <f t="shared" si="3"/>
        <v>-91721701</v>
      </c>
      <c r="L7" s="328">
        <f t="shared" si="3"/>
        <v>-85459577</v>
      </c>
      <c r="M7" s="328">
        <f t="shared" si="3"/>
        <v>-86001361</v>
      </c>
      <c r="N7" s="328">
        <f t="shared" si="3"/>
        <v>-110857220</v>
      </c>
      <c r="O7" s="328">
        <f t="shared" si="3"/>
        <v>-82365347</v>
      </c>
      <c r="P7" s="328">
        <f t="shared" si="3"/>
        <v>-73747617</v>
      </c>
      <c r="Q7" s="328" t="str">
        <f t="shared" si="3"/>
        <v/>
      </c>
    </row>
    <row r="8" spans="1:17" ht="15.75" customHeight="1">
      <c r="A8" s="10"/>
      <c r="B8" s="29" t="s">
        <v>152</v>
      </c>
      <c r="C8" s="330">
        <f>C6+C7</f>
        <v>1545350950.0180476</v>
      </c>
      <c r="D8" s="59"/>
      <c r="E8" s="274"/>
      <c r="F8" s="59"/>
      <c r="G8" s="329">
        <f>IF(G$4="","",G6+G7)</f>
        <v>1673630370</v>
      </c>
      <c r="H8" s="329">
        <f t="shared" ref="H8:Q8" si="4">IF(H$4="","",H6+H7)</f>
        <v>1701993843</v>
      </c>
      <c r="I8" s="329">
        <f t="shared" si="4"/>
        <v>1387841499</v>
      </c>
      <c r="J8" s="329">
        <f t="shared" si="4"/>
        <v>1428238101</v>
      </c>
      <c r="K8" s="329">
        <f t="shared" si="4"/>
        <v>1145134052</v>
      </c>
      <c r="L8" s="329">
        <f t="shared" si="4"/>
        <v>1379379551</v>
      </c>
      <c r="M8" s="329">
        <f t="shared" si="4"/>
        <v>1174087888</v>
      </c>
      <c r="N8" s="329">
        <f t="shared" si="4"/>
        <v>959688651</v>
      </c>
      <c r="O8" s="329">
        <f t="shared" si="4"/>
        <v>995364690</v>
      </c>
      <c r="P8" s="329">
        <f t="shared" si="4"/>
        <v>919361050</v>
      </c>
      <c r="Q8" s="329" t="str">
        <f t="shared" si="4"/>
        <v/>
      </c>
    </row>
    <row r="9" spans="1:17" ht="15.75" customHeight="1">
      <c r="A9" s="10"/>
      <c r="B9" s="2" t="s">
        <v>65</v>
      </c>
      <c r="C9" s="328">
        <f>BS!$G$39*BS!D58</f>
        <v>462652711</v>
      </c>
      <c r="E9" s="268"/>
      <c r="G9" s="328">
        <f>IF(Data!C61="","",-Data!C61)</f>
        <v>462652711</v>
      </c>
      <c r="H9" s="328">
        <f>IF(Data!D61="","",-Data!D61)</f>
        <v>475220049</v>
      </c>
      <c r="I9" s="328">
        <f>IF(Data!E61="","",-Data!E61)</f>
        <v>495414928</v>
      </c>
      <c r="J9" s="328">
        <f>IF(Data!F61="","",-Data!F61)</f>
        <v>518843271</v>
      </c>
      <c r="K9" s="328">
        <f>IF(Data!G61="","",-Data!G61)</f>
        <v>514548362</v>
      </c>
      <c r="L9" s="328">
        <f>IF(Data!H61="","",-Data!H61)</f>
        <v>506465473</v>
      </c>
      <c r="M9" s="328">
        <f>IF(Data!I61="","",-Data!I61)</f>
        <v>461283106</v>
      </c>
      <c r="N9" s="328">
        <f>IF(Data!J61="","",-Data!J61)</f>
        <v>0</v>
      </c>
      <c r="O9" s="328">
        <f>IF(Data!K61="","",-Data!K61)</f>
        <v>0</v>
      </c>
      <c r="P9" s="328">
        <f>IF(Data!L61="","",-Data!L61)</f>
        <v>0</v>
      </c>
      <c r="Q9" s="328" t="str">
        <f>IF(Data!M61="","",-Data!M61)</f>
        <v/>
      </c>
    </row>
    <row r="10" spans="1:17" ht="15.75" customHeight="1">
      <c r="A10" s="10"/>
      <c r="B10" s="2" t="s">
        <v>80</v>
      </c>
      <c r="C10" s="328">
        <f>-C4*C78</f>
        <v>-490634169.24661446</v>
      </c>
      <c r="E10" s="268"/>
      <c r="G10" s="328">
        <f>Data!C62</f>
        <v>-462652711</v>
      </c>
      <c r="H10" s="328">
        <f>Data!D62</f>
        <v>-475220049</v>
      </c>
      <c r="I10" s="328">
        <f>Data!E62</f>
        <v>-495414928</v>
      </c>
      <c r="J10" s="328">
        <f>Data!F62</f>
        <v>-518843271</v>
      </c>
      <c r="K10" s="328">
        <f>Data!G62</f>
        <v>-514548362</v>
      </c>
      <c r="L10" s="328">
        <f>Data!H62</f>
        <v>-506465473</v>
      </c>
      <c r="M10" s="328">
        <f>Data!I62</f>
        <v>-461283106</v>
      </c>
      <c r="N10" s="328">
        <f>Data!J62</f>
        <v>0</v>
      </c>
      <c r="O10" s="328">
        <f>Data!K62</f>
        <v>0</v>
      </c>
      <c r="P10" s="328">
        <f>Data!L62</f>
        <v>0</v>
      </c>
      <c r="Q10" s="328" t="str">
        <f>Data!M62</f>
        <v/>
      </c>
    </row>
    <row r="11" spans="1:17" ht="15.75" customHeight="1">
      <c r="A11" s="10"/>
      <c r="B11" s="31" t="s">
        <v>194</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-53103191</v>
      </c>
      <c r="E12" s="268"/>
      <c r="G12" s="328">
        <f>G50</f>
        <v>-53103191</v>
      </c>
      <c r="H12" s="328">
        <f t="shared" ref="H12:Q12" si="6">H50</f>
        <v>-71173386</v>
      </c>
      <c r="I12" s="328">
        <f t="shared" si="6"/>
        <v>-95605656</v>
      </c>
      <c r="J12" s="328">
        <f t="shared" si="6"/>
        <v>-115890645</v>
      </c>
      <c r="K12" s="328">
        <f t="shared" si="6"/>
        <v>-105753716</v>
      </c>
      <c r="L12" s="328">
        <f t="shared" si="6"/>
        <v>-112756416</v>
      </c>
      <c r="M12" s="328">
        <f t="shared" si="6"/>
        <v>-145025415</v>
      </c>
      <c r="N12" s="328">
        <f t="shared" si="6"/>
        <v>0</v>
      </c>
      <c r="O12" s="328">
        <f t="shared" si="6"/>
        <v>0</v>
      </c>
      <c r="P12" s="328">
        <f t="shared" si="6"/>
        <v>0</v>
      </c>
      <c r="Q12" s="328" t="str">
        <f t="shared" si="6"/>
        <v/>
      </c>
    </row>
    <row r="13" spans="1:17" ht="15.75" customHeight="1">
      <c r="A13" s="10"/>
      <c r="B13" s="70" t="s">
        <v>164</v>
      </c>
      <c r="C13" s="329">
        <f>SUM(C8:C12)</f>
        <v>1464266300.7714331</v>
      </c>
      <c r="E13" s="268"/>
      <c r="G13" s="329">
        <f>IF(G$4="","",SUM(G8:G12))</f>
        <v>1620527179</v>
      </c>
      <c r="H13" s="329">
        <f t="shared" ref="H13:Q13" si="7">IF(H$4="","",SUM(H8:H12))</f>
        <v>1630820457</v>
      </c>
      <c r="I13" s="329">
        <f t="shared" si="7"/>
        <v>1292235843</v>
      </c>
      <c r="J13" s="329">
        <f t="shared" si="7"/>
        <v>1312347456</v>
      </c>
      <c r="K13" s="329">
        <f t="shared" si="7"/>
        <v>1039380336</v>
      </c>
      <c r="L13" s="329">
        <f t="shared" si="7"/>
        <v>1266623135</v>
      </c>
      <c r="M13" s="329">
        <f t="shared" si="7"/>
        <v>1029062473</v>
      </c>
      <c r="N13" s="329">
        <f t="shared" si="7"/>
        <v>959688651</v>
      </c>
      <c r="O13" s="329">
        <f t="shared" si="7"/>
        <v>995364690</v>
      </c>
      <c r="P13" s="329">
        <f t="shared" si="7"/>
        <v>919361050</v>
      </c>
      <c r="Q13" s="329" t="str">
        <f t="shared" si="7"/>
        <v/>
      </c>
    </row>
    <row r="14" spans="1:17" ht="15.75" customHeight="1">
      <c r="A14" s="10"/>
      <c r="B14" s="2" t="s">
        <v>63</v>
      </c>
      <c r="C14" s="328">
        <f>-SUM(C8+C11,C12)*C43</f>
        <v>-373061939.75451189</v>
      </c>
      <c r="E14" s="268"/>
      <c r="G14" s="328">
        <f>Data!C46</f>
        <v>-421611829</v>
      </c>
      <c r="H14" s="328">
        <f>Data!D46</f>
        <v>-420155428</v>
      </c>
      <c r="I14" s="328">
        <f>Data!E46</f>
        <v>-376893525</v>
      </c>
      <c r="J14" s="328">
        <f>Data!F46</f>
        <v>-341900302</v>
      </c>
      <c r="K14" s="328">
        <f>Data!G46</f>
        <v>-278949056</v>
      </c>
      <c r="L14" s="328">
        <f>Data!H46</f>
        <v>-328294411</v>
      </c>
      <c r="M14" s="328">
        <f>Data!I46</f>
        <v>-260328417</v>
      </c>
      <c r="N14" s="328">
        <f>Data!J46</f>
        <v>-213401798</v>
      </c>
      <c r="O14" s="328">
        <f>Data!K46</f>
        <v>-231671396</v>
      </c>
      <c r="P14" s="328">
        <f>Data!L46</f>
        <v>-210665216</v>
      </c>
      <c r="Q14" s="328" t="str">
        <f>Data!M46</f>
        <v/>
      </c>
    </row>
    <row r="15" spans="1:17" ht="15.75" customHeight="1">
      <c r="A15" s="10"/>
      <c r="B15" s="40" t="s">
        <v>243</v>
      </c>
      <c r="C15" s="328">
        <f>-C4*C83</f>
        <v>-1078102.8016474061</v>
      </c>
      <c r="D15" s="60"/>
      <c r="E15" s="275"/>
      <c r="F15" s="60"/>
      <c r="G15" s="333">
        <f>Data!C48</f>
        <v>-1132694</v>
      </c>
      <c r="H15" s="333">
        <f>Data!D48</f>
        <v>-902070</v>
      </c>
      <c r="I15" s="333">
        <f>Data!E48</f>
        <v>-981992</v>
      </c>
      <c r="J15" s="333">
        <f>Data!F48</f>
        <v>-811462</v>
      </c>
      <c r="K15" s="333">
        <f>Data!G48</f>
        <v>-704543</v>
      </c>
      <c r="L15" s="333">
        <f>Data!H48</f>
        <v>-655511</v>
      </c>
      <c r="M15" s="333">
        <f>Data!I48</f>
        <v>-823429</v>
      </c>
      <c r="N15" s="333">
        <f>Data!J48</f>
        <v>-795223</v>
      </c>
      <c r="O15" s="333">
        <f>Data!K48</f>
        <v>-574487</v>
      </c>
      <c r="P15" s="333">
        <f>Data!L48</f>
        <v>-664400</v>
      </c>
      <c r="Q15" s="333" t="str">
        <f>Data!M48</f>
        <v/>
      </c>
    </row>
    <row r="16" spans="1:17" ht="15.75" customHeight="1">
      <c r="A16" s="10"/>
      <c r="B16" s="41" t="s">
        <v>154</v>
      </c>
      <c r="C16" s="332">
        <f>SUM(C13:C15)</f>
        <v>1090126258.2152739</v>
      </c>
      <c r="D16" s="61"/>
      <c r="E16" s="276"/>
      <c r="F16" s="61"/>
      <c r="G16" s="329">
        <f>IF(G$4="","",SUM(G13:G15))</f>
        <v>1197782656</v>
      </c>
      <c r="H16" s="329">
        <f t="shared" ref="H16:Q16" si="8">IF(H$4="","",SUM(H13:H15))</f>
        <v>1209762959</v>
      </c>
      <c r="I16" s="329">
        <f t="shared" si="8"/>
        <v>914360326</v>
      </c>
      <c r="J16" s="329">
        <f t="shared" si="8"/>
        <v>969635692</v>
      </c>
      <c r="K16" s="329">
        <f t="shared" si="8"/>
        <v>759726737</v>
      </c>
      <c r="L16" s="329">
        <f t="shared" si="8"/>
        <v>937673213</v>
      </c>
      <c r="M16" s="329">
        <f t="shared" si="8"/>
        <v>767910627</v>
      </c>
      <c r="N16" s="329">
        <f t="shared" si="8"/>
        <v>745491630</v>
      </c>
      <c r="O16" s="329">
        <f t="shared" si="8"/>
        <v>763118807</v>
      </c>
      <c r="P16" s="329">
        <f t="shared" si="8"/>
        <v>708031434</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1090126258.2152739</v>
      </c>
      <c r="D19" s="27"/>
      <c r="E19" s="265"/>
      <c r="F19" s="27"/>
      <c r="G19" s="334">
        <f>IF(G$4="","",G16+G17)</f>
        <v>1197782656</v>
      </c>
      <c r="H19" s="334">
        <f t="shared" ref="H19:Q19" si="9">IF(H$4="","",H16+H17)</f>
        <v>1209762959</v>
      </c>
      <c r="I19" s="334">
        <f t="shared" si="9"/>
        <v>914360326</v>
      </c>
      <c r="J19" s="334">
        <f t="shared" si="9"/>
        <v>969635692</v>
      </c>
      <c r="K19" s="334">
        <f t="shared" si="9"/>
        <v>759726737</v>
      </c>
      <c r="L19" s="334">
        <f t="shared" si="9"/>
        <v>937673213</v>
      </c>
      <c r="M19" s="334">
        <f t="shared" si="9"/>
        <v>767910627</v>
      </c>
      <c r="N19" s="334">
        <f t="shared" si="9"/>
        <v>745491630</v>
      </c>
      <c r="O19" s="334">
        <f t="shared" si="9"/>
        <v>763118807</v>
      </c>
      <c r="P19" s="334">
        <f t="shared" si="9"/>
        <v>708031434</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-1970168054.1106753</v>
      </c>
      <c r="D23" s="58"/>
      <c r="E23" s="267"/>
      <c r="F23" s="58"/>
      <c r="G23" s="333">
        <f>Data!C37</f>
        <v>-2022497629</v>
      </c>
      <c r="H23" s="333">
        <f>Data!D37</f>
        <v>-2044370995</v>
      </c>
      <c r="I23" s="333">
        <f>Data!E37</f>
        <v>-1859278213</v>
      </c>
      <c r="J23" s="333">
        <f>Data!F37</f>
        <v>-1944558974</v>
      </c>
      <c r="K23" s="333">
        <f>Data!G37</f>
        <v>-1759673042</v>
      </c>
      <c r="L23" s="333">
        <f>Data!H37</f>
        <v>-1964870699</v>
      </c>
      <c r="M23" s="333">
        <f>Data!I37</f>
        <v>-1823717021</v>
      </c>
      <c r="N23" s="333">
        <f>Data!J37</f>
        <v>-1601141545</v>
      </c>
      <c r="O23" s="333">
        <f>Data!K37</f>
        <v>-1217181691</v>
      </c>
      <c r="P23" s="333">
        <f>Data!L37</f>
        <v>-1231847822</v>
      </c>
      <c r="Q23" s="333" t="str">
        <f>Data!M37</f>
        <v/>
      </c>
    </row>
    <row r="24" spans="1:17" ht="15.75" customHeight="1">
      <c r="A24" s="10"/>
      <c r="B24" s="68" t="s">
        <v>62</v>
      </c>
      <c r="C24" s="328">
        <f>-C4*C29</f>
        <v>-86888775.621277019</v>
      </c>
      <c r="D24" s="27"/>
      <c r="E24" s="265"/>
      <c r="F24" s="27"/>
      <c r="G24" s="333">
        <f>Data!C40</f>
        <v>-89269733</v>
      </c>
      <c r="H24" s="333">
        <f>Data!D40</f>
        <v>-87498038</v>
      </c>
      <c r="I24" s="333">
        <f>Data!E40</f>
        <v>-73672626</v>
      </c>
      <c r="J24" s="333">
        <f>Data!F40</f>
        <v>-96781098</v>
      </c>
      <c r="K24" s="333">
        <f>Data!G40</f>
        <v>-101231609</v>
      </c>
      <c r="L24" s="333">
        <f>Data!H40</f>
        <v>-100438990</v>
      </c>
      <c r="M24" s="333">
        <f>Data!I40</f>
        <v>-86961905</v>
      </c>
      <c r="N24" s="333">
        <f>Data!J40</f>
        <v>-94773690</v>
      </c>
      <c r="O24" s="333">
        <f>Data!K40</f>
        <v>-54486141</v>
      </c>
      <c r="P24" s="333">
        <f>Data!L40</f>
        <v>-46321930</v>
      </c>
      <c r="Q24" s="333" t="str">
        <f>Data!M40</f>
        <v/>
      </c>
    </row>
    <row r="25" spans="1:17" ht="15.75" customHeight="1">
      <c r="A25" s="10"/>
      <c r="B25" s="70" t="s">
        <v>46</v>
      </c>
      <c r="C25" s="329">
        <f>C23+C24</f>
        <v>-2057056829.7319524</v>
      </c>
      <c r="D25" s="9"/>
      <c r="E25" s="273"/>
      <c r="F25" s="9"/>
      <c r="G25" s="329">
        <f t="shared" ref="G25:Q25" si="10">IF(G$4="","",G23+G24)</f>
        <v>-2111767362</v>
      </c>
      <c r="H25" s="329">
        <f t="shared" si="10"/>
        <v>-2131869033</v>
      </c>
      <c r="I25" s="329">
        <f t="shared" si="10"/>
        <v>-1932950839</v>
      </c>
      <c r="J25" s="329">
        <f t="shared" si="10"/>
        <v>-2041340072</v>
      </c>
      <c r="K25" s="329">
        <f t="shared" si="10"/>
        <v>-1860904651</v>
      </c>
      <c r="L25" s="329">
        <f t="shared" si="10"/>
        <v>-2065309689</v>
      </c>
      <c r="M25" s="329">
        <f t="shared" si="10"/>
        <v>-1910678926</v>
      </c>
      <c r="N25" s="329">
        <f t="shared" si="10"/>
        <v>-1695915235</v>
      </c>
      <c r="O25" s="329">
        <f t="shared" si="10"/>
        <v>-1271667832</v>
      </c>
      <c r="P25" s="329">
        <f t="shared" si="10"/>
        <v>-1278169752</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AVERAGE(G28:J28)</f>
        <v>0.52911406847507525</v>
      </c>
      <c r="D28" s="26"/>
      <c r="E28" s="266" t="s">
        <v>333</v>
      </c>
      <c r="F28" s="26"/>
      <c r="G28" s="13">
        <f t="shared" ref="G28:Q28" si="11">IF(G$4="","",ABS(G23/G$4))</f>
        <v>0.51698939203445016</v>
      </c>
      <c r="H28" s="13">
        <f t="shared" si="11"/>
        <v>0.51706983391207384</v>
      </c>
      <c r="I28" s="13">
        <f t="shared" si="11"/>
        <v>0.54013038396520419</v>
      </c>
      <c r="J28" s="13">
        <f t="shared" si="11"/>
        <v>0.54226666398857248</v>
      </c>
      <c r="K28" s="13">
        <f t="shared" si="11"/>
        <v>0.56804685079188588</v>
      </c>
      <c r="L28" s="13">
        <f t="shared" si="11"/>
        <v>0.55659712971244979</v>
      </c>
      <c r="M28" s="13">
        <f t="shared" si="11"/>
        <v>0.57516567605892532</v>
      </c>
      <c r="N28" s="13">
        <f t="shared" si="11"/>
        <v>0.57876886160712215</v>
      </c>
      <c r="O28" s="13">
        <f t="shared" si="11"/>
        <v>0.51808240190414512</v>
      </c>
      <c r="P28" s="13">
        <f t="shared" si="11"/>
        <v>0.54235879304588241</v>
      </c>
      <c r="Q28" s="13" t="str">
        <f t="shared" si="11"/>
        <v/>
      </c>
    </row>
    <row r="29" spans="1:17" ht="15.75" customHeight="1">
      <c r="A29" s="10"/>
      <c r="B29" s="68" t="str">
        <f>B24</f>
        <v>Selling Expenses</v>
      </c>
      <c r="C29" s="63">
        <f>AVERAGE(G29:J29)</f>
        <v>2.3335102545119838E-2</v>
      </c>
      <c r="D29" s="26"/>
      <c r="E29" s="266" t="s">
        <v>333</v>
      </c>
      <c r="F29" s="26"/>
      <c r="G29" s="13">
        <f t="shared" ref="G29:Q29" si="12">IF(G$4="","",ABS(G24/G$4))</f>
        <v>2.2819065065389842E-2</v>
      </c>
      <c r="H29" s="13">
        <f t="shared" si="12"/>
        <v>2.2130325702597011E-2</v>
      </c>
      <c r="I29" s="13">
        <f t="shared" si="12"/>
        <v>2.1402296595998939E-2</v>
      </c>
      <c r="J29" s="13">
        <f t="shared" si="12"/>
        <v>2.6988722816493557E-2</v>
      </c>
      <c r="K29" s="13">
        <f t="shared" si="12"/>
        <v>3.2678966671949236E-2</v>
      </c>
      <c r="L29" s="13">
        <f t="shared" si="12"/>
        <v>2.845177220753977E-2</v>
      </c>
      <c r="M29" s="13">
        <f t="shared" si="12"/>
        <v>2.7426131524106143E-2</v>
      </c>
      <c r="N29" s="13">
        <f t="shared" si="12"/>
        <v>3.4258095945918568E-2</v>
      </c>
      <c r="O29" s="13">
        <f t="shared" si="12"/>
        <v>2.3191534187945582E-2</v>
      </c>
      <c r="P29" s="13">
        <f t="shared" si="12"/>
        <v>2.0394650700901146E-2</v>
      </c>
      <c r="Q29" s="13" t="str">
        <f t="shared" si="12"/>
        <v/>
      </c>
    </row>
    <row r="30" spans="1:17" ht="15.75" customHeight="1">
      <c r="A30" s="10"/>
      <c r="B30" s="70" t="s">
        <v>46</v>
      </c>
      <c r="C30" s="71">
        <f>ABS(C25/$C$4)</f>
        <v>0.55244917102019508</v>
      </c>
      <c r="E30" s="268"/>
      <c r="G30" s="30">
        <f t="shared" ref="G30:Q30" si="13">IF(G$4="","",ABS(G25/G$4))</f>
        <v>0.53980845709983993</v>
      </c>
      <c r="H30" s="30">
        <f t="shared" si="13"/>
        <v>0.53920015961467083</v>
      </c>
      <c r="I30" s="30">
        <f t="shared" si="13"/>
        <v>0.5615326805612032</v>
      </c>
      <c r="J30" s="30">
        <f t="shared" si="13"/>
        <v>0.56925538680506604</v>
      </c>
      <c r="K30" s="30">
        <f t="shared" si="13"/>
        <v>0.60072581746383502</v>
      </c>
      <c r="L30" s="30">
        <f t="shared" si="13"/>
        <v>0.58504890191998948</v>
      </c>
      <c r="M30" s="30">
        <f t="shared" si="13"/>
        <v>0.60259180758303155</v>
      </c>
      <c r="N30" s="30">
        <f t="shared" si="13"/>
        <v>0.61302695755304071</v>
      </c>
      <c r="O30" s="30">
        <f t="shared" si="13"/>
        <v>0.54127393609209062</v>
      </c>
      <c r="P30" s="30">
        <f t="shared" si="13"/>
        <v>0.5627534437467836</v>
      </c>
      <c r="Q30" s="30" t="str">
        <f t="shared" si="13"/>
        <v/>
      </c>
    </row>
    <row r="31" spans="1:17" ht="15.75" customHeight="1">
      <c r="A31" s="10"/>
      <c r="E31" s="268"/>
    </row>
    <row r="32" spans="1:17" ht="15.75" customHeight="1">
      <c r="A32" s="10"/>
      <c r="B32" s="64" t="s">
        <v>45</v>
      </c>
      <c r="E32" s="268"/>
    </row>
    <row r="33" spans="1:17" ht="15.75" customHeight="1">
      <c r="A33" s="10"/>
      <c r="B33" s="8" t="s">
        <v>174</v>
      </c>
      <c r="C33" s="340">
        <f>AVERAGE(G33:J33)</f>
        <v>-121114559.75</v>
      </c>
      <c r="E33" s="266" t="s">
        <v>333</v>
      </c>
      <c r="G33" s="328">
        <f>Data!C41</f>
        <v>-126670214</v>
      </c>
      <c r="H33" s="328">
        <f>Data!D41</f>
        <v>-119898997</v>
      </c>
      <c r="I33" s="328">
        <f>Data!E41</f>
        <v>-121484320</v>
      </c>
      <c r="J33" s="328">
        <f>Data!F41</f>
        <v>-116404708</v>
      </c>
      <c r="K33" s="328">
        <f>Data!G41</f>
        <v>-91721701</v>
      </c>
      <c r="L33" s="328">
        <f>Data!H41</f>
        <v>-85459577</v>
      </c>
      <c r="M33" s="328">
        <f>Data!I41</f>
        <v>-86001361</v>
      </c>
      <c r="N33" s="328">
        <f>Data!J41</f>
        <v>-110857220</v>
      </c>
      <c r="O33" s="328">
        <f>Data!K41</f>
        <v>-82365347</v>
      </c>
      <c r="P33" s="328">
        <f>Data!L41</f>
        <v>-73747617</v>
      </c>
      <c r="Q33" s="328" t="str">
        <f>Data!M41</f>
        <v/>
      </c>
    </row>
    <row r="34" spans="1:17" ht="15.75" customHeight="1">
      <c r="A34" s="10"/>
      <c r="B34" s="27" t="s">
        <v>49</v>
      </c>
      <c r="C34" s="340">
        <f>AVERAGE(G34:J34)</f>
        <v>0</v>
      </c>
      <c r="D34" s="58"/>
      <c r="E34" s="266" t="s">
        <v>333</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-121114559.75</v>
      </c>
      <c r="D35" s="58"/>
      <c r="E35" s="267"/>
      <c r="F35" s="58"/>
      <c r="G35" s="329">
        <f t="shared" ref="G35:Q35" si="14">IF(G4="","",G33+G34)</f>
        <v>-126670214</v>
      </c>
      <c r="H35" s="329">
        <f t="shared" si="14"/>
        <v>-119898997</v>
      </c>
      <c r="I35" s="329">
        <f t="shared" si="14"/>
        <v>-121484320</v>
      </c>
      <c r="J35" s="329">
        <f t="shared" si="14"/>
        <v>-116404708</v>
      </c>
      <c r="K35" s="329">
        <f t="shared" si="14"/>
        <v>-91721701</v>
      </c>
      <c r="L35" s="329">
        <f t="shared" si="14"/>
        <v>-85459577</v>
      </c>
      <c r="M35" s="329">
        <f t="shared" si="14"/>
        <v>-86001361</v>
      </c>
      <c r="N35" s="329">
        <f t="shared" si="14"/>
        <v>-110857220</v>
      </c>
      <c r="O35" s="329">
        <f t="shared" si="14"/>
        <v>-82365347</v>
      </c>
      <c r="P35" s="329">
        <f t="shared" si="14"/>
        <v>-73747617</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3.2526878774215555E-2</v>
      </c>
      <c r="D38" s="27"/>
      <c r="E38" s="265"/>
      <c r="F38" s="27"/>
      <c r="G38" s="13">
        <f t="shared" ref="G38:Q38" si="15">IF(G$4="","",ABS(G33/G$4))</f>
        <v>3.2379349169923646E-2</v>
      </c>
      <c r="H38" s="13">
        <f t="shared" si="15"/>
        <v>3.0325295465764637E-2</v>
      </c>
      <c r="I38" s="13">
        <f t="shared" si="15"/>
        <v>3.529185247724502E-2</v>
      </c>
      <c r="J38" s="13">
        <f t="shared" si="15"/>
        <v>3.2461032822203258E-2</v>
      </c>
      <c r="K38" s="13">
        <f t="shared" si="15"/>
        <v>2.9609036541871945E-2</v>
      </c>
      <c r="L38" s="13">
        <f t="shared" si="15"/>
        <v>2.4208491321514734E-2</v>
      </c>
      <c r="M38" s="13">
        <f t="shared" si="15"/>
        <v>2.7123194208293074E-2</v>
      </c>
      <c r="N38" s="13">
        <f t="shared" si="15"/>
        <v>4.0071851998775221E-2</v>
      </c>
      <c r="O38" s="13">
        <f t="shared" si="15"/>
        <v>3.5058066616472275E-2</v>
      </c>
      <c r="P38" s="13">
        <f t="shared" si="15"/>
        <v>3.2469650740779572E-2</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3.2526878774215555E-2</v>
      </c>
      <c r="E40" s="268"/>
      <c r="G40" s="30">
        <f t="shared" ref="G40:Q40" si="17">IF(G$4="","",ABS(G35/G$4))</f>
        <v>3.2379349169923646E-2</v>
      </c>
      <c r="H40" s="30">
        <f t="shared" si="17"/>
        <v>3.0325295465764637E-2</v>
      </c>
      <c r="I40" s="30">
        <f t="shared" si="17"/>
        <v>3.529185247724502E-2</v>
      </c>
      <c r="J40" s="30">
        <f t="shared" si="17"/>
        <v>3.2461032822203258E-2</v>
      </c>
      <c r="K40" s="30">
        <f t="shared" si="17"/>
        <v>2.9609036541871945E-2</v>
      </c>
      <c r="L40" s="30">
        <f t="shared" si="17"/>
        <v>2.4208491321514734E-2</v>
      </c>
      <c r="M40" s="30">
        <f t="shared" si="17"/>
        <v>2.7123194208293074E-2</v>
      </c>
      <c r="N40" s="30">
        <f t="shared" si="17"/>
        <v>4.0071851998775221E-2</v>
      </c>
      <c r="O40" s="30">
        <f t="shared" si="17"/>
        <v>3.5058066616472275E-2</v>
      </c>
      <c r="P40" s="30">
        <f t="shared" si="17"/>
        <v>3.2469650740779572E-2</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0.26016955128155861</v>
      </c>
      <c r="H43" s="6">
        <f t="shared" si="18"/>
        <v>0.25763438654240528</v>
      </c>
      <c r="I43" s="6">
        <f t="shared" si="18"/>
        <v>0.29166001472689379</v>
      </c>
      <c r="J43" s="6">
        <f t="shared" si="18"/>
        <v>0.26052574753495772</v>
      </c>
      <c r="K43" s="6">
        <f t="shared" si="18"/>
        <v>0.26838015530822973</v>
      </c>
      <c r="L43" s="6">
        <f t="shared" si="18"/>
        <v>0.25918870572342734</v>
      </c>
      <c r="M43" s="6">
        <f t="shared" si="18"/>
        <v>0.25297630010845806</v>
      </c>
      <c r="N43" s="6">
        <f t="shared" si="18"/>
        <v>0.22236565763035163</v>
      </c>
      <c r="O43" s="6">
        <f t="shared" si="18"/>
        <v>0.23275026563379497</v>
      </c>
      <c r="P43" s="6">
        <f t="shared" si="18"/>
        <v>0.22914307278952051</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-53103191</v>
      </c>
      <c r="E47" s="268"/>
      <c r="G47" s="328">
        <f>Data!C51</f>
        <v>-53103191</v>
      </c>
      <c r="H47" s="328">
        <f>Data!D51</f>
        <v>-71173386</v>
      </c>
      <c r="I47" s="328">
        <f>Data!E51</f>
        <v>-95605656</v>
      </c>
      <c r="J47" s="328">
        <f>Data!F51</f>
        <v>-115890645</v>
      </c>
      <c r="K47" s="328">
        <f>Data!G51</f>
        <v>-105753716</v>
      </c>
      <c r="L47" s="328">
        <f>Data!H51</f>
        <v>-112756416</v>
      </c>
      <c r="M47" s="328">
        <f>Data!I51</f>
        <v>-145025415</v>
      </c>
      <c r="N47" s="328">
        <f>Data!J51</f>
        <v>0</v>
      </c>
      <c r="O47" s="328">
        <f>Data!K51</f>
        <v>0</v>
      </c>
      <c r="P47" s="328">
        <f>Data!L51</f>
        <v>0</v>
      </c>
      <c r="Q47" s="328" t="str">
        <f>Data!M51</f>
        <v/>
      </c>
    </row>
    <row r="48" spans="1:17" ht="15.75" customHeight="1">
      <c r="A48" s="10"/>
      <c r="B48" s="2" t="s">
        <v>345</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342</v>
      </c>
      <c r="C49" s="342">
        <f>BS!$C$66*C53</f>
        <v>0</v>
      </c>
      <c r="D49" s="288"/>
      <c r="E49" s="289"/>
      <c r="F49" s="288"/>
      <c r="G49" s="342">
        <f>Data!C52</f>
        <v>44666271</v>
      </c>
      <c r="H49" s="342">
        <f>Data!D52</f>
        <v>31733562</v>
      </c>
      <c r="I49" s="342">
        <f>Data!E52</f>
        <v>52174747</v>
      </c>
      <c r="J49" s="342">
        <f>Data!F52</f>
        <v>33876650</v>
      </c>
      <c r="K49" s="342">
        <f>Data!G52</f>
        <v>19155473</v>
      </c>
      <c r="L49" s="342">
        <f>Data!H52</f>
        <v>4307482</v>
      </c>
      <c r="M49" s="342">
        <f>Data!I52</f>
        <v>4873611</v>
      </c>
      <c r="N49" s="342">
        <f>Data!J52</f>
        <v>0</v>
      </c>
      <c r="O49" s="342">
        <f>Data!K52</f>
        <v>0</v>
      </c>
      <c r="P49" s="342">
        <f>Data!L52</f>
        <v>0</v>
      </c>
      <c r="Q49" s="342" t="str">
        <f>Data!M52</f>
        <v/>
      </c>
    </row>
    <row r="50" spans="1:17" ht="15.75" customHeight="1">
      <c r="A50" s="10"/>
      <c r="B50" s="70" t="s">
        <v>68</v>
      </c>
      <c r="C50" s="329">
        <f>C47+C48</f>
        <v>-53103191</v>
      </c>
      <c r="E50" s="268"/>
      <c r="G50" s="329">
        <f>IF(G$4="","",(G47+G48))</f>
        <v>-53103191</v>
      </c>
      <c r="H50" s="329">
        <f t="shared" ref="H50:Q50" si="20">IF(H$4="","",(H47+H48))</f>
        <v>-71173386</v>
      </c>
      <c r="I50" s="329">
        <f t="shared" si="20"/>
        <v>-95605656</v>
      </c>
      <c r="J50" s="329">
        <f t="shared" si="20"/>
        <v>-115890645</v>
      </c>
      <c r="K50" s="329">
        <f t="shared" si="20"/>
        <v>-105753716</v>
      </c>
      <c r="L50" s="329">
        <f t="shared" si="20"/>
        <v>-112756416</v>
      </c>
      <c r="M50" s="329">
        <f t="shared" si="20"/>
        <v>-145025415</v>
      </c>
      <c r="N50" s="329">
        <f t="shared" si="20"/>
        <v>0</v>
      </c>
      <c r="O50" s="329">
        <f t="shared" si="20"/>
        <v>0</v>
      </c>
      <c r="P50" s="329">
        <f t="shared" si="20"/>
        <v>0</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v>0</v>
      </c>
      <c r="E53" s="265" t="s">
        <v>335</v>
      </c>
      <c r="G53" s="6">
        <f>IF(Normalized_FCF!G4="","",Normalized_FCF!G49/BS!$C$66)</f>
        <v>1.1205488332901081E-2</v>
      </c>
      <c r="H53" s="169"/>
      <c r="I53" s="169"/>
      <c r="J53" s="169"/>
      <c r="K53" s="169"/>
      <c r="L53" s="169"/>
      <c r="M53" s="169"/>
      <c r="N53" s="169"/>
      <c r="O53" s="169"/>
      <c r="P53" s="169"/>
      <c r="Q53" s="169"/>
    </row>
    <row r="54" spans="1:17" ht="15.75" customHeight="1">
      <c r="A54" s="10"/>
      <c r="B54" s="8" t="s">
        <v>87</v>
      </c>
      <c r="C54" s="82">
        <f>G54</f>
        <v>4.3098432538541648E-2</v>
      </c>
      <c r="E54" s="265" t="s">
        <v>336</v>
      </c>
      <c r="G54" s="23">
        <f>IFERROR(ABS(Normalized_FCF!G47/BS!$G$31),0)</f>
        <v>4.3098432538541648E-2</v>
      </c>
      <c r="H54" s="169"/>
      <c r="I54" s="169"/>
      <c r="J54" s="169"/>
      <c r="K54" s="169"/>
      <c r="L54" s="169"/>
      <c r="M54" s="169"/>
      <c r="N54" s="169"/>
      <c r="O54" s="169"/>
      <c r="P54" s="169"/>
      <c r="Q54" s="169"/>
    </row>
    <row r="55" spans="1:17" ht="15.75" customHeight="1">
      <c r="A55" s="10"/>
      <c r="B55" s="26" t="s">
        <v>90</v>
      </c>
      <c r="C55" s="42">
        <f>-C8/C47</f>
        <v>29.100905631415777</v>
      </c>
      <c r="E55" s="268"/>
      <c r="G55" s="42">
        <f t="shared" ref="G55:Q55" si="21">IF(G4="","",-G8/G47)</f>
        <v>31.51656875007756</v>
      </c>
      <c r="H55" s="42">
        <f t="shared" si="21"/>
        <v>23.913346528153095</v>
      </c>
      <c r="I55" s="42">
        <f t="shared" si="21"/>
        <v>14.51631166047331</v>
      </c>
      <c r="J55" s="42">
        <f t="shared" si="21"/>
        <v>12.324015463025511</v>
      </c>
      <c r="K55" s="42">
        <f t="shared" si="21"/>
        <v>10.828310297862252</v>
      </c>
      <c r="L55" s="42">
        <f t="shared" si="21"/>
        <v>12.233268845650432</v>
      </c>
      <c r="M55" s="42">
        <f t="shared" si="21"/>
        <v>8.0957388606679732</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159</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194</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160</v>
      </c>
      <c r="C62" s="343">
        <v>0</v>
      </c>
      <c r="E62" s="266" t="s">
        <v>337</v>
      </c>
      <c r="G62" s="328">
        <f>Data!C58</f>
        <v>19940147</v>
      </c>
      <c r="H62" s="328">
        <f>Data!D58</f>
        <v>17704806</v>
      </c>
      <c r="I62" s="328">
        <f>Data!E58</f>
        <v>149335738</v>
      </c>
      <c r="J62" s="328">
        <f>Data!F58</f>
        <v>20281375</v>
      </c>
      <c r="K62" s="328">
        <f>Data!G58</f>
        <v>46544093</v>
      </c>
      <c r="L62" s="328">
        <f>Data!H58</f>
        <v>30446380</v>
      </c>
      <c r="M62" s="328">
        <f>Data!I58</f>
        <v>1867081</v>
      </c>
      <c r="N62" s="328">
        <f>Data!J58</f>
        <v>-110684915</v>
      </c>
      <c r="O62" s="328">
        <f>Data!K58</f>
        <v>-76778417</v>
      </c>
      <c r="P62" s="328">
        <f>Data!L58</f>
        <v>-80432712</v>
      </c>
      <c r="Q62" s="328" t="str">
        <f>Data!M58</f>
        <v/>
      </c>
    </row>
    <row r="63" spans="1:17" ht="15.75" customHeight="1">
      <c r="A63" s="10"/>
      <c r="B63" s="31" t="s">
        <v>195</v>
      </c>
      <c r="C63" s="329">
        <f>C61+C62</f>
        <v>0</v>
      </c>
      <c r="E63" s="268"/>
      <c r="G63" s="329">
        <f t="shared" ref="G63:Q63" si="23">IF(G4="","",G61+G62)</f>
        <v>19940147</v>
      </c>
      <c r="H63" s="329">
        <f t="shared" si="23"/>
        <v>17704806</v>
      </c>
      <c r="I63" s="329">
        <f t="shared" si="23"/>
        <v>149335738</v>
      </c>
      <c r="J63" s="329">
        <f t="shared" si="23"/>
        <v>20281375</v>
      </c>
      <c r="K63" s="329">
        <f t="shared" si="23"/>
        <v>46544093</v>
      </c>
      <c r="L63" s="329">
        <f t="shared" si="23"/>
        <v>30446380</v>
      </c>
      <c r="M63" s="329">
        <f t="shared" si="23"/>
        <v>1867081</v>
      </c>
      <c r="N63" s="329">
        <f t="shared" si="23"/>
        <v>-110684915</v>
      </c>
      <c r="O63" s="329">
        <f t="shared" si="23"/>
        <v>-76778417</v>
      </c>
      <c r="P63" s="329">
        <f t="shared" si="23"/>
        <v>-80432712</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464</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0.55244917102019508</v>
      </c>
      <c r="D73" s="27"/>
      <c r="E73" s="265"/>
      <c r="F73" s="27"/>
      <c r="G73" s="6">
        <f t="shared" ref="G73:Q73" si="24">IF(G$4="","",ABS(G5/G$4))</f>
        <v>0.53980845709983993</v>
      </c>
      <c r="H73" s="6">
        <f t="shared" si="24"/>
        <v>0.53920015961467083</v>
      </c>
      <c r="I73" s="6">
        <f t="shared" si="24"/>
        <v>0.5615326805612032</v>
      </c>
      <c r="J73" s="6">
        <f t="shared" si="24"/>
        <v>0.56925538680506604</v>
      </c>
      <c r="K73" s="6">
        <f t="shared" si="24"/>
        <v>0.60072581746383502</v>
      </c>
      <c r="L73" s="6">
        <f t="shared" si="24"/>
        <v>0.58504890191998948</v>
      </c>
      <c r="M73" s="6">
        <f t="shared" si="24"/>
        <v>0.60259180758303155</v>
      </c>
      <c r="N73" s="6">
        <f t="shared" si="24"/>
        <v>0.61302695755304071</v>
      </c>
      <c r="O73" s="6">
        <f t="shared" si="24"/>
        <v>0.54127393609209062</v>
      </c>
      <c r="P73" s="6">
        <f t="shared" si="24"/>
        <v>0.5627534437467836</v>
      </c>
      <c r="Q73" s="6" t="str">
        <f t="shared" si="24"/>
        <v/>
      </c>
    </row>
    <row r="74" spans="1:17" ht="15.75" customHeight="1">
      <c r="A74" s="10"/>
      <c r="B74" s="31" t="s">
        <v>48</v>
      </c>
      <c r="C74" s="78">
        <f>ABS(C6/C$4)</f>
        <v>0.44755082897980492</v>
      </c>
      <c r="D74" s="27"/>
      <c r="E74" s="265"/>
      <c r="F74" s="27"/>
      <c r="G74" s="65">
        <f t="shared" ref="G74:Q74" si="25">IF(G$4="","",ABS(G6/G$4))</f>
        <v>0.46019154290016007</v>
      </c>
      <c r="H74" s="65">
        <f t="shared" si="25"/>
        <v>0.46079984038532912</v>
      </c>
      <c r="I74" s="65">
        <f t="shared" si="25"/>
        <v>0.43846731943879685</v>
      </c>
      <c r="J74" s="65">
        <f t="shared" si="25"/>
        <v>0.43074461319493401</v>
      </c>
      <c r="K74" s="65">
        <f t="shared" si="25"/>
        <v>0.39927418253616492</v>
      </c>
      <c r="L74" s="65">
        <f t="shared" si="25"/>
        <v>0.41495109808001052</v>
      </c>
      <c r="M74" s="65">
        <f t="shared" si="25"/>
        <v>0.39740819241696851</v>
      </c>
      <c r="N74" s="65">
        <f t="shared" si="25"/>
        <v>0.38697304244695929</v>
      </c>
      <c r="O74" s="65">
        <f t="shared" si="25"/>
        <v>0.45872606390790932</v>
      </c>
      <c r="P74" s="65">
        <f t="shared" si="25"/>
        <v>0.43724655625321646</v>
      </c>
      <c r="Q74" s="65" t="str">
        <f t="shared" si="25"/>
        <v/>
      </c>
    </row>
    <row r="75" spans="1:17" ht="15.75" customHeight="1">
      <c r="A75" s="10"/>
      <c r="B75" s="8" t="s">
        <v>45</v>
      </c>
      <c r="C75" s="77">
        <f>ABS(C7/C$4)</f>
        <v>3.2526878774215555E-2</v>
      </c>
      <c r="D75" s="27"/>
      <c r="E75" s="265"/>
      <c r="F75" s="27"/>
      <c r="G75" s="6">
        <f t="shared" ref="G75:Q75" si="26">IF(G$4="","",ABS(G7/G$4))</f>
        <v>3.2379349169923646E-2</v>
      </c>
      <c r="H75" s="6">
        <f t="shared" si="26"/>
        <v>3.0325295465764637E-2</v>
      </c>
      <c r="I75" s="6">
        <f t="shared" si="26"/>
        <v>3.529185247724502E-2</v>
      </c>
      <c r="J75" s="6">
        <f t="shared" si="26"/>
        <v>3.2461032822203258E-2</v>
      </c>
      <c r="K75" s="6">
        <f t="shared" si="26"/>
        <v>2.9609036541871945E-2</v>
      </c>
      <c r="L75" s="6">
        <f t="shared" si="26"/>
        <v>2.4208491321514734E-2</v>
      </c>
      <c r="M75" s="6">
        <f t="shared" si="26"/>
        <v>2.7123194208293074E-2</v>
      </c>
      <c r="N75" s="6">
        <f t="shared" si="26"/>
        <v>4.0071851998775221E-2</v>
      </c>
      <c r="O75" s="6">
        <f t="shared" si="26"/>
        <v>3.5058066616472275E-2</v>
      </c>
      <c r="P75" s="6">
        <f t="shared" si="26"/>
        <v>3.2469650740779572E-2</v>
      </c>
      <c r="Q75" s="6" t="str">
        <f t="shared" si="26"/>
        <v/>
      </c>
    </row>
    <row r="76" spans="1:17" ht="15.75" customHeight="1">
      <c r="A76" s="10"/>
      <c r="B76" s="29" t="s">
        <v>152</v>
      </c>
      <c r="C76" s="78">
        <f>ABS(C8/C$4)</f>
        <v>0.41502395020558935</v>
      </c>
      <c r="D76" s="27"/>
      <c r="E76" s="265"/>
      <c r="F76" s="27"/>
      <c r="G76" s="65">
        <f t="shared" ref="G76:Q76" si="27">IF(G$4="","",ABS(G8/G$4))</f>
        <v>0.42781219373023638</v>
      </c>
      <c r="H76" s="65">
        <f t="shared" si="27"/>
        <v>0.43047454491956449</v>
      </c>
      <c r="I76" s="65">
        <f t="shared" si="27"/>
        <v>0.40317546696155182</v>
      </c>
      <c r="J76" s="65">
        <f t="shared" si="27"/>
        <v>0.39828358037273071</v>
      </c>
      <c r="K76" s="65">
        <f t="shared" si="27"/>
        <v>0.36966514599429295</v>
      </c>
      <c r="L76" s="65">
        <f t="shared" si="27"/>
        <v>0.39074260675849576</v>
      </c>
      <c r="M76" s="65">
        <f t="shared" si="27"/>
        <v>0.37028499820867539</v>
      </c>
      <c r="N76" s="65">
        <f t="shared" si="27"/>
        <v>0.34690119044818407</v>
      </c>
      <c r="O76" s="65">
        <f t="shared" si="27"/>
        <v>0.42366799729143706</v>
      </c>
      <c r="P76" s="65">
        <f t="shared" si="27"/>
        <v>0.40477690551243689</v>
      </c>
      <c r="Q76" s="65" t="str">
        <f t="shared" si="27"/>
        <v/>
      </c>
    </row>
    <row r="77" spans="1:17" ht="15.75" customHeight="1">
      <c r="A77" s="10"/>
      <c r="B77" s="2" t="s">
        <v>65</v>
      </c>
      <c r="C77" s="77">
        <f>ABS(C9/C$4)</f>
        <v>0.12425135901349948</v>
      </c>
      <c r="D77" s="27"/>
      <c r="E77" s="265"/>
      <c r="F77" s="27"/>
      <c r="G77" s="6">
        <f t="shared" ref="G77:Q77" si="28">IF(G$4="","",G9/G$4)</f>
        <v>0.11826295386128245</v>
      </c>
      <c r="H77" s="6">
        <f t="shared" si="28"/>
        <v>0.12019440327078089</v>
      </c>
      <c r="I77" s="6">
        <f t="shared" si="28"/>
        <v>0.14392071794945194</v>
      </c>
      <c r="J77" s="6">
        <f t="shared" si="28"/>
        <v>0.14468648853541474</v>
      </c>
      <c r="K77" s="6">
        <f t="shared" si="28"/>
        <v>0.16610334399509613</v>
      </c>
      <c r="L77" s="6">
        <f t="shared" si="28"/>
        <v>0.14346858992488759</v>
      </c>
      <c r="M77" s="6">
        <f t="shared" si="28"/>
        <v>0.14547992175429225</v>
      </c>
      <c r="N77" s="6">
        <f t="shared" si="28"/>
        <v>0</v>
      </c>
      <c r="O77" s="6">
        <f t="shared" si="28"/>
        <v>0</v>
      </c>
      <c r="P77" s="6">
        <f t="shared" si="28"/>
        <v>0</v>
      </c>
      <c r="Q77" s="6" t="str">
        <f t="shared" si="28"/>
        <v/>
      </c>
    </row>
    <row r="78" spans="1:17" ht="15.75" customHeight="1">
      <c r="A78" s="10"/>
      <c r="B78" s="2" t="s">
        <v>80</v>
      </c>
      <c r="C78" s="88">
        <f>MAX(AVERAGE(G78:J78),C77)</f>
        <v>0.1317661409042325</v>
      </c>
      <c r="D78" s="27"/>
      <c r="E78" s="266" t="s">
        <v>465</v>
      </c>
      <c r="F78" s="27"/>
      <c r="G78" s="6">
        <f t="shared" ref="G78:Q78" si="29">IF(G$4="","",-G10/G$4)</f>
        <v>0.11826295386128245</v>
      </c>
      <c r="H78" s="6">
        <f t="shared" si="29"/>
        <v>0.12019440327078089</v>
      </c>
      <c r="I78" s="6">
        <f t="shared" si="29"/>
        <v>0.14392071794945194</v>
      </c>
      <c r="J78" s="6">
        <f t="shared" si="29"/>
        <v>0.14468648853541474</v>
      </c>
      <c r="K78" s="6">
        <f t="shared" si="29"/>
        <v>0.16610334399509613</v>
      </c>
      <c r="L78" s="6">
        <f t="shared" si="29"/>
        <v>0.14346858992488759</v>
      </c>
      <c r="M78" s="6">
        <f t="shared" si="29"/>
        <v>0.14547992175429225</v>
      </c>
      <c r="N78" s="6">
        <f t="shared" si="29"/>
        <v>0</v>
      </c>
      <c r="O78" s="6">
        <f t="shared" si="29"/>
        <v>0</v>
      </c>
      <c r="P78" s="6">
        <f t="shared" si="29"/>
        <v>0</v>
      </c>
      <c r="Q78" s="6" t="str">
        <f t="shared" si="29"/>
        <v/>
      </c>
    </row>
    <row r="79" spans="1:17" ht="15.75" customHeight="1">
      <c r="A79" s="10"/>
      <c r="B79" s="31" t="s">
        <v>153</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1.4261547577321846E-2</v>
      </c>
      <c r="D80" s="27"/>
      <c r="E80" s="265"/>
      <c r="F80" s="27"/>
      <c r="G80" s="6">
        <f t="shared" ref="G80:Q80" si="31">IF(G$4="","",ABS(G12/G$4))</f>
        <v>1.3574199562228155E-2</v>
      </c>
      <c r="H80" s="6">
        <f t="shared" si="31"/>
        <v>1.8001434655445167E-2</v>
      </c>
      <c r="I80" s="6">
        <f t="shared" si="31"/>
        <v>2.7773960520520138E-2</v>
      </c>
      <c r="J80" s="6">
        <f t="shared" si="31"/>
        <v>3.2317679377120261E-2</v>
      </c>
      <c r="K80" s="6">
        <f t="shared" si="31"/>
        <v>3.413876549763014E-2</v>
      </c>
      <c r="L80" s="6">
        <f t="shared" si="31"/>
        <v>3.1940980917575863E-2</v>
      </c>
      <c r="M80" s="6">
        <f t="shared" si="31"/>
        <v>4.5738258679223688E-2</v>
      </c>
      <c r="N80" s="6">
        <f t="shared" si="31"/>
        <v>0</v>
      </c>
      <c r="O80" s="6">
        <f t="shared" si="31"/>
        <v>0</v>
      </c>
      <c r="P80" s="6">
        <f t="shared" si="31"/>
        <v>0</v>
      </c>
      <c r="Q80" s="6" t="str">
        <f t="shared" si="31"/>
        <v/>
      </c>
    </row>
    <row r="81" spans="1:17" ht="15.75" customHeight="1">
      <c r="A81" s="10"/>
      <c r="B81" s="70" t="s">
        <v>164</v>
      </c>
      <c r="C81" s="78">
        <f>C13/C4</f>
        <v>0.3932476207375345</v>
      </c>
      <c r="D81" s="27"/>
      <c r="E81" s="265"/>
      <c r="F81" s="27"/>
      <c r="G81" s="65">
        <f t="shared" ref="G81:Q81" si="32">IF(G$4="","",G13/G$4)</f>
        <v>0.41423799416800827</v>
      </c>
      <c r="H81" s="65">
        <f t="shared" si="32"/>
        <v>0.41247311026411931</v>
      </c>
      <c r="I81" s="65">
        <f t="shared" si="32"/>
        <v>0.37540150644103165</v>
      </c>
      <c r="J81" s="65">
        <f t="shared" si="32"/>
        <v>0.36596590099561049</v>
      </c>
      <c r="K81" s="65">
        <f t="shared" si="32"/>
        <v>0.33552638049666283</v>
      </c>
      <c r="L81" s="65">
        <f t="shared" si="32"/>
        <v>0.3588016258409199</v>
      </c>
      <c r="M81" s="65">
        <f t="shared" si="32"/>
        <v>0.32454673952945173</v>
      </c>
      <c r="N81" s="65">
        <f t="shared" si="32"/>
        <v>0.34690119044818407</v>
      </c>
      <c r="O81" s="65">
        <f t="shared" si="32"/>
        <v>0.42366799729143706</v>
      </c>
      <c r="P81" s="65">
        <f t="shared" si="32"/>
        <v>0.40477690551243689</v>
      </c>
      <c r="Q81" s="65" t="str">
        <f t="shared" si="32"/>
        <v/>
      </c>
    </row>
    <row r="82" spans="1:17" ht="15.75" customHeight="1">
      <c r="A82" s="10"/>
      <c r="B82" s="2" t="s">
        <v>63</v>
      </c>
      <c r="C82" s="77">
        <f>ABS(C14/C$4)</f>
        <v>0.10019060065706688</v>
      </c>
      <c r="D82" s="27"/>
      <c r="E82" s="265"/>
      <c r="F82" s="27"/>
      <c r="G82" s="6">
        <f t="shared" ref="G82:Q82" si="33">IF(G$4="","",ABS(G14/G$4))</f>
        <v>0.1077721130664636</v>
      </c>
      <c r="H82" s="6">
        <f t="shared" si="33"/>
        <v>0.10626725672813427</v>
      </c>
      <c r="I82" s="6">
        <f t="shared" si="33"/>
        <v>0.1094896088970894</v>
      </c>
      <c r="J82" s="6">
        <f t="shared" si="33"/>
        <v>9.5343539929185733E-2</v>
      </c>
      <c r="K82" s="6">
        <f t="shared" si="33"/>
        <v>9.004862210770255E-2</v>
      </c>
      <c r="L82" s="6">
        <f t="shared" si="33"/>
        <v>9.2997329013169469E-2</v>
      </c>
      <c r="M82" s="6">
        <f t="shared" si="33"/>
        <v>8.2102633378424147E-2</v>
      </c>
      <c r="N82" s="6">
        <f t="shared" si="33"/>
        <v>7.7138911346762304E-2</v>
      </c>
      <c r="O82" s="6">
        <f t="shared" si="33"/>
        <v>9.8608838910119914E-2</v>
      </c>
      <c r="P82" s="6">
        <f t="shared" si="33"/>
        <v>9.2751823923353183E-2</v>
      </c>
      <c r="Q82" s="6" t="str">
        <f t="shared" si="33"/>
        <v/>
      </c>
    </row>
    <row r="83" spans="1:17" ht="15.75" customHeight="1">
      <c r="A83" s="10"/>
      <c r="B83" s="40" t="str">
        <f>B15</f>
        <v>NCI’s Share of Profits</v>
      </c>
      <c r="C83" s="264">
        <f>MIN(BS!C62,MAX(G83:K83))</f>
        <v>2.895384271528703E-4</v>
      </c>
      <c r="D83" s="27"/>
      <c r="E83" s="265"/>
      <c r="F83" s="27"/>
      <c r="G83" s="6">
        <f t="shared" ref="G83:Q83" si="34">IF(G$4="","",-G15/G$4)</f>
        <v>2.895384271528703E-4</v>
      </c>
      <c r="H83" s="6">
        <f t="shared" si="34"/>
        <v>2.2815486338724174E-4</v>
      </c>
      <c r="I83" s="6">
        <f t="shared" si="34"/>
        <v>2.8527399089721856E-4</v>
      </c>
      <c r="J83" s="6">
        <f t="shared" si="34"/>
        <v>2.2628719291981471E-4</v>
      </c>
      <c r="K83" s="6">
        <f t="shared" si="34"/>
        <v>2.2743624687379148E-4</v>
      </c>
      <c r="L83" s="6">
        <f t="shared" si="34"/>
        <v>1.856893388865878E-4</v>
      </c>
      <c r="M83" s="6">
        <f t="shared" si="34"/>
        <v>2.5969385163265683E-4</v>
      </c>
      <c r="N83" s="6">
        <f t="shared" si="34"/>
        <v>2.8745135735879022E-4</v>
      </c>
      <c r="O83" s="6">
        <f t="shared" si="34"/>
        <v>2.4452520689674637E-4</v>
      </c>
      <c r="P83" s="6">
        <f t="shared" si="34"/>
        <v>2.9252248180675381E-4</v>
      </c>
      <c r="Q83" s="6" t="str">
        <f t="shared" si="34"/>
        <v/>
      </c>
    </row>
    <row r="84" spans="1:17" ht="15.75" customHeight="1">
      <c r="A84" s="10"/>
      <c r="B84" s="41" t="s">
        <v>154</v>
      </c>
      <c r="C84" s="78">
        <f>ABS(C16/C$4)</f>
        <v>0.29276748165331473</v>
      </c>
      <c r="D84" s="27"/>
      <c r="E84" s="265"/>
      <c r="F84" s="27"/>
      <c r="G84" s="65">
        <f t="shared" ref="G84:Q84" si="35">IF(G$4="","",ABS(G16/G$4))</f>
        <v>0.30617634267439175</v>
      </c>
      <c r="H84" s="65">
        <f t="shared" si="35"/>
        <v>0.30597769867259783</v>
      </c>
      <c r="I84" s="65">
        <f t="shared" si="35"/>
        <v>0.26562662355304506</v>
      </c>
      <c r="J84" s="65">
        <f t="shared" si="35"/>
        <v>0.27039607387350489</v>
      </c>
      <c r="K84" s="65">
        <f t="shared" si="35"/>
        <v>0.2452503221420865</v>
      </c>
      <c r="L84" s="65">
        <f t="shared" si="35"/>
        <v>0.26561860748886384</v>
      </c>
      <c r="M84" s="65">
        <f t="shared" si="35"/>
        <v>0.24218441229939491</v>
      </c>
      <c r="N84" s="65">
        <f t="shared" si="35"/>
        <v>0.26947482774406301</v>
      </c>
      <c r="O84" s="65">
        <f t="shared" si="35"/>
        <v>0.32481463317442039</v>
      </c>
      <c r="P84" s="65">
        <f t="shared" si="35"/>
        <v>0.31173255910727693</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0.29276748165331473</v>
      </c>
      <c r="D87" s="75"/>
      <c r="E87" s="265"/>
      <c r="F87" s="75"/>
      <c r="G87" s="65">
        <f t="shared" ref="G87:Q87" si="36">IF(G$4="","",ABS(G19/G$4))</f>
        <v>0.30617634267439175</v>
      </c>
      <c r="H87" s="65">
        <f t="shared" si="36"/>
        <v>0.30597769867259783</v>
      </c>
      <c r="I87" s="65">
        <f t="shared" si="36"/>
        <v>0.26562662355304506</v>
      </c>
      <c r="J87" s="65">
        <f t="shared" si="36"/>
        <v>0.27039607387350489</v>
      </c>
      <c r="K87" s="65">
        <f t="shared" si="36"/>
        <v>0.2452503221420865</v>
      </c>
      <c r="L87" s="65">
        <f t="shared" si="36"/>
        <v>0.26561860748886384</v>
      </c>
      <c r="M87" s="65">
        <f t="shared" si="36"/>
        <v>0.24218441229939491</v>
      </c>
      <c r="N87" s="65">
        <f t="shared" si="36"/>
        <v>0.26947482774406301</v>
      </c>
      <c r="O87" s="65">
        <f t="shared" si="36"/>
        <v>0.32481463317442039</v>
      </c>
      <c r="P87" s="65">
        <f t="shared" si="36"/>
        <v>0.31173255910727693</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(CNY)</v>
      </c>
      <c r="C90" s="113">
        <f>G90</f>
        <v>1.1000000000000001</v>
      </c>
      <c r="E90" s="268"/>
      <c r="G90" s="112">
        <f>Data!C65</f>
        <v>1.1000000000000001</v>
      </c>
      <c r="H90" s="112">
        <f>Data!D65</f>
        <v>1.3</v>
      </c>
      <c r="I90" s="112">
        <f>Data!E65</f>
        <v>0.7</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1108010787.4000001</v>
      </c>
      <c r="E91" s="268"/>
      <c r="G91" s="74">
        <f t="shared" ref="G91:Q91" si="37">IF(G$4="","",G90*Common_Shares/scaling_factor)</f>
        <v>1108010787.4000001</v>
      </c>
      <c r="H91" s="74">
        <f t="shared" si="37"/>
        <v>1309467294.2</v>
      </c>
      <c r="I91" s="74">
        <f t="shared" si="37"/>
        <v>705097773.79999995</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213</v>
      </c>
      <c r="C92" s="23">
        <f>C90/(C19*scaling_factor/Common_Shares)</f>
        <v>1.0164059245889612</v>
      </c>
      <c r="E92" s="268"/>
      <c r="G92" s="170">
        <f t="shared" ref="G92:Q92" si="38">IF(G$4="","",G90/(G19*scaling_factor/Common_Shares))</f>
        <v>0.92505162088438186</v>
      </c>
      <c r="H92" s="170">
        <f t="shared" si="38"/>
        <v>1.0824164225381943</v>
      </c>
      <c r="I92" s="170">
        <f t="shared" si="38"/>
        <v>0.7711377601919267</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309</v>
      </c>
      <c r="C93" s="23">
        <f>C90/Market_Price</f>
        <v>4.9886621315192746E-2</v>
      </c>
      <c r="E93" s="268"/>
      <c r="G93" s="23">
        <f t="shared" ref="G93:Q93" si="39">IF(G$4="","",G90/Market_Price)</f>
        <v>4.9886621315192746E-2</v>
      </c>
      <c r="H93" s="23">
        <f t="shared" si="39"/>
        <v>5.8956916099773243E-2</v>
      </c>
      <c r="I93" s="23">
        <f t="shared" si="39"/>
        <v>3.1746031746031744E-2</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-4.8195892582280853E-2</v>
      </c>
      <c r="D96" s="27"/>
      <c r="E96" s="265"/>
      <c r="F96" s="27"/>
      <c r="G96" s="6">
        <f t="shared" ref="G96:Q96" si="40">IF(H4="","",G4/H4-1)</f>
        <v>-1.054538142135597E-2</v>
      </c>
      <c r="H96" s="6">
        <f t="shared" si="40"/>
        <v>0.14858922330117963</v>
      </c>
      <c r="I96" s="6">
        <f t="shared" si="40"/>
        <v>-4.007443085169593E-2</v>
      </c>
      <c r="J96" s="6">
        <f t="shared" si="40"/>
        <v>0.15760498338398921</v>
      </c>
      <c r="K96" s="6">
        <f t="shared" si="40"/>
        <v>-0.12248447173608201</v>
      </c>
      <c r="L96" s="6">
        <f t="shared" si="40"/>
        <v>0.11334182197031795</v>
      </c>
      <c r="M96" s="6">
        <f t="shared" si="40"/>
        <v>0.14614594368347511</v>
      </c>
      <c r="N96" s="6">
        <f t="shared" si="40"/>
        <v>0.17751920290006873</v>
      </c>
      <c r="O96" s="6">
        <f t="shared" si="40"/>
        <v>3.4394484333802877E-2</v>
      </c>
      <c r="P96" s="6" t="str">
        <f t="shared" si="40"/>
        <v/>
      </c>
      <c r="Q96" s="6" t="str">
        <f t="shared" si="40"/>
        <v/>
      </c>
    </row>
    <row r="97" spans="1:17" ht="15.75" customHeight="1">
      <c r="A97" s="10"/>
      <c r="B97" s="70" t="s">
        <v>164</v>
      </c>
      <c r="C97" s="77">
        <f>C13/G13-1</f>
        <v>-9.6425953389435159E-2</v>
      </c>
      <c r="D97" s="27"/>
      <c r="E97" s="265"/>
      <c r="F97" s="27"/>
      <c r="G97" s="6">
        <f t="shared" ref="G97:Q97" si="41">IF(H5="","",G13/H13-1)</f>
        <v>-6.3117174890822136E-3</v>
      </c>
      <c r="H97" s="6">
        <f t="shared" si="41"/>
        <v>0.26201456633021136</v>
      </c>
      <c r="I97" s="6">
        <f t="shared" si="41"/>
        <v>-1.5324914837187786E-2</v>
      </c>
      <c r="J97" s="6">
        <f t="shared" si="41"/>
        <v>0.26262486459047274</v>
      </c>
      <c r="K97" s="6">
        <f t="shared" si="41"/>
        <v>-0.17940837548336741</v>
      </c>
      <c r="L97" s="6">
        <f t="shared" si="41"/>
        <v>0.23085154520059925</v>
      </c>
      <c r="M97" s="6">
        <f t="shared" si="41"/>
        <v>7.2287842445268202E-2</v>
      </c>
      <c r="N97" s="6">
        <f t="shared" si="41"/>
        <v>-3.5842178608927799E-2</v>
      </c>
      <c r="O97" s="6">
        <f t="shared" si="41"/>
        <v>8.2670067434333916E-2</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12324321966</v>
      </c>
      <c r="D101" s="26"/>
      <c r="E101" s="269"/>
      <c r="F101" s="26"/>
      <c r="G101" s="333">
        <f t="shared" ref="G101:Q101" si="42">IF(G$4="","",G105+G104)</f>
        <v>12324321966</v>
      </c>
      <c r="H101" s="333">
        <f t="shared" si="42"/>
        <v>12881135035</v>
      </c>
      <c r="I101" s="333">
        <f t="shared" si="42"/>
        <v>12827290298</v>
      </c>
      <c r="J101" s="333">
        <f t="shared" si="42"/>
        <v>12725924787</v>
      </c>
      <c r="K101" s="333">
        <f t="shared" si="42"/>
        <v>12090123296</v>
      </c>
      <c r="L101" s="333">
        <f t="shared" si="42"/>
        <v>11802423892</v>
      </c>
      <c r="M101" s="333">
        <f t="shared" si="42"/>
        <v>11092727799</v>
      </c>
      <c r="N101" s="333">
        <f t="shared" si="42"/>
        <v>11666019297</v>
      </c>
      <c r="O101" s="333">
        <f t="shared" si="42"/>
        <v>11208470938</v>
      </c>
      <c r="P101" s="333">
        <f t="shared" si="42"/>
        <v>10219156999</v>
      </c>
      <c r="Q101" s="333" t="str">
        <f t="shared" si="42"/>
        <v/>
      </c>
    </row>
    <row r="102" spans="1:17" ht="15.75" customHeight="1">
      <c r="A102" s="10"/>
      <c r="B102" s="93" t="s">
        <v>210</v>
      </c>
      <c r="C102" s="345">
        <f>BS!C4</f>
        <v>228574200</v>
      </c>
      <c r="D102" s="89"/>
      <c r="E102" s="270"/>
      <c r="F102" s="89"/>
      <c r="G102" s="346">
        <f>IF(G$4="","",Data!D77)</f>
        <v>258206405</v>
      </c>
      <c r="H102" s="346">
        <f>IF(H$4="","",Data!E77)</f>
        <v>377357021</v>
      </c>
      <c r="I102" s="346">
        <f>IF(I$4="","",Data!F77)</f>
        <v>368491616</v>
      </c>
      <c r="J102" s="346">
        <f>IF(J$4="","",Data!G77)</f>
        <v>440548083</v>
      </c>
      <c r="K102" s="346">
        <f>IF(K$4="","",Data!H77)</f>
        <v>421649740</v>
      </c>
      <c r="L102" s="346">
        <f>IF(L$4="","",Data!I77)</f>
        <v>0</v>
      </c>
      <c r="M102" s="346">
        <f>IF(M$4="","",Data!J77)</f>
        <v>0</v>
      </c>
      <c r="N102" s="346">
        <f>IF(N$4="","",Data!K77)</f>
        <v>0</v>
      </c>
      <c r="O102" s="346">
        <f>IF(O$4="","",Data!L77)</f>
        <v>0</v>
      </c>
      <c r="P102" s="346">
        <f>IF(P$4="","",Data!M77)</f>
        <v>0</v>
      </c>
      <c r="Q102" s="346" t="str">
        <f>IF(Q$4="","",Data!N77)</f>
        <v/>
      </c>
    </row>
    <row r="103" spans="1:17" ht="15.75" customHeight="1">
      <c r="A103" s="10"/>
      <c r="B103" s="93" t="s">
        <v>211</v>
      </c>
      <c r="C103" s="345">
        <f>BS!C6+BS!C7</f>
        <v>30681363</v>
      </c>
      <c r="D103" s="89"/>
      <c r="E103" s="270"/>
      <c r="F103" s="89"/>
      <c r="G103" s="346">
        <f>IF(G$4="","",Data!D78)</f>
        <v>32289866</v>
      </c>
      <c r="H103" s="346">
        <f>IF(H$4="","",Data!E78)</f>
        <v>32129347</v>
      </c>
      <c r="I103" s="346">
        <f>IF(I$4="","",Data!F78)</f>
        <v>32745245</v>
      </c>
      <c r="J103" s="346">
        <f>IF(J$4="","",Data!G78)</f>
        <v>33982961</v>
      </c>
      <c r="K103" s="346">
        <f>IF(K$4="","",Data!H78)</f>
        <v>32833169</v>
      </c>
      <c r="L103" s="346">
        <f>IF(L$4="","",Data!I78)</f>
        <v>0</v>
      </c>
      <c r="M103" s="346">
        <f>IF(M$4="","",Data!J78)</f>
        <v>0</v>
      </c>
      <c r="N103" s="346">
        <f>IF(N$4="","",Data!K78)</f>
        <v>0</v>
      </c>
      <c r="O103" s="346">
        <f>IF(O$4="","",Data!L78)</f>
        <v>0</v>
      </c>
      <c r="P103" s="346">
        <f>IF(P$4="","",Data!M78)</f>
        <v>0</v>
      </c>
      <c r="Q103" s="346" t="str">
        <f>IF(Q$4="","",Data!N78)</f>
        <v/>
      </c>
    </row>
    <row r="104" spans="1:17" ht="15.75" customHeight="1">
      <c r="A104" s="10"/>
      <c r="B104" s="26" t="s">
        <v>40</v>
      </c>
      <c r="C104" s="344">
        <f>BS!G30</f>
        <v>2666283503</v>
      </c>
      <c r="D104" s="26"/>
      <c r="E104" s="269"/>
      <c r="F104" s="26"/>
      <c r="G104" s="333">
        <f>Data!C79</f>
        <v>2666283503</v>
      </c>
      <c r="H104" s="333">
        <f>Data!D79</f>
        <v>3177151047</v>
      </c>
      <c r="I104" s="333">
        <f>Data!E79</f>
        <v>3678311933</v>
      </c>
      <c r="J104" s="333">
        <f>Data!F79</f>
        <v>4088929705</v>
      </c>
      <c r="K104" s="333">
        <f>Data!G79</f>
        <v>4074330379</v>
      </c>
      <c r="L104" s="333">
        <f>Data!H79</f>
        <v>4229364458</v>
      </c>
      <c r="M104" s="333">
        <f>Data!I79</f>
        <v>4170411465</v>
      </c>
      <c r="N104" s="333">
        <f>Data!J79</f>
        <v>5196347300</v>
      </c>
      <c r="O104" s="333">
        <f>Data!K79</f>
        <v>5071716119</v>
      </c>
      <c r="P104" s="333">
        <f>Data!L79</f>
        <v>4567360550</v>
      </c>
      <c r="Q104" s="333" t="str">
        <f>Data!M79</f>
        <v/>
      </c>
    </row>
    <row r="105" spans="1:17" ht="15.75" customHeight="1">
      <c r="A105" s="10"/>
      <c r="B105" s="26" t="s">
        <v>30</v>
      </c>
      <c r="C105" s="344">
        <f>BS!G27</f>
        <v>9658038463</v>
      </c>
      <c r="D105" s="26"/>
      <c r="E105" s="269"/>
      <c r="F105" s="26"/>
      <c r="G105" s="333">
        <f>Data!C80</f>
        <v>9658038463</v>
      </c>
      <c r="H105" s="333">
        <f>Data!D80</f>
        <v>9703983988</v>
      </c>
      <c r="I105" s="333">
        <f>Data!E80</f>
        <v>9148978365</v>
      </c>
      <c r="J105" s="333">
        <f>Data!F80</f>
        <v>8636995082</v>
      </c>
      <c r="K105" s="333">
        <f>Data!G80</f>
        <v>8015792917</v>
      </c>
      <c r="L105" s="333">
        <f>Data!H80</f>
        <v>7573059434</v>
      </c>
      <c r="M105" s="333">
        <f>Data!I80</f>
        <v>6922316334</v>
      </c>
      <c r="N105" s="333">
        <f>Data!J80</f>
        <v>6469671997</v>
      </c>
      <c r="O105" s="333">
        <f>Data!K80</f>
        <v>6136754819</v>
      </c>
      <c r="P105" s="333">
        <f>Data!L80</f>
        <v>5651796449</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6.1386552613161782E-2</v>
      </c>
      <c r="D108" s="26"/>
      <c r="E108" s="269"/>
      <c r="F108" s="26"/>
      <c r="G108" s="94">
        <f t="shared" ref="G108:Q108" si="43">IF(G$4="","",G102/G$4)</f>
        <v>6.6002535887448005E-2</v>
      </c>
      <c r="H108" s="94">
        <f t="shared" si="43"/>
        <v>9.5442526161463648E-2</v>
      </c>
      <c r="I108" s="94">
        <f t="shared" si="43"/>
        <v>0.10704880885840756</v>
      </c>
      <c r="J108" s="94">
        <f t="shared" si="43"/>
        <v>0.12285281263728376</v>
      </c>
      <c r="K108" s="94">
        <f t="shared" si="43"/>
        <v>0.13611438103978038</v>
      </c>
      <c r="L108" s="94">
        <f t="shared" si="43"/>
        <v>0</v>
      </c>
      <c r="M108" s="94">
        <f t="shared" si="43"/>
        <v>0</v>
      </c>
      <c r="N108" s="94">
        <f t="shared" si="43"/>
        <v>0</v>
      </c>
      <c r="O108" s="94">
        <f t="shared" si="43"/>
        <v>0</v>
      </c>
      <c r="P108" s="94">
        <f t="shared" si="43"/>
        <v>0</v>
      </c>
      <c r="Q108" s="94" t="str">
        <f t="shared" si="43"/>
        <v/>
      </c>
    </row>
    <row r="109" spans="1:17" ht="15.75" customHeight="1">
      <c r="A109" s="10"/>
      <c r="B109" s="26" t="s">
        <v>218</v>
      </c>
      <c r="C109" s="94">
        <f>C103/C$4</f>
        <v>8.2398761716896106E-3</v>
      </c>
      <c r="D109" s="26"/>
      <c r="E109" s="269"/>
      <c r="F109" s="26"/>
      <c r="G109" s="94">
        <f t="shared" ref="G109:Q109" si="44">IF(G$4="","",G103/G$4)</f>
        <v>8.2539123669913891E-3</v>
      </c>
      <c r="H109" s="94">
        <f t="shared" si="44"/>
        <v>8.1262726567852654E-3</v>
      </c>
      <c r="I109" s="94">
        <f t="shared" si="44"/>
        <v>9.512670901654181E-3</v>
      </c>
      <c r="J109" s="94">
        <f t="shared" si="44"/>
        <v>9.4766099358855257E-3</v>
      </c>
      <c r="K109" s="94">
        <f t="shared" si="44"/>
        <v>1.059900209118949E-2</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1.4216576425456566</v>
      </c>
      <c r="H113" s="295">
        <f>IF(H$4="","",Data!D$22/Data!D15)</f>
        <v>1.5226218146604997</v>
      </c>
      <c r="I113" s="295">
        <f>IF(I$4="","",Data!E$22/Data!E15)</f>
        <v>1.6334571862107776</v>
      </c>
      <c r="J113" s="295">
        <f>IF(J$4="","",Data!F$22/Data!F15)</f>
        <v>1.7374243098570166</v>
      </c>
      <c r="K113" s="295">
        <f>IF(K$4="","",Data!G$22/Data!G15)</f>
        <v>1.7025420861721461</v>
      </c>
      <c r="L113" s="295">
        <f>IF(L$4="","",Data!H$22/Data!H15)</f>
        <v>1.5796932173236939</v>
      </c>
      <c r="M113" s="295">
        <f>IF(M$4="","",Data!I$22/Data!I15)</f>
        <v>1.8627422049853775</v>
      </c>
      <c r="N113" s="295">
        <f>IF(N$4="","",Data!J$22/Data!J15)</f>
        <v>1.896621583302976</v>
      </c>
      <c r="O113" s="295">
        <f>IF(O$4="","",Data!K$22/Data!K15)</f>
        <v>1.6233370543232535</v>
      </c>
      <c r="P113" s="295">
        <f>IF(P$4="","",Data!L$22/Data!L15)</f>
        <v>1.8217798115484487</v>
      </c>
      <c r="Q113" s="295" t="str">
        <f>IF(Q$4="","",Data!M$22/Data!M15)</f>
        <v/>
      </c>
    </row>
    <row r="114" spans="1:17" ht="15.75" customHeight="1">
      <c r="A114" s="10"/>
      <c r="B114" s="2" t="s">
        <v>392</v>
      </c>
      <c r="C114" s="169"/>
      <c r="E114" s="268"/>
      <c r="G114" s="295">
        <f>IF(G$4="","",Data!C$22/G19)</f>
        <v>1.4996839109348399</v>
      </c>
      <c r="H114" s="295">
        <f>IF(H$4="","",Data!D$22/H19)</f>
        <v>1.5859808789202645</v>
      </c>
      <c r="I114" s="295">
        <f>IF(I$4="","",Data!E$22/I19)</f>
        <v>1.995199469098575</v>
      </c>
      <c r="J114" s="295">
        <f>IF(J$4="","",Data!F$22/J19)</f>
        <v>1.8359203984417687</v>
      </c>
      <c r="K114" s="295">
        <f>IF(K$4="","",Data!G$22/K19)</f>
        <v>1.8513532109637996</v>
      </c>
      <c r="L114" s="295">
        <f>IF(L$4="","",Data!H$22/L19)</f>
        <v>1.6393472050694062</v>
      </c>
      <c r="M114" s="295">
        <f>IF(M$4="","",Data!I$22/M19)</f>
        <v>1.8810907040618412</v>
      </c>
      <c r="N114" s="295">
        <f>IF(N$4="","",Data!J$22/N19)</f>
        <v>1.6170488111315213</v>
      </c>
      <c r="O114" s="295">
        <f>IF(O$4="","",Data!K$22/O19)</f>
        <v>1.4612329859667579</v>
      </c>
      <c r="P114" s="295">
        <f>IF(P$4="","",Data!L$22/P19)</f>
        <v>1.6165342625169379</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0.3932476207375345</v>
      </c>
      <c r="E117" s="268"/>
      <c r="G117" s="23">
        <f t="shared" ref="G117:Q117" si="45">IF(G4="","",IF(valuation_method="DDM",G13/(G4+G12),G81))</f>
        <v>0.41423799416800827</v>
      </c>
      <c r="H117" s="23">
        <f t="shared" si="45"/>
        <v>0.41247311026411931</v>
      </c>
      <c r="I117" s="23">
        <f t="shared" si="45"/>
        <v>0.37540150644103165</v>
      </c>
      <c r="J117" s="23">
        <f t="shared" si="45"/>
        <v>0.36596590099561049</v>
      </c>
      <c r="K117" s="23">
        <f t="shared" si="45"/>
        <v>0.33552638049666283</v>
      </c>
      <c r="L117" s="23">
        <f t="shared" si="45"/>
        <v>0.3588016258409199</v>
      </c>
      <c r="M117" s="23">
        <f t="shared" si="45"/>
        <v>0.32454673952945173</v>
      </c>
      <c r="N117" s="23">
        <f t="shared" si="45"/>
        <v>0.34690119044818407</v>
      </c>
      <c r="O117" s="23">
        <f t="shared" si="45"/>
        <v>0.42366799729143706</v>
      </c>
      <c r="P117" s="23">
        <f t="shared" si="45"/>
        <v>0.40477690551243689</v>
      </c>
      <c r="Q117" s="23" t="str">
        <f t="shared" si="45"/>
        <v/>
      </c>
    </row>
    <row r="118" spans="1:17" ht="15.75" customHeight="1">
      <c r="B118" s="7" t="s">
        <v>83</v>
      </c>
      <c r="C118" s="42">
        <f>IF(valuation_method="DDM",(C4+C12)/C101,C4/C101)</f>
        <v>0.30212796693987309</v>
      </c>
      <c r="E118" s="268"/>
      <c r="G118" s="42">
        <f t="shared" ref="G118:Q118" si="46">IF(G4="","",IF(valuation_method="DDM",(G4+G12)/G101,G4/G101))</f>
        <v>0.31742662653511533</v>
      </c>
      <c r="H118" s="42">
        <f t="shared" si="46"/>
        <v>0.30694204060876845</v>
      </c>
      <c r="I118" s="42">
        <f t="shared" si="46"/>
        <v>0.26835571488833548</v>
      </c>
      <c r="J118" s="42">
        <f t="shared" si="46"/>
        <v>0.28178564159543151</v>
      </c>
      <c r="K118" s="42">
        <f t="shared" si="46"/>
        <v>0.25622239973556676</v>
      </c>
      <c r="L118" s="42">
        <f t="shared" si="46"/>
        <v>0.29910371372043582</v>
      </c>
      <c r="M118" s="42">
        <f t="shared" si="46"/>
        <v>0.28584206089379044</v>
      </c>
      <c r="N118" s="42">
        <f t="shared" si="46"/>
        <v>0.23713839618895668</v>
      </c>
      <c r="O118" s="42">
        <f t="shared" si="46"/>
        <v>0.20960913241384718</v>
      </c>
      <c r="P118" s="42">
        <f t="shared" si="46"/>
        <v>0.22225692581318174</v>
      </c>
      <c r="Q118" s="42" t="str">
        <f t="shared" si="46"/>
        <v/>
      </c>
    </row>
    <row r="119" spans="1:17" ht="15.75" customHeight="1">
      <c r="B119" s="7" t="s">
        <v>91</v>
      </c>
      <c r="C119" s="15">
        <f>C101/C105</f>
        <v>1.2760688428830085</v>
      </c>
      <c r="D119" s="11"/>
      <c r="E119" s="272"/>
      <c r="F119" s="11"/>
      <c r="G119" s="15">
        <f t="shared" ref="G119:Q119" si="47">IF(G$4="","",G101/G105)</f>
        <v>1.2760688428830085</v>
      </c>
      <c r="H119" s="15">
        <f t="shared" si="47"/>
        <v>1.3274068723659151</v>
      </c>
      <c r="I119" s="15">
        <f t="shared" si="47"/>
        <v>1.4020461942583247</v>
      </c>
      <c r="J119" s="15">
        <f t="shared" si="47"/>
        <v>1.47342040445543</v>
      </c>
      <c r="K119" s="15">
        <f t="shared" si="47"/>
        <v>1.5082878788396723</v>
      </c>
      <c r="L119" s="15">
        <f t="shared" si="47"/>
        <v>1.5584750119630448</v>
      </c>
      <c r="M119" s="15">
        <f t="shared" si="47"/>
        <v>1.6024589550345159</v>
      </c>
      <c r="N119" s="15">
        <f t="shared" si="47"/>
        <v>1.8031855869060374</v>
      </c>
      <c r="O119" s="15">
        <f t="shared" si="47"/>
        <v>1.8264492013429419</v>
      </c>
      <c r="P119" s="15">
        <f t="shared" si="47"/>
        <v>1.8081254502377073</v>
      </c>
      <c r="Q119" s="15" t="str">
        <f t="shared" si="47"/>
        <v/>
      </c>
    </row>
    <row r="120" spans="1:17" ht="15.75" customHeight="1">
      <c r="A120" s="10"/>
      <c r="B120" s="70" t="s">
        <v>222</v>
      </c>
      <c r="C120" s="102">
        <f>C13/C105</f>
        <v>0.15161114820375229</v>
      </c>
      <c r="D120" s="103"/>
      <c r="E120" s="271"/>
      <c r="F120" s="103"/>
      <c r="G120" s="102">
        <f>IF(G$4="","",G13/G105)</f>
        <v>0.16779050789746269</v>
      </c>
      <c r="H120" s="102">
        <f t="shared" ref="H120:Q120" si="48">IF(H$4="","",H13/H105)</f>
        <v>0.16805679595274287</v>
      </c>
      <c r="I120" s="102">
        <f t="shared" si="48"/>
        <v>0.14124373142508792</v>
      </c>
      <c r="J120" s="102">
        <f t="shared" si="48"/>
        <v>0.15194491180561262</v>
      </c>
      <c r="K120" s="102">
        <f t="shared" si="48"/>
        <v>0.12966656533699472</v>
      </c>
      <c r="L120" s="102">
        <f t="shared" si="48"/>
        <v>0.16725382205682554</v>
      </c>
      <c r="M120" s="102">
        <f t="shared" si="48"/>
        <v>0.14865868928087042</v>
      </c>
      <c r="N120" s="102">
        <f t="shared" si="48"/>
        <v>0.14833652331138419</v>
      </c>
      <c r="O120" s="102">
        <f t="shared" si="48"/>
        <v>0.16219723931584368</v>
      </c>
      <c r="P120" s="102">
        <f t="shared" si="48"/>
        <v>0.16266704901636489</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7">
        <f>C16*$C$3/Common_Shares*Exchange_Rate</f>
        <v>1.0822447738533645</v>
      </c>
      <c r="D124" s="27"/>
      <c r="E124" s="265"/>
      <c r="F124" s="27"/>
      <c r="G124" s="177">
        <f t="shared" ref="G124:Q124" si="49">IF(G$4="","",G16*$C$3/Common_Shares*Exchange_Rate)</f>
        <v>1.1891228285707574</v>
      </c>
      <c r="H124" s="177">
        <f t="shared" si="49"/>
        <v>1.2010165153920955</v>
      </c>
      <c r="I124" s="177">
        <f t="shared" si="49"/>
        <v>0.90774960861179788</v>
      </c>
      <c r="J124" s="177">
        <f t="shared" si="49"/>
        <v>0.96262534023050972</v>
      </c>
      <c r="K124" s="177">
        <f t="shared" si="49"/>
        <v>0.75423400223476922</v>
      </c>
      <c r="L124" s="177">
        <f t="shared" si="49"/>
        <v>0.93089394618650267</v>
      </c>
      <c r="M124" s="177">
        <f t="shared" si="49"/>
        <v>0.76235872367464286</v>
      </c>
      <c r="N124" s="177">
        <f t="shared" si="49"/>
        <v>0.74010181338059422</v>
      </c>
      <c r="O124" s="177">
        <f t="shared" si="49"/>
        <v>0.75760154796846702</v>
      </c>
      <c r="P124" s="177">
        <f t="shared" si="49"/>
        <v>0.70291245018252246</v>
      </c>
      <c r="Q124" s="177" t="str">
        <f t="shared" si="49"/>
        <v/>
      </c>
    </row>
    <row r="125" spans="1:17" ht="15.75" customHeight="1">
      <c r="A125" s="10"/>
      <c r="B125" s="27" t="s">
        <v>269</v>
      </c>
      <c r="C125" s="77">
        <f>C19*Exchange_Rate*$C$3/(Market_Price*Common_Shares)</f>
        <v>4.9081395639608359E-2</v>
      </c>
      <c r="D125" s="27"/>
      <c r="E125" s="265"/>
      <c r="F125" s="27"/>
      <c r="G125" s="77">
        <f t="shared" ref="G125" si="50">IF(G$4="","",G124/Market_Price)</f>
        <v>5.3928472951054754E-2</v>
      </c>
      <c r="H125" s="77">
        <f t="shared" ref="H125" si="51">IF(H$4="","",H124/Market_Price)</f>
        <v>5.446786917877984E-2</v>
      </c>
      <c r="I125" s="77">
        <f t="shared" ref="I125" si="52">IF(I$4="","",I124/Market_Price)</f>
        <v>4.1167782703482897E-2</v>
      </c>
      <c r="J125" s="77">
        <f t="shared" ref="J125" si="53">IF(J$4="","",J124/Market_Price)</f>
        <v>4.3656478014989099E-2</v>
      </c>
      <c r="K125" s="77">
        <f t="shared" ref="K125" si="54">IF(K$4="","",K124/Market_Price)</f>
        <v>3.4205623684116518E-2</v>
      </c>
      <c r="L125" s="77">
        <f t="shared" ref="L125" si="55">IF(L$4="","",L124/Market_Price)</f>
        <v>4.2217412525464973E-2</v>
      </c>
      <c r="M125" s="77">
        <f t="shared" ref="M125" si="56">IF(M$4="","",M124/Market_Price)</f>
        <v>3.4574091776627791E-2</v>
      </c>
      <c r="N125" s="77">
        <f t="shared" ref="N125" si="57">IF(N$4="","",N124/Market_Price)</f>
        <v>3.3564708089822863E-2</v>
      </c>
      <c r="O125" s="77">
        <f t="shared" ref="O125" si="58">IF(O$4="","",O124/Market_Price)</f>
        <v>3.4358346846642497E-2</v>
      </c>
      <c r="P125" s="77">
        <f t="shared" ref="P125" si="59">IF(P$4="","",P124/Market_Price)</f>
        <v>3.1878115654536167E-2</v>
      </c>
      <c r="Q125" s="77" t="str">
        <f t="shared" ref="Q125" si="60">IF(Q$4="","",Q124/Market_Price)</f>
        <v/>
      </c>
    </row>
    <row r="126" spans="1:17" ht="15.75" customHeight="1">
      <c r="B126" s="2" t="s">
        <v>394</v>
      </c>
      <c r="C126" s="169"/>
      <c r="G126" s="23">
        <f>IF(G$4="","",(Data!C47*$C$3)/(Market_Price*Common_Shares))</f>
        <v>5.6888283652570169E-2</v>
      </c>
      <c r="H126" s="23">
        <f>IF(H$4="","",(Data!D47*$C$3)/(Market_Price*Common_Shares))</f>
        <v>5.6734376324653266E-2</v>
      </c>
      <c r="I126" s="23">
        <f>IF(I$4="","",(Data!E47*$C$3)/(Market_Price*Common_Shares))</f>
        <v>5.0284720583644166E-2</v>
      </c>
      <c r="J126" s="23">
        <f>IF(J$4="","",(Data!F47*$C$3)/(Market_Price*Common_Shares))</f>
        <v>4.61314015563873E-2</v>
      </c>
      <c r="K126" s="23">
        <f>IF(K$4="","",(Data!G47*$C$3)/(Market_Price*Common_Shares))</f>
        <v>3.7195374936655437E-2</v>
      </c>
      <c r="L126" s="23">
        <f>IF(L$4="","",(Data!H47*$C$3)/(Market_Price*Common_Shares))</f>
        <v>4.3811669550709711E-2</v>
      </c>
      <c r="M126" s="23">
        <f>IF(M$4="","",(Data!I47*$C$3)/(Market_Price*Common_Shares))</f>
        <v>3.491465564495868E-2</v>
      </c>
      <c r="N126" s="23">
        <f>IF(N$4="","",(Data!J47*$C$3)/(Market_Price*Common_Shares))</f>
        <v>2.8617079859495794E-2</v>
      </c>
      <c r="O126" s="23">
        <f>IF(O$4="","",(Data!K47*$C$3)/(Market_Price*Common_Shares))</f>
        <v>3.0927372489831413E-2</v>
      </c>
      <c r="P126" s="23">
        <f>IF(P$4="","",(Data!L47*$C$3)/(Market_Price*Common_Shares))</f>
        <v>2.8286660030684408E-2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v>
      </c>
      <c r="E3" s="109" t="s">
        <v>124</v>
      </c>
      <c r="H3" s="120"/>
    </row>
    <row r="4" spans="2:8">
      <c r="B4" s="100" t="s">
        <v>128</v>
      </c>
      <c r="C4" s="338">
        <f>Normalized_FCF!C19</f>
        <v>1090126258.2152739</v>
      </c>
      <c r="D4" t="str">
        <f>Reporting_currency</f>
        <v>CNY</v>
      </c>
      <c r="E4" s="100" t="s">
        <v>250</v>
      </c>
      <c r="F4" s="134">
        <f>Terminal_Growth</f>
        <v>0</v>
      </c>
      <c r="H4" s="120"/>
    </row>
    <row r="5" spans="2:8">
      <c r="B5" s="205" t="s">
        <v>123</v>
      </c>
      <c r="C5" s="206">
        <f>Equity_Cost</f>
        <v>0.06</v>
      </c>
      <c r="E5" s="148"/>
      <c r="H5" s="120"/>
    </row>
    <row r="6" spans="2:8" ht="13.25" customHeight="1">
      <c r="B6" s="149" t="s">
        <v>228</v>
      </c>
      <c r="C6" s="347">
        <f>(C4*(1+Terminal_Growth))/(Equity_Cost-Terminal_Growth)</f>
        <v>18168770970.254566</v>
      </c>
      <c r="D6" t="str">
        <f>Reporting_currency</f>
        <v>CNY</v>
      </c>
      <c r="E6" s="364" t="s">
        <v>249</v>
      </c>
      <c r="F6" s="364"/>
      <c r="H6" s="120"/>
    </row>
    <row r="7" spans="2:8">
      <c r="B7" s="148" t="s">
        <v>224</v>
      </c>
      <c r="C7" s="338">
        <f>BS!G31</f>
        <v>1232137409</v>
      </c>
      <c r="D7" t="str">
        <f>Reporting_currency</f>
        <v>CNY</v>
      </c>
      <c r="E7" s="364"/>
      <c r="F7" s="364"/>
      <c r="H7" s="120"/>
    </row>
    <row r="8" spans="2:8">
      <c r="B8" s="148" t="s">
        <v>225</v>
      </c>
      <c r="C8" s="338">
        <f>BS!D66</f>
        <v>3438409570.5196743</v>
      </c>
      <c r="D8" t="str">
        <f>Reporting_currency</f>
        <v>CNY</v>
      </c>
      <c r="E8" s="364"/>
      <c r="F8" s="364"/>
      <c r="H8" s="120"/>
    </row>
    <row r="9" spans="2:8">
      <c r="B9" s="205" t="s">
        <v>190</v>
      </c>
      <c r="C9" s="348">
        <f>BS!H42</f>
        <v>601196472.20000005</v>
      </c>
      <c r="D9" t="str">
        <f>Reporting_currency</f>
        <v>CNY</v>
      </c>
      <c r="E9" s="364"/>
      <c r="F9" s="364"/>
      <c r="H9" s="120"/>
    </row>
    <row r="10" spans="2:8" ht="13.15">
      <c r="B10" s="149" t="s">
        <v>227</v>
      </c>
      <c r="C10" s="347">
        <f>C6-C7+C8+C9</f>
        <v>20976239603.974239</v>
      </c>
      <c r="D10" t="str">
        <f>Reporting_currency</f>
        <v>CNY</v>
      </c>
      <c r="H10" s="120"/>
    </row>
    <row r="11" spans="2:8" ht="13.15" thickBot="1">
      <c r="B11" s="207" t="s">
        <v>166</v>
      </c>
      <c r="C11" s="208">
        <f>Exchange_Rate</f>
        <v>1</v>
      </c>
      <c r="D11" t="str">
        <f>Thesis!C15</f>
        <v>CNY</v>
      </c>
      <c r="H11" s="120"/>
    </row>
    <row r="12" spans="2:8" ht="13.5" thickTop="1">
      <c r="B12" s="149" t="s">
        <v>102</v>
      </c>
      <c r="C12" s="111">
        <f>(C10*scaling_factor)/Common_Shares*Exchange_Rate</f>
        <v>20.824583863949179</v>
      </c>
      <c r="D12" t="str">
        <f>Market_currency</f>
        <v>CNY</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4.2432999018617502E-2</v>
      </c>
      <c r="H16" s="120"/>
    </row>
    <row r="17" spans="2:17" ht="13.25" customHeight="1">
      <c r="B17" s="118" t="s">
        <v>134</v>
      </c>
      <c r="C17" s="162">
        <f>Scenarios!C64</f>
        <v>10</v>
      </c>
      <c r="H17" s="120"/>
    </row>
    <row r="18" spans="2:17" ht="13.25" customHeight="1">
      <c r="B18" s="153" t="s">
        <v>106</v>
      </c>
      <c r="C18" s="140">
        <f>(F52-C7+C8+C9)*Exchange_Rate/Common_Shares*scaling_factor</f>
        <v>23.169996134207583</v>
      </c>
      <c r="D18" t="str">
        <f>Market_currency</f>
        <v>CNY</v>
      </c>
      <c r="H18" s="120"/>
    </row>
    <row r="19" spans="2:17">
      <c r="H19" s="120"/>
    </row>
    <row r="20" spans="2:17" ht="13.15">
      <c r="B20" s="128" t="s">
        <v>107</v>
      </c>
      <c r="C20" s="128" t="s">
        <v>108</v>
      </c>
      <c r="D20" s="128" t="s">
        <v>118</v>
      </c>
      <c r="E20" s="128" t="s">
        <v>109</v>
      </c>
      <c r="F20" s="129" t="s">
        <v>110</v>
      </c>
      <c r="H20" s="120"/>
    </row>
    <row r="21" spans="2:17">
      <c r="B21" s="122">
        <v>1</v>
      </c>
      <c r="C21" s="123">
        <f>C4*(1+D21)</f>
        <v>1136383584.6602917</v>
      </c>
      <c r="D21" s="138">
        <f>IF($C$17&lt;B21,0,DCF!$C$16)</f>
        <v>4.2432999018617502E-2</v>
      </c>
      <c r="E21" s="124">
        <f t="shared" ref="E21:E50" si="0">IF($C$17&lt;B21,0,1/(1+Equity_Cost)^B21)</f>
        <v>0.94339622641509424</v>
      </c>
      <c r="F21" s="125">
        <f t="shared" ref="F21:F51" si="1">C21*E21</f>
        <v>1072059985.528577</v>
      </c>
      <c r="H21" s="120"/>
    </row>
    <row r="22" spans="2:17">
      <c r="B22" s="122">
        <v>2</v>
      </c>
      <c r="C22" s="123">
        <f t="shared" ref="C22:C50" si="2">IF(ROW()-ROW($C$21)&lt;$C$17, $C$21*(1+D22)^(ROW()-ROW($C$21)), 0)</f>
        <v>1184603748.1929548</v>
      </c>
      <c r="D22" s="138">
        <f>IF($C$17&lt;B22,0,DCF!$C$16)</f>
        <v>4.2432999018617502E-2</v>
      </c>
      <c r="E22" s="124">
        <f t="shared" si="0"/>
        <v>0.88999644001423983</v>
      </c>
      <c r="F22" s="125">
        <f t="shared" si="1"/>
        <v>1054293118.7192547</v>
      </c>
      <c r="H22" s="120"/>
    </row>
    <row r="23" spans="2:17">
      <c r="B23" s="122">
        <v>3</v>
      </c>
      <c r="C23" s="123">
        <f t="shared" si="2"/>
        <v>1234870037.8774769</v>
      </c>
      <c r="D23" s="138">
        <f>IF($C$17&lt;B23,0,DCF!$C$16)</f>
        <v>4.2432999018617502E-2</v>
      </c>
      <c r="E23" s="124">
        <f t="shared" si="0"/>
        <v>0.8396192830323016</v>
      </c>
      <c r="F23" s="125">
        <f t="shared" si="1"/>
        <v>1036820695.8407583</v>
      </c>
      <c r="G23" s="338"/>
      <c r="H23" s="339"/>
      <c r="I23" s="338"/>
      <c r="J23" s="338"/>
      <c r="K23" s="338"/>
      <c r="L23" s="338"/>
      <c r="M23" s="338"/>
      <c r="N23" s="338"/>
      <c r="O23" s="338"/>
      <c r="P23" s="338"/>
      <c r="Q23" s="338"/>
    </row>
    <row r="24" spans="2:17">
      <c r="B24" s="122">
        <v>4</v>
      </c>
      <c r="C24" s="123">
        <f t="shared" si="2"/>
        <v>1287269276.982852</v>
      </c>
      <c r="D24" s="138">
        <f>IF($C$17&lt;B24,0,DCF!$C$16)</f>
        <v>4.2432999018617502E-2</v>
      </c>
      <c r="E24" s="124">
        <f t="shared" si="0"/>
        <v>0.79209366323802044</v>
      </c>
      <c r="F24" s="125">
        <f t="shared" si="1"/>
        <v>1019637837.1791052</v>
      </c>
      <c r="G24" s="338"/>
      <c r="H24" s="339"/>
      <c r="I24" s="338"/>
      <c r="J24" s="338"/>
      <c r="K24" s="338"/>
      <c r="L24" s="338"/>
      <c r="M24" s="338"/>
      <c r="N24" s="338"/>
      <c r="O24" s="338"/>
      <c r="P24" s="338"/>
      <c r="Q24" s="338"/>
    </row>
    <row r="25" spans="2:17">
      <c r="B25" s="122">
        <v>5</v>
      </c>
      <c r="C25" s="123">
        <f t="shared" si="2"/>
        <v>1341891972.9497619</v>
      </c>
      <c r="D25" s="138">
        <f>IF($C$17&lt;B25,0,DCF!$C$16)</f>
        <v>4.2432999018617502E-2</v>
      </c>
      <c r="E25" s="124">
        <f t="shared" si="0"/>
        <v>0.74725817286605689</v>
      </c>
      <c r="F25" s="125">
        <f t="shared" si="1"/>
        <v>1002739743.8900673</v>
      </c>
      <c r="G25" s="338"/>
      <c r="H25" s="339"/>
      <c r="I25" s="338"/>
      <c r="J25" s="338"/>
      <c r="K25" s="338"/>
      <c r="L25" s="338"/>
      <c r="M25" s="338"/>
      <c r="N25" s="338"/>
      <c r="O25" s="338"/>
      <c r="P25" s="338"/>
      <c r="Q25" s="338"/>
    </row>
    <row r="26" spans="2:17">
      <c r="B26" s="122">
        <v>6</v>
      </c>
      <c r="C26" s="123">
        <f t="shared" si="2"/>
        <v>1398832473.7210295</v>
      </c>
      <c r="D26" s="138">
        <f>IF($C$17&lt;B26,0,DCF!$C$16)</f>
        <v>4.2432999018617502E-2</v>
      </c>
      <c r="E26" s="124">
        <f t="shared" si="0"/>
        <v>0.70496054043967626</v>
      </c>
      <c r="F26" s="125">
        <f t="shared" si="1"/>
        <v>986121696.65894628</v>
      </c>
      <c r="H26" s="120"/>
    </row>
    <row r="27" spans="2:17">
      <c r="B27" s="122">
        <v>7</v>
      </c>
      <c r="C27" s="123">
        <f t="shared" si="2"/>
        <v>1458189130.7056441</v>
      </c>
      <c r="D27" s="138">
        <f>IF($C$17&lt;B27,0,DCF!$C$16)</f>
        <v>4.2432999018617502E-2</v>
      </c>
      <c r="E27" s="124">
        <f t="shared" si="0"/>
        <v>0.66505711362233599</v>
      </c>
      <c r="F27" s="125">
        <f t="shared" si="1"/>
        <v>969779054.38255894</v>
      </c>
      <c r="H27" s="120"/>
    </row>
    <row r="28" spans="2:17">
      <c r="B28" s="122">
        <v>8</v>
      </c>
      <c r="C28" s="123">
        <f t="shared" si="2"/>
        <v>1520064468.6578355</v>
      </c>
      <c r="D28" s="138">
        <f>IF($C$17&lt;B28,0,DCF!$C$16)</f>
        <v>4.2432999018617502E-2</v>
      </c>
      <c r="E28" s="124">
        <f t="shared" si="0"/>
        <v>0.62741237134182648</v>
      </c>
      <c r="F28" s="125">
        <f t="shared" si="1"/>
        <v>953707252.87306607</v>
      </c>
      <c r="H28" s="120"/>
    </row>
    <row r="29" spans="2:17">
      <c r="B29" s="122">
        <v>9</v>
      </c>
      <c r="C29" s="123">
        <f t="shared" si="2"/>
        <v>1584565362.7646286</v>
      </c>
      <c r="D29" s="138">
        <f>IF($C$17&lt;B29,0,DCF!$C$16)</f>
        <v>4.2432999018617502E-2</v>
      </c>
      <c r="E29" s="124">
        <f t="shared" si="0"/>
        <v>0.59189846353002495</v>
      </c>
      <c r="F29" s="125">
        <f t="shared" si="1"/>
        <v>937901803.58328032</v>
      </c>
      <c r="H29" s="120"/>
    </row>
    <row r="30" spans="2:17">
      <c r="B30" s="122">
        <v>10</v>
      </c>
      <c r="C30" s="123">
        <f t="shared" si="2"/>
        <v>1651803223.2477553</v>
      </c>
      <c r="D30" s="138">
        <f>IF($C$17&lt;B30,0,DCF!$C$16)</f>
        <v>4.2432999018617502E-2</v>
      </c>
      <c r="E30" s="124">
        <f t="shared" si="0"/>
        <v>0.55839477691511785</v>
      </c>
      <c r="F30" s="125">
        <f t="shared" si="1"/>
        <v>922358292.35310292</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18939726411.004864</v>
      </c>
      <c r="D51" s="139">
        <f>Terminal_Growth</f>
        <v>0</v>
      </c>
      <c r="E51" s="124">
        <f>1/(1+Equity_Cost)^C17</f>
        <v>0.55839477691511785</v>
      </c>
      <c r="F51" s="125">
        <f t="shared" si="1"/>
        <v>10575844304.106426</v>
      </c>
      <c r="H51" s="120"/>
    </row>
    <row r="52" spans="1:17">
      <c r="C52" s="114"/>
      <c r="E52" s="127" t="s">
        <v>100</v>
      </c>
      <c r="F52" s="137">
        <f>SUM(F21:F51)</f>
        <v>20531263785.115143</v>
      </c>
      <c r="H52" s="120"/>
    </row>
    <row r="53" spans="1:17">
      <c r="C53" s="114"/>
      <c r="H53" s="120"/>
    </row>
    <row r="54" spans="1:17" ht="13.15">
      <c r="B54" s="119" t="s">
        <v>129</v>
      </c>
      <c r="C54" s="136"/>
      <c r="D54" s="136"/>
      <c r="E54" s="117"/>
      <c r="F54" s="117"/>
      <c r="H54" s="120"/>
    </row>
    <row r="55" spans="1:17" ht="13.15">
      <c r="A55" s="133">
        <f>F52</f>
        <v>20531263785.115143</v>
      </c>
      <c r="B55" s="131">
        <f>C78</f>
        <v>0</v>
      </c>
      <c r="C55" s="131">
        <f>C77</f>
        <v>0.01</v>
      </c>
      <c r="D55" s="131">
        <f>C76</f>
        <v>0.03</v>
      </c>
      <c r="E55" s="131">
        <f>C75</f>
        <v>0.05</v>
      </c>
      <c r="F55" s="131">
        <f>C74</f>
        <v>0.06</v>
      </c>
      <c r="H55" s="120"/>
    </row>
    <row r="56" spans="1:17" ht="13.15">
      <c r="A56" s="143">
        <v>5</v>
      </c>
      <c r="B56" s="123">
        <f t="dataTable" ref="B56:F61" dt2D="1" dtr="1" r1="C16" r2="C17"/>
        <v>18168770970.254559</v>
      </c>
      <c r="C56" s="123">
        <v>18438672146.565094</v>
      </c>
      <c r="D56" s="123">
        <v>18989004554.905563</v>
      </c>
      <c r="E56" s="123">
        <v>19553895609.045933</v>
      </c>
      <c r="F56" s="123">
        <v>19841999645.437908</v>
      </c>
      <c r="H56" s="120"/>
    </row>
    <row r="57" spans="1:17" ht="13.15">
      <c r="A57" s="143">
        <v>10</v>
      </c>
      <c r="B57" s="123">
        <v>18168770970.254555</v>
      </c>
      <c r="C57" s="123">
        <v>18684739930.911228</v>
      </c>
      <c r="D57" s="123">
        <v>19790310038.934723</v>
      </c>
      <c r="E57" s="123">
        <v>21003955532.407841</v>
      </c>
      <c r="F57" s="123">
        <v>21655330203.675339</v>
      </c>
      <c r="H57" s="120"/>
    </row>
    <row r="58" spans="1:17" ht="13.15">
      <c r="A58" s="143">
        <v>15</v>
      </c>
      <c r="B58" s="123">
        <v>18168770970.254551</v>
      </c>
      <c r="C58" s="341">
        <v>19010101200.11388</v>
      </c>
      <c r="D58" s="123">
        <v>20905117839.794746</v>
      </c>
      <c r="E58" s="123">
        <v>23130744582.736561</v>
      </c>
      <c r="F58" s="123">
        <v>24387958794.966114</v>
      </c>
      <c r="G58" s="338"/>
      <c r="H58" s="339"/>
      <c r="I58" s="338"/>
      <c r="J58" s="338"/>
      <c r="K58" s="338"/>
      <c r="L58" s="338"/>
      <c r="M58" s="338"/>
      <c r="N58" s="338"/>
      <c r="O58" s="338"/>
      <c r="P58" s="338"/>
      <c r="Q58" s="338"/>
    </row>
    <row r="59" spans="1:17" ht="13.15">
      <c r="A59" s="144">
        <v>20</v>
      </c>
      <c r="B59" s="123">
        <v>18168770970.254551</v>
      </c>
      <c r="C59" s="341">
        <v>19364349053.217316</v>
      </c>
      <c r="D59" s="123">
        <v>22185188314.298473</v>
      </c>
      <c r="E59" s="123">
        <v>25714936261.325912</v>
      </c>
      <c r="F59" s="123">
        <v>27807540354.755692</v>
      </c>
      <c r="G59" s="338"/>
      <c r="H59" s="339"/>
      <c r="I59" s="338"/>
      <c r="J59" s="338"/>
      <c r="K59" s="338"/>
      <c r="L59" s="338"/>
      <c r="M59" s="338"/>
      <c r="N59" s="338"/>
      <c r="O59" s="338"/>
      <c r="P59" s="338"/>
      <c r="Q59" s="338"/>
    </row>
    <row r="60" spans="1:17" ht="13.15">
      <c r="A60" s="144">
        <v>25</v>
      </c>
      <c r="B60" s="123">
        <v>18168770970.254551</v>
      </c>
      <c r="C60" s="341">
        <v>19716333824.36945</v>
      </c>
      <c r="D60" s="123">
        <v>23528975663.756058</v>
      </c>
      <c r="E60" s="123">
        <v>28594872247.096466</v>
      </c>
      <c r="F60" s="123">
        <v>31740453134.6306</v>
      </c>
      <c r="G60" s="338"/>
      <c r="H60" s="339"/>
      <c r="I60" s="338"/>
      <c r="J60" s="338"/>
      <c r="K60" s="338"/>
      <c r="L60" s="338"/>
      <c r="M60" s="338"/>
      <c r="N60" s="338"/>
      <c r="O60" s="338"/>
      <c r="P60" s="338"/>
      <c r="Q60" s="338"/>
    </row>
    <row r="61" spans="1:17" ht="13.15">
      <c r="A61" s="144">
        <v>30</v>
      </c>
      <c r="B61" s="123">
        <v>18168770970.254547</v>
      </c>
      <c r="C61" s="341">
        <v>20047897203.448524</v>
      </c>
      <c r="D61" s="123">
        <v>24868592519.505997</v>
      </c>
      <c r="E61" s="123">
        <v>31651883772.804543</v>
      </c>
      <c r="F61" s="123">
        <v>36056956864.10157</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0.06</v>
      </c>
      <c r="H64" s="120"/>
    </row>
    <row r="65" spans="1:8" ht="13.15">
      <c r="A65" s="143">
        <v>0</v>
      </c>
      <c r="B65" s="124">
        <f>C12</f>
        <v>20.824583863949179</v>
      </c>
      <c r="C65" s="124">
        <f>C12</f>
        <v>20.824583863949179</v>
      </c>
      <c r="D65" s="124">
        <f>C12</f>
        <v>20.824583863949179</v>
      </c>
      <c r="E65" s="141">
        <f>C12</f>
        <v>20.824583863949179</v>
      </c>
      <c r="F65" s="124">
        <f>C12</f>
        <v>20.824583863949179</v>
      </c>
      <c r="H65" s="120"/>
    </row>
    <row r="66" spans="1:8" ht="13.15">
      <c r="A66" s="143">
        <f t="shared" ref="A66:A71" si="3">A56</f>
        <v>5</v>
      </c>
      <c r="B66" s="124">
        <f t="shared" ref="B66:F71" si="4">(B56-$C$7+$C$8+$C$9)/Common_Shares*$C$3*Exchange_Rate</f>
        <v>20.824583863949172</v>
      </c>
      <c r="C66" s="124">
        <f t="shared" si="4"/>
        <v>21.092533686566206</v>
      </c>
      <c r="D66" s="124">
        <f t="shared" si="4"/>
        <v>21.63888725645792</v>
      </c>
      <c r="E66" s="124">
        <f t="shared" si="4"/>
        <v>22.199694214856311</v>
      </c>
      <c r="F66" s="124">
        <f t="shared" si="4"/>
        <v>22.48571529302183</v>
      </c>
      <c r="H66" s="120"/>
    </row>
    <row r="67" spans="1:8" ht="13.15">
      <c r="A67" s="143">
        <f t="shared" si="3"/>
        <v>10</v>
      </c>
      <c r="B67" s="124">
        <f t="shared" si="4"/>
        <v>20.824583863949172</v>
      </c>
      <c r="C67" s="124">
        <f t="shared" si="4"/>
        <v>21.336822429833674</v>
      </c>
      <c r="D67" s="124">
        <f t="shared" si="4"/>
        <v>22.4343993962814</v>
      </c>
      <c r="E67" s="124">
        <f t="shared" si="4"/>
        <v>23.639270375879974</v>
      </c>
      <c r="F67" s="124">
        <f t="shared" si="4"/>
        <v>24.285935685046848</v>
      </c>
      <c r="H67" s="120"/>
    </row>
    <row r="68" spans="1:8" ht="13.15">
      <c r="A68" s="143">
        <f t="shared" si="3"/>
        <v>15</v>
      </c>
      <c r="B68" s="124">
        <f t="shared" si="4"/>
        <v>20.824583863949162</v>
      </c>
      <c r="C68" s="124">
        <f t="shared" si="4"/>
        <v>21.65983137540788</v>
      </c>
      <c r="D68" s="124">
        <f t="shared" si="4"/>
        <v>23.541147268135223</v>
      </c>
      <c r="E68" s="124">
        <f t="shared" si="4"/>
        <v>25.750682992043455</v>
      </c>
      <c r="F68" s="124">
        <f t="shared" si="4"/>
        <v>26.998807693696978</v>
      </c>
      <c r="H68" s="120"/>
    </row>
    <row r="69" spans="1:8" ht="13.15">
      <c r="A69" s="144">
        <f t="shared" si="3"/>
        <v>20</v>
      </c>
      <c r="B69" s="124">
        <f t="shared" si="4"/>
        <v>20.824583863949162</v>
      </c>
      <c r="C69" s="124">
        <f t="shared" si="4"/>
        <v>22.011518058285912</v>
      </c>
      <c r="D69" s="124">
        <f t="shared" si="4"/>
        <v>24.811962983980568</v>
      </c>
      <c r="E69" s="124">
        <f t="shared" si="4"/>
        <v>28.316191269375857</v>
      </c>
      <c r="F69" s="124">
        <f t="shared" si="4"/>
        <v>30.393666081849652</v>
      </c>
      <c r="H69" s="120"/>
    </row>
    <row r="70" spans="1:8" ht="13.15">
      <c r="A70" s="144">
        <f t="shared" si="3"/>
        <v>25</v>
      </c>
      <c r="B70" s="124">
        <f t="shared" si="4"/>
        <v>20.824583863949162</v>
      </c>
      <c r="C70" s="124">
        <f t="shared" si="4"/>
        <v>22.360958021028409</v>
      </c>
      <c r="D70" s="124">
        <f t="shared" si="4"/>
        <v>26.146034909283689</v>
      </c>
      <c r="E70" s="124">
        <f t="shared" si="4"/>
        <v>31.175305657405694</v>
      </c>
      <c r="F70" s="124">
        <f t="shared" si="4"/>
        <v>34.298144365868922</v>
      </c>
    </row>
    <row r="71" spans="1:8" ht="13.15">
      <c r="A71" s="144">
        <f t="shared" si="3"/>
        <v>30</v>
      </c>
      <c r="B71" s="124">
        <f t="shared" si="4"/>
        <v>20.824583863949162</v>
      </c>
      <c r="C71" s="124">
        <f t="shared" si="4"/>
        <v>22.690124235955629</v>
      </c>
      <c r="D71" s="124">
        <f t="shared" si="4"/>
        <v>27.475966493057125</v>
      </c>
      <c r="E71" s="124">
        <f t="shared" si="4"/>
        <v>34.210215350089861</v>
      </c>
      <c r="F71" s="124">
        <f t="shared" si="4"/>
        <v>38.583440282129665</v>
      </c>
    </row>
    <row r="73" spans="1:8" ht="13.15">
      <c r="B73" s="171" t="s">
        <v>117</v>
      </c>
      <c r="C73" s="171" t="s">
        <v>132</v>
      </c>
      <c r="D73" s="171" t="s">
        <v>112</v>
      </c>
      <c r="E73" s="172" t="s">
        <v>113</v>
      </c>
      <c r="F73" s="172" t="s">
        <v>119</v>
      </c>
    </row>
    <row r="74" spans="1:8">
      <c r="B74" s="127" t="str">
        <f>Scenarios!B54</f>
        <v>Snowball Scenario</v>
      </c>
      <c r="C74" s="142">
        <f>Scenarios!C56</f>
        <v>0.06</v>
      </c>
      <c r="D74" s="145">
        <f>Scenarios!C55</f>
        <v>15</v>
      </c>
      <c r="E74" s="135">
        <f>INDEX(B$65:F$71, MATCH(D74, A$65:A$71, 0), MATCH(C74, B$64:F$64, 0))</f>
        <v>26.998807693696978</v>
      </c>
      <c r="F74" s="142">
        <f>Scenarios!C58</f>
        <v>0.05</v>
      </c>
    </row>
    <row r="75" spans="1:8">
      <c r="B75" s="127" t="str">
        <f>Scenarios!B36</f>
        <v>Optimistic</v>
      </c>
      <c r="C75" s="142">
        <f>Scenarios!C38</f>
        <v>0.05</v>
      </c>
      <c r="D75" s="145">
        <f>Scenarios!C37</f>
        <v>10</v>
      </c>
      <c r="E75" s="135">
        <f>INDEX(B$65:F$71, MATCH(D75, A$65:A$71, 0), MATCH(C75, B$64:F$64, 0))</f>
        <v>23.639270375879974</v>
      </c>
      <c r="F75" s="142">
        <f>Scenarios!C40*(1-F$74-F$78)</f>
        <v>0.18</v>
      </c>
      <c r="H75" s="120"/>
    </row>
    <row r="76" spans="1:8">
      <c r="B76" s="127" t="str">
        <f>Scenarios!B24</f>
        <v>Base</v>
      </c>
      <c r="C76" s="142">
        <f>Scenarios!C26</f>
        <v>0.03</v>
      </c>
      <c r="D76" s="145">
        <f>Scenarios!C25</f>
        <v>10</v>
      </c>
      <c r="E76" s="135">
        <f>INDEX(B$65:F$71, MATCH(D76, A$65:A$71, 0), MATCH(C76, B$64:F$64, 0))</f>
        <v>22.4343993962814</v>
      </c>
      <c r="F76" s="142">
        <f>Scenarios!C28*(1-F$74-F$78)</f>
        <v>0.53999999999999992</v>
      </c>
      <c r="H76" s="120"/>
    </row>
    <row r="77" spans="1:8">
      <c r="B77" s="127" t="str">
        <f>Scenarios!B30</f>
        <v>Pessimistic</v>
      </c>
      <c r="C77" s="142">
        <f>Scenarios!C32</f>
        <v>0.01</v>
      </c>
      <c r="D77" s="145">
        <f>Scenarios!C31</f>
        <v>10</v>
      </c>
      <c r="E77" s="135">
        <f>INDEX(B$65:F$71, MATCH(D77, A$65:A$71, 0), MATCH(C77, B$64:F$64, 0))</f>
        <v>21.336822429833674</v>
      </c>
      <c r="F77" s="142">
        <f>Scenarios!C34*(1-F$74-F$78)</f>
        <v>0.18</v>
      </c>
      <c r="H77" s="120"/>
    </row>
    <row r="78" spans="1:8">
      <c r="B78" s="127" t="str">
        <f>Scenarios!B48</f>
        <v>Devil's advocate</v>
      </c>
      <c r="C78" s="142">
        <f>Scenarios!C50</f>
        <v>0</v>
      </c>
      <c r="D78" s="145">
        <f>Scenarios!C49</f>
        <v>15</v>
      </c>
      <c r="E78" s="135">
        <f>INDEX(B$65:F$71, MATCH(D78, A$65:A$71, 0), MATCH(C78, B$64:F$64, 0))</f>
        <v>20.824583863949162</v>
      </c>
      <c r="F78" s="142">
        <f>Scenarios!C52</f>
        <v>0.05</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443</v>
      </c>
      <c r="C2" s="37"/>
      <c r="D2" s="37"/>
      <c r="E2" s="37"/>
      <c r="F2" s="37"/>
      <c r="H2" s="130" t="s">
        <v>59</v>
      </c>
    </row>
    <row r="3" spans="2:8" ht="13.15">
      <c r="B3" s="109" t="s">
        <v>442</v>
      </c>
      <c r="C3" s="107">
        <f>scaling_factor</f>
        <v>1</v>
      </c>
      <c r="E3" s="109" t="s">
        <v>124</v>
      </c>
      <c r="H3" s="120"/>
    </row>
    <row r="4" spans="2:8">
      <c r="B4" s="100" t="s">
        <v>440</v>
      </c>
      <c r="C4" s="114">
        <f>Normalized_FCF!C91</f>
        <v>1108010787.4000001</v>
      </c>
      <c r="D4" t="str">
        <f>Market_currency</f>
        <v>CNY</v>
      </c>
      <c r="E4" s="100" t="s">
        <v>250</v>
      </c>
      <c r="F4" s="134">
        <f>Thesis!E22</f>
        <v>0</v>
      </c>
      <c r="H4" s="120"/>
    </row>
    <row r="5" spans="2:8">
      <c r="B5" s="205" t="s">
        <v>123</v>
      </c>
      <c r="C5" s="206">
        <f>Equity_Cost</f>
        <v>0.06</v>
      </c>
      <c r="E5" s="148"/>
      <c r="H5" s="120"/>
    </row>
    <row r="6" spans="2:8" ht="13.25" customHeight="1">
      <c r="B6" s="149" t="s">
        <v>441</v>
      </c>
      <c r="C6" s="319">
        <f>(C4*(1+Terminal_Growth))/(Equity_Cost-Terminal_Growth)</f>
        <v>18466846456.666668</v>
      </c>
      <c r="D6" t="str">
        <f>Reporting_currency</f>
        <v>CNY</v>
      </c>
      <c r="E6" s="364"/>
      <c r="F6" s="364"/>
      <c r="H6" s="120"/>
    </row>
    <row r="7" spans="2:8" ht="13.15">
      <c r="B7" s="149" t="s">
        <v>444</v>
      </c>
      <c r="C7" s="111">
        <f>(C6*scaling_factor)/Common_Shares*Exchange_Rate</f>
        <v>18.333333333333336</v>
      </c>
      <c r="D7" t="str">
        <f>Market_currency</f>
        <v>CNY</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4.2432999018617502E-2</v>
      </c>
      <c r="H11" s="120"/>
    </row>
    <row r="12" spans="2:8" ht="13.25" customHeight="1">
      <c r="B12" s="118" t="s">
        <v>134</v>
      </c>
      <c r="C12" s="162">
        <f>Scenarios!C64</f>
        <v>10</v>
      </c>
      <c r="H12" s="120"/>
    </row>
    <row r="13" spans="2:8" ht="13.25" customHeight="1">
      <c r="B13" s="153" t="s">
        <v>106</v>
      </c>
      <c r="C13" s="140">
        <f>F47/Common_Shares*scaling_factor</f>
        <v>20.717224260427621</v>
      </c>
      <c r="D13" t="str">
        <f>Market_currency</f>
        <v>CNY</v>
      </c>
      <c r="H13" s="120"/>
    </row>
    <row r="14" spans="2:8">
      <c r="H14" s="120"/>
    </row>
    <row r="15" spans="2:8" ht="13.15">
      <c r="B15" s="128" t="s">
        <v>107</v>
      </c>
      <c r="C15" s="128" t="s">
        <v>446</v>
      </c>
      <c r="D15" s="128" t="s">
        <v>118</v>
      </c>
      <c r="E15" s="128" t="s">
        <v>109</v>
      </c>
      <c r="F15" s="129" t="s">
        <v>445</v>
      </c>
      <c r="H15" s="120"/>
    </row>
    <row r="16" spans="2:8">
      <c r="B16" s="122">
        <v>1</v>
      </c>
      <c r="C16" s="123">
        <f>C4*(1+D16)</f>
        <v>1155027008.0543618</v>
      </c>
      <c r="D16" s="138">
        <f>IF($C$12&lt;B16,0,DDM!$C$11)</f>
        <v>4.2432999018617502E-2</v>
      </c>
      <c r="E16" s="124">
        <f t="shared" ref="E16:E45" si="0">IF($C$12&lt;B16,0,1/(1+Equity_Cost)^B16)</f>
        <v>0.94339622641509424</v>
      </c>
      <c r="F16" s="125">
        <f t="shared" ref="F16:F46" si="1">C16*E16</f>
        <v>1089648120.8060017</v>
      </c>
      <c r="H16" s="120"/>
    </row>
    <row r="17" spans="2:8">
      <c r="B17" s="122">
        <v>2</v>
      </c>
      <c r="C17" s="123">
        <f t="shared" ref="C17:C45" si="2">IF(ROW()-ROW($C$16)&lt;$C$12, $C$16*(1+D17)^(ROW()-ROW($C$16)), 0)</f>
        <v>1204038267.9536092</v>
      </c>
      <c r="D17" s="138">
        <f>IF($C$12&lt;B17,0,DDM!$C$11)</f>
        <v>4.2432999018617502E-2</v>
      </c>
      <c r="E17" s="124">
        <f t="shared" si="0"/>
        <v>0.88999644001423983</v>
      </c>
      <c r="F17" s="125">
        <f t="shared" si="1"/>
        <v>1071589772.1196235</v>
      </c>
      <c r="H17" s="120"/>
    </row>
    <row r="18" spans="2:8">
      <c r="B18" s="122">
        <v>3</v>
      </c>
      <c r="C18" s="123">
        <f t="shared" si="2"/>
        <v>1255129222.5960624</v>
      </c>
      <c r="D18" s="138">
        <f>IF($C$12&lt;B18,0,DDM!$C$11)</f>
        <v>4.2432999018617502E-2</v>
      </c>
      <c r="E18" s="124">
        <f t="shared" si="0"/>
        <v>0.8396192830323016</v>
      </c>
      <c r="F18" s="125">
        <f t="shared" si="1"/>
        <v>1053830697.988996</v>
      </c>
      <c r="H18" s="120"/>
    </row>
    <row r="19" spans="2:8">
      <c r="B19" s="122">
        <v>4</v>
      </c>
      <c r="C19" s="123">
        <f t="shared" si="2"/>
        <v>1308388119.6667192</v>
      </c>
      <c r="D19" s="138">
        <f>IF($C$12&lt;B19,0,DDM!$C$11)</f>
        <v>4.2432999018617502E-2</v>
      </c>
      <c r="E19" s="124">
        <f t="shared" si="0"/>
        <v>0.79209366323802044</v>
      </c>
      <c r="F19" s="125">
        <f t="shared" si="1"/>
        <v>1036365938.6439171</v>
      </c>
      <c r="H19" s="120"/>
    </row>
    <row r="20" spans="2:8">
      <c r="B20" s="122">
        <v>5</v>
      </c>
      <c r="C20" s="123">
        <f t="shared" si="2"/>
        <v>1363906951.4645078</v>
      </c>
      <c r="D20" s="138">
        <f>IF($C$12&lt;B20,0,DDM!$C$11)</f>
        <v>4.2432999018617502E-2</v>
      </c>
      <c r="E20" s="124">
        <f t="shared" si="0"/>
        <v>0.74725817286605689</v>
      </c>
      <c r="F20" s="125">
        <f t="shared" si="1"/>
        <v>1019190616.5106819</v>
      </c>
      <c r="H20" s="120"/>
    </row>
    <row r="21" spans="2:8">
      <c r="B21" s="122">
        <v>6</v>
      </c>
      <c r="C21" s="123">
        <f t="shared" si="2"/>
        <v>1421781613.7974868</v>
      </c>
      <c r="D21" s="138">
        <f>IF($C$12&lt;B21,0,DDM!$C$11)</f>
        <v>4.2432999018617502E-2</v>
      </c>
      <c r="E21" s="124">
        <f t="shared" si="0"/>
        <v>0.70496054043967626</v>
      </c>
      <c r="F21" s="125">
        <f t="shared" si="1"/>
        <v>1002299934.8498714</v>
      </c>
      <c r="H21" s="120"/>
    </row>
    <row r="22" spans="2:8">
      <c r="B22" s="122">
        <v>7</v>
      </c>
      <c r="C22" s="123">
        <f t="shared" si="2"/>
        <v>1482112071.6204438</v>
      </c>
      <c r="D22" s="138">
        <f>IF($C$12&lt;B22,0,DDM!$C$11)</f>
        <v>4.2432999018617502E-2</v>
      </c>
      <c r="E22" s="124">
        <f t="shared" si="0"/>
        <v>0.66505711362233599</v>
      </c>
      <c r="F22" s="125">
        <f t="shared" si="1"/>
        <v>985689176.41671324</v>
      </c>
      <c r="H22" s="120"/>
    </row>
    <row r="23" spans="2:8">
      <c r="B23" s="122">
        <v>8</v>
      </c>
      <c r="C23" s="123">
        <f t="shared" si="2"/>
        <v>1545002531.7009954</v>
      </c>
      <c r="D23" s="138">
        <f>IF($C$12&lt;B23,0,DDM!$C$11)</f>
        <v>4.2432999018617502E-2</v>
      </c>
      <c r="E23" s="124">
        <f t="shared" si="0"/>
        <v>0.62741237134182648</v>
      </c>
      <c r="F23" s="125">
        <f t="shared" si="1"/>
        <v>969353702.14364696</v>
      </c>
      <c r="H23" s="120"/>
    </row>
    <row r="24" spans="2:8">
      <c r="B24" s="122">
        <v>9</v>
      </c>
      <c r="C24" s="123">
        <f t="shared" si="2"/>
        <v>1610561622.6124251</v>
      </c>
      <c r="D24" s="138">
        <f>IF($C$12&lt;B24,0,DDM!$C$11)</f>
        <v>4.2432999018617502E-2</v>
      </c>
      <c r="E24" s="124">
        <f t="shared" si="0"/>
        <v>0.59189846353002495</v>
      </c>
      <c r="F24" s="125">
        <f t="shared" si="1"/>
        <v>953288949.84471834</v>
      </c>
      <c r="H24" s="120"/>
    </row>
    <row r="25" spans="2:8">
      <c r="B25" s="122">
        <v>10</v>
      </c>
      <c r="C25" s="123">
        <f t="shared" si="2"/>
        <v>1678902582.364161</v>
      </c>
      <c r="D25" s="138">
        <f>IF($C$12&lt;B25,0,DDM!$C$11)</f>
        <v>4.2432999018617502E-2</v>
      </c>
      <c r="E25" s="124">
        <f t="shared" si="0"/>
        <v>0.55839477691511785</v>
      </c>
      <c r="F25" s="125">
        <f t="shared" si="1"/>
        <v>937490432.94145095</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19250450134.239365</v>
      </c>
      <c r="D46" s="139">
        <f>Terminal_Growth</f>
        <v>0</v>
      </c>
      <c r="E46" s="124">
        <f>1/(1+Equity_Cost)^C12</f>
        <v>0.55839477691511785</v>
      </c>
      <c r="F46" s="125">
        <f t="shared" si="1"/>
        <v>10749350808.22419</v>
      </c>
      <c r="H46" s="120"/>
    </row>
    <row r="47" spans="2:8">
      <c r="C47" s="114"/>
      <c r="E47" s="127" t="s">
        <v>100</v>
      </c>
      <c r="F47" s="137">
        <f>SUM(F16:F46)</f>
        <v>20868098150.489811</v>
      </c>
      <c r="H47" s="120"/>
    </row>
    <row r="48" spans="2:8">
      <c r="C48" s="114"/>
      <c r="H48" s="120"/>
    </row>
    <row r="49" spans="1:8" ht="13.15">
      <c r="B49" s="119" t="s">
        <v>129</v>
      </c>
      <c r="C49" s="136"/>
      <c r="D49" s="136"/>
      <c r="E49" s="117"/>
      <c r="F49" s="117"/>
      <c r="H49" s="120"/>
    </row>
    <row r="50" spans="1:8" ht="13.15">
      <c r="A50" s="133">
        <f>F47</f>
        <v>20868098150.489811</v>
      </c>
      <c r="B50" s="131">
        <f>C73</f>
        <v>0</v>
      </c>
      <c r="C50" s="131">
        <f>C72</f>
        <v>0.01</v>
      </c>
      <c r="D50" s="131">
        <f>C71</f>
        <v>0.03</v>
      </c>
      <c r="E50" s="131">
        <f>C70</f>
        <v>0.05</v>
      </c>
      <c r="F50" s="131">
        <f>C69</f>
        <v>0.06</v>
      </c>
      <c r="H50" s="120"/>
    </row>
    <row r="51" spans="1:8" ht="13.15">
      <c r="A51" s="143">
        <v>5</v>
      </c>
      <c r="B51" s="123">
        <f t="dataTable" ref="B51:F56" dt2D="1" dtr="1" r1="C11" r2="C12"/>
        <v>18466846456.666664</v>
      </c>
      <c r="C51" s="123">
        <v>18741175611.322224</v>
      </c>
      <c r="D51" s="123">
        <v>19300536731.652786</v>
      </c>
      <c r="E51" s="123">
        <v>19874695345.828362</v>
      </c>
      <c r="F51" s="123">
        <v>20167525995.315155</v>
      </c>
      <c r="H51" s="120"/>
    </row>
    <row r="52" spans="1:8" ht="13.15">
      <c r="A52" s="143">
        <v>10</v>
      </c>
      <c r="B52" s="123">
        <v>18466846456.66666</v>
      </c>
      <c r="C52" s="123">
        <v>18991280365.18211</v>
      </c>
      <c r="D52" s="123">
        <v>20114988373.02565</v>
      </c>
      <c r="E52" s="123">
        <v>21348544842.942421</v>
      </c>
      <c r="F52" s="123">
        <v>22010605917.945885</v>
      </c>
      <c r="H52" s="120"/>
    </row>
    <row r="53" spans="1:8" ht="13.15">
      <c r="A53" s="143">
        <v>15</v>
      </c>
      <c r="B53" s="123">
        <v>18466846456.666656</v>
      </c>
      <c r="C53" s="123">
        <v>19321979486.83147</v>
      </c>
      <c r="D53" s="123">
        <v>21248085626.597767</v>
      </c>
      <c r="E53" s="123">
        <v>23510225834.047466</v>
      </c>
      <c r="F53" s="123">
        <v>24788065807.835007</v>
      </c>
      <c r="H53" s="120"/>
    </row>
    <row r="54" spans="1:8" ht="13.15">
      <c r="A54" s="144">
        <v>20</v>
      </c>
      <c r="B54" s="123">
        <v>18466846456.666656</v>
      </c>
      <c r="C54" s="123">
        <v>19682039103.498722</v>
      </c>
      <c r="D54" s="123">
        <v>22549156840.774757</v>
      </c>
      <c r="E54" s="123">
        <v>26136813566.439171</v>
      </c>
      <c r="F54" s="123">
        <v>28263748764.820301</v>
      </c>
      <c r="H54" s="120"/>
    </row>
    <row r="55" spans="1:8" ht="13.15">
      <c r="A55" s="144">
        <v>25</v>
      </c>
      <c r="B55" s="123">
        <v>18466846456.666656</v>
      </c>
      <c r="C55" s="123">
        <v>20039798510.26284</v>
      </c>
      <c r="D55" s="123">
        <v>23914990264.151142</v>
      </c>
      <c r="E55" s="123">
        <v>29063997564.813316</v>
      </c>
      <c r="F55" s="123">
        <v>32261184615.1768</v>
      </c>
      <c r="H55" s="120"/>
    </row>
    <row r="56" spans="1:8" ht="13.15">
      <c r="A56" s="144">
        <v>30</v>
      </c>
      <c r="B56" s="123">
        <v>18466846456.666656</v>
      </c>
      <c r="C56" s="123">
        <v>20376801493.135548</v>
      </c>
      <c r="D56" s="123">
        <v>25276584773.014618</v>
      </c>
      <c r="E56" s="123">
        <v>32171162191.079746</v>
      </c>
      <c r="F56" s="123">
        <v>36648504579.321442</v>
      </c>
      <c r="H56" s="120"/>
    </row>
    <row r="57" spans="1:8">
      <c r="C57" s="114"/>
      <c r="D57" s="114"/>
      <c r="E57" s="114"/>
      <c r="F57" s="114"/>
      <c r="H57" s="120"/>
    </row>
    <row r="58" spans="1:8" ht="13.15">
      <c r="B58" s="119" t="s">
        <v>130</v>
      </c>
      <c r="C58" s="114"/>
      <c r="D58" s="114"/>
      <c r="E58" s="114"/>
      <c r="F58" s="114"/>
      <c r="H58" s="120"/>
    </row>
    <row r="59" spans="1:8" ht="13.15">
      <c r="B59" s="132">
        <f>B50</f>
        <v>0</v>
      </c>
      <c r="C59" s="132">
        <f>C50</f>
        <v>0.01</v>
      </c>
      <c r="D59" s="132">
        <f>D50</f>
        <v>0.03</v>
      </c>
      <c r="E59" s="132">
        <f>E50</f>
        <v>0.05</v>
      </c>
      <c r="F59" s="132">
        <f>F50</f>
        <v>0.06</v>
      </c>
      <c r="H59" s="120"/>
    </row>
    <row r="60" spans="1:8" ht="13.15">
      <c r="A60" s="143">
        <v>0</v>
      </c>
      <c r="B60" s="124">
        <f>C7</f>
        <v>18.333333333333336</v>
      </c>
      <c r="C60" s="124">
        <f>C7</f>
        <v>18.333333333333336</v>
      </c>
      <c r="D60" s="124">
        <f>C7</f>
        <v>18.333333333333336</v>
      </c>
      <c r="E60" s="141">
        <f>C7</f>
        <v>18.333333333333336</v>
      </c>
      <c r="F60" s="124">
        <f>C7</f>
        <v>18.333333333333336</v>
      </c>
      <c r="H60" s="120"/>
    </row>
    <row r="61" spans="1:8" ht="13.15">
      <c r="A61" s="143">
        <f t="shared" ref="A61:A66" si="3">A51</f>
        <v>5</v>
      </c>
      <c r="B61" s="124">
        <f t="shared" ref="B61:F66" si="4">B51/Common_Shares*$C$3*Exchange_Rate</f>
        <v>18.333333333333332</v>
      </c>
      <c r="C61" s="124">
        <f t="shared" si="4"/>
        <v>18.605679120533846</v>
      </c>
      <c r="D61" s="124">
        <f t="shared" si="4"/>
        <v>19.160996125892108</v>
      </c>
      <c r="E61" s="124">
        <f t="shared" si="4"/>
        <v>19.731003640958953</v>
      </c>
      <c r="F61" s="124">
        <f t="shared" si="4"/>
        <v>20.021717159363707</v>
      </c>
      <c r="H61" s="120"/>
    </row>
    <row r="62" spans="1:8" ht="13.15">
      <c r="A62" s="143">
        <f t="shared" si="3"/>
        <v>10</v>
      </c>
      <c r="B62" s="124">
        <f t="shared" si="4"/>
        <v>18.333333333333329</v>
      </c>
      <c r="C62" s="124">
        <f t="shared" si="4"/>
        <v>18.853975646501294</v>
      </c>
      <c r="D62" s="124">
        <f t="shared" si="4"/>
        <v>19.969559377891137</v>
      </c>
      <c r="E62" s="124">
        <f t="shared" si="4"/>
        <v>21.194197379920439</v>
      </c>
      <c r="F62" s="124">
        <f t="shared" si="4"/>
        <v>21.85147183138379</v>
      </c>
      <c r="H62" s="120"/>
    </row>
    <row r="63" spans="1:8" ht="13.15">
      <c r="A63" s="143">
        <f t="shared" si="3"/>
        <v>15</v>
      </c>
      <c r="B63" s="124">
        <f t="shared" si="4"/>
        <v>18.333333333333321</v>
      </c>
      <c r="C63" s="124">
        <f t="shared" si="4"/>
        <v>19.182283852478147</v>
      </c>
      <c r="D63" s="124">
        <f t="shared" si="4"/>
        <v>21.094464471869586</v>
      </c>
      <c r="E63" s="124">
        <f t="shared" si="4"/>
        <v>23.340249672240883</v>
      </c>
      <c r="F63" s="124">
        <f t="shared" si="4"/>
        <v>24.60885101362733</v>
      </c>
      <c r="H63" s="120"/>
    </row>
    <row r="64" spans="1:8" ht="13.15">
      <c r="A64" s="144">
        <f t="shared" si="3"/>
        <v>20</v>
      </c>
      <c r="B64" s="124">
        <f t="shared" si="4"/>
        <v>18.333333333333321</v>
      </c>
      <c r="C64" s="124">
        <f t="shared" si="4"/>
        <v>19.539740280554415</v>
      </c>
      <c r="D64" s="124">
        <f t="shared" si="4"/>
        <v>22.38612909451556</v>
      </c>
      <c r="E64" s="124">
        <f t="shared" si="4"/>
        <v>25.947847484903548</v>
      </c>
      <c r="F64" s="124">
        <f t="shared" si="4"/>
        <v>28.059405192486242</v>
      </c>
      <c r="H64" s="120"/>
    </row>
    <row r="65" spans="1:8" ht="13.15">
      <c r="A65" s="144">
        <f t="shared" si="3"/>
        <v>25</v>
      </c>
      <c r="B65" s="124">
        <f t="shared" si="4"/>
        <v>18.333333333333321</v>
      </c>
      <c r="C65" s="124">
        <f t="shared" si="4"/>
        <v>19.894913128974039</v>
      </c>
      <c r="D65" s="124">
        <f t="shared" si="4"/>
        <v>23.742087703221451</v>
      </c>
      <c r="E65" s="124">
        <f t="shared" si="4"/>
        <v>28.85386828797462</v>
      </c>
      <c r="F65" s="124">
        <f t="shared" si="4"/>
        <v>32.027940052792374</v>
      </c>
    </row>
    <row r="66" spans="1:8" ht="13.15">
      <c r="A66" s="144">
        <f t="shared" si="3"/>
        <v>30</v>
      </c>
      <c r="B66" s="124">
        <f t="shared" si="4"/>
        <v>18.333333333333321</v>
      </c>
      <c r="C66" s="124">
        <f t="shared" si="4"/>
        <v>20.229479620000586</v>
      </c>
      <c r="D66" s="124">
        <f t="shared" si="4"/>
        <v>25.09383804426675</v>
      </c>
      <c r="E66" s="124">
        <f t="shared" si="4"/>
        <v>31.938568480211281</v>
      </c>
      <c r="F66" s="124">
        <f t="shared" si="4"/>
        <v>36.383540210696673</v>
      </c>
    </row>
    <row r="68" spans="1:8" ht="13.15">
      <c r="B68" s="171" t="s">
        <v>117</v>
      </c>
      <c r="C68" s="171" t="s">
        <v>132</v>
      </c>
      <c r="D68" s="171" t="s">
        <v>112</v>
      </c>
      <c r="E68" s="172" t="s">
        <v>113</v>
      </c>
      <c r="F68" s="172" t="s">
        <v>119</v>
      </c>
    </row>
    <row r="69" spans="1:8">
      <c r="B69" s="127" t="str">
        <f>Scenarios!B54</f>
        <v>Snowball Scenario</v>
      </c>
      <c r="C69" s="142">
        <f>Scenarios!C56</f>
        <v>0.06</v>
      </c>
      <c r="D69" s="145">
        <f>Scenarios!C55</f>
        <v>15</v>
      </c>
      <c r="E69" s="135">
        <f>INDEX(B$60:F$66, MATCH(D69, A$60:A$66, 0), MATCH(C69, B$59:F$59, 0))</f>
        <v>24.60885101362733</v>
      </c>
      <c r="F69" s="142">
        <f>Scenarios!C58</f>
        <v>0.05</v>
      </c>
    </row>
    <row r="70" spans="1:8">
      <c r="B70" s="127" t="str">
        <f>Scenarios!B36</f>
        <v>Optimistic</v>
      </c>
      <c r="C70" s="142">
        <f>Scenarios!C38</f>
        <v>0.05</v>
      </c>
      <c r="D70" s="145">
        <f>Scenarios!C37</f>
        <v>10</v>
      </c>
      <c r="E70" s="135">
        <f>INDEX(B$60:F$66, MATCH(D70, A$60:A$66, 0), MATCH(C70, B$59:F$59, 0))</f>
        <v>21.194197379920439</v>
      </c>
      <c r="F70" s="142">
        <f>Scenarios!C40*(1-F$69-F$73)</f>
        <v>0.18</v>
      </c>
      <c r="H70" s="120"/>
    </row>
    <row r="71" spans="1:8">
      <c r="B71" s="127" t="str">
        <f>Scenarios!B24</f>
        <v>Base</v>
      </c>
      <c r="C71" s="142">
        <f>Scenarios!C26</f>
        <v>0.03</v>
      </c>
      <c r="D71" s="145">
        <f>Scenarios!C25</f>
        <v>10</v>
      </c>
      <c r="E71" s="135">
        <f>INDEX(B$60:F$66, MATCH(D71, A$60:A$66, 0), MATCH(C71, B$59:F$59, 0))</f>
        <v>19.969559377891137</v>
      </c>
      <c r="F71" s="142">
        <f>Scenarios!C28*(1-F$69-F$73)</f>
        <v>0.53999999999999992</v>
      </c>
      <c r="H71" s="120"/>
    </row>
    <row r="72" spans="1:8">
      <c r="B72" s="127" t="str">
        <f>Scenarios!B30</f>
        <v>Pessimistic</v>
      </c>
      <c r="C72" s="142">
        <f>Scenarios!C32</f>
        <v>0.01</v>
      </c>
      <c r="D72" s="145">
        <f>Scenarios!C31</f>
        <v>10</v>
      </c>
      <c r="E72" s="135">
        <f>INDEX(B$60:F$66, MATCH(D72, A$60:A$66, 0), MATCH(C72, B$59:F$59, 0))</f>
        <v>18.853975646501294</v>
      </c>
      <c r="F72" s="142">
        <f>Scenarios!C34*(1-F$69-F$73)</f>
        <v>0.18</v>
      </c>
      <c r="H72" s="120"/>
    </row>
    <row r="73" spans="1:8">
      <c r="B73" s="127" t="str">
        <f>Scenarios!B48</f>
        <v>Devil's advocate</v>
      </c>
      <c r="C73" s="142">
        <f>Scenarios!C50</f>
        <v>0</v>
      </c>
      <c r="D73" s="145">
        <f>Scenarios!C49</f>
        <v>15</v>
      </c>
      <c r="E73" s="135">
        <f>INDEX(B$60:F$66, MATCH(D73, A$60:A$66, 0), MATCH(C73, B$59:F$59, 0))</f>
        <v>18.333333333333321</v>
      </c>
      <c r="F73" s="142">
        <f>Scenarios!C52</f>
        <v>0.05</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-22.05</v>
      </c>
    </row>
    <row r="4" spans="2:9">
      <c r="B4" s="152" t="s">
        <v>146</v>
      </c>
      <c r="C4" s="120">
        <v>3</v>
      </c>
      <c r="D4" s="120"/>
      <c r="E4" s="155" t="s">
        <v>150</v>
      </c>
      <c r="F4" s="155"/>
      <c r="H4" s="247">
        <v>1</v>
      </c>
      <c r="I4" s="124">
        <f t="shared" ref="I4:I13" si="0">IF(ROW()-3 &lt; $C$76, $C$77, IF(ROW()-3 = $C$76, $C$77 + $C$60, ""))</f>
        <v>1.1000000000000001</v>
      </c>
    </row>
    <row r="5" spans="2:9">
      <c r="H5" s="247">
        <v>2</v>
      </c>
      <c r="I5" s="124">
        <f t="shared" si="0"/>
        <v>1.1000000000000001</v>
      </c>
    </row>
    <row r="6" spans="2:9" ht="13.15">
      <c r="B6" s="159" t="s">
        <v>95</v>
      </c>
      <c r="C6" s="107">
        <f>DCF!C3</f>
        <v>1</v>
      </c>
      <c r="E6" s="100" t="s">
        <v>279</v>
      </c>
      <c r="F6" s="100"/>
      <c r="H6" s="247">
        <v>3</v>
      </c>
      <c r="I6" s="124">
        <f t="shared" si="0"/>
        <v>23.70144195690272</v>
      </c>
    </row>
    <row r="7" spans="2:9" ht="12.75" customHeight="1">
      <c r="B7" s="100" t="s">
        <v>275</v>
      </c>
      <c r="C7" s="338">
        <f>Normalized_FCF!G8</f>
        <v>1673630370</v>
      </c>
      <c r="D7" t="str">
        <f>Reporting_currency</f>
        <v>CNY</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中国国贸(600007.SS). Each scenario should include the Compound Growth Rate, the Probability Assessment, and the Business Narrative.</v>
      </c>
      <c r="F7" s="366"/>
      <c r="H7" s="247">
        <v>4</v>
      </c>
      <c r="I7" s="124" t="str">
        <f t="shared" si="0"/>
        <v/>
      </c>
    </row>
    <row r="8" spans="2:9">
      <c r="B8" s="100" t="s">
        <v>66</v>
      </c>
      <c r="C8" s="338">
        <f>Normalized_FCF!G19</f>
        <v>1197782656</v>
      </c>
      <c r="D8" t="str">
        <f>Reporting_currency</f>
        <v>CNY</v>
      </c>
      <c r="E8" s="366"/>
      <c r="F8" s="366"/>
      <c r="H8" s="247">
        <v>5</v>
      </c>
      <c r="I8" s="124" t="str">
        <f t="shared" si="0"/>
        <v/>
      </c>
    </row>
    <row r="9" spans="2:9">
      <c r="B9" s="100" t="s">
        <v>57</v>
      </c>
      <c r="C9" s="338">
        <f>Normalized_FCF!C19</f>
        <v>1090126258.2152739</v>
      </c>
      <c r="D9" t="str">
        <f>Reporting_currency</f>
        <v>CNY</v>
      </c>
      <c r="E9" s="366"/>
      <c r="F9" s="366"/>
      <c r="H9" s="247">
        <v>6</v>
      </c>
      <c r="I9" s="124" t="str">
        <f t="shared" si="0"/>
        <v/>
      </c>
    </row>
    <row r="10" spans="2:9">
      <c r="E10" s="366"/>
      <c r="F10" s="366"/>
      <c r="H10" s="247">
        <v>7</v>
      </c>
      <c r="I10" s="124" t="str">
        <f t="shared" si="0"/>
        <v/>
      </c>
    </row>
    <row r="11" spans="2:9" ht="13.15">
      <c r="B11" s="159" t="s">
        <v>447</v>
      </c>
      <c r="E11" s="366"/>
      <c r="F11" s="366"/>
      <c r="H11" s="247">
        <v>8</v>
      </c>
      <c r="I11" s="124" t="str">
        <f t="shared" si="0"/>
        <v/>
      </c>
    </row>
    <row r="12" spans="2:9">
      <c r="B12" s="118" t="s">
        <v>144</v>
      </c>
      <c r="C12" s="158">
        <f ca="1">(Normalized_FCF!G4/OFFSET(Normalized_FCF!G4, 0, $C$4))^(1/$C$4) - 1</f>
        <v>2.9436096404119594E-2</v>
      </c>
      <c r="D12" s="158"/>
      <c r="E12" s="366"/>
      <c r="F12" s="366"/>
      <c r="H12" s="247">
        <v>9</v>
      </c>
      <c r="I12" s="124" t="str">
        <f t="shared" si="0"/>
        <v/>
      </c>
    </row>
    <row r="13" spans="2:9">
      <c r="B13" s="148" t="s">
        <v>152</v>
      </c>
      <c r="C13" s="158">
        <f ca="1">(Normalized_FCF!G8/OFFSET(Normalized_FCF!G8, 0, $C$4))^(1/$C$4) - 1</f>
        <v>5.4272741432500604E-2</v>
      </c>
      <c r="E13" s="366"/>
      <c r="F13" s="366"/>
      <c r="H13" s="247">
        <v>10</v>
      </c>
      <c r="I13" s="124" t="str">
        <f t="shared" si="0"/>
        <v/>
      </c>
    </row>
    <row r="14" spans="2:9">
      <c r="B14" s="100" t="s">
        <v>66</v>
      </c>
      <c r="C14" s="158">
        <f ca="1">(Normalized_FCF!G19/OFFSET(Normalized_FCF!G19, 0, $C$4))^(1/$C$4) - 1</f>
        <v>7.2975508413014145E-2</v>
      </c>
      <c r="E14" s="366"/>
      <c r="F14" s="366"/>
    </row>
    <row r="16" spans="2:9" ht="13.9">
      <c r="B16" s="36" t="s">
        <v>162</v>
      </c>
      <c r="C16" s="37"/>
      <c r="D16" s="37"/>
      <c r="E16" s="37"/>
      <c r="F16" s="37"/>
    </row>
    <row r="17" spans="2:6" ht="13.15">
      <c r="B17" s="109" t="s">
        <v>151</v>
      </c>
      <c r="E17" s="159" t="s">
        <v>329</v>
      </c>
    </row>
    <row r="18" spans="2:6">
      <c r="B18" s="152" t="s">
        <v>133</v>
      </c>
      <c r="C18" s="150">
        <v>10</v>
      </c>
      <c r="E18" s="366" t="s">
        <v>330</v>
      </c>
      <c r="F18" s="367"/>
    </row>
    <row r="19" spans="2:6">
      <c r="E19" s="367"/>
      <c r="F19" s="367"/>
    </row>
    <row r="20" spans="2:6" ht="13.15">
      <c r="B20" s="159" t="s">
        <v>303</v>
      </c>
      <c r="E20" s="367"/>
      <c r="F20" s="367"/>
    </row>
    <row r="21" spans="2:6">
      <c r="B21" s="100" t="s">
        <v>277</v>
      </c>
      <c r="C21" s="160">
        <f>Market_Price</f>
        <v>22.05</v>
      </c>
      <c r="D21" t="str">
        <f>Market_currency</f>
        <v>CNY</v>
      </c>
      <c r="E21" s="367"/>
      <c r="F21" s="367"/>
    </row>
    <row r="22" spans="2:6">
      <c r="B22" s="100" t="s">
        <v>278</v>
      </c>
      <c r="C22" s="160">
        <f>IF(valuation_method="DCF",DCF!C12,DDM!C7)</f>
        <v>20.824583863949179</v>
      </c>
      <c r="D22" t="str">
        <f>Market_currency</f>
        <v>CNY</v>
      </c>
      <c r="E22" s="367"/>
      <c r="F22" s="367"/>
    </row>
    <row r="24" spans="2:6" ht="13.15">
      <c r="B24" s="159" t="s">
        <v>115</v>
      </c>
      <c r="E24" s="159" t="s">
        <v>149</v>
      </c>
      <c r="F24" s="159"/>
    </row>
    <row r="25" spans="2:6">
      <c r="B25" s="152" t="s">
        <v>133</v>
      </c>
      <c r="C25" s="166">
        <f>C18</f>
        <v>10</v>
      </c>
      <c r="D25" s="163"/>
      <c r="E25" s="365"/>
      <c r="F25" s="365"/>
    </row>
    <row r="26" spans="2:6">
      <c r="B26" s="118" t="s">
        <v>134</v>
      </c>
      <c r="C26" s="164">
        <v>0.03</v>
      </c>
      <c r="D26" s="164"/>
      <c r="E26" s="365"/>
      <c r="F26" s="365"/>
    </row>
    <row r="27" spans="2:6">
      <c r="B27" s="100" t="s">
        <v>113</v>
      </c>
      <c r="C27" s="160">
        <f>IF(valuation_method="DCF",DCF!E76,DDM!E71)</f>
        <v>22.4343993962814</v>
      </c>
      <c r="D27" s="160" t="str">
        <f>Market_currency</f>
        <v>CNY</v>
      </c>
      <c r="E27" s="365"/>
      <c r="F27" s="365"/>
    </row>
    <row r="28" spans="2:6">
      <c r="B28" s="100" t="s">
        <v>147</v>
      </c>
      <c r="C28" s="165">
        <v>0.6</v>
      </c>
      <c r="D28" s="165"/>
      <c r="E28" s="365"/>
      <c r="F28" s="365"/>
    </row>
    <row r="30" spans="2:6" ht="13.15">
      <c r="B30" s="159" t="s">
        <v>116</v>
      </c>
      <c r="E30" s="159" t="s">
        <v>149</v>
      </c>
      <c r="F30" s="159"/>
    </row>
    <row r="31" spans="2:6">
      <c r="B31" s="152" t="s">
        <v>133</v>
      </c>
      <c r="C31" s="166">
        <f>C18</f>
        <v>10</v>
      </c>
      <c r="D31" s="163"/>
      <c r="E31" s="365"/>
      <c r="F31" s="365"/>
    </row>
    <row r="32" spans="2:6">
      <c r="B32" s="118" t="s">
        <v>134</v>
      </c>
      <c r="C32" s="164">
        <v>0.01</v>
      </c>
      <c r="D32" s="164"/>
      <c r="E32" s="365"/>
      <c r="F32" s="365"/>
    </row>
    <row r="33" spans="2:6">
      <c r="B33" s="100" t="s">
        <v>113</v>
      </c>
      <c r="C33" s="160">
        <f>IF(valuation_method="DCF",DCF!E77,DDM!E72)</f>
        <v>21.336822429833674</v>
      </c>
      <c r="D33" t="str">
        <f>Market_currency</f>
        <v>CNY</v>
      </c>
      <c r="E33" s="365"/>
      <c r="F33" s="365"/>
    </row>
    <row r="34" spans="2:6">
      <c r="B34" s="100" t="s">
        <v>147</v>
      </c>
      <c r="C34" s="165">
        <v>0.2</v>
      </c>
      <c r="D34" s="165"/>
      <c r="E34" s="365"/>
      <c r="F34" s="365"/>
    </row>
    <row r="36" spans="2:6" ht="13.15">
      <c r="B36" s="159" t="s">
        <v>114</v>
      </c>
      <c r="E36" s="159" t="s">
        <v>149</v>
      </c>
      <c r="F36" s="159"/>
    </row>
    <row r="37" spans="2:6">
      <c r="B37" s="152" t="s">
        <v>133</v>
      </c>
      <c r="C37" s="166">
        <f>C18</f>
        <v>10</v>
      </c>
      <c r="D37" s="163"/>
      <c r="E37" s="365"/>
      <c r="F37" s="365"/>
    </row>
    <row r="38" spans="2:6">
      <c r="B38" s="118" t="s">
        <v>134</v>
      </c>
      <c r="C38" s="164">
        <v>0.05</v>
      </c>
      <c r="D38" s="164"/>
      <c r="E38" s="365"/>
      <c r="F38" s="365"/>
    </row>
    <row r="39" spans="2:6">
      <c r="B39" s="100" t="s">
        <v>113</v>
      </c>
      <c r="C39" s="160">
        <f>IF(valuation_method="DCF",DCF!E75,DDM!E70)</f>
        <v>23.639270375879974</v>
      </c>
      <c r="D39" t="str">
        <f>Market_currency</f>
        <v>CNY</v>
      </c>
      <c r="E39" s="365"/>
      <c r="F39" s="365"/>
    </row>
    <row r="40" spans="2:6">
      <c r="B40" s="100" t="s">
        <v>147</v>
      </c>
      <c r="C40" s="167">
        <f>1-C28-C34</f>
        <v>0.2</v>
      </c>
      <c r="D40" s="165"/>
      <c r="E40" s="365"/>
      <c r="F40" s="365"/>
    </row>
    <row r="42" spans="2:6" ht="13.15">
      <c r="B42" s="100" t="s">
        <v>120</v>
      </c>
      <c r="C42" s="154">
        <f>C27*C28+C33*C34+C39*C40</f>
        <v>22.455858198911567</v>
      </c>
      <c r="D42" t="str">
        <f>Market_currency</f>
        <v>CNY</v>
      </c>
    </row>
    <row r="44" spans="2:6" ht="13.9">
      <c r="B44" s="36" t="s">
        <v>161</v>
      </c>
      <c r="C44" s="37"/>
      <c r="D44" s="37"/>
      <c r="E44" s="37"/>
      <c r="F44" s="37"/>
    </row>
    <row r="45" spans="2:6" ht="13.15">
      <c r="B45" s="109" t="s">
        <v>151</v>
      </c>
    </row>
    <row r="46" spans="2:6">
      <c r="B46" s="152" t="s">
        <v>133</v>
      </c>
      <c r="C46" s="150">
        <v>15</v>
      </c>
      <c r="E46" s="100"/>
      <c r="F46" s="100"/>
    </row>
    <row r="47" spans="2:6" ht="13.15">
      <c r="B47" s="159"/>
      <c r="E47" s="159"/>
      <c r="F47" s="159"/>
    </row>
    <row r="48" spans="2:6" ht="13.15">
      <c r="B48" s="159" t="s">
        <v>165</v>
      </c>
      <c r="E48" s="159" t="s">
        <v>149</v>
      </c>
      <c r="F48" s="159"/>
    </row>
    <row r="49" spans="2:6" ht="12.75" customHeight="1">
      <c r="B49" s="152" t="s">
        <v>133</v>
      </c>
      <c r="C49" s="166">
        <f>C46</f>
        <v>15</v>
      </c>
      <c r="D49" s="163"/>
      <c r="E49" s="365"/>
      <c r="F49" s="365"/>
    </row>
    <row r="50" spans="2:6">
      <c r="B50" s="118" t="s">
        <v>134</v>
      </c>
      <c r="C50" s="164">
        <v>0</v>
      </c>
      <c r="D50" s="164"/>
      <c r="E50" s="365"/>
      <c r="F50" s="365"/>
    </row>
    <row r="51" spans="2:6">
      <c r="B51" s="100" t="s">
        <v>113</v>
      </c>
      <c r="C51" s="160">
        <f>IF(valuation_method="DCF",DCF!E78,DDM!E73)</f>
        <v>20.824583863949162</v>
      </c>
      <c r="D51" t="str">
        <f>Market_currency</f>
        <v>CNY</v>
      </c>
      <c r="E51" s="365"/>
      <c r="F51" s="365"/>
    </row>
    <row r="52" spans="2:6">
      <c r="B52" s="100" t="s">
        <v>147</v>
      </c>
      <c r="C52" s="165">
        <v>0.05</v>
      </c>
      <c r="D52" s="165"/>
      <c r="E52" s="365"/>
      <c r="F52" s="365"/>
    </row>
    <row r="54" spans="2:6" ht="13.15">
      <c r="B54" s="159" t="s">
        <v>316</v>
      </c>
      <c r="E54" s="159" t="s">
        <v>149</v>
      </c>
      <c r="F54" s="159"/>
    </row>
    <row r="55" spans="2:6">
      <c r="B55" s="152" t="s">
        <v>133</v>
      </c>
      <c r="C55" s="166">
        <f>C46</f>
        <v>15</v>
      </c>
      <c r="D55" s="163"/>
      <c r="E55" s="365"/>
      <c r="F55" s="365"/>
    </row>
    <row r="56" spans="2:6">
      <c r="B56" s="118" t="s">
        <v>134</v>
      </c>
      <c r="C56" s="164">
        <v>0.06</v>
      </c>
      <c r="D56" s="164"/>
      <c r="E56" s="365"/>
      <c r="F56" s="365"/>
    </row>
    <row r="57" spans="2:6">
      <c r="B57" s="100" t="s">
        <v>113</v>
      </c>
      <c r="C57" s="160">
        <f>IF(valuation_method="DCF",DCF!E74,DDM!E69)</f>
        <v>26.998807693696978</v>
      </c>
      <c r="D57" t="str">
        <f>Market_currency</f>
        <v>CNY</v>
      </c>
      <c r="E57" s="365"/>
      <c r="F57" s="365"/>
    </row>
    <row r="58" spans="2:6">
      <c r="B58" s="100" t="s">
        <v>147</v>
      </c>
      <c r="C58" s="165">
        <v>0.05</v>
      </c>
      <c r="D58" s="165"/>
      <c r="E58" s="365"/>
      <c r="F58" s="365"/>
    </row>
    <row r="60" spans="2:6" ht="13.15">
      <c r="B60" s="100" t="s">
        <v>120</v>
      </c>
      <c r="C60" s="154">
        <f>C51*C52+C57*C58+C42*(1-C52-C58)</f>
        <v>22.601441956902718</v>
      </c>
      <c r="D60" t="str">
        <f>Market_currency</f>
        <v>CNY</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10</v>
      </c>
      <c r="D64" s="150"/>
      <c r="E64" s="251" t="s">
        <v>395</v>
      </c>
    </row>
    <row r="65" spans="2:6">
      <c r="B65" s="118" t="s">
        <v>134</v>
      </c>
      <c r="C65" s="151">
        <v>4.2432999018617502E-2</v>
      </c>
      <c r="D65" s="151"/>
      <c r="E65" s="251" t="s">
        <v>312</v>
      </c>
    </row>
    <row r="66" spans="2:6">
      <c r="B66" s="100" t="s">
        <v>102</v>
      </c>
      <c r="C66" s="160">
        <f>IF(valuation_method="DCF",DCF!C18,DDM!C13)</f>
        <v>23.169996134207583</v>
      </c>
      <c r="D66" s="160" t="str">
        <f>Market_currency</f>
        <v>CNY</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N</v>
      </c>
      <c r="E72" s="134" t="s">
        <v>346</v>
      </c>
      <c r="F72" s="291">
        <f>BS!D89/C60</f>
        <v>0.12331828082950577</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1.1000000000000001</v>
      </c>
      <c r="D77" t="str">
        <f>Market_currency</f>
        <v>CNY</v>
      </c>
    </row>
    <row r="79" spans="2:6" ht="13.15">
      <c r="B79" s="109" t="s">
        <v>301</v>
      </c>
    </row>
    <row r="80" spans="2:6">
      <c r="B80" s="148" t="s">
        <v>299</v>
      </c>
      <c r="C80" s="167">
        <f>Thesis!F29</f>
        <v>0.33699999999999997</v>
      </c>
    </row>
    <row r="81" spans="2:8">
      <c r="B81" s="100" t="s">
        <v>121</v>
      </c>
      <c r="C81" s="116">
        <f>PV(C80, C76, -C77, 0)</f>
        <v>1.8983532786438633</v>
      </c>
      <c r="D81" s="116"/>
      <c r="E81" s="100"/>
      <c r="F81" s="100"/>
    </row>
    <row r="82" spans="2:8">
      <c r="B82" s="100" t="s">
        <v>122</v>
      </c>
      <c r="C82" s="116">
        <f>C60/(1+C80)^C76</f>
        <v>9.4567503881706401</v>
      </c>
      <c r="D82" s="116"/>
    </row>
    <row r="83" spans="2:8" ht="13.15">
      <c r="B83" s="110" t="s">
        <v>101</v>
      </c>
      <c r="C83" s="111">
        <f>C81+C82</f>
        <v>11.355103666814504</v>
      </c>
      <c r="D83" t="str">
        <f>Market_currency</f>
        <v>CNY</v>
      </c>
      <c r="E83" s="146" t="s">
        <v>126</v>
      </c>
      <c r="F83" s="291">
        <f>(1-C83/C60)</f>
        <v>0.4975938398768166</v>
      </c>
    </row>
    <row r="84" spans="2:8">
      <c r="E84" s="120"/>
    </row>
    <row r="85" spans="2:8" ht="13.15">
      <c r="B85" s="109" t="s">
        <v>302</v>
      </c>
    </row>
    <row r="86" spans="2:8">
      <c r="B86" s="148" t="s">
        <v>300</v>
      </c>
      <c r="C86" s="116">
        <f>Market_Price</f>
        <v>22.05</v>
      </c>
      <c r="D86" t="str">
        <f>Market_currency</f>
        <v>CNY</v>
      </c>
    </row>
    <row r="87" spans="2:8" ht="13.15">
      <c r="B87" s="100" t="s">
        <v>298</v>
      </c>
      <c r="C87" s="237">
        <f ca="1">IRR(OFFSET($I$3, 0, 0, $C$76 + 1, 1))</f>
        <v>5.775937618961291E-2</v>
      </c>
    </row>
    <row r="88" spans="2:8">
      <c r="B88" s="100"/>
    </row>
    <row r="89" spans="2:8" ht="13.15">
      <c r="B89" s="109" t="s">
        <v>412</v>
      </c>
    </row>
    <row r="90" spans="2:8">
      <c r="B90" s="148" t="s">
        <v>413</v>
      </c>
      <c r="C90" s="167">
        <f>Thesis!F30</f>
        <v>0.187</v>
      </c>
    </row>
    <row r="91" spans="2:8">
      <c r="B91" s="100" t="s">
        <v>121</v>
      </c>
      <c r="C91" s="116">
        <f>PV(C90, C76, -C77, 0)</f>
        <v>2.365137899745049</v>
      </c>
      <c r="D91" s="116"/>
      <c r="E91" s="100"/>
      <c r="F91" s="100"/>
    </row>
    <row r="92" spans="2:8">
      <c r="B92" s="100" t="s">
        <v>122</v>
      </c>
      <c r="C92" s="116">
        <f>C60/(1+C90)^C76</f>
        <v>13.514002373505772</v>
      </c>
      <c r="D92" s="116"/>
    </row>
    <row r="93" spans="2:8" ht="13.15">
      <c r="B93" s="110" t="s">
        <v>101</v>
      </c>
      <c r="C93" s="111">
        <f>C91+C92</f>
        <v>15.879140273250821</v>
      </c>
      <c r="D93" t="str">
        <f>Market_currency</f>
        <v>CNY</v>
      </c>
      <c r="E93" s="146" t="s">
        <v>126</v>
      </c>
      <c r="F93" s="291">
        <f>(1-C93/C60)</f>
        <v>0.29742800023424332</v>
      </c>
    </row>
    <row r="95" spans="2:8" ht="13.15">
      <c r="B95" s="109" t="s">
        <v>397</v>
      </c>
      <c r="G95" s="2"/>
      <c r="H95" s="281"/>
    </row>
    <row r="96" spans="2:8">
      <c r="B96" s="148" t="s">
        <v>403</v>
      </c>
      <c r="C96" s="134">
        <f>Thesis!F31</f>
        <v>0.06</v>
      </c>
      <c r="G96" s="2"/>
      <c r="H96" s="281"/>
    </row>
    <row r="97" spans="2:8">
      <c r="B97" s="100" t="s">
        <v>121</v>
      </c>
      <c r="C97" s="116">
        <f>PV(C96, C76, -C77, 0)</f>
        <v>2.9403131444078037</v>
      </c>
      <c r="D97" s="116"/>
      <c r="G97" s="2"/>
      <c r="H97" s="281"/>
    </row>
    <row r="98" spans="2:8">
      <c r="B98" s="100" t="s">
        <v>122</v>
      </c>
      <c r="C98" s="116">
        <f>C60/(1+C96)^C76</f>
        <v>18.976606491350839</v>
      </c>
      <c r="D98" s="116"/>
      <c r="G98" s="2"/>
      <c r="H98" s="281"/>
    </row>
    <row r="99" spans="2:8" ht="13.15">
      <c r="B99" s="110" t="s">
        <v>398</v>
      </c>
      <c r="C99" s="111">
        <f>C97+C98</f>
        <v>21.916919635758642</v>
      </c>
      <c r="D99" t="s">
        <v>396</v>
      </c>
      <c r="E99" s="146" t="s">
        <v>126</v>
      </c>
      <c r="F99" s="291">
        <f>(1-C99/C60)</f>
        <v>3.0286665888368924E-2</v>
      </c>
    </row>
    <row r="100" spans="2:8">
      <c r="B100" s="100"/>
    </row>
    <row r="101" spans="2:8" ht="13.15">
      <c r="B101" s="109" t="s">
        <v>422</v>
      </c>
    </row>
    <row r="102" spans="2:8">
      <c r="B102" s="148" t="s">
        <v>421</v>
      </c>
      <c r="C102" s="134">
        <f>Thesis!F32</f>
        <v>8.6999999999999994E-2</v>
      </c>
    </row>
    <row r="103" spans="2:8">
      <c r="B103" s="100" t="s">
        <v>121</v>
      </c>
      <c r="C103" s="116">
        <f>PV(C102, C76, -C77, 0)</f>
        <v>2.7993790642942851</v>
      </c>
      <c r="D103" s="116"/>
    </row>
    <row r="104" spans="2:8">
      <c r="B104" s="100" t="s">
        <v>122</v>
      </c>
      <c r="C104" s="116">
        <f>C60/(1+C102)^C76</f>
        <v>17.597359866884187</v>
      </c>
      <c r="D104" s="116"/>
    </row>
    <row r="105" spans="2:8" ht="13.15">
      <c r="B105" s="110" t="s">
        <v>398</v>
      </c>
      <c r="C105" s="111">
        <f>C103+C104</f>
        <v>20.396738931178472</v>
      </c>
      <c r="D105" t="s">
        <v>396</v>
      </c>
      <c r="E105" s="146" t="s">
        <v>126</v>
      </c>
      <c r="F105" s="291">
        <f>(1-C105/C66)</f>
        <v>0.11969174215505141</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2025-06-04T01:28:38Z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