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A70C93-3253-4E0F-8352-78F578C776F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J118" i="2"/>
  <c r="I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<sst xmlns="http://schemas.openxmlformats.org/spreadsheetml/2006/main" count="685" uniqueCount="466">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</sst>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21.67</v>
      </c>
      <c r="D12" s="50"/>
      <c r="E12" s="48"/>
    </row>
    <row r="13" spans="1:10">
      <c r="B13" s="1" t="s">
        <v>417</v>
      </c>
      <c r="C13" s="48" t="s">
        <v>415</v>
      </c>
      <c r="D13" s="48"/>
      <c r="E13" s="5"/>
    </row>
    <row r="14" spans="1:10">
      <c r="B14" s="4" t="s">
        <v>421</v>
      </c>
      <c r="C14" s="35">
        <f>Thesis!C12*Common_Shares/1000000</f>
        <v>21827.812511780001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22.601441956902718</v>
      </c>
      <c r="D26" s="1" t="s">
        <v>400</v>
      </c>
      <c r="E26" s="301">
        <f ca="1">Scenarios!C87</f>
        <v>6.4207293080563721E-2</v>
      </c>
    </row>
    <row r="27" spans="2:6">
      <c r="D27" s="5"/>
      <c r="E27" s="5"/>
    </row>
    <row r="28" spans="2:6">
      <c r="B28" s="45" t="s">
        <v>434</v>
      </c>
      <c r="C28" s="309" t="str">
        <f>C145&amp;" ("&amp;Market_currency&amp;")"</f>
        <v>600007.SS (CNY)</v>
      </c>
      <c r="D28" s="309" t="str">
        <f>IF(D11="","",D145&amp;" ("&amp;D13&amp;")")</f>
        <v/>
      </c>
      <c r="E28" s="305" t="s">
        <v>430</v>
      </c>
      <c r="F28" s="303">
        <v>3</v>
      </c>
    </row>
    <row r="29" spans="2:6">
      <c r="B29" s="1" t="s">
        <v>426</v>
      </c>
      <c r="C29" s="310">
        <f>C149</f>
        <v>11.355103666814504</v>
      </c>
      <c r="D29" s="310" t="str">
        <f>D149</f>
        <v/>
      </c>
      <c r="E29" s="306" t="s">
        <v>425</v>
      </c>
      <c r="F29" s="302">
        <v>0.33700000000000002</v>
      </c>
    </row>
    <row r="30" spans="2:6">
      <c r="B30" s="1" t="s">
        <v>427</v>
      </c>
      <c r="C30" s="311">
        <f>C157</f>
        <v>15.879140273250821</v>
      </c>
      <c r="D30" s="311" t="str">
        <f>D157</f>
        <v/>
      </c>
      <c r="E30" s="307" t="s">
        <v>438</v>
      </c>
      <c r="F30" s="312">
        <v>0.187</v>
      </c>
    </row>
    <row r="31" spans="2:6">
      <c r="B31" s="1" t="s">
        <v>428</v>
      </c>
      <c r="C31" s="311">
        <f>C165</f>
        <v>21.916919635758642</v>
      </c>
      <c r="D31" s="311" t="str">
        <f>D165</f>
        <v/>
      </c>
      <c r="E31" s="307" t="s">
        <v>437</v>
      </c>
      <c r="F31" s="312">
        <v>0.06</v>
      </c>
    </row>
    <row r="32" spans="2:6">
      <c r="B32" s="1" t="s">
        <v>429</v>
      </c>
      <c r="C32" s="311">
        <f>C173</f>
        <v>20.396738931178472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1545350950.0180476</v>
      </c>
      <c r="D41" s="1" t="str">
        <f>Reporting_currency</f>
        <v>CNY</v>
      </c>
    </row>
    <row r="42" spans="1:6">
      <c r="B42" s="47"/>
      <c r="C42" s="76"/>
    </row>
    <row r="43" spans="1:6" ht="24.5" customHeight="1">
      <c r="B43" s="358" t="s">
        <v>234</v>
      </c>
      <c r="C43" s="358"/>
      <c r="D43" s="358"/>
      <c r="E43" s="358"/>
      <c r="F43" s="358"/>
    </row>
    <row r="44" spans="1:6">
      <c r="B44" s="47" t="s">
        <v>235</v>
      </c>
      <c r="C44" s="355">
        <f>Normalized_FCF!C9</f>
        <v>462652711</v>
      </c>
      <c r="D44" s="1" t="str">
        <f>Reporting_currency</f>
        <v>CNY</v>
      </c>
    </row>
    <row r="45" spans="1:6">
      <c r="B45" s="52" t="s">
        <v>236</v>
      </c>
      <c r="C45" s="355">
        <f>Normalized_FCF!C10</f>
        <v>-490634169.24661446</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0</v>
      </c>
      <c r="D51" s="1" t="str">
        <f>Reporting_currency</f>
        <v>CNY</v>
      </c>
      <c r="E51" s="286"/>
      <c r="F51" s="286"/>
    </row>
    <row r="52" spans="2:6">
      <c r="B52" s="47" t="s">
        <v>342</v>
      </c>
      <c r="C52" s="356">
        <f>Normalized_FCF!C47</f>
        <v>-53103191</v>
      </c>
      <c r="D52" s="1" t="str">
        <f>Reporting_currency</f>
        <v>CNY</v>
      </c>
      <c r="E52" s="286"/>
      <c r="F52" s="286"/>
    </row>
    <row r="53" spans="2:6">
      <c r="B53" s="47" t="s">
        <v>239</v>
      </c>
      <c r="C53" s="355">
        <f>Normalized_FCF!C12</f>
        <v>-53103191</v>
      </c>
      <c r="D53" s="1" t="str">
        <f>Reporting_currency</f>
        <v>CNY</v>
      </c>
    </row>
    <row r="55" spans="2:6">
      <c r="B55" s="1" t="s">
        <v>247</v>
      </c>
    </row>
    <row r="56" spans="2:6">
      <c r="B56" s="47" t="s">
        <v>266</v>
      </c>
      <c r="C56" s="355">
        <f>Normalized_FCF!C15</f>
        <v>-1078102.8016474061</v>
      </c>
      <c r="D56" s="1" t="str">
        <f>Reporting_currency</f>
        <v>CNY</v>
      </c>
    </row>
    <row r="58" spans="2:6">
      <c r="B58" s="358" t="s">
        <v>242</v>
      </c>
      <c r="C58" s="358"/>
      <c r="D58" s="358"/>
      <c r="E58" s="358"/>
      <c r="F58" s="358"/>
    </row>
    <row r="59" spans="2:6">
      <c r="B59" s="47" t="s">
        <v>240</v>
      </c>
      <c r="C59" s="355">
        <f>Normalized_FCF!C14</f>
        <v>-373061939.75451189</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1197782656</v>
      </c>
      <c r="D67" s="1" t="str">
        <f>Reporting_currency</f>
        <v>CNY</v>
      </c>
    </row>
    <row r="68" spans="1:6">
      <c r="B68" s="47" t="s">
        <v>249</v>
      </c>
      <c r="C68" s="355">
        <f>Normalized_FCF!C19</f>
        <v>1090126258.2152739</v>
      </c>
      <c r="D68" s="1" t="str">
        <f>Reporting_currency</f>
        <v>CNY</v>
      </c>
    </row>
    <row r="69" spans="1:6">
      <c r="B69" s="227" t="s">
        <v>391</v>
      </c>
      <c r="C69" s="92">
        <f>Normalized_FCF!C125</f>
        <v>4.9942075397017276E-2</v>
      </c>
      <c r="F69" s="314"/>
    </row>
    <row r="70" spans="1:6">
      <c r="B70" s="227" t="s">
        <v>309</v>
      </c>
      <c r="C70" s="92">
        <f>Normalized_FCF!C93</f>
        <v>5.0761421319796954E-2</v>
      </c>
      <c r="E70" s="47" t="s">
        <v>449</v>
      </c>
      <c r="F70" s="315">
        <f>Normalized_FCF!C92</f>
        <v>1.0164059245889612</v>
      </c>
    </row>
    <row r="72" spans="1:6">
      <c r="B72" s="210" t="s">
        <v>451</v>
      </c>
      <c r="C72" s="329" t="s">
        <v>453</v>
      </c>
      <c r="D72" s="329" t="s">
        <v>454</v>
      </c>
    </row>
    <row r="73" spans="1:6">
      <c r="B73" s="47" t="s">
        <v>452</v>
      </c>
      <c r="C73" s="92">
        <f>Normalized_FCF!C120</f>
        <v>0.15161114820375229</v>
      </c>
      <c r="D73" s="92">
        <f>Normalized_FCF!G120</f>
        <v>0.16779050789746269</v>
      </c>
    </row>
    <row r="74" spans="1:6">
      <c r="B74" s="259" t="str">
        <f>Normalized_FCF!B117</f>
        <v>Pre-tax Profit/Sales</v>
      </c>
      <c r="C74" s="328">
        <f>Normalized_FCF!C117</f>
        <v>0.3932476207375345</v>
      </c>
      <c r="D74" s="328">
        <f>Normalized_FCF!G117</f>
        <v>0.41423799416800827</v>
      </c>
    </row>
    <row r="75" spans="1:6">
      <c r="B75" s="259" t="str">
        <f>Normalized_FCF!B118</f>
        <v>Sales/Total Assets</v>
      </c>
      <c r="C75" s="330">
        <f>Normalized_FCF!C118</f>
        <v>0.30212796693987309</v>
      </c>
      <c r="D75" s="330">
        <f>Normalized_FCF!G118</f>
        <v>0.31742662653511533</v>
      </c>
    </row>
    <row r="76" spans="1:6">
      <c r="B76" s="259" t="str">
        <f>Normalized_FCF!B119</f>
        <v>Total Assets/Equity</v>
      </c>
      <c r="C76" s="330">
        <f>Normalized_FCF!C119</f>
        <v>1.2760688428830085</v>
      </c>
      <c r="D76" s="330">
        <f>Normalized_FCF!G119</f>
        <v>1.2760688428830085</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18.037412897556077</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1232137409</v>
      </c>
      <c r="D102" s="1" t="str">
        <f>Reporting_currency</f>
        <v>CNY</v>
      </c>
    </row>
    <row r="103" spans="2:6">
      <c r="B103" s="47" t="s">
        <v>282</v>
      </c>
      <c r="C103" s="223">
        <f>C102*scaling_factor*Exchange_Rate/Common_Shares</f>
        <v>1.2232292007557037</v>
      </c>
      <c r="D103" s="1" t="str">
        <f>Market_currency</f>
        <v>CNY</v>
      </c>
    </row>
    <row r="104" spans="2:6">
      <c r="B104" s="296" t="s">
        <v>405</v>
      </c>
      <c r="C104" s="331">
        <f>IF(BS!G31/BS!G27&gt;300%,"nm",BS!G31/BS!G27)</f>
        <v>0.12757636177577109</v>
      </c>
    </row>
    <row r="105" spans="2:6">
      <c r="B105" s="296" t="s">
        <v>407</v>
      </c>
      <c r="C105" s="332">
        <f>IF(BS!C50&gt;30,"nm",BS!C50)</f>
        <v>0.79731882844192148</v>
      </c>
    </row>
    <row r="107" spans="2:6">
      <c r="B107" s="1" t="s">
        <v>255</v>
      </c>
    </row>
    <row r="108" spans="2:6">
      <c r="B108" s="47" t="s">
        <v>265</v>
      </c>
      <c r="C108" s="355">
        <f>BS!C66</f>
        <v>3986106600</v>
      </c>
      <c r="D108" s="1" t="str">
        <f>Reporting_currency</f>
        <v>CNY</v>
      </c>
    </row>
    <row r="109" spans="2:6">
      <c r="B109" s="47" t="s">
        <v>267</v>
      </c>
      <c r="C109" s="355">
        <f>DCF!C8</f>
        <v>3438409570.5196743</v>
      </c>
      <c r="D109" s="1" t="str">
        <f>Reporting_currency</f>
        <v>CNY</v>
      </c>
    </row>
    <row r="110" spans="2:6">
      <c r="B110" s="47" t="s">
        <v>283</v>
      </c>
      <c r="C110" s="223">
        <f>C109*scaling_factor*Exchange_Rate/Common_Shares</f>
        <v>3.4135502745843049</v>
      </c>
      <c r="D110" s="1" t="str">
        <f>Market_currency</f>
        <v>CNY</v>
      </c>
    </row>
    <row r="112" spans="2:6">
      <c r="B112" s="1" t="s">
        <v>257</v>
      </c>
    </row>
    <row r="113" spans="1:6">
      <c r="B113" s="47" t="s">
        <v>258</v>
      </c>
      <c r="C113" s="355">
        <f>DCF!C9</f>
        <v>601196472.20000005</v>
      </c>
      <c r="D113" s="1" t="str">
        <f>Reporting_currency</f>
        <v>CNY</v>
      </c>
    </row>
    <row r="114" spans="1:6">
      <c r="B114" s="47" t="s">
        <v>284</v>
      </c>
      <c r="C114" s="223">
        <f>C113*scaling_factor*Exchange_Rate/Common_Shares</f>
        <v>0.59684989256450272</v>
      </c>
      <c r="D114" s="1" t="str">
        <f>Market_currency</f>
        <v>CNY</v>
      </c>
    </row>
    <row r="116" spans="1:6" ht="24.5" customHeight="1">
      <c r="B116" s="357" t="s">
        <v>367</v>
      </c>
      <c r="C116" s="357"/>
      <c r="D116" s="357"/>
      <c r="E116" s="357"/>
      <c r="F116" s="357"/>
    </row>
    <row r="118" spans="1:6">
      <c r="B118" s="47" t="s">
        <v>450</v>
      </c>
      <c r="C118" s="223">
        <f>IF(valuation_method="DCF",DCF!C12,DDM!C7)</f>
        <v>20.824583863949179</v>
      </c>
      <c r="D118" s="1" t="str">
        <f>Market_currency</f>
        <v>CNY</v>
      </c>
    </row>
    <row r="119" spans="1:6">
      <c r="B119" s="296" t="s">
        <v>406</v>
      </c>
      <c r="C119" s="223">
        <f>BS!D47</f>
        <v>2.5713378719718771</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259</v>
      </c>
      <c r="C132" s="217">
        <f>Scenarios!C60</f>
        <v>22.601441956902718</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1.1000000000000001</v>
      </c>
      <c r="D143" s="212" t="str">
        <f>Market_currency</f>
        <v>CNY</v>
      </c>
    </row>
    <row r="145" spans="2:4">
      <c r="B145" s="210" t="s">
        <v>409</v>
      </c>
      <c r="C145" s="241" t="str">
        <f>C11</f>
        <v>600007.SS</v>
      </c>
      <c r="D145" s="241" t="str">
        <f>IF(D11="","",D11)</f>
        <v/>
      </c>
    </row>
    <row r="146" spans="2:4">
      <c r="B146" s="1" t="s">
        <v>408</v>
      </c>
      <c r="C146" s="297">
        <f>F29</f>
        <v>0.33700000000000002</v>
      </c>
    </row>
    <row r="147" spans="2:4">
      <c r="B147" s="212" t="str">
        <f>"PV("&amp;C141&amp;" yrs of Dividends)"</f>
        <v>PV(3 yrs of Dividends)</v>
      </c>
      <c r="C147" s="216">
        <f>Scenarios!C81</f>
        <v>1.8983532786438631</v>
      </c>
    </row>
    <row r="148" spans="2:4">
      <c r="B148" s="212" t="str">
        <f>"+ PV(Equity Value realized at year "&amp;C141&amp;")"</f>
        <v>+ PV(Equity Value realized at year 3)</v>
      </c>
      <c r="C148" s="216">
        <f>Scenarios!C82</f>
        <v>9.4567503881706401</v>
      </c>
    </row>
    <row r="149" spans="2:4">
      <c r="B149" s="80" t="s">
        <v>261</v>
      </c>
      <c r="C149" s="215">
        <f>Scenarios!C83</f>
        <v>11.355103666814504</v>
      </c>
      <c r="D149" s="300" t="str">
        <f>IF($D$11="","",C149*$E$25)</f>
        <v/>
      </c>
    </row>
    <row r="150" spans="2:4">
      <c r="B150" s="259" t="s">
        <v>417</v>
      </c>
      <c r="C150" s="298" t="str">
        <f>Market_currency</f>
        <v>CNY</v>
      </c>
      <c r="D150" s="298" t="str">
        <f>IF($D$11="","",D$13)</f>
        <v/>
      </c>
    </row>
    <row r="151" spans="2:4">
      <c r="B151" s="214" t="s">
        <v>263</v>
      </c>
      <c r="C151" s="92">
        <f>Scenarios!F83</f>
        <v>0.4975938398768166</v>
      </c>
    </row>
    <row r="153" spans="2:4">
      <c r="B153" s="210" t="s">
        <v>412</v>
      </c>
    </row>
    <row r="154" spans="2:4">
      <c r="B154" s="1" t="s">
        <v>411</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261</v>
      </c>
      <c r="C157" s="215">
        <f>Scenarios!C93</f>
        <v>15.879140273250821</v>
      </c>
      <c r="D157" s="300" t="str">
        <f>IF($D$11="","",C157*$E$25)</f>
        <v/>
      </c>
    </row>
    <row r="158" spans="2:4">
      <c r="B158" s="259" t="s">
        <v>417</v>
      </c>
      <c r="C158" s="298" t="str">
        <f>Market_currency</f>
        <v>CNY</v>
      </c>
      <c r="D158" s="298" t="str">
        <f>IF($D$11="","",D$13)</f>
        <v/>
      </c>
    </row>
    <row r="159" spans="2:4">
      <c r="B159" s="214" t="s">
        <v>263</v>
      </c>
      <c r="C159" s="92">
        <f>Scenarios!F93</f>
        <v>0.29742800023424332</v>
      </c>
    </row>
    <row r="161" spans="2:4">
      <c r="B161" s="210" t="s">
        <v>401</v>
      </c>
    </row>
    <row r="162" spans="2:4">
      <c r="B162" s="1" t="s">
        <v>410</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402</v>
      </c>
      <c r="C165" s="215">
        <f>Scenarios!C99</f>
        <v>21.916919635758642</v>
      </c>
      <c r="D165" s="300" t="str">
        <f>IF($D$11="","",C165*$E$25)</f>
        <v/>
      </c>
    </row>
    <row r="166" spans="2:4">
      <c r="B166" s="259" t="s">
        <v>417</v>
      </c>
      <c r="C166" s="298" t="str">
        <f>Market_currency</f>
        <v>CNY</v>
      </c>
      <c r="D166" s="298" t="str">
        <f>IF($D$11="","",D$13)</f>
        <v/>
      </c>
    </row>
    <row r="167" spans="2:4">
      <c r="B167" s="214" t="s">
        <v>263</v>
      </c>
      <c r="C167" s="92">
        <f>Scenarios!F99</f>
        <v>3.0286665888368924E-2</v>
      </c>
    </row>
    <row r="169" spans="2:4">
      <c r="B169" s="210" t="s">
        <v>433</v>
      </c>
    </row>
    <row r="170" spans="2:4">
      <c r="B170" s="1" t="s">
        <v>424</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402</v>
      </c>
      <c r="C173" s="215">
        <f>Scenarios!C105</f>
        <v>20.396738931178472</v>
      </c>
      <c r="D173" s="300" t="str">
        <f>IF($D$11="","",C173*$E$25)</f>
        <v/>
      </c>
    </row>
    <row r="174" spans="2:4">
      <c r="B174" s="259" t="s">
        <v>417</v>
      </c>
      <c r="C174" s="298" t="str">
        <f>Market_currency</f>
        <v>CNY</v>
      </c>
      <c r="D174" s="298" t="str">
        <f>IF($D$11="","",D$13)</f>
        <v/>
      </c>
    </row>
    <row r="175" spans="2:4">
      <c r="B175" s="214" t="s">
        <v>263</v>
      </c>
      <c r="C175" s="92">
        <f>Scenarios!F105</f>
        <v>0.11969174215505141</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3912067946</v>
      </c>
      <c r="D4" s="321">
        <v>3953761873</v>
      </c>
      <c r="E4" s="321">
        <v>3442276658</v>
      </c>
      <c r="F4" s="321">
        <v>3585982881</v>
      </c>
      <c r="G4" s="321">
        <v>3097760404</v>
      </c>
      <c r="H4" s="321">
        <v>3530148817</v>
      </c>
      <c r="I4" s="321">
        <v>3170768175</v>
      </c>
      <c r="J4" s="321">
        <v>2766461106</v>
      </c>
      <c r="K4" s="321">
        <v>2349397869</v>
      </c>
      <c r="L4" s="321">
        <v>2271278419</v>
      </c>
      <c r="M4" s="321"/>
    </row>
    <row r="5" spans="2:13">
      <c r="B5" s="40" t="s">
        <v>43</v>
      </c>
      <c r="C5" s="321">
        <v>2022497629</v>
      </c>
      <c r="D5" s="321">
        <v>2044370995</v>
      </c>
      <c r="E5" s="321">
        <v>1859278213</v>
      </c>
      <c r="F5" s="321">
        <v>1944558974</v>
      </c>
      <c r="G5" s="321">
        <v>1759673042</v>
      </c>
      <c r="H5" s="321">
        <v>1964870699</v>
      </c>
      <c r="I5" s="321">
        <v>1823717021</v>
      </c>
      <c r="J5" s="321">
        <v>1601141545</v>
      </c>
      <c r="K5" s="321">
        <v>1217181691</v>
      </c>
      <c r="L5" s="321">
        <v>1231847822</v>
      </c>
      <c r="M5" s="321"/>
    </row>
    <row r="6" spans="2:13">
      <c r="B6" s="40" t="s">
        <v>54</v>
      </c>
      <c r="C6" s="321">
        <v>215939947</v>
      </c>
      <c r="D6" s="321">
        <v>207397035</v>
      </c>
      <c r="E6" s="321">
        <v>195156946</v>
      </c>
      <c r="F6" s="321">
        <v>213185806</v>
      </c>
      <c r="G6" s="321">
        <v>192953310</v>
      </c>
      <c r="H6" s="321">
        <v>185898567</v>
      </c>
      <c r="I6" s="321">
        <v>172963266</v>
      </c>
      <c r="J6" s="321">
        <v>205630910</v>
      </c>
      <c r="K6" s="321">
        <v>136851488</v>
      </c>
      <c r="L6" s="321">
        <v>120069547</v>
      </c>
      <c r="M6" s="321"/>
    </row>
    <row r="7" spans="2:13">
      <c r="B7" s="69" t="s">
        <v>61</v>
      </c>
      <c r="C7" s="322">
        <v>89269733</v>
      </c>
      <c r="D7" s="322">
        <v>87498038</v>
      </c>
      <c r="E7" s="322">
        <v>73672626</v>
      </c>
      <c r="F7" s="322">
        <v>96781098</v>
      </c>
      <c r="G7" s="322">
        <v>101231609</v>
      </c>
      <c r="H7" s="322">
        <v>100438990</v>
      </c>
      <c r="I7" s="322">
        <v>86961905</v>
      </c>
      <c r="J7" s="322">
        <v>94773690</v>
      </c>
      <c r="K7" s="322">
        <v>54486141</v>
      </c>
      <c r="L7" s="322">
        <v>46321930</v>
      </c>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53103191</v>
      </c>
      <c r="D12" s="321">
        <v>71173386</v>
      </c>
      <c r="E12" s="321">
        <v>95605656</v>
      </c>
      <c r="F12" s="321">
        <v>115890645</v>
      </c>
      <c r="G12" s="321">
        <v>105753716</v>
      </c>
      <c r="H12" s="321">
        <v>112756416</v>
      </c>
      <c r="I12" s="321">
        <v>145025415</v>
      </c>
      <c r="J12" s="321"/>
      <c r="K12" s="321"/>
      <c r="L12" s="321"/>
      <c r="M12" s="321"/>
    </row>
    <row r="13" spans="2:13">
      <c r="B13" s="40" t="s">
        <v>67</v>
      </c>
      <c r="C13" s="321">
        <v>44666271</v>
      </c>
      <c r="D13" s="321">
        <v>31733562</v>
      </c>
      <c r="E13" s="321">
        <v>52174747</v>
      </c>
      <c r="F13" s="321">
        <v>33876650</v>
      </c>
      <c r="G13" s="321">
        <v>19155473</v>
      </c>
      <c r="H13" s="321">
        <v>4307482</v>
      </c>
      <c r="I13" s="321">
        <v>4873611</v>
      </c>
      <c r="J13" s="321"/>
      <c r="K13" s="321"/>
      <c r="L13" s="321"/>
      <c r="M13" s="321"/>
    </row>
    <row r="14" spans="2:13">
      <c r="B14" s="40" t="s">
        <v>50</v>
      </c>
      <c r="C14" s="321">
        <v>421611829</v>
      </c>
      <c r="D14" s="321">
        <v>420155428</v>
      </c>
      <c r="E14" s="321">
        <v>376893525</v>
      </c>
      <c r="F14" s="321">
        <v>341900302</v>
      </c>
      <c r="G14" s="321">
        <v>278949056</v>
      </c>
      <c r="H14" s="321">
        <v>328294411</v>
      </c>
      <c r="I14" s="321">
        <v>260328417</v>
      </c>
      <c r="J14" s="321">
        <v>213401798</v>
      </c>
      <c r="K14" s="321">
        <v>231671396</v>
      </c>
      <c r="L14" s="321">
        <v>210665216</v>
      </c>
      <c r="M14" s="321"/>
    </row>
    <row r="15" spans="2:13">
      <c r="B15" s="43" t="s">
        <v>42</v>
      </c>
      <c r="C15" s="323">
        <v>1263521768</v>
      </c>
      <c r="D15" s="323">
        <v>1260103397</v>
      </c>
      <c r="E15" s="323">
        <v>1116852803</v>
      </c>
      <c r="F15" s="323">
        <v>1024605179</v>
      </c>
      <c r="G15" s="323">
        <v>826130846</v>
      </c>
      <c r="H15" s="323">
        <v>973082586</v>
      </c>
      <c r="I15" s="323">
        <v>775474748</v>
      </c>
      <c r="J15" s="323">
        <v>635601938</v>
      </c>
      <c r="K15" s="323">
        <v>686914877</v>
      </c>
      <c r="L15" s="323">
        <v>628263122</v>
      </c>
      <c r="M15" s="323"/>
    </row>
    <row r="16" spans="2:13">
      <c r="B16" s="28" t="s">
        <v>44</v>
      </c>
      <c r="C16" s="321">
        <v>1132694</v>
      </c>
      <c r="D16" s="321">
        <v>902070</v>
      </c>
      <c r="E16" s="321">
        <v>981992</v>
      </c>
      <c r="F16" s="321">
        <v>811462</v>
      </c>
      <c r="G16" s="321">
        <v>704543</v>
      </c>
      <c r="H16" s="321">
        <v>655511</v>
      </c>
      <c r="I16" s="321">
        <v>823429</v>
      </c>
      <c r="J16" s="321">
        <v>795223</v>
      </c>
      <c r="K16" s="321">
        <v>574487</v>
      </c>
      <c r="L16" s="321">
        <v>664400</v>
      </c>
      <c r="M16" s="321"/>
    </row>
    <row r="18" spans="2:13">
      <c r="B18" s="16" t="s">
        <v>51</v>
      </c>
      <c r="C18" s="9"/>
    </row>
    <row r="19" spans="2:13">
      <c r="B19" s="27" t="s">
        <v>47</v>
      </c>
      <c r="C19" s="321">
        <v>462652711</v>
      </c>
      <c r="D19" s="321">
        <v>475220049</v>
      </c>
      <c r="E19" s="321">
        <v>495414928</v>
      </c>
      <c r="F19" s="321">
        <v>518843271</v>
      </c>
      <c r="G19" s="321">
        <v>514548362</v>
      </c>
      <c r="H19" s="321">
        <v>506465473</v>
      </c>
      <c r="I19" s="321">
        <v>461283106</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1796295378</v>
      </c>
      <c r="D22" s="321">
        <v>1918660921</v>
      </c>
      <c r="E22" s="321">
        <v>1824331237</v>
      </c>
      <c r="F22" s="321">
        <v>1780173946</v>
      </c>
      <c r="G22" s="321">
        <v>1406522534</v>
      </c>
      <c r="H22" s="321">
        <v>1537171961</v>
      </c>
      <c r="I22" s="321">
        <v>1444509542</v>
      </c>
      <c r="J22" s="321">
        <v>1205496354</v>
      </c>
      <c r="K22" s="321">
        <v>1115094373</v>
      </c>
      <c r="L22" s="321">
        <v>1144557072</v>
      </c>
      <c r="M22" s="321"/>
    </row>
    <row r="23" spans="2:13">
      <c r="B23" s="27" t="s">
        <v>374</v>
      </c>
      <c r="C23" s="321">
        <v>-63639368</v>
      </c>
      <c r="D23" s="321">
        <v>-64835794</v>
      </c>
      <c r="E23" s="321">
        <v>-70210601</v>
      </c>
      <c r="F23" s="321">
        <v>-142527256</v>
      </c>
      <c r="G23" s="321">
        <v>-270895581</v>
      </c>
      <c r="H23" s="321">
        <v>-402194776</v>
      </c>
      <c r="I23" s="321">
        <v>-379835205</v>
      </c>
      <c r="J23" s="321">
        <v>-373540520</v>
      </c>
      <c r="K23" s="321">
        <v>-977214365</v>
      </c>
      <c r="L23" s="321">
        <v>-798541878</v>
      </c>
      <c r="M23" s="321"/>
    </row>
    <row r="24" spans="2:13">
      <c r="B24" s="27" t="s">
        <v>373</v>
      </c>
      <c r="C24" s="321">
        <v>-1858931831</v>
      </c>
      <c r="D24" s="321">
        <v>-1289833762</v>
      </c>
      <c r="E24" s="321">
        <v>-1265281759</v>
      </c>
      <c r="F24" s="321">
        <v>-531189995</v>
      </c>
      <c r="G24" s="321">
        <v>-505624628</v>
      </c>
      <c r="H24" s="321">
        <v>-473414072</v>
      </c>
      <c r="I24" s="321">
        <v>-1448089374</v>
      </c>
      <c r="J24" s="321">
        <v>-325459944</v>
      </c>
      <c r="K24" s="321">
        <v>-187105322</v>
      </c>
      <c r="L24" s="321">
        <v>-663410674</v>
      </c>
      <c r="M24" s="32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18">
        <f>BS!C4</f>
        <v>228574200</v>
      </c>
      <c r="D28" s="321">
        <v>258206405</v>
      </c>
      <c r="E28" s="321">
        <v>377357021</v>
      </c>
      <c r="F28" s="321">
        <v>368491616</v>
      </c>
      <c r="G28" s="321">
        <v>440548083</v>
      </c>
      <c r="H28" s="321">
        <v>421649740</v>
      </c>
      <c r="I28" s="321">
        <v>325786547</v>
      </c>
      <c r="J28" s="321">
        <v>299260334</v>
      </c>
      <c r="K28" s="321">
        <v>144293862</v>
      </c>
      <c r="L28" s="321">
        <v>141547001</v>
      </c>
      <c r="M28" s="321"/>
    </row>
    <row r="29" spans="2:13">
      <c r="B29" s="26" t="s">
        <v>32</v>
      </c>
      <c r="C29" s="318">
        <f>BS!C6</f>
        <v>30681363</v>
      </c>
      <c r="D29" s="321">
        <v>32289866</v>
      </c>
      <c r="E29" s="321">
        <v>32129347</v>
      </c>
      <c r="F29" s="321">
        <v>32745245</v>
      </c>
      <c r="G29" s="321">
        <v>33982961</v>
      </c>
      <c r="H29" s="321">
        <v>32833169</v>
      </c>
      <c r="I29" s="321">
        <v>29410625</v>
      </c>
      <c r="J29" s="321">
        <v>25220478</v>
      </c>
      <c r="K29" s="321">
        <v>22595729</v>
      </c>
      <c r="L29" s="321">
        <v>23419985</v>
      </c>
      <c r="M29" s="321"/>
    </row>
    <row r="30" spans="2:13">
      <c r="B30" s="29" t="s">
        <v>40</v>
      </c>
      <c r="C30" s="319">
        <f>BS!C33+BS!C42</f>
        <v>2666283503</v>
      </c>
      <c r="D30" s="323">
        <v>3177151047</v>
      </c>
      <c r="E30" s="323">
        <v>3678311933</v>
      </c>
      <c r="F30" s="323">
        <v>4088929705</v>
      </c>
      <c r="G30" s="323">
        <v>4074330379</v>
      </c>
      <c r="H30" s="323">
        <v>4229364458</v>
      </c>
      <c r="I30" s="323">
        <v>4170411465</v>
      </c>
      <c r="J30" s="323">
        <v>5196347300</v>
      </c>
      <c r="K30" s="323">
        <v>5071716119</v>
      </c>
      <c r="L30" s="323">
        <v>4567360550</v>
      </c>
      <c r="M30" s="323"/>
    </row>
    <row r="31" spans="2:13">
      <c r="B31" s="29" t="s">
        <v>30</v>
      </c>
      <c r="C31" s="319">
        <f>BS!G27</f>
        <v>9658038463</v>
      </c>
      <c r="D31" s="323">
        <v>9703983988</v>
      </c>
      <c r="E31" s="323">
        <v>9148978365</v>
      </c>
      <c r="F31" s="323">
        <v>8636995082</v>
      </c>
      <c r="G31" s="323">
        <v>8015792917</v>
      </c>
      <c r="H31" s="323">
        <v>7573059434</v>
      </c>
      <c r="I31" s="323">
        <v>6922316334</v>
      </c>
      <c r="J31" s="323">
        <v>6469671997</v>
      </c>
      <c r="K31" s="323">
        <v>6136754819</v>
      </c>
      <c r="L31" s="323">
        <v>5651796449</v>
      </c>
      <c r="M31" s="323"/>
    </row>
    <row r="32" spans="2:13">
      <c r="B32" s="26" t="s">
        <v>173</v>
      </c>
      <c r="C32" s="318">
        <f>BS!G28</f>
        <v>4958355</v>
      </c>
      <c r="D32" s="321">
        <v>3825661</v>
      </c>
      <c r="E32" s="321">
        <v>3525797</v>
      </c>
      <c r="F32" s="321">
        <v>3043805</v>
      </c>
      <c r="G32" s="321">
        <v>2722343</v>
      </c>
      <c r="H32" s="321">
        <v>2647800</v>
      </c>
      <c r="I32" s="321">
        <v>2467743</v>
      </c>
      <c r="J32" s="321">
        <v>2144314</v>
      </c>
      <c r="K32" s="321">
        <v>1849091</v>
      </c>
      <c r="L32" s="321">
        <v>1774604</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3912067946</v>
      </c>
      <c r="D36" s="318">
        <f t="shared" si="1"/>
        <v>3953761873</v>
      </c>
      <c r="E36" s="318">
        <f t="shared" si="1"/>
        <v>3442276658</v>
      </c>
      <c r="F36" s="318">
        <f t="shared" si="1"/>
        <v>3585982881</v>
      </c>
      <c r="G36" s="318">
        <f t="shared" si="1"/>
        <v>3097760404</v>
      </c>
      <c r="H36" s="318">
        <f t="shared" si="1"/>
        <v>3530148817</v>
      </c>
      <c r="I36" s="318">
        <f t="shared" si="1"/>
        <v>3170768175</v>
      </c>
      <c r="J36" s="318">
        <f t="shared" si="1"/>
        <v>2766461106</v>
      </c>
      <c r="K36" s="318">
        <f t="shared" si="1"/>
        <v>2349397869</v>
      </c>
      <c r="L36" s="318">
        <f t="shared" si="1"/>
        <v>2271278419</v>
      </c>
      <c r="M36" s="318" t="str">
        <f t="shared" si="1"/>
        <v/>
      </c>
    </row>
    <row r="37" spans="2:13">
      <c r="B37" s="40" t="s">
        <v>43</v>
      </c>
      <c r="C37" s="318">
        <f t="shared" ref="C37:M37" si="2">IF(C$4="","",-C5)</f>
        <v>-2022497629</v>
      </c>
      <c r="D37" s="318">
        <f t="shared" si="2"/>
        <v>-2044370995</v>
      </c>
      <c r="E37" s="318">
        <f t="shared" si="2"/>
        <v>-1859278213</v>
      </c>
      <c r="F37" s="318">
        <f t="shared" si="2"/>
        <v>-1944558974</v>
      </c>
      <c r="G37" s="318">
        <f t="shared" si="2"/>
        <v>-1759673042</v>
      </c>
      <c r="H37" s="318">
        <f t="shared" si="2"/>
        <v>-1964870699</v>
      </c>
      <c r="I37" s="318">
        <f t="shared" si="2"/>
        <v>-1823717021</v>
      </c>
      <c r="J37" s="318">
        <f t="shared" si="2"/>
        <v>-1601141545</v>
      </c>
      <c r="K37" s="318">
        <f t="shared" si="2"/>
        <v>-1217181691</v>
      </c>
      <c r="L37" s="318">
        <f t="shared" si="2"/>
        <v>-1231847822</v>
      </c>
      <c r="M37" s="318" t="str">
        <f t="shared" si="2"/>
        <v/>
      </c>
    </row>
    <row r="38" spans="2:13">
      <c r="B38" s="31" t="s">
        <v>58</v>
      </c>
      <c r="C38" s="317">
        <f>IF(C36="","",C36+C37)</f>
        <v>1889570317</v>
      </c>
      <c r="D38" s="317">
        <f t="shared" ref="D38" si="3">IF(D36="","",D36+D37)</f>
        <v>1909390878</v>
      </c>
      <c r="E38" s="317">
        <f t="shared" ref="E38" si="4">IF(E36="","",E36+E37)</f>
        <v>1582998445</v>
      </c>
      <c r="F38" s="317">
        <f t="shared" ref="F38" si="5">IF(F36="","",F36+F37)</f>
        <v>1641423907</v>
      </c>
      <c r="G38" s="317">
        <f t="shared" ref="G38" si="6">IF(G36="","",G36+G37)</f>
        <v>1338087362</v>
      </c>
      <c r="H38" s="317">
        <f t="shared" ref="H38" si="7">IF(H36="","",H36+H37)</f>
        <v>1565278118</v>
      </c>
      <c r="I38" s="317">
        <f t="shared" ref="I38" si="8">IF(I36="","",I36+I37)</f>
        <v>1347051154</v>
      </c>
      <c r="J38" s="317">
        <f t="shared" ref="J38" si="9">IF(J36="","",J36+J37)</f>
        <v>1165319561</v>
      </c>
      <c r="K38" s="317">
        <f t="shared" ref="K38" si="10">IF(K36="","",K36+K37)</f>
        <v>1132216178</v>
      </c>
      <c r="L38" s="317">
        <f t="shared" ref="L38" si="11">IF(L36="","",L36+L37)</f>
        <v>1039430597</v>
      </c>
      <c r="M38" s="317" t="str">
        <f t="shared" ref="M38" si="12">IF(M36="","",M36+M37)</f>
        <v/>
      </c>
    </row>
    <row r="39" spans="2:13">
      <c r="B39" s="40" t="s">
        <v>54</v>
      </c>
      <c r="C39" s="318">
        <f t="shared" ref="C39:M39" si="13">IF(C$4="","",-C6)</f>
        <v>-215939947</v>
      </c>
      <c r="D39" s="318">
        <f t="shared" si="13"/>
        <v>-207397035</v>
      </c>
      <c r="E39" s="318">
        <f t="shared" si="13"/>
        <v>-195156946</v>
      </c>
      <c r="F39" s="318">
        <f t="shared" si="13"/>
        <v>-213185806</v>
      </c>
      <c r="G39" s="318">
        <f t="shared" si="13"/>
        <v>-192953310</v>
      </c>
      <c r="H39" s="318">
        <f t="shared" si="13"/>
        <v>-185898567</v>
      </c>
      <c r="I39" s="318">
        <f t="shared" si="13"/>
        <v>-172963266</v>
      </c>
      <c r="J39" s="318">
        <f t="shared" si="13"/>
        <v>-205630910</v>
      </c>
      <c r="K39" s="318">
        <f t="shared" si="13"/>
        <v>-136851488</v>
      </c>
      <c r="L39" s="318">
        <f t="shared" si="13"/>
        <v>-120069547</v>
      </c>
      <c r="M39" s="318" t="str">
        <f t="shared" si="13"/>
        <v/>
      </c>
    </row>
    <row r="40" spans="2:13">
      <c r="B40" s="69" t="s">
        <v>61</v>
      </c>
      <c r="C40" s="320">
        <f t="shared" ref="C40:M40" si="14">IF(C$4="","",-C7)</f>
        <v>-89269733</v>
      </c>
      <c r="D40" s="320">
        <f t="shared" si="14"/>
        <v>-87498038</v>
      </c>
      <c r="E40" s="320">
        <f t="shared" si="14"/>
        <v>-73672626</v>
      </c>
      <c r="F40" s="320">
        <f t="shared" si="14"/>
        <v>-96781098</v>
      </c>
      <c r="G40" s="320">
        <f t="shared" si="14"/>
        <v>-101231609</v>
      </c>
      <c r="H40" s="320">
        <f t="shared" si="14"/>
        <v>-100438990</v>
      </c>
      <c r="I40" s="320">
        <f t="shared" si="14"/>
        <v>-86961905</v>
      </c>
      <c r="J40" s="320">
        <f t="shared" si="14"/>
        <v>-94773690</v>
      </c>
      <c r="K40" s="320">
        <f t="shared" si="14"/>
        <v>-54486141</v>
      </c>
      <c r="L40" s="320">
        <f t="shared" si="14"/>
        <v>-46321930</v>
      </c>
      <c r="M40" s="320" t="str">
        <f t="shared" si="14"/>
        <v/>
      </c>
    </row>
    <row r="41" spans="2:13">
      <c r="B41" s="69" t="s">
        <v>64</v>
      </c>
      <c r="C41" s="320">
        <f>IF(C$4="","",C39-C40)</f>
        <v>-126670214</v>
      </c>
      <c r="D41" s="320">
        <f t="shared" ref="D41:M41" si="15">IF(D$4="","",D39-D40)</f>
        <v>-119898997</v>
      </c>
      <c r="E41" s="320">
        <f t="shared" si="15"/>
        <v>-121484320</v>
      </c>
      <c r="F41" s="320">
        <f t="shared" si="15"/>
        <v>-116404708</v>
      </c>
      <c r="G41" s="320">
        <f t="shared" si="15"/>
        <v>-91721701</v>
      </c>
      <c r="H41" s="320">
        <f t="shared" si="15"/>
        <v>-85459577</v>
      </c>
      <c r="I41" s="320">
        <f t="shared" si="15"/>
        <v>-86001361</v>
      </c>
      <c r="J41" s="320">
        <f t="shared" si="15"/>
        <v>-110857220</v>
      </c>
      <c r="K41" s="320">
        <f t="shared" si="15"/>
        <v>-82365347</v>
      </c>
      <c r="L41" s="320">
        <f t="shared" si="15"/>
        <v>-73747617</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1673630370</v>
      </c>
      <c r="D43" s="319">
        <f t="shared" ref="D43:M43" si="17">IF(D$4="","",D38+D39+D42)</f>
        <v>1701993843</v>
      </c>
      <c r="E43" s="319">
        <f t="shared" si="17"/>
        <v>1387841499</v>
      </c>
      <c r="F43" s="319">
        <f t="shared" si="17"/>
        <v>1428238101</v>
      </c>
      <c r="G43" s="319">
        <f t="shared" si="17"/>
        <v>1145134052</v>
      </c>
      <c r="H43" s="319">
        <f t="shared" si="17"/>
        <v>1379379551</v>
      </c>
      <c r="I43" s="319">
        <f t="shared" si="17"/>
        <v>1174087888</v>
      </c>
      <c r="J43" s="319">
        <f t="shared" si="17"/>
        <v>959688651</v>
      </c>
      <c r="K43" s="319">
        <f t="shared" si="17"/>
        <v>995364690</v>
      </c>
      <c r="L43" s="319">
        <f t="shared" si="17"/>
        <v>919361050</v>
      </c>
      <c r="M43" s="319" t="str">
        <f t="shared" si="17"/>
        <v/>
      </c>
    </row>
    <row r="44" spans="2:13">
      <c r="B44" s="43" t="s">
        <v>169</v>
      </c>
      <c r="C44" s="180">
        <f t="shared" ref="C44:M44" si="18">IF(C$4="","",C47-C46-C45-C43)</f>
        <v>19940147</v>
      </c>
      <c r="D44" s="180">
        <f t="shared" si="18"/>
        <v>17704806</v>
      </c>
      <c r="E44" s="180">
        <f t="shared" si="18"/>
        <v>149335738</v>
      </c>
      <c r="F44" s="180">
        <f t="shared" si="18"/>
        <v>20281375</v>
      </c>
      <c r="G44" s="180">
        <f t="shared" si="18"/>
        <v>46544093</v>
      </c>
      <c r="H44" s="180">
        <f t="shared" si="18"/>
        <v>30446380</v>
      </c>
      <c r="I44" s="180">
        <f t="shared" si="18"/>
        <v>1867081</v>
      </c>
      <c r="J44" s="180">
        <f t="shared" si="18"/>
        <v>-110684915</v>
      </c>
      <c r="K44" s="180">
        <f t="shared" si="18"/>
        <v>-76778417</v>
      </c>
      <c r="L44" s="180">
        <f t="shared" si="18"/>
        <v>-80432712</v>
      </c>
      <c r="M44" s="180" t="str">
        <f t="shared" si="18"/>
        <v/>
      </c>
    </row>
    <row r="45" spans="2:13">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c r="B46" s="40" t="s">
        <v>50</v>
      </c>
      <c r="C46" s="318">
        <f t="shared" ref="C46:M46" si="20">IF(C$4="","",-C14)</f>
        <v>-421611829</v>
      </c>
      <c r="D46" s="318">
        <f t="shared" si="20"/>
        <v>-420155428</v>
      </c>
      <c r="E46" s="318">
        <f t="shared" si="20"/>
        <v>-376893525</v>
      </c>
      <c r="F46" s="318">
        <f t="shared" si="20"/>
        <v>-341900302</v>
      </c>
      <c r="G46" s="318">
        <f t="shared" si="20"/>
        <v>-278949056</v>
      </c>
      <c r="H46" s="318">
        <f t="shared" si="20"/>
        <v>-328294411</v>
      </c>
      <c r="I46" s="318">
        <f t="shared" si="20"/>
        <v>-260328417</v>
      </c>
      <c r="J46" s="318">
        <f t="shared" si="20"/>
        <v>-213401798</v>
      </c>
      <c r="K46" s="318">
        <f t="shared" si="20"/>
        <v>-231671396</v>
      </c>
      <c r="L46" s="318">
        <f t="shared" si="20"/>
        <v>-210665216</v>
      </c>
      <c r="M46" s="318" t="str">
        <f t="shared" si="20"/>
        <v/>
      </c>
    </row>
    <row r="47" spans="2:13">
      <c r="B47" s="43" t="s">
        <v>42</v>
      </c>
      <c r="C47" s="319">
        <f t="shared" ref="C47:M47" si="21">IF(C$4="","",C15)</f>
        <v>1263521768</v>
      </c>
      <c r="D47" s="319">
        <f t="shared" si="21"/>
        <v>1260103397</v>
      </c>
      <c r="E47" s="319">
        <f t="shared" si="21"/>
        <v>1116852803</v>
      </c>
      <c r="F47" s="319">
        <f t="shared" si="21"/>
        <v>1024605179</v>
      </c>
      <c r="G47" s="319">
        <f t="shared" si="21"/>
        <v>826130846</v>
      </c>
      <c r="H47" s="319">
        <f t="shared" si="21"/>
        <v>973082586</v>
      </c>
      <c r="I47" s="319">
        <f t="shared" si="21"/>
        <v>775474748</v>
      </c>
      <c r="J47" s="319">
        <f t="shared" si="21"/>
        <v>635601938</v>
      </c>
      <c r="K47" s="319">
        <f t="shared" si="21"/>
        <v>686914877</v>
      </c>
      <c r="L47" s="319">
        <f t="shared" si="21"/>
        <v>628263122</v>
      </c>
      <c r="M47" s="319" t="str">
        <f t="shared" si="21"/>
        <v/>
      </c>
    </row>
    <row r="48" spans="2:13">
      <c r="B48" s="28" t="s">
        <v>44</v>
      </c>
      <c r="C48" s="318">
        <f t="shared" ref="C48:M48" si="22">IF(C$4="","",MIN(-C16,0))</f>
        <v>-1132694</v>
      </c>
      <c r="D48" s="318">
        <f t="shared" si="22"/>
        <v>-902070</v>
      </c>
      <c r="E48" s="318">
        <f t="shared" si="22"/>
        <v>-981992</v>
      </c>
      <c r="F48" s="318">
        <f t="shared" si="22"/>
        <v>-811462</v>
      </c>
      <c r="G48" s="318">
        <f t="shared" si="22"/>
        <v>-704543</v>
      </c>
      <c r="H48" s="318">
        <f t="shared" si="22"/>
        <v>-655511</v>
      </c>
      <c r="I48" s="318">
        <f t="shared" si="22"/>
        <v>-823429</v>
      </c>
      <c r="J48" s="318">
        <f t="shared" si="22"/>
        <v>-795223</v>
      </c>
      <c r="K48" s="318">
        <f t="shared" si="22"/>
        <v>-574487</v>
      </c>
      <c r="L48" s="318">
        <f t="shared" si="22"/>
        <v>-664400</v>
      </c>
      <c r="M48" s="318" t="str">
        <f t="shared" si="22"/>
        <v/>
      </c>
    </row>
    <row r="50" spans="2:13">
      <c r="B50" s="16" t="s">
        <v>68</v>
      </c>
    </row>
    <row r="51" spans="2:13">
      <c r="B51" s="40" t="s">
        <v>39</v>
      </c>
      <c r="C51" s="318">
        <f t="shared" ref="C51:M51" si="23">IF(C$4="","",-C12)</f>
        <v>-53103191</v>
      </c>
      <c r="D51" s="318">
        <f t="shared" si="23"/>
        <v>-71173386</v>
      </c>
      <c r="E51" s="318">
        <f t="shared" si="23"/>
        <v>-95605656</v>
      </c>
      <c r="F51" s="318">
        <f t="shared" si="23"/>
        <v>-115890645</v>
      </c>
      <c r="G51" s="318">
        <f t="shared" si="23"/>
        <v>-105753716</v>
      </c>
      <c r="H51" s="318">
        <f t="shared" si="23"/>
        <v>-112756416</v>
      </c>
      <c r="I51" s="318">
        <f t="shared" si="23"/>
        <v>-145025415</v>
      </c>
      <c r="J51" s="318">
        <f t="shared" si="23"/>
        <v>0</v>
      </c>
      <c r="K51" s="318">
        <f t="shared" si="23"/>
        <v>0</v>
      </c>
      <c r="L51" s="318">
        <f t="shared" si="23"/>
        <v>0</v>
      </c>
      <c r="M51" s="318" t="str">
        <f t="shared" si="23"/>
        <v/>
      </c>
    </row>
    <row r="52" spans="2:13">
      <c r="B52" s="40" t="s">
        <v>67</v>
      </c>
      <c r="C52" s="318">
        <f t="shared" ref="C52:M52" si="24">IF(C$4="","",C13)</f>
        <v>44666271</v>
      </c>
      <c r="D52" s="318">
        <f t="shared" si="24"/>
        <v>31733562</v>
      </c>
      <c r="E52" s="318">
        <f t="shared" si="24"/>
        <v>52174747</v>
      </c>
      <c r="F52" s="318">
        <f t="shared" si="24"/>
        <v>33876650</v>
      </c>
      <c r="G52" s="318">
        <f t="shared" si="24"/>
        <v>19155473</v>
      </c>
      <c r="H52" s="318">
        <f t="shared" si="24"/>
        <v>4307482</v>
      </c>
      <c r="I52" s="318">
        <f t="shared" si="24"/>
        <v>4873611</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c r="B60" s="16" t="s">
        <v>51</v>
      </c>
      <c r="C60" s="9"/>
    </row>
    <row r="61" spans="2:13">
      <c r="B61" s="27" t="s">
        <v>47</v>
      </c>
      <c r="C61" s="318">
        <f>IF(C$4="","",-C19)</f>
        <v>-462652711</v>
      </c>
      <c r="D61" s="318">
        <f t="shared" ref="D61:M61" si="29">IF(D$4="","",-D19)</f>
        <v>-475220049</v>
      </c>
      <c r="E61" s="318">
        <f t="shared" si="29"/>
        <v>-495414928</v>
      </c>
      <c r="F61" s="318">
        <f t="shared" si="29"/>
        <v>-518843271</v>
      </c>
      <c r="G61" s="318">
        <f t="shared" si="29"/>
        <v>-514548362</v>
      </c>
      <c r="H61" s="318">
        <f t="shared" si="29"/>
        <v>-506465473</v>
      </c>
      <c r="I61" s="318">
        <f t="shared" si="29"/>
        <v>-461283106</v>
      </c>
      <c r="J61" s="318">
        <f t="shared" si="29"/>
        <v>0</v>
      </c>
      <c r="K61" s="318">
        <f t="shared" si="29"/>
        <v>0</v>
      </c>
      <c r="L61" s="318">
        <f t="shared" si="29"/>
        <v>0</v>
      </c>
      <c r="M61" s="318" t="str">
        <f t="shared" si="29"/>
        <v/>
      </c>
    </row>
    <row r="62" spans="2:13">
      <c r="B62" s="27" t="s">
        <v>53</v>
      </c>
      <c r="C62" s="318">
        <f>IF(C$4="","",IF(C20=0,C61,-C20))</f>
        <v>-462652711</v>
      </c>
      <c r="D62" s="318">
        <f t="shared" ref="D62:M62" si="30">IF(D$4="","",IF(D20=0,D61,-D20))</f>
        <v>-475220049</v>
      </c>
      <c r="E62" s="318">
        <f t="shared" si="30"/>
        <v>-495414928</v>
      </c>
      <c r="F62" s="318">
        <f t="shared" si="30"/>
        <v>-518843271</v>
      </c>
      <c r="G62" s="318">
        <f t="shared" si="30"/>
        <v>-514548362</v>
      </c>
      <c r="H62" s="318">
        <f t="shared" si="30"/>
        <v>-506465473</v>
      </c>
      <c r="I62" s="318">
        <f t="shared" si="30"/>
        <v>-461283106</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-126275821</v>
      </c>
      <c r="D64" s="318">
        <f t="shared" ref="D64:M64" si="32">IF(D$4="","",D22+D23+D24)</f>
        <v>563991365</v>
      </c>
      <c r="E64" s="318">
        <f t="shared" si="32"/>
        <v>488838877</v>
      </c>
      <c r="F64" s="318">
        <f t="shared" si="32"/>
        <v>1106456695</v>
      </c>
      <c r="G64" s="318">
        <f t="shared" si="32"/>
        <v>630002325</v>
      </c>
      <c r="H64" s="318">
        <f t="shared" si="32"/>
        <v>661563113</v>
      </c>
      <c r="I64" s="318">
        <f t="shared" si="32"/>
        <v>-383415037</v>
      </c>
      <c r="J64" s="318">
        <f t="shared" si="32"/>
        <v>506495890</v>
      </c>
      <c r="K64" s="318">
        <f t="shared" si="32"/>
        <v>-49225314</v>
      </c>
      <c r="L64" s="318">
        <f t="shared" si="32"/>
        <v>-317395480</v>
      </c>
      <c r="M64" s="318"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c r="B77" s="93" t="s">
        <v>86</v>
      </c>
      <c r="C77" s="320">
        <f t="shared" ref="C77:H78" si="40">IF(C$4="","",C28)</f>
        <v>228574200</v>
      </c>
      <c r="D77" s="320">
        <f t="shared" si="40"/>
        <v>258206405</v>
      </c>
      <c r="E77" s="320">
        <f t="shared" si="40"/>
        <v>377357021</v>
      </c>
      <c r="F77" s="320">
        <f t="shared" si="40"/>
        <v>368491616</v>
      </c>
      <c r="G77" s="320">
        <f t="shared" si="40"/>
        <v>440548083</v>
      </c>
      <c r="H77" s="320">
        <f t="shared" si="40"/>
        <v>421649740</v>
      </c>
      <c r="I77" s="324"/>
      <c r="J77" s="324"/>
      <c r="K77" s="324"/>
      <c r="L77" s="324"/>
      <c r="M77" s="324"/>
    </row>
    <row r="78" spans="2:13">
      <c r="B78" s="93" t="s">
        <v>87</v>
      </c>
      <c r="C78" s="320">
        <f t="shared" si="40"/>
        <v>30681363</v>
      </c>
      <c r="D78" s="320">
        <f t="shared" si="40"/>
        <v>32289866</v>
      </c>
      <c r="E78" s="320">
        <f t="shared" si="40"/>
        <v>32129347</v>
      </c>
      <c r="F78" s="320">
        <f t="shared" si="40"/>
        <v>32745245</v>
      </c>
      <c r="G78" s="320">
        <f t="shared" si="40"/>
        <v>33982961</v>
      </c>
      <c r="H78" s="320">
        <f t="shared" si="40"/>
        <v>32833169</v>
      </c>
      <c r="I78" s="324"/>
      <c r="J78" s="324"/>
      <c r="K78" s="324"/>
      <c r="L78" s="324"/>
      <c r="M78" s="324"/>
    </row>
    <row r="79" spans="2:13">
      <c r="B79" s="26" t="s">
        <v>40</v>
      </c>
      <c r="C79" s="318">
        <f t="shared" ref="C79:M79" si="41">IF(C$4="","",C30)</f>
        <v>2666283503</v>
      </c>
      <c r="D79" s="318">
        <f t="shared" si="41"/>
        <v>3177151047</v>
      </c>
      <c r="E79" s="318">
        <f t="shared" si="41"/>
        <v>3678311933</v>
      </c>
      <c r="F79" s="318">
        <f t="shared" si="41"/>
        <v>4088929705</v>
      </c>
      <c r="G79" s="318">
        <f t="shared" si="41"/>
        <v>4074330379</v>
      </c>
      <c r="H79" s="318">
        <f t="shared" si="41"/>
        <v>4229364458</v>
      </c>
      <c r="I79" s="318">
        <f t="shared" si="41"/>
        <v>4170411465</v>
      </c>
      <c r="J79" s="318">
        <f t="shared" si="41"/>
        <v>5196347300</v>
      </c>
      <c r="K79" s="318">
        <f t="shared" si="41"/>
        <v>5071716119</v>
      </c>
      <c r="L79" s="318">
        <f t="shared" si="41"/>
        <v>4567360550</v>
      </c>
      <c r="M79" s="318" t="str">
        <f t="shared" si="41"/>
        <v/>
      </c>
    </row>
    <row r="80" spans="2:13">
      <c r="B80" s="26" t="s">
        <v>30</v>
      </c>
      <c r="C80" s="318">
        <f t="shared" ref="C80:M80" si="42">IF(C$4="","",C31)</f>
        <v>9658038463</v>
      </c>
      <c r="D80" s="318">
        <f t="shared" si="42"/>
        <v>9703983988</v>
      </c>
      <c r="E80" s="318">
        <f t="shared" si="42"/>
        <v>9148978365</v>
      </c>
      <c r="F80" s="318">
        <f t="shared" si="42"/>
        <v>8636995082</v>
      </c>
      <c r="G80" s="318">
        <f t="shared" si="42"/>
        <v>8015792917</v>
      </c>
      <c r="H80" s="318">
        <f t="shared" si="42"/>
        <v>7573059434</v>
      </c>
      <c r="I80" s="318">
        <f t="shared" si="42"/>
        <v>6922316334</v>
      </c>
      <c r="J80" s="318">
        <f t="shared" si="42"/>
        <v>6469671997</v>
      </c>
      <c r="K80" s="318">
        <f t="shared" si="42"/>
        <v>6136754819</v>
      </c>
      <c r="L80" s="318">
        <f t="shared" si="42"/>
        <v>5651796449</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1">
        <v>0.6</v>
      </c>
      <c r="E4" s="25"/>
      <c r="F4" s="4" t="s">
        <v>78</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32164761</v>
      </c>
      <c r="D9" s="261">
        <v>0.1</v>
      </c>
      <c r="E9" s="25"/>
      <c r="F9" s="4" t="s">
        <v>181</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1386748288</v>
      </c>
      <c r="D18" s="261">
        <v>0.6</v>
      </c>
      <c r="F18" s="4" t="s">
        <v>182</v>
      </c>
      <c r="G18" s="19">
        <v>0</v>
      </c>
      <c r="H18" s="261">
        <v>0.1</v>
      </c>
    </row>
    <row r="19" spans="2:8" ht="15" customHeight="1">
      <c r="B19" s="4" t="s">
        <v>26</v>
      </c>
      <c r="C19" s="19">
        <f>35040471</f>
        <v>35040471</v>
      </c>
      <c r="D19" s="261">
        <v>0.1</v>
      </c>
      <c r="F19" s="4" t="s">
        <v>183</v>
      </c>
      <c r="G19" s="19">
        <v>28358189</v>
      </c>
      <c r="H19" s="261">
        <v>0.1</v>
      </c>
    </row>
    <row r="20" spans="2:8" ht="15" customHeight="1">
      <c r="B20" s="4" t="s">
        <v>18</v>
      </c>
      <c r="C20" s="19">
        <v>0</v>
      </c>
      <c r="D20" s="261">
        <v>0.05</v>
      </c>
      <c r="F20" s="4" t="s">
        <v>180</v>
      </c>
      <c r="G20" s="19">
        <v>0</v>
      </c>
      <c r="H20" s="261">
        <v>0.2</v>
      </c>
    </row>
    <row r="21" spans="2:8" ht="15" customHeight="1">
      <c r="B21" s="4" t="s">
        <v>19</v>
      </c>
      <c r="C21" s="19">
        <v>432849427</v>
      </c>
      <c r="D21" s="261">
        <v>0.05</v>
      </c>
      <c r="F21" s="1" t="s">
        <v>181</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-278870696.94999999</v>
      </c>
      <c r="D73" s="355">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326"/>
      <c r="D75" s="327">
        <f>MAX(-D73*D76,G5)</f>
        <v>547697029.48032546</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3723522339.5</v>
      </c>
      <c r="D4" s="57"/>
      <c r="E4" s="266"/>
      <c r="F4" s="57"/>
      <c r="G4" s="339">
        <f>Data!C36</f>
        <v>3912067946</v>
      </c>
      <c r="H4" s="339">
        <f>Data!D36</f>
        <v>3953761873</v>
      </c>
      <c r="I4" s="339">
        <f>Data!E36</f>
        <v>3442276658</v>
      </c>
      <c r="J4" s="339">
        <f>Data!F36</f>
        <v>3585982881</v>
      </c>
      <c r="K4" s="339">
        <f>Data!G36</f>
        <v>3097760404</v>
      </c>
      <c r="L4" s="339">
        <f>Data!H36</f>
        <v>3530148817</v>
      </c>
      <c r="M4" s="339">
        <f>Data!I36</f>
        <v>3170768175</v>
      </c>
      <c r="N4" s="339">
        <f>Data!J36</f>
        <v>2766461106</v>
      </c>
      <c r="O4" s="339">
        <f>Data!K36</f>
        <v>2349397869</v>
      </c>
      <c r="P4" s="339">
        <f>Data!L36</f>
        <v>2271278419</v>
      </c>
      <c r="Q4" s="339" t="str">
        <f>Data!M36</f>
        <v/>
      </c>
    </row>
    <row r="5" spans="1:17" ht="15.75" customHeight="1">
      <c r="A5" s="10"/>
      <c r="B5" s="2" t="s">
        <v>46</v>
      </c>
      <c r="C5" s="334">
        <f>C25</f>
        <v>-2057056829.7319524</v>
      </c>
      <c r="E5" s="268"/>
      <c r="G5" s="339">
        <f t="shared" ref="G5:Q5" si="1">G25</f>
        <v>-2111767362</v>
      </c>
      <c r="H5" s="339">
        <f t="shared" si="1"/>
        <v>-2131869033</v>
      </c>
      <c r="I5" s="339">
        <f t="shared" si="1"/>
        <v>-1932950839</v>
      </c>
      <c r="J5" s="339">
        <f t="shared" si="1"/>
        <v>-2041340072</v>
      </c>
      <c r="K5" s="339">
        <f t="shared" si="1"/>
        <v>-1860904651</v>
      </c>
      <c r="L5" s="339">
        <f t="shared" si="1"/>
        <v>-2065309689</v>
      </c>
      <c r="M5" s="339">
        <f t="shared" si="1"/>
        <v>-1910678926</v>
      </c>
      <c r="N5" s="339">
        <f t="shared" si="1"/>
        <v>-1695915235</v>
      </c>
      <c r="O5" s="339">
        <f t="shared" si="1"/>
        <v>-1271667832</v>
      </c>
      <c r="P5" s="339">
        <f t="shared" si="1"/>
        <v>-1278169752</v>
      </c>
      <c r="Q5" s="339" t="str">
        <f t="shared" si="1"/>
        <v/>
      </c>
    </row>
    <row r="6" spans="1:17" ht="15.75" customHeight="1">
      <c r="A6" s="10"/>
      <c r="B6" s="31" t="s">
        <v>48</v>
      </c>
      <c r="C6" s="335">
        <f>C4+C5</f>
        <v>1666465509.7680476</v>
      </c>
      <c r="E6" s="268"/>
      <c r="G6" s="335">
        <f>IF(G4="","",G4+G5)</f>
        <v>1800300584</v>
      </c>
      <c r="H6" s="335">
        <f t="shared" ref="H6:Q6" si="2">IF(H4="","",H4+H5)</f>
        <v>1821892840</v>
      </c>
      <c r="I6" s="335">
        <f t="shared" si="2"/>
        <v>1509325819</v>
      </c>
      <c r="J6" s="335">
        <f t="shared" si="2"/>
        <v>1544642809</v>
      </c>
      <c r="K6" s="335">
        <f t="shared" si="2"/>
        <v>1236855753</v>
      </c>
      <c r="L6" s="335">
        <f t="shared" si="2"/>
        <v>1464839128</v>
      </c>
      <c r="M6" s="335">
        <f t="shared" si="2"/>
        <v>1260089249</v>
      </c>
      <c r="N6" s="335">
        <f t="shared" si="2"/>
        <v>1070545871</v>
      </c>
      <c r="O6" s="335">
        <f t="shared" si="2"/>
        <v>1077730037</v>
      </c>
      <c r="P6" s="335">
        <f t="shared" si="2"/>
        <v>993108667</v>
      </c>
      <c r="Q6" s="335" t="str">
        <f t="shared" si="2"/>
        <v/>
      </c>
    </row>
    <row r="7" spans="1:17" ht="15.75" customHeight="1">
      <c r="A7" s="10"/>
      <c r="B7" s="8" t="s">
        <v>45</v>
      </c>
      <c r="C7" s="334">
        <f>C35</f>
        <v>-121114559.75</v>
      </c>
      <c r="E7" s="268"/>
      <c r="G7" s="334">
        <f t="shared" ref="G7:Q7" si="3">G35</f>
        <v>-126670214</v>
      </c>
      <c r="H7" s="334">
        <f t="shared" si="3"/>
        <v>-119898997</v>
      </c>
      <c r="I7" s="334">
        <f t="shared" si="3"/>
        <v>-121484320</v>
      </c>
      <c r="J7" s="334">
        <f t="shared" si="3"/>
        <v>-116404708</v>
      </c>
      <c r="K7" s="334">
        <f t="shared" si="3"/>
        <v>-91721701</v>
      </c>
      <c r="L7" s="334">
        <f t="shared" si="3"/>
        <v>-85459577</v>
      </c>
      <c r="M7" s="334">
        <f t="shared" si="3"/>
        <v>-86001361</v>
      </c>
      <c r="N7" s="334">
        <f t="shared" si="3"/>
        <v>-110857220</v>
      </c>
      <c r="O7" s="334">
        <f t="shared" si="3"/>
        <v>-82365347</v>
      </c>
      <c r="P7" s="334">
        <f t="shared" si="3"/>
        <v>-73747617</v>
      </c>
      <c r="Q7" s="334" t="str">
        <f t="shared" si="3"/>
        <v/>
      </c>
    </row>
    <row r="8" spans="1:17" ht="15.75" customHeight="1">
      <c r="A8" s="10"/>
      <c r="B8" s="29" t="s">
        <v>153</v>
      </c>
      <c r="C8" s="336">
        <f>C6+C7</f>
        <v>1545350950.0180476</v>
      </c>
      <c r="D8" s="59"/>
      <c r="E8" s="274"/>
      <c r="F8" s="59"/>
      <c r="G8" s="335">
        <f>IF(G$4="","",G6+G7)</f>
        <v>1673630370</v>
      </c>
      <c r="H8" s="335">
        <f t="shared" ref="H8:Q8" si="4">IF(H$4="","",H6+H7)</f>
        <v>1701993843</v>
      </c>
      <c r="I8" s="335">
        <f t="shared" si="4"/>
        <v>1387841499</v>
      </c>
      <c r="J8" s="335">
        <f t="shared" si="4"/>
        <v>1428238101</v>
      </c>
      <c r="K8" s="335">
        <f t="shared" si="4"/>
        <v>1145134052</v>
      </c>
      <c r="L8" s="335">
        <f t="shared" si="4"/>
        <v>1379379551</v>
      </c>
      <c r="M8" s="335">
        <f t="shared" si="4"/>
        <v>1174087888</v>
      </c>
      <c r="N8" s="335">
        <f t="shared" si="4"/>
        <v>959688651</v>
      </c>
      <c r="O8" s="335">
        <f t="shared" si="4"/>
        <v>995364690</v>
      </c>
      <c r="P8" s="335">
        <f t="shared" si="4"/>
        <v>919361050</v>
      </c>
      <c r="Q8" s="335" t="str">
        <f t="shared" si="4"/>
        <v/>
      </c>
    </row>
    <row r="9" spans="1:17" ht="15.75" customHeight="1">
      <c r="A9" s="10"/>
      <c r="B9" s="2" t="s">
        <v>65</v>
      </c>
      <c r="C9" s="334">
        <f>BS!$G$39*BS!D58</f>
        <v>462652711</v>
      </c>
      <c r="E9" s="268"/>
      <c r="G9" s="334">
        <f>IF(Data!C61="","",-Data!C61)</f>
        <v>462652711</v>
      </c>
      <c r="H9" s="334">
        <f>IF(Data!D61="","",-Data!D61)</f>
        <v>475220049</v>
      </c>
      <c r="I9" s="334">
        <f>IF(Data!E61="","",-Data!E61)</f>
        <v>495414928</v>
      </c>
      <c r="J9" s="334">
        <f>IF(Data!F61="","",-Data!F61)</f>
        <v>518843271</v>
      </c>
      <c r="K9" s="334">
        <f>IF(Data!G61="","",-Data!G61)</f>
        <v>514548362</v>
      </c>
      <c r="L9" s="334">
        <f>IF(Data!H61="","",-Data!H61)</f>
        <v>506465473</v>
      </c>
      <c r="M9" s="334">
        <f>IF(Data!I61="","",-Data!I61)</f>
        <v>461283106</v>
      </c>
      <c r="N9" s="334">
        <f>IF(Data!J61="","",-Data!J61)</f>
        <v>0</v>
      </c>
      <c r="O9" s="334">
        <f>IF(Data!K61="","",-Data!K61)</f>
        <v>0</v>
      </c>
      <c r="P9" s="334">
        <f>IF(Data!L61="","",-Data!L61)</f>
        <v>0</v>
      </c>
      <c r="Q9" s="334" t="str">
        <f>IF(Data!M61="","",-Data!M61)</f>
        <v/>
      </c>
    </row>
    <row r="10" spans="1:17" ht="15.75" customHeight="1">
      <c r="A10" s="10"/>
      <c r="B10" s="2" t="s">
        <v>81</v>
      </c>
      <c r="C10" s="334">
        <f>-C4*C78</f>
        <v>-490634169.24661446</v>
      </c>
      <c r="E10" s="268"/>
      <c r="G10" s="334">
        <f>Data!C62</f>
        <v>-462652711</v>
      </c>
      <c r="H10" s="334">
        <f>Data!D62</f>
        <v>-475220049</v>
      </c>
      <c r="I10" s="334">
        <f>Data!E62</f>
        <v>-495414928</v>
      </c>
      <c r="J10" s="334">
        <f>Data!F62</f>
        <v>-518843271</v>
      </c>
      <c r="K10" s="334">
        <f>Data!G62</f>
        <v>-514548362</v>
      </c>
      <c r="L10" s="334">
        <f>Data!H62</f>
        <v>-506465473</v>
      </c>
      <c r="M10" s="334">
        <f>Data!I62</f>
        <v>-461283106</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-53103191</v>
      </c>
      <c r="E12" s="268"/>
      <c r="G12" s="334">
        <f>G50</f>
        <v>-53103191</v>
      </c>
      <c r="H12" s="334">
        <f t="shared" ref="H12:Q12" si="6">H50</f>
        <v>-71173386</v>
      </c>
      <c r="I12" s="334">
        <f t="shared" si="6"/>
        <v>-95605656</v>
      </c>
      <c r="J12" s="334">
        <f t="shared" si="6"/>
        <v>-115890645</v>
      </c>
      <c r="K12" s="334">
        <f t="shared" si="6"/>
        <v>-105753716</v>
      </c>
      <c r="L12" s="334">
        <f t="shared" si="6"/>
        <v>-112756416</v>
      </c>
      <c r="M12" s="334">
        <f t="shared" si="6"/>
        <v>-145025415</v>
      </c>
      <c r="N12" s="334">
        <f t="shared" si="6"/>
        <v>0</v>
      </c>
      <c r="O12" s="334">
        <f t="shared" si="6"/>
        <v>0</v>
      </c>
      <c r="P12" s="334">
        <f t="shared" si="6"/>
        <v>0</v>
      </c>
      <c r="Q12" s="334" t="str">
        <f t="shared" si="6"/>
        <v/>
      </c>
    </row>
    <row r="13" spans="1:17" ht="15.75" customHeight="1">
      <c r="A13" s="10"/>
      <c r="B13" s="70" t="s">
        <v>165</v>
      </c>
      <c r="C13" s="335">
        <f>SUM(C8:C12)</f>
        <v>1464266300.7714331</v>
      </c>
      <c r="E13" s="268"/>
      <c r="G13" s="335">
        <f>IF(G$4="","",SUM(G8:G12))</f>
        <v>1620527179</v>
      </c>
      <c r="H13" s="335">
        <f t="shared" ref="H13:Q13" si="7">IF(H$4="","",SUM(H8:H12))</f>
        <v>1630820457</v>
      </c>
      <c r="I13" s="335">
        <f t="shared" si="7"/>
        <v>1292235843</v>
      </c>
      <c r="J13" s="335">
        <f t="shared" si="7"/>
        <v>1312347456</v>
      </c>
      <c r="K13" s="335">
        <f t="shared" si="7"/>
        <v>1039380336</v>
      </c>
      <c r="L13" s="335">
        <f t="shared" si="7"/>
        <v>1266623135</v>
      </c>
      <c r="M13" s="335">
        <f t="shared" si="7"/>
        <v>1029062473</v>
      </c>
      <c r="N13" s="335">
        <f t="shared" si="7"/>
        <v>959688651</v>
      </c>
      <c r="O13" s="335">
        <f t="shared" si="7"/>
        <v>995364690</v>
      </c>
      <c r="P13" s="335">
        <f t="shared" si="7"/>
        <v>919361050</v>
      </c>
      <c r="Q13" s="335" t="str">
        <f t="shared" si="7"/>
        <v/>
      </c>
    </row>
    <row r="14" spans="1:17" ht="15.75" customHeight="1">
      <c r="A14" s="10"/>
      <c r="B14" s="2" t="s">
        <v>63</v>
      </c>
      <c r="C14" s="334">
        <f>-SUM(C8+C11,C12)*C43</f>
        <v>-373061939.75451189</v>
      </c>
      <c r="E14" s="268"/>
      <c r="G14" s="334">
        <f>Data!C46</f>
        <v>-421611829</v>
      </c>
      <c r="H14" s="334">
        <f>Data!D46</f>
        <v>-420155428</v>
      </c>
      <c r="I14" s="334">
        <f>Data!E46</f>
        <v>-376893525</v>
      </c>
      <c r="J14" s="334">
        <f>Data!F46</f>
        <v>-341900302</v>
      </c>
      <c r="K14" s="334">
        <f>Data!G46</f>
        <v>-278949056</v>
      </c>
      <c r="L14" s="334">
        <f>Data!H46</f>
        <v>-328294411</v>
      </c>
      <c r="M14" s="334">
        <f>Data!I46</f>
        <v>-260328417</v>
      </c>
      <c r="N14" s="334">
        <f>Data!J46</f>
        <v>-213401798</v>
      </c>
      <c r="O14" s="334">
        <f>Data!K46</f>
        <v>-231671396</v>
      </c>
      <c r="P14" s="334">
        <f>Data!L46</f>
        <v>-210665216</v>
      </c>
      <c r="Q14" s="334" t="str">
        <f>Data!M46</f>
        <v/>
      </c>
    </row>
    <row r="15" spans="1:17" ht="15.75" customHeight="1">
      <c r="A15" s="10"/>
      <c r="B15" s="40" t="s">
        <v>244</v>
      </c>
      <c r="C15" s="334">
        <f>-C4*C83</f>
        <v>-1078102.8016474061</v>
      </c>
      <c r="D15" s="60"/>
      <c r="E15" s="275"/>
      <c r="F15" s="60"/>
      <c r="G15" s="339">
        <f>Data!C48</f>
        <v>-1132694</v>
      </c>
      <c r="H15" s="339">
        <f>Data!D48</f>
        <v>-902070</v>
      </c>
      <c r="I15" s="339">
        <f>Data!E48</f>
        <v>-981992</v>
      </c>
      <c r="J15" s="339">
        <f>Data!F48</f>
        <v>-811462</v>
      </c>
      <c r="K15" s="339">
        <f>Data!G48</f>
        <v>-704543</v>
      </c>
      <c r="L15" s="339">
        <f>Data!H48</f>
        <v>-655511</v>
      </c>
      <c r="M15" s="339">
        <f>Data!I48</f>
        <v>-823429</v>
      </c>
      <c r="N15" s="339">
        <f>Data!J48</f>
        <v>-795223</v>
      </c>
      <c r="O15" s="339">
        <f>Data!K48</f>
        <v>-574487</v>
      </c>
      <c r="P15" s="339">
        <f>Data!L48</f>
        <v>-664400</v>
      </c>
      <c r="Q15" s="339" t="str">
        <f>Data!M48</f>
        <v/>
      </c>
    </row>
    <row r="16" spans="1:17" ht="15.75" customHeight="1">
      <c r="A16" s="10"/>
      <c r="B16" s="41" t="s">
        <v>155</v>
      </c>
      <c r="C16" s="338">
        <f>SUM(C13:C15)</f>
        <v>1090126258.2152739</v>
      </c>
      <c r="D16" s="61"/>
      <c r="E16" s="276"/>
      <c r="F16" s="61"/>
      <c r="G16" s="335">
        <f>IF(G$4="","",SUM(G13:G15))</f>
        <v>1197782656</v>
      </c>
      <c r="H16" s="335">
        <f t="shared" ref="H16:Q16" si="8">IF(H$4="","",SUM(H13:H15))</f>
        <v>1209762959</v>
      </c>
      <c r="I16" s="335">
        <f t="shared" si="8"/>
        <v>914360326</v>
      </c>
      <c r="J16" s="335">
        <f t="shared" si="8"/>
        <v>969635692</v>
      </c>
      <c r="K16" s="335">
        <f t="shared" si="8"/>
        <v>759726737</v>
      </c>
      <c r="L16" s="335">
        <f t="shared" si="8"/>
        <v>937673213</v>
      </c>
      <c r="M16" s="335">
        <f t="shared" si="8"/>
        <v>767910627</v>
      </c>
      <c r="N16" s="335">
        <f t="shared" si="8"/>
        <v>745491630</v>
      </c>
      <c r="O16" s="335">
        <f t="shared" si="8"/>
        <v>763118807</v>
      </c>
      <c r="P16" s="335">
        <f t="shared" si="8"/>
        <v>708031434</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1090126258.2152739</v>
      </c>
      <c r="D19" s="27"/>
      <c r="E19" s="265"/>
      <c r="F19" s="27"/>
      <c r="G19" s="340">
        <f>IF(G$4="","",G16+G17)</f>
        <v>1197782656</v>
      </c>
      <c r="H19" s="340">
        <f t="shared" ref="H19:Q19" si="9">IF(H$4="","",H16+H17)</f>
        <v>1209762959</v>
      </c>
      <c r="I19" s="340">
        <f t="shared" si="9"/>
        <v>914360326</v>
      </c>
      <c r="J19" s="340">
        <f t="shared" si="9"/>
        <v>969635692</v>
      </c>
      <c r="K19" s="340">
        <f t="shared" si="9"/>
        <v>759726737</v>
      </c>
      <c r="L19" s="340">
        <f t="shared" si="9"/>
        <v>937673213</v>
      </c>
      <c r="M19" s="340">
        <f t="shared" si="9"/>
        <v>767910627</v>
      </c>
      <c r="N19" s="340">
        <f t="shared" si="9"/>
        <v>745491630</v>
      </c>
      <c r="O19" s="340">
        <f t="shared" si="9"/>
        <v>763118807</v>
      </c>
      <c r="P19" s="340">
        <f t="shared" si="9"/>
        <v>708031434</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-1970168054.1106753</v>
      </c>
      <c r="D23" s="58"/>
      <c r="E23" s="267"/>
      <c r="F23" s="58"/>
      <c r="G23" s="339">
        <f>Data!C37</f>
        <v>-2022497629</v>
      </c>
      <c r="H23" s="339">
        <f>Data!D37</f>
        <v>-2044370995</v>
      </c>
      <c r="I23" s="339">
        <f>Data!E37</f>
        <v>-1859278213</v>
      </c>
      <c r="J23" s="339">
        <f>Data!F37</f>
        <v>-1944558974</v>
      </c>
      <c r="K23" s="339">
        <f>Data!G37</f>
        <v>-1759673042</v>
      </c>
      <c r="L23" s="339">
        <f>Data!H37</f>
        <v>-1964870699</v>
      </c>
      <c r="M23" s="339">
        <f>Data!I37</f>
        <v>-1823717021</v>
      </c>
      <c r="N23" s="339">
        <f>Data!J37</f>
        <v>-1601141545</v>
      </c>
      <c r="O23" s="339">
        <f>Data!K37</f>
        <v>-1217181691</v>
      </c>
      <c r="P23" s="339">
        <f>Data!L37</f>
        <v>-1231847822</v>
      </c>
      <c r="Q23" s="339" t="str">
        <f>Data!M37</f>
        <v/>
      </c>
    </row>
    <row r="24" spans="1:17" ht="15.75" customHeight="1">
      <c r="A24" s="10"/>
      <c r="B24" s="68" t="s">
        <v>62</v>
      </c>
      <c r="C24" s="334">
        <f>-C4*C29</f>
        <v>-86888775.621277019</v>
      </c>
      <c r="D24" s="27"/>
      <c r="E24" s="265"/>
      <c r="F24" s="27"/>
      <c r="G24" s="339">
        <f>Data!C40</f>
        <v>-89269733</v>
      </c>
      <c r="H24" s="339">
        <f>Data!D40</f>
        <v>-87498038</v>
      </c>
      <c r="I24" s="339">
        <f>Data!E40</f>
        <v>-73672626</v>
      </c>
      <c r="J24" s="339">
        <f>Data!F40</f>
        <v>-96781098</v>
      </c>
      <c r="K24" s="339">
        <f>Data!G40</f>
        <v>-101231609</v>
      </c>
      <c r="L24" s="339">
        <f>Data!H40</f>
        <v>-100438990</v>
      </c>
      <c r="M24" s="339">
        <f>Data!I40</f>
        <v>-86961905</v>
      </c>
      <c r="N24" s="339">
        <f>Data!J40</f>
        <v>-94773690</v>
      </c>
      <c r="O24" s="339">
        <f>Data!K40</f>
        <v>-54486141</v>
      </c>
      <c r="P24" s="339">
        <f>Data!L40</f>
        <v>-46321930</v>
      </c>
      <c r="Q24" s="339" t="str">
        <f>Data!M40</f>
        <v/>
      </c>
    </row>
    <row r="25" spans="1:17" ht="15.75" customHeight="1">
      <c r="A25" s="10"/>
      <c r="B25" s="70" t="s">
        <v>46</v>
      </c>
      <c r="C25" s="335">
        <f>C23+C24</f>
        <v>-2057056829.7319524</v>
      </c>
      <c r="D25" s="9"/>
      <c r="E25" s="273"/>
      <c r="F25" s="9"/>
      <c r="G25" s="335">
        <f t="shared" ref="G25:Q25" si="10">IF(G$4="","",G23+G24)</f>
        <v>-2111767362</v>
      </c>
      <c r="H25" s="335">
        <f t="shared" si="10"/>
        <v>-2131869033</v>
      </c>
      <c r="I25" s="335">
        <f t="shared" si="10"/>
        <v>-1932950839</v>
      </c>
      <c r="J25" s="335">
        <f t="shared" si="10"/>
        <v>-2041340072</v>
      </c>
      <c r="K25" s="335">
        <f t="shared" si="10"/>
        <v>-1860904651</v>
      </c>
      <c r="L25" s="335">
        <f t="shared" si="10"/>
        <v>-2065309689</v>
      </c>
      <c r="M25" s="335">
        <f t="shared" si="10"/>
        <v>-1910678926</v>
      </c>
      <c r="N25" s="335">
        <f t="shared" si="10"/>
        <v>-1695915235</v>
      </c>
      <c r="O25" s="335">
        <f t="shared" si="10"/>
        <v>-1271667832</v>
      </c>
      <c r="P25" s="335">
        <f t="shared" si="10"/>
        <v>-1278169752</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0.52911406847507525</v>
      </c>
      <c r="D28" s="26"/>
      <c r="E28" s="266"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-121114559.75</v>
      </c>
      <c r="E33" s="266" t="s">
        <v>334</v>
      </c>
      <c r="G33" s="334">
        <f>Data!C41</f>
        <v>-126670214</v>
      </c>
      <c r="H33" s="334">
        <f>Data!D41</f>
        <v>-119898997</v>
      </c>
      <c r="I33" s="334">
        <f>Data!E41</f>
        <v>-121484320</v>
      </c>
      <c r="J33" s="334">
        <f>Data!F41</f>
        <v>-116404708</v>
      </c>
      <c r="K33" s="334">
        <f>Data!G41</f>
        <v>-91721701</v>
      </c>
      <c r="L33" s="334">
        <f>Data!H41</f>
        <v>-85459577</v>
      </c>
      <c r="M33" s="334">
        <f>Data!I41</f>
        <v>-86001361</v>
      </c>
      <c r="N33" s="334">
        <f>Data!J41</f>
        <v>-110857220</v>
      </c>
      <c r="O33" s="334">
        <f>Data!K41</f>
        <v>-82365347</v>
      </c>
      <c r="P33" s="334">
        <f>Data!L41</f>
        <v>-73747617</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-121114559.75</v>
      </c>
      <c r="D35" s="58"/>
      <c r="E35" s="267"/>
      <c r="F35" s="58"/>
      <c r="G35" s="335">
        <f t="shared" ref="G35:Q35" si="14">IF(G4="","",G33+G34)</f>
        <v>-126670214</v>
      </c>
      <c r="H35" s="335">
        <f t="shared" si="14"/>
        <v>-119898997</v>
      </c>
      <c r="I35" s="335">
        <f t="shared" si="14"/>
        <v>-121484320</v>
      </c>
      <c r="J35" s="335">
        <f t="shared" si="14"/>
        <v>-116404708</v>
      </c>
      <c r="K35" s="335">
        <f t="shared" si="14"/>
        <v>-91721701</v>
      </c>
      <c r="L35" s="335">
        <f t="shared" si="14"/>
        <v>-85459577</v>
      </c>
      <c r="M35" s="335">
        <f t="shared" si="14"/>
        <v>-86001361</v>
      </c>
      <c r="N35" s="335">
        <f t="shared" si="14"/>
        <v>-110857220</v>
      </c>
      <c r="O35" s="335">
        <f t="shared" si="14"/>
        <v>-82365347</v>
      </c>
      <c r="P35" s="335">
        <f t="shared" si="14"/>
        <v>-73747617</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-53103191</v>
      </c>
      <c r="E47" s="268"/>
      <c r="G47" s="334">
        <f>Data!C51</f>
        <v>-53103191</v>
      </c>
      <c r="H47" s="334">
        <f>Data!D51</f>
        <v>-71173386</v>
      </c>
      <c r="I47" s="334">
        <f>Data!E51</f>
        <v>-95605656</v>
      </c>
      <c r="J47" s="334">
        <f>Data!F51</f>
        <v>-115890645</v>
      </c>
      <c r="K47" s="334">
        <f>Data!G51</f>
        <v>-105753716</v>
      </c>
      <c r="L47" s="334">
        <f>Data!H51</f>
        <v>-112756416</v>
      </c>
      <c r="M47" s="334">
        <f>Data!I51</f>
        <v>-145025415</v>
      </c>
      <c r="N47" s="334">
        <f>Data!J51</f>
        <v>0</v>
      </c>
      <c r="O47" s="334">
        <f>Data!K51</f>
        <v>0</v>
      </c>
      <c r="P47" s="334">
        <f>Data!L51</f>
        <v>0</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44666271</v>
      </c>
      <c r="H49" s="348">
        <f>Data!D52</f>
        <v>31733562</v>
      </c>
      <c r="I49" s="348">
        <f>Data!E52</f>
        <v>52174747</v>
      </c>
      <c r="J49" s="348">
        <f>Data!F52</f>
        <v>33876650</v>
      </c>
      <c r="K49" s="348">
        <f>Data!G52</f>
        <v>19155473</v>
      </c>
      <c r="L49" s="348">
        <f>Data!H52</f>
        <v>4307482</v>
      </c>
      <c r="M49" s="348">
        <f>Data!I52</f>
        <v>4873611</v>
      </c>
      <c r="N49" s="348">
        <f>Data!J52</f>
        <v>0</v>
      </c>
      <c r="O49" s="348">
        <f>Data!K52</f>
        <v>0</v>
      </c>
      <c r="P49" s="348">
        <f>Data!L52</f>
        <v>0</v>
      </c>
      <c r="Q49" s="348" t="str">
        <f>Data!M52</f>
        <v/>
      </c>
    </row>
    <row r="50" spans="1:17" ht="15.75" customHeight="1">
      <c r="A50" s="10"/>
      <c r="B50" s="70" t="s">
        <v>68</v>
      </c>
      <c r="C50" s="335">
        <f>C47+C48</f>
        <v>-53103191</v>
      </c>
      <c r="E50" s="268"/>
      <c r="G50" s="335">
        <f>IF(G$4="","",(G47+G48))</f>
        <v>-53103191</v>
      </c>
      <c r="H50" s="335">
        <f t="shared" ref="H50:Q50" si="20">IF(H$4="","",(H47+H48))</f>
        <v>-71173386</v>
      </c>
      <c r="I50" s="335">
        <f t="shared" si="20"/>
        <v>-95605656</v>
      </c>
      <c r="J50" s="335">
        <f t="shared" si="20"/>
        <v>-115890645</v>
      </c>
      <c r="K50" s="335">
        <f t="shared" si="20"/>
        <v>-105753716</v>
      </c>
      <c r="L50" s="335">
        <f t="shared" si="20"/>
        <v>-112756416</v>
      </c>
      <c r="M50" s="335">
        <f t="shared" si="20"/>
        <v>-145025415</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5"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19940147</v>
      </c>
      <c r="H62" s="334">
        <f>Data!D58</f>
        <v>17704806</v>
      </c>
      <c r="I62" s="334">
        <f>Data!E58</f>
        <v>149335738</v>
      </c>
      <c r="J62" s="334">
        <f>Data!F58</f>
        <v>20281375</v>
      </c>
      <c r="K62" s="334">
        <f>Data!G58</f>
        <v>46544093</v>
      </c>
      <c r="L62" s="334">
        <f>Data!H58</f>
        <v>30446380</v>
      </c>
      <c r="M62" s="334">
        <f>Data!I58</f>
        <v>1867081</v>
      </c>
      <c r="N62" s="334">
        <f>Data!J58</f>
        <v>-110684915</v>
      </c>
      <c r="O62" s="334">
        <f>Data!K58</f>
        <v>-76778417</v>
      </c>
      <c r="P62" s="334">
        <f>Data!L58</f>
        <v>-80432712</v>
      </c>
      <c r="Q62" s="334" t="str">
        <f>Data!M58</f>
        <v/>
      </c>
    </row>
    <row r="63" spans="1:17" ht="15.75" customHeight="1">
      <c r="A63" s="10"/>
      <c r="B63" s="31" t="s">
        <v>196</v>
      </c>
      <c r="C63" s="335">
        <f>C61+C62</f>
        <v>0</v>
      </c>
      <c r="E63" s="268"/>
      <c r="G63" s="335">
        <f t="shared" ref="G63:Q63" si="23">IF(G4="","",G61+G62)</f>
        <v>19940147</v>
      </c>
      <c r="H63" s="335">
        <f t="shared" si="23"/>
        <v>17704806</v>
      </c>
      <c r="I63" s="335">
        <f t="shared" si="23"/>
        <v>149335738</v>
      </c>
      <c r="J63" s="335">
        <f t="shared" si="23"/>
        <v>20281375</v>
      </c>
      <c r="K63" s="335">
        <f t="shared" si="23"/>
        <v>46544093</v>
      </c>
      <c r="L63" s="335">
        <f t="shared" si="23"/>
        <v>30446380</v>
      </c>
      <c r="M63" s="335">
        <f t="shared" si="23"/>
        <v>1867081</v>
      </c>
      <c r="N63" s="335">
        <f t="shared" si="23"/>
        <v>-110684915</v>
      </c>
      <c r="O63" s="335">
        <f t="shared" si="23"/>
        <v>-76778417</v>
      </c>
      <c r="P63" s="335">
        <f t="shared" si="23"/>
        <v>-80432712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5.0761421319796954E-2</v>
      </c>
      <c r="E93" s="268"/>
      <c r="G93" s="23">
        <f t="shared" ref="G93:Q93" si="39">IF(G$4="","",G90/Market_Price)</f>
        <v>5.0761421319796954E-2</v>
      </c>
      <c r="H93" s="23">
        <f t="shared" si="39"/>
        <v>5.9990770650669129E-2</v>
      </c>
      <c r="I93" s="23">
        <f t="shared" si="39"/>
        <v>3.2302722658052604E-2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12324321966</v>
      </c>
      <c r="D101" s="26"/>
      <c r="E101" s="269"/>
      <c r="F101" s="26"/>
      <c r="G101" s="339">
        <f t="shared" ref="G101:Q101" si="42">IF(G$4="","",G105+G104)</f>
        <v>12324321966</v>
      </c>
      <c r="H101" s="339">
        <f t="shared" si="42"/>
        <v>12881135035</v>
      </c>
      <c r="I101" s="339">
        <f t="shared" si="42"/>
        <v>12827290298</v>
      </c>
      <c r="J101" s="339">
        <f t="shared" si="42"/>
        <v>12725924787</v>
      </c>
      <c r="K101" s="339">
        <f t="shared" si="42"/>
        <v>12090123296</v>
      </c>
      <c r="L101" s="339">
        <f t="shared" si="42"/>
        <v>11802423892</v>
      </c>
      <c r="M101" s="339">
        <f t="shared" si="42"/>
        <v>11092727799</v>
      </c>
      <c r="N101" s="339">
        <f t="shared" si="42"/>
        <v>11666019297</v>
      </c>
      <c r="O101" s="339">
        <f t="shared" si="42"/>
        <v>11208470938</v>
      </c>
      <c r="P101" s="339">
        <f t="shared" si="42"/>
        <v>10219156999</v>
      </c>
      <c r="Q101" s="339" t="str">
        <f t="shared" si="42"/>
        <v/>
      </c>
    </row>
    <row r="102" spans="1:17" ht="15.75" customHeight="1">
      <c r="A102" s="10"/>
      <c r="B102" s="93" t="s">
        <v>211</v>
      </c>
      <c r="C102" s="351">
        <f>BS!C4</f>
        <v>228574200</v>
      </c>
      <c r="D102" s="89"/>
      <c r="E102" s="270"/>
      <c r="F102" s="89"/>
      <c r="G102" s="352">
        <f>IF(G$4="","",Data!D77)</f>
        <v>258206405</v>
      </c>
      <c r="H102" s="352">
        <f>IF(H$4="","",Data!E77)</f>
        <v>377357021</v>
      </c>
      <c r="I102" s="352">
        <f>IF(I$4="","",Data!F77)</f>
        <v>368491616</v>
      </c>
      <c r="J102" s="352">
        <f>IF(J$4="","",Data!G77)</f>
        <v>440548083</v>
      </c>
      <c r="K102" s="352">
        <f>IF(K$4="","",Data!H77)</f>
        <v>421649740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30681363</v>
      </c>
      <c r="D103" s="89"/>
      <c r="E103" s="270"/>
      <c r="F103" s="89"/>
      <c r="G103" s="352">
        <f>IF(G$4="","",Data!D78)</f>
        <v>32289866</v>
      </c>
      <c r="H103" s="352">
        <f>IF(H$4="","",Data!E78)</f>
        <v>32129347</v>
      </c>
      <c r="I103" s="352">
        <f>IF(I$4="","",Data!F78)</f>
        <v>32745245</v>
      </c>
      <c r="J103" s="352">
        <f>IF(J$4="","",Data!G78)</f>
        <v>33982961</v>
      </c>
      <c r="K103" s="352">
        <f>IF(K$4="","",Data!H78)</f>
        <v>32833169</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2666283503</v>
      </c>
      <c r="D104" s="26"/>
      <c r="E104" s="269"/>
      <c r="F104" s="26"/>
      <c r="G104" s="339">
        <f>Data!C79</f>
        <v>2666283503</v>
      </c>
      <c r="H104" s="339">
        <f>Data!D79</f>
        <v>3177151047</v>
      </c>
      <c r="I104" s="339">
        <f>Data!E79</f>
        <v>3678311933</v>
      </c>
      <c r="J104" s="339">
        <f>Data!F79</f>
        <v>4088929705</v>
      </c>
      <c r="K104" s="339">
        <f>Data!G79</f>
        <v>4074330379</v>
      </c>
      <c r="L104" s="339">
        <f>Data!H79</f>
        <v>4229364458</v>
      </c>
      <c r="M104" s="339">
        <f>Data!I79</f>
        <v>4170411465</v>
      </c>
      <c r="N104" s="339">
        <f>Data!J79</f>
        <v>5196347300</v>
      </c>
      <c r="O104" s="339">
        <f>Data!K79</f>
        <v>5071716119</v>
      </c>
      <c r="P104" s="339">
        <f>Data!L79</f>
        <v>4567360550</v>
      </c>
      <c r="Q104" s="339" t="str">
        <f>Data!M79</f>
        <v/>
      </c>
    </row>
    <row r="105" spans="1:17" ht="15.75" customHeight="1">
      <c r="A105" s="10"/>
      <c r="B105" s="26" t="s">
        <v>30</v>
      </c>
      <c r="C105" s="350">
        <f>BS!G27</f>
        <v>9658038463</v>
      </c>
      <c r="D105" s="26"/>
      <c r="E105" s="269"/>
      <c r="F105" s="26"/>
      <c r="G105" s="339">
        <f>Data!C80</f>
        <v>9658038463</v>
      </c>
      <c r="H105" s="339">
        <f>Data!D80</f>
        <v>9703983988</v>
      </c>
      <c r="I105" s="339">
        <f>Data!E80</f>
        <v>9148978365</v>
      </c>
      <c r="J105" s="339">
        <f>Data!F80</f>
        <v>8636995082</v>
      </c>
      <c r="K105" s="339">
        <f>Data!G80</f>
        <v>8015792917</v>
      </c>
      <c r="L105" s="339">
        <f>Data!H80</f>
        <v>7573059434</v>
      </c>
      <c r="M105" s="339">
        <f>Data!I80</f>
        <v>6922316334</v>
      </c>
      <c r="N105" s="339">
        <f>Data!J80</f>
        <v>6469671997</v>
      </c>
      <c r="O105" s="339">
        <f>Data!K80</f>
        <v>6136754819</v>
      </c>
      <c r="P105" s="339">
        <f>Data!L80</f>
        <v>5651796449</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393</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4.9942075397017276E-2</v>
      </c>
      <c r="D125" s="27"/>
      <c r="E125" s="265"/>
      <c r="F125" s="27"/>
      <c r="G125" s="77">
        <f t="shared" ref="G125" si="50">IF(G$4="","",G124/Market_Price)</f>
        <v>5.4874149910971726E-2</v>
      </c>
      <c r="H125" s="77">
        <f t="shared" ref="H125" si="51">IF(H$4="","",H124/Market_Price)</f>
        <v>5.542300486350233E-2</v>
      </c>
      <c r="I125" s="77">
        <f t="shared" ref="I125" si="52">IF(I$4="","",I124/Market_Price)</f>
        <v>4.188969121420387E-2</v>
      </c>
      <c r="J125" s="77">
        <f t="shared" ref="J125" si="53">IF(J$4="","",J124/Market_Price)</f>
        <v>4.4422027698685265E-2</v>
      </c>
      <c r="K125" s="77">
        <f t="shared" ref="K125" si="54">IF(K$4="","",K124/Market_Price)</f>
        <v>3.4805445419232542E-2</v>
      </c>
      <c r="L125" s="77">
        <f t="shared" ref="L125" si="55">IF(L$4="","",L124/Market_Price)</f>
        <v>4.2957727096746771E-2</v>
      </c>
      <c r="M125" s="77">
        <f t="shared" ref="M125" si="56">IF(M$4="","",M124/Market_Price)</f>
        <v>3.5180374881155642E-2</v>
      </c>
      <c r="N125" s="77">
        <f t="shared" ref="N125" si="57">IF(N$4="","",N124/Market_Price)</f>
        <v>3.4153290880507343E-2</v>
      </c>
      <c r="O125" s="77">
        <f t="shared" ref="O125" si="58">IF(O$4="","",O124/Market_Price)</f>
        <v>3.4960846699052466E-2</v>
      </c>
      <c r="P125" s="77">
        <f t="shared" ref="P125" si="59">IF(P$4="","",P124/Market_Price)</f>
        <v>3.2437122758768915E-2</v>
      </c>
      <c r="Q125" s="77" t="str">
        <f t="shared" ref="Q125" si="60">IF(Q$4="","",Q124/Market_Price)</f>
        <v/>
      </c>
    </row>
    <row r="126" spans="1:17" ht="15.75" customHeight="1">
      <c r="B126" s="2" t="s">
        <v>395</v>
      </c>
      <c r="C126" s="169"/>
      <c r="G126" s="23">
        <f>IF(G$4="","",(Data!C47*$C$3)/(Market_Price*Common_Shares))</f>
        <v>5.7885863153630458E-2</v>
      </c>
      <c r="H126" s="23">
        <f>IF(H$4="","",(Data!D47*$C$3)/(Market_Price*Common_Shares))</f>
        <v>5.77292569431751E-2</v>
      </c>
      <c r="I126" s="23">
        <f>IF(I$4="","",(Data!E47*$C$3)/(Market_Price*Common_Shares))</f>
        <v>5.1166501562960487E-2</v>
      </c>
      <c r="J126" s="23">
        <f>IF(J$4="","",(Data!F47*$C$3)/(Market_Price*Common_Shares))</f>
        <v>4.6940350914551905E-2</v>
      </c>
      <c r="K126" s="23">
        <f>IF(K$4="","",(Data!G47*$C$3)/(Market_Price*Common_Shares))</f>
        <v>3.7847624243343439E-2</v>
      </c>
      <c r="L126" s="23">
        <f>IF(L$4="","",(Data!H47*$C$3)/(Market_Price*Common_Shares))</f>
        <v>4.4579940636508955E-2</v>
      </c>
      <c r="M126" s="23">
        <f>IF(M$4="","",(Data!I47*$C$3)/(Market_Price*Common_Shares))</f>
        <v>3.5526910797016094E-2</v>
      </c>
      <c r="N126" s="23">
        <f>IF(N$4="","",(Data!J47*$C$3)/(Market_Price*Common_Shares))</f>
        <v>2.9118902210516023E-2</v>
      </c>
      <c r="O126" s="23">
        <f>IF(O$4="","",(Data!K47*$C$3)/(Market_Price*Common_Shares))</f>
        <v>3.1469707586561264E-2</v>
      </c>
      <c r="P126" s="23">
        <f>IF(P$4="","",(Data!L47*$C$3)/(Market_Price*Common_Shares))</f>
        <v>2.8782688217655335E-2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18168770970.254566</v>
      </c>
      <c r="D6" t="str">
        <f>Reporting_currency</f>
        <v>CNY</v>
      </c>
      <c r="E6" s="365" t="s">
        <v>250</v>
      </c>
      <c r="F6" s="365"/>
      <c r="H6" s="120"/>
    </row>
    <row r="7" spans="2:8">
      <c r="B7" s="148" t="s">
        <v>225</v>
      </c>
      <c r="C7" s="344">
        <f>BS!G31</f>
        <v>1232137409</v>
      </c>
      <c r="D7" t="str">
        <f>Reporting_currency</f>
        <v>CNY</v>
      </c>
      <c r="E7" s="365"/>
      <c r="F7" s="365"/>
      <c r="H7" s="120"/>
    </row>
    <row r="8" spans="2:8">
      <c r="B8" s="148" t="s">
        <v>226</v>
      </c>
      <c r="C8" s="344">
        <f>BS!D66</f>
        <v>3438409570.5196743</v>
      </c>
      <c r="D8" t="str">
        <f>Reporting_currency</f>
        <v>CNY</v>
      </c>
      <c r="E8" s="365"/>
      <c r="F8" s="365"/>
      <c r="H8" s="120"/>
    </row>
    <row r="9" spans="2:8">
      <c r="B9" s="205" t="s">
        <v>191</v>
      </c>
      <c r="C9" s="354">
        <f>BS!H42</f>
        <v>601196472.20000005</v>
      </c>
      <c r="D9" t="str">
        <f>Reporting_currency</f>
        <v>CNY</v>
      </c>
      <c r="E9" s="365"/>
      <c r="F9" s="365"/>
      <c r="H9" s="120"/>
    </row>
    <row r="10" spans="2:8" ht="13.15">
      <c r="B10" s="149" t="s">
        <v>228</v>
      </c>
      <c r="C10" s="353">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17" ht="13.25" customHeight="1">
      <c r="B17" s="118" t="s">
        <v>135</v>
      </c>
      <c r="C17" s="162">
        <f>Scenarios!C64</f>
        <v>10</v>
      </c>
      <c r="H17" s="120"/>
    </row>
    <row r="18" spans="2:17" ht="13.25" customHeight="1">
      <c r="B18" s="153" t="s">
        <v>107</v>
      </c>
      <c r="C18" s="140">
        <f>(F52-C7+C8+C9)*Exchange_Rate/Common_Shares*scaling_factor</f>
        <v>23.169996134207583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44"/>
      <c r="H23" s="345"/>
      <c r="I23" s="344"/>
      <c r="J23" s="344"/>
      <c r="K23" s="344"/>
      <c r="L23" s="344"/>
      <c r="M23" s="344"/>
      <c r="N23" s="344"/>
      <c r="O23" s="344"/>
      <c r="P23" s="344"/>
      <c r="Q23" s="344"/>
    </row>
    <row r="24" spans="2:17">
      <c r="B24" s="122">
        <v>4</v>
      </c>
      <c r="C24" s="123">
        <f t="shared" si="2"/>
        <v>1287269276.982852</v>
      </c>
      <c r="D24" s="138">
        <f>IF($C$17&lt;B24,0,DCF!$C$16)</f>
        <v>4.2432999018617502E-2</v>
      </c>
      <c r="E24" s="124">
        <f t="shared" si="0"/>
        <v>0.79209366323802044</v>
      </c>
      <c r="F24" s="125">
        <f t="shared" si="1"/>
        <v>1019637837.1791052</v>
      </c>
      <c r="G24" s="344"/>
      <c r="H24" s="345"/>
      <c r="I24" s="344"/>
      <c r="J24" s="344"/>
      <c r="K24" s="344"/>
      <c r="L24" s="344"/>
      <c r="M24" s="344"/>
      <c r="N24" s="344"/>
      <c r="O24" s="344"/>
      <c r="P24" s="344"/>
      <c r="Q24" s="344"/>
    </row>
    <row r="25" spans="2:17">
      <c r="B25" s="122">
        <v>5</v>
      </c>
      <c r="C25" s="123">
        <f t="shared" si="2"/>
        <v>1341891972.9497619</v>
      </c>
      <c r="D25" s="138">
        <f>IF($C$17&lt;B25,0,DCF!$C$16)</f>
        <v>4.2432999018617502E-2</v>
      </c>
      <c r="E25" s="124">
        <f t="shared" si="0"/>
        <v>0.74725817286605689</v>
      </c>
      <c r="F25" s="125">
        <f t="shared" si="1"/>
        <v>1002739743.8900673</v>
      </c>
      <c r="G25" s="344"/>
      <c r="H25" s="345"/>
      <c r="I25" s="344"/>
      <c r="J25" s="344"/>
      <c r="K25" s="344"/>
      <c r="L25" s="344"/>
      <c r="M25" s="344"/>
      <c r="N25" s="344"/>
      <c r="O25" s="344"/>
      <c r="P25" s="344"/>
      <c r="Q25" s="344"/>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18939726411.004864</v>
      </c>
      <c r="D51" s="139">
        <f>Terminal_Growth</f>
        <v>0</v>
      </c>
      <c r="E51" s="124">
        <f>1/(1+Equity_Cost)^C17</f>
        <v>0.55839477691511785</v>
      </c>
      <c r="F51" s="125">
        <f t="shared" si="1"/>
        <v>10575844304.106426</v>
      </c>
      <c r="H51" s="120"/>
    </row>
    <row r="52" spans="1:17">
      <c r="C52" s="114"/>
      <c r="E52" s="127" t="s">
        <v>101</v>
      </c>
      <c r="F52" s="137">
        <f>SUM(F21:F51)</f>
        <v>20531263785.115143</v>
      </c>
      <c r="H52" s="120"/>
    </row>
    <row r="53" spans="1:17">
      <c r="C53" s="114"/>
      <c r="H53" s="120"/>
    </row>
    <row r="54" spans="1:17" ht="13.15">
      <c r="B54" s="119" t="s">
        <v>130</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7">
        <v>19010101200.11388</v>
      </c>
      <c r="D58" s="123">
        <v>20905117839.794746</v>
      </c>
      <c r="E58" s="123">
        <v>23130744582.736561</v>
      </c>
      <c r="F58" s="123">
        <v>24387958794.966114</v>
      </c>
      <c r="G58" s="344"/>
      <c r="H58" s="345"/>
      <c r="I58" s="344"/>
      <c r="J58" s="344"/>
      <c r="K58" s="344"/>
      <c r="L58" s="344"/>
      <c r="M58" s="344"/>
      <c r="N58" s="344"/>
      <c r="O58" s="344"/>
      <c r="P58" s="344"/>
      <c r="Q58" s="344"/>
    </row>
    <row r="59" spans="1:17" ht="13.15">
      <c r="A59" s="144">
        <v>20</v>
      </c>
      <c r="B59" s="123">
        <v>18168770970.254551</v>
      </c>
      <c r="C59" s="347">
        <v>19364349053.217316</v>
      </c>
      <c r="D59" s="123">
        <v>22185188314.298473</v>
      </c>
      <c r="E59" s="123">
        <v>25714936261.325912</v>
      </c>
      <c r="F59" s="123">
        <v>27807540354.755692</v>
      </c>
      <c r="G59" s="344"/>
      <c r="H59" s="345"/>
      <c r="I59" s="344"/>
      <c r="J59" s="344"/>
      <c r="K59" s="344"/>
      <c r="L59" s="344"/>
      <c r="M59" s="344"/>
      <c r="N59" s="344"/>
      <c r="O59" s="344"/>
      <c r="P59" s="344"/>
      <c r="Q59" s="344"/>
    </row>
    <row r="60" spans="1:17" ht="13.15">
      <c r="A60" s="144">
        <v>25</v>
      </c>
      <c r="B60" s="123">
        <v>18168770970.254551</v>
      </c>
      <c r="C60" s="347">
        <v>19716333824.36945</v>
      </c>
      <c r="D60" s="123">
        <v>23528975663.756058</v>
      </c>
      <c r="E60" s="123">
        <v>28594872247.096466</v>
      </c>
      <c r="F60" s="123">
        <v>31740453134.6306</v>
      </c>
      <c r="G60" s="344"/>
      <c r="H60" s="345"/>
      <c r="I60" s="344"/>
      <c r="J60" s="344"/>
      <c r="K60" s="344"/>
      <c r="L60" s="344"/>
      <c r="M60" s="344"/>
      <c r="N60" s="344"/>
      <c r="O60" s="344"/>
      <c r="P60" s="344"/>
      <c r="Q60" s="344"/>
    </row>
    <row r="61" spans="1:17" ht="13.15">
      <c r="A61" s="144">
        <v>30</v>
      </c>
      <c r="B61" s="123">
        <v>18168770970.254547</v>
      </c>
      <c r="C61" s="347">
        <v>20047897203.448524</v>
      </c>
      <c r="D61" s="123">
        <v>24868592519.505997</v>
      </c>
      <c r="E61" s="123">
        <v>31651883772.804543</v>
      </c>
      <c r="F61" s="123">
        <v>36056956864.10157</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18466846456.666668</v>
      </c>
      <c r="D6" t="str">
        <f>Reporting_currency</f>
        <v>CNY</v>
      </c>
      <c r="E6" s="365"/>
      <c r="F6" s="365"/>
      <c r="H6" s="120"/>
    </row>
    <row r="7" spans="2:8" ht="13.15">
      <c r="B7" s="149" t="s">
        <v>445</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-21.67</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344">
        <f>Normalized_FCF!G8</f>
        <v>1673630370</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7"/>
      <c r="H7" s="247">
        <v>4</v>
      </c>
      <c r="I7" s="124" t="str">
        <f t="shared" si="0"/>
        <v/>
      </c>
    </row>
    <row r="8" spans="2:9">
      <c r="B8" s="100" t="s">
        <v>66</v>
      </c>
      <c r="C8" s="344">
        <f>Normalized_FCF!G19</f>
        <v>1197782656</v>
      </c>
      <c r="D8" t="str">
        <f>Reporting_currency</f>
        <v>CNY</v>
      </c>
      <c r="E8" s="367"/>
      <c r="F8" s="367"/>
      <c r="H8" s="247">
        <v>5</v>
      </c>
      <c r="I8" s="124" t="str">
        <f t="shared" si="0"/>
        <v/>
      </c>
    </row>
    <row r="9" spans="2:9">
      <c r="B9" s="100" t="s">
        <v>57</v>
      </c>
      <c r="C9" s="344">
        <f>Normalized_FCF!C19</f>
        <v>1090126258.2152739</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2.9436096404119594E-2</v>
      </c>
      <c r="D12" s="158"/>
      <c r="E12" s="367"/>
      <c r="F12" s="367"/>
      <c r="H12" s="247">
        <v>9</v>
      </c>
      <c r="I12" s="124" t="str">
        <f t="shared" si="0"/>
        <v/>
      </c>
    </row>
    <row r="13" spans="2:9">
      <c r="B13" s="148" t="s">
        <v>153</v>
      </c>
      <c r="C13" s="158">
        <f ca="1">(Normalized_FCF!G8/OFFSET(Normalized_FCF!G8, 0, $C$4))^(1/$C$4) - 1</f>
        <v>5.4272741432500604E-2</v>
      </c>
      <c r="E13" s="367"/>
      <c r="F13" s="367"/>
      <c r="H13" s="247">
        <v>10</v>
      </c>
      <c r="I13" s="124" t="str">
        <f t="shared" si="0"/>
        <v/>
      </c>
    </row>
    <row r="14" spans="2:9">
      <c r="B14" s="100" t="s">
        <v>66</v>
      </c>
      <c r="C14" s="158">
        <f ca="1">(Normalized_FCF!G19/OFFSET(Normalized_FCF!G19, 0, $C$4))^(1/$C$4) - 1</f>
        <v>7.2975508413014145E-2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21.67</v>
      </c>
      <c r="D21" t="str">
        <f>Market_currency</f>
        <v>CNY</v>
      </c>
      <c r="E21" s="368"/>
      <c r="F21" s="368"/>
    </row>
    <row r="22" spans="2:6">
      <c r="B22" s="100" t="s">
        <v>279</v>
      </c>
      <c r="C22" s="160">
        <f>IF(valuation_method="DCF",DCF!C12,DDM!C7)</f>
        <v>20.824583863949179</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0.03</v>
      </c>
      <c r="D26" s="164"/>
      <c r="E26" s="366"/>
      <c r="F26" s="366"/>
    </row>
    <row r="27" spans="2:6">
      <c r="B27" s="100" t="s">
        <v>114</v>
      </c>
      <c r="C27" s="160">
        <f>IF(valuation_method="DCF",DCF!E76,DDM!E71)</f>
        <v>22.4343993962814</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21.336822429833674</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0.05</v>
      </c>
      <c r="D38" s="164"/>
      <c r="E38" s="366"/>
      <c r="F38" s="366"/>
    </row>
    <row r="39" spans="2:6">
      <c r="B39" s="100" t="s">
        <v>114</v>
      </c>
      <c r="C39" s="160">
        <f>IF(valuation_method="DCF",DCF!E75,DDM!E70)</f>
        <v>23.639270375879974</v>
      </c>
      <c r="D39" t="str">
        <f>Market_currency</f>
        <v>CNY</v>
      </c>
      <c r="E39" s="366"/>
      <c r="F39" s="366"/>
    </row>
    <row r="40" spans="2:6">
      <c r="B40" s="100" t="s">
        <v>148</v>
      </c>
      <c r="C40" s="167">
        <f>1-C28-C34</f>
        <v>0.2</v>
      </c>
      <c r="D40" s="165"/>
      <c r="E40" s="366"/>
      <c r="F40" s="366"/>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20.824583863949162</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0.06</v>
      </c>
      <c r="D56" s="164"/>
      <c r="E56" s="366"/>
      <c r="F56" s="366"/>
    </row>
    <row r="57" spans="2:6">
      <c r="B57" s="100" t="s">
        <v>114</v>
      </c>
      <c r="C57" s="160">
        <f>IF(valuation_method="DCF",DCF!E74,DDM!E69)</f>
        <v>26.998807693696978</v>
      </c>
      <c r="D57" t="str">
        <f>Market_currency</f>
        <v>CNY</v>
      </c>
      <c r="E57" s="366"/>
      <c r="F57" s="366"/>
    </row>
    <row r="58" spans="2:6">
      <c r="B58" s="100" t="s">
        <v>148</v>
      </c>
      <c r="C58" s="165">
        <v>0.05</v>
      </c>
      <c r="D58" s="165"/>
      <c r="E58" s="366"/>
      <c r="F58" s="366"/>
    </row>
    <row r="60" spans="2:6" ht="13.15">
      <c r="B60" s="100" t="s">
        <v>121</v>
      </c>
      <c r="C60" s="154">
        <f>C51*C52+C57*C58+C42*(1-C52-C58)</f>
        <v>22.601441956902718</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0.33700000000000002</v>
      </c>
    </row>
    <row r="81" spans="2:8">
      <c r="B81" s="100" t="s">
        <v>122</v>
      </c>
      <c r="C81" s="116">
        <f>PV(C80, C76, -C77, 0)</f>
        <v>1.8983532786438631</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1">
        <f>(1-C83/C60)</f>
        <v>0.4975938398768166</v>
      </c>
    </row>
    <row r="84" spans="2:8">
      <c r="E84" s="120"/>
    </row>
    <row r="85" spans="2:8" ht="13.15">
      <c r="B85" s="109" t="s">
        <v>303</v>
      </c>
    </row>
    <row r="86" spans="2:8">
      <c r="B86" s="148" t="s">
        <v>301</v>
      </c>
      <c r="C86" s="116">
        <f>Market_Price</f>
        <v>21.67</v>
      </c>
      <c r="D86" t="str">
        <f>Market_currency</f>
        <v>CNY</v>
      </c>
    </row>
    <row r="87" spans="2:8" ht="13.15">
      <c r="B87" s="100" t="s">
        <v>299</v>
      </c>
      <c r="C87" s="237">
        <f ca="1">IRR(OFFSET($I$3, 0, 0, $C$76 + 1, 1))</f>
        <v>6.4207293080563721E-2</v>
      </c>
    </row>
    <row r="88" spans="2:8">
      <c r="B88" s="100"/>
    </row>
    <row r="89" spans="2:8" ht="13.15">
      <c r="B89" s="109" t="s">
        <v>413</v>
      </c>
    </row>
    <row r="90" spans="2:8">
      <c r="B90" s="148" t="s">
        <v>414</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1">
        <f>(1-C93/C60)</f>
        <v>0.29742800023424332</v>
      </c>
    </row>
    <row r="95" spans="2:8" ht="13.15">
      <c r="B95" s="109" t="s">
        <v>398</v>
      </c>
      <c r="G95" s="2"/>
      <c r="H95" s="281"/>
    </row>
    <row r="96" spans="2:8">
      <c r="B96" s="148" t="s">
        <v>404</v>
      </c>
      <c r="C96" s="134">
        <f>Thesis!F31</f>
        <v>0.06</v>
      </c>
      <c r="G96" s="2"/>
      <c r="H96" s="281"/>
    </row>
    <row r="97" spans="2:8">
      <c r="B97" s="100" t="s">
        <v>122</v>
      </c>
      <c r="C97" s="116">
        <f>PV(C96, C76, -C77, 0)</f>
        <v>2.9403131444078037</v>
      </c>
      <c r="D97" s="116"/>
      <c r="G97" s="2"/>
      <c r="H97" s="281"/>
    </row>
    <row r="98" spans="2:8">
      <c r="B98" s="100" t="s">
        <v>123</v>
      </c>
      <c r="C98" s="116">
        <f>C60/(1+C96)^C76</f>
        <v>18.976606491350839</v>
      </c>
      <c r="D98" s="116"/>
      <c r="G98" s="2"/>
      <c r="H98" s="281"/>
    </row>
    <row r="99" spans="2:8" ht="13.15">
      <c r="B99" s="110" t="s">
        <v>399</v>
      </c>
      <c r="C99" s="111">
        <f>C97+C98</f>
        <v>21.916919635758642</v>
      </c>
      <c r="D99" t="s">
        <v>397</v>
      </c>
      <c r="E99" s="146" t="s">
        <v>127</v>
      </c>
      <c r="F99" s="291">
        <f>(1-C99/C60)</f>
        <v>3.0286665888368924E-2</v>
      </c>
    </row>
    <row r="100" spans="2:8">
      <c r="B100" s="100"/>
    </row>
    <row r="101" spans="2:8" ht="13.15">
      <c r="B101" s="109" t="s">
        <v>423</v>
      </c>
    </row>
    <row r="102" spans="2:8">
      <c r="B102" s="148" t="s">
        <v>422</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1">
        <f>(1-C105/C66)</f>
        <v>0.11969174215505141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