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2B2F56-6D86-4779-89AD-297AA9BD839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<sst xmlns="http://schemas.openxmlformats.org/spreadsheetml/2006/main" count="768" uniqueCount="557">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</sst>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46044</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4.63</v>
      </c>
      <c r="E8" s="32"/>
    </row>
    <row r="9" spans="1:9">
      <c r="B9" s="4" t="s">
        <v>345</v>
      </c>
      <c r="C9" s="48">
        <v>11803071135</v>
      </c>
    </row>
    <row r="10" spans="1:9">
      <c r="B10" s="4" t="s">
        <v>351</v>
      </c>
      <c r="C10" s="33">
        <f>Thesis!C8*Common_Shares/1000000</f>
        <v>54648.219355049994</v>
      </c>
      <c r="D10" s="1" t="s">
        <v>526</v>
      </c>
      <c r="E10" s="303">
        <f>Scenarios!F34</f>
        <v>0.15773186966665081</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0.02</v>
      </c>
      <c r="D17" s="4" t="s">
        <v>273</v>
      </c>
      <c r="E17" s="224" t="s">
        <v>307</v>
      </c>
    </row>
    <row r="18" spans="1:6">
      <c r="B18" s="1" t="str">
        <f>"Expected Equity Value ("&amp;C7&amp;") :"</f>
        <v>Expected Equity Value (HKD) :</v>
      </c>
      <c r="C18" s="252">
        <f>C125</f>
        <v>6.6277455556474951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3.3058505032532972</v>
      </c>
      <c r="D22" s="38" t="s">
        <v>405</v>
      </c>
      <c r="E22" s="79">
        <v>0.3</v>
      </c>
    </row>
    <row r="23" spans="1:6">
      <c r="B23" s="1" t="s">
        <v>312</v>
      </c>
      <c r="C23" s="256">
        <f>E141</f>
        <v>4.170852752110819</v>
      </c>
      <c r="D23" s="38" t="s">
        <v>406</v>
      </c>
      <c r="E23" s="443">
        <v>0.2</v>
      </c>
    </row>
    <row r="24" spans="1:6">
      <c r="B24" s="1" t="s">
        <v>314</v>
      </c>
      <c r="C24" s="256">
        <f>E144</f>
        <v>5.1345919269174427</v>
      </c>
      <c r="D24" s="38" t="s">
        <v>407</v>
      </c>
      <c r="E24" s="443">
        <v>0.1174</v>
      </c>
    </row>
    <row r="25" spans="1:6">
      <c r="B25" s="1" t="s">
        <v>313</v>
      </c>
      <c r="C25" s="256">
        <f>E145</f>
        <v>5.7883592149489207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5154221.0000000019</v>
      </c>
      <c r="D34" s="1" t="str">
        <f>Reporting_currency</f>
        <v>HKD</v>
      </c>
    </row>
    <row r="35" spans="2:6">
      <c r="B35" s="44"/>
      <c r="C35" s="73"/>
    </row>
    <row r="36" spans="2:6" ht="24.5" customHeight="1">
      <c r="B36" s="463" t="s">
        <v>197</v>
      </c>
      <c r="C36" s="463"/>
      <c r="D36" s="463"/>
      <c r="E36" s="463"/>
      <c r="F36" s="463"/>
    </row>
    <row r="37" spans="2:6">
      <c r="B37" s="44" t="s">
        <v>198</v>
      </c>
      <c r="C37" s="285">
        <f>Normalized_FCF!C15</f>
        <v>921601</v>
      </c>
      <c r="D37" s="1" t="str">
        <f>Reporting_currency</f>
        <v>HKD</v>
      </c>
    </row>
    <row r="38" spans="2:6">
      <c r="B38" s="49" t="s">
        <v>199</v>
      </c>
      <c r="C38" s="285">
        <f>Normalized_FCF!C16</f>
        <v>-921601</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20235.564924692004</v>
      </c>
      <c r="D44" s="1" t="str">
        <f>Reporting_currency</f>
        <v>HKD</v>
      </c>
      <c r="E44" s="244"/>
      <c r="F44" s="244"/>
    </row>
    <row r="45" spans="2:6">
      <c r="B45" s="44" t="s">
        <v>267</v>
      </c>
      <c r="C45" s="286">
        <f>Normalized_FCF!C45</f>
        <v>-292580.58</v>
      </c>
      <c r="D45" s="1" t="str">
        <f>Reporting_currency</f>
        <v>HKD</v>
      </c>
      <c r="E45" s="244"/>
      <c r="F45" s="244"/>
    </row>
    <row r="46" spans="2:6">
      <c r="B46" s="44" t="s">
        <v>202</v>
      </c>
      <c r="C46" s="285">
        <f>Normalized_FCF!C10</f>
        <v>-272345.01507530804</v>
      </c>
      <c r="D46" s="1" t="str">
        <f>Reporting_currency</f>
        <v>HKD</v>
      </c>
    </row>
    <row r="48" spans="2:6">
      <c r="B48" s="1" t="s">
        <v>210</v>
      </c>
    </row>
    <row r="49" spans="2:6">
      <c r="B49" s="44" t="s">
        <v>222</v>
      </c>
      <c r="C49" s="285">
        <f>Normalized_FCF!C13</f>
        <v>0</v>
      </c>
      <c r="D49" s="1" t="str">
        <f>Reporting_currency</f>
        <v>HKD</v>
      </c>
    </row>
    <row r="51" spans="2:6">
      <c r="B51" s="463" t="s">
        <v>205</v>
      </c>
      <c r="C51" s="463"/>
      <c r="D51" s="463"/>
      <c r="E51" s="463"/>
      <c r="F51" s="463"/>
    </row>
    <row r="52" spans="2:6">
      <c r="B52" s="44" t="s">
        <v>203</v>
      </c>
      <c r="C52" s="285">
        <f>Normalized_FCF!C12</f>
        <v>-1220468.9962311734</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3577299.2818093933</v>
      </c>
      <c r="D60" s="1" t="str">
        <f>Reporting_currency</f>
        <v>HKD</v>
      </c>
    </row>
    <row r="61" spans="2:6">
      <c r="B61" s="44" t="s">
        <v>212</v>
      </c>
      <c r="C61" s="285">
        <f>Normalized_FCF!C19</f>
        <v>3661406.9886935204</v>
      </c>
      <c r="D61" s="1" t="str">
        <f>Reporting_currency</f>
        <v>HKD</v>
      </c>
    </row>
    <row r="62" spans="2:6">
      <c r="B62" s="204" t="s">
        <v>301</v>
      </c>
      <c r="C62" s="89">
        <f>Normalized_FCF!C124</f>
        <v>6.6999566168941843E-2</v>
      </c>
      <c r="F62" s="257"/>
    </row>
    <row r="63" spans="2:6">
      <c r="B63" s="204" t="s">
        <v>331</v>
      </c>
      <c r="C63" s="89">
        <f>Normalized_FCF!C92</f>
        <v>3.4384449244060478E-2</v>
      </c>
      <c r="E63" s="44" t="s">
        <v>321</v>
      </c>
      <c r="F63" s="258">
        <f>Normalized_FCF!C90</f>
        <v>0.5132040580286571</v>
      </c>
    </row>
    <row r="65" spans="1:6">
      <c r="B65" s="192" t="s">
        <v>324</v>
      </c>
      <c r="C65" s="264" t="s">
        <v>326</v>
      </c>
      <c r="D65" s="264" t="s">
        <v>327</v>
      </c>
    </row>
    <row r="66" spans="1:6">
      <c r="B66" s="44" t="s">
        <v>325</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-4876343</v>
      </c>
      <c r="D78" s="1" t="str">
        <f>Reporting_currency</f>
        <v>HKD</v>
      </c>
    </row>
    <row r="79" spans="1:6">
      <c r="A79" s="191"/>
      <c r="B79" s="44" t="s">
        <v>233</v>
      </c>
      <c r="C79" s="201">
        <f>C78*scaling_factor*Exchange_Rate/Common_Shares</f>
        <v>-0.4131418801281333</v>
      </c>
      <c r="D79" s="1" t="str">
        <f>Market_currency</f>
        <v>HKD</v>
      </c>
    </row>
    <row r="80" spans="1:6">
      <c r="A80" s="191"/>
      <c r="B80" s="229" t="s">
        <v>308</v>
      </c>
      <c r="C80" s="337">
        <f>IF(BS!G31/BS!G27&gt;300%,"nm",BS!G31/BS!G27)</f>
        <v>0.27351475277205878</v>
      </c>
    </row>
    <row r="81" spans="1:6">
      <c r="A81" s="191"/>
      <c r="B81" s="229" t="s">
        <v>310</v>
      </c>
      <c r="C81" s="338">
        <f>IF(BS!C50&gt;30,"nm",BS!C50)</f>
        <v>0.94608729427783522</v>
      </c>
    </row>
    <row r="82" spans="1:6">
      <c r="A82" s="191"/>
    </row>
    <row r="83" spans="1:6">
      <c r="A83" s="191"/>
      <c r="B83" s="1" t="s">
        <v>465</v>
      </c>
    </row>
    <row r="84" spans="1:6">
      <c r="A84" s="191"/>
      <c r="B84" s="1" t="s">
        <v>223</v>
      </c>
      <c r="C84" s="285">
        <f>DCF!F5</f>
        <v>11614285.845884666</v>
      </c>
      <c r="D84" s="1" t="str">
        <f>Reporting_currency</f>
        <v>HKD</v>
      </c>
    </row>
    <row r="85" spans="1:6">
      <c r="A85" s="191"/>
      <c r="B85" s="229" t="s">
        <v>221</v>
      </c>
      <c r="C85" s="291">
        <f>BS!C66</f>
        <v>14986880</v>
      </c>
      <c r="D85" s="339" t="str">
        <f>Reporting_currency</f>
        <v>HKD</v>
      </c>
    </row>
    <row r="86" spans="1:6">
      <c r="A86" s="191"/>
      <c r="B86" s="44" t="s">
        <v>234</v>
      </c>
      <c r="C86" s="201">
        <f>C84*scaling_factor*Exchange_Rate/Common_Shares</f>
        <v>0.98400540952807414</v>
      </c>
      <c r="D86" s="1" t="str">
        <f>Market_currency</f>
        <v>HKD</v>
      </c>
    </row>
    <row r="87" spans="1:6">
      <c r="A87" s="191"/>
    </row>
    <row r="88" spans="1:6">
      <c r="A88" s="191"/>
      <c r="B88" s="1" t="s">
        <v>215</v>
      </c>
    </row>
    <row r="89" spans="1:6">
      <c r="A89" s="191"/>
      <c r="B89" s="1" t="s">
        <v>216</v>
      </c>
      <c r="C89" s="285">
        <f>DCF!F6</f>
        <v>186889</v>
      </c>
      <c r="D89" s="1" t="str">
        <f>Reporting_currency</f>
        <v>HKD</v>
      </c>
    </row>
    <row r="90" spans="1:6">
      <c r="A90" s="191"/>
      <c r="B90" s="44" t="s">
        <v>235</v>
      </c>
      <c r="C90" s="201">
        <f>C89*scaling_factor*Exchange_Rate/Common_Shares</f>
        <v>1.5833929818978423E-2</v>
      </c>
      <c r="D90" s="1" t="str">
        <f>Market_currency</f>
        <v>HKD</v>
      </c>
    </row>
    <row r="91" spans="1:6">
      <c r="A91" s="191"/>
    </row>
    <row r="92" spans="1:6">
      <c r="A92" s="191"/>
      <c r="B92" s="44" t="s">
        <v>468</v>
      </c>
      <c r="C92" s="216">
        <f>DCF!F8</f>
        <v>0.58669745921891925</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0.59749676752244707</v>
      </c>
      <c r="D111" s="1" t="str">
        <f>Market_currency</f>
        <v>HKD</v>
      </c>
    </row>
    <row r="112" spans="2:6">
      <c r="B112" s="44" t="s">
        <v>322</v>
      </c>
      <c r="C112" s="216">
        <f>DCF!C11</f>
        <v>6.613595577113105</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356</v>
      </c>
      <c r="C124" s="463"/>
      <c r="D124" s="463"/>
      <c r="E124" s="463"/>
      <c r="F124" s="463"/>
    </row>
    <row r="125" spans="2:6">
      <c r="B125" s="193" t="s">
        <v>217</v>
      </c>
      <c r="C125" s="197">
        <f>Scenarios!C36</f>
        <v>6.6277455556474951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0.15920000000000001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0.28912517068730093</v>
      </c>
      <c r="D140" s="333">
        <f>Scenarios!D62</f>
        <v>3.0167253325659962</v>
      </c>
      <c r="E140" s="334">
        <f>Scenarios!E62</f>
        <v>3.3058505032532972</v>
      </c>
      <c r="F140" s="335">
        <f>E22</f>
        <v>0.3</v>
      </c>
    </row>
    <row r="141" spans="1:6">
      <c r="B141" s="336" t="s">
        <v>312</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0.38408641764943291</v>
      </c>
      <c r="D144" s="333">
        <f>Scenarios!D66</f>
        <v>4.7505055092680095</v>
      </c>
      <c r="E144" s="334">
        <f>Scenarios!E66</f>
        <v>5.1345919269174427</v>
      </c>
      <c r="F144" s="335">
        <f>E24</f>
        <v>0.1174</v>
      </c>
    </row>
    <row r="145" spans="1:6">
      <c r="B145" s="336" t="s">
        <v>313</v>
      </c>
      <c r="C145" s="333">
        <f>Scenarios!C67</f>
        <v>0.41589013616594417</v>
      </c>
      <c r="D145" s="333">
        <f>Scenarios!D67</f>
        <v>5.3724690787829763</v>
      </c>
      <c r="E145" s="334">
        <f>Scenarios!E67</f>
        <v>5.7883592149489207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23510737</v>
      </c>
      <c r="D4" s="287">
        <v>23586327</v>
      </c>
      <c r="E4" s="287"/>
      <c r="F4" s="287"/>
      <c r="G4" s="287"/>
      <c r="H4" s="287"/>
      <c r="I4" s="287"/>
      <c r="J4" s="287"/>
      <c r="K4" s="287"/>
      <c r="L4" s="287"/>
      <c r="M4" s="287"/>
    </row>
    <row r="5" spans="2:13">
      <c r="B5" s="38" t="s">
        <v>39</v>
      </c>
      <c r="C5" s="287">
        <v>12321539</v>
      </c>
      <c r="D5" s="287">
        <v>12595406</v>
      </c>
      <c r="E5" s="287"/>
      <c r="F5" s="287"/>
      <c r="G5" s="287"/>
      <c r="H5" s="287"/>
      <c r="I5" s="287"/>
      <c r="J5" s="287"/>
      <c r="K5" s="287"/>
      <c r="L5" s="287"/>
      <c r="M5" s="287"/>
    </row>
    <row r="6" spans="2:13">
      <c r="B6" s="38" t="s">
        <v>50</v>
      </c>
      <c r="C6" s="287">
        <f>3008125+C7</f>
        <v>6034977</v>
      </c>
      <c r="D6" s="287">
        <f>3043140+D7</f>
        <v>6064360</v>
      </c>
      <c r="E6" s="287"/>
      <c r="F6" s="287"/>
      <c r="G6" s="287"/>
      <c r="H6" s="287"/>
      <c r="I6" s="287"/>
      <c r="J6" s="287"/>
      <c r="K6" s="287"/>
      <c r="L6" s="287"/>
      <c r="M6" s="287"/>
    </row>
    <row r="7" spans="2:13">
      <c r="B7" s="66" t="s">
        <v>57</v>
      </c>
      <c r="C7" s="288">
        <v>3026852</v>
      </c>
      <c r="D7" s="288">
        <v>3021220</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67</v>
      </c>
      <c r="D10" s="287">
        <v>422</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176233</v>
      </c>
      <c r="D12" s="287">
        <v>176233</v>
      </c>
      <c r="E12" s="287"/>
      <c r="F12" s="287"/>
      <c r="G12" s="287"/>
      <c r="H12" s="287"/>
      <c r="I12" s="287"/>
      <c r="J12" s="287"/>
      <c r="K12" s="287"/>
      <c r="L12" s="287"/>
      <c r="M12" s="287"/>
    </row>
    <row r="13" spans="2:13">
      <c r="B13" s="38" t="s">
        <v>63</v>
      </c>
      <c r="C13" s="287">
        <v>78393</v>
      </c>
      <c r="D13" s="287">
        <v>77014</v>
      </c>
      <c r="E13" s="287"/>
      <c r="F13" s="287"/>
      <c r="G13" s="287"/>
      <c r="H13" s="287"/>
      <c r="I13" s="287"/>
      <c r="J13" s="287"/>
      <c r="K13" s="287"/>
      <c r="L13" s="287"/>
      <c r="M13" s="287"/>
    </row>
    <row r="14" spans="2:13">
      <c r="B14" s="38" t="s">
        <v>46</v>
      </c>
      <c r="C14" s="287">
        <v>1411247</v>
      </c>
      <c r="D14" s="287">
        <v>1422288</v>
      </c>
      <c r="E14" s="287"/>
      <c r="F14" s="287"/>
      <c r="G14" s="287"/>
      <c r="H14" s="287"/>
      <c r="I14" s="287"/>
      <c r="J14" s="287"/>
      <c r="K14" s="287"/>
      <c r="L14" s="287"/>
      <c r="M14" s="287"/>
    </row>
    <row r="15" spans="2:13">
      <c r="B15" s="41" t="s">
        <v>38</v>
      </c>
      <c r="C15" s="289">
        <v>4328415</v>
      </c>
      <c r="D15" s="289">
        <v>3983179</v>
      </c>
      <c r="E15" s="289"/>
      <c r="F15" s="289"/>
      <c r="G15" s="289"/>
      <c r="H15" s="289"/>
      <c r="I15" s="289"/>
      <c r="J15" s="289"/>
      <c r="K15" s="289"/>
      <c r="L15" s="289"/>
      <c r="M15" s="289"/>
    </row>
    <row r="16" spans="2:13">
      <c r="B16" s="27" t="s">
        <v>40</v>
      </c>
      <c r="C16" s="287">
        <v>7150</v>
      </c>
      <c r="D16" s="287">
        <v>7295</v>
      </c>
      <c r="E16" s="287"/>
      <c r="F16" s="287"/>
      <c r="G16" s="287"/>
      <c r="H16" s="287"/>
      <c r="I16" s="287"/>
      <c r="J16" s="287"/>
      <c r="K16" s="287"/>
      <c r="L16" s="287"/>
      <c r="M16" s="287"/>
    </row>
    <row r="18" spans="2:13">
      <c r="B18" s="16" t="s">
        <v>47</v>
      </c>
      <c r="C18" s="9"/>
    </row>
    <row r="19" spans="2:13">
      <c r="B19" s="26" t="s">
        <v>43</v>
      </c>
      <c r="C19" s="287">
        <f>749602+165519+4880+1600</f>
        <v>921601</v>
      </c>
      <c r="D19" s="287">
        <f>780168+191028+1181+1127</f>
        <v>973504</v>
      </c>
      <c r="E19" s="287"/>
      <c r="F19" s="287"/>
      <c r="G19" s="287"/>
      <c r="H19" s="287"/>
      <c r="I19" s="287"/>
      <c r="J19" s="287"/>
      <c r="K19" s="287"/>
      <c r="L19" s="287"/>
      <c r="M19" s="287"/>
    </row>
    <row r="20" spans="2:13">
      <c r="B20" s="26" t="s">
        <v>49</v>
      </c>
      <c r="C20" s="287">
        <v>633455</v>
      </c>
      <c r="D20" s="287">
        <v>437233</v>
      </c>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4161620</v>
      </c>
      <c r="D22" s="287">
        <v>5151440</v>
      </c>
      <c r="E22" s="287"/>
      <c r="F22" s="287"/>
      <c r="G22" s="287"/>
      <c r="H22" s="287"/>
      <c r="I22" s="287"/>
      <c r="J22" s="287"/>
      <c r="K22" s="287"/>
      <c r="L22" s="287"/>
      <c r="M22" s="287"/>
    </row>
    <row r="23" spans="2:13">
      <c r="B23" s="26" t="s">
        <v>287</v>
      </c>
      <c r="C23" s="287">
        <v>-47985</v>
      </c>
      <c r="D23" s="287">
        <v>-2643843</v>
      </c>
      <c r="E23" s="287"/>
      <c r="F23" s="287"/>
      <c r="G23" s="287"/>
      <c r="H23" s="287"/>
      <c r="I23" s="287"/>
      <c r="J23" s="287"/>
      <c r="K23" s="287"/>
      <c r="L23" s="287"/>
      <c r="M23" s="287"/>
    </row>
    <row r="24" spans="2:13">
      <c r="B24" s="26" t="s">
        <v>286</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25</v>
      </c>
      <c r="C27" s="94" t="s">
        <v>545</v>
      </c>
    </row>
    <row r="28" spans="2:13">
      <c r="B28" s="25" t="s">
        <v>21</v>
      </c>
      <c r="C28" s="270">
        <f>BS!C4</f>
        <v>960113</v>
      </c>
      <c r="D28" s="287">
        <f>832245+1215649</f>
        <v>2047894</v>
      </c>
      <c r="E28" s="287"/>
      <c r="F28" s="287"/>
      <c r="G28" s="287"/>
      <c r="H28" s="287"/>
      <c r="I28" s="287"/>
      <c r="J28" s="287"/>
      <c r="K28" s="287"/>
      <c r="L28" s="287"/>
      <c r="M28" s="287"/>
    </row>
    <row r="29" spans="2:13">
      <c r="B29" s="25" t="s">
        <v>29</v>
      </c>
      <c r="C29" s="270">
        <f>BS!C6</f>
        <v>2747540</v>
      </c>
      <c r="D29" s="287">
        <v>2415050</v>
      </c>
      <c r="E29" s="287"/>
      <c r="F29" s="287"/>
      <c r="G29" s="287"/>
      <c r="H29" s="287"/>
      <c r="I29" s="287"/>
      <c r="J29" s="287"/>
      <c r="K29" s="287"/>
      <c r="L29" s="287"/>
      <c r="M29" s="287"/>
    </row>
    <row r="30" spans="2:13">
      <c r="B30" s="28" t="s">
        <v>37</v>
      </c>
      <c r="C30" s="271">
        <f>BS!C33+BS!C42</f>
        <v>9491535</v>
      </c>
      <c r="D30" s="289">
        <v>11051330</v>
      </c>
      <c r="E30" s="289"/>
      <c r="F30" s="289"/>
      <c r="G30" s="289"/>
      <c r="H30" s="289"/>
      <c r="I30" s="289"/>
      <c r="J30" s="289"/>
      <c r="K30" s="289"/>
      <c r="L30" s="289"/>
      <c r="M30" s="289"/>
    </row>
    <row r="31" spans="2:13">
      <c r="B31" s="28" t="s">
        <v>27</v>
      </c>
      <c r="C31" s="271">
        <f>BS!G27</f>
        <v>17828446</v>
      </c>
      <c r="D31" s="289">
        <v>16405738</v>
      </c>
      <c r="E31" s="289"/>
      <c r="F31" s="289"/>
      <c r="G31" s="289"/>
      <c r="H31" s="289"/>
      <c r="I31" s="289"/>
      <c r="J31" s="289"/>
      <c r="K31" s="289"/>
      <c r="L31" s="289"/>
      <c r="M31" s="289"/>
    </row>
    <row r="32" spans="2:13">
      <c r="B32" s="25" t="s">
        <v>142</v>
      </c>
      <c r="C32" s="270">
        <f>BS!G28</f>
        <v>-7586</v>
      </c>
      <c r="D32" s="287">
        <v>40311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82</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960113</v>
      </c>
      <c r="D4" s="231">
        <v>0.6</v>
      </c>
      <c r="E4" s="24"/>
      <c r="F4" s="4" t="s">
        <v>73</v>
      </c>
      <c r="G4" s="18">
        <v>11445880</v>
      </c>
      <c r="H4" s="231">
        <v>0.9</v>
      </c>
    </row>
    <row r="5" spans="2:8" ht="15" customHeight="1">
      <c r="B5" s="1" t="s">
        <v>30</v>
      </c>
      <c r="C5" s="18">
        <v>0</v>
      </c>
      <c r="D5" s="231">
        <v>0.6</v>
      </c>
      <c r="E5" s="24"/>
      <c r="F5" s="1" t="s">
        <v>26</v>
      </c>
      <c r="G5" s="18">
        <v>0</v>
      </c>
      <c r="H5" s="231">
        <v>0.7</v>
      </c>
    </row>
    <row r="6" spans="2:8" ht="15" customHeight="1">
      <c r="B6" s="4" t="s">
        <v>8</v>
      </c>
      <c r="C6" s="18">
        <v>2747540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1181728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4889381</v>
      </c>
      <c r="D12" s="19">
        <f>C4*D4+C5*D5+C9*D9+C6*D6+C8*D8+C7*D7+C10*D10+C11*D11</f>
        <v>2068010.6</v>
      </c>
      <c r="F12" s="77" t="s">
        <v>66</v>
      </c>
      <c r="G12" s="78">
        <f>SUM(G4:G10)</f>
        <v>11445880</v>
      </c>
      <c r="H12" s="19">
        <f>G4*H4+G5*H5+G6*H6+G7*H7+G8*H8+G9*H9+G10*H10</f>
        <v>10301292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3541000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283005</v>
      </c>
      <c r="H17" s="231">
        <v>0.6</v>
      </c>
    </row>
    <row r="18" spans="2:8" ht="15" customHeight="1">
      <c r="B18" s="4" t="s">
        <v>143</v>
      </c>
      <c r="C18" s="18">
        <v>0</v>
      </c>
      <c r="D18" s="231">
        <v>0.6</v>
      </c>
      <c r="F18" s="4" t="s">
        <v>150</v>
      </c>
      <c r="G18" s="18">
        <v>0</v>
      </c>
      <c r="H18" s="231">
        <v>0.1</v>
      </c>
    </row>
    <row r="19" spans="2:8" ht="15" customHeight="1">
      <c r="B19" s="4" t="s">
        <v>23</v>
      </c>
      <c r="C19" s="18">
        <f>5440322+974865</f>
        <v>6415187</v>
      </c>
      <c r="D19" s="231">
        <v>0.1</v>
      </c>
      <c r="F19" s="4" t="s">
        <v>151</v>
      </c>
      <c r="G19" s="18">
        <v>142790</v>
      </c>
      <c r="H19" s="231">
        <v>0.1</v>
      </c>
    </row>
    <row r="20" spans="2:8" ht="15" customHeight="1">
      <c r="B20" s="4" t="s">
        <v>554</v>
      </c>
      <c r="C20" s="18">
        <v>0</v>
      </c>
      <c r="D20" s="231">
        <v>0.05</v>
      </c>
      <c r="F20" s="4" t="s">
        <v>148</v>
      </c>
      <c r="G20" s="18">
        <v>0</v>
      </c>
      <c r="H20" s="231">
        <v>0.2</v>
      </c>
    </row>
    <row r="21" spans="2:8" ht="15" customHeight="1">
      <c r="B21" s="4" t="s">
        <v>16</v>
      </c>
      <c r="C21" s="18">
        <v>13489</v>
      </c>
      <c r="D21" s="231">
        <v>0.05</v>
      </c>
      <c r="F21" s="1" t="s">
        <v>149</v>
      </c>
      <c r="G21" s="18">
        <v>28070</v>
      </c>
      <c r="H21" s="231">
        <v>0.1</v>
      </c>
    </row>
    <row r="22" spans="2:8" ht="15" customHeight="1">
      <c r="B22" s="4" t="s">
        <v>17</v>
      </c>
      <c r="C22" s="18">
        <v>561179</v>
      </c>
      <c r="D22" s="231">
        <v>0.9</v>
      </c>
      <c r="H22" s="232"/>
    </row>
    <row r="23" spans="2:8" ht="15" customHeight="1">
      <c r="B23" s="4" t="s">
        <v>18</v>
      </c>
      <c r="C23" s="18">
        <v>0</v>
      </c>
      <c r="D23" s="231">
        <v>0</v>
      </c>
      <c r="H23" s="232"/>
    </row>
    <row r="24" spans="2:8" ht="15" customHeight="1">
      <c r="B24" s="77" t="s">
        <v>69</v>
      </c>
      <c r="C24" s="78">
        <f>SUM(C15:C23)</f>
        <v>6989855</v>
      </c>
      <c r="D24" s="19">
        <f>C15*D15+C16*D16+C18*D18+C17*D17+C19*D19+C20*D20+C21*D21+C22*D22+C23*D23</f>
        <v>1147254.25</v>
      </c>
      <c r="F24" s="77" t="s">
        <v>67</v>
      </c>
      <c r="G24" s="78">
        <f>SUM(G15:G21)</f>
        <v>3994865</v>
      </c>
      <c r="H24" s="19">
        <f>G15*H15+G16*H16+G17*H17+G18*H18+G19*H19+G20*H20+G21*H21</f>
        <v>3019689</v>
      </c>
    </row>
    <row r="26" spans="2:8" ht="15" customHeight="1">
      <c r="B26" s="16" t="s">
        <v>168</v>
      </c>
      <c r="C26" s="164" t="s">
        <v>112</v>
      </c>
      <c r="F26" s="166" t="s">
        <v>164</v>
      </c>
      <c r="G26" s="167" t="s">
        <v>112</v>
      </c>
      <c r="H26" s="168" t="s">
        <v>32</v>
      </c>
    </row>
    <row r="27" spans="2:8" ht="15" customHeight="1">
      <c r="B27" s="4" t="s">
        <v>3</v>
      </c>
      <c r="C27" s="18">
        <v>3966210</v>
      </c>
      <c r="F27" s="169" t="s">
        <v>27</v>
      </c>
      <c r="G27" s="82">
        <f>G32-G30</f>
        <v>17828446</v>
      </c>
      <c r="H27" s="170">
        <f>H32-G30</f>
        <v>7044710.8499999996</v>
      </c>
    </row>
    <row r="28" spans="2:8" ht="15" customHeight="1">
      <c r="B28" s="4" t="s">
        <v>4</v>
      </c>
      <c r="C28" s="18">
        <v>115242</v>
      </c>
      <c r="F28" s="171" t="s">
        <v>208</v>
      </c>
      <c r="G28" s="287">
        <v>-7586</v>
      </c>
      <c r="H28" s="170"/>
    </row>
    <row r="29" spans="2:8" ht="15" customHeight="1">
      <c r="B29" s="4" t="s">
        <v>5</v>
      </c>
      <c r="C29" s="18">
        <v>0</v>
      </c>
      <c r="F29" s="172" t="s">
        <v>71</v>
      </c>
      <c r="G29" s="14">
        <f>G27-G28</f>
        <v>17836032</v>
      </c>
      <c r="H29" s="170">
        <f>H27-G28</f>
        <v>7052296.8499999996</v>
      </c>
    </row>
    <row r="30" spans="2:8" ht="15" customHeight="1">
      <c r="B30" s="2" t="s">
        <v>6</v>
      </c>
      <c r="C30" s="18">
        <v>0</v>
      </c>
      <c r="F30" s="169" t="s">
        <v>20</v>
      </c>
      <c r="G30" s="82">
        <f>C33+C42</f>
        <v>9491535</v>
      </c>
      <c r="H30" s="170"/>
    </row>
    <row r="31" spans="2:8" ht="15" customHeight="1">
      <c r="B31" s="77" t="s">
        <v>171</v>
      </c>
      <c r="C31" s="78">
        <f>SUM(C27:C30)</f>
        <v>4081452</v>
      </c>
      <c r="F31" s="172" t="s">
        <v>72</v>
      </c>
      <c r="G31" s="173">
        <f>C31+C40</f>
        <v>4876343</v>
      </c>
      <c r="H31" s="170"/>
    </row>
    <row r="32" spans="2:8" ht="15" customHeight="1">
      <c r="B32" s="4" t="s">
        <v>7</v>
      </c>
      <c r="C32" s="20">
        <f>C33-C31</f>
        <v>4400914</v>
      </c>
      <c r="F32" s="174" t="s">
        <v>70</v>
      </c>
      <c r="G32" s="175">
        <f>G35+G40</f>
        <v>27319981</v>
      </c>
      <c r="H32" s="170">
        <f>H35+H40</f>
        <v>16536245.85</v>
      </c>
    </row>
    <row r="33" spans="2:8" ht="15" customHeight="1">
      <c r="B33" s="80" t="s">
        <v>2</v>
      </c>
      <c r="C33" s="81">
        <v>8482366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11879236</v>
      </c>
      <c r="H35" s="182">
        <f>D12+D24</f>
        <v>3215264.85</v>
      </c>
    </row>
    <row r="36" spans="2:8" ht="15" customHeight="1">
      <c r="B36" s="4" t="s">
        <v>11</v>
      </c>
      <c r="C36" s="18">
        <v>700178</v>
      </c>
      <c r="F36" s="172" t="s">
        <v>165</v>
      </c>
      <c r="G36" s="173">
        <f>C4+C15</f>
        <v>960113</v>
      </c>
      <c r="H36" s="177"/>
    </row>
    <row r="37" spans="2:8" ht="15" customHeight="1">
      <c r="B37" s="4" t="s">
        <v>12</v>
      </c>
      <c r="C37" s="18">
        <v>94713</v>
      </c>
      <c r="F37" s="172" t="s">
        <v>166</v>
      </c>
      <c r="G37" s="173">
        <f>C6</f>
        <v>2747540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6415187</v>
      </c>
      <c r="H39" s="170">
        <f>C7*D7+C17*D17+C19*D19+C20*D20</f>
        <v>641518.70000000007</v>
      </c>
    </row>
    <row r="40" spans="2:8" ht="15" customHeight="1">
      <c r="B40" s="77" t="s">
        <v>172</v>
      </c>
      <c r="C40" s="78">
        <f>SUM(C36:C39)</f>
        <v>794891</v>
      </c>
      <c r="F40" s="181" t="s">
        <v>114</v>
      </c>
      <c r="G40" s="175">
        <f>G12+G24</f>
        <v>15440745</v>
      </c>
      <c r="H40" s="182">
        <f>H12+H24</f>
        <v>13320981</v>
      </c>
    </row>
    <row r="41" spans="2:8" ht="15" customHeight="1">
      <c r="B41" s="4" t="s">
        <v>15</v>
      </c>
      <c r="C41" s="20">
        <f>C42-C40</f>
        <v>214278</v>
      </c>
      <c r="F41" s="172" t="s">
        <v>159</v>
      </c>
      <c r="G41" s="173">
        <f>C70</f>
        <v>14986880</v>
      </c>
      <c r="H41" s="182">
        <f>H40-H42</f>
        <v>13134092</v>
      </c>
    </row>
    <row r="42" spans="2:8" ht="15" customHeight="1">
      <c r="B42" s="80" t="s">
        <v>19</v>
      </c>
      <c r="C42" s="81">
        <v>1009169</v>
      </c>
      <c r="F42" s="183" t="s">
        <v>160</v>
      </c>
      <c r="G42" s="184">
        <f>C82</f>
        <v>453865</v>
      </c>
      <c r="H42" s="185">
        <f>D82</f>
        <v>186889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0.94608729427783522</v>
      </c>
      <c r="D50" s="92">
        <f>G31/Normalized_FCF!G8</f>
        <v>0.94608729427783556</v>
      </c>
      <c r="F50" s="223"/>
    </row>
    <row r="51" spans="2:8" ht="15" customHeight="1">
      <c r="B51" s="1" t="s">
        <v>145</v>
      </c>
      <c r="C51" s="163"/>
      <c r="D51" s="89">
        <f>G29/G32</f>
        <v>0.65285667658407232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0.4338848895669723</v>
      </c>
      <c r="D54" s="89">
        <f>Normalized_FCF!G8/G35</f>
        <v>0.43388488956697213</v>
      </c>
      <c r="F54" s="223"/>
    </row>
    <row r="55" spans="2:8" ht="15" customHeight="1">
      <c r="B55" s="1" t="s">
        <v>117</v>
      </c>
      <c r="C55" s="89">
        <f>Normalized_FCF!C9/G40</f>
        <v>0</v>
      </c>
      <c r="D55" s="89">
        <f>Normalized_FCF!G9/G40</f>
        <v>4.3391688678234115E-6</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0.14365925732172732</v>
      </c>
      <c r="F58" s="5"/>
    </row>
    <row r="59" spans="2:8" ht="15" customHeight="1">
      <c r="B59" s="1" t="s">
        <v>88</v>
      </c>
      <c r="C59" s="95"/>
      <c r="D59" s="89">
        <f>G39/G32</f>
        <v>0.23481667135859283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-4.2531881530600527E-4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14986880</v>
      </c>
      <c r="D66" s="73">
        <f>C66-D75</f>
        <v>11614285.845884666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14986880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-1686297.0770576668</v>
      </c>
      <c r="D73" s="285">
        <f>(Normalized_FCF!C26+Normalized_FCF!C35-Normalized_FCF!C89)/12</f>
        <v>-1686297.0770576668</v>
      </c>
      <c r="F73" s="1" t="s">
        <v>277</v>
      </c>
    </row>
    <row r="74" spans="2:6" ht="15" customHeight="1">
      <c r="B74" s="227" t="s">
        <v>258</v>
      </c>
      <c r="C74" s="228">
        <f>-$C$66/C73</f>
        <v>8.8874494321901079</v>
      </c>
      <c r="D74" s="228">
        <f>-$C$66/D73</f>
        <v>8.8874494321901079</v>
      </c>
      <c r="F74" s="223" t="s">
        <v>256</v>
      </c>
    </row>
    <row r="75" spans="2:6" ht="15" customHeight="1">
      <c r="B75" s="77" t="s">
        <v>257</v>
      </c>
      <c r="C75" s="261"/>
      <c r="D75" s="262">
        <f>MAX(-D73*D76,G5)</f>
        <v>3372594.1541153337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283005</v>
      </c>
      <c r="D79" s="73">
        <f>G7*H7+G17*H17</f>
        <v>169803</v>
      </c>
      <c r="F79" s="223"/>
    </row>
    <row r="80" spans="2:6" ht="15" customHeight="1">
      <c r="B80" s="102" t="s">
        <v>151</v>
      </c>
      <c r="C80" s="19">
        <f>G19</f>
        <v>142790</v>
      </c>
      <c r="D80" s="73">
        <f>G19*H19</f>
        <v>14279</v>
      </c>
      <c r="F80" s="223"/>
    </row>
    <row r="81" spans="2:8" ht="15" customHeight="1">
      <c r="B81" s="102" t="s">
        <v>149</v>
      </c>
      <c r="C81" s="19">
        <f>G9+G21</f>
        <v>28070</v>
      </c>
      <c r="D81" s="73">
        <f>G9*H9+G21*H21</f>
        <v>2807</v>
      </c>
      <c r="F81" s="223"/>
    </row>
    <row r="82" spans="2:8" ht="15" customHeight="1">
      <c r="B82" s="77" t="s">
        <v>158</v>
      </c>
      <c r="C82" s="78">
        <f>SUM(C79:C81)</f>
        <v>453865</v>
      </c>
      <c r="D82" s="78">
        <f>SUM(D79:D81)</f>
        <v>186889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-4876343</v>
      </c>
      <c r="D86" s="201">
        <f>C86*scaling_factor/Common_Shares</f>
        <v>-0.4131418801281333</v>
      </c>
      <c r="E86" s="214" t="str">
        <f>Market_currency</f>
        <v>HKD</v>
      </c>
    </row>
    <row r="87" spans="2:8" ht="15" customHeight="1">
      <c r="B87" s="212" t="s">
        <v>239</v>
      </c>
      <c r="C87" s="73">
        <f>DCF!F5*Exchange_Rate</f>
        <v>11614285.845884666</v>
      </c>
      <c r="D87" s="201">
        <f>C87*scaling_factor/Common_Shares</f>
        <v>0.98400540952807414</v>
      </c>
      <c r="E87" s="214" t="str">
        <f>Market_currency</f>
        <v>HKD</v>
      </c>
    </row>
    <row r="88" spans="2:8" ht="15" customHeight="1">
      <c r="B88" s="213" t="s">
        <v>158</v>
      </c>
      <c r="C88" s="73">
        <f>DCF!F6*Exchange_Rate</f>
        <v>186889</v>
      </c>
      <c r="D88" s="201">
        <f>C88*scaling_factor/Common_Shares</f>
        <v>1.5833929818978423E-2</v>
      </c>
      <c r="E88" s="214" t="str">
        <f>Market_currency</f>
        <v>HKD</v>
      </c>
    </row>
    <row r="89" spans="2:8" ht="15" customHeight="1">
      <c r="B89" s="77" t="s">
        <v>243</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83</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86</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3.919915398653815E-2</v>
      </c>
      <c r="D82" s="26"/>
      <c r="E82" s="235" t="s">
        <v>546</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3.4384449244060478E-2</v>
      </c>
      <c r="E92" s="237"/>
      <c r="G92" s="22">
        <f t="shared" ref="G92:Q92" si="38">IF(G$4="","",(G88*(1-dividend_tax_rate))/Market_Price)</f>
        <v>3.4384449244060478E-2</v>
      </c>
      <c r="H92" s="22">
        <f t="shared" si="38"/>
        <v>5.5572354211663059E-2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6.6999566168941843E-2</v>
      </c>
      <c r="D124" s="26"/>
      <c r="E124" s="234"/>
      <c r="F124" s="26"/>
      <c r="G124" s="74">
        <f t="shared" ref="G124" si="49">IF(G$4="","",G123/Market_Price)</f>
        <v>6.5460491193091691E-2</v>
      </c>
      <c r="H124" s="74">
        <f t="shared" ref="H124" si="50">IF(H$4="","",H123/Market_Price)</f>
        <v>6.1090699677978838E-2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7.9205050980311859E-2</v>
      </c>
      <c r="H125" s="22">
        <f>IF(H$4="","",(Data!D47*$C$3)/(Market_Price*Common_Shares))</f>
        <v>7.2887626477291939E-2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3661406.9886935204</v>
      </c>
      <c r="D4" t="str">
        <f>Reporting_currency</f>
        <v>HKD</v>
      </c>
      <c r="E4" s="135" t="s">
        <v>430</v>
      </c>
      <c r="F4" s="275">
        <f>-BS!G31</f>
        <v>-4876343</v>
      </c>
      <c r="G4" t="str">
        <f>Reporting_currency</f>
        <v>HKD</v>
      </c>
      <c r="H4" s="308" t="s">
        <v>393</v>
      </c>
      <c r="I4" s="305">
        <f>Normalized_FCF!C4</f>
        <v>23510737</v>
      </c>
      <c r="J4" s="305"/>
    </row>
    <row r="5" spans="2:15">
      <c r="B5" s="187" t="s">
        <v>104</v>
      </c>
      <c r="C5" s="188">
        <f>Equity_Cost</f>
        <v>7.2499999999999995E-2</v>
      </c>
      <c r="E5" s="135" t="s">
        <v>431</v>
      </c>
      <c r="F5" s="275">
        <f>BS!D66</f>
        <v>11614285.845884666</v>
      </c>
      <c r="G5" t="str">
        <f>Reporting_currency</f>
        <v>HKD</v>
      </c>
      <c r="H5" s="308" t="s">
        <v>394</v>
      </c>
      <c r="I5" s="305">
        <f>Normalized_FCF!C7</f>
        <v>-3008125</v>
      </c>
      <c r="J5" s="305"/>
    </row>
    <row r="6" spans="2:15" ht="13.25" customHeight="1">
      <c r="B6" s="136" t="s">
        <v>193</v>
      </c>
      <c r="C6" s="283">
        <f>(C4*(1+Terminal_Growth))/(Equity_Cost-Terminal_Growth)</f>
        <v>71135907.208902687</v>
      </c>
      <c r="D6" t="str">
        <f>Reporting_currency</f>
        <v>HKD</v>
      </c>
      <c r="E6" s="187" t="s">
        <v>432</v>
      </c>
      <c r="F6" s="284">
        <f>BS!H42</f>
        <v>186889</v>
      </c>
      <c r="G6" t="str">
        <f>Reporting_currency</f>
        <v>HKD</v>
      </c>
      <c r="H6" s="308" t="s">
        <v>415</v>
      </c>
      <c r="I6" s="305">
        <f>I7+I8</f>
        <v>-272345.01507530804</v>
      </c>
      <c r="J6" s="305"/>
      <c r="N6" s="135"/>
    </row>
    <row r="7" spans="2:15" ht="12.75" customHeight="1">
      <c r="B7" s="318" t="s">
        <v>429</v>
      </c>
      <c r="C7" s="275">
        <f>F7</f>
        <v>6924831.8458846658</v>
      </c>
      <c r="E7" s="140" t="s">
        <v>423</v>
      </c>
      <c r="F7" s="283">
        <f>SUM(F4:F6)</f>
        <v>6924831.8458846658</v>
      </c>
      <c r="G7" t="str">
        <f>Reporting_currency</f>
        <v>HKD</v>
      </c>
      <c r="H7" s="312" t="s">
        <v>416</v>
      </c>
      <c r="I7" s="313">
        <f>Normalized_FCF!C9</f>
        <v>0</v>
      </c>
      <c r="J7" s="313"/>
      <c r="N7" s="304"/>
      <c r="O7" s="304"/>
    </row>
    <row r="8" spans="2:15" ht="13.15">
      <c r="B8" s="136" t="s">
        <v>425</v>
      </c>
      <c r="C8" s="283">
        <f>C6+C7</f>
        <v>78060739.054787353</v>
      </c>
      <c r="D8" t="str">
        <f>Reporting_currency</f>
        <v>HKD</v>
      </c>
      <c r="E8" s="140" t="s">
        <v>463</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78060739.054787353</v>
      </c>
      <c r="D10" t="str">
        <f>Market_currency</f>
        <v>HKD</v>
      </c>
      <c r="H10" s="308" t="s">
        <v>396</v>
      </c>
      <c r="I10" s="306">
        <f>Normalized_FCF!C41</f>
        <v>0.25</v>
      </c>
      <c r="N10" s="304"/>
      <c r="O10" s="304"/>
    </row>
    <row r="11" spans="2:15" ht="13.15">
      <c r="B11" s="136" t="s">
        <v>424</v>
      </c>
      <c r="C11" s="108">
        <f>(C10*scaling_factor)/Common_Shares</f>
        <v>6.613595577113105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3.4071209167200502E-2</v>
      </c>
      <c r="E16" s="308" t="s">
        <v>399</v>
      </c>
      <c r="F16" s="311">
        <f>Scenarios!C41</f>
        <v>3.4071209167200502E-2</v>
      </c>
    </row>
    <row r="17" spans="1:21" ht="13.25" customHeight="1">
      <c r="B17" s="308" t="s">
        <v>548</v>
      </c>
      <c r="C17" s="306">
        <f>Normalized_FCF!C77</f>
        <v>0.20764453215246692</v>
      </c>
      <c r="E17" s="308" t="s">
        <v>549</v>
      </c>
      <c r="F17" s="311">
        <f>Scenarios!C40</f>
        <v>0.20764453215246689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6.6298734962193047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419</v>
      </c>
      <c r="K52" s="468"/>
      <c r="L52" s="317">
        <f>SUM(L21:L51)</f>
        <v>71328036.646042943</v>
      </c>
    </row>
    <row r="53" spans="1:21">
      <c r="C53" s="111"/>
    </row>
    <row r="54" spans="1:21" ht="13.15">
      <c r="B54" s="115" t="s">
        <v>107</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5154221</v>
      </c>
      <c r="D7" s="469"/>
      <c r="E7" s="469"/>
      <c r="F7" s="469"/>
      <c r="G7" s="469"/>
    </row>
    <row r="8" spans="2:7">
      <c r="B8" s="97" t="s">
        <v>62</v>
      </c>
      <c r="C8" s="447">
        <f>Normalized_FCF!G19</f>
        <v>3577299.2818093933</v>
      </c>
      <c r="D8" s="469"/>
      <c r="E8" s="469"/>
      <c r="F8" s="469"/>
      <c r="G8" s="469"/>
    </row>
    <row r="9" spans="2:7">
      <c r="B9" s="97" t="s">
        <v>53</v>
      </c>
      <c r="C9" s="447">
        <f>Normalized_FCF!C19</f>
        <v>3661406.9886935204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15</v>
      </c>
      <c r="E22" s="326">
        <f>DCF!E91</f>
        <v>7.7057455951326279</v>
      </c>
      <c r="F22" s="328">
        <f>1-F23-F24</f>
        <v>0.19999999999999996</v>
      </c>
      <c r="G22" s="328">
        <f>F22*(1-F$29-F$30)</f>
        <v>0.15999999999999995</v>
      </c>
    </row>
    <row r="23" spans="2:7">
      <c r="B23" s="302" t="s">
        <v>436</v>
      </c>
      <c r="C23" s="324">
        <v>0.03</v>
      </c>
      <c r="D23" s="325">
        <f>C18</f>
        <v>15</v>
      </c>
      <c r="E23" s="326">
        <f>DCF!E92</f>
        <v>6.3851247195701397</v>
      </c>
      <c r="F23" s="327">
        <v>0.55000000000000004</v>
      </c>
      <c r="G23" s="328">
        <f t="shared" ref="G23:G24" si="0">F23*(1-F$29-F$30)</f>
        <v>0.44</v>
      </c>
    </row>
    <row r="24" spans="2:7">
      <c r="B24" s="302" t="s">
        <v>445</v>
      </c>
      <c r="C24" s="324">
        <v>0.01</v>
      </c>
      <c r="D24" s="325">
        <f>C18</f>
        <v>15</v>
      </c>
      <c r="E24" s="326">
        <f>DCF!E93</f>
        <v>5.3361011658567268</v>
      </c>
      <c r="F24" s="327">
        <v>0.25</v>
      </c>
      <c r="G24" s="328">
        <f t="shared" si="0"/>
        <v>0.19999999999999998</v>
      </c>
    </row>
    <row r="25" spans="2:7">
      <c r="B25" s="141" t="s">
        <v>450</v>
      </c>
      <c r="C25" s="441">
        <f>E23*F23+E24*F24+E22*F22</f>
        <v>6.3869930062542837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15</v>
      </c>
      <c r="E29" s="326">
        <f>DCF!E90</f>
        <v>8.4892151407787715</v>
      </c>
      <c r="F29" s="327">
        <v>0.15</v>
      </c>
      <c r="G29" s="328">
        <f>F29</f>
        <v>0.15</v>
      </c>
    </row>
    <row r="30" spans="2:7">
      <c r="B30" s="315" t="s">
        <v>446</v>
      </c>
      <c r="C30" s="324">
        <v>0</v>
      </c>
      <c r="D30" s="325">
        <f>C18</f>
        <v>15</v>
      </c>
      <c r="E30" s="326">
        <f>DCF!E94</f>
        <v>4.895377590545043</v>
      </c>
      <c r="F30" s="327">
        <v>0.05</v>
      </c>
      <c r="G30" s="328">
        <f>F30</f>
        <v>0.05</v>
      </c>
    </row>
    <row r="31" spans="2:7">
      <c r="E31" s="329"/>
      <c r="F31" s="329"/>
    </row>
    <row r="32" spans="2:7" ht="13.15">
      <c r="B32" s="145" t="s">
        <v>455</v>
      </c>
    </row>
    <row r="33" spans="2:7">
      <c r="B33" s="97" t="s">
        <v>457</v>
      </c>
      <c r="C33" s="155">
        <f>Normalized_FCF!C88*(1-dividend_tax_rate)</f>
        <v>0.15920000000000001</v>
      </c>
      <c r="D33" t="str">
        <f>Market_currency</f>
        <v>HKD</v>
      </c>
      <c r="E33" s="97" t="s">
        <v>454</v>
      </c>
      <c r="F33" s="219">
        <f>Holding_Period</f>
        <v>3</v>
      </c>
    </row>
    <row r="34" spans="2:7">
      <c r="B34" s="97" t="s">
        <v>232</v>
      </c>
      <c r="C34" s="146">
        <f>Market_Price</f>
        <v>4.63</v>
      </c>
      <c r="D34" t="str">
        <f>Market_currency</f>
        <v>HKD</v>
      </c>
      <c r="E34" s="97" t="s">
        <v>453</v>
      </c>
      <c r="F34" s="330">
        <f>RATE(Holding_Period,$C$33,-C34,$C$36)</f>
        <v>0.15773186966665081</v>
      </c>
    </row>
    <row r="35" spans="2:7">
      <c r="B35" s="97" t="s">
        <v>433</v>
      </c>
      <c r="C35" s="320">
        <f>DCF!C11</f>
        <v>6.613595577113105</v>
      </c>
      <c r="D35" s="97" t="str">
        <f>Market_currency</f>
        <v>HKD</v>
      </c>
      <c r="E35" s="97" t="s">
        <v>453</v>
      </c>
      <c r="F35" s="330">
        <f>RATE(Holding_Period,$C$33,-C35,$C$36)</f>
        <v>2.4767426927084515E-2</v>
      </c>
    </row>
    <row r="36" spans="2:7">
      <c r="B36" s="97" t="s">
        <v>434</v>
      </c>
      <c r="C36" s="321">
        <f>E22*G22+E23*G23+E24*G24+E30*G30+E29*G29</f>
        <v>6.6277455556474951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0.20764453215246689</v>
      </c>
      <c r="E40" s="97" t="s">
        <v>400</v>
      </c>
    </row>
    <row r="41" spans="2:7">
      <c r="B41" s="97" t="s">
        <v>399</v>
      </c>
      <c r="C41" s="455">
        <f>DCF!C16</f>
        <v>3.4071209167200502E-2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3.4071209167200502E-2</v>
      </c>
      <c r="D46" s="138"/>
      <c r="E46" s="221" t="s">
        <v>251</v>
      </c>
    </row>
    <row r="47" spans="2:7">
      <c r="B47" s="97" t="s">
        <v>95</v>
      </c>
      <c r="C47" s="146">
        <f>DCF!I18</f>
        <v>6.6298734962193047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8.8521421695043054E-2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0.15920000000000001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312</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313</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46044</v>
      </c>
    </row>
    <row r="4" spans="1:10">
      <c r="B4" s="422" t="s">
        <v>532</v>
      </c>
      <c r="C4" s="423" t="str">
        <f>Thesis!C4</f>
        <v>中國旺旺</v>
      </c>
      <c r="D4" s="349"/>
      <c r="E4" s="434" t="s">
        <v>538</v>
      </c>
      <c r="F4" s="437" t="str">
        <f>Thesis!F4</f>
        <v>INT</v>
      </c>
    </row>
    <row r="5" spans="1:10">
      <c r="B5" s="343" t="s">
        <v>363</v>
      </c>
      <c r="C5" s="355" t="str">
        <f>Thesis!C5</f>
        <v>0151.HK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4.63</v>
      </c>
    </row>
    <row r="9" spans="1:10">
      <c r="B9" s="351" t="s">
        <v>360</v>
      </c>
      <c r="C9" s="353">
        <f>Common_Shares</f>
        <v>11803071135</v>
      </c>
    </row>
    <row r="10" spans="1:10">
      <c r="B10" s="351" t="s">
        <v>366</v>
      </c>
      <c r="C10" s="357">
        <f>投资主题!C8*Common_Shares/1000000</f>
        <v>54648.219355049994</v>
      </c>
      <c r="D10" s="343" t="s">
        <v>527</v>
      </c>
      <c r="E10" s="360">
        <f>Scenarios!F34</f>
        <v>0.15773186966665081</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0.02</v>
      </c>
      <c r="D17" s="351" t="s">
        <v>338</v>
      </c>
      <c r="E17" s="344" t="str">
        <f>Reporting_currency</f>
        <v>HKD</v>
      </c>
    </row>
    <row r="18" spans="1:6">
      <c r="B18" s="343" t="str">
        <f>"预期股权价值 ("&amp;C7&amp;") :"</f>
        <v>预期股权价值 (HKD) :</v>
      </c>
      <c r="C18" s="359">
        <f>C125</f>
        <v>6.6277455556474951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3.3058505032532972</v>
      </c>
      <c r="D22" s="365" t="s">
        <v>439</v>
      </c>
      <c r="E22" s="366">
        <f>Thesis!E22</f>
        <v>0.3</v>
      </c>
    </row>
    <row r="23" spans="1:6">
      <c r="B23" s="343" t="s">
        <v>340</v>
      </c>
      <c r="C23" s="367">
        <f>E141</f>
        <v>4.170852752110819</v>
      </c>
      <c r="D23" s="365" t="s">
        <v>440</v>
      </c>
      <c r="E23" s="368">
        <f>Thesis!E23</f>
        <v>0.2</v>
      </c>
    </row>
    <row r="24" spans="1:6">
      <c r="B24" s="343" t="s">
        <v>342</v>
      </c>
      <c r="C24" s="367">
        <f>E144</f>
        <v>5.1345919269174427</v>
      </c>
      <c r="D24" s="365" t="s">
        <v>442</v>
      </c>
      <c r="E24" s="368">
        <f>Thesis!E24</f>
        <v>0.1174</v>
      </c>
    </row>
    <row r="25" spans="1:6">
      <c r="B25" s="343" t="s">
        <v>341</v>
      </c>
      <c r="C25" s="367">
        <f>E145</f>
        <v>5.7883592149489207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5154221.0000000019</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921601</v>
      </c>
      <c r="D37" s="343" t="str">
        <f>Reporting_currency</f>
        <v>HKD</v>
      </c>
    </row>
    <row r="38" spans="2:6">
      <c r="B38" s="375" t="s">
        <v>199</v>
      </c>
      <c r="C38" s="373">
        <f>Normalized_FCF!C16</f>
        <v>-921601</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20235.564924692004</v>
      </c>
      <c r="D44" s="343" t="str">
        <f>Reporting_currency</f>
        <v>HKD</v>
      </c>
      <c r="E44" s="371"/>
      <c r="F44" s="371"/>
    </row>
    <row r="45" spans="2:6">
      <c r="B45" s="372" t="s">
        <v>267</v>
      </c>
      <c r="C45" s="376">
        <f>Normalized_FCF!C45</f>
        <v>-292580.58</v>
      </c>
      <c r="D45" s="343" t="str">
        <f>Reporting_currency</f>
        <v>HKD</v>
      </c>
      <c r="E45" s="371"/>
      <c r="F45" s="371"/>
    </row>
    <row r="46" spans="2:6">
      <c r="B46" s="372" t="s">
        <v>202</v>
      </c>
      <c r="C46" s="373">
        <f>Normalized_FCF!C10</f>
        <v>-272345.01507530804</v>
      </c>
      <c r="D46" s="343" t="str">
        <f>Reporting_currency</f>
        <v>HKD</v>
      </c>
    </row>
    <row r="48" spans="2:6">
      <c r="B48" s="343" t="s">
        <v>503</v>
      </c>
    </row>
    <row r="49" spans="2:6">
      <c r="B49" s="372" t="s">
        <v>222</v>
      </c>
      <c r="C49" s="373">
        <f>Normalized_FCF!C13</f>
        <v>0</v>
      </c>
      <c r="D49" s="343" t="str">
        <f>Reporting_currency</f>
        <v>HKD</v>
      </c>
    </row>
    <row r="51" spans="2:6">
      <c r="B51" s="470" t="s">
        <v>504</v>
      </c>
      <c r="C51" s="470"/>
      <c r="D51" s="470"/>
      <c r="E51" s="470"/>
      <c r="F51" s="470"/>
    </row>
    <row r="52" spans="2:6">
      <c r="B52" s="372" t="s">
        <v>495</v>
      </c>
      <c r="C52" s="373">
        <f>Normalized_FCF!C12</f>
        <v>-1220468.9962311734</v>
      </c>
      <c r="D52" s="343" t="str">
        <f>Reporting_currency</f>
        <v>HKD</v>
      </c>
    </row>
    <row r="54" spans="2:6">
      <c r="B54" s="470" t="s">
        <v>505</v>
      </c>
      <c r="C54" s="476"/>
      <c r="D54" s="476"/>
      <c r="E54" s="476"/>
      <c r="F54" s="476"/>
    </row>
    <row r="55" spans="2:6">
      <c r="B55" s="372" t="s">
        <v>206</v>
      </c>
      <c r="C55" s="373">
        <f>Normalized_FCF!C17</f>
        <v>0</v>
      </c>
      <c r="D55" s="343" t="str">
        <f>Reporting_currency</f>
        <v>HKD</v>
      </c>
    </row>
    <row r="57" spans="2:6">
      <c r="B57" s="474" t="s">
        <v>506</v>
      </c>
      <c r="C57" s="474"/>
      <c r="D57" s="474"/>
      <c r="E57" s="474"/>
      <c r="F57" s="474"/>
    </row>
    <row r="58" spans="2:6">
      <c r="B58" s="474" t="s">
        <v>507</v>
      </c>
      <c r="C58" s="474"/>
      <c r="D58" s="474"/>
      <c r="E58" s="474"/>
      <c r="F58" s="474"/>
    </row>
    <row r="60" spans="2:6">
      <c r="B60" s="372" t="s">
        <v>371</v>
      </c>
      <c r="C60" s="373">
        <f>Normalized_FCF!G19</f>
        <v>3577299.2818093933</v>
      </c>
      <c r="D60" s="343" t="str">
        <f>Reporting_currency</f>
        <v>HKD</v>
      </c>
    </row>
    <row r="61" spans="2:6">
      <c r="B61" s="372" t="s">
        <v>212</v>
      </c>
      <c r="C61" s="373">
        <f>Normalized_FCF!C19</f>
        <v>3661406.9886935204</v>
      </c>
      <c r="D61" s="343" t="str">
        <f>Reporting_currency</f>
        <v>HKD</v>
      </c>
    </row>
    <row r="62" spans="2:6">
      <c r="B62" s="377" t="s">
        <v>301</v>
      </c>
      <c r="C62" s="378">
        <f>Normalized_FCF!C124</f>
        <v>6.6999566168941843E-2</v>
      </c>
      <c r="F62" s="379"/>
    </row>
    <row r="63" spans="2:6">
      <c r="B63" s="377" t="s">
        <v>331</v>
      </c>
      <c r="C63" s="378">
        <f>Normalized_FCF!C92</f>
        <v>3.4384449244060478E-2</v>
      </c>
      <c r="E63" s="372" t="s">
        <v>372</v>
      </c>
      <c r="F63" s="380">
        <f>Normalized_FCF!C90</f>
        <v>0.5132040580286571</v>
      </c>
    </row>
    <row r="65" spans="1:6">
      <c r="B65" s="369" t="s">
        <v>375</v>
      </c>
      <c r="C65" s="381" t="s">
        <v>326</v>
      </c>
      <c r="D65" s="381" t="s">
        <v>373</v>
      </c>
    </row>
    <row r="66" spans="1:6">
      <c r="B66" s="372" t="s">
        <v>325</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-4876343</v>
      </c>
      <c r="D78" s="343" t="str">
        <f>Reporting_currency</f>
        <v>HKD</v>
      </c>
    </row>
    <row r="79" spans="1:6">
      <c r="B79" s="372" t="s">
        <v>233</v>
      </c>
      <c r="C79" s="387">
        <f>C78*scaling_factor*Exchange_Rate/Common_Shares</f>
        <v>-0.4131418801281333</v>
      </c>
      <c r="D79" s="343" t="str">
        <f>Market_currency</f>
        <v>HKD</v>
      </c>
    </row>
    <row r="80" spans="1:6">
      <c r="B80" s="382" t="s">
        <v>308</v>
      </c>
      <c r="C80" s="388">
        <f>IF(BS!G31/BS!G27&gt;300%,"nm",BS!G31/BS!G27)</f>
        <v>0.27351475277205878</v>
      </c>
    </row>
    <row r="81" spans="1:6">
      <c r="B81" s="382" t="s">
        <v>310</v>
      </c>
      <c r="C81" s="389">
        <f>IF(BS!C50&gt;30,"nm",BS!C50)</f>
        <v>0.94608729427783522</v>
      </c>
    </row>
    <row r="83" spans="1:6">
      <c r="B83" s="343" t="s">
        <v>510</v>
      </c>
    </row>
    <row r="84" spans="1:6">
      <c r="B84" s="343" t="s">
        <v>223</v>
      </c>
      <c r="C84" s="373">
        <f>DCF!F5</f>
        <v>11614285.845884666</v>
      </c>
      <c r="D84" s="343" t="str">
        <f>Reporting_currency</f>
        <v>HKD</v>
      </c>
    </row>
    <row r="85" spans="1:6">
      <c r="B85" s="382" t="s">
        <v>480</v>
      </c>
      <c r="C85" s="390">
        <f>BS!C66</f>
        <v>14986880</v>
      </c>
      <c r="D85" s="391" t="str">
        <f>Reporting_currency</f>
        <v>HKD</v>
      </c>
    </row>
    <row r="86" spans="1:6">
      <c r="B86" s="372" t="s">
        <v>234</v>
      </c>
      <c r="C86" s="387">
        <f>C84*scaling_factor*Exchange_Rate/Common_Shares</f>
        <v>0.98400540952807414</v>
      </c>
      <c r="D86" s="343" t="str">
        <f>Market_currency</f>
        <v>HKD</v>
      </c>
    </row>
    <row r="88" spans="1:6">
      <c r="B88" s="343" t="s">
        <v>511</v>
      </c>
    </row>
    <row r="89" spans="1:6">
      <c r="B89" s="343" t="s">
        <v>216</v>
      </c>
      <c r="C89" s="373">
        <f>DCF!F6</f>
        <v>186889</v>
      </c>
      <c r="D89" s="343" t="str">
        <f>Reporting_currency</f>
        <v>HKD</v>
      </c>
    </row>
    <row r="90" spans="1:6">
      <c r="B90" s="372" t="s">
        <v>235</v>
      </c>
      <c r="C90" s="387">
        <f>C89*scaling_factor*Exchange_Rate/Common_Shares</f>
        <v>1.5833929818978423E-2</v>
      </c>
      <c r="D90" s="343" t="str">
        <f>Market_currency</f>
        <v>HKD</v>
      </c>
    </row>
    <row r="92" spans="1:6">
      <c r="B92" s="372" t="s">
        <v>479</v>
      </c>
      <c r="C92" s="387">
        <f>DCF!F8</f>
        <v>0.58669745921891925</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0.59749676752244707</v>
      </c>
      <c r="D111" s="343" t="str">
        <f>Market_currency</f>
        <v>HKD</v>
      </c>
    </row>
    <row r="112" spans="1:6">
      <c r="A112" s="385"/>
      <c r="B112" s="372" t="s">
        <v>376</v>
      </c>
      <c r="C112" s="394">
        <f>DCF!C11</f>
        <v>6.613595577113105</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517</v>
      </c>
      <c r="C124" s="470"/>
      <c r="D124" s="470"/>
      <c r="E124" s="470"/>
      <c r="F124" s="470"/>
    </row>
    <row r="125" spans="1:6">
      <c r="B125" s="372" t="s">
        <v>217</v>
      </c>
      <c r="C125" s="404">
        <f>Scenarios!C36</f>
        <v>6.6277455556474951</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0.15920000000000001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0.28912517068730093</v>
      </c>
      <c r="D140" s="409">
        <f>Scenarios!D62</f>
        <v>3.0167253325659962</v>
      </c>
      <c r="E140" s="410">
        <f>Scenarios!E62</f>
        <v>3.3058505032532972</v>
      </c>
      <c r="F140" s="411">
        <f>E22</f>
        <v>0.3</v>
      </c>
    </row>
    <row r="141" spans="1:6">
      <c r="B141" s="408" t="s">
        <v>312</v>
      </c>
      <c r="C141" s="409">
        <f>Scenarios!C63</f>
        <v>0.33535185185185185</v>
      </c>
      <c r="D141" s="409">
        <f>Scenarios!D63</f>
        <v>3.8355009002589671</v>
      </c>
      <c r="E141" s="410">
        <f>Scenarios!E63</f>
        <v>4.170852752110819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0.38408641764943291</v>
      </c>
      <c r="D144" s="409">
        <f>Scenarios!D66</f>
        <v>4.7505055092680095</v>
      </c>
      <c r="E144" s="410">
        <f>Scenarios!E66</f>
        <v>5.1345919269174427</v>
      </c>
      <c r="F144" s="411">
        <f>E24</f>
        <v>0.1174</v>
      </c>
    </row>
    <row r="145" spans="1:6">
      <c r="B145" s="408" t="s">
        <v>313</v>
      </c>
      <c r="C145" s="409">
        <f>Scenarios!C67</f>
        <v>0.41589013616594417</v>
      </c>
      <c r="D145" s="409">
        <f>Scenarios!D67</f>
        <v>5.3724690787829763</v>
      </c>
      <c r="E145" s="410">
        <f>Scenarios!E67</f>
        <v>5.7883592149489207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