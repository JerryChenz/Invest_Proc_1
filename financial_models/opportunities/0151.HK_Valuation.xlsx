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F4C1F5C-9926-429F-8193-1E22A4CA1A80}" xr6:coauthVersionLast="47" xr6:coauthVersionMax="47" xr10:uidLastSave="{00000000-0000-0000-0000-000000000000}"/>
  <bookViews>
    <workbookView xWindow="735" yWindow="735" windowWidth="12690" windowHeight="7643"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19" i="3"/>
  <c r="C6" i="4"/>
  <c r="D6" i="4"/>
  <c r="C19" i="4"/>
  <c r="D19" i="4"/>
  <c r="C25" i="4"/>
  <c r="E25" i="4"/>
  <c r="F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<sst xmlns="http://schemas.openxmlformats.org/spreadsheetml/2006/main" count="768" uniqueCount="557">
  <si>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</si>
  <si>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</si>
  <si>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</si>
  <si>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</si>
  <si>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</si>
  <si>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</si>
  <si>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</si>
  <si>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</si>
  <si>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</si>
  <si>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</si>
  <si>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</si>
  <si>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</si>
  <si>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</si>
  <si>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</si>
  <si>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</si>
  <si>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</si>
  <si>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</si>
  <si>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</si>
  <si>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</si>
  <si>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</si>
  <si>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</si>
  <si>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</si>
  <si>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</si>
  <si>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</si>
  <si>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</si>
  <si>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</si>
  <si>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</si>
  <si>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</si>
  <si>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</si>
  <si>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</si>
  <si>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</si>
  <si>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</si>
  <si>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</si>
  <si>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</si>
  <si>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</si>
  <si>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</si>
  <si>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</si>
  <si>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</si>
  <si>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</si>
  <si>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</si>
  <si>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</si>
  <si>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</si>
  <si>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</si>
  <si>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</si>
  <si>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</si>
  <si>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</si>
  <si>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</si>
  <si>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</si>
  <si>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</si>
  <si>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</si>
  <si>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</si>
  <si>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</si>
  <si>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</si>
  <si>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</si>
  <si>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</si>
  <si>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</si>
  <si>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</si>
  <si>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</si>
  <si>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</si>
  <si>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</si>
  <si>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</si>
  <si>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</si>
  <si>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</si>
  <si>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</si>
  <si>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</si>
  <si>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</si>
  <si>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</si>
  <si>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</si>
  <si>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</si>
  <si>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</si>
  <si>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</si>
  <si>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</si>
  <si>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</si>
  <si>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</si>
  <si>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</si>
  <si>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</si>
  <si>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</si>
  <si>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</si>
  <si>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</si>
  <si>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</si>
  <si>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</si>
  <si>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</si>
  <si>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</si>
  <si>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</si>
  <si>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</si>
  <si>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</si>
  <si>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</si>
  <si>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</si>
  <si>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</si>
  <si>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</si>
  <si>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</si>
  <si>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</si>
  <si>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</si>
  <si>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</si>
  <si>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</si>
  <si>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</si>
  <si>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</si>
  <si>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</si>
  <si>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</si>
  <si>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</si>
  <si>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</si>
  <si>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</si>
  <si>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</si>
  <si>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</si>
  <si>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</si>
  <si>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</si>
  <si>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</si>
  <si>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</si>
  <si>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</si>
  <si>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</si>
  <si>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</si>
  <si>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</si>
  <si>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</si>
  <si>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</si>
  <si>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</si>
  <si>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</si>
  <si>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</si>
  <si>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</si>
  <si>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</si>
  <si>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</si>
  <si>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</si>
  <si>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</si>
  <si>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</si>
  <si>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</si>
  <si>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</si>
  <si>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</si>
  <si>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</si>
  <si>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</si>
  <si>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</si>
  <si>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</si>
  <si>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</si>
  <si>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</si>
  <si>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</si>
  <si>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</si>
  <si>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</si>
  <si>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</si>
  <si>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</si>
  <si>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</si>
  <si>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</si>
  <si>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</si>
  <si>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</si>
  <si>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</si>
  <si>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</si>
  <si>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</si>
  <si>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</si>
  <si>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</si>
  <si>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</si>
  <si>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</si>
  <si>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</si>
  <si>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</si>
  <si>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</si>
  <si>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</si>
  <si>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</si>
  <si>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</si>
  <si>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</si>
  <si>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</si>
  <si>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</si>
  <si>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</si>
  <si>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</si>
  <si>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</si>
  <si>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</si>
  <si>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</si>
  <si>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</si>
  <si>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</si>
  <si>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</si>
  <si>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</si>
  <si>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</si>
  <si>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</si>
  <si>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</si>
  <si>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</si>
  <si>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</si>
  <si>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</si>
  <si>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</si>
  <si>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</si>
  <si>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</si>
  <si>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</si>
  <si>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</si>
  <si>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</si>
  <si>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</si>
  <si>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</si>
  <si>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</si>
  <si>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</si>
  <si>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</si>
  <si>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</si>
  <si>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</si>
  <si>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</si>
  <si>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</si>
  <si>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</si>
  <si>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</si>
  <si>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</si>
  <si>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</si>
  <si>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</si>
  <si>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</si>
  <si>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</si>
  <si>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</si>
  <si>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</si>
  <si>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</si>
  <si>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</si>
  <si>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</si>
  <si>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</si>
  <si>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</si>
  <si>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</si>
  <si>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</si>
  <si>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</si>
  <si>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</si>
  <si>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</si>
  <si>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</si>
  <si>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</si>
  <si>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</si>
  <si>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</si>
  <si>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</si>
  <si>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</si>
  <si>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</si>
  <si>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</si>
  <si>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</si>
  <si>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</si>
  <si>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</si>
  <si>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</si>
  <si>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</si>
  <si>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</si>
  <si>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</si>
  <si>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</si>
  <si>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</si>
  <si>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</si>
  <si>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</si>
  <si>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</si>
  <si>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</si>
  <si>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</si>
  <si>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</si>
  <si>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</si>
  <si>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</si>
  <si>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</si>
  <si>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</si>
  <si>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</si>
  <si>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</si>
  <si>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</si>
  <si>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</si>
  <si>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</si>
  <si>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</si>
  <si>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</si>
  <si>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</si>
  <si>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</si>
  <si>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</si>
  <si>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</si>
  <si>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</si>
  <si>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</si>
  <si>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</si>
  <si>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</si>
  <si>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</si>
  <si>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</si>
  <si>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</si>
  <si>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</si>
  <si>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</si>
  <si>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</si>
  <si>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</si>
  <si>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</si>
  <si>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</si>
  <si>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</si>
  <si>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</si>
  <si>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</si>
  <si>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</si>
  <si>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</si>
  <si>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</si>
  <si>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</si>
  <si>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</si>
  <si>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</si>
  <si>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</si>
  <si>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</si>
  <si>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</si>
  <si>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</si>
  <si>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</si>
  <si>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</si>
  <si>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</si>
  <si>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</si>
  <si>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</si>
  <si>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</si>
  <si>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</si>
  <si>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</si>
  <si>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</si>
  <si>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</si>
  <si>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</si>
  <si>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</si>
  <si>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</si>
  <si>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</si>
  <si>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</si>
  <si>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</si>
  <si>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</si>
  <si>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</si>
  <si>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</si>
  <si>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</si>
  <si>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</si>
  <si>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</si>
  <si>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</si>
  <si>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</si>
  <si>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</si>
  <si>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</si>
  <si>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</si>
  <si>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</si>
  <si>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</si>
  <si>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</si>
  <si>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</si>
  <si>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</si>
  <si>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</si>
  <si>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</si>
  <si>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</si>
  <si>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</si>
  <si>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</si>
  <si>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</si>
  <si>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</si>
  <si>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</si>
  <si>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</si>
  <si>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</si>
  <si>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</si>
  <si>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</si>
  <si>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</si>
  <si>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</si>
  <si>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</si>
  <si>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</si>
  <si>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</si>
  <si>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</si>
  <si>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</si>
  <si>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</si>
  <si>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</si>
  <si>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</si>
  <si>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</si>
  <si>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</si>
  <si>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</si>
  <si>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</si>
  <si>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</si>
  <si>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</si>
  <si>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</si>
  <si>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</si>
  <si>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</si>
  <si>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</si>
  <si>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</si>
  <si>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</si>
  <si>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</si>
  <si>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</si>
  <si>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</si>
  <si>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</si>
  <si>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</si>
  <si>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</si>
  <si>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</si>
  <si>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</si>
  <si>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</si>
  <si>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</si>
  <si>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</si>
  <si>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</si>
  <si>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</si>
  <si>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</si>
  <si>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</si>
  <si>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</si>
  <si>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</si>
  <si>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</si>
  <si>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</si>
  <si>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</si>
  <si>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</si>
  <si>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</si>
  <si>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</si>
  <si>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</si>
  <si>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</si>
  <si>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</si>
  <si>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</si>
  <si>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</si>
  <si>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</si>
  <si>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</si>
  <si>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</si>
  <si>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</si>
  <si>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</si>
  <si>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</si>
  <si>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</si>
  <si>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</si>
  <si>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</si>
  <si>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</si>
  <si>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</si>
  <si>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</si>
  <si>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</si>
  <si>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</si>
  <si>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</si>
  <si>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</si>
  <si>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</si>
  <si>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</si>
  <si>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</si>
  <si>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</si>
  <si>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</si>
  <si>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</si>
  <si>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</si>
  <si>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</si>
  <si>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</si>
  <si>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</si>
  <si>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</si>
  <si>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</si>
  <si>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</si>
  <si>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</si>
  <si>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</si>
  <si>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</si>
  <si>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</si>
  <si>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</si>
  <si>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</si>
  <si>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</si>
  <si>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</si>
  <si>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</si>
  <si>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</si>
  <si>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</si>
  <si>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</si>
  <si>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</si>
  <si>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</si>
  <si>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</si>
  <si>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</si>
  <si>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</si>
  <si>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</si>
  <si>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</si>
  <si>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</si>
  <si>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</si>
  <si>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</si>
  <si>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</si>
  <si>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</si>
  <si>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</si>
  <si>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</si>
  <si>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</si>
  <si>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</si>
  <si>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</si>
  <si>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</si>
  <si>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</si>
  <si>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</si>
  <si>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</si>
  <si>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</si>
  <si>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</si>
  <si>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</si>
  <si>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</si>
  <si>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</si>
  <si>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</si>
  <si>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</si>
  <si>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</si>
  <si>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</si>
  <si>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</si>
  <si>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</si>
  <si>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</si>
  <si>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</si>
  <si>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</si>
  <si>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</si>
  <si>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</si>
  <si>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</si>
  <si>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</si>
  <si>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</si>
  <si>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</si>
  <si>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</si>
  <si>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</si>
  <si>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</si>
  <si>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</si>
  <si>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</si>
  <si>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</si>
  <si>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</si>
  <si>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</si>
  <si>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</si>
  <si>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</si>
  <si>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</si>
  <si>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</si>
  <si>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</si>
  <si>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</si>
  <si>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</si>
  <si>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</si>
  <si>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</si>
  <si>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</si>
  <si>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</si>
  <si>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</si>
  <si>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</si>
  <si>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</si>
  <si>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</si>
  <si>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</si>
  <si>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</si>
  <si>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</si>
  <si>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</si>
  <si>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</si>
  <si>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</si>
  <si>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</si>
  <si>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</si>
  <si>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</si>
  <si>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</si>
  <si>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</si>
  <si>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</si>
  <si>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</si>
  <si>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</si>
  <si>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</si>
  <si>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</si>
  <si>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</si>
  <si>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</si>
  <si>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</si>
  <si>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</si>
  <si>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</si>
  <si>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</si>
  <si>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</si>
  <si>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</si>
  <si>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</si>
  <si>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</si>
  <si>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</si>
  <si>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</si>
  <si>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</si>
  <si>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</si>
  <si>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</si>
  <si>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</si>
  <si>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</si>
  <si>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</si>
  <si>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</si>
  <si>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</si>
  <si>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</si>
  <si>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</si>
  <si>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</si>
  <si>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</si>
  <si>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</si>
  <si>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</si>
  <si>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</si>
  <si>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</si>
  <si>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</si>
  <si>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</si>
  <si>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</si>
  <si>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</si>
  <si>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</si>
  <si>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</si>
  <si>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</si>
  <si>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</si>
  <si>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</si>
  <si>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</si>
  <si>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</si>
  <si>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</si>
  <si>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</si>
  <si>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</si>
  <si>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</si>
  <si>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</si>
  <si>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</si>
  <si>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</si>
  <si>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</si>
  <si>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</si>
  <si>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</si>
  <si>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</si>
  <si>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</si>
  <si>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</si>
  <si>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</si>
  <si>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</si>
  <si>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</si>
  <si>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</si>
  <si>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</si>
  <si>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</si>
  <si>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</si>
  <si>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</si>
  <si>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</si>
  <si>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</si>
  <si>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</si>
  <si>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</si>
  <si>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</si>
  <si>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</si>
  <si>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</si>
  <si>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</si>
  <si>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</si>
  <si>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</si>
  <si>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中國旺旺</t>
  </si>
  <si>
    <t>0151.HK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</si>
</sst>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46044</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4.82</v>
      </c>
      <c r="E8" s="32"/>
    </row>
    <row r="9" spans="1:9">
      <c r="B9" s="4" t="s">
        <v>346</v>
      </c>
      <c r="C9" s="48">
        <v>11803071135</v>
      </c>
    </row>
    <row r="10" spans="1:9">
      <c r="B10" s="4" t="s">
        <v>352</v>
      </c>
      <c r="C10" s="33">
        <f>Thesis!C8*Common_Shares/1000000</f>
        <v>56890.802870700005</v>
      </c>
      <c r="D10" s="1" t="s">
        <v>527</v>
      </c>
      <c r="E10" s="303">
        <f>Scenarios!F34</f>
        <v>0.14187358415295637</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545</v>
      </c>
      <c r="D15" s="4" t="s">
        <v>353</v>
      </c>
      <c r="E15" s="253" t="str">
        <f>IF(E17=C7,C7,E17&amp;"/"&amp;C7)</f>
        <v>HKD</v>
      </c>
    </row>
    <row r="16" spans="1:9">
      <c r="B16" s="1" t="s">
        <v>320</v>
      </c>
      <c r="C16" s="417" t="s">
        <v>545</v>
      </c>
      <c r="D16" s="4" t="s">
        <v>354</v>
      </c>
      <c r="E16" s="416">
        <v>1</v>
      </c>
    </row>
    <row r="17" spans="1:6">
      <c r="B17" s="1" t="s">
        <v>531</v>
      </c>
      <c r="C17" s="456">
        <v>0.02</v>
      </c>
      <c r="D17" s="4" t="s">
        <v>274</v>
      </c>
      <c r="E17" s="224" t="s">
        <v>308</v>
      </c>
    </row>
    <row r="18" spans="1:6">
      <c r="B18" s="1" t="str">
        <f>"Expected Equity Value ("&amp;C7&amp;") :"</f>
        <v>Expected Equity Value (HKD) :</v>
      </c>
      <c r="C18" s="252">
        <f>C125</f>
        <v>6.6277455556474951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3.3455729956390798</v>
      </c>
      <c r="D22" s="38" t="s">
        <v>406</v>
      </c>
      <c r="E22" s="79">
        <v>0.29465259038036606</v>
      </c>
    </row>
    <row r="23" spans="1:6">
      <c r="B23" s="1" t="s">
        <v>313</v>
      </c>
      <c r="C23" s="256">
        <f>E141</f>
        <v>4.1632581103676909</v>
      </c>
      <c r="D23" s="38" t="s">
        <v>407</v>
      </c>
      <c r="E23" s="443">
        <v>0.20075184365903009</v>
      </c>
    </row>
    <row r="24" spans="1:6">
      <c r="B24" s="1" t="s">
        <v>315</v>
      </c>
      <c r="C24" s="256">
        <f>E144</f>
        <v>5.1345919269174427</v>
      </c>
      <c r="D24" s="38" t="s">
        <v>408</v>
      </c>
      <c r="E24" s="443">
        <v>0.1174</v>
      </c>
    </row>
    <row r="25" spans="1:6">
      <c r="B25" s="1" t="s">
        <v>314</v>
      </c>
      <c r="C25" s="256">
        <f>E145</f>
        <v>5.7883592149489207</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5154221.0000000019</v>
      </c>
      <c r="D34" s="1" t="str">
        <f>Reporting_currency</f>
        <v>HKD</v>
      </c>
    </row>
    <row r="35" spans="2:6">
      <c r="B35" s="44"/>
      <c r="C35" s="73"/>
    </row>
    <row r="36" spans="2:6" ht="24.5" customHeight="1">
      <c r="B36" s="461" t="s">
        <v>198</v>
      </c>
      <c r="C36" s="461"/>
      <c r="D36" s="461"/>
      <c r="E36" s="461"/>
      <c r="F36" s="461"/>
    </row>
    <row r="37" spans="2:6">
      <c r="B37" s="44" t="s">
        <v>199</v>
      </c>
      <c r="C37" s="285">
        <f>Normalized_FCF!C15</f>
        <v>921601</v>
      </c>
      <c r="D37" s="1" t="str">
        <f>Reporting_currency</f>
        <v>HKD</v>
      </c>
    </row>
    <row r="38" spans="2:6">
      <c r="B38" s="49" t="s">
        <v>200</v>
      </c>
      <c r="C38" s="285">
        <f>Normalized_FCF!C16</f>
        <v>-921601</v>
      </c>
      <c r="D38" s="1" t="str">
        <f>Reporting_currency</f>
        <v>HKD</v>
      </c>
    </row>
    <row r="40" spans="2:6">
      <c r="B40" s="461" t="s">
        <v>201</v>
      </c>
      <c r="C40" s="461"/>
      <c r="D40" s="461"/>
      <c r="E40" s="461"/>
      <c r="F40" s="461"/>
    </row>
    <row r="41" spans="2:6">
      <c r="B41" s="44" t="s">
        <v>202</v>
      </c>
      <c r="C41" s="285">
        <f>Normalized_FCF!C9</f>
        <v>0</v>
      </c>
      <c r="D41" s="1" t="str">
        <f>Reporting_currency</f>
        <v>HKD</v>
      </c>
    </row>
    <row r="43" spans="2:6">
      <c r="B43" s="461" t="s">
        <v>205</v>
      </c>
      <c r="C43" s="461"/>
      <c r="D43" s="461"/>
      <c r="E43" s="461"/>
      <c r="F43" s="461"/>
    </row>
    <row r="44" spans="2:6">
      <c r="B44" s="44" t="s">
        <v>267</v>
      </c>
      <c r="C44" s="286">
        <f>Normalized_FCF!C46</f>
        <v>20235.564924692004</v>
      </c>
      <c r="D44" s="1" t="str">
        <f>Reporting_currency</f>
        <v>HKD</v>
      </c>
      <c r="E44" s="244"/>
      <c r="F44" s="244"/>
    </row>
    <row r="45" spans="2:6">
      <c r="B45" s="44" t="s">
        <v>268</v>
      </c>
      <c r="C45" s="286">
        <f>Normalized_FCF!C45</f>
        <v>-292580.58</v>
      </c>
      <c r="D45" s="1" t="str">
        <f>Reporting_currency</f>
        <v>HKD</v>
      </c>
      <c r="E45" s="244"/>
      <c r="F45" s="244"/>
    </row>
    <row r="46" spans="2:6">
      <c r="B46" s="44" t="s">
        <v>203</v>
      </c>
      <c r="C46" s="285">
        <f>Normalized_FCF!C10</f>
        <v>-272345.01507530804</v>
      </c>
      <c r="D46" s="1" t="str">
        <f>Reporting_currency</f>
        <v>HKD</v>
      </c>
    </row>
    <row r="48" spans="2:6">
      <c r="B48" s="1" t="s">
        <v>211</v>
      </c>
    </row>
    <row r="49" spans="2:6">
      <c r="B49" s="44" t="s">
        <v>223</v>
      </c>
      <c r="C49" s="285">
        <f>Normalized_FCF!C13</f>
        <v>0</v>
      </c>
      <c r="D49" s="1" t="str">
        <f>Reporting_currency</f>
        <v>HKD</v>
      </c>
    </row>
    <row r="51" spans="2:6">
      <c r="B51" s="461" t="s">
        <v>206</v>
      </c>
      <c r="C51" s="461"/>
      <c r="D51" s="461"/>
      <c r="E51" s="461"/>
      <c r="F51" s="461"/>
    </row>
    <row r="52" spans="2:6">
      <c r="B52" s="44" t="s">
        <v>204</v>
      </c>
      <c r="C52" s="285">
        <f>Normalized_FCF!C12</f>
        <v>-1220468.9962311734</v>
      </c>
      <c r="D52" s="1" t="str">
        <f>Reporting_currency</f>
        <v>HKD</v>
      </c>
    </row>
    <row r="54" spans="2:6">
      <c r="B54" s="461" t="s">
        <v>265</v>
      </c>
      <c r="C54" s="464"/>
      <c r="D54" s="464"/>
      <c r="E54" s="464"/>
      <c r="F54" s="464"/>
    </row>
    <row r="55" spans="2:6">
      <c r="B55" s="44" t="s">
        <v>207</v>
      </c>
      <c r="C55" s="285">
        <f>Normalized_FCF!C17</f>
        <v>0</v>
      </c>
      <c r="D55" s="1" t="str">
        <f>Reporting_currency</f>
        <v>HKD</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3577299.2818093933</v>
      </c>
      <c r="D60" s="1" t="str">
        <f>Reporting_currency</f>
        <v>HKD</v>
      </c>
    </row>
    <row r="61" spans="2:6">
      <c r="B61" s="44" t="s">
        <v>213</v>
      </c>
      <c r="C61" s="285">
        <f>Normalized_FCF!C19</f>
        <v>3661406.9886935204</v>
      </c>
      <c r="D61" s="1" t="str">
        <f>Reporting_currency</f>
        <v>HKD</v>
      </c>
    </row>
    <row r="62" spans="2:6">
      <c r="B62" s="204" t="s">
        <v>302</v>
      </c>
      <c r="C62" s="89">
        <f>Normalized_FCF!C124</f>
        <v>6.4358504431991842E-2</v>
      </c>
      <c r="F62" s="257"/>
    </row>
    <row r="63" spans="2:6">
      <c r="B63" s="204" t="s">
        <v>332</v>
      </c>
      <c r="C63" s="89">
        <f>Normalized_FCF!C92</f>
        <v>3.3029045643153523E-2</v>
      </c>
      <c r="E63" s="44" t="s">
        <v>322</v>
      </c>
      <c r="F63" s="258">
        <f>Normalized_FCF!C90</f>
        <v>0.5132040580286571</v>
      </c>
    </row>
    <row r="65" spans="1:6">
      <c r="B65" s="192" t="s">
        <v>325</v>
      </c>
      <c r="C65" s="264" t="s">
        <v>327</v>
      </c>
      <c r="D65" s="264" t="s">
        <v>328</v>
      </c>
    </row>
    <row r="66" spans="1:6">
      <c r="B66" s="44" t="s">
        <v>326</v>
      </c>
      <c r="C66" s="89">
        <f>Normalized_FCF!E119</f>
        <v>0.27382509866113364</v>
      </c>
      <c r="D66" s="89">
        <f>Normalized_FCF!G119</f>
        <v>0.28020929484316204</v>
      </c>
    </row>
    <row r="67" spans="1:6">
      <c r="B67" s="229" t="str">
        <f>Normalized_FCF!B116</f>
        <v>Pre-tax Profit/Sales</v>
      </c>
      <c r="C67" s="263">
        <f>Normalized_FCF!E116</f>
        <v>0.20764453215246689</v>
      </c>
      <c r="D67" s="263">
        <f>Normalized_FCF!G116</f>
        <v>0.21248573712552665</v>
      </c>
    </row>
    <row r="68" spans="1:6">
      <c r="B68" s="229" t="str">
        <f>Normalized_FCF!B117</f>
        <v>Sales/Total Assets</v>
      </c>
      <c r="C68" s="265">
        <f>Normalized_FCF!E117</f>
        <v>0.86056930273853416</v>
      </c>
      <c r="D68" s="265">
        <f>Normalized_FCF!G117</f>
        <v>0.86056930273853416</v>
      </c>
    </row>
    <row r="69" spans="1:6">
      <c r="B69" s="229" t="str">
        <f>Normalized_FCF!B118</f>
        <v>Total Assets/Equity</v>
      </c>
      <c r="C69" s="265">
        <f>Normalized_FCF!E118</f>
        <v>1.532381509863507</v>
      </c>
      <c r="D69" s="265">
        <f>Normalized_FCF!G118</f>
        <v>1.532381509863507</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-4876343</v>
      </c>
      <c r="D78" s="1" t="str">
        <f>Reporting_currency</f>
        <v>HKD</v>
      </c>
    </row>
    <row r="79" spans="1:6">
      <c r="A79" s="191"/>
      <c r="B79" s="44" t="s">
        <v>234</v>
      </c>
      <c r="C79" s="201">
        <f>C78*scaling_factor*Exchange_Rate/Common_Shares</f>
        <v>-0.4131418801281333</v>
      </c>
      <c r="D79" s="1" t="str">
        <f>Market_currency</f>
        <v>HKD</v>
      </c>
    </row>
    <row r="80" spans="1:6">
      <c r="A80" s="191"/>
      <c r="B80" s="229" t="s">
        <v>309</v>
      </c>
      <c r="C80" s="337">
        <f>IF(BS!G31/BS!G27&gt;300%,"nm",BS!G31/BS!G27)</f>
        <v>0.27351475277205878</v>
      </c>
    </row>
    <row r="81" spans="1:6">
      <c r="A81" s="191"/>
      <c r="B81" s="229" t="s">
        <v>311</v>
      </c>
      <c r="C81" s="338">
        <f>IF(BS!C50&gt;30,"nm",BS!C50)</f>
        <v>0.94608729427783522</v>
      </c>
    </row>
    <row r="82" spans="1:6">
      <c r="A82" s="191"/>
    </row>
    <row r="83" spans="1:6">
      <c r="A83" s="191"/>
      <c r="B83" s="1" t="s">
        <v>466</v>
      </c>
    </row>
    <row r="84" spans="1:6">
      <c r="A84" s="191"/>
      <c r="B84" s="1" t="s">
        <v>224</v>
      </c>
      <c r="C84" s="285">
        <f>DCF!F5</f>
        <v>11614285.845884666</v>
      </c>
      <c r="D84" s="1" t="str">
        <f>Reporting_currency</f>
        <v>HKD</v>
      </c>
    </row>
    <row r="85" spans="1:6">
      <c r="A85" s="191"/>
      <c r="B85" s="229" t="s">
        <v>222</v>
      </c>
      <c r="C85" s="291">
        <f>BS!C66</f>
        <v>14986880</v>
      </c>
      <c r="D85" s="339" t="str">
        <f>Reporting_currency</f>
        <v>HKD</v>
      </c>
    </row>
    <row r="86" spans="1:6">
      <c r="A86" s="191"/>
      <c r="B86" s="44" t="s">
        <v>235</v>
      </c>
      <c r="C86" s="201">
        <f>C84*scaling_factor*Exchange_Rate/Common_Shares</f>
        <v>0.98400540952807414</v>
      </c>
      <c r="D86" s="1" t="str">
        <f>Market_currency</f>
        <v>HKD</v>
      </c>
    </row>
    <row r="87" spans="1:6">
      <c r="A87" s="191"/>
    </row>
    <row r="88" spans="1:6">
      <c r="A88" s="191"/>
      <c r="B88" s="1" t="s">
        <v>216</v>
      </c>
    </row>
    <row r="89" spans="1:6">
      <c r="A89" s="191"/>
      <c r="B89" s="1" t="s">
        <v>217</v>
      </c>
      <c r="C89" s="285">
        <f>DCF!F6</f>
        <v>186889</v>
      </c>
      <c r="D89" s="1" t="str">
        <f>Reporting_currency</f>
        <v>HKD</v>
      </c>
    </row>
    <row r="90" spans="1:6">
      <c r="A90" s="191"/>
      <c r="B90" s="44" t="s">
        <v>236</v>
      </c>
      <c r="C90" s="201">
        <f>C89*scaling_factor*Exchange_Rate/Common_Shares</f>
        <v>1.5833929818978423E-2</v>
      </c>
      <c r="D90" s="1" t="str">
        <f>Market_currency</f>
        <v>HKD</v>
      </c>
    </row>
    <row r="91" spans="1:6">
      <c r="A91" s="191"/>
    </row>
    <row r="92" spans="1:6">
      <c r="A92" s="191"/>
      <c r="B92" s="44" t="s">
        <v>469</v>
      </c>
      <c r="C92" s="216">
        <f>DCF!F8</f>
        <v>0.58669745921891925</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0.59749676752244707</v>
      </c>
      <c r="D111" s="1" t="str">
        <f>Market_currency</f>
        <v>HKD</v>
      </c>
    </row>
    <row r="112" spans="2:6">
      <c r="B112" s="44" t="s">
        <v>323</v>
      </c>
      <c r="C112" s="216">
        <f>DCF!C11</f>
        <v>6.613595577113105</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0.06</v>
      </c>
      <c r="D118" s="207" t="str">
        <f>ROUND(DCF!E90,2)&amp;" "&amp;Market_currency</f>
        <v>8.49 HKD</v>
      </c>
      <c r="E118" s="208">
        <f>DCF!F90</f>
        <v>0.15</v>
      </c>
      <c r="F118" s="208">
        <f>RATE(Holding_Period,Scenarios!C$58,-DCF!E90,C$18)</f>
        <v>-5.8810474812513162E-2</v>
      </c>
    </row>
    <row r="119" spans="2:6">
      <c r="B119" s="205" t="str">
        <f>DCF!B91&amp;" ("&amp;DCF!D91&amp;"yrs)"</f>
        <v>Optimistic (15yrs)</v>
      </c>
      <c r="C119" s="198">
        <f>DCF!C91</f>
        <v>0.05</v>
      </c>
      <c r="D119" s="207" t="str">
        <f>ROUND(DCF!E91,2)&amp;" "&amp;Market_currency</f>
        <v>7.71 HKD</v>
      </c>
      <c r="E119" s="199">
        <f>DCF!F91</f>
        <v>0.15999999999999995</v>
      </c>
      <c r="F119" s="208">
        <f>RATE(Holding_Period,Scenarios!C$58,-DCF!E91,C$18)</f>
        <v>-2.726690194899704E-2</v>
      </c>
    </row>
    <row r="120" spans="2:6">
      <c r="B120" s="205" t="str">
        <f>DCF!B92&amp;" ("&amp;DCF!D92&amp;"yrs)"</f>
        <v>Base (15yrs)</v>
      </c>
      <c r="C120" s="198">
        <f>DCF!C92</f>
        <v>0.03</v>
      </c>
      <c r="D120" s="207" t="str">
        <f>ROUND(DCF!E92,2)&amp;" "&amp;Market_currency</f>
        <v>6.39 HKD</v>
      </c>
      <c r="E120" s="199">
        <f>DCF!F92</f>
        <v>0.44</v>
      </c>
      <c r="F120" s="208">
        <f>RATE(Holding_Period,Scenarios!C$58,-DCF!E92,C$18)</f>
        <v>3.7139913387016728E-2</v>
      </c>
    </row>
    <row r="121" spans="2:6">
      <c r="B121" s="205" t="str">
        <f>DCF!B93&amp;" ("&amp;DCF!D93&amp;"yrs)"</f>
        <v>Pessimistic (15yrs)</v>
      </c>
      <c r="C121" s="198">
        <f>DCF!C93</f>
        <v>0.01</v>
      </c>
      <c r="D121" s="207" t="str">
        <f>ROUND(DCF!E93,2)&amp;" "&amp;Market_currency</f>
        <v>5.34 HKD</v>
      </c>
      <c r="E121" s="199">
        <f>DCF!F93</f>
        <v>0.19999999999999998</v>
      </c>
      <c r="F121" s="208">
        <f>RATE(Holding_Period,Scenarios!C$58,-DCF!E93,C$18)</f>
        <v>0.10276836564090074</v>
      </c>
    </row>
    <row r="122" spans="2:6">
      <c r="B122" s="205" t="str">
        <f>DCF!B94&amp;" ("&amp;DCF!D94&amp;"yrs)"</f>
        <v>Devil's advocate (15yrs)</v>
      </c>
      <c r="C122" s="198">
        <f>DCF!C94</f>
        <v>0</v>
      </c>
      <c r="D122" s="207" t="str">
        <f>ROUND(DCF!E94,2)&amp;" "&amp;Market_currency</f>
        <v>4.9 HKD</v>
      </c>
      <c r="E122" s="199">
        <f>DCF!F94</f>
        <v>0.05</v>
      </c>
      <c r="F122" s="208">
        <f>RATE(Holding_Period,Scenarios!C$58,-DCF!E94,C$18)</f>
        <v>0.13581567914138118</v>
      </c>
    </row>
    <row r="124" spans="2:6">
      <c r="B124" s="461" t="s">
        <v>357</v>
      </c>
      <c r="C124" s="461"/>
      <c r="D124" s="461"/>
      <c r="E124" s="461"/>
      <c r="F124" s="461"/>
    </row>
    <row r="125" spans="2:6">
      <c r="B125" s="193" t="s">
        <v>218</v>
      </c>
      <c r="C125" s="197">
        <f>Scenarios!C36</f>
        <v>6.6277455556474951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0.15920000000000001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0.29131237091673101</v>
      </c>
      <c r="D140" s="333">
        <f>Scenarios!D62</f>
        <v>3.0542606247223487</v>
      </c>
      <c r="E140" s="334">
        <f>Scenarios!E62</f>
        <v>3.3455729956390798</v>
      </c>
      <c r="F140" s="335">
        <f>E22</f>
        <v>0.29465259038036606</v>
      </c>
    </row>
    <row r="141" spans="1:6">
      <c r="B141" s="336" t="s">
        <v>313</v>
      </c>
      <c r="C141" s="333">
        <f>Scenarios!C63</f>
        <v>0.33495742840523723</v>
      </c>
      <c r="D141" s="333">
        <f>Scenarios!D63</f>
        <v>3.8283006819624537</v>
      </c>
      <c r="E141" s="334">
        <f>Scenarios!E63</f>
        <v>4.1632581103676909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0.38408641764943291</v>
      </c>
      <c r="D144" s="333">
        <f>Scenarios!D66</f>
        <v>4.7505055092680095</v>
      </c>
      <c r="E144" s="334">
        <f>Scenarios!E66</f>
        <v>5.1345919269174427</v>
      </c>
      <c r="F144" s="335">
        <f>E24</f>
        <v>0.1174</v>
      </c>
    </row>
    <row r="145" spans="1:6">
      <c r="B145" s="336" t="s">
        <v>314</v>
      </c>
      <c r="C145" s="333">
        <f>Scenarios!C67</f>
        <v>0.41589013616594417</v>
      </c>
      <c r="D145" s="333">
        <f>Scenarios!D67</f>
        <v>5.3724690787829763</v>
      </c>
      <c r="E145" s="334">
        <f>Scenarios!E67</f>
        <v>5.7883592149489207</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23510737</v>
      </c>
      <c r="D4" s="287">
        <v>23586327</v>
      </c>
      <c r="E4" s="287"/>
      <c r="F4" s="287"/>
      <c r="G4" s="287"/>
      <c r="H4" s="287"/>
      <c r="I4" s="287"/>
      <c r="J4" s="287"/>
      <c r="K4" s="287"/>
      <c r="L4" s="287"/>
      <c r="M4" s="287"/>
    </row>
    <row r="5" spans="2:13">
      <c r="B5" s="38" t="s">
        <v>40</v>
      </c>
      <c r="C5" s="287">
        <v>12321539</v>
      </c>
      <c r="D5" s="287">
        <v>12595406</v>
      </c>
      <c r="E5" s="287"/>
      <c r="F5" s="287"/>
      <c r="G5" s="287"/>
      <c r="H5" s="287"/>
      <c r="I5" s="287"/>
      <c r="J5" s="287"/>
      <c r="K5" s="287"/>
      <c r="L5" s="287"/>
      <c r="M5" s="287"/>
    </row>
    <row r="6" spans="2:13">
      <c r="B6" s="38" t="s">
        <v>51</v>
      </c>
      <c r="C6" s="287">
        <f>3008125+C7</f>
        <v>6034977</v>
      </c>
      <c r="D6" s="287">
        <f>3043140+D7</f>
        <v>6064360</v>
      </c>
      <c r="E6" s="287"/>
      <c r="F6" s="287"/>
      <c r="G6" s="287"/>
      <c r="H6" s="287"/>
      <c r="I6" s="287"/>
      <c r="J6" s="287"/>
      <c r="K6" s="287"/>
      <c r="L6" s="287"/>
      <c r="M6" s="287"/>
    </row>
    <row r="7" spans="2:13">
      <c r="B7" s="66" t="s">
        <v>58</v>
      </c>
      <c r="C7" s="288">
        <v>3026852</v>
      </c>
      <c r="D7" s="288">
        <v>3021220</v>
      </c>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v>67</v>
      </c>
      <c r="D10" s="287">
        <v>422</v>
      </c>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176233</v>
      </c>
      <c r="D12" s="287">
        <v>176233</v>
      </c>
      <c r="E12" s="287"/>
      <c r="F12" s="287"/>
      <c r="G12" s="287"/>
      <c r="H12" s="287"/>
      <c r="I12" s="287"/>
      <c r="J12" s="287"/>
      <c r="K12" s="287"/>
      <c r="L12" s="287"/>
      <c r="M12" s="287"/>
    </row>
    <row r="13" spans="2:13">
      <c r="B13" s="38" t="s">
        <v>64</v>
      </c>
      <c r="C13" s="287">
        <v>78393</v>
      </c>
      <c r="D13" s="287">
        <v>77014</v>
      </c>
      <c r="E13" s="287"/>
      <c r="F13" s="287"/>
      <c r="G13" s="287"/>
      <c r="H13" s="287"/>
      <c r="I13" s="287"/>
      <c r="J13" s="287"/>
      <c r="K13" s="287"/>
      <c r="L13" s="287"/>
      <c r="M13" s="287"/>
    </row>
    <row r="14" spans="2:13">
      <c r="B14" s="38" t="s">
        <v>47</v>
      </c>
      <c r="C14" s="287">
        <v>1411247</v>
      </c>
      <c r="D14" s="287">
        <v>1422288</v>
      </c>
      <c r="E14" s="287"/>
      <c r="F14" s="287"/>
      <c r="G14" s="287"/>
      <c r="H14" s="287"/>
      <c r="I14" s="287"/>
      <c r="J14" s="287"/>
      <c r="K14" s="287"/>
      <c r="L14" s="287"/>
      <c r="M14" s="287"/>
    </row>
    <row r="15" spans="2:13">
      <c r="B15" s="41" t="s">
        <v>39</v>
      </c>
      <c r="C15" s="289">
        <v>4328415</v>
      </c>
      <c r="D15" s="289">
        <v>3983179</v>
      </c>
      <c r="E15" s="289"/>
      <c r="F15" s="289"/>
      <c r="G15" s="289"/>
      <c r="H15" s="289"/>
      <c r="I15" s="289"/>
      <c r="J15" s="289"/>
      <c r="K15" s="289"/>
      <c r="L15" s="289"/>
      <c r="M15" s="289"/>
    </row>
    <row r="16" spans="2:13">
      <c r="B16" s="27" t="s">
        <v>41</v>
      </c>
      <c r="C16" s="287">
        <v>7150</v>
      </c>
      <c r="D16" s="287">
        <v>7295</v>
      </c>
      <c r="E16" s="287"/>
      <c r="F16" s="287"/>
      <c r="G16" s="287"/>
      <c r="H16" s="287"/>
      <c r="I16" s="287"/>
      <c r="J16" s="287"/>
      <c r="K16" s="287"/>
      <c r="L16" s="287"/>
      <c r="M16" s="287"/>
    </row>
    <row r="18" spans="2:13">
      <c r="B18" s="16" t="s">
        <v>48</v>
      </c>
      <c r="C18" s="9"/>
    </row>
    <row r="19" spans="2:13">
      <c r="B19" s="26" t="s">
        <v>44</v>
      </c>
      <c r="C19" s="287">
        <f>749602+165519+4880+1600</f>
        <v>921601</v>
      </c>
      <c r="D19" s="287">
        <f>780168+191028+1181+1127</f>
        <v>973504</v>
      </c>
      <c r="E19" s="287"/>
      <c r="F19" s="287"/>
      <c r="G19" s="287"/>
      <c r="H19" s="287"/>
      <c r="I19" s="287"/>
      <c r="J19" s="287"/>
      <c r="K19" s="287"/>
      <c r="L19" s="287"/>
      <c r="M19" s="287"/>
    </row>
    <row r="20" spans="2:13">
      <c r="B20" s="26" t="s">
        <v>50</v>
      </c>
      <c r="C20" s="287">
        <v>633455</v>
      </c>
      <c r="D20" s="287">
        <v>437233</v>
      </c>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4161620</v>
      </c>
      <c r="D22" s="287">
        <v>5151440</v>
      </c>
      <c r="E22" s="287"/>
      <c r="F22" s="287"/>
      <c r="G22" s="287"/>
      <c r="H22" s="287"/>
      <c r="I22" s="287"/>
      <c r="J22" s="287"/>
      <c r="K22" s="287"/>
      <c r="L22" s="287"/>
      <c r="M22" s="287"/>
    </row>
    <row r="23" spans="2:13">
      <c r="B23" s="26" t="s">
        <v>288</v>
      </c>
      <c r="C23" s="287">
        <v>-47985</v>
      </c>
      <c r="D23" s="287">
        <v>-2643843</v>
      </c>
      <c r="E23" s="287"/>
      <c r="F23" s="287"/>
      <c r="G23" s="287"/>
      <c r="H23" s="287"/>
      <c r="I23" s="287"/>
      <c r="J23" s="287"/>
      <c r="K23" s="287"/>
      <c r="L23" s="287"/>
      <c r="M23" s="287"/>
    </row>
    <row r="24" spans="2:13">
      <c r="B24" s="26" t="s">
        <v>287</v>
      </c>
      <c r="C24" s="287">
        <v>-4160974</v>
      </c>
      <c r="D24" s="287">
        <v>-2436093</v>
      </c>
      <c r="E24" s="287"/>
      <c r="F24" s="287"/>
      <c r="G24" s="287"/>
      <c r="H24" s="287"/>
      <c r="I24" s="287"/>
      <c r="J24" s="287"/>
      <c r="K24" s="287"/>
      <c r="L24" s="287"/>
      <c r="M24" s="287"/>
    </row>
    <row r="25" spans="2:13">
      <c r="B25" s="23" t="str">
        <f>"Dividend per share ("&amp;Market_currency&amp;")"</f>
        <v>Dividend per share (HKD)</v>
      </c>
      <c r="C25" s="37">
        <f>0.1592</f>
        <v>0.15920000000000001</v>
      </c>
      <c r="D25" s="37">
        <v>0.25729999999999997</v>
      </c>
      <c r="E25" s="37">
        <f>0.1645+0.0891</f>
        <v>0.25359999999999999</v>
      </c>
      <c r="F25" s="37">
        <f>0.1647+0.0647</f>
        <v>0.22939999999999999</v>
      </c>
      <c r="G25" s="37"/>
      <c r="H25" s="37"/>
      <c r="I25" s="37"/>
      <c r="J25" s="37"/>
      <c r="K25" s="37"/>
      <c r="L25" s="37"/>
      <c r="M25" s="37"/>
    </row>
    <row r="27" spans="2:13">
      <c r="B27" s="16" t="s">
        <v>26</v>
      </c>
      <c r="C27" s="94" t="s">
        <v>546</v>
      </c>
    </row>
    <row r="28" spans="2:13">
      <c r="B28" s="25" t="s">
        <v>22</v>
      </c>
      <c r="C28" s="270">
        <f>BS!C4</f>
        <v>960113</v>
      </c>
      <c r="D28" s="287">
        <f>832245+1215649</f>
        <v>2047894</v>
      </c>
      <c r="E28" s="287"/>
      <c r="F28" s="287"/>
      <c r="G28" s="287"/>
      <c r="H28" s="287"/>
      <c r="I28" s="287"/>
      <c r="J28" s="287"/>
      <c r="K28" s="287"/>
      <c r="L28" s="287"/>
      <c r="M28" s="287"/>
    </row>
    <row r="29" spans="2:13">
      <c r="B29" s="25" t="s">
        <v>30</v>
      </c>
      <c r="C29" s="270">
        <f>BS!C6</f>
        <v>2747540</v>
      </c>
      <c r="D29" s="287">
        <v>2415050</v>
      </c>
      <c r="E29" s="287"/>
      <c r="F29" s="287"/>
      <c r="G29" s="287"/>
      <c r="H29" s="287"/>
      <c r="I29" s="287"/>
      <c r="J29" s="287"/>
      <c r="K29" s="287"/>
      <c r="L29" s="287"/>
      <c r="M29" s="287"/>
    </row>
    <row r="30" spans="2:13">
      <c r="B30" s="28" t="s">
        <v>38</v>
      </c>
      <c r="C30" s="271">
        <f>BS!C33+BS!C42</f>
        <v>9491535</v>
      </c>
      <c r="D30" s="289">
        <v>11051330</v>
      </c>
      <c r="E30" s="289"/>
      <c r="F30" s="289"/>
      <c r="G30" s="289"/>
      <c r="H30" s="289"/>
      <c r="I30" s="289"/>
      <c r="J30" s="289"/>
      <c r="K30" s="289"/>
      <c r="L30" s="289"/>
      <c r="M30" s="289"/>
    </row>
    <row r="31" spans="2:13">
      <c r="B31" s="28" t="s">
        <v>28</v>
      </c>
      <c r="C31" s="271">
        <f>BS!G27</f>
        <v>17828446</v>
      </c>
      <c r="D31" s="289">
        <v>16405738</v>
      </c>
      <c r="E31" s="289"/>
      <c r="F31" s="289"/>
      <c r="G31" s="289"/>
      <c r="H31" s="289"/>
      <c r="I31" s="289"/>
      <c r="J31" s="289"/>
      <c r="K31" s="289"/>
      <c r="L31" s="289"/>
      <c r="M31" s="289"/>
    </row>
    <row r="32" spans="2:13">
      <c r="B32" s="25" t="s">
        <v>143</v>
      </c>
      <c r="C32" s="270">
        <f>BS!G28</f>
        <v>-7586</v>
      </c>
      <c r="D32" s="287">
        <v>40311</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23510737</v>
      </c>
      <c r="D36" s="270">
        <f t="shared" si="1"/>
        <v>23586327</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-12321539</v>
      </c>
      <c r="D37" s="270">
        <f t="shared" si="2"/>
        <v>-12595406</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11189198</v>
      </c>
      <c r="D38" s="267">
        <f t="shared" ref="D38" si="3">IF(D36="","",D36+D37)</f>
        <v>10990921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-6034977</v>
      </c>
      <c r="D39" s="270">
        <f t="shared" si="13"/>
        <v>-6064360</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-3026852</v>
      </c>
      <c r="D40" s="282">
        <f t="shared" si="14"/>
        <v>-3021220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-3008125</v>
      </c>
      <c r="D41" s="282">
        <f t="shared" ref="D41:M41" si="15">IF(D$4="","",D39-D40)</f>
        <v>-3043140</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5154221</v>
      </c>
      <c r="D43" s="271">
        <f t="shared" ref="D43:M43" si="17">IF(D$4="","",D38+D39+D42)</f>
        <v>4926561</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683281</v>
      </c>
      <c r="D44" s="290">
        <f t="shared" si="18"/>
        <v>578125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-97840</v>
      </c>
      <c r="D45" s="285">
        <f t="shared" si="19"/>
        <v>-99219</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-1411247</v>
      </c>
      <c r="D46" s="270">
        <f t="shared" ref="D46:M46" si="20">IF(D$4="","",-D14)</f>
        <v>-1422288</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4328415</v>
      </c>
      <c r="D47" s="271">
        <f t="shared" si="21"/>
        <v>3983179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-7150</v>
      </c>
      <c r="D48" s="270">
        <f t="shared" si="22"/>
        <v>-7295</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-176233</v>
      </c>
      <c r="D51" s="270">
        <f t="shared" si="23"/>
        <v>-176233</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78393</v>
      </c>
      <c r="D52" s="270">
        <f t="shared" ref="D52:M52" si="24">IF(D$4="","",D13)</f>
        <v>77014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67</v>
      </c>
      <c r="D56" s="285">
        <f t="shared" si="26"/>
        <v>422</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683214</v>
      </c>
      <c r="D58" s="285">
        <f t="shared" ref="D58:M58" si="28">IF(D$4="","",D44-D55-D56-D57)</f>
        <v>577703</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-921601</v>
      </c>
      <c r="D61" s="270">
        <f t="shared" ref="D61:M61" si="29">IF(D$4="","",-D19)</f>
        <v>-973504</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-633455</v>
      </c>
      <c r="D62" s="270">
        <f t="shared" ref="D62:M62" si="30">IF(D$4="","",IF(D20=0,D61,-D20))</f>
        <v>-437233</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-47339</v>
      </c>
      <c r="D64" s="270">
        <f t="shared" ref="D64:M64" si="32">IF(D$4="","",D22+D23+D24)</f>
        <v>71504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0.15920000000000001</v>
      </c>
      <c r="D65" s="70">
        <f t="shared" ref="D65:M65" si="33">IF(D$4="","",D25)</f>
        <v>0.25729999999999997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-3.2048228619911967E-3</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1.8040071437143368E-2</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4.6210734019126232E-2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0.18189145945945939</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8.6673483667191409E-2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27319981</v>
      </c>
      <c r="D76" s="285">
        <f t="shared" ref="D76:M76" si="39">IF(D$4="","",D79+D80)</f>
        <v>27457068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960113</v>
      </c>
      <c r="D77" s="282">
        <f t="shared" si="40"/>
        <v>2047894</v>
      </c>
      <c r="E77" s="282" t="str">
        <f t="shared" si="40"/>
        <v/>
      </c>
      <c r="F77" s="282" t="str">
        <f t="shared" si="40"/>
        <v/>
      </c>
      <c r="G77" s="282" t="str">
        <f t="shared" si="40"/>
        <v/>
      </c>
      <c r="H77" s="282" t="str">
        <f t="shared" si="40"/>
        <v/>
      </c>
      <c r="I77" s="291"/>
      <c r="J77" s="291"/>
      <c r="K77" s="291"/>
      <c r="L77" s="291"/>
      <c r="M77" s="291"/>
    </row>
    <row r="78" spans="2:13">
      <c r="B78" s="90" t="s">
        <v>83</v>
      </c>
      <c r="C78" s="260">
        <f t="shared" si="40"/>
        <v>2747540</v>
      </c>
      <c r="D78" s="282">
        <f t="shared" si="40"/>
        <v>2415050</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9491535</v>
      </c>
      <c r="D79" s="270">
        <f t="shared" si="41"/>
        <v>11051330</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17828446</v>
      </c>
      <c r="D80" s="270">
        <f t="shared" si="42"/>
        <v>16405738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960113</v>
      </c>
      <c r="D4" s="231">
        <v>0.6</v>
      </c>
      <c r="E4" s="24"/>
      <c r="F4" s="4" t="s">
        <v>74</v>
      </c>
      <c r="G4" s="18">
        <v>11445880</v>
      </c>
      <c r="H4" s="231">
        <v>0.9</v>
      </c>
    </row>
    <row r="5" spans="2:8" ht="15" customHeight="1">
      <c r="B5" s="1" t="s">
        <v>31</v>
      </c>
      <c r="C5" s="18">
        <v>0</v>
      </c>
      <c r="D5" s="231">
        <v>0.6</v>
      </c>
      <c r="E5" s="24"/>
      <c r="F5" s="1" t="s">
        <v>27</v>
      </c>
      <c r="G5" s="18">
        <v>0</v>
      </c>
      <c r="H5" s="231">
        <v>0.7</v>
      </c>
    </row>
    <row r="6" spans="2:8" ht="15" customHeight="1">
      <c r="B6" s="4" t="s">
        <v>8</v>
      </c>
      <c r="C6" s="18">
        <v>2747540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1181728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4889381</v>
      </c>
      <c r="D12" s="19">
        <f>C4*D4+C5*D5+C9*D9+C6*D6+C8*D8+C7*D7+C10*D10+C11*D11</f>
        <v>2068010.6</v>
      </c>
      <c r="F12" s="77" t="s">
        <v>67</v>
      </c>
      <c r="G12" s="78">
        <f>SUM(G4:G10)</f>
        <v>11445880</v>
      </c>
      <c r="H12" s="19">
        <f>G4*H4+G5*H5+G6*H6+G7*H7+G8*H8+G9*H9+G10*H10</f>
        <v>10301292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3541000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283005</v>
      </c>
      <c r="H17" s="231">
        <v>0.6</v>
      </c>
    </row>
    <row r="18" spans="2:8" ht="15" customHeight="1">
      <c r="B18" s="4" t="s">
        <v>144</v>
      </c>
      <c r="C18" s="18">
        <v>0</v>
      </c>
      <c r="D18" s="231">
        <v>0.6</v>
      </c>
      <c r="F18" s="4" t="s">
        <v>151</v>
      </c>
      <c r="G18" s="18">
        <v>0</v>
      </c>
      <c r="H18" s="231">
        <v>0.1</v>
      </c>
    </row>
    <row r="19" spans="2:8" ht="15" customHeight="1">
      <c r="B19" s="4" t="s">
        <v>24</v>
      </c>
      <c r="C19" s="18">
        <f>5440322+974865</f>
        <v>6415187</v>
      </c>
      <c r="D19" s="231">
        <v>0.1</v>
      </c>
      <c r="F19" s="4" t="s">
        <v>152</v>
      </c>
      <c r="G19" s="18">
        <v>142790</v>
      </c>
      <c r="H19" s="231">
        <v>0.1</v>
      </c>
    </row>
    <row r="20" spans="2:8" ht="15" customHeight="1">
      <c r="B20" s="4" t="s">
        <v>16</v>
      </c>
      <c r="C20" s="18">
        <v>0</v>
      </c>
      <c r="D20" s="231">
        <v>0.05</v>
      </c>
      <c r="F20" s="4" t="s">
        <v>149</v>
      </c>
      <c r="G20" s="18">
        <v>0</v>
      </c>
      <c r="H20" s="231">
        <v>0.2</v>
      </c>
    </row>
    <row r="21" spans="2:8" ht="15" customHeight="1">
      <c r="B21" s="4" t="s">
        <v>17</v>
      </c>
      <c r="C21" s="18">
        <v>13489</v>
      </c>
      <c r="D21" s="231">
        <v>0.05</v>
      </c>
      <c r="F21" s="1" t="s">
        <v>150</v>
      </c>
      <c r="G21" s="18">
        <v>28070</v>
      </c>
      <c r="H21" s="231">
        <v>0.1</v>
      </c>
    </row>
    <row r="22" spans="2:8" ht="15" customHeight="1">
      <c r="B22" s="4" t="s">
        <v>18</v>
      </c>
      <c r="C22" s="18">
        <v>561179</v>
      </c>
      <c r="D22" s="231">
        <v>0.9</v>
      </c>
      <c r="H22" s="232"/>
    </row>
    <row r="23" spans="2:8" ht="15" customHeight="1">
      <c r="B23" s="4" t="s">
        <v>19</v>
      </c>
      <c r="C23" s="18">
        <v>0</v>
      </c>
      <c r="D23" s="231">
        <v>0</v>
      </c>
      <c r="H23" s="232"/>
    </row>
    <row r="24" spans="2:8" ht="15" customHeight="1">
      <c r="B24" s="77" t="s">
        <v>70</v>
      </c>
      <c r="C24" s="78">
        <f>SUM(C15:C23)</f>
        <v>6989855</v>
      </c>
      <c r="D24" s="19">
        <f>C15*D15+C16*D16+C18*D18+C17*D17+C19*D19+C20*D20+C21*D21+C22*D22+C23*D23</f>
        <v>1147254.25</v>
      </c>
      <c r="F24" s="77" t="s">
        <v>68</v>
      </c>
      <c r="G24" s="78">
        <f>SUM(G15:G21)</f>
        <v>3994865</v>
      </c>
      <c r="H24" s="19">
        <f>G15*H15+G16*H16+G17*H17+G18*H18+G19*H19+G20*H20+G21*H21</f>
        <v>3019689</v>
      </c>
    </row>
    <row r="26" spans="2:8" ht="15" customHeight="1">
      <c r="B26" s="16" t="s">
        <v>169</v>
      </c>
      <c r="C26" s="164" t="s">
        <v>113</v>
      </c>
      <c r="F26" s="166" t="s">
        <v>165</v>
      </c>
      <c r="G26" s="167" t="s">
        <v>113</v>
      </c>
      <c r="H26" s="168" t="s">
        <v>33</v>
      </c>
    </row>
    <row r="27" spans="2:8" ht="15" customHeight="1">
      <c r="B27" s="4" t="s">
        <v>3</v>
      </c>
      <c r="C27" s="18">
        <v>3966210</v>
      </c>
      <c r="F27" s="169" t="s">
        <v>28</v>
      </c>
      <c r="G27" s="82">
        <f>G32-G30</f>
        <v>17828446</v>
      </c>
      <c r="H27" s="170">
        <f>H32-G30</f>
        <v>7044710.8499999996</v>
      </c>
    </row>
    <row r="28" spans="2:8" ht="15" customHeight="1">
      <c r="B28" s="4" t="s">
        <v>4</v>
      </c>
      <c r="C28" s="18">
        <v>115242</v>
      </c>
      <c r="F28" s="171" t="s">
        <v>209</v>
      </c>
      <c r="G28" s="287">
        <v>-7586</v>
      </c>
      <c r="H28" s="170"/>
    </row>
    <row r="29" spans="2:8" ht="15" customHeight="1">
      <c r="B29" s="4" t="s">
        <v>5</v>
      </c>
      <c r="C29" s="18">
        <v>0</v>
      </c>
      <c r="F29" s="172" t="s">
        <v>72</v>
      </c>
      <c r="G29" s="14">
        <f>G27-G28</f>
        <v>17836032</v>
      </c>
      <c r="H29" s="170">
        <f>H27-G28</f>
        <v>7052296.8499999996</v>
      </c>
    </row>
    <row r="30" spans="2:8" ht="15" customHeight="1">
      <c r="B30" s="2" t="s">
        <v>6</v>
      </c>
      <c r="C30" s="18">
        <v>0</v>
      </c>
      <c r="F30" s="169" t="s">
        <v>21</v>
      </c>
      <c r="G30" s="82">
        <f>C33+C42</f>
        <v>9491535</v>
      </c>
      <c r="H30" s="170"/>
    </row>
    <row r="31" spans="2:8" ht="15" customHeight="1">
      <c r="B31" s="77" t="s">
        <v>172</v>
      </c>
      <c r="C31" s="78">
        <f>SUM(C27:C30)</f>
        <v>4081452</v>
      </c>
      <c r="F31" s="172" t="s">
        <v>73</v>
      </c>
      <c r="G31" s="173">
        <f>C31+C40</f>
        <v>4876343</v>
      </c>
      <c r="H31" s="170"/>
    </row>
    <row r="32" spans="2:8" ht="15" customHeight="1">
      <c r="B32" s="4" t="s">
        <v>7</v>
      </c>
      <c r="C32" s="20">
        <f>C33-C31</f>
        <v>4400914</v>
      </c>
      <c r="F32" s="174" t="s">
        <v>71</v>
      </c>
      <c r="G32" s="175">
        <f>G35+G40</f>
        <v>27319981</v>
      </c>
      <c r="H32" s="170">
        <f>H35+H40</f>
        <v>16536245.85</v>
      </c>
    </row>
    <row r="33" spans="2:8" ht="15" customHeight="1">
      <c r="B33" s="80" t="s">
        <v>2</v>
      </c>
      <c r="C33" s="81">
        <v>8482366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11879236</v>
      </c>
      <c r="H35" s="182">
        <f>D12+D24</f>
        <v>3215264.85</v>
      </c>
    </row>
    <row r="36" spans="2:8" ht="15" customHeight="1">
      <c r="B36" s="4" t="s">
        <v>11</v>
      </c>
      <c r="C36" s="18">
        <v>700178</v>
      </c>
      <c r="F36" s="172" t="s">
        <v>166</v>
      </c>
      <c r="G36" s="173">
        <f>C4+C15</f>
        <v>960113</v>
      </c>
      <c r="H36" s="177"/>
    </row>
    <row r="37" spans="2:8" ht="15" customHeight="1">
      <c r="B37" s="4" t="s">
        <v>12</v>
      </c>
      <c r="C37" s="18">
        <v>94713</v>
      </c>
      <c r="F37" s="172" t="s">
        <v>167</v>
      </c>
      <c r="G37" s="173">
        <f>C6</f>
        <v>2747540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6415187</v>
      </c>
      <c r="H39" s="170">
        <f>C7*D7+C17*D17+C19*D19+C20*D20</f>
        <v>641518.70000000007</v>
      </c>
    </row>
    <row r="40" spans="2:8" ht="15" customHeight="1">
      <c r="B40" s="77" t="s">
        <v>173</v>
      </c>
      <c r="C40" s="78">
        <f>SUM(C36:C39)</f>
        <v>794891</v>
      </c>
      <c r="F40" s="181" t="s">
        <v>115</v>
      </c>
      <c r="G40" s="175">
        <f>G12+G24</f>
        <v>15440745</v>
      </c>
      <c r="H40" s="182">
        <f>H12+H24</f>
        <v>13320981</v>
      </c>
    </row>
    <row r="41" spans="2:8" ht="15" customHeight="1">
      <c r="B41" s="4" t="s">
        <v>15</v>
      </c>
      <c r="C41" s="20">
        <f>C42-C40</f>
        <v>214278</v>
      </c>
      <c r="F41" s="172" t="s">
        <v>160</v>
      </c>
      <c r="G41" s="173">
        <f>C70</f>
        <v>14986880</v>
      </c>
      <c r="H41" s="182">
        <f>H40-H42</f>
        <v>13134092</v>
      </c>
    </row>
    <row r="42" spans="2:8" ht="15" customHeight="1">
      <c r="B42" s="80" t="s">
        <v>20</v>
      </c>
      <c r="C42" s="81">
        <v>1009169</v>
      </c>
      <c r="F42" s="183" t="s">
        <v>161</v>
      </c>
      <c r="G42" s="184">
        <f>C82</f>
        <v>453865</v>
      </c>
      <c r="H42" s="185">
        <f>D82</f>
        <v>186889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17836032</v>
      </c>
      <c r="D46" s="73">
        <f>H29</f>
        <v>7052296.8499999996</v>
      </c>
      <c r="F46" s="223"/>
    </row>
    <row r="47" spans="2:8" ht="15" customHeight="1">
      <c r="B47" s="1" t="str">
        <f>"Equity per share ("&amp;Market_currency&amp;")"</f>
        <v>Equity per share (HKD)</v>
      </c>
      <c r="C47" s="134">
        <f>C46*H1/Common_Shares*Exchange_Rate</f>
        <v>1.5111348390598343</v>
      </c>
      <c r="D47" s="134">
        <f>D46*H1/Common_Shares*Exchange_Rate</f>
        <v>0.59749676752244707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0.94608729427783522</v>
      </c>
      <c r="D50" s="92">
        <f>G31/Normalized_FCF!G8</f>
        <v>0.94608729427783556</v>
      </c>
      <c r="F50" s="223"/>
    </row>
    <row r="51" spans="2:8" ht="15" customHeight="1">
      <c r="B51" s="1" t="s">
        <v>146</v>
      </c>
      <c r="C51" s="163"/>
      <c r="D51" s="89">
        <f>G29/G32</f>
        <v>0.65285667658407232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0.4338848895669723</v>
      </c>
      <c r="D54" s="89">
        <f>Normalized_FCF!G8/G35</f>
        <v>0.43388488956697213</v>
      </c>
      <c r="F54" s="223"/>
    </row>
    <row r="55" spans="2:8" ht="15" customHeight="1">
      <c r="B55" s="1" t="s">
        <v>118</v>
      </c>
      <c r="C55" s="89">
        <f>Normalized_FCF!C9/G40</f>
        <v>0</v>
      </c>
      <c r="D55" s="89">
        <f>Normalized_FCF!G9/G40</f>
        <v>4.3391688678234115E-6</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0.14365925732172732</v>
      </c>
      <c r="F58" s="5"/>
    </row>
    <row r="59" spans="2:8" ht="15" customHeight="1">
      <c r="B59" s="1" t="s">
        <v>89</v>
      </c>
      <c r="C59" s="95"/>
      <c r="D59" s="89">
        <f>G39/G32</f>
        <v>0.23481667135859283</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-4.2531881530600527E-4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14986880</v>
      </c>
      <c r="D66" s="73">
        <f>C66-D75</f>
        <v>11614285.845884666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14986880</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-1686297.0770576668</v>
      </c>
      <c r="D73" s="285">
        <f>(Normalized_FCF!C26+Normalized_FCF!C35-Normalized_FCF!C89)/12</f>
        <v>-1686297.0770576668</v>
      </c>
      <c r="F73" s="1" t="s">
        <v>278</v>
      </c>
    </row>
    <row r="74" spans="2:6" ht="15" customHeight="1">
      <c r="B74" s="227" t="s">
        <v>259</v>
      </c>
      <c r="C74" s="228">
        <f>-$C$66/C73</f>
        <v>8.8874494321901079</v>
      </c>
      <c r="D74" s="228">
        <f>-$C$66/D73</f>
        <v>8.8874494321901079</v>
      </c>
      <c r="F74" s="223" t="s">
        <v>257</v>
      </c>
    </row>
    <row r="75" spans="2:6" ht="15" customHeight="1">
      <c r="B75" s="77" t="s">
        <v>258</v>
      </c>
      <c r="C75" s="261"/>
      <c r="D75" s="262">
        <f>MAX(-D73*D76,G5)</f>
        <v>3372594.1541153337</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283005</v>
      </c>
      <c r="D79" s="73">
        <f>G7*H7+G17*H17</f>
        <v>169803</v>
      </c>
      <c r="F79" s="223"/>
    </row>
    <row r="80" spans="2:6" ht="15" customHeight="1">
      <c r="B80" s="102" t="s">
        <v>152</v>
      </c>
      <c r="C80" s="19">
        <f>G19</f>
        <v>142790</v>
      </c>
      <c r="D80" s="73">
        <f>G19*H19</f>
        <v>14279</v>
      </c>
      <c r="F80" s="223"/>
    </row>
    <row r="81" spans="2:8" ht="15" customHeight="1">
      <c r="B81" s="102" t="s">
        <v>150</v>
      </c>
      <c r="C81" s="19">
        <f>G9+G21</f>
        <v>28070</v>
      </c>
      <c r="D81" s="73">
        <f>G9*H9+G21*H21</f>
        <v>2807</v>
      </c>
      <c r="F81" s="223"/>
    </row>
    <row r="82" spans="2:8" ht="15" customHeight="1">
      <c r="B82" s="77" t="s">
        <v>159</v>
      </c>
      <c r="C82" s="78">
        <f>SUM(C79:C81)</f>
        <v>453865</v>
      </c>
      <c r="D82" s="78">
        <f>SUM(D79:D81)</f>
        <v>186889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-4876343</v>
      </c>
      <c r="D86" s="201">
        <f>C86*scaling_factor/Common_Shares</f>
        <v>-0.4131418801281333</v>
      </c>
      <c r="E86" s="214" t="str">
        <f>Market_currency</f>
        <v>HKD</v>
      </c>
    </row>
    <row r="87" spans="2:8" ht="15" customHeight="1">
      <c r="B87" s="212" t="s">
        <v>240</v>
      </c>
      <c r="C87" s="73">
        <f>DCF!F5*Exchange_Rate</f>
        <v>11614285.845884666</v>
      </c>
      <c r="D87" s="201">
        <f>C87*scaling_factor/Common_Shares</f>
        <v>0.98400540952807414</v>
      </c>
      <c r="E87" s="214" t="str">
        <f>Market_currency</f>
        <v>HKD</v>
      </c>
    </row>
    <row r="88" spans="2:8" ht="15" customHeight="1">
      <c r="B88" s="213" t="s">
        <v>159</v>
      </c>
      <c r="C88" s="73">
        <f>DCF!F6*Exchange_Rate</f>
        <v>186889</v>
      </c>
      <c r="D88" s="201">
        <f>C88*scaling_factor/Common_Shares</f>
        <v>1.5833929818978423E-2</v>
      </c>
      <c r="E88" s="214" t="str">
        <f>Market_currency</f>
        <v>HKD</v>
      </c>
    </row>
    <row r="89" spans="2:8" ht="15" customHeight="1">
      <c r="B89" s="77" t="s">
        <v>244</v>
      </c>
      <c r="C89" s="162">
        <f>SUM(C86:C88)</f>
        <v>6924831.8458846658</v>
      </c>
      <c r="D89" s="216">
        <f>SUM(D86:D88)</f>
        <v>0.58669745921891936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23510737</v>
      </c>
      <c r="D4" s="54"/>
      <c r="E4" s="235"/>
      <c r="F4" s="54"/>
      <c r="G4" s="270">
        <f>Data!C36</f>
        <v>23510737</v>
      </c>
      <c r="H4" s="270">
        <f>Data!D36</f>
        <v>23586327</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-15348390.999999998</v>
      </c>
      <c r="E5" s="237"/>
      <c r="G5" s="270">
        <f t="shared" ref="G5:Q5" si="1">G26</f>
        <v>-15348391</v>
      </c>
      <c r="H5" s="270">
        <f t="shared" si="1"/>
        <v>-15616626</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8162346.0000000019</v>
      </c>
      <c r="E6" s="237"/>
      <c r="G6" s="267">
        <f>IF(G4="","",G4+G5)</f>
        <v>8162346</v>
      </c>
      <c r="H6" s="267">
        <f t="shared" ref="H6:Q6" si="2">IF(H4="","",H4+H5)</f>
        <v>7969701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-3008125</v>
      </c>
      <c r="E7" s="237"/>
      <c r="G7" s="266">
        <f t="shared" ref="G7:Q7" si="3">G35</f>
        <v>-3008125</v>
      </c>
      <c r="H7" s="266">
        <f t="shared" si="3"/>
        <v>-3043140</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5154221.0000000019</v>
      </c>
      <c r="D8" s="56"/>
      <c r="E8" s="241"/>
      <c r="F8" s="56"/>
      <c r="G8" s="267">
        <f>IF(G$4="","",G6+G7)</f>
        <v>5154221</v>
      </c>
      <c r="H8" s="267">
        <f t="shared" ref="H8:Q8" si="4">IF(H$4="","",H6+H7)</f>
        <v>4926561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67</v>
      </c>
      <c r="H9" s="270">
        <f t="shared" ref="H9:Q9" si="5">H59</f>
        <v>422</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-272345.01507530804</v>
      </c>
      <c r="E10" s="237"/>
      <c r="G10" s="266">
        <f>G48</f>
        <v>-158591.71819060651</v>
      </c>
      <c r="H10" s="266">
        <f t="shared" ref="H10:Q10" si="6">H48</f>
        <v>-158902.04344433008</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4881875.9849246936</v>
      </c>
      <c r="E11" s="237"/>
      <c r="G11" s="267">
        <f t="shared" ref="G11:Q11" si="7">IF(G$4="","",SUM(G8:G10))</f>
        <v>4995696.2818093933</v>
      </c>
      <c r="H11" s="267">
        <f t="shared" si="7"/>
        <v>4768080.9565556701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-1220468.9962311734</v>
      </c>
      <c r="E12" s="237"/>
      <c r="G12" s="266">
        <f>Data!C46</f>
        <v>-1411247</v>
      </c>
      <c r="H12" s="266">
        <f>Data!D46</f>
        <v>-1422288</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0</v>
      </c>
      <c r="D13" s="57"/>
      <c r="E13" s="242"/>
      <c r="F13" s="57"/>
      <c r="G13" s="270">
        <f>Data!C48</f>
        <v>-7150</v>
      </c>
      <c r="H13" s="270">
        <f>Data!D48</f>
        <v>-7295</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3661406.9886935204</v>
      </c>
      <c r="D14" s="58"/>
      <c r="E14" s="243"/>
      <c r="F14" s="58"/>
      <c r="G14" s="267">
        <f t="shared" ref="G14:Q14" si="8">IF(G$4="","",SUM(G11:G13))</f>
        <v>3577299.2818093933</v>
      </c>
      <c r="H14" s="267">
        <f t="shared" si="8"/>
        <v>3338497.9565556701</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921601</v>
      </c>
      <c r="E15" s="237"/>
      <c r="G15" s="266">
        <f>IF(Data!C61="","",-Data!C61)</f>
        <v>921601</v>
      </c>
      <c r="H15" s="266">
        <f>IF(Data!D61="","",-Data!D61)</f>
        <v>973504</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-921601</v>
      </c>
      <c r="E16" s="237"/>
      <c r="G16" s="266">
        <f>Data!C62</f>
        <v>-633455</v>
      </c>
      <c r="H16" s="266">
        <f>Data!D62</f>
        <v>-437233</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3661406.9886935204</v>
      </c>
      <c r="D19" s="26"/>
      <c r="E19" s="234"/>
      <c r="F19" s="26"/>
      <c r="G19" s="271">
        <f t="shared" ref="G19:Q19" si="9">IF(G$4="","",G14+G17)</f>
        <v>3577299.2818093933</v>
      </c>
      <c r="H19" s="271">
        <f t="shared" si="9"/>
        <v>3338497.9565556701</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-12321538.999999998</v>
      </c>
      <c r="D23" s="55"/>
      <c r="E23" s="236"/>
      <c r="F23" s="55"/>
      <c r="G23" s="270">
        <f>Data!C37</f>
        <v>-12321539</v>
      </c>
      <c r="H23" s="270">
        <f>Data!D37</f>
        <v>-12595406</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-3026852.0000000005</v>
      </c>
      <c r="D24" s="26"/>
      <c r="E24" s="234"/>
      <c r="F24" s="26"/>
      <c r="G24" s="270">
        <f>Data!C40</f>
        <v>-3026852</v>
      </c>
      <c r="H24" s="270">
        <f>Data!D40</f>
        <v>-3021220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-15348390.999999998</v>
      </c>
      <c r="D26" s="9"/>
      <c r="E26" s="240"/>
      <c r="F26" s="9"/>
      <c r="G26" s="267">
        <f>IF(G$4="","",SUM(G23:G25))</f>
        <v>-15348391</v>
      </c>
      <c r="H26" s="267">
        <f t="shared" ref="H26:Q26" si="10">IF(H$4="","",SUM(H23:H25))</f>
        <v>-15616626</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0.52408135908287345</v>
      </c>
      <c r="D29" s="25"/>
      <c r="E29" s="235"/>
      <c r="F29" s="25"/>
      <c r="G29" s="13">
        <f t="shared" ref="G29:Q29" si="11">IF(G$4="","",ABS(G23/G$4))</f>
        <v>0.52408135908287345</v>
      </c>
      <c r="H29" s="13">
        <f t="shared" si="11"/>
        <v>0.53401303221141638</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0.1287433907324981</v>
      </c>
      <c r="D30" s="25"/>
      <c r="E30" s="235"/>
      <c r="F30" s="25"/>
      <c r="G30" s="13">
        <f t="shared" ref="G30:Q30" si="12">IF(G$4="","",ABS(G24/G$4))</f>
        <v>0.1287433907324981</v>
      </c>
      <c r="H30" s="13">
        <f t="shared" si="12"/>
        <v>0.1280920085607225</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0.65282474981537153</v>
      </c>
      <c r="E32" s="237"/>
      <c r="G32" s="29">
        <f t="shared" ref="G32:Q32" si="14">IF(G$4="","",ABS(G26/G$4))</f>
        <v>0.65282474981537164</v>
      </c>
      <c r="H32" s="29">
        <f t="shared" si="14"/>
        <v>0.66210504077213883</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-3008125</v>
      </c>
      <c r="D35" s="55"/>
      <c r="E35" s="236"/>
      <c r="F35" s="55"/>
      <c r="G35" s="267">
        <f>IF(G4="","",Data!C41)</f>
        <v>-3008125</v>
      </c>
      <c r="H35" s="267">
        <f>IF(H4="","",Data!D41)</f>
        <v>-3043140</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0.1279468610448069</v>
      </c>
      <c r="E38" s="237"/>
      <c r="G38" s="29">
        <f t="shared" ref="G38:Q38" si="15">IF(G$4="","",ABS(G35/G$4))</f>
        <v>0.1279468610448069</v>
      </c>
      <c r="H38" s="29">
        <f t="shared" si="15"/>
        <v>0.12902136055351052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0.28249255366838671</v>
      </c>
      <c r="H41" s="6">
        <f t="shared" si="16"/>
        <v>0.29829359294843466</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-292580.58</v>
      </c>
      <c r="E45" s="237"/>
      <c r="G45" s="266">
        <f>Data!C51</f>
        <v>-176233</v>
      </c>
      <c r="H45" s="266">
        <f>Data!D51</f>
        <v>-176233</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20235.564924692004</v>
      </c>
      <c r="E46" s="237"/>
      <c r="G46" s="274">
        <f t="shared" ref="G46:Q46" si="17">IFERROR(IF(G$4="","",($C$46/$C$47)*G47),0)</f>
        <v>17641.281809393506</v>
      </c>
      <c r="H46" s="274">
        <f t="shared" si="17"/>
        <v>17330.956555669913</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89921.279999999999</v>
      </c>
      <c r="D47" s="246"/>
      <c r="E47" s="247"/>
      <c r="F47" s="246"/>
      <c r="G47" s="278">
        <f>Data!C52</f>
        <v>78393</v>
      </c>
      <c r="H47" s="278">
        <f>Data!D52</f>
        <v>77014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-272345.01507530804</v>
      </c>
      <c r="E48" s="237"/>
      <c r="G48" s="267">
        <f>IF(G$4="","",(G45+G46))</f>
        <v>-158591.71819060651</v>
      </c>
      <c r="H48" s="267">
        <f t="shared" ref="H48:Q48" si="18">IF(H$4="","",(H45+H46))</f>
        <v>-158902.04344433008</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5.2307751846948801E-3</v>
      </c>
      <c r="H51" s="151"/>
      <c r="I51" s="151"/>
      <c r="J51" s="151"/>
      <c r="K51" s="151"/>
      <c r="L51" s="151"/>
      <c r="M51" s="151"/>
      <c r="N51" s="151"/>
      <c r="O51" s="151"/>
      <c r="P51" s="151"/>
      <c r="Q51" s="151"/>
    </row>
    <row r="52" spans="1:17" ht="15.75" customHeight="1">
      <c r="A52" s="10"/>
      <c r="B52" s="8" t="s">
        <v>84</v>
      </c>
      <c r="C52" s="79">
        <v>0.06</v>
      </c>
      <c r="E52" s="234"/>
      <c r="G52" s="22">
        <f>IFERROR(ABS(Normalized_FCF!G45/BS!$G$31),0)</f>
        <v>3.6140402756737987E-2</v>
      </c>
      <c r="H52" s="151"/>
      <c r="I52" s="151"/>
      <c r="J52" s="151"/>
      <c r="K52" s="151"/>
      <c r="L52" s="151"/>
      <c r="M52" s="151"/>
      <c r="N52" s="151"/>
      <c r="O52" s="151"/>
      <c r="P52" s="151"/>
      <c r="Q52" s="151"/>
    </row>
    <row r="53" spans="1:17" ht="15.75" customHeight="1">
      <c r="A53" s="10"/>
      <c r="B53" s="25" t="s">
        <v>87</v>
      </c>
      <c r="C53" s="40">
        <f>-C8/C45</f>
        <v>17.616415279510353</v>
      </c>
      <c r="E53" s="237"/>
      <c r="G53" s="40">
        <f t="shared" ref="G53:Q53" si="19">IF(G4="","",-G8/G45)</f>
        <v>29.246628043555972</v>
      </c>
      <c r="H53" s="40">
        <f t="shared" si="19"/>
        <v>27.954815499934746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67</v>
      </c>
      <c r="H56" s="266">
        <f>Data!D56</f>
        <v>422</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67</v>
      </c>
      <c r="H59" s="267">
        <f t="shared" si="20"/>
        <v>422</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683214</v>
      </c>
      <c r="H60" s="266">
        <f>Data!D58</f>
        <v>577703</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683281</v>
      </c>
      <c r="H61" s="267">
        <f t="shared" si="21"/>
        <v>578125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4.4705769312892341E-6</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0.65282474981537153</v>
      </c>
      <c r="D71" s="26"/>
      <c r="E71" s="234"/>
      <c r="F71" s="26"/>
      <c r="G71" s="6">
        <f t="shared" ref="G71:Q71" si="23">IF(G$4="","",ABS(G5/G$4))</f>
        <v>0.65282474981537164</v>
      </c>
      <c r="H71" s="6">
        <f t="shared" si="23"/>
        <v>0.66210504077213883</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0.34717525018462847</v>
      </c>
      <c r="D72" s="26"/>
      <c r="E72" s="234"/>
      <c r="F72" s="26"/>
      <c r="G72" s="62">
        <f t="shared" ref="G72:Q72" si="24">IF(G$4="","",ABS(G6/G$4))</f>
        <v>0.34717525018462841</v>
      </c>
      <c r="H72" s="62">
        <f t="shared" si="24"/>
        <v>0.33789495922786111</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0.1279468610448069</v>
      </c>
      <c r="D73" s="26"/>
      <c r="E73" s="234"/>
      <c r="F73" s="26"/>
      <c r="G73" s="6">
        <f t="shared" ref="G73:Q73" si="25">IF(G$4="","",ABS(G7/G$4))</f>
        <v>0.1279468610448069</v>
      </c>
      <c r="H73" s="6">
        <f t="shared" si="25"/>
        <v>0.12902136055351052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0.21922838913982159</v>
      </c>
      <c r="D74" s="26"/>
      <c r="E74" s="234"/>
      <c r="F74" s="26"/>
      <c r="G74" s="62">
        <f t="shared" ref="G74:Q74" si="26">IF(G$4="","",ABS(G8/G$4))</f>
        <v>0.21922838913982151</v>
      </c>
      <c r="H74" s="62">
        <f t="shared" si="26"/>
        <v>0.2088735986743506</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2.8497617918145228E-6</v>
      </c>
      <c r="H75" s="6">
        <f t="shared" si="27"/>
        <v>1.789172175896654E-5</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1.1583856987354672E-2</v>
      </c>
      <c r="D76" s="26"/>
      <c r="E76" s="234"/>
      <c r="F76" s="26"/>
      <c r="G76" s="6">
        <f t="shared" ref="G76:Q76" si="28">IF(G$4="","",ABS(G10/G$4))</f>
        <v>6.7455017760866664E-3</v>
      </c>
      <c r="H76" s="6">
        <f t="shared" si="28"/>
        <v>6.7370406356330971E-3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0.20764453215246692</v>
      </c>
      <c r="D77" s="26"/>
      <c r="E77" s="234"/>
      <c r="F77" s="26"/>
      <c r="G77" s="62">
        <f t="shared" ref="G77:Q77" si="29">IF(G$4="","",G11/G$4)</f>
        <v>0.21248573712552665</v>
      </c>
      <c r="H77" s="62">
        <f t="shared" si="29"/>
        <v>0.2021544497604765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5.191113303811673E-2</v>
      </c>
      <c r="D78" s="26"/>
      <c r="E78" s="234"/>
      <c r="F78" s="26"/>
      <c r="G78" s="6">
        <f t="shared" ref="G78:Q78" si="30">IF(G$4="","",ABS(G12/G$4))</f>
        <v>6.0025638498699553E-2</v>
      </c>
      <c r="H78" s="6">
        <f t="shared" si="30"/>
        <v>6.0301377149566356E-2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0</v>
      </c>
      <c r="D79" s="26"/>
      <c r="E79" s="234"/>
      <c r="F79" s="26"/>
      <c r="G79" s="6">
        <f t="shared" ref="G79:Q79" si="31">IF(G$4="","",-G13/G$4)</f>
        <v>3.0411637032050506E-4</v>
      </c>
      <c r="H79" s="6">
        <f t="shared" si="31"/>
        <v>3.0928936073853298E-4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0.15573339911435019</v>
      </c>
      <c r="D80" s="26"/>
      <c r="E80" s="234"/>
      <c r="F80" s="26"/>
      <c r="G80" s="62">
        <f t="shared" ref="G80:Q80" si="32">IF(G$4="","",ABS(G14/G$4))</f>
        <v>0.15215598225650662</v>
      </c>
      <c r="H80" s="62">
        <f t="shared" si="32"/>
        <v>0.14154378325017161</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3.919915398653815E-2</v>
      </c>
      <c r="D81" s="26"/>
      <c r="E81" s="234"/>
      <c r="F81" s="26"/>
      <c r="G81" s="6">
        <f t="shared" ref="G81:Q81" si="33">IF(G$4="","",G15/G$4)</f>
        <v>3.919915398653815E-2</v>
      </c>
      <c r="H81" s="6">
        <f t="shared" si="33"/>
        <v>4.1274082225689485E-2</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3.919915398653815E-2</v>
      </c>
      <c r="D82" s="26"/>
      <c r="E82" s="235" t="s">
        <v>547</v>
      </c>
      <c r="F82" s="26"/>
      <c r="G82" s="6">
        <f t="shared" ref="G82:Q82" si="34">IF(G$4="","",-G16/G$4)</f>
        <v>2.6943221728863709E-2</v>
      </c>
      <c r="H82" s="6">
        <f t="shared" si="34"/>
        <v>1.8537562037531322E-2</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0.15573339911435019</v>
      </c>
      <c r="D85" s="72"/>
      <c r="E85" s="234"/>
      <c r="F85" s="72"/>
      <c r="G85" s="62">
        <f t="shared" ref="G85:Q85" si="35">IF(G$4="","",ABS(G19/G$4))</f>
        <v>0.15215598225650662</v>
      </c>
      <c r="H85" s="62">
        <f t="shared" si="35"/>
        <v>0.14154378325017161</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0.15920000000000001</v>
      </c>
      <c r="E88" s="237"/>
      <c r="G88" s="109">
        <f>Data!C65</f>
        <v>0.15920000000000001</v>
      </c>
      <c r="H88" s="109">
        <f>Data!D65</f>
        <v>0.25729999999999997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1879048.9246920003</v>
      </c>
      <c r="E89" s="237"/>
      <c r="G89" s="71">
        <f t="shared" ref="G89:Q89" si="36">IF(G$4="","",G88*Common_Shares/scaling_factor)</f>
        <v>1879048.9246920003</v>
      </c>
      <c r="H89" s="71">
        <f t="shared" si="36"/>
        <v>3036930.2030354994</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0.5132040580286571</v>
      </c>
      <c r="E90" s="237"/>
      <c r="G90" s="152">
        <f t="shared" ref="G90:Q90" si="37">IF(G$4="","",G88/(G19*scaling_factor/Common_Shares))</f>
        <v>0.52527026023430157</v>
      </c>
      <c r="H90" s="152">
        <f t="shared" si="37"/>
        <v>0.90966963064093109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3.3029045643153523E-2</v>
      </c>
      <c r="E92" s="237"/>
      <c r="G92" s="22">
        <f t="shared" ref="G92:Q92" si="38">IF(G$4="","",(G88*(1-dividend_tax_rate))/Market_Price)</f>
        <v>3.3029045643153523E-2</v>
      </c>
      <c r="H92" s="22">
        <f t="shared" si="38"/>
        <v>5.33817427385892E-2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-3.2048228619911967E-3</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-2.2783670276183221E-2</v>
      </c>
      <c r="D96" s="26"/>
      <c r="E96" s="234"/>
      <c r="F96" s="26"/>
      <c r="G96" s="6">
        <f t="shared" ref="G96:Q96" si="40">IF(H5="","",G11/H11-1)</f>
        <v>4.7737302979466545E-2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27319981</v>
      </c>
      <c r="D100" s="25"/>
      <c r="E100" s="238"/>
      <c r="F100" s="25"/>
      <c r="G100" s="270">
        <f t="shared" ref="G100:Q100" si="41">IF(G$4="","",G104+G103)</f>
        <v>27319981</v>
      </c>
      <c r="H100" s="270">
        <f t="shared" si="41"/>
        <v>27457068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960113</v>
      </c>
      <c r="D101" s="86"/>
      <c r="E101" s="239"/>
      <c r="F101" s="86"/>
      <c r="G101" s="282">
        <f>IF(G$4="","",Data!D77)</f>
        <v>2047894</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2747540</v>
      </c>
      <c r="D102" s="86"/>
      <c r="E102" s="239"/>
      <c r="F102" s="86"/>
      <c r="G102" s="282">
        <f>IF(G$4="","",Data!D78)</f>
        <v>2415050</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9491535</v>
      </c>
      <c r="D103" s="25"/>
      <c r="E103" s="238"/>
      <c r="F103" s="25"/>
      <c r="G103" s="270">
        <f>Data!C79</f>
        <v>9491535</v>
      </c>
      <c r="H103" s="270">
        <f>Data!D79</f>
        <v>11051330</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17828446</v>
      </c>
      <c r="D104" s="25"/>
      <c r="E104" s="238"/>
      <c r="F104" s="25"/>
      <c r="G104" s="270">
        <f>Data!C80</f>
        <v>17828446</v>
      </c>
      <c r="H104" s="270">
        <f>Data!D80</f>
        <v>16405738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4.0837214077976372E-2</v>
      </c>
      <c r="D107" s="25"/>
      <c r="E107" s="238"/>
      <c r="F107" s="25"/>
      <c r="G107" s="91">
        <f t="shared" ref="G107:Q107" si="42">IF(G$4="","",G101/G$4)</f>
        <v>8.7104627983376273E-2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0.1168632016937623</v>
      </c>
      <c r="D108" s="25"/>
      <c r="E108" s="238"/>
      <c r="F108" s="25"/>
      <c r="G108" s="91">
        <f t="shared" ref="G108:Q108" si="43">IF(G$4="","",G102/G$4)</f>
        <v>0.10272115246748752</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0.96146510905262084</v>
      </c>
      <c r="H112" s="251">
        <f>IF(H$4="","",Data!D$22/Data!D15)</f>
        <v>1.2932986441231991</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1.1633413008416389</v>
      </c>
      <c r="H113" s="251">
        <f>IF(H$4="","",Data!D$22/H19)</f>
        <v>1.5430412320260165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0.20764453215246692</v>
      </c>
      <c r="E116" s="22">
        <f>E119/E117/E118</f>
        <v>0.20764453215246689</v>
      </c>
      <c r="G116" s="22">
        <f t="shared" ref="G116:Q116" si="44">IF(G4="","",G77)</f>
        <v>0.21248573712552665</v>
      </c>
      <c r="H116" s="22">
        <f t="shared" si="44"/>
        <v>0.2021544497604765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0.86056930273853416</v>
      </c>
      <c r="E117" s="452">
        <f>C117</f>
        <v>0.86056930273853416</v>
      </c>
      <c r="G117" s="40">
        <f t="shared" ref="G117:Q117" si="45">IF(G4="","",G4/G100)</f>
        <v>0.86056930273853416</v>
      </c>
      <c r="H117" s="40">
        <f t="shared" si="45"/>
        <v>0.85902569786402538</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1.532381509863507</v>
      </c>
      <c r="D118" s="11"/>
      <c r="E118" s="15">
        <f>C100/C104</f>
        <v>1.532381509863507</v>
      </c>
      <c r="F118" s="11"/>
      <c r="G118" s="15">
        <f t="shared" ref="G118:Q118" si="46">IF(G$4="","",G100/G104)</f>
        <v>1.532381509863507</v>
      </c>
      <c r="H118" s="15">
        <f t="shared" si="46"/>
        <v>1.6736258984508956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0.27382509866113364</v>
      </c>
      <c r="D119" s="100"/>
      <c r="E119" s="453">
        <f>C119</f>
        <v>0.27382509866113364</v>
      </c>
      <c r="F119" s="100"/>
      <c r="G119" s="99">
        <f t="shared" ref="G119:Q119" si="47">IF(G$4="","",G11/G104)</f>
        <v>0.28020929484316204</v>
      </c>
      <c r="H119" s="99">
        <f t="shared" si="47"/>
        <v>0.29063495690079105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0.31020799136220073</v>
      </c>
      <c r="D123" s="26"/>
      <c r="E123" s="234"/>
      <c r="F123" s="26"/>
      <c r="G123" s="159">
        <f t="shared" ref="G123:Q123" si="48">IF(G$4="","",G14*$C$3/Common_Shares*Exchange_Rate)</f>
        <v>0.30308207422401451</v>
      </c>
      <c r="H123" s="159">
        <f t="shared" si="48"/>
        <v>0.28284993950904203</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6.4358504431991842E-2</v>
      </c>
      <c r="D124" s="26"/>
      <c r="E124" s="234"/>
      <c r="F124" s="26"/>
      <c r="G124" s="74">
        <f t="shared" ref="G124" si="49">IF(G$4="","",G123/Market_Price)</f>
        <v>6.2880098386724995E-2</v>
      </c>
      <c r="H124" s="74">
        <f t="shared" ref="H124" si="50">IF(H$4="","",H123/Market_Price)</f>
        <v>5.8682560064116603E-2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7.6082860174033984E-2</v>
      </c>
      <c r="H125" s="22">
        <f>IF(H$4="","",(Data!D47*$C$3)/(Market_Price*Common_Shares))</f>
        <v>7.0014462777979597E-2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3661406.9886935204</v>
      </c>
      <c r="D4" t="str">
        <f>Reporting_currency</f>
        <v>HKD</v>
      </c>
      <c r="E4" s="135" t="s">
        <v>431</v>
      </c>
      <c r="F4" s="275">
        <f>-BS!G31</f>
        <v>-4876343</v>
      </c>
      <c r="G4" t="str">
        <f>Reporting_currency</f>
        <v>HKD</v>
      </c>
      <c r="H4" s="308" t="s">
        <v>394</v>
      </c>
      <c r="I4" s="305">
        <f>Normalized_FCF!C4</f>
        <v>23510737</v>
      </c>
      <c r="J4" s="305"/>
    </row>
    <row r="5" spans="2:15">
      <c r="B5" s="187" t="s">
        <v>105</v>
      </c>
      <c r="C5" s="188">
        <f>Equity_Cost</f>
        <v>7.2499999999999995E-2</v>
      </c>
      <c r="E5" s="135" t="s">
        <v>432</v>
      </c>
      <c r="F5" s="275">
        <f>BS!D66</f>
        <v>11614285.845884666</v>
      </c>
      <c r="G5" t="str">
        <f>Reporting_currency</f>
        <v>HKD</v>
      </c>
      <c r="H5" s="308" t="s">
        <v>395</v>
      </c>
      <c r="I5" s="305">
        <f>Normalized_FCF!C7</f>
        <v>-3008125</v>
      </c>
      <c r="J5" s="305"/>
    </row>
    <row r="6" spans="2:15" ht="13.25" customHeight="1">
      <c r="B6" s="136" t="s">
        <v>194</v>
      </c>
      <c r="C6" s="283">
        <f>(C4*(1+Terminal_Growth))/(Equity_Cost-Terminal_Growth)</f>
        <v>71135907.208902687</v>
      </c>
      <c r="D6" t="str">
        <f>Reporting_currency</f>
        <v>HKD</v>
      </c>
      <c r="E6" s="187" t="s">
        <v>433</v>
      </c>
      <c r="F6" s="284">
        <f>BS!H42</f>
        <v>186889</v>
      </c>
      <c r="G6" t="str">
        <f>Reporting_currency</f>
        <v>HKD</v>
      </c>
      <c r="H6" s="308" t="s">
        <v>416</v>
      </c>
      <c r="I6" s="305">
        <f>I7+I8</f>
        <v>-272345.01507530804</v>
      </c>
      <c r="J6" s="305"/>
      <c r="N6" s="135"/>
    </row>
    <row r="7" spans="2:15" ht="12.75" customHeight="1">
      <c r="B7" s="318" t="s">
        <v>430</v>
      </c>
      <c r="C7" s="275">
        <f>F7</f>
        <v>6924831.8458846658</v>
      </c>
      <c r="E7" s="140" t="s">
        <v>424</v>
      </c>
      <c r="F7" s="283">
        <f>SUM(F4:F6)</f>
        <v>6924831.8458846658</v>
      </c>
      <c r="G7" t="str">
        <f>Reporting_currency</f>
        <v>HKD</v>
      </c>
      <c r="H7" s="312" t="s">
        <v>417</v>
      </c>
      <c r="I7" s="313">
        <f>Normalized_FCF!C9</f>
        <v>0</v>
      </c>
      <c r="J7" s="313"/>
      <c r="N7" s="304"/>
      <c r="O7" s="304"/>
    </row>
    <row r="8" spans="2:15" ht="13.15">
      <c r="B8" s="136" t="s">
        <v>426</v>
      </c>
      <c r="C8" s="283">
        <f>C6+C7</f>
        <v>78060739.054787353</v>
      </c>
      <c r="D8" t="str">
        <f>Reporting_currency</f>
        <v>HKD</v>
      </c>
      <c r="E8" s="140" t="s">
        <v>464</v>
      </c>
      <c r="F8" s="108">
        <f>FV_adjustments*scaling_factor/Common_Shares*Exchange_Rate</f>
        <v>0.58669745921891925</v>
      </c>
      <c r="G8" s="294" t="str">
        <f>Market_currency</f>
        <v>HKD</v>
      </c>
      <c r="H8" s="314" t="str">
        <f>Normalized_FCF!B10</f>
        <v>Net Interest Income</v>
      </c>
      <c r="I8" s="313">
        <f>Normalized_FCF!C10</f>
        <v>-272345.01507530804</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0</v>
      </c>
      <c r="J9" s="306"/>
      <c r="N9" s="304"/>
      <c r="O9" s="304"/>
    </row>
    <row r="10" spans="2:15" ht="13.5" thickTop="1">
      <c r="B10" s="107" t="s">
        <v>427</v>
      </c>
      <c r="C10" s="283">
        <f>C8*Exchange_Rate</f>
        <v>78060739.054787353</v>
      </c>
      <c r="D10" t="str">
        <f>Market_currency</f>
        <v>HKD</v>
      </c>
      <c r="H10" s="308" t="s">
        <v>397</v>
      </c>
      <c r="I10" s="306">
        <f>Normalized_FCF!C41</f>
        <v>0.25</v>
      </c>
      <c r="N10" s="304"/>
      <c r="O10" s="304"/>
    </row>
    <row r="11" spans="2:15" ht="13.15">
      <c r="B11" s="136" t="s">
        <v>425</v>
      </c>
      <c r="C11" s="108">
        <f>(C10*scaling_factor)/Common_Shares</f>
        <v>6.613595577113105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15</v>
      </c>
      <c r="E15" s="308" t="str">
        <f>IF(F14="II","Change year","Terminal Year")</f>
        <v>Terminal Year</v>
      </c>
      <c r="F15" s="310">
        <f>IF(F14="II",_xlfn.CEILING.MATH(C15/2),C15+1)</f>
        <v>16</v>
      </c>
      <c r="H15" s="97" t="s">
        <v>429</v>
      </c>
      <c r="I15" s="126">
        <f>Terminal_Growth</f>
        <v>0.02</v>
      </c>
      <c r="J15" s="126"/>
    </row>
    <row r="16" spans="2:15" ht="13.25" customHeight="1">
      <c r="B16" s="114" t="s">
        <v>422</v>
      </c>
      <c r="C16" s="147">
        <f>Scenarios!C46</f>
        <v>3.4071209167200502E-2</v>
      </c>
      <c r="E16" s="308" t="s">
        <v>400</v>
      </c>
      <c r="F16" s="311">
        <f>Scenarios!C41</f>
        <v>3.4071209167200502E-2</v>
      </c>
    </row>
    <row r="17" spans="1:21" ht="13.25" customHeight="1">
      <c r="B17" s="308" t="s">
        <v>549</v>
      </c>
      <c r="C17" s="306">
        <f>Normalized_FCF!C77</f>
        <v>0.20764453215246692</v>
      </c>
      <c r="E17" s="308" t="s">
        <v>550</v>
      </c>
      <c r="F17" s="311">
        <f>Scenarios!C40</f>
        <v>0.20764453215246689</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6.6298734962193047</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24311776.238002039</v>
      </c>
      <c r="D21" s="299">
        <f t="shared" ref="D21:D50" si="1">IF(A21="",0,IF(A21="I",$C$16,$F$16))</f>
        <v>3.4071209167200502E-2</v>
      </c>
      <c r="E21" s="299">
        <f>$C$17</f>
        <v>0.20764453215246692</v>
      </c>
      <c r="F21" s="277">
        <f>C21*E21</f>
        <v>5048207.4027353954</v>
      </c>
      <c r="G21" s="299">
        <f t="shared" ref="G21:G50" si="2">IF(A21="",0%,IF(A21="I",$C$18,$F$18))</f>
        <v>0</v>
      </c>
      <c r="H21" s="277">
        <f>(F21*(1-$I$10)+C21*(G21-$I$9))</f>
        <v>3786155.5520515465</v>
      </c>
      <c r="I21" s="299">
        <f>H21/C4-1</f>
        <v>3.4071209167200411E-2</v>
      </c>
      <c r="J21" s="299">
        <f>H21/C21</f>
        <v>0.15573339911435019</v>
      </c>
      <c r="K21" s="119">
        <f t="shared" ref="K21:K50" si="3">IF($C$15&lt;B21,0,1/(1+Equity_Cost)^B21)</f>
        <v>0.93240093240093236</v>
      </c>
      <c r="L21" s="277">
        <f t="shared" ref="L21:L51" si="4">H21*K21</f>
        <v>3530214.9669478289</v>
      </c>
    </row>
    <row r="22" spans="1:21">
      <c r="A22" s="302" t="str">
        <f t="shared" si="0"/>
        <v>I</v>
      </c>
      <c r="B22" s="117">
        <v>2</v>
      </c>
      <c r="C22" s="277">
        <f t="shared" ref="C22:C50" si="5">IF(A22="",0,C21*(1+D22))</f>
        <v>25140107.85143318</v>
      </c>
      <c r="D22" s="299">
        <f t="shared" si="1"/>
        <v>3.4071209167200502E-2</v>
      </c>
      <c r="E22" s="299">
        <f t="shared" ref="E22:E50" si="6">IF($C$15&lt;B22,0,IF(B22&gt;=$F$15,$F$17,$C$17))</f>
        <v>0.20764453215246692</v>
      </c>
      <c r="F22" s="277">
        <f t="shared" ref="F22:F50" si="7">IF(A22="", 0,C22*E22)</f>
        <v>5220205.9330734033</v>
      </c>
      <c r="G22" s="299">
        <f t="shared" si="2"/>
        <v>0</v>
      </c>
      <c r="H22" s="277">
        <f t="shared" ref="H22:H50" si="8">IF(A22="", 0,F22*(1-$I$10)+C22*(G22-$I$9))</f>
        <v>3915154.4498050525</v>
      </c>
      <c r="I22" s="299">
        <f t="shared" ref="I22:I50" si="9">IF(A22="", 0,H22/H21-1)</f>
        <v>3.4071209167200633E-2</v>
      </c>
      <c r="J22" s="299">
        <f>IF(A22="", 0,H22/C22)</f>
        <v>0.15573339911435019</v>
      </c>
      <c r="K22" s="119">
        <f t="shared" si="3"/>
        <v>0.86937149874212816</v>
      </c>
      <c r="L22" s="277">
        <f t="shared" si="4"/>
        <v>3403723.6918339306</v>
      </c>
    </row>
    <row r="23" spans="1:21">
      <c r="A23" s="302" t="str">
        <f t="shared" si="0"/>
        <v>I</v>
      </c>
      <c r="B23" s="117">
        <v>3</v>
      </c>
      <c r="C23" s="277">
        <f t="shared" si="5"/>
        <v>25996661.724525336</v>
      </c>
      <c r="D23" s="299">
        <f t="shared" si="1"/>
        <v>3.4071209167200502E-2</v>
      </c>
      <c r="E23" s="299">
        <f t="shared" si="6"/>
        <v>0.20764453215246692</v>
      </c>
      <c r="F23" s="277">
        <f t="shared" si="7"/>
        <v>5398064.6613150071</v>
      </c>
      <c r="G23" s="299">
        <f t="shared" si="2"/>
        <v>0</v>
      </c>
      <c r="H23" s="277">
        <f t="shared" si="8"/>
        <v>4048548.4959862554</v>
      </c>
      <c r="I23" s="299">
        <f t="shared" si="9"/>
        <v>3.4071209167200189E-2</v>
      </c>
      <c r="J23" s="299">
        <f t="shared" ref="J23:J50" si="10">IF(A23="", 0,H23/C23)</f>
        <v>0.15573339911435019</v>
      </c>
      <c r="K23" s="119">
        <f t="shared" si="3"/>
        <v>0.81060279602995633</v>
      </c>
      <c r="L23" s="277">
        <f t="shared" si="4"/>
        <v>3281764.730709333</v>
      </c>
      <c r="N23" s="275"/>
      <c r="O23" s="275"/>
      <c r="P23" s="275"/>
      <c r="Q23" s="275"/>
      <c r="R23" s="275"/>
      <c r="S23" s="275"/>
      <c r="T23" s="275"/>
      <c r="U23" s="275"/>
    </row>
    <row r="24" spans="1:21">
      <c r="A24" s="302" t="str">
        <f t="shared" si="0"/>
        <v>I</v>
      </c>
      <c r="B24" s="117">
        <v>4</v>
      </c>
      <c r="C24" s="277">
        <f t="shared" si="5"/>
        <v>26882399.423790593</v>
      </c>
      <c r="D24" s="299">
        <f t="shared" si="1"/>
        <v>3.4071209167200502E-2</v>
      </c>
      <c r="E24" s="299">
        <f t="shared" si="6"/>
        <v>0.20764453215246692</v>
      </c>
      <c r="F24" s="277">
        <f t="shared" si="7"/>
        <v>5581983.2514887443</v>
      </c>
      <c r="G24" s="299">
        <f t="shared" si="2"/>
        <v>0</v>
      </c>
      <c r="H24" s="277">
        <f t="shared" si="8"/>
        <v>4186487.438616558</v>
      </c>
      <c r="I24" s="299">
        <f t="shared" si="9"/>
        <v>3.4071209167200411E-2</v>
      </c>
      <c r="J24" s="299">
        <f t="shared" si="10"/>
        <v>0.15573339911435019</v>
      </c>
      <c r="K24" s="119">
        <f t="shared" si="3"/>
        <v>0.75580680282513402</v>
      </c>
      <c r="L24" s="277">
        <f t="shared" si="4"/>
        <v>3164175.6860483652</v>
      </c>
      <c r="N24" s="275"/>
      <c r="O24" s="275"/>
      <c r="P24" s="275"/>
      <c r="Q24" s="275"/>
      <c r="R24" s="275"/>
      <c r="S24" s="275"/>
      <c r="T24" s="275"/>
      <c r="U24" s="275"/>
    </row>
    <row r="25" spans="1:21">
      <c r="A25" s="302" t="str">
        <f t="shared" si="0"/>
        <v>I</v>
      </c>
      <c r="B25" s="117">
        <v>5</v>
      </c>
      <c r="C25" s="277">
        <f t="shared" si="5"/>
        <v>27798315.277474791</v>
      </c>
      <c r="D25" s="299">
        <f t="shared" si="1"/>
        <v>3.4071209167200502E-2</v>
      </c>
      <c r="E25" s="299">
        <f t="shared" si="6"/>
        <v>0.20764453215246692</v>
      </c>
      <c r="F25" s="277">
        <f t="shared" si="7"/>
        <v>5772168.1704180269</v>
      </c>
      <c r="G25" s="299">
        <f t="shared" si="2"/>
        <v>0</v>
      </c>
      <c r="H25" s="277">
        <f t="shared" si="8"/>
        <v>4329126.1278135199</v>
      </c>
      <c r="I25" s="299">
        <f t="shared" si="9"/>
        <v>3.4071209167200411E-2</v>
      </c>
      <c r="J25" s="299">
        <f t="shared" si="10"/>
        <v>0.15573339911435019</v>
      </c>
      <c r="K25" s="119">
        <f t="shared" si="3"/>
        <v>0.70471496766912267</v>
      </c>
      <c r="L25" s="277">
        <f t="shared" si="4"/>
        <v>3050799.9791976591</v>
      </c>
      <c r="N25" s="275"/>
      <c r="O25" s="275"/>
      <c r="P25" s="275"/>
      <c r="Q25" s="275"/>
      <c r="R25" s="275"/>
      <c r="S25" s="275"/>
      <c r="T25" s="275"/>
      <c r="U25" s="275"/>
    </row>
    <row r="26" spans="1:21">
      <c r="A26" s="302" t="str">
        <f t="shared" si="0"/>
        <v>I</v>
      </c>
      <c r="B26" s="117">
        <v>6</v>
      </c>
      <c r="C26" s="277">
        <f t="shared" si="5"/>
        <v>28745437.491789415</v>
      </c>
      <c r="D26" s="299">
        <f t="shared" si="1"/>
        <v>3.4071209167200502E-2</v>
      </c>
      <c r="E26" s="299">
        <f t="shared" si="6"/>
        <v>0.20764453215246692</v>
      </c>
      <c r="F26" s="277">
        <f t="shared" si="7"/>
        <v>5968832.919500595</v>
      </c>
      <c r="G26" s="299">
        <f t="shared" si="2"/>
        <v>0</v>
      </c>
      <c r="H26" s="277">
        <f t="shared" si="8"/>
        <v>4476624.6896254458</v>
      </c>
      <c r="I26" s="299">
        <f t="shared" si="9"/>
        <v>3.4071209167200189E-2</v>
      </c>
      <c r="J26" s="299">
        <f t="shared" si="10"/>
        <v>0.15573339911435016</v>
      </c>
      <c r="K26" s="119">
        <f t="shared" si="3"/>
        <v>0.65707689293158289</v>
      </c>
      <c r="L26" s="277">
        <f t="shared" si="4"/>
        <v>2941486.6418798994</v>
      </c>
    </row>
    <row r="27" spans="1:21">
      <c r="A27" s="302" t="str">
        <f t="shared" si="0"/>
        <v>I</v>
      </c>
      <c r="B27" s="117">
        <v>7</v>
      </c>
      <c r="C27" s="277">
        <f t="shared" si="5"/>
        <v>29724829.305174857</v>
      </c>
      <c r="D27" s="299">
        <f t="shared" si="1"/>
        <v>3.4071209167200502E-2</v>
      </c>
      <c r="E27" s="299">
        <f t="shared" si="6"/>
        <v>0.20764453215246692</v>
      </c>
      <c r="F27" s="277">
        <f t="shared" si="7"/>
        <v>6172198.2743849717</v>
      </c>
      <c r="G27" s="299">
        <f t="shared" si="2"/>
        <v>0</v>
      </c>
      <c r="H27" s="277">
        <f t="shared" si="8"/>
        <v>4629148.7057887288</v>
      </c>
      <c r="I27" s="299">
        <f t="shared" si="9"/>
        <v>3.4071209167200633E-2</v>
      </c>
      <c r="J27" s="299">
        <f t="shared" si="10"/>
        <v>0.15573339911435019</v>
      </c>
      <c r="K27" s="119">
        <f t="shared" si="3"/>
        <v>0.61265910762851561</v>
      </c>
      <c r="L27" s="277">
        <f t="shared" si="4"/>
        <v>2836090.1151682204</v>
      </c>
    </row>
    <row r="28" spans="1:21">
      <c r="A28" s="302" t="str">
        <f t="shared" si="0"/>
        <v>I</v>
      </c>
      <c r="B28" s="117">
        <v>8</v>
      </c>
      <c r="C28" s="277">
        <f t="shared" si="5"/>
        <v>30737590.181890797</v>
      </c>
      <c r="D28" s="299">
        <f t="shared" si="1"/>
        <v>3.4071209167200502E-2</v>
      </c>
      <c r="E28" s="299">
        <f t="shared" si="6"/>
        <v>0.20764453215246692</v>
      </c>
      <c r="F28" s="277">
        <f t="shared" si="7"/>
        <v>6382492.5328129753</v>
      </c>
      <c r="G28" s="299">
        <f t="shared" si="2"/>
        <v>0</v>
      </c>
      <c r="H28" s="277">
        <f t="shared" si="8"/>
        <v>4786869.3996097315</v>
      </c>
      <c r="I28" s="299">
        <f t="shared" si="9"/>
        <v>3.4071209167200411E-2</v>
      </c>
      <c r="J28" s="299">
        <f t="shared" si="10"/>
        <v>0.15573339911435019</v>
      </c>
      <c r="K28" s="119">
        <f t="shared" si="3"/>
        <v>0.5712439231967511</v>
      </c>
      <c r="L28" s="277">
        <f t="shared" si="4"/>
        <v>2734470.0556635396</v>
      </c>
    </row>
    <row r="29" spans="1:21">
      <c r="A29" s="302" t="str">
        <f t="shared" si="0"/>
        <v>I</v>
      </c>
      <c r="B29" s="117">
        <v>9</v>
      </c>
      <c r="C29" s="277">
        <f t="shared" si="5"/>
        <v>31784857.046273682</v>
      </c>
      <c r="D29" s="299">
        <f t="shared" si="1"/>
        <v>3.4071209167200502E-2</v>
      </c>
      <c r="E29" s="299">
        <f t="shared" si="6"/>
        <v>0.20764453215246692</v>
      </c>
      <c r="F29" s="277">
        <f t="shared" si="7"/>
        <v>6599951.7709065406</v>
      </c>
      <c r="G29" s="299">
        <f t="shared" si="2"/>
        <v>0</v>
      </c>
      <c r="H29" s="277">
        <f t="shared" si="8"/>
        <v>4949963.8281799052</v>
      </c>
      <c r="I29" s="299">
        <f t="shared" si="9"/>
        <v>3.4071209167200189E-2</v>
      </c>
      <c r="J29" s="299">
        <f t="shared" si="10"/>
        <v>0.15573339911435019</v>
      </c>
      <c r="K29" s="119">
        <f t="shared" si="3"/>
        <v>0.53262836661701729</v>
      </c>
      <c r="L29" s="277">
        <f t="shared" si="4"/>
        <v>2636491.148616781</v>
      </c>
    </row>
    <row r="30" spans="1:21">
      <c r="A30" s="302" t="str">
        <f t="shared" si="0"/>
        <v>I</v>
      </c>
      <c r="B30" s="117">
        <v>10</v>
      </c>
      <c r="C30" s="277">
        <f t="shared" si="5"/>
        <v>32867805.559046838</v>
      </c>
      <c r="D30" s="299">
        <f t="shared" si="1"/>
        <v>3.4071209167200502E-2</v>
      </c>
      <c r="E30" s="299">
        <f t="shared" si="6"/>
        <v>0.20764453215246692</v>
      </c>
      <c r="F30" s="277">
        <f t="shared" si="7"/>
        <v>6824820.1081865318</v>
      </c>
      <c r="G30" s="299">
        <f t="shared" si="2"/>
        <v>0</v>
      </c>
      <c r="H30" s="277">
        <f t="shared" si="8"/>
        <v>5118615.0811398989</v>
      </c>
      <c r="I30" s="299">
        <f t="shared" si="9"/>
        <v>3.4071209167200411E-2</v>
      </c>
      <c r="J30" s="299">
        <f t="shared" si="10"/>
        <v>0.15573339911435019</v>
      </c>
      <c r="K30" s="119">
        <f t="shared" si="3"/>
        <v>0.49662318565689262</v>
      </c>
      <c r="L30" s="277">
        <f t="shared" si="4"/>
        <v>2542022.9277471104</v>
      </c>
    </row>
    <row r="31" spans="1:21">
      <c r="A31" s="302" t="str">
        <f t="shared" si="0"/>
        <v>I</v>
      </c>
      <c r="B31" s="117">
        <v>11</v>
      </c>
      <c r="C31" s="277">
        <f t="shared" si="5"/>
        <v>33987651.437115997</v>
      </c>
      <c r="D31" s="299">
        <f t="shared" si="1"/>
        <v>3.4071209167200502E-2</v>
      </c>
      <c r="E31" s="299">
        <f t="shared" si="6"/>
        <v>0.20764453215246692</v>
      </c>
      <c r="F31" s="277">
        <f t="shared" si="7"/>
        <v>7057349.9816210708</v>
      </c>
      <c r="G31" s="299">
        <f t="shared" si="2"/>
        <v>0</v>
      </c>
      <c r="H31" s="277">
        <f t="shared" si="8"/>
        <v>5293012.4862158028</v>
      </c>
      <c r="I31" s="299">
        <f t="shared" si="9"/>
        <v>3.4071209167200411E-2</v>
      </c>
      <c r="J31" s="299">
        <f t="shared" si="10"/>
        <v>0.15573339911435016</v>
      </c>
      <c r="K31" s="119">
        <f t="shared" si="3"/>
        <v>0.46305192135840806</v>
      </c>
      <c r="L31" s="277">
        <f t="shared" si="4"/>
        <v>2450939.6015162719</v>
      </c>
    </row>
    <row r="32" spans="1:21">
      <c r="A32" s="302" t="str">
        <f t="shared" si="0"/>
        <v>I</v>
      </c>
      <c r="B32" s="117">
        <v>12</v>
      </c>
      <c r="C32" s="277">
        <f t="shared" si="5"/>
        <v>35145651.818331875</v>
      </c>
      <c r="D32" s="299">
        <f t="shared" si="1"/>
        <v>3.4071209167200502E-2</v>
      </c>
      <c r="E32" s="299">
        <f t="shared" si="6"/>
        <v>0.20764453215246692</v>
      </c>
      <c r="F32" s="277">
        <f t="shared" si="7"/>
        <v>7297802.4290110208</v>
      </c>
      <c r="G32" s="299">
        <f t="shared" si="2"/>
        <v>0</v>
      </c>
      <c r="H32" s="277">
        <f t="shared" si="8"/>
        <v>5473351.8217582656</v>
      </c>
      <c r="I32" s="299">
        <f t="shared" si="9"/>
        <v>3.4071209167200633E-2</v>
      </c>
      <c r="J32" s="299">
        <f t="shared" si="10"/>
        <v>0.15573339911435019</v>
      </c>
      <c r="K32" s="119">
        <f t="shared" si="3"/>
        <v>0.43175004322462285</v>
      </c>
      <c r="L32" s="277">
        <f t="shared" si="4"/>
        <v>2363119.8856276996</v>
      </c>
    </row>
    <row r="33" spans="1:21">
      <c r="A33" s="302" t="str">
        <f t="shared" si="0"/>
        <v>I</v>
      </c>
      <c r="B33" s="117">
        <v>13</v>
      </c>
      <c r="C33" s="277">
        <f t="shared" si="5"/>
        <v>36343106.672751859</v>
      </c>
      <c r="D33" s="299">
        <f t="shared" si="1"/>
        <v>3.4071209167200502E-2</v>
      </c>
      <c r="E33" s="299">
        <f t="shared" si="6"/>
        <v>0.20764453215246692</v>
      </c>
      <c r="F33" s="277">
        <f t="shared" si="7"/>
        <v>7546447.3820307581</v>
      </c>
      <c r="G33" s="299">
        <f t="shared" si="2"/>
        <v>0</v>
      </c>
      <c r="H33" s="277">
        <f t="shared" si="8"/>
        <v>5659835.5365230683</v>
      </c>
      <c r="I33" s="299">
        <f t="shared" si="9"/>
        <v>3.4071209167200411E-2</v>
      </c>
      <c r="J33" s="299">
        <f t="shared" si="10"/>
        <v>0.15573339911435016</v>
      </c>
      <c r="K33" s="119">
        <f t="shared" si="3"/>
        <v>0.40256414286678116</v>
      </c>
      <c r="L33" s="277">
        <f t="shared" si="4"/>
        <v>2278446.8415273577</v>
      </c>
      <c r="N33" s="275"/>
      <c r="O33" s="275"/>
      <c r="P33" s="275"/>
      <c r="Q33" s="275"/>
      <c r="R33" s="275"/>
      <c r="S33" s="275"/>
      <c r="T33" s="275"/>
      <c r="U33" s="275"/>
    </row>
    <row r="34" spans="1:21">
      <c r="A34" s="302" t="str">
        <f t="shared" si="0"/>
        <v>I</v>
      </c>
      <c r="B34" s="117">
        <v>14</v>
      </c>
      <c r="C34" s="277">
        <f t="shared" si="5"/>
        <v>37581360.261985064</v>
      </c>
      <c r="D34" s="299">
        <f t="shared" si="1"/>
        <v>3.4071209167200502E-2</v>
      </c>
      <c r="E34" s="299">
        <f t="shared" si="6"/>
        <v>0.20764453215246692</v>
      </c>
      <c r="F34" s="277">
        <f t="shared" si="7"/>
        <v>7803563.9692532001</v>
      </c>
      <c r="G34" s="299">
        <f t="shared" si="2"/>
        <v>0</v>
      </c>
      <c r="H34" s="277">
        <f t="shared" si="8"/>
        <v>5852672.9769398998</v>
      </c>
      <c r="I34" s="299">
        <f t="shared" si="9"/>
        <v>3.4071209167200411E-2</v>
      </c>
      <c r="J34" s="299">
        <f t="shared" si="10"/>
        <v>0.15573339911435019</v>
      </c>
      <c r="K34" s="119">
        <f t="shared" si="3"/>
        <v>0.37535118216016894</v>
      </c>
      <c r="L34" s="277">
        <f t="shared" si="4"/>
        <v>2196807.7206912665</v>
      </c>
      <c r="N34" s="275"/>
      <c r="O34" s="275"/>
      <c r="P34" s="275"/>
      <c r="Q34" s="275"/>
      <c r="R34" s="275"/>
      <c r="S34" s="275"/>
      <c r="T34" s="275"/>
      <c r="U34" s="275"/>
    </row>
    <row r="35" spans="1:21">
      <c r="A35" s="302" t="str">
        <f t="shared" si="0"/>
        <v>I</v>
      </c>
      <c r="B35" s="117">
        <v>15</v>
      </c>
      <c r="C35" s="277">
        <f t="shared" si="5"/>
        <v>38861802.648259073</v>
      </c>
      <c r="D35" s="299">
        <f t="shared" si="1"/>
        <v>3.4071209167200502E-2</v>
      </c>
      <c r="E35" s="299">
        <f t="shared" si="6"/>
        <v>0.20764453215246692</v>
      </c>
      <c r="F35" s="277">
        <f t="shared" si="7"/>
        <v>8069440.8294992549</v>
      </c>
      <c r="G35" s="299">
        <f t="shared" si="2"/>
        <v>0</v>
      </c>
      <c r="H35" s="277">
        <f t="shared" si="8"/>
        <v>6052080.622124441</v>
      </c>
      <c r="I35" s="299">
        <f t="shared" si="9"/>
        <v>3.4071209167200411E-2</v>
      </c>
      <c r="J35" s="299">
        <f t="shared" si="10"/>
        <v>0.15573339911435019</v>
      </c>
      <c r="K35" s="119">
        <f t="shared" si="3"/>
        <v>0.34997779222393377</v>
      </c>
      <c r="L35" s="277">
        <f t="shared" si="4"/>
        <v>2118093.8144923635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39639038.701224253</v>
      </c>
      <c r="D51" s="301">
        <f>Terminal_Growth</f>
        <v>0.02</v>
      </c>
      <c r="E51" s="301">
        <f>F17</f>
        <v>0.20764453215246689</v>
      </c>
      <c r="F51" s="277">
        <f>C51*E51</f>
        <v>8230829.646089239</v>
      </c>
      <c r="G51" s="299">
        <f>F18</f>
        <v>0</v>
      </c>
      <c r="H51" s="277">
        <f>(F51*(1-$I$10)+C51*(G51-$I$9))/Equity_Cost</f>
        <v>85146513.580233499</v>
      </c>
      <c r="I51" s="415">
        <f>(F51*(1-$I$10)+C51*(G51-$I$9))/VLOOKUP(C15,B21:H50,COLUMN(H20)-1,FALSE)-1</f>
        <v>1.9999999999999796E-2</v>
      </c>
      <c r="J51" s="454"/>
      <c r="K51" s="119">
        <f>1/(1+Equity_Cost)^C15</f>
        <v>0.34997779222393377</v>
      </c>
      <c r="L51" s="277">
        <f t="shared" si="4"/>
        <v>29799388.838375315</v>
      </c>
    </row>
    <row r="52" spans="1:21" ht="13.15">
      <c r="G52" s="111"/>
      <c r="H52" s="111"/>
      <c r="I52" s="111"/>
      <c r="J52" s="468" t="s">
        <v>420</v>
      </c>
      <c r="K52" s="468"/>
      <c r="L52" s="317">
        <f>SUM(L21:L51)</f>
        <v>71328036.646042943</v>
      </c>
    </row>
    <row r="53" spans="1:21">
      <c r="C53" s="111"/>
    </row>
    <row r="54" spans="1:21" ht="13.15">
      <c r="B54" s="115" t="s">
        <v>108</v>
      </c>
      <c r="C54" s="128"/>
      <c r="D54" s="128"/>
      <c r="E54" s="113"/>
      <c r="F54" s="113"/>
      <c r="G54" s="113"/>
      <c r="H54" s="113"/>
      <c r="I54" s="113"/>
      <c r="J54" s="113"/>
      <c r="K54" s="113"/>
      <c r="L54" s="113"/>
    </row>
    <row r="55" spans="1:21" ht="13.15">
      <c r="A55" s="125">
        <f>L52</f>
        <v>71328036.646042943</v>
      </c>
      <c r="B55" s="123">
        <f>C94</f>
        <v>0</v>
      </c>
      <c r="C55" s="123">
        <f>C93</f>
        <v>0.01</v>
      </c>
      <c r="D55" s="123">
        <f>C92</f>
        <v>0.03</v>
      </c>
      <c r="E55" s="123">
        <f>C91</f>
        <v>0.05</v>
      </c>
      <c r="F55" s="123">
        <f>C90</f>
        <v>0.06</v>
      </c>
      <c r="G55" s="123"/>
      <c r="H55" s="123"/>
      <c r="I55" s="123"/>
      <c r="J55" s="123"/>
      <c r="K55" s="123"/>
      <c r="L55" s="123"/>
    </row>
    <row r="56" spans="1:21" ht="13.15">
      <c r="A56" s="131">
        <v>1</v>
      </c>
      <c r="B56" s="118">
        <f t="dataTable" ref="B56:F69" dt2D="1" dtr="1" r1="C16" r2="C15"/>
        <v>51443930.6827126</v>
      </c>
      <c r="C56" s="118">
        <v>51958369.98953972</v>
      </c>
      <c r="D56" s="118">
        <v>52987248.603193961</v>
      </c>
      <c r="E56" s="118">
        <v>54016127.216848224</v>
      </c>
      <c r="F56" s="118">
        <v>54530566.523675352</v>
      </c>
      <c r="G56" s="295"/>
      <c r="H56" s="295"/>
      <c r="I56" s="295"/>
      <c r="J56" s="295"/>
      <c r="K56" s="295"/>
      <c r="L56" s="295"/>
    </row>
    <row r="57" spans="1:21" ht="13.15">
      <c r="A57" s="131">
        <v>2</v>
      </c>
      <c r="B57" s="118">
        <v>51380268.225087292</v>
      </c>
      <c r="C57" s="118">
        <v>52378531.233580962</v>
      </c>
      <c r="D57" s="118">
        <v>54403837.071929239</v>
      </c>
      <c r="E57" s="118">
        <v>56467516.005425483</v>
      </c>
      <c r="F57" s="118">
        <v>57513745.382854089</v>
      </c>
      <c r="G57" s="295"/>
      <c r="H57" s="295"/>
      <c r="I57" s="295"/>
      <c r="J57" s="295"/>
      <c r="K57" s="295"/>
      <c r="L57" s="295"/>
    </row>
    <row r="58" spans="1:21" ht="13.15">
      <c r="A58" s="131">
        <v>3</v>
      </c>
      <c r="B58" s="118">
        <v>51320909.290238515</v>
      </c>
      <c r="C58" s="118">
        <v>52774207.556640759</v>
      </c>
      <c r="D58" s="118">
        <v>55764290.333278738</v>
      </c>
      <c r="E58" s="118">
        <v>58867477.057179451</v>
      </c>
      <c r="F58" s="118">
        <v>60462155.257660121</v>
      </c>
      <c r="G58" s="295"/>
      <c r="H58" s="295"/>
      <c r="I58" s="295"/>
      <c r="J58" s="295"/>
      <c r="K58" s="295"/>
      <c r="L58" s="295"/>
    </row>
    <row r="59" spans="1:21" ht="13.15">
      <c r="A59" s="131">
        <v>4</v>
      </c>
      <c r="B59" s="118">
        <v>51265562.964039199</v>
      </c>
      <c r="C59" s="118">
        <v>53146825.818916202</v>
      </c>
      <c r="D59" s="118">
        <v>57070832.859329998</v>
      </c>
      <c r="E59" s="118">
        <v>61217089.275679827</v>
      </c>
      <c r="F59" s="118">
        <v>63376201.381011516</v>
      </c>
      <c r="G59" s="295"/>
      <c r="H59" s="295"/>
      <c r="I59" s="295"/>
      <c r="J59" s="295"/>
      <c r="K59" s="295"/>
      <c r="L59" s="295"/>
    </row>
    <row r="60" spans="1:21" ht="13.15">
      <c r="A60" s="131">
        <v>5</v>
      </c>
      <c r="B60" s="118">
        <v>51213957.997885987</v>
      </c>
      <c r="C60" s="118">
        <v>53497729.730243191</v>
      </c>
      <c r="D60" s="118">
        <v>58325600.972927019</v>
      </c>
      <c r="E60" s="118">
        <v>63517408.930155732</v>
      </c>
      <c r="F60" s="118">
        <v>66256284.262832031</v>
      </c>
      <c r="G60" s="295"/>
      <c r="H60" s="295"/>
      <c r="I60" s="295"/>
      <c r="J60" s="295"/>
      <c r="K60" s="295"/>
      <c r="L60" s="295"/>
    </row>
    <row r="61" spans="1:21" ht="13.15">
      <c r="A61" s="131">
        <v>6</v>
      </c>
      <c r="B61" s="118">
        <v>51165841.479328208</v>
      </c>
      <c r="C61" s="118">
        <v>53828184.69568865</v>
      </c>
      <c r="D61" s="118">
        <v>59530646.340763785</v>
      </c>
      <c r="E61" s="118">
        <v>65769470.130341932</v>
      </c>
      <c r="F61" s="118">
        <v>69102799.745097518</v>
      </c>
      <c r="G61" s="295"/>
      <c r="H61" s="295"/>
      <c r="I61" s="295"/>
      <c r="J61" s="295"/>
      <c r="K61" s="295"/>
      <c r="L61" s="295"/>
    </row>
    <row r="62" spans="1:21" ht="13.15">
      <c r="A62" s="131">
        <v>7</v>
      </c>
      <c r="B62" s="118">
        <v>51120977.592561066</v>
      </c>
      <c r="C62" s="118">
        <v>54139382.378765494</v>
      </c>
      <c r="D62" s="118">
        <v>60687939.328056902</v>
      </c>
      <c r="E62" s="118">
        <v>67974285.291363388</v>
      </c>
      <c r="F62" s="118">
        <v>71916139.056241035</v>
      </c>
      <c r="G62" s="295"/>
      <c r="H62" s="295"/>
      <c r="I62" s="295"/>
      <c r="J62" s="295"/>
      <c r="K62" s="295"/>
      <c r="L62" s="295"/>
    </row>
    <row r="63" spans="1:21" ht="13.15">
      <c r="A63" s="131">
        <v>8</v>
      </c>
      <c r="B63" s="118">
        <v>51079146.462708235</v>
      </c>
      <c r="C63" s="118">
        <v>54432444.998725973</v>
      </c>
      <c r="D63" s="118">
        <v>61799372.22028245</v>
      </c>
      <c r="E63" s="118">
        <v>70132845.588866889</v>
      </c>
      <c r="F63" s="118">
        <v>74696688.864923656</v>
      </c>
      <c r="G63" s="295"/>
      <c r="H63" s="295"/>
      <c r="I63" s="295"/>
      <c r="J63" s="295"/>
      <c r="K63" s="295"/>
      <c r="L63" s="295"/>
    </row>
    <row r="64" spans="1:21" ht="13.15">
      <c r="A64" s="131">
        <v>9</v>
      </c>
      <c r="B64" s="118">
        <v>51040143.078230068</v>
      </c>
      <c r="C64" s="118">
        <v>54708429.377430007</v>
      </c>
      <c r="D64" s="118">
        <v>62866762.317244992</v>
      </c>
      <c r="E64" s="118">
        <v>72246121.404604614</v>
      </c>
      <c r="F64" s="118">
        <v>77444831.333178759</v>
      </c>
      <c r="G64" s="295"/>
      <c r="H64" s="295"/>
      <c r="I64" s="295"/>
      <c r="J64" s="295"/>
      <c r="K64" s="295"/>
      <c r="L64" s="295"/>
    </row>
    <row r="65" spans="1:21" ht="13.15">
      <c r="A65" s="131">
        <v>10</v>
      </c>
      <c r="B65" s="118">
        <v>51003776.286175847</v>
      </c>
      <c r="C65" s="118">
        <v>54968330.750382073</v>
      </c>
      <c r="D65" s="118">
        <v>63891854.904537678</v>
      </c>
      <c r="E65" s="118">
        <v>74315062.762669504</v>
      </c>
      <c r="F65" s="118">
        <v>80160944.168936729</v>
      </c>
      <c r="G65" s="295"/>
      <c r="H65" s="295"/>
      <c r="I65" s="295"/>
      <c r="J65" s="295"/>
      <c r="K65" s="295"/>
      <c r="L65" s="295"/>
    </row>
    <row r="66" spans="1:21" ht="13.15">
      <c r="A66" s="131">
        <v>15</v>
      </c>
      <c r="B66" s="118">
        <v>50855658.088003382</v>
      </c>
      <c r="C66" s="277">
        <v>56057549.798278719</v>
      </c>
      <c r="D66" s="118">
        <v>68439249.42504862</v>
      </c>
      <c r="E66" s="118">
        <v>84026631.561678648</v>
      </c>
      <c r="F66" s="118">
        <v>93273978.341046214</v>
      </c>
      <c r="G66" s="295"/>
      <c r="H66" s="295"/>
      <c r="I66" s="295"/>
      <c r="J66" s="295"/>
      <c r="K66" s="295"/>
      <c r="L66" s="295"/>
      <c r="M66" s="275"/>
      <c r="N66" s="275"/>
      <c r="O66" s="275"/>
      <c r="P66" s="275"/>
      <c r="Q66" s="275"/>
      <c r="R66" s="275"/>
      <c r="S66" s="275"/>
      <c r="T66" s="275"/>
      <c r="U66" s="275"/>
    </row>
    <row r="67" spans="1:21" ht="13.15">
      <c r="A67" s="132">
        <v>20</v>
      </c>
      <c r="B67" s="118">
        <v>50751276.976767085</v>
      </c>
      <c r="C67" s="277">
        <v>56864293.51601994</v>
      </c>
      <c r="D67" s="118">
        <v>72154278.810923055</v>
      </c>
      <c r="E67" s="118">
        <v>92761359.494323492</v>
      </c>
      <c r="F67" s="118">
        <v>105640455.93633193</v>
      </c>
      <c r="G67" s="295"/>
      <c r="H67" s="295"/>
      <c r="I67" s="295"/>
      <c r="J67" s="295"/>
      <c r="K67" s="295"/>
      <c r="L67" s="295"/>
      <c r="M67" s="275"/>
      <c r="N67" s="275"/>
      <c r="O67" s="275"/>
      <c r="P67" s="275"/>
      <c r="Q67" s="275"/>
      <c r="R67" s="275"/>
      <c r="S67" s="275"/>
      <c r="T67" s="275"/>
      <c r="U67" s="275"/>
    </row>
    <row r="68" spans="1:21" ht="13.15">
      <c r="A68" s="132">
        <v>25</v>
      </c>
      <c r="B68" s="118">
        <v>50677718.045336924</v>
      </c>
      <c r="C68" s="277">
        <v>57461818.345733233</v>
      </c>
      <c r="D68" s="118">
        <v>75189301.014441907</v>
      </c>
      <c r="E68" s="118">
        <v>100617502.37261009</v>
      </c>
      <c r="F68" s="118">
        <v>117302880.21644054</v>
      </c>
      <c r="G68" s="295"/>
      <c r="H68" s="295"/>
      <c r="I68" s="295"/>
      <c r="J68" s="295"/>
      <c r="K68" s="295"/>
      <c r="L68" s="295"/>
      <c r="M68" s="275"/>
      <c r="N68" s="275"/>
      <c r="O68" s="275"/>
      <c r="P68" s="275"/>
      <c r="Q68" s="275"/>
      <c r="R68" s="275"/>
      <c r="S68" s="275"/>
      <c r="T68" s="275"/>
      <c r="U68" s="275"/>
    </row>
    <row r="69" spans="1:21" ht="13.15">
      <c r="A69" s="132">
        <v>30</v>
      </c>
      <c r="B69" s="118">
        <v>50625879.965352356</v>
      </c>
      <c r="C69" s="277">
        <v>57904382.587973095</v>
      </c>
      <c r="D69" s="118">
        <v>77668786.051862225</v>
      </c>
      <c r="E69" s="118">
        <v>107683432.92018758</v>
      </c>
      <c r="F69" s="118">
        <v>128301334.63009807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0.03</v>
      </c>
      <c r="E72" s="124">
        <f>E55</f>
        <v>0.05</v>
      </c>
      <c r="F72" s="124">
        <f>F55</f>
        <v>0.06</v>
      </c>
      <c r="G72" s="124"/>
      <c r="H72" s="124"/>
      <c r="I72" s="124"/>
      <c r="J72" s="124"/>
      <c r="K72" s="124"/>
      <c r="L72" s="124"/>
    </row>
    <row r="73" spans="1:21" ht="13.15">
      <c r="A73" s="131">
        <v>0</v>
      </c>
      <c r="B73" s="119">
        <f>C11</f>
        <v>6.613595577113105</v>
      </c>
      <c r="C73" s="119">
        <f>C11</f>
        <v>6.613595577113105</v>
      </c>
      <c r="D73" s="119">
        <f>C11</f>
        <v>6.613595577113105</v>
      </c>
      <c r="E73" s="119">
        <f>C11</f>
        <v>6.613595577113105</v>
      </c>
      <c r="F73" s="119">
        <f>C11</f>
        <v>6.613595577113105</v>
      </c>
      <c r="G73" s="296"/>
      <c r="H73" s="296"/>
      <c r="I73" s="296"/>
      <c r="J73" s="296"/>
      <c r="K73" s="296"/>
      <c r="L73" s="296"/>
    </row>
    <row r="74" spans="1:21" ht="13.15">
      <c r="A74" s="131">
        <v>1</v>
      </c>
      <c r="B74" s="119">
        <f t="shared" ref="B74:F87" si="11">(B56+FV_adjustments)/Common_Shares*scaling_factor*Exchange_Rate</f>
        <v>4.9452182284587458</v>
      </c>
      <c r="C74" s="119">
        <f t="shared" si="11"/>
        <v>4.9888034361511435</v>
      </c>
      <c r="D74" s="119">
        <f t="shared" si="11"/>
        <v>5.0759738515359398</v>
      </c>
      <c r="E74" s="119">
        <f t="shared" si="11"/>
        <v>5.163144266920737</v>
      </c>
      <c r="F74" s="119">
        <f t="shared" si="11"/>
        <v>5.2067294746131356</v>
      </c>
      <c r="G74" s="296"/>
      <c r="H74" s="296"/>
      <c r="I74" s="296"/>
      <c r="J74" s="296"/>
      <c r="K74" s="296"/>
      <c r="L74" s="296"/>
    </row>
    <row r="75" spans="1:21" ht="13.15">
      <c r="A75" s="131">
        <v>2</v>
      </c>
      <c r="B75" s="119">
        <f t="shared" si="11"/>
        <v>4.9398245087312995</v>
      </c>
      <c r="C75" s="119">
        <f t="shared" si="11"/>
        <v>5.0244010564006176</v>
      </c>
      <c r="D75" s="119">
        <f t="shared" si="11"/>
        <v>5.1959924850367258</v>
      </c>
      <c r="E75" s="119">
        <f t="shared" si="11"/>
        <v>5.3708350247361398</v>
      </c>
      <c r="F75" s="119">
        <f t="shared" si="11"/>
        <v>5.4594754612345859</v>
      </c>
      <c r="G75" s="296"/>
      <c r="H75" s="296"/>
      <c r="I75" s="296"/>
      <c r="J75" s="296"/>
      <c r="K75" s="296"/>
      <c r="L75" s="296"/>
    </row>
    <row r="76" spans="1:21" ht="13.15">
      <c r="A76" s="131">
        <v>3</v>
      </c>
      <c r="B76" s="119">
        <f t="shared" si="11"/>
        <v>4.9347953994283182</v>
      </c>
      <c r="C76" s="119">
        <f t="shared" si="11"/>
        <v>5.0579242232555961</v>
      </c>
      <c r="D76" s="119">
        <f t="shared" si="11"/>
        <v>5.3112551353917938</v>
      </c>
      <c r="E76" s="119">
        <f t="shared" si="11"/>
        <v>5.5741686337861855</v>
      </c>
      <c r="F76" s="119">
        <f t="shared" si="11"/>
        <v>5.7092756904362068</v>
      </c>
      <c r="G76" s="296"/>
      <c r="H76" s="296"/>
      <c r="I76" s="296"/>
      <c r="J76" s="296"/>
      <c r="K76" s="296"/>
      <c r="L76" s="296"/>
    </row>
    <row r="77" spans="1:21" ht="13.15">
      <c r="A77" s="131">
        <v>4</v>
      </c>
      <c r="B77" s="119">
        <f t="shared" si="11"/>
        <v>4.9301062532250741</v>
      </c>
      <c r="C77" s="119">
        <f t="shared" si="11"/>
        <v>5.0894938256085389</v>
      </c>
      <c r="D77" s="119">
        <f t="shared" si="11"/>
        <v>5.4219502681337239</v>
      </c>
      <c r="E77" s="119">
        <f t="shared" si="11"/>
        <v>5.7732365027862294</v>
      </c>
      <c r="F77" s="119">
        <f t="shared" si="11"/>
        <v>5.9561644950550559</v>
      </c>
      <c r="G77" s="296"/>
      <c r="H77" s="296"/>
      <c r="I77" s="296"/>
      <c r="J77" s="296"/>
      <c r="K77" s="296"/>
      <c r="L77" s="296"/>
    </row>
    <row r="78" spans="1:21" ht="13.15">
      <c r="A78" s="131">
        <v>5</v>
      </c>
      <c r="B78" s="119">
        <f t="shared" si="11"/>
        <v>4.9257340889330035</v>
      </c>
      <c r="C78" s="119">
        <f t="shared" si="11"/>
        <v>5.1192237075446423</v>
      </c>
      <c r="D78" s="119">
        <f t="shared" si="11"/>
        <v>5.5282588804639685</v>
      </c>
      <c r="E78" s="119">
        <f t="shared" si="11"/>
        <v>5.9681281227862737</v>
      </c>
      <c r="F78" s="119">
        <f t="shared" si="11"/>
        <v>6.2001758077785825</v>
      </c>
      <c r="G78" s="296"/>
      <c r="H78" s="296"/>
      <c r="I78" s="296"/>
      <c r="J78" s="296"/>
      <c r="K78" s="296"/>
      <c r="L78" s="296"/>
    </row>
    <row r="79" spans="1:21" ht="13.15">
      <c r="A79" s="131">
        <v>6</v>
      </c>
      <c r="B79" s="119">
        <f t="shared" si="11"/>
        <v>4.9216574788704666</v>
      </c>
      <c r="C79" s="119">
        <f t="shared" si="11"/>
        <v>5.1472210788784096</v>
      </c>
      <c r="D79" s="119">
        <f t="shared" si="11"/>
        <v>5.6303547972007078</v>
      </c>
      <c r="E79" s="119">
        <f t="shared" si="11"/>
        <v>6.1589311074017008</v>
      </c>
      <c r="F79" s="119">
        <f t="shared" si="11"/>
        <v>6.4413431658083606</v>
      </c>
      <c r="G79" s="296"/>
      <c r="H79" s="296"/>
      <c r="I79" s="296"/>
      <c r="J79" s="296"/>
      <c r="K79" s="296"/>
      <c r="L79" s="296"/>
    </row>
    <row r="80" spans="1:21" ht="13.15">
      <c r="A80" s="131">
        <f t="shared" ref="A80" si="12">A62</f>
        <v>7</v>
      </c>
      <c r="B80" s="119">
        <f t="shared" si="11"/>
        <v>4.9178564438471239</v>
      </c>
      <c r="C80" s="119">
        <f t="shared" si="11"/>
        <v>5.1735869017661527</v>
      </c>
      <c r="D80" s="119">
        <f t="shared" si="11"/>
        <v>5.7284049549991609</v>
      </c>
      <c r="E80" s="119">
        <f t="shared" si="11"/>
        <v>6.3457312322000217</v>
      </c>
      <c r="F80" s="119">
        <f t="shared" si="11"/>
        <v>6.6796997154694946</v>
      </c>
      <c r="G80" s="296"/>
      <c r="H80" s="296"/>
      <c r="I80" s="296"/>
      <c r="J80" s="296"/>
      <c r="K80" s="296"/>
      <c r="L80" s="296"/>
    </row>
    <row r="81" spans="1:12" ht="13.15">
      <c r="A81" s="131">
        <v>8</v>
      </c>
      <c r="B81" s="119">
        <f t="shared" si="11"/>
        <v>4.9143123552472687</v>
      </c>
      <c r="C81" s="119">
        <f t="shared" si="11"/>
        <v>5.1984162547886434</v>
      </c>
      <c r="D81" s="119">
        <f t="shared" si="11"/>
        <v>5.8225696753090963</v>
      </c>
      <c r="E81" s="119">
        <f t="shared" si="11"/>
        <v>6.5286124732613127</v>
      </c>
      <c r="F81" s="119">
        <f t="shared" si="11"/>
        <v>6.9152782167662776</v>
      </c>
      <c r="G81" s="296"/>
      <c r="H81" s="296"/>
      <c r="I81" s="296"/>
      <c r="J81" s="296"/>
      <c r="K81" s="296"/>
      <c r="L81" s="296"/>
    </row>
    <row r="82" spans="1:12" ht="13.15">
      <c r="A82" s="131">
        <f t="shared" ref="A82" si="13">A64</f>
        <v>9</v>
      </c>
      <c r="B82" s="119">
        <f t="shared" si="11"/>
        <v>4.9110078437322517</v>
      </c>
      <c r="C82" s="119">
        <f t="shared" si="11"/>
        <v>5.2217986758168156</v>
      </c>
      <c r="D82" s="119">
        <f t="shared" si="11"/>
        <v>5.9130029265158424</v>
      </c>
      <c r="E82" s="119">
        <f t="shared" si="11"/>
        <v>6.7076570449297117</v>
      </c>
      <c r="F82" s="119">
        <f t="shared" si="11"/>
        <v>7.148111047884778</v>
      </c>
      <c r="G82" s="296"/>
      <c r="H82" s="296"/>
      <c r="I82" s="296"/>
      <c r="J82" s="296"/>
      <c r="K82" s="296"/>
      <c r="L82" s="296"/>
    </row>
    <row r="83" spans="1:12" ht="13.15">
      <c r="A83" s="131">
        <f t="shared" ref="A83:A87" si="14">A65</f>
        <v>10</v>
      </c>
      <c r="B83" s="119">
        <f t="shared" si="11"/>
        <v>4.907926714114522</v>
      </c>
      <c r="C83" s="119">
        <f t="shared" si="11"/>
        <v>5.24381848489696</v>
      </c>
      <c r="D83" s="119">
        <f t="shared" si="11"/>
        <v>5.9998525756934145</v>
      </c>
      <c r="E83" s="119">
        <f t="shared" si="11"/>
        <v>6.8829454367728991</v>
      </c>
      <c r="F83" s="119">
        <f t="shared" si="11"/>
        <v>7.3782302096429238</v>
      </c>
      <c r="G83" s="296"/>
      <c r="H83" s="296"/>
      <c r="I83" s="296"/>
      <c r="J83" s="296"/>
      <c r="K83" s="296"/>
      <c r="L83" s="296"/>
    </row>
    <row r="84" spans="1:12" ht="13.15">
      <c r="A84" s="131">
        <f t="shared" si="14"/>
        <v>15</v>
      </c>
      <c r="B84" s="119">
        <f t="shared" si="11"/>
        <v>4.895377590545043</v>
      </c>
      <c r="C84" s="119">
        <f t="shared" si="11"/>
        <v>5.3361011658567268</v>
      </c>
      <c r="D84" s="119">
        <f t="shared" si="11"/>
        <v>6.3851247195701397</v>
      </c>
      <c r="E84" s="119">
        <f t="shared" si="11"/>
        <v>7.7057455951326279</v>
      </c>
      <c r="F84" s="119">
        <f t="shared" si="11"/>
        <v>8.4892151407787715</v>
      </c>
      <c r="G84" s="296"/>
      <c r="H84" s="296"/>
      <c r="I84" s="296"/>
      <c r="J84" s="296"/>
      <c r="K84" s="296"/>
      <c r="L84" s="296"/>
    </row>
    <row r="85" spans="1:12" ht="13.15">
      <c r="A85" s="132">
        <f t="shared" si="14"/>
        <v>20</v>
      </c>
      <c r="B85" s="119">
        <f t="shared" si="11"/>
        <v>4.8865340353345044</v>
      </c>
      <c r="C85" s="119">
        <f t="shared" si="11"/>
        <v>5.4044514882867052</v>
      </c>
      <c r="D85" s="119">
        <f t="shared" si="11"/>
        <v>6.6998757994698579</v>
      </c>
      <c r="E85" s="119">
        <f t="shared" si="11"/>
        <v>8.4457841692240354</v>
      </c>
      <c r="F85" s="119">
        <f t="shared" si="11"/>
        <v>9.5369490274800928</v>
      </c>
      <c r="G85" s="296"/>
      <c r="H85" s="296"/>
      <c r="I85" s="296"/>
      <c r="J85" s="296"/>
      <c r="K85" s="296"/>
      <c r="L85" s="296"/>
    </row>
    <row r="86" spans="1:12" ht="13.15">
      <c r="A86" s="132">
        <f t="shared" si="14"/>
        <v>25</v>
      </c>
      <c r="B86" s="119">
        <f t="shared" si="11"/>
        <v>4.8803018496102277</v>
      </c>
      <c r="C86" s="119">
        <f t="shared" si="11"/>
        <v>5.4550760098945981</v>
      </c>
      <c r="D86" s="119">
        <f t="shared" si="11"/>
        <v>6.9570141466682411</v>
      </c>
      <c r="E86" s="119">
        <f t="shared" si="11"/>
        <v>9.1113857561695326</v>
      </c>
      <c r="F86" s="119">
        <f t="shared" si="11"/>
        <v>10.525032903847292</v>
      </c>
      <c r="G86" s="296"/>
      <c r="H86" s="296"/>
      <c r="I86" s="296"/>
      <c r="J86" s="296"/>
      <c r="K86" s="296"/>
      <c r="L86" s="296"/>
    </row>
    <row r="87" spans="1:12" ht="13.15">
      <c r="A87" s="132">
        <f t="shared" si="14"/>
        <v>30</v>
      </c>
      <c r="B87" s="119">
        <f t="shared" si="11"/>
        <v>4.8759099350490374</v>
      </c>
      <c r="C87" s="119">
        <f t="shared" si="11"/>
        <v>5.4925716953122272</v>
      </c>
      <c r="D87" s="119">
        <f t="shared" si="11"/>
        <v>7.1670853229799576</v>
      </c>
      <c r="E87" s="119">
        <f t="shared" si="11"/>
        <v>9.7100376211595414</v>
      </c>
      <c r="F87" s="119">
        <f t="shared" si="11"/>
        <v>11.456862788447706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0.06</v>
      </c>
      <c r="D90" s="133">
        <f>Scenarios!D29</f>
        <v>15</v>
      </c>
      <c r="E90" s="127">
        <f>INDEX(B$73:F$87, MATCH(D90, A$73:A$87, 0), MATCH(C90, B$72:F$72, 0))</f>
        <v>8.4892151407787715</v>
      </c>
      <c r="F90" s="130">
        <f>Scenarios!F29</f>
        <v>0.15</v>
      </c>
      <c r="G90" s="297"/>
      <c r="H90" s="297"/>
      <c r="I90" s="297"/>
      <c r="J90" s="297"/>
      <c r="K90" s="297"/>
      <c r="L90" s="297"/>
    </row>
    <row r="91" spans="1:12">
      <c r="B91" s="120" t="str">
        <f>Scenarios!B22</f>
        <v>Optimistic</v>
      </c>
      <c r="C91" s="130">
        <f>Scenarios!C22</f>
        <v>0.05</v>
      </c>
      <c r="D91" s="133">
        <f>Scenarios!D22</f>
        <v>15</v>
      </c>
      <c r="E91" s="127">
        <f>INDEX(B$73:F$87, MATCH(D91, A$73:A$87, 0), MATCH(C91, B$72:F$72, 0))</f>
        <v>7.7057455951326279</v>
      </c>
      <c r="F91" s="130">
        <f>Scenarios!F22*(1-F$90-F$94)</f>
        <v>0.15999999999999995</v>
      </c>
      <c r="G91" s="297"/>
      <c r="H91" s="297"/>
      <c r="I91" s="297"/>
      <c r="J91" s="297"/>
      <c r="K91" s="297"/>
      <c r="L91" s="297"/>
    </row>
    <row r="92" spans="1:12">
      <c r="B92" s="120" t="str">
        <f>Scenarios!B23</f>
        <v>Base</v>
      </c>
      <c r="C92" s="130">
        <f>Scenarios!C23</f>
        <v>0.03</v>
      </c>
      <c r="D92" s="133">
        <f>Scenarios!D23</f>
        <v>15</v>
      </c>
      <c r="E92" s="127">
        <f>INDEX(B$73:F$87, MATCH(D92, A$73:A$87, 0), MATCH(C92, B$72:F$72, 0))</f>
        <v>6.3851247195701397</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5.3361011658567268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4.895377590545043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0151.HK – 中國旺旺: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5154221</v>
      </c>
      <c r="D7" s="469"/>
      <c r="E7" s="469"/>
      <c r="F7" s="469"/>
      <c r="G7" s="469"/>
    </row>
    <row r="8" spans="2:7">
      <c r="B8" s="97" t="s">
        <v>63</v>
      </c>
      <c r="C8" s="447">
        <f>Normalized_FCF!G19</f>
        <v>3577299.2818093933</v>
      </c>
      <c r="D8" s="469"/>
      <c r="E8" s="469"/>
      <c r="F8" s="469"/>
      <c r="G8" s="469"/>
    </row>
    <row r="9" spans="2:7">
      <c r="B9" s="97" t="s">
        <v>54</v>
      </c>
      <c r="C9" s="447">
        <f>Normalized_FCF!C19</f>
        <v>3661406.9886935204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0.05</v>
      </c>
      <c r="D22" s="325">
        <f>C18</f>
        <v>15</v>
      </c>
      <c r="E22" s="326">
        <f>DCF!E91</f>
        <v>7.7057455951326279</v>
      </c>
      <c r="F22" s="328">
        <f>1-F23-F24</f>
        <v>0.19999999999999996</v>
      </c>
      <c r="G22" s="328">
        <f>F22*(1-F$29-F$30)</f>
        <v>0.15999999999999995</v>
      </c>
    </row>
    <row r="23" spans="2:7">
      <c r="B23" s="302" t="s">
        <v>437</v>
      </c>
      <c r="C23" s="324">
        <v>0.03</v>
      </c>
      <c r="D23" s="325">
        <f>C18</f>
        <v>15</v>
      </c>
      <c r="E23" s="326">
        <f>DCF!E92</f>
        <v>6.3851247195701397</v>
      </c>
      <c r="F23" s="327">
        <v>0.55000000000000004</v>
      </c>
      <c r="G23" s="328">
        <f t="shared" ref="G23:G24" si="0">F23*(1-F$29-F$30)</f>
        <v>0.44</v>
      </c>
    </row>
    <row r="24" spans="2:7">
      <c r="B24" s="302" t="s">
        <v>446</v>
      </c>
      <c r="C24" s="324">
        <v>0.01</v>
      </c>
      <c r="D24" s="325">
        <f>C18</f>
        <v>15</v>
      </c>
      <c r="E24" s="326">
        <f>DCF!E93</f>
        <v>5.3361011658567268</v>
      </c>
      <c r="F24" s="327">
        <v>0.25</v>
      </c>
      <c r="G24" s="328">
        <f t="shared" si="0"/>
        <v>0.19999999999999998</v>
      </c>
    </row>
    <row r="25" spans="2:7">
      <c r="B25" s="141" t="s">
        <v>451</v>
      </c>
      <c r="C25" s="441">
        <f>E23*F23+E24*F24+E22*F22</f>
        <v>6.3869930062542837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0.06</v>
      </c>
      <c r="D29" s="325">
        <f>C18</f>
        <v>15</v>
      </c>
      <c r="E29" s="326">
        <f>DCF!E90</f>
        <v>8.4892151407787715</v>
      </c>
      <c r="F29" s="327">
        <v>0.15</v>
      </c>
      <c r="G29" s="328">
        <f>F29</f>
        <v>0.15</v>
      </c>
    </row>
    <row r="30" spans="2:7">
      <c r="B30" s="315" t="s">
        <v>447</v>
      </c>
      <c r="C30" s="324">
        <v>0</v>
      </c>
      <c r="D30" s="325">
        <f>C18</f>
        <v>15</v>
      </c>
      <c r="E30" s="326">
        <f>DCF!E94</f>
        <v>4.895377590545043</v>
      </c>
      <c r="F30" s="327">
        <v>0.05</v>
      </c>
      <c r="G30" s="328">
        <f>F30</f>
        <v>0.05</v>
      </c>
    </row>
    <row r="31" spans="2:7">
      <c r="E31" s="329"/>
      <c r="F31" s="329"/>
    </row>
    <row r="32" spans="2:7" ht="13.15">
      <c r="B32" s="145" t="s">
        <v>456</v>
      </c>
    </row>
    <row r="33" spans="2:7">
      <c r="B33" s="97" t="s">
        <v>458</v>
      </c>
      <c r="C33" s="155">
        <f>Normalized_FCF!C88*(1-dividend_tax_rate)</f>
        <v>0.15920000000000001</v>
      </c>
      <c r="D33" t="str">
        <f>Market_currency</f>
        <v>HKD</v>
      </c>
      <c r="E33" s="97" t="s">
        <v>455</v>
      </c>
      <c r="F33" s="219">
        <f>Holding_Period</f>
        <v>3</v>
      </c>
    </row>
    <row r="34" spans="2:7">
      <c r="B34" s="97" t="s">
        <v>233</v>
      </c>
      <c r="C34" s="146">
        <f>Market_Price</f>
        <v>4.82</v>
      </c>
      <c r="D34" t="str">
        <f>Market_currency</f>
        <v>HKD</v>
      </c>
      <c r="E34" s="97" t="s">
        <v>454</v>
      </c>
      <c r="F34" s="330">
        <f>RATE(Holding_Period,$C$33,-C34,$C$36)</f>
        <v>0.14187358415295637</v>
      </c>
    </row>
    <row r="35" spans="2:7">
      <c r="B35" s="97" t="s">
        <v>434</v>
      </c>
      <c r="C35" s="320">
        <f>DCF!C11</f>
        <v>6.613595577113105</v>
      </c>
      <c r="D35" s="97" t="str">
        <f>Market_currency</f>
        <v>HKD</v>
      </c>
      <c r="E35" s="97" t="s">
        <v>454</v>
      </c>
      <c r="F35" s="330">
        <f>RATE(Holding_Period,$C$33,-C35,$C$36)</f>
        <v>2.4767426927084515E-2</v>
      </c>
    </row>
    <row r="36" spans="2:7">
      <c r="B36" s="97" t="s">
        <v>435</v>
      </c>
      <c r="C36" s="321">
        <f>E22*G22+E23*G23+E24*G24+E30*G30+E29*G29</f>
        <v>6.6277455556474951</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0.20764453215246689</v>
      </c>
      <c r="E40" s="97" t="s">
        <v>401</v>
      </c>
    </row>
    <row r="41" spans="2:7">
      <c r="B41" s="97" t="s">
        <v>400</v>
      </c>
      <c r="C41" s="455">
        <f>DCF!C16</f>
        <v>3.4071209167200502E-2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3.4071209167200502E-2</v>
      </c>
      <c r="D46" s="138"/>
      <c r="E46" s="221" t="s">
        <v>252</v>
      </c>
    </row>
    <row r="47" spans="2:7">
      <c r="B47" s="97" t="s">
        <v>96</v>
      </c>
      <c r="C47" s="146">
        <f>DCF!I18</f>
        <v>6.6298734962193047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8.8521421695043054E-2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0.15920000000000001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0.29131237091673101</v>
      </c>
      <c r="D62" s="119">
        <f>C36/(1+F62)^Holding_Period</f>
        <v>3.0542606247223487</v>
      </c>
      <c r="E62" s="332">
        <f>C62+D62</f>
        <v>3.3455729956390798</v>
      </c>
      <c r="F62" s="301">
        <f>Thesis!E22</f>
        <v>0.29465259038036606</v>
      </c>
      <c r="G62" s="440">
        <f>(1-E62/C36)</f>
        <v>0.49521704363132646</v>
      </c>
    </row>
    <row r="63" spans="2:7" ht="13.15">
      <c r="B63" s="302" t="s">
        <v>313</v>
      </c>
      <c r="C63" s="119">
        <f>PV(F63, Holding_Period, -C58, 0)</f>
        <v>0.33495742840523723</v>
      </c>
      <c r="D63" s="119">
        <f>C36/(1+F63)^Holding_Period</f>
        <v>3.8283006819624537</v>
      </c>
      <c r="E63" s="332">
        <f>C63+D63</f>
        <v>4.1632581103676909</v>
      </c>
      <c r="F63" s="301">
        <f>Thesis!E23</f>
        <v>0.20075184365903009</v>
      </c>
      <c r="G63" s="440">
        <f>(1-E63/C36)</f>
        <v>0.37184400405652518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0.38408641764943291</v>
      </c>
      <c r="D66" s="119">
        <f>C36/(1+F66)^Holding_Period</f>
        <v>4.7505055092680095</v>
      </c>
      <c r="E66" s="332">
        <f>C66+D66</f>
        <v>5.1345919269174427</v>
      </c>
      <c r="F66" s="301">
        <f>Thesis!E24</f>
        <v>0.1174</v>
      </c>
      <c r="G66" s="440">
        <f>(1-E66/C36)</f>
        <v>0.22528831503764324</v>
      </c>
    </row>
    <row r="67" spans="2:7" ht="13.15">
      <c r="B67" s="302" t="s">
        <v>314</v>
      </c>
      <c r="C67" s="119">
        <f>PV(F67, Holding_Period, -C58, 0)</f>
        <v>0.41589013616594417</v>
      </c>
      <c r="D67" s="119">
        <f>C36/(1+F67)^Holding_Period</f>
        <v>5.3724690787829763</v>
      </c>
      <c r="E67" s="332">
        <f>C67+D67</f>
        <v>5.7883592149489207</v>
      </c>
      <c r="F67" s="301">
        <f>Thesis!E25</f>
        <v>7.2499999999999995E-2</v>
      </c>
      <c r="G67" s="440">
        <f>(1-E67/C36)</f>
        <v>0.12664733937821948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46044</v>
      </c>
    </row>
    <row r="4" spans="1:10">
      <c r="B4" s="422" t="s">
        <v>533</v>
      </c>
      <c r="C4" s="423" t="str">
        <f>Thesis!C4</f>
        <v>中國旺旺</v>
      </c>
      <c r="D4" s="349"/>
      <c r="E4" s="434" t="s">
        <v>539</v>
      </c>
      <c r="F4" s="437" t="str">
        <f>Thesis!F4</f>
        <v>INT</v>
      </c>
    </row>
    <row r="5" spans="1:10">
      <c r="B5" s="343" t="s">
        <v>364</v>
      </c>
      <c r="C5" s="355" t="str">
        <f>Thesis!C5</f>
        <v>0151.HK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4.82</v>
      </c>
    </row>
    <row r="9" spans="1:10">
      <c r="B9" s="351" t="s">
        <v>361</v>
      </c>
      <c r="C9" s="353">
        <f>Common_Shares</f>
        <v>11803071135</v>
      </c>
    </row>
    <row r="10" spans="1:10">
      <c r="B10" s="351" t="s">
        <v>367</v>
      </c>
      <c r="C10" s="357">
        <f>投资主题!C8*Common_Shares/1000000</f>
        <v>56890.802870700005</v>
      </c>
      <c r="D10" s="343" t="s">
        <v>528</v>
      </c>
      <c r="E10" s="360">
        <f>Scenarios!F34</f>
        <v>0.14187358415295637</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534</v>
      </c>
      <c r="C17" s="424">
        <f>Terminal_Growth</f>
        <v>0.02</v>
      </c>
      <c r="D17" s="351" t="s">
        <v>339</v>
      </c>
      <c r="E17" s="344" t="str">
        <f>Reporting_currency</f>
        <v>HKD</v>
      </c>
    </row>
    <row r="18" spans="1:6">
      <c r="B18" s="343" t="str">
        <f>"预期股权价值 ("&amp;C7&amp;") :"</f>
        <v>预期股权价值 (HKD) :</v>
      </c>
      <c r="C18" s="359">
        <f>C125</f>
        <v>6.6277455556474951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3.3455729956390798</v>
      </c>
      <c r="D22" s="365" t="s">
        <v>440</v>
      </c>
      <c r="E22" s="366">
        <f>Thesis!E22</f>
        <v>0.29465259038036606</v>
      </c>
    </row>
    <row r="23" spans="1:6">
      <c r="B23" s="343" t="s">
        <v>341</v>
      </c>
      <c r="C23" s="367">
        <f>E141</f>
        <v>4.1632581103676909</v>
      </c>
      <c r="D23" s="365" t="s">
        <v>441</v>
      </c>
      <c r="E23" s="368">
        <f>Thesis!E23</f>
        <v>0.20075184365903009</v>
      </c>
    </row>
    <row r="24" spans="1:6">
      <c r="B24" s="343" t="s">
        <v>343</v>
      </c>
      <c r="C24" s="367">
        <f>E144</f>
        <v>5.1345919269174427</v>
      </c>
      <c r="D24" s="365" t="s">
        <v>443</v>
      </c>
      <c r="E24" s="368">
        <f>Thesis!E24</f>
        <v>0.1174</v>
      </c>
    </row>
    <row r="25" spans="1:6">
      <c r="B25" s="343" t="s">
        <v>342</v>
      </c>
      <c r="C25" s="367">
        <f>E145</f>
        <v>5.7883592149489207</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v>
      </c>
    </row>
    <row r="33" spans="2:6">
      <c r="B33" s="470" t="s">
        <v>500</v>
      </c>
      <c r="C33" s="470"/>
      <c r="D33" s="470"/>
      <c r="E33" s="470"/>
      <c r="F33" s="470"/>
    </row>
    <row r="34" spans="2:6">
      <c r="B34" s="372" t="s">
        <v>197</v>
      </c>
      <c r="C34" s="373">
        <f>Normalized_FCF!C8</f>
        <v>5154221.0000000019</v>
      </c>
      <c r="D34" s="343" t="str">
        <f>Reporting_currency</f>
        <v>HKD</v>
      </c>
    </row>
    <row r="35" spans="2:6">
      <c r="B35" s="372"/>
      <c r="C35" s="374"/>
    </row>
    <row r="36" spans="2:6" ht="24.5" customHeight="1">
      <c r="B36" s="470" t="s">
        <v>501</v>
      </c>
      <c r="C36" s="470"/>
      <c r="D36" s="470"/>
      <c r="E36" s="470"/>
      <c r="F36" s="470"/>
    </row>
    <row r="37" spans="2:6">
      <c r="B37" s="372" t="s">
        <v>199</v>
      </c>
      <c r="C37" s="373">
        <f>Normalized_FCF!C15</f>
        <v>921601</v>
      </c>
      <c r="D37" s="343" t="str">
        <f>Reporting_currency</f>
        <v>HKD</v>
      </c>
    </row>
    <row r="38" spans="2:6">
      <c r="B38" s="375" t="s">
        <v>200</v>
      </c>
      <c r="C38" s="373">
        <f>Normalized_FCF!C16</f>
        <v>-921601</v>
      </c>
      <c r="D38" s="343" t="str">
        <f>Reporting_currency</f>
        <v>HKD</v>
      </c>
    </row>
    <row r="40" spans="2:6">
      <c r="B40" s="470" t="s">
        <v>502</v>
      </c>
      <c r="C40" s="470"/>
      <c r="D40" s="470"/>
      <c r="E40" s="470"/>
      <c r="F40" s="470"/>
    </row>
    <row r="41" spans="2:6">
      <c r="B41" s="372" t="s">
        <v>202</v>
      </c>
      <c r="C41" s="373">
        <f>Normalized_FCF!C9</f>
        <v>0</v>
      </c>
      <c r="D41" s="343" t="str">
        <f>Reporting_currency</f>
        <v>HKD</v>
      </c>
    </row>
    <row r="43" spans="2:6">
      <c r="B43" s="470" t="s">
        <v>503</v>
      </c>
      <c r="C43" s="470"/>
      <c r="D43" s="470"/>
      <c r="E43" s="470"/>
      <c r="F43" s="470"/>
    </row>
    <row r="44" spans="2:6">
      <c r="B44" s="372" t="s">
        <v>267</v>
      </c>
      <c r="C44" s="376">
        <f>Normalized_FCF!C46</f>
        <v>20235.564924692004</v>
      </c>
      <c r="D44" s="343" t="str">
        <f>Reporting_currency</f>
        <v>HKD</v>
      </c>
      <c r="E44" s="371"/>
      <c r="F44" s="371"/>
    </row>
    <row r="45" spans="2:6">
      <c r="B45" s="372" t="s">
        <v>268</v>
      </c>
      <c r="C45" s="376">
        <f>Normalized_FCF!C45</f>
        <v>-292580.58</v>
      </c>
      <c r="D45" s="343" t="str">
        <f>Reporting_currency</f>
        <v>HKD</v>
      </c>
      <c r="E45" s="371"/>
      <c r="F45" s="371"/>
    </row>
    <row r="46" spans="2:6">
      <c r="B46" s="372" t="s">
        <v>203</v>
      </c>
      <c r="C46" s="373">
        <f>Normalized_FCF!C10</f>
        <v>-272345.01507530804</v>
      </c>
      <c r="D46" s="343" t="str">
        <f>Reporting_currency</f>
        <v>HKD</v>
      </c>
    </row>
    <row r="48" spans="2:6">
      <c r="B48" s="343" t="s">
        <v>504</v>
      </c>
    </row>
    <row r="49" spans="2:6">
      <c r="B49" s="372" t="s">
        <v>223</v>
      </c>
      <c r="C49" s="373">
        <f>Normalized_FCF!C13</f>
        <v>0</v>
      </c>
      <c r="D49" s="343" t="str">
        <f>Reporting_currency</f>
        <v>HKD</v>
      </c>
    </row>
    <row r="51" spans="2:6">
      <c r="B51" s="470" t="s">
        <v>505</v>
      </c>
      <c r="C51" s="470"/>
      <c r="D51" s="470"/>
      <c r="E51" s="470"/>
      <c r="F51" s="470"/>
    </row>
    <row r="52" spans="2:6">
      <c r="B52" s="372" t="s">
        <v>496</v>
      </c>
      <c r="C52" s="373">
        <f>Normalized_FCF!C12</f>
        <v>-1220468.9962311734</v>
      </c>
      <c r="D52" s="343" t="str">
        <f>Reporting_currency</f>
        <v>HKD</v>
      </c>
    </row>
    <row r="54" spans="2:6">
      <c r="B54" s="470" t="s">
        <v>506</v>
      </c>
      <c r="C54" s="473"/>
      <c r="D54" s="473"/>
      <c r="E54" s="473"/>
      <c r="F54" s="473"/>
    </row>
    <row r="55" spans="2:6">
      <c r="B55" s="372" t="s">
        <v>207</v>
      </c>
      <c r="C55" s="373">
        <f>Normalized_FCF!C17</f>
        <v>0</v>
      </c>
      <c r="D55" s="343" t="str">
        <f>Reporting_currency</f>
        <v>HKD</v>
      </c>
    </row>
    <row r="57" spans="2:6">
      <c r="B57" s="471" t="s">
        <v>507</v>
      </c>
      <c r="C57" s="471"/>
      <c r="D57" s="471"/>
      <c r="E57" s="471"/>
      <c r="F57" s="471"/>
    </row>
    <row r="58" spans="2:6">
      <c r="B58" s="471" t="s">
        <v>508</v>
      </c>
      <c r="C58" s="471"/>
      <c r="D58" s="471"/>
      <c r="E58" s="471"/>
      <c r="F58" s="471"/>
    </row>
    <row r="60" spans="2:6">
      <c r="B60" s="372" t="s">
        <v>372</v>
      </c>
      <c r="C60" s="373">
        <f>Normalized_FCF!G19</f>
        <v>3577299.2818093933</v>
      </c>
      <c r="D60" s="343" t="str">
        <f>Reporting_currency</f>
        <v>HKD</v>
      </c>
    </row>
    <row r="61" spans="2:6">
      <c r="B61" s="372" t="s">
        <v>213</v>
      </c>
      <c r="C61" s="373">
        <f>Normalized_FCF!C19</f>
        <v>3661406.9886935204</v>
      </c>
      <c r="D61" s="343" t="str">
        <f>Reporting_currency</f>
        <v>HKD</v>
      </c>
    </row>
    <row r="62" spans="2:6">
      <c r="B62" s="377" t="s">
        <v>302</v>
      </c>
      <c r="C62" s="378">
        <f>Normalized_FCF!C124</f>
        <v>6.4358504431991842E-2</v>
      </c>
      <c r="F62" s="379"/>
    </row>
    <row r="63" spans="2:6">
      <c r="B63" s="377" t="s">
        <v>332</v>
      </c>
      <c r="C63" s="378">
        <f>Normalized_FCF!C92</f>
        <v>3.3029045643153523E-2</v>
      </c>
      <c r="E63" s="372" t="s">
        <v>373</v>
      </c>
      <c r="F63" s="380">
        <f>Normalized_FCF!C90</f>
        <v>0.5132040580286571</v>
      </c>
    </row>
    <row r="65" spans="1:6">
      <c r="B65" s="369" t="s">
        <v>376</v>
      </c>
      <c r="C65" s="381" t="s">
        <v>327</v>
      </c>
      <c r="D65" s="381" t="s">
        <v>374</v>
      </c>
    </row>
    <row r="66" spans="1:6">
      <c r="B66" s="372" t="s">
        <v>326</v>
      </c>
      <c r="C66" s="378">
        <f>Normalized_FCF!E119</f>
        <v>0.27382509866113364</v>
      </c>
      <c r="D66" s="378">
        <f>Normalized_FCF!G119</f>
        <v>0.28020929484316204</v>
      </c>
    </row>
    <row r="67" spans="1:6">
      <c r="B67" s="382" t="str">
        <f>Normalized_FCF!B116</f>
        <v>Pre-tax Profit/Sales</v>
      </c>
      <c r="C67" s="383">
        <f>Normalized_FCF!E116</f>
        <v>0.20764453215246689</v>
      </c>
      <c r="D67" s="383">
        <f>Normalized_FCF!G116</f>
        <v>0.21248573712552665</v>
      </c>
    </row>
    <row r="68" spans="1:6">
      <c r="B68" s="382" t="str">
        <f>Normalized_FCF!B117</f>
        <v>Sales/Total Assets</v>
      </c>
      <c r="C68" s="384">
        <f>Normalized_FCF!E117</f>
        <v>0.86056930273853416</v>
      </c>
      <c r="D68" s="384">
        <f>Normalized_FCF!G117</f>
        <v>0.86056930273853416</v>
      </c>
    </row>
    <row r="69" spans="1:6">
      <c r="B69" s="382" t="str">
        <f>Normalized_FCF!B118</f>
        <v>Total Assets/Equity</v>
      </c>
      <c r="C69" s="384">
        <f>Normalized_FCF!E118</f>
        <v>1.532381509863507</v>
      </c>
      <c r="D69" s="384">
        <f>Normalized_FCF!G118</f>
        <v>1.532381509863507</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-4876343</v>
      </c>
      <c r="D78" s="343" t="str">
        <f>Reporting_currency</f>
        <v>HKD</v>
      </c>
    </row>
    <row r="79" spans="1:6">
      <c r="B79" s="372" t="s">
        <v>234</v>
      </c>
      <c r="C79" s="387">
        <f>C78*scaling_factor*Exchange_Rate/Common_Shares</f>
        <v>-0.4131418801281333</v>
      </c>
      <c r="D79" s="343" t="str">
        <f>Market_currency</f>
        <v>HKD</v>
      </c>
    </row>
    <row r="80" spans="1:6">
      <c r="B80" s="382" t="s">
        <v>309</v>
      </c>
      <c r="C80" s="388">
        <f>IF(BS!G31/BS!G27&gt;300%,"nm",BS!G31/BS!G27)</f>
        <v>0.27351475277205878</v>
      </c>
    </row>
    <row r="81" spans="1:6">
      <c r="B81" s="382" t="s">
        <v>311</v>
      </c>
      <c r="C81" s="389">
        <f>IF(BS!C50&gt;30,"nm",BS!C50)</f>
        <v>0.94608729427783522</v>
      </c>
    </row>
    <row r="83" spans="1:6">
      <c r="B83" s="343" t="s">
        <v>511</v>
      </c>
    </row>
    <row r="84" spans="1:6">
      <c r="B84" s="343" t="s">
        <v>224</v>
      </c>
      <c r="C84" s="373">
        <f>DCF!F5</f>
        <v>11614285.845884666</v>
      </c>
      <c r="D84" s="343" t="str">
        <f>Reporting_currency</f>
        <v>HKD</v>
      </c>
    </row>
    <row r="85" spans="1:6">
      <c r="B85" s="382" t="s">
        <v>481</v>
      </c>
      <c r="C85" s="390">
        <f>BS!C66</f>
        <v>14986880</v>
      </c>
      <c r="D85" s="391" t="str">
        <f>Reporting_currency</f>
        <v>HKD</v>
      </c>
    </row>
    <row r="86" spans="1:6">
      <c r="B86" s="372" t="s">
        <v>235</v>
      </c>
      <c r="C86" s="387">
        <f>C84*scaling_factor*Exchange_Rate/Common_Shares</f>
        <v>0.98400540952807414</v>
      </c>
      <c r="D86" s="343" t="str">
        <f>Market_currency</f>
        <v>HKD</v>
      </c>
    </row>
    <row r="88" spans="1:6">
      <c r="B88" s="343" t="s">
        <v>512</v>
      </c>
    </row>
    <row r="89" spans="1:6">
      <c r="B89" s="343" t="s">
        <v>217</v>
      </c>
      <c r="C89" s="373">
        <f>DCF!F6</f>
        <v>186889</v>
      </c>
      <c r="D89" s="343" t="str">
        <f>Reporting_currency</f>
        <v>HKD</v>
      </c>
    </row>
    <row r="90" spans="1:6">
      <c r="B90" s="372" t="s">
        <v>236</v>
      </c>
      <c r="C90" s="387">
        <f>C89*scaling_factor*Exchange_Rate/Common_Shares</f>
        <v>1.5833929818978423E-2</v>
      </c>
      <c r="D90" s="343" t="str">
        <f>Market_currency</f>
        <v>HKD</v>
      </c>
    </row>
    <row r="92" spans="1:6">
      <c r="B92" s="372" t="s">
        <v>480</v>
      </c>
      <c r="C92" s="387">
        <f>DCF!F8</f>
        <v>0.58669745921891925</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0.59749676752244707</v>
      </c>
      <c r="D111" s="343" t="str">
        <f>Market_currency</f>
        <v>HKD</v>
      </c>
    </row>
    <row r="112" spans="1:6">
      <c r="A112" s="385"/>
      <c r="B112" s="372" t="s">
        <v>377</v>
      </c>
      <c r="C112" s="394">
        <f>DCF!C11</f>
        <v>6.613595577113105</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0.06</v>
      </c>
      <c r="D118" s="397">
        <f>DCF!D90</f>
        <v>15</v>
      </c>
      <c r="E118" s="398" t="str">
        <f>ROUND(DCF!E90,2)&amp;" "&amp;Market_currency</f>
        <v>8.49 HKD</v>
      </c>
      <c r="F118" s="399">
        <f>DCF!F90</f>
        <v>0.15</v>
      </c>
    </row>
    <row r="119" spans="1:6">
      <c r="A119" s="385"/>
      <c r="B119" s="400" t="str">
        <f>DCF!B91</f>
        <v>Optimistic</v>
      </c>
      <c r="C119" s="401">
        <f>DCF!C91</f>
        <v>0.05</v>
      </c>
      <c r="D119" s="402">
        <f>DCF!D91</f>
        <v>15</v>
      </c>
      <c r="E119" s="398" t="str">
        <f>ROUND(DCF!E91,2)&amp;" "&amp;Market_currency</f>
        <v>7.71 HKD</v>
      </c>
      <c r="F119" s="403">
        <f>DCF!F91</f>
        <v>0.15999999999999995</v>
      </c>
    </row>
    <row r="120" spans="1:6">
      <c r="B120" s="400" t="str">
        <f>DCF!B92</f>
        <v>Base</v>
      </c>
      <c r="C120" s="401">
        <f>DCF!C92</f>
        <v>0.03</v>
      </c>
      <c r="D120" s="402">
        <f>DCF!D92</f>
        <v>15</v>
      </c>
      <c r="E120" s="398" t="str">
        <f>ROUND(DCF!E92,2)&amp;" "&amp;Market_currency</f>
        <v>6.39 HKD</v>
      </c>
      <c r="F120" s="403">
        <f>DCF!F92</f>
        <v>0.44</v>
      </c>
    </row>
    <row r="121" spans="1:6">
      <c r="B121" s="400" t="str">
        <f>DCF!B93</f>
        <v>Pessimistic</v>
      </c>
      <c r="C121" s="401">
        <f>DCF!C93</f>
        <v>0.01</v>
      </c>
      <c r="D121" s="402">
        <f>DCF!D93</f>
        <v>15</v>
      </c>
      <c r="E121" s="398" t="str">
        <f>ROUND(DCF!E93,2)&amp;" "&amp;Market_currency</f>
        <v>5.34 HKD</v>
      </c>
      <c r="F121" s="403">
        <f>DCF!F93</f>
        <v>0.19999999999999998</v>
      </c>
    </row>
    <row r="122" spans="1:6">
      <c r="B122" s="400" t="str">
        <f>DCF!B94</f>
        <v>Devil's advocate</v>
      </c>
      <c r="C122" s="401">
        <f>DCF!C94</f>
        <v>0</v>
      </c>
      <c r="D122" s="402">
        <f>DCF!D94</f>
        <v>15</v>
      </c>
      <c r="E122" s="398" t="str">
        <f>ROUND(DCF!E94,2)&amp;" "&amp;Market_currency</f>
        <v>4.9 HKD</v>
      </c>
      <c r="F122" s="403">
        <f>DCF!F94</f>
        <v>0.05</v>
      </c>
    </row>
    <row r="124" spans="1:6">
      <c r="B124" s="470" t="s">
        <v>518</v>
      </c>
      <c r="C124" s="470"/>
      <c r="D124" s="470"/>
      <c r="E124" s="470"/>
      <c r="F124" s="470"/>
    </row>
    <row r="125" spans="1:6">
      <c r="B125" s="372" t="s">
        <v>218</v>
      </c>
      <c r="C125" s="404">
        <f>Scenarios!C36</f>
        <v>6.6277455556474951</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0.15920000000000001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0.29131237091673101</v>
      </c>
      <c r="D140" s="409">
        <f>Scenarios!D62</f>
        <v>3.0542606247223487</v>
      </c>
      <c r="E140" s="410">
        <f>Scenarios!E62</f>
        <v>3.3455729956390798</v>
      </c>
      <c r="F140" s="411">
        <f>E22</f>
        <v>0.29465259038036606</v>
      </c>
    </row>
    <row r="141" spans="1:6">
      <c r="B141" s="408" t="s">
        <v>313</v>
      </c>
      <c r="C141" s="409">
        <f>Scenarios!C63</f>
        <v>0.33495742840523723</v>
      </c>
      <c r="D141" s="409">
        <f>Scenarios!D63</f>
        <v>3.8283006819624537</v>
      </c>
      <c r="E141" s="410">
        <f>Scenarios!E63</f>
        <v>4.1632581103676909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0.38408641764943291</v>
      </c>
      <c r="D144" s="409">
        <f>Scenarios!D66</f>
        <v>4.7505055092680095</v>
      </c>
      <c r="E144" s="410">
        <f>Scenarios!E66</f>
        <v>5.1345919269174427</v>
      </c>
      <c r="F144" s="411">
        <f>E24</f>
        <v>0.1174</v>
      </c>
    </row>
    <row r="145" spans="1:6">
      <c r="B145" s="408" t="s">
        <v>314</v>
      </c>
      <c r="C145" s="409">
        <f>Scenarios!C67</f>
        <v>0.41589013616594417</v>
      </c>
      <c r="D145" s="409">
        <f>Scenarios!D67</f>
        <v>5.3724690787829763</v>
      </c>
      <c r="E145" s="410">
        <f>Scenarios!E67</f>
        <v>5.7883592149489207</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2026-02-04T02:06:09Z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