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0DA53D-11EA-4F43-9773-E4B869A7198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29" i="2"/>
  <c r="C19" i="3"/>
  <c r="D28" i="4"/>
  <c r="D19" i="4"/>
  <c r="C19" i="4"/>
  <c r="F25" i="4"/>
  <c r="E25" i="4"/>
  <c r="C25"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<sst xmlns="http://schemas.openxmlformats.org/spreadsheetml/2006/main" count="768" uniqueCount="557">
  <si>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</si>
  <si>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</si>
  <si>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</si>
  <si>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</si>
  <si>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</si>
  <si>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</si>
  <si>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</si>
  <si>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</si>
  <si>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</si>
  <si>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</si>
  <si>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</si>
  <si>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</si>
  <si>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</si>
  <si>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</si>
  <si>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</si>
  <si>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</si>
  <si>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</si>
  <si>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</si>
  <si>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</si>
  <si>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</si>
  <si>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</si>
  <si>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</si>
  <si>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</si>
  <si>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</si>
  <si>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</si>
  <si>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</si>
  <si>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</si>
  <si>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</si>
  <si>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</si>
  <si>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</si>
  <si>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</si>
  <si>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</si>
  <si>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</si>
  <si>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</si>
  <si>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</si>
  <si>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</si>
  <si>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</si>
  <si>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</si>
  <si>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</si>
  <si>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</si>
  <si>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</si>
  <si>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</si>
  <si>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</si>
  <si>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</si>
  <si>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</si>
  <si>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</si>
  <si>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</si>
  <si>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</si>
  <si>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</si>
  <si>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</si>
  <si>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</si>
  <si>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</si>
  <si>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</si>
  <si>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</si>
  <si>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</si>
  <si>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</si>
  <si>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</si>
  <si>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</si>
  <si>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</si>
  <si>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</si>
  <si>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</si>
  <si>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</si>
  <si>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</si>
  <si>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</si>
  <si>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</si>
  <si>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</si>
  <si>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</si>
  <si>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</si>
  <si>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</si>
  <si>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</si>
  <si>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</si>
  <si>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</si>
  <si>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</si>
  <si>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</si>
  <si>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</si>
  <si>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</si>
  <si>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</si>
  <si>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</si>
  <si>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</si>
  <si>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</si>
  <si>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</si>
  <si>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</si>
  <si>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</si>
  <si>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</si>
  <si>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</si>
  <si>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</si>
  <si>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</si>
  <si>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</si>
  <si>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</si>
  <si>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</si>
  <si>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</si>
  <si>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</si>
  <si>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</si>
  <si>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</si>
  <si>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</si>
  <si>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</si>
  <si>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</si>
  <si>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</si>
  <si>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</si>
  <si>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</si>
  <si>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</si>
  <si>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</si>
  <si>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</si>
  <si>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</si>
  <si>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</si>
  <si>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</si>
  <si>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</si>
  <si>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</si>
  <si>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</si>
  <si>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</si>
  <si>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</si>
  <si>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</si>
  <si>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</si>
  <si>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</si>
  <si>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</si>
  <si>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</si>
  <si>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</si>
  <si>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</si>
  <si>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</si>
  <si>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</si>
  <si>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</si>
  <si>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</si>
  <si>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</si>
  <si>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</si>
  <si>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</si>
  <si>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</si>
  <si>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</si>
  <si>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</si>
  <si>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</si>
  <si>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</si>
  <si>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</si>
  <si>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</si>
  <si>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</si>
  <si>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</si>
  <si>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</si>
  <si>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</si>
  <si>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</si>
  <si>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</si>
  <si>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</si>
  <si>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</si>
  <si>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</si>
  <si>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</si>
  <si>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</si>
  <si>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</si>
  <si>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</si>
  <si>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</si>
  <si>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</si>
  <si>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</si>
  <si>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</si>
  <si>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</si>
  <si>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</si>
  <si>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</si>
  <si>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</si>
  <si>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</si>
  <si>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</si>
  <si>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</si>
  <si>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</si>
  <si>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</si>
  <si>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</si>
  <si>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</si>
  <si>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</si>
  <si>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</si>
  <si>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</si>
  <si>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</si>
  <si>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</si>
  <si>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</si>
  <si>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</si>
  <si>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</si>
  <si>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</si>
  <si>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</si>
  <si>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</si>
  <si>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</si>
  <si>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</si>
  <si>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</si>
  <si>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</si>
  <si>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</si>
  <si>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</si>
  <si>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</si>
  <si>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</si>
  <si>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</si>
  <si>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</si>
  <si>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</si>
  <si>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</si>
  <si>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</si>
  <si>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</si>
  <si>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</si>
  <si>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</si>
  <si>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</si>
  <si>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</si>
  <si>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</si>
  <si>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</si>
  <si>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</si>
  <si>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</si>
  <si>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</si>
  <si>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</si>
  <si>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</si>
  <si>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</si>
  <si>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</si>
  <si>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</si>
  <si>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</si>
  <si>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</si>
  <si>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</si>
  <si>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</si>
  <si>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</si>
  <si>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</si>
  <si>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</si>
  <si>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</si>
  <si>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</si>
  <si>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</si>
  <si>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</si>
  <si>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</si>
  <si>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</si>
  <si>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</si>
  <si>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</si>
  <si>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</si>
  <si>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</si>
  <si>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</si>
  <si>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</si>
  <si>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</si>
  <si>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</si>
  <si>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</si>
  <si>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</si>
  <si>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</si>
  <si>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</si>
  <si>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</si>
  <si>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</si>
  <si>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</si>
  <si>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</si>
  <si>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</si>
  <si>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</si>
  <si>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</si>
  <si>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</si>
  <si>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</si>
  <si>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</si>
  <si>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</si>
  <si>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</si>
  <si>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</si>
  <si>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</si>
  <si>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</si>
  <si>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</si>
  <si>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</si>
  <si>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</si>
  <si>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</si>
  <si>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</si>
  <si>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</si>
  <si>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</si>
  <si>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</si>
  <si>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</si>
  <si>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</si>
  <si>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</si>
  <si>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</si>
  <si>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</si>
  <si>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</si>
  <si>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</si>
  <si>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</si>
  <si>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</si>
  <si>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</si>
  <si>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</si>
  <si>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</si>
  <si>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</si>
  <si>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</si>
  <si>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</si>
  <si>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</si>
  <si>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</si>
  <si>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</si>
  <si>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</si>
  <si>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</si>
  <si>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</si>
  <si>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</si>
  <si>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</si>
  <si>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</si>
  <si>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</si>
  <si>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</si>
  <si>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</si>
  <si>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</si>
  <si>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</si>
  <si>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</si>
  <si>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</si>
  <si>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</si>
  <si>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</si>
  <si>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</si>
  <si>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</si>
  <si>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</si>
  <si>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</si>
  <si>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</si>
  <si>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</si>
  <si>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</si>
  <si>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</si>
  <si>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</si>
  <si>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</si>
  <si>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</si>
  <si>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</si>
  <si>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</si>
  <si>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</si>
  <si>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</si>
  <si>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</si>
  <si>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</si>
  <si>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</si>
  <si>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</si>
  <si>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</si>
  <si>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</si>
  <si>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</si>
  <si>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</si>
  <si>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</si>
  <si>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</si>
  <si>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</si>
  <si>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</si>
  <si>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</si>
  <si>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</si>
  <si>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</si>
  <si>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</si>
  <si>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</si>
  <si>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</si>
  <si>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</si>
  <si>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</si>
  <si>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</si>
  <si>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</si>
  <si>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</si>
  <si>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</si>
  <si>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</si>
  <si>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</si>
  <si>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</si>
  <si>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</si>
  <si>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</si>
  <si>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</si>
  <si>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</si>
  <si>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</si>
  <si>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</si>
  <si>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</si>
  <si>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</si>
  <si>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</si>
  <si>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</si>
  <si>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</si>
  <si>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</si>
  <si>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</si>
  <si>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</si>
  <si>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</si>
  <si>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</si>
  <si>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</si>
  <si>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</si>
  <si>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</si>
  <si>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</si>
  <si>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</si>
  <si>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</si>
  <si>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</si>
  <si>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</si>
  <si>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</si>
  <si>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</si>
  <si>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</si>
  <si>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</si>
  <si>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</si>
  <si>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</si>
  <si>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</si>
  <si>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</si>
  <si>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</si>
  <si>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</si>
  <si>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</si>
  <si>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</si>
  <si>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</si>
  <si>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</si>
  <si>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</si>
  <si>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</si>
  <si>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</si>
  <si>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</si>
  <si>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</si>
  <si>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</si>
  <si>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</si>
  <si>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</si>
  <si>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</si>
  <si>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</si>
  <si>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</si>
  <si>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</si>
  <si>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</si>
  <si>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</si>
  <si>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</si>
  <si>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</si>
  <si>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</si>
  <si>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</si>
  <si>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</si>
  <si>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</si>
  <si>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</si>
  <si>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</si>
  <si>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</si>
  <si>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</si>
  <si>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</si>
  <si>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</si>
  <si>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</si>
  <si>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</si>
  <si>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</si>
  <si>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</si>
  <si>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</si>
  <si>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</si>
  <si>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</si>
  <si>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</si>
  <si>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</si>
  <si>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</si>
  <si>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</si>
  <si>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</si>
  <si>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</si>
  <si>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</si>
  <si>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</si>
  <si>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</si>
  <si>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</si>
  <si>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</si>
  <si>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</si>
  <si>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</si>
  <si>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</si>
  <si>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</si>
  <si>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</si>
  <si>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</si>
  <si>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</si>
  <si>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</si>
  <si>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</si>
  <si>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</si>
  <si>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</si>
  <si>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</si>
  <si>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</si>
  <si>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</si>
  <si>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</si>
  <si>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</si>
  <si>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</si>
  <si>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</si>
  <si>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</si>
  <si>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</si>
  <si>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</si>
  <si>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</si>
  <si>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</si>
  <si>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</si>
  <si>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</si>
  <si>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</si>
  <si>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</si>
  <si>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</si>
  <si>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</si>
  <si>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</si>
  <si>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</si>
  <si>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</si>
  <si>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</si>
  <si>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</si>
  <si>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</si>
  <si>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</si>
  <si>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</si>
  <si>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</si>
  <si>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</si>
  <si>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</si>
  <si>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</si>
  <si>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</si>
  <si>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</si>
  <si>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</si>
  <si>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</si>
  <si>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</si>
  <si>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</si>
  <si>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</si>
  <si>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</si>
  <si>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</si>
  <si>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</si>
  <si>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</si>
  <si>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</si>
  <si>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</si>
  <si>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</si>
  <si>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</si>
  <si>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</si>
  <si>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</si>
  <si>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</si>
  <si>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</si>
  <si>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</si>
  <si>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</si>
  <si>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</si>
  <si>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</si>
  <si>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</si>
  <si>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</si>
  <si>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</si>
  <si>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</si>
  <si>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</si>
  <si>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</si>
  <si>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</si>
  <si>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</si>
  <si>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</si>
  <si>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</si>
  <si>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</si>
  <si>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</si>
  <si>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</si>
  <si>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</si>
  <si>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</si>
  <si>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</si>
  <si>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</si>
  <si>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</si>
  <si>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</si>
  <si>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</si>
  <si>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</si>
  <si>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</si>
  <si>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</si>
  <si>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</si>
  <si>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</si>
  <si>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</si>
  <si>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</si>
  <si>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</si>
  <si>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</si>
  <si>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</si>
  <si>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</si>
  <si>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</si>
  <si>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</si>
  <si>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</si>
  <si>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</si>
  <si>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</si>
  <si>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</si>
  <si>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</si>
  <si>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</si>
  <si>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</si>
  <si>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</si>
  <si>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</si>
  <si>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</si>
  <si>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</si>
  <si>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</si>
  <si>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</si>
  <si>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</si>
  <si>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</si>
  <si>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</si>
  <si>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</si>
  <si>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</si>
  <si>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</si>
  <si>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</si>
  <si>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</si>
  <si>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</si>
  <si>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</si>
  <si>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</si>
  <si>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</si>
  <si>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</si>
  <si>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</si>
  <si>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</si>
  <si>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</si>
  <si>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</si>
  <si>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</si>
  <si>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</si>
  <si>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</si>
  <si>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</si>
  <si>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</si>
  <si>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</si>
  <si>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</si>
  <si>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</si>
  <si>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</si>
  <si>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</si>
  <si>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</si>
  <si>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</si>
  <si>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</si>
  <si>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</si>
  <si>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</si>
  <si>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</si>
  <si>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</si>
  <si>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</si>
  <si>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</si>
  <si>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</si>
  <si>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</si>
  <si>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</si>
  <si>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</si>
  <si>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</si>
  <si>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0151.HK</t>
  </si>
  <si>
    <t>中國旺旺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</si>
</sst>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556</v>
      </c>
      <c r="E4" s="430" t="s">
        <v>536</v>
      </c>
      <c r="F4" s="431" t="s">
        <v>324</v>
      </c>
    </row>
    <row r="5" spans="1:9">
      <c r="B5" s="1" t="s">
        <v>349</v>
      </c>
      <c r="C5" s="46" t="s">
        <v>555</v>
      </c>
      <c r="E5" s="433" t="s">
        <v>538</v>
      </c>
      <c r="F5" s="432" t="s">
        <v>545</v>
      </c>
    </row>
    <row r="6" spans="1:9">
      <c r="B6" s="2" t="s">
        <v>53</v>
      </c>
      <c r="C6" s="45" t="s">
        <v>548</v>
      </c>
      <c r="D6" s="45"/>
      <c r="E6" s="45"/>
    </row>
    <row r="7" spans="1:9">
      <c r="B7" s="1" t="s">
        <v>351</v>
      </c>
      <c r="C7" s="45" t="s">
        <v>308</v>
      </c>
      <c r="D7" s="45"/>
      <c r="E7" s="45"/>
    </row>
    <row r="8" spans="1:9">
      <c r="B8" s="4" t="s">
        <v>350</v>
      </c>
      <c r="C8" s="47">
        <v>4.6900000000000004</v>
      </c>
      <c r="E8" s="32"/>
    </row>
    <row r="9" spans="1:9">
      <c r="B9" s="4" t="s">
        <v>346</v>
      </c>
      <c r="C9" s="48">
        <v>11803071135</v>
      </c>
    </row>
    <row r="10" spans="1:9">
      <c r="B10" s="4" t="s">
        <v>352</v>
      </c>
      <c r="C10" s="33">
        <f>Thesis!C8*Common_Shares/1000000</f>
        <v>55356.403623149999</v>
      </c>
      <c r="D10" s="1" t="s">
        <v>527</v>
      </c>
      <c r="E10" s="303">
        <f>Scenarios!F34</f>
        <v>0.15262981708994752</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0.29465259038036601</v>
      </c>
    </row>
    <row r="23" spans="1:6">
      <c r="B23" s="1" t="s">
        <v>313</v>
      </c>
      <c r="C23" s="256">
        <f>E141</f>
        <v>4.1632581103676909</v>
      </c>
      <c r="D23" s="38" t="s">
        <v>407</v>
      </c>
      <c r="E23" s="443">
        <v>0.20075184365903001</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5154221.0000000019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1" t="s">
        <v>206</v>
      </c>
      <c r="C51" s="461"/>
      <c r="D51" s="461"/>
      <c r="E51" s="461"/>
      <c r="F51" s="461"/>
    </row>
    <row r="52" spans="2:6">
      <c r="B52" s="44" t="s">
        <v>204</v>
      </c>
      <c r="C52" s="285">
        <f>Normalized_FCF!C12</f>
        <v>-1220468.9962311734</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6.6142428861876476E-2</v>
      </c>
      <c r="F62" s="257"/>
    </row>
    <row r="63" spans="2:6">
      <c r="B63" s="204" t="s">
        <v>332</v>
      </c>
      <c r="C63" s="89">
        <f>Normalized_FCF!C92</f>
        <v>3.3944562899786777E-2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1" t="s">
        <v>357</v>
      </c>
      <c r="C124" s="461"/>
      <c r="D124" s="461"/>
      <c r="E124" s="461"/>
      <c r="F124" s="461"/>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0.29131237091673107</v>
      </c>
      <c r="D140" s="333">
        <f>Scenarios!D62</f>
        <v>3.0542606247223487</v>
      </c>
      <c r="E140" s="334">
        <f>Scenarios!E62</f>
        <v>3.3455729956390798</v>
      </c>
      <c r="F140" s="335">
        <f>E22</f>
        <v>0.29465259038036601</v>
      </c>
    </row>
    <row r="141" spans="1:6">
      <c r="B141" s="336" t="s">
        <v>313</v>
      </c>
      <c r="C141" s="333">
        <f>Scenarios!C63</f>
        <v>0.3349574284052374</v>
      </c>
      <c r="D141" s="333">
        <f>Scenarios!D63</f>
        <v>3.8283006819624537</v>
      </c>
      <c r="E141" s="334">
        <f>Scenarios!E63</f>
        <v>4.1632581103676909</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2" sqref="C7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22" zoomScaleNormal="100" workbookViewId="0">
      <selection activeCell="F33" sqref="F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4" activePane="bottomRight" state="frozen"/>
      <selection activeCell="C17" sqref="C17"/>
      <selection pane="topRight" activeCell="C17" sqref="C17"/>
      <selection pane="bottomLeft" activeCell="C17" sqref="C17"/>
      <selection pane="bottomRight" activeCell="C29" sqref="C2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3.3944562899786777E-2</v>
      </c>
      <c r="E92" s="237"/>
      <c r="G92" s="22">
        <f t="shared" ref="G92:Q92" si="38">IF(G$4="","",(G88*(1-dividend_tax_rate))/Market_Price)</f>
        <v>3.3944562899786777E-2</v>
      </c>
      <c r="H92" s="22">
        <f t="shared" si="38"/>
        <v>5.4861407249466941E-2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6.6142428861876476E-2</v>
      </c>
      <c r="D124" s="26"/>
      <c r="E124" s="234"/>
      <c r="F124" s="26"/>
      <c r="G124" s="74">
        <f t="shared" ref="G124" si="49">IF(G$4="","",G123/Market_Price)</f>
        <v>6.4623043544565995E-2</v>
      </c>
      <c r="H124" s="74">
        <f t="shared" ref="H124" si="50">IF(H$4="","",H123/Market_Price)</f>
        <v>6.0309155545637955E-2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7.8191766746022143E-2</v>
      </c>
      <c r="H125" s="22">
        <f>IF(H$4="","",(Data!D47*$C$3)/(Market_Price*Common_Shares))</f>
        <v>7.1955162172678389E-2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D24" sqref="D24"/>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3.4071209167200467E-2</v>
      </c>
      <c r="E16" s="308" t="s">
        <v>400</v>
      </c>
      <c r="F16" s="311">
        <f>Scenarios!C41</f>
        <v>3.4071209167200467E-2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3.4071209167200467E-2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3.4071209167200467E-2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3.4071209167200467E-2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3.4071209167200467E-2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3.4071209167200467E-2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3.4071209167200467E-2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3.4071209167200467E-2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3.4071209167200467E-2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3.4071209167200467E-2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3.4071209167200467E-2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3.4071209167200467E-2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3.4071209167200467E-2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3.4071209167200467E-2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3.4071209167200467E-2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3.4071209167200467E-2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9" zoomScaleNormal="100" workbookViewId="0">
      <selection activeCell="C38" sqref="C3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4.6900000000000004</v>
      </c>
      <c r="D34" t="str">
        <f>Market_currency</f>
        <v>HKD</v>
      </c>
      <c r="E34" s="97" t="s">
        <v>454</v>
      </c>
      <c r="F34" s="330">
        <f>RATE(Holding_Period,$C$33,-C34,$C$36)</f>
        <v>0.15262981708994752</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3.4071209167200467E-2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3.4071209167200467E-2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0.29131237091673107</v>
      </c>
      <c r="D62" s="119">
        <f>C36/(1+F62)^Holding_Period</f>
        <v>3.0542606247223487</v>
      </c>
      <c r="E62" s="332">
        <f>C62+D62</f>
        <v>3.3455729956390798</v>
      </c>
      <c r="F62" s="301">
        <f>Thesis!E22</f>
        <v>0.29465259038036601</v>
      </c>
      <c r="G62" s="440">
        <f>(1-E62/C36)</f>
        <v>0.49521704363132646</v>
      </c>
    </row>
    <row r="63" spans="2:7" ht="13.15">
      <c r="B63" s="302" t="s">
        <v>313</v>
      </c>
      <c r="C63" s="119">
        <f>PV(F63, Holding_Period, -C58, 0)</f>
        <v>0.3349574284052374</v>
      </c>
      <c r="D63" s="119">
        <f>C36/(1+F63)^Holding_Period</f>
        <v>3.8283006819624537</v>
      </c>
      <c r="E63" s="332">
        <f>C63+D63</f>
        <v>4.1632581103676909</v>
      </c>
      <c r="F63" s="301">
        <f>Thesis!E23</f>
        <v>0.20075184365903001</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4.6900000000000004</v>
      </c>
    </row>
    <row r="9" spans="1:10">
      <c r="B9" s="351" t="s">
        <v>361</v>
      </c>
      <c r="C9" s="353">
        <f>Common_Shares</f>
        <v>11803071135</v>
      </c>
    </row>
    <row r="10" spans="1:10">
      <c r="B10" s="351" t="s">
        <v>367</v>
      </c>
      <c r="C10" s="357">
        <f>投资主题!C8*Common_Shares/1000000</f>
        <v>55356.403623149999</v>
      </c>
      <c r="D10" s="343" t="s">
        <v>528</v>
      </c>
      <c r="E10" s="360">
        <f>Scenarios!F34</f>
        <v>0.15262981708994752</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0.29465259038036601</v>
      </c>
    </row>
    <row r="23" spans="1:6">
      <c r="B23" s="343" t="s">
        <v>341</v>
      </c>
      <c r="C23" s="367">
        <f>E141</f>
        <v>4.1632581103676909</v>
      </c>
      <c r="D23" s="365" t="s">
        <v>441</v>
      </c>
      <c r="E23" s="368">
        <f>Thesis!E23</f>
        <v>0.20075184365903001</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6.6142428861876476E-2</v>
      </c>
      <c r="F62" s="379"/>
    </row>
    <row r="63" spans="2:6">
      <c r="B63" s="377" t="s">
        <v>332</v>
      </c>
      <c r="C63" s="378">
        <f>Normalized_FCF!C92</f>
        <v>3.3944562899786777E-2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0.29131237091673107</v>
      </c>
      <c r="D140" s="409">
        <f>Scenarios!D62</f>
        <v>3.0542606247223487</v>
      </c>
      <c r="E140" s="410">
        <f>Scenarios!E62</f>
        <v>3.3455729956390798</v>
      </c>
      <c r="F140" s="411">
        <f>E22</f>
        <v>0.29465259038036601</v>
      </c>
    </row>
    <row r="141" spans="1:6">
      <c r="B141" s="408" t="s">
        <v>313</v>
      </c>
      <c r="C141" s="409">
        <f>Scenarios!C63</f>
        <v>0.3349574284052374</v>
      </c>
      <c r="D141" s="409">
        <f>Scenarios!D63</f>
        <v>3.8283006819624537</v>
      </c>
      <c r="E141" s="410">
        <f>Scenarios!E63</f>
        <v>4.1632581103676909</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2026-01-22T08:54:34Z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