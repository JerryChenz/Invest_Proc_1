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7146FCE2-0F64-47C4-BF85-7E5D8DF9F783}"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<sst xmlns="http://schemas.openxmlformats.org/spreadsheetml/2006/main" count="768" uniqueCount="557">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</sst>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2" fillId="0" borderId="0" xfId="0" applyFont="1" applyAlignment="1">
      <alignment horizontal="left" vertical="center" wrapText="1"/>
    </xf>
    <xf numFmtId="0" fontId="10" fillId="0" borderId="0" xfId="0" applyFont="1" applyAlignment="1">
      <alignment horizontal="left" wrapText="1"/>
    </xf>
    <xf numFmtId="0" fontId="12" fillId="0" borderId="0" xfId="0" applyFont="1" applyAlignment="1">
      <alignment horizontal="left"/>
    </xf>
    <xf numFmtId="0" fontId="1" fillId="0" borderId="3" xfId="0" applyFont="1" applyBorder="1" applyAlignment="1">
      <alignment horizontal="left" vertical="center" wrapText="1"/>
    </xf>
    <xf numFmtId="0" fontId="54" fillId="0" borderId="0" xfId="0" applyFont="1" applyAlignment="1">
      <alignment horizontal="left" wrapText="1"/>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1" fillId="0" borderId="0" xfId="0" applyFont="1" applyAlignment="1">
      <alignment horizontal="left" wrapText="1"/>
    </xf>
    <xf numFmtId="0" fontId="62" fillId="0" borderId="0" xfId="0" applyFont="1" applyAlignment="1">
      <alignment horizontal="left" wrapText="1"/>
    </xf>
    <xf numFmtId="0" fontId="54" fillId="0" borderId="0" xfId="0" applyFont="1" applyAlignment="1">
      <alignment horizontal="left"/>
    </xf>
    <xf numFmtId="0" fontId="65"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4.7</v>
      </c>
      <c r="E8" s="32"/>
    </row>
    <row r="9" spans="1:9">
      <c r="B9" s="4" t="s">
        <v>346</v>
      </c>
      <c r="C9" s="48">
        <v>11803071135</v>
      </c>
    </row>
    <row r="10" spans="1:9">
      <c r="B10" s="4" t="s">
        <v>352</v>
      </c>
      <c r="C10" s="33">
        <f>Thesis!C8*Common_Shares/1000000</f>
        <v>55474.434334500002</v>
      </c>
      <c r="D10" s="1" t="s">
        <v>527</v>
      </c>
      <c r="E10" s="303">
        <f>Scenarios!F34</f>
        <v>0.15178809681138061</v>
      </c>
    </row>
    <row r="11" spans="1:9">
      <c r="D11" s="5"/>
      <c r="E11" s="5"/>
    </row>
    <row r="12" spans="1:9" ht="24.5" customHeight="1">
      <c r="B12" s="463" t="s">
        <v>355</v>
      </c>
      <c r="C12" s="463"/>
      <c r="D12" s="463"/>
      <c r="E12" s="463"/>
      <c r="F12" s="463"/>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3.3455729956390798</v>
      </c>
      <c r="D22" s="38" t="s">
        <v>406</v>
      </c>
      <c r="E22" s="79">
        <v>0.29465259038036606</v>
      </c>
    </row>
    <row r="23" spans="1:6">
      <c r="B23" s="1" t="s">
        <v>313</v>
      </c>
      <c r="C23" s="256">
        <f>E141</f>
        <v>4.1632581103676909</v>
      </c>
      <c r="D23" s="38" t="s">
        <v>407</v>
      </c>
      <c r="E23" s="443">
        <v>0.20075184365903009</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3" t="s">
        <v>356</v>
      </c>
      <c r="C29" s="463"/>
      <c r="D29" s="463"/>
      <c r="E29" s="463"/>
      <c r="F29" s="463"/>
    </row>
    <row r="30" spans="1:6" ht="24.5" customHeight="1">
      <c r="B30" s="467" t="s">
        <v>266</v>
      </c>
      <c r="C30" s="467"/>
      <c r="D30" s="467"/>
      <c r="E30" s="467"/>
      <c r="F30" s="467"/>
    </row>
    <row r="32" spans="1:6">
      <c r="B32" s="192" t="s">
        <v>195</v>
      </c>
      <c r="C32" s="105">
        <f>scaling_factor</f>
        <v>1000</v>
      </c>
    </row>
    <row r="33" spans="2:6" ht="24.5" customHeight="1">
      <c r="B33" s="464" t="s">
        <v>196</v>
      </c>
      <c r="C33" s="464"/>
      <c r="D33" s="464"/>
      <c r="E33" s="464"/>
      <c r="F33" s="464"/>
    </row>
    <row r="34" spans="2:6">
      <c r="B34" s="44" t="s">
        <v>197</v>
      </c>
      <c r="C34" s="285">
        <f>Normalized_FCF!C8</f>
        <v>5154221.0000000019</v>
      </c>
      <c r="D34" s="1" t="str">
        <f>Reporting_currency</f>
        <v>HKD</v>
      </c>
    </row>
    <row r="35" spans="2:6">
      <c r="B35" s="44"/>
      <c r="C35" s="73"/>
    </row>
    <row r="36" spans="2:6" ht="24.5" customHeight="1">
      <c r="B36" s="464" t="s">
        <v>198</v>
      </c>
      <c r="C36" s="464"/>
      <c r="D36" s="464"/>
      <c r="E36" s="464"/>
      <c r="F36" s="464"/>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4" t="s">
        <v>201</v>
      </c>
      <c r="C40" s="464"/>
      <c r="D40" s="464"/>
      <c r="E40" s="464"/>
      <c r="F40" s="464"/>
    </row>
    <row r="41" spans="2:6">
      <c r="B41" s="44" t="s">
        <v>202</v>
      </c>
      <c r="C41" s="285">
        <f>Normalized_FCF!C9</f>
        <v>0</v>
      </c>
      <c r="D41" s="1" t="str">
        <f>Reporting_currency</f>
        <v>HKD</v>
      </c>
    </row>
    <row r="43" spans="2:6">
      <c r="B43" s="464" t="s">
        <v>205</v>
      </c>
      <c r="C43" s="464"/>
      <c r="D43" s="464"/>
      <c r="E43" s="464"/>
      <c r="F43" s="464"/>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4" t="s">
        <v>206</v>
      </c>
      <c r="C51" s="464"/>
      <c r="D51" s="464"/>
      <c r="E51" s="464"/>
      <c r="F51" s="464"/>
    </row>
    <row r="52" spans="2:6">
      <c r="B52" s="44" t="s">
        <v>204</v>
      </c>
      <c r="C52" s="285">
        <f>Normalized_FCF!C12</f>
        <v>-1220468.9962311734</v>
      </c>
      <c r="D52" s="1" t="str">
        <f>Reporting_currency</f>
        <v>HKD</v>
      </c>
    </row>
    <row r="54" spans="2:6">
      <c r="B54" s="464" t="s">
        <v>265</v>
      </c>
      <c r="C54" s="465"/>
      <c r="D54" s="465"/>
      <c r="E54" s="465"/>
      <c r="F54" s="465"/>
    </row>
    <row r="55" spans="2:6">
      <c r="B55" s="44" t="s">
        <v>207</v>
      </c>
      <c r="C55" s="285">
        <f>Normalized_FCF!C17</f>
        <v>0</v>
      </c>
      <c r="D55" s="1" t="str">
        <f>Reporting_currency</f>
        <v>HKD</v>
      </c>
    </row>
    <row r="57" spans="2:6" ht="24.5" customHeight="1">
      <c r="B57" s="463" t="s">
        <v>270</v>
      </c>
      <c r="C57" s="463"/>
      <c r="D57" s="463"/>
      <c r="E57" s="463"/>
      <c r="F57" s="463"/>
    </row>
    <row r="58" spans="2:6" ht="24.5" customHeight="1">
      <c r="B58" s="463" t="s">
        <v>282</v>
      </c>
      <c r="C58" s="463"/>
      <c r="D58" s="463"/>
      <c r="E58" s="463"/>
      <c r="F58" s="463"/>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6.6001700289829934E-2</v>
      </c>
      <c r="F62" s="257"/>
    </row>
    <row r="63" spans="2:6">
      <c r="B63" s="204" t="s">
        <v>332</v>
      </c>
      <c r="C63" s="89">
        <f>Normalized_FCF!C92</f>
        <v>3.3872340425531916E-2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3" t="s">
        <v>478</v>
      </c>
      <c r="C73" s="463"/>
      <c r="D73" s="463"/>
      <c r="E73" s="463"/>
      <c r="F73" s="463"/>
    </row>
    <row r="74" spans="1:6">
      <c r="A74" s="191"/>
      <c r="B74" s="1" t="s">
        <v>465</v>
      </c>
    </row>
    <row r="75" spans="1:6">
      <c r="A75" s="191"/>
    </row>
    <row r="76" spans="1:6">
      <c r="A76" s="191"/>
      <c r="B76" s="192" t="s">
        <v>195</v>
      </c>
    </row>
    <row r="77" spans="1:6">
      <c r="A77" s="191"/>
      <c r="B77" s="463" t="s">
        <v>271</v>
      </c>
      <c r="C77" s="463"/>
      <c r="D77" s="463"/>
      <c r="E77" s="463"/>
      <c r="F77" s="463"/>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3" t="s">
        <v>485</v>
      </c>
      <c r="C96" s="463"/>
      <c r="D96" s="463"/>
      <c r="E96" s="463"/>
      <c r="F96" s="463"/>
    </row>
    <row r="97" spans="2:6">
      <c r="B97" s="467" t="s">
        <v>484</v>
      </c>
      <c r="C97" s="467"/>
      <c r="D97" s="467"/>
      <c r="E97" s="467"/>
      <c r="F97" s="467"/>
    </row>
    <row r="98" spans="2:6">
      <c r="B98" s="467" t="s">
        <v>483</v>
      </c>
      <c r="C98" s="467"/>
      <c r="D98" s="467"/>
      <c r="E98" s="467"/>
      <c r="F98" s="467"/>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3" t="s">
        <v>283</v>
      </c>
      <c r="C107" s="463"/>
      <c r="D107" s="463"/>
      <c r="E107" s="463"/>
      <c r="F107" s="463"/>
    </row>
    <row r="108" spans="2:6">
      <c r="B108" s="463" t="s">
        <v>284</v>
      </c>
      <c r="C108" s="463"/>
      <c r="D108" s="463"/>
      <c r="E108" s="463"/>
      <c r="F108" s="463"/>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3" t="s">
        <v>491</v>
      </c>
      <c r="C114" s="463"/>
      <c r="D114" s="463"/>
      <c r="E114" s="463"/>
      <c r="F114" s="463"/>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4" t="s">
        <v>357</v>
      </c>
      <c r="C124" s="464"/>
      <c r="D124" s="464"/>
      <c r="E124" s="464"/>
      <c r="F124" s="464"/>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8" t="s">
        <v>285</v>
      </c>
      <c r="C131" s="468"/>
      <c r="D131" s="468"/>
      <c r="E131" s="468"/>
      <c r="F131" s="468"/>
    </row>
    <row r="132" spans="1:6">
      <c r="B132" s="463" t="s">
        <v>359</v>
      </c>
      <c r="C132" s="463"/>
      <c r="D132" s="463"/>
      <c r="E132" s="463"/>
      <c r="F132" s="463"/>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0.29131237091673101</v>
      </c>
      <c r="D140" s="333">
        <f>Scenarios!D62</f>
        <v>3.0542606247223487</v>
      </c>
      <c r="E140" s="334">
        <f>Scenarios!E62</f>
        <v>3.3455729956390798</v>
      </c>
      <c r="F140" s="335">
        <f>E22</f>
        <v>0.29465259038036606</v>
      </c>
    </row>
    <row r="141" spans="1:6">
      <c r="B141" s="336" t="s">
        <v>313</v>
      </c>
      <c r="C141" s="333">
        <f>Scenarios!C63</f>
        <v>0.33495742840523723</v>
      </c>
      <c r="D141" s="333">
        <f>Scenarios!D63</f>
        <v>3.8283006819624537</v>
      </c>
      <c r="E141" s="334">
        <f>Scenarios!E63</f>
        <v>4.1632581103676909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2" t="s">
        <v>360</v>
      </c>
      <c r="C149" s="463"/>
      <c r="D149" s="463"/>
      <c r="E149" s="463"/>
      <c r="F149" s="463"/>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4" t="s">
        <v>438</v>
      </c>
      <c r="C158" s="464"/>
      <c r="D158" s="464"/>
      <c r="E158" s="464"/>
      <c r="F158" s="464"/>
    </row>
    <row r="160" spans="1:6">
      <c r="B160" s="1" t="s">
        <v>297</v>
      </c>
    </row>
    <row r="161" spans="2:6" ht="24.5" customHeight="1">
      <c r="B161" s="461" t="s">
        <v>294</v>
      </c>
      <c r="C161" s="461"/>
      <c r="D161" s="461"/>
      <c r="E161" s="461"/>
      <c r="F161" s="461"/>
    </row>
    <row r="162" spans="2:6" ht="24.5" customHeight="1">
      <c r="B162" s="461" t="s">
        <v>295</v>
      </c>
      <c r="C162" s="461"/>
      <c r="D162" s="461"/>
      <c r="E162" s="461"/>
      <c r="F162" s="461"/>
    </row>
    <row r="164" spans="2:6">
      <c r="B164" s="1" t="s">
        <v>301</v>
      </c>
    </row>
    <row r="165" spans="2:6">
      <c r="B165" s="196" t="s">
        <v>298</v>
      </c>
    </row>
    <row r="166" spans="2:6">
      <c r="B166" s="196" t="s">
        <v>299</v>
      </c>
    </row>
    <row r="167" spans="2:6">
      <c r="B167" s="196" t="s">
        <v>300</v>
      </c>
    </row>
  </sheetData>
  <mergeCells count="28">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 ref="B107:F107"/>
    <mergeCell ref="B127:F127"/>
    <mergeCell ref="B57:F57"/>
    <mergeCell ref="B77:F77"/>
    <mergeCell ref="B73:F73"/>
    <mergeCell ref="B97:F97"/>
    <mergeCell ref="B114:F114"/>
    <mergeCell ref="B161:F161"/>
    <mergeCell ref="B162:F162"/>
    <mergeCell ref="B149:F149"/>
    <mergeCell ref="B158:F158"/>
    <mergeCell ref="B152:F152"/>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3.3872340425531916E-2</v>
      </c>
      <c r="E92" s="237"/>
      <c r="G92" s="22">
        <f t="shared" ref="G92:Q92" si="38">IF(G$4="","",(G88*(1-dividend_tax_rate))/Market_Price)</f>
        <v>3.3872340425531916E-2</v>
      </c>
      <c r="H92" s="22">
        <f t="shared" si="38"/>
        <v>5.4744680851063821E-2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6.6001700289829934E-2</v>
      </c>
      <c r="D124" s="26"/>
      <c r="E124" s="234"/>
      <c r="F124" s="26"/>
      <c r="G124" s="74">
        <f t="shared" ref="G124" si="49">IF(G$4="","",G123/Market_Price)</f>
        <v>6.448554770723712E-2</v>
      </c>
      <c r="H124" s="74">
        <f t="shared" ref="H124" si="50">IF(H$4="","",H123/Market_Price)</f>
        <v>6.0180838193413196E-2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7.8025401284860393E-2</v>
      </c>
      <c r="H125" s="22">
        <f>IF(H$4="","",(Data!D47*$C$3)/(Market_Price*Common_Shares))</f>
        <v>7.1802066082949284E-2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4.7</v>
      </c>
      <c r="D34" t="str">
        <f>Market_currency</f>
        <v>HKD</v>
      </c>
      <c r="E34" s="97" t="s">
        <v>454</v>
      </c>
      <c r="F34" s="330">
        <f>RATE(Holding_Period,$C$33,-C34,$C$36)</f>
        <v>0.15178809681138061</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0.29131237091673101</v>
      </c>
      <c r="D62" s="119">
        <f>C36/(1+F62)^Holding_Period</f>
        <v>3.0542606247223487</v>
      </c>
      <c r="E62" s="332">
        <f>C62+D62</f>
        <v>3.3455729956390798</v>
      </c>
      <c r="F62" s="301">
        <f>Thesis!E22</f>
        <v>0.29465259038036606</v>
      </c>
      <c r="G62" s="440">
        <f>(1-E62/C36)</f>
        <v>0.49521704363132646</v>
      </c>
    </row>
    <row r="63" spans="2:7" ht="13.15">
      <c r="B63" s="302" t="s">
        <v>313</v>
      </c>
      <c r="C63" s="119">
        <f>PV(F63, Holding_Period, -C58, 0)</f>
        <v>0.33495742840523723</v>
      </c>
      <c r="D63" s="119">
        <f>C36/(1+F63)^Holding_Period</f>
        <v>3.8283006819624537</v>
      </c>
      <c r="E63" s="332">
        <f>C63+D63</f>
        <v>4.1632581103676909</v>
      </c>
      <c r="F63" s="301">
        <f>Thesis!E23</f>
        <v>0.20075184365903009</v>
      </c>
      <c r="G63" s="440">
        <f>(1-E63/C36)</f>
        <v>0.37184400405652518</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4.7</v>
      </c>
    </row>
    <row r="9" spans="1:10">
      <c r="B9" s="351" t="s">
        <v>361</v>
      </c>
      <c r="C9" s="353">
        <f>Common_Shares</f>
        <v>11803071135</v>
      </c>
    </row>
    <row r="10" spans="1:10">
      <c r="B10" s="351" t="s">
        <v>367</v>
      </c>
      <c r="C10" s="357">
        <f>投资主题!C8*Common_Shares/1000000</f>
        <v>55474.434334500002</v>
      </c>
      <c r="D10" s="343" t="s">
        <v>528</v>
      </c>
      <c r="E10" s="360">
        <f>Scenarios!F34</f>
        <v>0.15178809681138061</v>
      </c>
    </row>
    <row r="11" spans="1:10">
      <c r="D11" s="349"/>
      <c r="E11" s="349"/>
    </row>
    <row r="12" spans="1:10" ht="24.5" customHeight="1">
      <c r="B12" s="474" t="s">
        <v>497</v>
      </c>
      <c r="C12" s="474"/>
      <c r="D12" s="474"/>
      <c r="E12" s="474"/>
      <c r="F12" s="474"/>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3.3455729956390798</v>
      </c>
      <c r="D22" s="365" t="s">
        <v>440</v>
      </c>
      <c r="E22" s="366">
        <f>Thesis!E22</f>
        <v>0.29465259038036606</v>
      </c>
    </row>
    <row r="23" spans="1:6">
      <c r="B23" s="343" t="s">
        <v>341</v>
      </c>
      <c r="C23" s="367">
        <f>E141</f>
        <v>4.1632581103676909</v>
      </c>
      <c r="D23" s="365" t="s">
        <v>441</v>
      </c>
      <c r="E23" s="368">
        <f>Thesis!E23</f>
        <v>0.20075184365903009</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4" t="s">
        <v>498</v>
      </c>
      <c r="C29" s="474"/>
      <c r="D29" s="474"/>
      <c r="E29" s="474"/>
      <c r="F29" s="474"/>
    </row>
    <row r="30" spans="1:6" ht="24.5" customHeight="1">
      <c r="B30" s="477" t="s">
        <v>499</v>
      </c>
      <c r="C30" s="477"/>
      <c r="D30" s="477"/>
      <c r="E30" s="477"/>
      <c r="F30" s="477"/>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6"/>
      <c r="D54" s="476"/>
      <c r="E54" s="476"/>
      <c r="F54" s="476"/>
    </row>
    <row r="55" spans="2:6">
      <c r="B55" s="372" t="s">
        <v>207</v>
      </c>
      <c r="C55" s="373">
        <f>Normalized_FCF!C17</f>
        <v>0</v>
      </c>
      <c r="D55" s="343" t="str">
        <f>Reporting_currency</f>
        <v>HKD</v>
      </c>
    </row>
    <row r="57" spans="2:6">
      <c r="B57" s="474" t="s">
        <v>507</v>
      </c>
      <c r="C57" s="474"/>
      <c r="D57" s="474"/>
      <c r="E57" s="474"/>
      <c r="F57" s="474"/>
    </row>
    <row r="58" spans="2:6">
      <c r="B58" s="474" t="s">
        <v>508</v>
      </c>
      <c r="C58" s="474"/>
      <c r="D58" s="474"/>
      <c r="E58" s="474"/>
      <c r="F58" s="474"/>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6.6001700289829934E-2</v>
      </c>
      <c r="F62" s="379"/>
    </row>
    <row r="63" spans="2:6">
      <c r="B63" s="377" t="s">
        <v>332</v>
      </c>
      <c r="C63" s="378">
        <f>Normalized_FCF!C92</f>
        <v>3.3872340425531916E-2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4" t="s">
        <v>509</v>
      </c>
      <c r="C73" s="474"/>
      <c r="D73" s="474"/>
      <c r="E73" s="474"/>
      <c r="F73" s="474"/>
    </row>
    <row r="74" spans="1:6">
      <c r="B74" s="477" t="s">
        <v>479</v>
      </c>
      <c r="C74" s="477"/>
      <c r="D74" s="477"/>
      <c r="E74" s="477"/>
      <c r="F74" s="477"/>
    </row>
    <row r="76" spans="1:6">
      <c r="B76" s="369" t="s">
        <v>371</v>
      </c>
    </row>
    <row r="77" spans="1:6">
      <c r="B77" s="474" t="s">
        <v>510</v>
      </c>
      <c r="C77" s="474"/>
      <c r="D77" s="474"/>
      <c r="E77" s="474"/>
      <c r="F77" s="474"/>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4" t="s">
        <v>513</v>
      </c>
      <c r="C96" s="474"/>
      <c r="D96" s="474"/>
      <c r="E96" s="474"/>
      <c r="F96" s="474"/>
    </row>
    <row r="97" spans="1:6">
      <c r="A97" s="385"/>
      <c r="B97" s="477" t="s">
        <v>514</v>
      </c>
      <c r="C97" s="477"/>
      <c r="D97" s="477"/>
      <c r="E97" s="477"/>
      <c r="F97" s="477"/>
    </row>
    <row r="98" spans="1:6">
      <c r="A98" s="385"/>
      <c r="B98" s="477" t="s">
        <v>515</v>
      </c>
      <c r="C98" s="477"/>
      <c r="D98" s="477"/>
      <c r="E98" s="477"/>
      <c r="F98" s="477"/>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4" t="s">
        <v>516</v>
      </c>
      <c r="C107" s="474"/>
      <c r="D107" s="474"/>
      <c r="E107" s="474"/>
      <c r="F107" s="474"/>
    </row>
    <row r="108" spans="1:6">
      <c r="A108" s="385"/>
      <c r="B108" s="474" t="s">
        <v>535</v>
      </c>
      <c r="C108" s="474"/>
      <c r="D108" s="474"/>
      <c r="E108" s="474"/>
      <c r="F108" s="474"/>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4" t="s">
        <v>517</v>
      </c>
      <c r="C114" s="474"/>
      <c r="D114" s="474"/>
      <c r="E114" s="474"/>
      <c r="F114" s="474"/>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2" t="s">
        <v>519</v>
      </c>
      <c r="C127" s="472"/>
      <c r="D127" s="472"/>
      <c r="E127" s="472"/>
      <c r="F127" s="472"/>
    </row>
    <row r="129" spans="1:6" ht="13.9">
      <c r="A129" s="345" t="s">
        <v>492</v>
      </c>
      <c r="B129" s="345"/>
      <c r="C129" s="345"/>
      <c r="D129" s="345"/>
      <c r="E129" s="345"/>
      <c r="F129" s="345"/>
    </row>
    <row r="131" spans="1:6">
      <c r="B131" s="473" t="s">
        <v>520</v>
      </c>
      <c r="C131" s="473"/>
      <c r="D131" s="473"/>
      <c r="E131" s="473"/>
      <c r="F131" s="473"/>
    </row>
    <row r="132" spans="1:6" ht="24.5" customHeight="1">
      <c r="B132" s="474" t="s">
        <v>521</v>
      </c>
      <c r="C132" s="474"/>
      <c r="D132" s="474"/>
      <c r="E132" s="474"/>
      <c r="F132" s="474"/>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0.29131237091673101</v>
      </c>
      <c r="D140" s="409">
        <f>Scenarios!D62</f>
        <v>3.0542606247223487</v>
      </c>
      <c r="E140" s="410">
        <f>Scenarios!E62</f>
        <v>3.3455729956390798</v>
      </c>
      <c r="F140" s="411">
        <f>E22</f>
        <v>0.29465259038036606</v>
      </c>
    </row>
    <row r="141" spans="1:6">
      <c r="B141" s="408" t="s">
        <v>313</v>
      </c>
      <c r="C141" s="409">
        <f>Scenarios!C63</f>
        <v>0.33495742840523723</v>
      </c>
      <c r="D141" s="409">
        <f>Scenarios!D63</f>
        <v>3.8283006819624537</v>
      </c>
      <c r="E141" s="410">
        <f>Scenarios!E63</f>
        <v>4.1632581103676909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5" t="s">
        <v>522</v>
      </c>
      <c r="C149" s="474"/>
      <c r="D149" s="474"/>
      <c r="E149" s="474"/>
      <c r="F149" s="474"/>
    </row>
    <row r="151" spans="1:6">
      <c r="B151" s="369" t="s">
        <v>384</v>
      </c>
    </row>
    <row r="152" spans="1:6">
      <c r="B152" s="476" t="s">
        <v>523</v>
      </c>
      <c r="C152" s="476"/>
      <c r="D152" s="476"/>
      <c r="E152" s="476"/>
      <c r="F152" s="476"/>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1" t="s">
        <v>388</v>
      </c>
      <c r="C161" s="471"/>
      <c r="D161" s="471"/>
      <c r="E161" s="471"/>
      <c r="F161" s="471"/>
    </row>
    <row r="162" spans="2:6">
      <c r="B162" s="471" t="s">
        <v>389</v>
      </c>
      <c r="C162" s="471"/>
      <c r="D162" s="471"/>
      <c r="E162" s="471"/>
      <c r="F162" s="471"/>
    </row>
    <row r="164" spans="2:6">
      <c r="B164" s="343" t="s">
        <v>526</v>
      </c>
    </row>
    <row r="165" spans="2:6">
      <c r="B165" s="412" t="s">
        <v>390</v>
      </c>
    </row>
    <row r="166" spans="2:6">
      <c r="B166" s="412" t="s">
        <v>391</v>
      </c>
    </row>
    <row r="167" spans="2:6">
      <c r="B167" s="412" t="s">
        <v>392</v>
      </c>
    </row>
  </sheetData>
  <mergeCells count="29">
    <mergeCell ref="B40:F40"/>
    <mergeCell ref="B12:F12"/>
    <mergeCell ref="B29:F29"/>
    <mergeCell ref="B30:F30"/>
    <mergeCell ref="B33:F33"/>
    <mergeCell ref="B36:F36"/>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158:F158"/>
    <mergeCell ref="B161:F161"/>
    <mergeCell ref="B162:F162"/>
    <mergeCell ref="B124:F124"/>
    <mergeCell ref="B127:F127"/>
    <mergeCell ref="B131:F131"/>
    <mergeCell ref="B132:F132"/>
    <mergeCell ref="B149:F149"/>
    <mergeCell ref="B152:F152"/>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2026-03-15T03:01:48Z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