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BC9A817-31B0-4C1B-B6F4-F225D026BE66}" xr6:coauthVersionLast="47" xr6:coauthVersionMax="47" xr10:uidLastSave="{00000000-0000-0000-0000-000000000000}"/>
  <bookViews>
    <workbookView xWindow="735" yWindow="735" windowWidth="12690"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<sst xmlns="http://schemas.openxmlformats.org/spreadsheetml/2006/main" count="768" uniqueCount="557">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</sst>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4.7699999999999996</v>
      </c>
      <c r="E8" s="32"/>
    </row>
    <row r="9" spans="1:9">
      <c r="B9" s="4" t="s">
        <v>346</v>
      </c>
      <c r="C9" s="48">
        <v>11803071135</v>
      </c>
    </row>
    <row r="10" spans="1:9">
      <c r="B10" s="4" t="s">
        <v>352</v>
      </c>
      <c r="C10" s="33">
        <f>Thesis!C8*Common_Shares/1000000</f>
        <v>56300.649313949994</v>
      </c>
      <c r="D10" s="1" t="s">
        <v>527</v>
      </c>
      <c r="E10" s="303">
        <f>Scenarios!F34</f>
        <v>0.14596342489630992</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3.3058505032532972</v>
      </c>
      <c r="D22" s="38" t="s">
        <v>406</v>
      </c>
      <c r="E22" s="79">
        <v>0.3</v>
      </c>
    </row>
    <row r="23" spans="1:6">
      <c r="B23" s="1" t="s">
        <v>313</v>
      </c>
      <c r="C23" s="256">
        <f>E141</f>
        <v>4.170852752110819</v>
      </c>
      <c r="D23" s="38" t="s">
        <v>407</v>
      </c>
      <c r="E23" s="443">
        <v>0.2</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5154221.0000000019</v>
      </c>
      <c r="D34" s="1" t="str">
        <f>Reporting_currency</f>
        <v>HKD</v>
      </c>
    </row>
    <row r="35" spans="2:6">
      <c r="B35" s="44"/>
      <c r="C35" s="73"/>
    </row>
    <row r="36" spans="2:6" ht="24.5" customHeight="1">
      <c r="B36" s="462" t="s">
        <v>198</v>
      </c>
      <c r="C36" s="462"/>
      <c r="D36" s="462"/>
      <c r="E36" s="462"/>
      <c r="F36" s="462"/>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2" t="s">
        <v>201</v>
      </c>
      <c r="C40" s="462"/>
      <c r="D40" s="462"/>
      <c r="E40" s="462"/>
      <c r="F40" s="462"/>
    </row>
    <row r="41" spans="2:6">
      <c r="B41" s="44" t="s">
        <v>202</v>
      </c>
      <c r="C41" s="285">
        <f>Normalized_FCF!C9</f>
        <v>0</v>
      </c>
      <c r="D41" s="1" t="str">
        <f>Reporting_currency</f>
        <v>HKD</v>
      </c>
    </row>
    <row r="43" spans="2:6">
      <c r="B43" s="462" t="s">
        <v>205</v>
      </c>
      <c r="C43" s="462"/>
      <c r="D43" s="462"/>
      <c r="E43" s="462"/>
      <c r="F43" s="462"/>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2" t="s">
        <v>206</v>
      </c>
      <c r="C51" s="462"/>
      <c r="D51" s="462"/>
      <c r="E51" s="462"/>
      <c r="F51" s="462"/>
    </row>
    <row r="52" spans="2:6">
      <c r="B52" s="44" t="s">
        <v>204</v>
      </c>
      <c r="C52" s="285">
        <f>Normalized_FCF!C12</f>
        <v>-1220468.9962311734</v>
      </c>
      <c r="D52" s="1" t="str">
        <f>Reporting_currency</f>
        <v>HKD</v>
      </c>
    </row>
    <row r="54" spans="2:6">
      <c r="B54" s="462" t="s">
        <v>265</v>
      </c>
      <c r="C54" s="465"/>
      <c r="D54" s="465"/>
      <c r="E54" s="465"/>
      <c r="F54" s="465"/>
    </row>
    <row r="55" spans="2:6">
      <c r="B55" s="44" t="s">
        <v>207</v>
      </c>
      <c r="C55" s="285">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6.5033121878868075E-2</v>
      </c>
      <c r="F62" s="257"/>
    </row>
    <row r="63" spans="2:6">
      <c r="B63" s="204" t="s">
        <v>332</v>
      </c>
      <c r="C63" s="89">
        <f>Normalized_FCF!C92</f>
        <v>3.3375262054507339E-2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2" t="s">
        <v>357</v>
      </c>
      <c r="C124" s="462"/>
      <c r="D124" s="462"/>
      <c r="E124" s="462"/>
      <c r="F124" s="462"/>
    </row>
    <row r="125" spans="2:6">
      <c r="B125" s="193" t="s">
        <v>218</v>
      </c>
      <c r="C125" s="197">
        <f>Scenarios!C36</f>
        <v>6.6277455556474951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0.28912517068730093</v>
      </c>
      <c r="D140" s="333">
        <f>Scenarios!D62</f>
        <v>3.0167253325659962</v>
      </c>
      <c r="E140" s="334">
        <f>Scenarios!E62</f>
        <v>3.3058505032532972</v>
      </c>
      <c r="F140" s="335">
        <f>E22</f>
        <v>0.3</v>
      </c>
    </row>
    <row r="141" spans="1:6">
      <c r="B141" s="336" t="s">
        <v>313</v>
      </c>
      <c r="C141" s="333">
        <f>Scenarios!C63</f>
        <v>0.33535185185185185</v>
      </c>
      <c r="D141" s="333">
        <f>Scenarios!D63</f>
        <v>3.8355009002589671</v>
      </c>
      <c r="E141" s="334">
        <f>Scenarios!E63</f>
        <v>4.170852752110819</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4.621073401912601E-2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3.3375262054507339E-2</v>
      </c>
      <c r="E92" s="237"/>
      <c r="G92" s="22">
        <f t="shared" ref="G92:Q92" si="38">IF(G$4="","",(G88*(1-dividend_tax_rate))/Market_Price)</f>
        <v>3.3375262054507339E-2</v>
      </c>
      <c r="H92" s="22">
        <f t="shared" si="38"/>
        <v>5.3941299790356396E-2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6.5033121878868075E-2</v>
      </c>
      <c r="D124" s="26"/>
      <c r="E124" s="234"/>
      <c r="F124" s="26"/>
      <c r="G124" s="74">
        <f t="shared" ref="G124" si="49">IF(G$4="","",G123/Market_Price)</f>
        <v>6.3539218914887743E-2</v>
      </c>
      <c r="H124" s="74">
        <f t="shared" ref="H124" si="50">IF(H$4="","",H123/Market_Price)</f>
        <v>5.9297681238792886E-2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7.6880374431623461E-2</v>
      </c>
      <c r="H125" s="22">
        <f>IF(H$4="","",(Data!D47*$C$3)/(Market_Price*Common_Shares))</f>
        <v>7.0748366999971002E-2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0" t="s">
        <v>420</v>
      </c>
      <c r="K52" s="460"/>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4.7699999999999996</v>
      </c>
      <c r="D34" t="str">
        <f>Market_currency</f>
        <v>HKD</v>
      </c>
      <c r="E34" s="97" t="s">
        <v>454</v>
      </c>
      <c r="F34" s="330">
        <f>RATE(Holding_Period,$C$33,-C34,$C$36)</f>
        <v>0.14596342489630992</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0.28912517068730093</v>
      </c>
      <c r="D62" s="119">
        <f>C36/(1+F62)^Holding_Period</f>
        <v>3.0167253325659962</v>
      </c>
      <c r="E62" s="332">
        <f>C62+D62</f>
        <v>3.3058505032532972</v>
      </c>
      <c r="F62" s="301">
        <f>Thesis!E22</f>
        <v>0.3</v>
      </c>
      <c r="G62" s="440">
        <f>(1-E62/C36)</f>
        <v>0.50121040774771664</v>
      </c>
    </row>
    <row r="63" spans="2:7" ht="13.15">
      <c r="B63" s="302" t="s">
        <v>313</v>
      </c>
      <c r="C63" s="119">
        <f>PV(F63, Holding_Period, -C58, 0)</f>
        <v>0.33535185185185185</v>
      </c>
      <c r="D63" s="119">
        <f>C36/(1+F63)^Holding_Period</f>
        <v>3.8355009002589671</v>
      </c>
      <c r="E63" s="332">
        <f>C63+D63</f>
        <v>4.170852752110819</v>
      </c>
      <c r="F63" s="301">
        <f>Thesis!E23</f>
        <v>0.2</v>
      </c>
      <c r="G63" s="440">
        <f>(1-E63/C36)</f>
        <v>0.37069811792083063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4.7699999999999996</v>
      </c>
    </row>
    <row r="9" spans="1:10">
      <c r="B9" s="351" t="s">
        <v>361</v>
      </c>
      <c r="C9" s="353">
        <f>Common_Shares</f>
        <v>11803071135</v>
      </c>
    </row>
    <row r="10" spans="1:10">
      <c r="B10" s="351" t="s">
        <v>367</v>
      </c>
      <c r="C10" s="357">
        <f>投资主题!C8*Common_Shares/1000000</f>
        <v>56300.649313949994</v>
      </c>
      <c r="D10" s="343" t="s">
        <v>528</v>
      </c>
      <c r="E10" s="360">
        <f>Scenarios!F34</f>
        <v>0.14596342489630992</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3.3058505032532972</v>
      </c>
      <c r="D22" s="365" t="s">
        <v>440</v>
      </c>
      <c r="E22" s="366">
        <f>Thesis!E22</f>
        <v>0.3</v>
      </c>
    </row>
    <row r="23" spans="1:6">
      <c r="B23" s="343" t="s">
        <v>341</v>
      </c>
      <c r="C23" s="367">
        <f>E141</f>
        <v>4.170852752110819</v>
      </c>
      <c r="D23" s="365" t="s">
        <v>441</v>
      </c>
      <c r="E23" s="368">
        <f>Thesis!E23</f>
        <v>0.2</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3"/>
      <c r="D54" s="473"/>
      <c r="E54" s="473"/>
      <c r="F54" s="473"/>
    </row>
    <row r="55" spans="2:6">
      <c r="B55" s="372" t="s">
        <v>207</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6.5033121878868075E-2</v>
      </c>
      <c r="F62" s="379"/>
    </row>
    <row r="63" spans="2:6">
      <c r="B63" s="377" t="s">
        <v>332</v>
      </c>
      <c r="C63" s="378">
        <f>Normalized_FCF!C92</f>
        <v>3.3375262054507339E-2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0.28912517068730093</v>
      </c>
      <c r="D140" s="409">
        <f>Scenarios!D62</f>
        <v>3.0167253325659962</v>
      </c>
      <c r="E140" s="410">
        <f>Scenarios!E62</f>
        <v>3.3058505032532972</v>
      </c>
      <c r="F140" s="411">
        <f>E22</f>
        <v>0.3</v>
      </c>
    </row>
    <row r="141" spans="1:6">
      <c r="B141" s="408" t="s">
        <v>313</v>
      </c>
      <c r="C141" s="409">
        <f>Scenarios!C63</f>
        <v>0.33535185185185185</v>
      </c>
      <c r="D141" s="409">
        <f>Scenarios!D63</f>
        <v>3.8355009002589671</v>
      </c>
      <c r="E141" s="410">
        <f>Scenarios!E63</f>
        <v>4.170852752110819</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2026-03-17T02:27:03Z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