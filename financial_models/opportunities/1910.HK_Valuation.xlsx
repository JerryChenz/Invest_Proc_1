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F662DE0-86A4-564F-8136-40F58A5D3D29}"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C66" i="2"/>
  <c r="C58" i="2" s="1"/>
  <c r="B128" i="6"/>
  <c r="B128" i="12"/>
  <c r="B126" i="6"/>
  <c r="B126" i="12"/>
  <c r="B129" i="6"/>
  <c r="B129"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C80" i="4" s="1"/>
  <c r="C76" i="4" s="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<sst xmlns="http://schemas.openxmlformats.org/spreadsheetml/2006/main" count="836" uniqueCount="560">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</sst>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file:///C:/Users/jerry/PycharmProjects/Invest_Proc/financial_models/opportunities/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1383064083</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17.21</v>
      </c>
      <c r="D12" s="50"/>
      <c r="E12" s="48"/>
    </row>
    <row r="13" spans="1:10" x14ac:dyDescent="0.15">
      <c r="B13" s="1" t="s">
        <v>464</v>
      </c>
      <c r="C13" s="48" t="s">
        <v>377</v>
      </c>
      <c r="D13" s="48"/>
      <c r="E13" s="5"/>
    </row>
    <row r="14" spans="1:10" x14ac:dyDescent="0.15">
      <c r="B14" s="4" t="s">
        <v>465</v>
      </c>
      <c r="C14" s="35">
        <f>Thesis!C12*Common_Shares/1000000</f>
        <v>23802.53286843</v>
      </c>
      <c r="D14" s="35" t="str">
        <f>IF(D11="","",Thesis!D12*Common_Shares/1000000)</f>
        <v/>
      </c>
      <c r="E14" s="5"/>
    </row>
    <row r="15" spans="1:10" x14ac:dyDescent="0.15">
      <c r="B15" s="4" t="s">
        <v>466</v>
      </c>
      <c r="C15" s="32" t="str">
        <f>IF(C25=C13,C13,C25&amp;"/"&amp;C13)</f>
        <v>USD/HKD</v>
      </c>
      <c r="D15" s="32" t="str">
        <f>IF(D11="","",IF(C25=D13,D13,C25&amp;"/"&amp;D13))</f>
        <v/>
      </c>
      <c r="E15" s="5"/>
    </row>
    <row r="16" spans="1:10" x14ac:dyDescent="0.15">
      <c r="B16" s="4" t="s">
        <v>467</v>
      </c>
      <c r="C16" s="50">
        <v>7.8484999999999996</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High Growth </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551</v>
      </c>
    </row>
    <row r="24" spans="2:6" x14ac:dyDescent="0.15">
      <c r="B24" s="1" t="s">
        <v>411</v>
      </c>
      <c r="C24" s="262" t="s">
        <v>551</v>
      </c>
    </row>
    <row r="25" spans="2:6" x14ac:dyDescent="0.15">
      <c r="B25" s="4" t="s">
        <v>338</v>
      </c>
      <c r="C25" s="48" t="s">
        <v>556</v>
      </c>
      <c r="D25" s="32" t="str">
        <f>IF(D11="","",Market_currency&amp;"/"&amp;D13&amp;":")</f>
        <v/>
      </c>
      <c r="E25" s="299" t="str">
        <f>IF(D11="","",1/Exchange_Rate*D16)</f>
        <v/>
      </c>
    </row>
    <row r="26" spans="2:6" x14ac:dyDescent="0.15">
      <c r="B26" s="1" t="str">
        <f>"Expected Equity Value ("&amp;C13&amp;") :"</f>
        <v>Expected Equity Value (HKD) :</v>
      </c>
      <c r="C26" s="304">
        <f>C132</f>
        <v>18.603192739546643</v>
      </c>
      <c r="D26" s="1" t="s">
        <v>380</v>
      </c>
      <c r="E26" s="301">
        <f ca="1">Scenarios!C87</f>
        <v>7.4059851104757879E-2</v>
      </c>
    </row>
    <row r="27" spans="2:6" x14ac:dyDescent="0.15">
      <c r="D27" s="5"/>
      <c r="E27" s="5"/>
    </row>
    <row r="28" spans="2:6" x14ac:dyDescent="0.15">
      <c r="B28" s="45" t="s">
        <v>409</v>
      </c>
      <c r="C28" s="309" t="str">
        <f>C145&amp;" ("&amp;Market_currency&amp;")"</f>
        <v>1910.HK (HKD)</v>
      </c>
      <c r="D28" s="309" t="str">
        <f>IF(D11="","",D145&amp;" ("&amp;D13&amp;")")</f>
        <v/>
      </c>
      <c r="E28" s="305" t="s">
        <v>405</v>
      </c>
      <c r="F28" s="303">
        <v>3</v>
      </c>
    </row>
    <row r="29" spans="2:6" x14ac:dyDescent="0.15">
      <c r="B29" s="1" t="s">
        <v>401</v>
      </c>
      <c r="C29" s="310">
        <f>C149</f>
        <v>8.9906268657406443</v>
      </c>
      <c r="D29" s="310" t="str">
        <f>D149</f>
        <v/>
      </c>
      <c r="E29" s="306" t="s">
        <v>400</v>
      </c>
      <c r="F29" s="302">
        <v>0.35</v>
      </c>
    </row>
    <row r="30" spans="2:6" x14ac:dyDescent="0.15">
      <c r="B30" s="1" t="s">
        <v>402</v>
      </c>
      <c r="C30" s="311">
        <f>C157</f>
        <v>11.170231895447881</v>
      </c>
      <c r="D30" s="311" t="str">
        <f>D157</f>
        <v/>
      </c>
      <c r="E30" s="307" t="s">
        <v>413</v>
      </c>
      <c r="F30" s="312">
        <v>0.25</v>
      </c>
    </row>
    <row r="31" spans="2:6" x14ac:dyDescent="0.15">
      <c r="B31" s="1" t="s">
        <v>403</v>
      </c>
      <c r="C31" s="311">
        <f>C165</f>
        <v>17.166894923654333</v>
      </c>
      <c r="D31" s="311" t="str">
        <f>D165</f>
        <v/>
      </c>
      <c r="E31" s="307" t="s">
        <v>412</v>
      </c>
      <c r="F31" s="312">
        <v>7.4999999999999997E-2</v>
      </c>
    </row>
    <row r="32" spans="2:6" x14ac:dyDescent="0.15">
      <c r="B32" s="1" t="s">
        <v>404</v>
      </c>
      <c r="C32" s="311">
        <f>C173</f>
        <v>15.367684638411601</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553.11898834421322</v>
      </c>
      <c r="D41" s="1" t="str">
        <f>Reporting_currency</f>
        <v>USD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USD</v>
      </c>
    </row>
    <row r="45" spans="1:6" x14ac:dyDescent="0.15">
      <c r="B45" s="52" t="s">
        <v>231</v>
      </c>
      <c r="C45" s="349">
        <f>Normalized_FCF!C10</f>
        <v>0</v>
      </c>
      <c r="D45" s="1" t="str">
        <f>Reporting_currency</f>
        <v>USD</v>
      </c>
    </row>
    <row r="47" spans="1:6" x14ac:dyDescent="0.15">
      <c r="B47" s="371" t="s">
        <v>232</v>
      </c>
      <c r="C47" s="371"/>
      <c r="D47" s="371"/>
      <c r="E47" s="371"/>
      <c r="F47" s="371"/>
    </row>
    <row r="48" spans="1:6" x14ac:dyDescent="0.15">
      <c r="B48" s="47" t="s">
        <v>233</v>
      </c>
      <c r="C48" s="349">
        <f>Normalized_FCF!C11</f>
        <v>0</v>
      </c>
      <c r="D48" s="1" t="str">
        <f>Reporting_currency</f>
        <v>USD</v>
      </c>
    </row>
    <row r="50" spans="2:6" x14ac:dyDescent="0.15">
      <c r="B50" s="371" t="s">
        <v>236</v>
      </c>
      <c r="C50" s="371"/>
      <c r="D50" s="371"/>
      <c r="E50" s="371"/>
      <c r="F50" s="371"/>
    </row>
    <row r="51" spans="2:6" x14ac:dyDescent="0.15">
      <c r="B51" s="47" t="s">
        <v>331</v>
      </c>
      <c r="C51" s="350">
        <f>Normalized_FCF!C48</f>
        <v>7.040484682543668</v>
      </c>
      <c r="D51" s="1" t="str">
        <f>Reporting_currency</f>
        <v>USD</v>
      </c>
      <c r="E51" s="286"/>
      <c r="F51" s="286"/>
    </row>
    <row r="52" spans="2:6" x14ac:dyDescent="0.15">
      <c r="B52" s="47" t="s">
        <v>332</v>
      </c>
      <c r="C52" s="350">
        <f>Normalized_FCF!C47</f>
        <v>-152</v>
      </c>
      <c r="D52" s="1" t="str">
        <f>Reporting_currency</f>
        <v>USD</v>
      </c>
      <c r="E52" s="286"/>
      <c r="F52" s="286"/>
    </row>
    <row r="53" spans="2:6" x14ac:dyDescent="0.15">
      <c r="B53" s="47" t="s">
        <v>234</v>
      </c>
      <c r="C53" s="349">
        <f>Normalized_FCF!C12</f>
        <v>-144.95951531745632</v>
      </c>
      <c r="D53" s="1" t="str">
        <f>Reporting_currency</f>
        <v>USD</v>
      </c>
    </row>
    <row r="55" spans="2:6" x14ac:dyDescent="0.15">
      <c r="B55" s="1" t="s">
        <v>242</v>
      </c>
    </row>
    <row r="56" spans="2:6" x14ac:dyDescent="0.15">
      <c r="B56" s="47" t="s">
        <v>261</v>
      </c>
      <c r="C56" s="349">
        <f>Normalized_FCF!C15</f>
        <v>-32.451765153160977</v>
      </c>
      <c r="D56" s="1" t="str">
        <f>Reporting_currency</f>
        <v>USD</v>
      </c>
    </row>
    <row r="58" spans="2:6" x14ac:dyDescent="0.15">
      <c r="B58" s="371" t="s">
        <v>237</v>
      </c>
      <c r="C58" s="371"/>
      <c r="D58" s="371"/>
      <c r="E58" s="371"/>
      <c r="F58" s="371"/>
    </row>
    <row r="59" spans="2:6" x14ac:dyDescent="0.15">
      <c r="B59" s="47" t="s">
        <v>235</v>
      </c>
      <c r="C59" s="349">
        <f>Normalized_FCF!C14</f>
        <v>-102.03986825668923</v>
      </c>
      <c r="D59" s="1" t="str">
        <f>Reporting_currency</f>
        <v>USD</v>
      </c>
    </row>
    <row r="61" spans="2:6" x14ac:dyDescent="0.15">
      <c r="B61" s="371" t="s">
        <v>329</v>
      </c>
      <c r="C61" s="374"/>
      <c r="D61" s="374"/>
      <c r="E61" s="374"/>
      <c r="F61" s="374"/>
    </row>
    <row r="62" spans="2:6" x14ac:dyDescent="0.15">
      <c r="B62" s="47" t="s">
        <v>238</v>
      </c>
      <c r="C62" s="349">
        <f>Normalized_FCF!C17</f>
        <v>0</v>
      </c>
      <c r="D62" s="1" t="str">
        <f>Reporting_currency</f>
        <v>USD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342.24048468254358</v>
      </c>
      <c r="D67" s="1" t="str">
        <f>Reporting_currency</f>
        <v>USD</v>
      </c>
    </row>
    <row r="68" spans="1:6" x14ac:dyDescent="0.15">
      <c r="B68" s="47" t="s">
        <v>244</v>
      </c>
      <c r="C68" s="349">
        <f>Normalized_FCF!C19</f>
        <v>273.66783961690669</v>
      </c>
      <c r="D68" s="1" t="str">
        <f>Reporting_currency</f>
        <v>USD</v>
      </c>
    </row>
    <row r="69" spans="1:6" x14ac:dyDescent="0.15">
      <c r="B69" s="227" t="s">
        <v>371</v>
      </c>
      <c r="C69" s="92">
        <f>Normalized_FCF!C126</f>
        <v>9.0237541151853243E-2</v>
      </c>
      <c r="F69" s="314"/>
    </row>
    <row r="70" spans="1:6" x14ac:dyDescent="0.15">
      <c r="B70" s="227" t="s">
        <v>434</v>
      </c>
      <c r="C70" s="92">
        <f>Normalized_FCF!C94</f>
        <v>4.8979018012783253E-2</v>
      </c>
      <c r="E70" s="47" t="s">
        <v>424</v>
      </c>
      <c r="F70" s="315">
        <f>Normalized_FCF!C92</f>
        <v>4.259998864845338</v>
      </c>
    </row>
    <row r="72" spans="1:6" x14ac:dyDescent="0.15">
      <c r="B72" s="210" t="s">
        <v>427</v>
      </c>
      <c r="C72" s="323" t="s">
        <v>429</v>
      </c>
      <c r="D72" s="323" t="s">
        <v>430</v>
      </c>
    </row>
    <row r="73" spans="1:6" x14ac:dyDescent="0.15">
      <c r="B73" s="47" t="s">
        <v>428</v>
      </c>
      <c r="C73" s="92">
        <f>Normalized_FCF!C121</f>
        <v>0.26418088869045758</v>
      </c>
      <c r="D73" s="92">
        <f>Normalized_FCF!G121</f>
        <v>0.31549545934145212</v>
      </c>
    </row>
    <row r="74" spans="1:6" x14ac:dyDescent="0.15">
      <c r="B74" s="259" t="str">
        <f>Normalized_FCF!B118</f>
        <v>Pre-tax Profit/Sales</v>
      </c>
      <c r="C74" s="322">
        <f>Normalized_FCF!C118</f>
        <v>0.11373780109980408</v>
      </c>
      <c r="D74" s="322">
        <f>Normalized_FCF!G118</f>
        <v>0.1358302638027486</v>
      </c>
    </row>
    <row r="75" spans="1:6" x14ac:dyDescent="0.15">
      <c r="B75" s="259" t="str">
        <f>Normalized_FCF!B119</f>
        <v>Sales/Total Assets</v>
      </c>
      <c r="C75" s="324">
        <f>Normalized_FCF!C119</f>
        <v>0.70652858717908329</v>
      </c>
      <c r="D75" s="324">
        <f>Normalized_FCF!G119</f>
        <v>0.70652858717908329</v>
      </c>
    </row>
    <row r="76" spans="1:6" x14ac:dyDescent="0.15">
      <c r="B76" s="259" t="str">
        <f>Normalized_FCF!B120</f>
        <v>Total Assets/Equity</v>
      </c>
      <c r="C76" s="324">
        <f>Normalized_FCF!C120</f>
        <v>3.2875080906148866</v>
      </c>
      <c r="D76" s="324">
        <f>Normalized_FCF!G120</f>
        <v>3.2875080906148866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20.706507776311931</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2323</v>
      </c>
      <c r="D102" s="1" t="str">
        <f>Reporting_currency</f>
        <v>USD</v>
      </c>
    </row>
    <row r="103" spans="2:6" x14ac:dyDescent="0.15">
      <c r="B103" s="47" t="s">
        <v>276</v>
      </c>
      <c r="C103" s="223">
        <f>C102*scaling_factor*Exchange_Rate/Common_Shares</f>
        <v>13.182372186582189</v>
      </c>
      <c r="D103" s="1" t="str">
        <f>Market_currency</f>
        <v>HKD</v>
      </c>
    </row>
    <row r="104" spans="2:6" x14ac:dyDescent="0.15">
      <c r="B104" s="296" t="s">
        <v>384</v>
      </c>
      <c r="C104" s="325">
        <f>IF(BS!G31/BS!G27&gt;300%,"nm",BS!G31/BS!G27)</f>
        <v>1.5035598705501618</v>
      </c>
    </row>
    <row r="105" spans="2:6" x14ac:dyDescent="0.15">
      <c r="B105" s="296" t="s">
        <v>386</v>
      </c>
      <c r="C105" s="326">
        <f>IF(BS!C50&gt;30,"nm",BS!C50)</f>
        <v>4.1998196571663646</v>
      </c>
    </row>
    <row r="107" spans="2:6" x14ac:dyDescent="0.15">
      <c r="B107" s="1" t="s">
        <v>250</v>
      </c>
    </row>
    <row r="108" spans="2:6" x14ac:dyDescent="0.15">
      <c r="B108" s="47" t="s">
        <v>260</v>
      </c>
      <c r="C108" s="349">
        <f>BS!C66</f>
        <v>676.3</v>
      </c>
      <c r="D108" s="1" t="str">
        <f>Reporting_currency</f>
        <v>USD</v>
      </c>
    </row>
    <row r="109" spans="2:6" x14ac:dyDescent="0.15">
      <c r="B109" s="47" t="s">
        <v>262</v>
      </c>
      <c r="C109" s="349">
        <f>DCF!C8</f>
        <v>326.19119185262622</v>
      </c>
      <c r="D109" s="1" t="str">
        <f>Reporting_currency</f>
        <v>USD</v>
      </c>
    </row>
    <row r="110" spans="2:6" x14ac:dyDescent="0.15">
      <c r="B110" s="47" t="s">
        <v>277</v>
      </c>
      <c r="C110" s="223">
        <f>C109*scaling_factor*Exchange_Rate/Common_Shares</f>
        <v>1.8510433469591712</v>
      </c>
      <c r="D110" s="1" t="str">
        <f>Market_currency</f>
        <v>HKD</v>
      </c>
    </row>
    <row r="112" spans="2:6" x14ac:dyDescent="0.15">
      <c r="B112" s="1" t="s">
        <v>252</v>
      </c>
    </row>
    <row r="113" spans="1:6" x14ac:dyDescent="0.15">
      <c r="B113" s="47" t="s">
        <v>253</v>
      </c>
      <c r="C113" s="349">
        <f>DCF!C9</f>
        <v>0</v>
      </c>
      <c r="D113" s="1" t="str">
        <f>Reporting_currency</f>
        <v>USD</v>
      </c>
    </row>
    <row r="114" spans="1:6" x14ac:dyDescent="0.15">
      <c r="B114" s="47" t="s">
        <v>278</v>
      </c>
      <c r="C114" s="223">
        <f>C113*scaling_factor*Exchange_Rate/Common_Shares</f>
        <v>0</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9.3751789366889131</v>
      </c>
      <c r="D118" s="1" t="str">
        <f>Market_currency</f>
        <v>HKD</v>
      </c>
    </row>
    <row r="119" spans="1:6" x14ac:dyDescent="0.15">
      <c r="B119" s="296" t="s">
        <v>549</v>
      </c>
      <c r="C119" s="223">
        <f>BS!D47</f>
        <v>-12.27577908260958</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0.25</v>
      </c>
      <c r="D126" s="230">
        <f>DCF!D74</f>
        <v>15</v>
      </c>
      <c r="E126" s="231" t="str">
        <f>ROUND(IF(valuation_method="DCF",DCF!E74,DDM!E69),2)&amp;" "&amp;Market_currency</f>
        <v>92.88 HKD</v>
      </c>
      <c r="F126" s="232">
        <f>DCF!F74</f>
        <v>0.05</v>
      </c>
    </row>
    <row r="127" spans="1:6" x14ac:dyDescent="0.15">
      <c r="B127" s="218" t="str">
        <f>DCF!B75</f>
        <v>Optimistic</v>
      </c>
      <c r="C127" s="219">
        <f>DCF!C75</f>
        <v>0.15</v>
      </c>
      <c r="D127" s="220">
        <f>DCF!D75</f>
        <v>10</v>
      </c>
      <c r="E127" s="231" t="str">
        <f>ROUND(IF(valuation_method="DCF",DCF!E75,DDM!E70),2)&amp;" "&amp;Market_currency</f>
        <v>23.15 HKD</v>
      </c>
      <c r="F127" s="221">
        <f>DCF!F75</f>
        <v>0.18</v>
      </c>
    </row>
    <row r="128" spans="1:6" x14ac:dyDescent="0.15">
      <c r="B128" s="218" t="str">
        <f>DCF!B76</f>
        <v>Base</v>
      </c>
      <c r="C128" s="219">
        <f>DCF!C76</f>
        <v>0.06</v>
      </c>
      <c r="D128" s="220">
        <f>DCF!D76</f>
        <v>10</v>
      </c>
      <c r="E128" s="231" t="str">
        <f>ROUND(IF(valuation_method="DCF",DCF!E76,DDM!E71),2)&amp;" "&amp;Market_currency</f>
        <v>13.7 HKD</v>
      </c>
      <c r="F128" s="221">
        <f>DCF!F76</f>
        <v>0.53999999999999992</v>
      </c>
    </row>
    <row r="129" spans="1:6" x14ac:dyDescent="0.15">
      <c r="B129" s="218" t="str">
        <f>DCF!B77</f>
        <v>Pessimistic</v>
      </c>
      <c r="C129" s="219">
        <f>DCF!C77</f>
        <v>0.02</v>
      </c>
      <c r="D129" s="220">
        <f>DCF!D77</f>
        <v>10</v>
      </c>
      <c r="E129" s="231" t="str">
        <f>ROUND(IF(valuation_method="DCF",DCF!E77,DDM!E72),2)&amp;" "&amp;Market_currency</f>
        <v>10.68 HKD</v>
      </c>
      <c r="F129" s="221">
        <f>DCF!F77</f>
        <v>0.18</v>
      </c>
    </row>
    <row r="130" spans="1:6" x14ac:dyDescent="0.15">
      <c r="B130" s="218" t="str">
        <f>DCF!B78</f>
        <v>Devil's advocate</v>
      </c>
      <c r="C130" s="219">
        <f>DCF!C78</f>
        <v>0</v>
      </c>
      <c r="D130" s="220">
        <f>DCF!D78</f>
        <v>15</v>
      </c>
      <c r="E130" s="231" t="str">
        <f>ROUND(IF(valuation_method="DCF",DCF!E78,DDM!E73),2)&amp;" "&amp;Market_currency</f>
        <v>9.38 HKD</v>
      </c>
      <c r="F130" s="221">
        <f>DCF!F78</f>
        <v>0.05</v>
      </c>
    </row>
    <row r="132" spans="1:6" x14ac:dyDescent="0.15">
      <c r="B132" s="211" t="s">
        <v>254</v>
      </c>
      <c r="C132" s="217">
        <f>Scenarios!C60</f>
        <v>18.603192739546643</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0.84292889999999987</v>
      </c>
      <c r="D143" s="212" t="str">
        <f>Market_currency</f>
        <v>HKD</v>
      </c>
    </row>
    <row r="145" spans="2:4" x14ac:dyDescent="0.15">
      <c r="B145" s="210" t="s">
        <v>388</v>
      </c>
      <c r="C145" s="241" t="str">
        <f>C11</f>
        <v>1910.HK</v>
      </c>
      <c r="D145" s="241" t="str">
        <f>IF(D11="","",D11)</f>
        <v/>
      </c>
    </row>
    <row r="146" spans="2:4" x14ac:dyDescent="0.15">
      <c r="B146" s="1" t="s">
        <v>387</v>
      </c>
      <c r="C146" s="297">
        <f>F29</f>
        <v>0.35</v>
      </c>
    </row>
    <row r="147" spans="2:4" x14ac:dyDescent="0.15">
      <c r="B147" s="212" t="str">
        <f>"PV("&amp;C141&amp;" yrs of Dividends)"</f>
        <v>PV(3 yrs of Dividends)</v>
      </c>
      <c r="C147" s="216">
        <f>Scenarios!C81</f>
        <v>1.4295060042676422</v>
      </c>
    </row>
    <row r="148" spans="2:4" x14ac:dyDescent="0.15">
      <c r="B148" s="212" t="str">
        <f>"+ PV(Equity Value realized at year "&amp;C141&amp;")"</f>
        <v>+ PV(Equity Value realized at year 3)</v>
      </c>
      <c r="C148" s="216">
        <f>Scenarios!C82</f>
        <v>7.561120861473003</v>
      </c>
    </row>
    <row r="149" spans="2:4" x14ac:dyDescent="0.15">
      <c r="B149" s="80" t="s">
        <v>256</v>
      </c>
      <c r="C149" s="215">
        <f>Scenarios!C83</f>
        <v>8.9906268657406443</v>
      </c>
      <c r="D149" s="300" t="str">
        <f>IF($D$11="","",C149*$E$25)</f>
        <v/>
      </c>
    </row>
    <row r="150" spans="2:4" x14ac:dyDescent="0.15">
      <c r="B150" s="259" t="s">
        <v>395</v>
      </c>
      <c r="C150" s="298" t="str">
        <f>Market_currency</f>
        <v>HKD</v>
      </c>
      <c r="D150" s="298" t="str">
        <f>IF($D$11="","",D$13)</f>
        <v/>
      </c>
    </row>
    <row r="151" spans="2:4" x14ac:dyDescent="0.15">
      <c r="B151" s="214" t="s">
        <v>258</v>
      </c>
      <c r="C151" s="92">
        <f>Scenarios!F83</f>
        <v>0.51671592120698828</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1.6453972127999998</v>
      </c>
    </row>
    <row r="156" spans="2:4" x14ac:dyDescent="0.15">
      <c r="B156" s="212" t="str">
        <f>"+ PV(Equity Value realized at year "&amp;C141&amp;")"</f>
        <v>+ PV(Equity Value realized at year 3)</v>
      </c>
      <c r="C156" s="216">
        <f>Scenarios!C92</f>
        <v>9.5248346826478816</v>
      </c>
    </row>
    <row r="157" spans="2:4" x14ac:dyDescent="0.15">
      <c r="B157" s="80" t="s">
        <v>256</v>
      </c>
      <c r="C157" s="215">
        <f>Scenarios!C93</f>
        <v>11.170231895447881</v>
      </c>
      <c r="D157" s="300" t="str">
        <f>IF($D$11="","",C157*$E$25)</f>
        <v/>
      </c>
    </row>
    <row r="158" spans="2:4" x14ac:dyDescent="0.15">
      <c r="B158" s="259" t="s">
        <v>395</v>
      </c>
      <c r="C158" s="298" t="str">
        <f>Market_currency</f>
        <v>HKD</v>
      </c>
      <c r="D158" s="298" t="str">
        <f>IF($D$11="","",D$13)</f>
        <v/>
      </c>
    </row>
    <row r="159" spans="2:4" x14ac:dyDescent="0.15">
      <c r="B159" s="214" t="s">
        <v>258</v>
      </c>
      <c r="C159" s="92">
        <f>Scenarios!F93</f>
        <v>0.39955296642698235</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2.1920583013319566</v>
      </c>
    </row>
    <row r="164" spans="2:4" x14ac:dyDescent="0.15">
      <c r="B164" s="212" t="str">
        <f>"+ PV(Equity Value realized at year "&amp;C141&amp;")"</f>
        <v>+ PV(Equity Value realized at year 3)</v>
      </c>
      <c r="C164" s="216">
        <f>Scenarios!C98</f>
        <v>14.974836622322377</v>
      </c>
    </row>
    <row r="165" spans="2:4" x14ac:dyDescent="0.15">
      <c r="B165" s="80" t="s">
        <v>382</v>
      </c>
      <c r="C165" s="215">
        <f>Scenarios!C99</f>
        <v>17.166894923654333</v>
      </c>
      <c r="D165" s="300" t="str">
        <f>IF($D$11="","",C165*$E$25)</f>
        <v/>
      </c>
    </row>
    <row r="166" spans="2:4" x14ac:dyDescent="0.15">
      <c r="B166" s="259" t="s">
        <v>395</v>
      </c>
      <c r="C166" s="298" t="str">
        <f>Market_currency</f>
        <v>HKD</v>
      </c>
      <c r="D166" s="298" t="str">
        <f>IF($D$11="","",D$13)</f>
        <v/>
      </c>
    </row>
    <row r="167" spans="2:4" x14ac:dyDescent="0.15">
      <c r="B167" s="214" t="s">
        <v>258</v>
      </c>
      <c r="C167" s="92">
        <f>Scenarios!F99</f>
        <v>7.7207059884888962E-2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2.0336528990840268</v>
      </c>
    </row>
    <row r="172" spans="2:4" x14ac:dyDescent="0.15">
      <c r="B172" s="212" t="str">
        <f>"+ PV(Equity Value realized at year "&amp;C141&amp;")"</f>
        <v>+ PV(Equity Value realized at year 3)</v>
      </c>
      <c r="C172" s="216">
        <f>Scenarios!C104</f>
        <v>13.334031739327575</v>
      </c>
    </row>
    <row r="173" spans="2:4" x14ac:dyDescent="0.15">
      <c r="B173" s="80" t="s">
        <v>382</v>
      </c>
      <c r="C173" s="215">
        <f>Scenarios!C105</f>
        <v>15.367684638411601</v>
      </c>
      <c r="D173" s="300" t="str">
        <f>IF($D$11="","",C173*$E$25)</f>
        <v/>
      </c>
    </row>
    <row r="174" spans="2:4" x14ac:dyDescent="0.15">
      <c r="B174" s="259" t="s">
        <v>395</v>
      </c>
      <c r="C174" s="298" t="str">
        <f>Market_currency</f>
        <v>HKD</v>
      </c>
      <c r="D174" s="298" t="str">
        <f>IF($D$11="","",D$13)</f>
        <v/>
      </c>
    </row>
    <row r="175" spans="2:4" x14ac:dyDescent="0.15">
      <c r="B175" s="214" t="s">
        <v>258</v>
      </c>
      <c r="C175" s="92">
        <f>Scenarios!F105</f>
        <v>0.17160030667313708</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3588.6</v>
      </c>
      <c r="D4" s="351">
        <v>3682.4</v>
      </c>
      <c r="E4" s="351">
        <v>2879.6</v>
      </c>
      <c r="F4" s="351">
        <v>2020.8</v>
      </c>
      <c r="G4" s="351">
        <v>1536.7</v>
      </c>
      <c r="H4" s="351"/>
      <c r="I4" s="351"/>
      <c r="J4" s="351"/>
      <c r="K4" s="351"/>
      <c r="L4" s="351"/>
      <c r="M4" s="351"/>
    </row>
    <row r="5" spans="2:13" x14ac:dyDescent="0.15">
      <c r="B5" s="40" t="s">
        <v>41</v>
      </c>
      <c r="C5" s="351">
        <v>1436.4</v>
      </c>
      <c r="D5" s="351">
        <v>1499.6</v>
      </c>
      <c r="E5" s="351">
        <v>1274.2</v>
      </c>
      <c r="F5" s="351">
        <v>919.3</v>
      </c>
      <c r="G5" s="351">
        <v>830.4</v>
      </c>
      <c r="H5" s="351"/>
      <c r="I5" s="351"/>
      <c r="J5" s="351"/>
      <c r="K5" s="351"/>
      <c r="L5" s="351"/>
      <c r="M5" s="351"/>
    </row>
    <row r="6" spans="2:13" x14ac:dyDescent="0.15">
      <c r="B6" s="40" t="s">
        <v>52</v>
      </c>
      <c r="C6" s="351">
        <f>230.7+C7</f>
        <v>1519.8</v>
      </c>
      <c r="D6" s="351">
        <f>250.2+D7</f>
        <v>1519.3</v>
      </c>
      <c r="E6" s="351">
        <f>221.9+E7</f>
        <v>1185.2</v>
      </c>
      <c r="F6" s="351">
        <f>206+F7</f>
        <v>987.9</v>
      </c>
      <c r="G6" s="351">
        <f>200+G7</f>
        <v>1017.9</v>
      </c>
      <c r="H6" s="351"/>
      <c r="I6" s="351"/>
      <c r="J6" s="351"/>
      <c r="K6" s="351"/>
      <c r="L6" s="351"/>
      <c r="M6" s="351"/>
    </row>
    <row r="7" spans="2:13" x14ac:dyDescent="0.15">
      <c r="B7" s="69" t="s">
        <v>59</v>
      </c>
      <c r="C7" s="352">
        <f>1062.1+227</f>
        <v>1289.0999999999999</v>
      </c>
      <c r="D7" s="352">
        <v>1269.0999999999999</v>
      </c>
      <c r="E7" s="352">
        <v>963.3</v>
      </c>
      <c r="F7" s="352">
        <v>781.9</v>
      </c>
      <c r="G7" s="352">
        <v>817.9</v>
      </c>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152</v>
      </c>
      <c r="D12" s="351">
        <v>173</v>
      </c>
      <c r="E12" s="351">
        <v>138.30000000000001</v>
      </c>
      <c r="F12" s="351">
        <v>169</v>
      </c>
      <c r="G12" s="351">
        <v>0</v>
      </c>
      <c r="H12" s="351"/>
      <c r="I12" s="351"/>
      <c r="J12" s="351"/>
      <c r="K12" s="351"/>
      <c r="L12" s="351"/>
      <c r="M12" s="351"/>
    </row>
    <row r="13" spans="2:13" x14ac:dyDescent="0.15">
      <c r="B13" s="40" t="s">
        <v>65</v>
      </c>
      <c r="C13" s="351">
        <v>13.6</v>
      </c>
      <c r="D13" s="351">
        <v>14.3</v>
      </c>
      <c r="E13" s="351">
        <v>8.8000000000000007</v>
      </c>
      <c r="F13" s="351">
        <v>3.6</v>
      </c>
      <c r="G13" s="351">
        <v>0</v>
      </c>
      <c r="H13" s="351"/>
      <c r="I13" s="351"/>
      <c r="J13" s="351"/>
      <c r="K13" s="351"/>
      <c r="L13" s="351"/>
      <c r="M13" s="351"/>
    </row>
    <row r="14" spans="2:13" x14ac:dyDescent="0.15">
      <c r="B14" s="40" t="s">
        <v>48</v>
      </c>
      <c r="C14" s="351">
        <v>118.3</v>
      </c>
      <c r="D14" s="351">
        <v>134.6</v>
      </c>
      <c r="E14" s="351">
        <v>24.3</v>
      </c>
      <c r="F14" s="351">
        <v>-56.2</v>
      </c>
      <c r="G14" s="351">
        <v>-94.4</v>
      </c>
      <c r="H14" s="351"/>
      <c r="I14" s="351"/>
      <c r="J14" s="351"/>
      <c r="K14" s="351"/>
      <c r="L14" s="351"/>
      <c r="M14" s="351"/>
    </row>
    <row r="15" spans="2:13" x14ac:dyDescent="0.15">
      <c r="B15" s="43" t="s">
        <v>40</v>
      </c>
      <c r="C15" s="353">
        <v>372.6</v>
      </c>
      <c r="D15" s="353">
        <v>450.3</v>
      </c>
      <c r="E15" s="353">
        <v>338.3</v>
      </c>
      <c r="F15" s="353">
        <v>23.5</v>
      </c>
      <c r="G15" s="353">
        <v>-1288</v>
      </c>
      <c r="H15" s="353"/>
      <c r="I15" s="353"/>
      <c r="J15" s="353"/>
      <c r="K15" s="353"/>
      <c r="L15" s="353"/>
      <c r="M15" s="353"/>
    </row>
    <row r="16" spans="2:13" x14ac:dyDescent="0.15">
      <c r="B16" s="28" t="s">
        <v>42</v>
      </c>
      <c r="C16" s="351">
        <v>26.9</v>
      </c>
      <c r="D16" s="351">
        <v>33.299999999999997</v>
      </c>
      <c r="E16" s="351">
        <v>25.6</v>
      </c>
      <c r="F16" s="351">
        <v>9.1999999999999993</v>
      </c>
      <c r="G16" s="351">
        <v>-10.3</v>
      </c>
      <c r="H16" s="351"/>
      <c r="I16" s="351"/>
      <c r="J16" s="351"/>
      <c r="K16" s="351"/>
      <c r="L16" s="351"/>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56480</v>
      </c>
      <c r="D22" s="351">
        <v>53420</v>
      </c>
      <c r="E22" s="351">
        <v>27770</v>
      </c>
      <c r="F22" s="351">
        <v>38710</v>
      </c>
      <c r="G22" s="351">
        <v>-11420</v>
      </c>
      <c r="H22" s="351"/>
      <c r="I22" s="351"/>
      <c r="J22" s="351"/>
      <c r="K22" s="351"/>
      <c r="L22" s="351"/>
      <c r="M22" s="351"/>
    </row>
    <row r="23" spans="2:13" ht="13" x14ac:dyDescent="0.15">
      <c r="B23" s="27" t="s">
        <v>356</v>
      </c>
      <c r="C23" s="351">
        <v>-11150</v>
      </c>
      <c r="D23" s="351">
        <v>-11010</v>
      </c>
      <c r="E23" s="351">
        <v>-6280</v>
      </c>
      <c r="F23" s="351">
        <v>940</v>
      </c>
      <c r="G23" s="351">
        <v>-2610</v>
      </c>
      <c r="H23" s="351"/>
      <c r="I23" s="351"/>
      <c r="J23" s="351"/>
      <c r="K23" s="351"/>
      <c r="L23" s="351"/>
      <c r="M23" s="351"/>
    </row>
    <row r="24" spans="2:13" ht="13" x14ac:dyDescent="0.15">
      <c r="B24" s="27" t="s">
        <v>355</v>
      </c>
      <c r="C24" s="351">
        <v>-45970</v>
      </c>
      <c r="D24" s="351">
        <v>-34780</v>
      </c>
      <c r="E24" s="351">
        <v>-88110</v>
      </c>
      <c r="F24" s="351">
        <v>-55120</v>
      </c>
      <c r="G24" s="351">
        <v>115840</v>
      </c>
      <c r="H24" s="351"/>
      <c r="I24" s="351"/>
      <c r="J24" s="351"/>
      <c r="K24" s="351"/>
      <c r="L24" s="351"/>
      <c r="M24" s="351"/>
    </row>
    <row r="25" spans="2:13" x14ac:dyDescent="0.15">
      <c r="B25" s="24" t="str">
        <f>"Dividend per share ("&amp;Market_currency&amp;")"</f>
        <v>Dividend per share (HKD)</v>
      </c>
      <c r="C25" s="39">
        <f>0.1074*Exchange_Rate</f>
        <v>0.84292889999999987</v>
      </c>
      <c r="D25" s="39">
        <f>0.1026*Exchange_Rate</f>
        <v>0.80525609999999992</v>
      </c>
      <c r="E25" s="39">
        <v>0</v>
      </c>
      <c r="F25" s="39">
        <v>0</v>
      </c>
      <c r="G25" s="39">
        <v>0</v>
      </c>
      <c r="H25" s="39"/>
      <c r="I25" s="39"/>
      <c r="J25" s="39"/>
      <c r="K25" s="39"/>
      <c r="L25" s="39"/>
      <c r="M25" s="39"/>
    </row>
    <row r="27" spans="2:13" x14ac:dyDescent="0.15">
      <c r="B27" s="16" t="s">
        <v>26</v>
      </c>
      <c r="C27" s="97" t="s">
        <v>558</v>
      </c>
    </row>
    <row r="28" spans="2:13" ht="13" x14ac:dyDescent="0.15">
      <c r="B28" s="26" t="s">
        <v>22</v>
      </c>
      <c r="C28" s="333">
        <f>BS!C4</f>
        <v>325.3</v>
      </c>
      <c r="D28" s="351">
        <v>304.10000000000002</v>
      </c>
      <c r="E28" s="351">
        <v>281.7</v>
      </c>
      <c r="F28" s="351">
        <v>197.6</v>
      </c>
      <c r="G28" s="351">
        <v>129.80000000000001</v>
      </c>
      <c r="H28" s="351"/>
      <c r="I28" s="351"/>
      <c r="J28" s="351"/>
      <c r="K28" s="351"/>
      <c r="L28" s="351"/>
      <c r="M28" s="351"/>
    </row>
    <row r="29" spans="2:13" ht="13" x14ac:dyDescent="0.15">
      <c r="B29" s="26" t="s">
        <v>30</v>
      </c>
      <c r="C29" s="333">
        <f>BS!C6</f>
        <v>651.4</v>
      </c>
      <c r="D29" s="351">
        <v>695.9</v>
      </c>
      <c r="E29" s="351">
        <v>687.6</v>
      </c>
      <c r="F29" s="351">
        <v>348.4</v>
      </c>
      <c r="G29" s="351">
        <v>455.9</v>
      </c>
      <c r="H29" s="351"/>
      <c r="I29" s="351"/>
      <c r="J29" s="351"/>
      <c r="K29" s="351"/>
      <c r="L29" s="351"/>
      <c r="M29" s="351"/>
    </row>
    <row r="30" spans="2:13" ht="13" x14ac:dyDescent="0.15">
      <c r="B30" s="29" t="s">
        <v>38</v>
      </c>
      <c r="C30" s="334">
        <f>BS!C33+BS!C42</f>
        <v>3534.2</v>
      </c>
      <c r="D30" s="353">
        <v>3594.1</v>
      </c>
      <c r="E30" s="353">
        <v>3641.5</v>
      </c>
      <c r="F30" s="353">
        <v>4127.7</v>
      </c>
      <c r="G30" s="353">
        <v>4493.2</v>
      </c>
      <c r="H30" s="353"/>
      <c r="I30" s="353"/>
      <c r="J30" s="353"/>
      <c r="K30" s="353"/>
      <c r="L30" s="353"/>
      <c r="M30" s="353"/>
    </row>
    <row r="31" spans="2:13" ht="13" x14ac:dyDescent="0.15">
      <c r="B31" s="29" t="s">
        <v>28</v>
      </c>
      <c r="C31" s="334">
        <f>BS!G27</f>
        <v>1545</v>
      </c>
      <c r="D31" s="353">
        <v>1517.7</v>
      </c>
      <c r="E31" s="353">
        <v>1079.5999999999999</v>
      </c>
      <c r="F31" s="353">
        <v>726.6</v>
      </c>
      <c r="G31" s="353">
        <v>669</v>
      </c>
      <c r="H31" s="353"/>
      <c r="I31" s="353"/>
      <c r="J31" s="353"/>
      <c r="K31" s="353"/>
      <c r="L31" s="353"/>
      <c r="M31" s="353"/>
    </row>
    <row r="32" spans="2:13" ht="13" x14ac:dyDescent="0.15">
      <c r="B32" s="26" t="s">
        <v>168</v>
      </c>
      <c r="C32" s="333">
        <f>BS!G28</f>
        <v>68.8</v>
      </c>
      <c r="D32" s="351">
        <v>66.7</v>
      </c>
      <c r="E32" s="351">
        <v>47.8</v>
      </c>
      <c r="F32" s="351">
        <v>36.9</v>
      </c>
      <c r="G32" s="351">
        <v>34.9</v>
      </c>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x14ac:dyDescent="0.15">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ht="13" x14ac:dyDescent="0.15">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x14ac:dyDescent="0.15">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x14ac:dyDescent="0.15">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x14ac:dyDescent="0.15">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x14ac:dyDescent="0.15">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x14ac:dyDescent="0.15">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x14ac:dyDescent="0.15">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x14ac:dyDescent="0.15">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x14ac:dyDescent="0.15">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x14ac:dyDescent="0.15">
      <c r="B65" s="24" t="s">
        <v>34</v>
      </c>
      <c r="C65" s="73">
        <f>IF(C$4="","",C25)</f>
        <v>0.84292889999999987</v>
      </c>
      <c r="D65" s="73">
        <f t="shared" ref="D65:M65" si="33">IF(D$4="","",D25)</f>
        <v>0.80525609999999992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ht="13" x14ac:dyDescent="0.15">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ht="13" x14ac:dyDescent="0.15">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ht="13" x14ac:dyDescent="0.15">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325.3</v>
      </c>
      <c r="D4" s="261">
        <v>0.6</v>
      </c>
      <c r="E4" s="25"/>
      <c r="F4" s="4" t="s">
        <v>75</v>
      </c>
      <c r="G4" s="19">
        <v>676.3</v>
      </c>
      <c r="H4" s="261">
        <v>0.9</v>
      </c>
    </row>
    <row r="5" spans="2:8" ht="15" customHeight="1" x14ac:dyDescent="0.15">
      <c r="B5" s="1" t="s">
        <v>31</v>
      </c>
      <c r="C5" s="19">
        <v>0</v>
      </c>
      <c r="D5" s="261">
        <v>0.6</v>
      </c>
      <c r="E5" s="25"/>
      <c r="F5" s="1" t="s">
        <v>27</v>
      </c>
      <c r="G5" s="19">
        <v>0</v>
      </c>
      <c r="H5" s="261">
        <v>0.7</v>
      </c>
    </row>
    <row r="6" spans="2:8" ht="15" customHeight="1" x14ac:dyDescent="0.15">
      <c r="B6" s="4" t="s">
        <v>8</v>
      </c>
      <c r="C6" s="19">
        <v>651.4</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89.6</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0</v>
      </c>
      <c r="D11" s="261">
        <v>0.05</v>
      </c>
      <c r="H11" s="262"/>
    </row>
    <row r="12" spans="2:8" ht="15" customHeight="1" x14ac:dyDescent="0.15">
      <c r="B12" s="80" t="s">
        <v>70</v>
      </c>
      <c r="C12" s="81">
        <f>SUM(C4:C11)</f>
        <v>1066.3</v>
      </c>
      <c r="D12" s="20">
        <f>C4*D4+C5*D5+C9*D9+C6*D6+C8*D8+C7*D7+C10*D10+C11*D11</f>
        <v>529.84</v>
      </c>
      <c r="F12" s="80" t="s">
        <v>68</v>
      </c>
      <c r="G12" s="81">
        <f>SUM(G4:G9)</f>
        <v>676.3</v>
      </c>
      <c r="H12" s="20">
        <f>G4*H4+G5*H5+G6*H6+G7*H7+G8*H8+G9*H9</f>
        <v>608.66999999999996</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262.1+499.2</f>
        <v>761.3</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1519.8</v>
      </c>
      <c r="D21" s="261">
        <v>0.05</v>
      </c>
      <c r="F21" s="1" t="s">
        <v>176</v>
      </c>
      <c r="G21" s="19">
        <v>0</v>
      </c>
      <c r="H21" s="261">
        <v>0.1</v>
      </c>
    </row>
    <row r="22" spans="2:8" ht="15" customHeight="1" x14ac:dyDescent="0.15">
      <c r="B22" s="4" t="s">
        <v>18</v>
      </c>
      <c r="C22" s="19">
        <v>165.7</v>
      </c>
      <c r="D22" s="261">
        <v>0.9</v>
      </c>
      <c r="H22" s="262"/>
    </row>
    <row r="23" spans="2:8" ht="15" customHeight="1" x14ac:dyDescent="0.15">
      <c r="B23" s="4" t="s">
        <v>19</v>
      </c>
      <c r="C23" s="19">
        <f>819.6+70.2</f>
        <v>889.80000000000007</v>
      </c>
      <c r="D23" s="261">
        <v>0</v>
      </c>
      <c r="H23" s="262"/>
    </row>
    <row r="24" spans="2:8" ht="15" customHeight="1" x14ac:dyDescent="0.15">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x14ac:dyDescent="0.15">
      <c r="B26" s="16" t="s">
        <v>196</v>
      </c>
      <c r="C26" s="182" t="s">
        <v>132</v>
      </c>
      <c r="F26" s="184" t="s">
        <v>192</v>
      </c>
      <c r="G26" s="185" t="s">
        <v>132</v>
      </c>
      <c r="H26" s="186" t="s">
        <v>33</v>
      </c>
    </row>
    <row r="27" spans="2:8" ht="15" customHeight="1" x14ac:dyDescent="0.15">
      <c r="B27" s="4" t="s">
        <v>3</v>
      </c>
      <c r="C27" s="19">
        <f>49+35</f>
        <v>84</v>
      </c>
      <c r="F27" s="187" t="s">
        <v>28</v>
      </c>
      <c r="G27" s="85">
        <f>G32-G30</f>
        <v>1545</v>
      </c>
      <c r="H27" s="188">
        <f>H32-G30</f>
        <v>-2094.4399999999996</v>
      </c>
    </row>
    <row r="28" spans="2:8" ht="15" customHeight="1" x14ac:dyDescent="0.15">
      <c r="B28" s="4" t="s">
        <v>4</v>
      </c>
      <c r="C28" s="19">
        <v>145.4</v>
      </c>
      <c r="F28" s="189" t="s">
        <v>240</v>
      </c>
      <c r="G28" s="12">
        <v>68.8</v>
      </c>
      <c r="H28" s="188"/>
    </row>
    <row r="29" spans="2:8" ht="15" customHeight="1" x14ac:dyDescent="0.15">
      <c r="B29" s="4" t="s">
        <v>5</v>
      </c>
      <c r="C29" s="19">
        <v>0</v>
      </c>
      <c r="F29" s="190" t="s">
        <v>73</v>
      </c>
      <c r="G29" s="14">
        <f>G27-G28</f>
        <v>1476.2</v>
      </c>
      <c r="H29" s="188">
        <f>H27-G28</f>
        <v>-2163.2399999999998</v>
      </c>
    </row>
    <row r="30" spans="2:8" ht="15" customHeight="1" x14ac:dyDescent="0.15">
      <c r="B30" s="2" t="s">
        <v>6</v>
      </c>
      <c r="C30" s="19">
        <v>0</v>
      </c>
      <c r="F30" s="187" t="s">
        <v>21</v>
      </c>
      <c r="G30" s="85">
        <f>C33+C42</f>
        <v>3534.2</v>
      </c>
      <c r="H30" s="188"/>
    </row>
    <row r="31" spans="2:8" ht="15" customHeight="1" x14ac:dyDescent="0.15">
      <c r="B31" s="80" t="s">
        <v>199</v>
      </c>
      <c r="C31" s="81">
        <f>SUM(C27:C30)</f>
        <v>229.4</v>
      </c>
      <c r="F31" s="190" t="s">
        <v>74</v>
      </c>
      <c r="G31" s="191">
        <f>C31+C40</f>
        <v>2323</v>
      </c>
      <c r="H31" s="188"/>
    </row>
    <row r="32" spans="2:8" ht="15" customHeight="1" x14ac:dyDescent="0.15">
      <c r="B32" s="4" t="s">
        <v>7</v>
      </c>
      <c r="C32" s="21">
        <f>C33-C31</f>
        <v>860.9</v>
      </c>
      <c r="F32" s="192" t="s">
        <v>72</v>
      </c>
      <c r="G32" s="193">
        <f>G35+G40</f>
        <v>5079.2</v>
      </c>
      <c r="H32" s="188">
        <f>H35+H40</f>
        <v>1439.76</v>
      </c>
    </row>
    <row r="33" spans="2:8" ht="15" customHeight="1" x14ac:dyDescent="0.15">
      <c r="B33" s="83" t="s">
        <v>2</v>
      </c>
      <c r="C33" s="84">
        <v>1090.3</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4402.8999999999996</v>
      </c>
      <c r="H35" s="200">
        <f>D12+D24</f>
        <v>831.09</v>
      </c>
    </row>
    <row r="36" spans="2:8" ht="15" customHeight="1" x14ac:dyDescent="0.15">
      <c r="B36" s="4" t="s">
        <v>11</v>
      </c>
      <c r="C36" s="19">
        <v>1687</v>
      </c>
      <c r="F36" s="190" t="s">
        <v>193</v>
      </c>
      <c r="G36" s="191">
        <f>C4+C15</f>
        <v>325.3</v>
      </c>
      <c r="H36" s="195"/>
    </row>
    <row r="37" spans="2:8" ht="15" customHeight="1" x14ac:dyDescent="0.15">
      <c r="B37" s="4" t="s">
        <v>12</v>
      </c>
      <c r="C37" s="19">
        <v>406.6</v>
      </c>
      <c r="F37" s="190" t="s">
        <v>194</v>
      </c>
      <c r="G37" s="191">
        <f>C6</f>
        <v>651.4</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761.3</v>
      </c>
      <c r="H39" s="188">
        <f>C7*D7+C17*D17+C19*D19+C20*D20</f>
        <v>76.13</v>
      </c>
    </row>
    <row r="40" spans="2:8" ht="15" customHeight="1" x14ac:dyDescent="0.15">
      <c r="B40" s="80" t="s">
        <v>200</v>
      </c>
      <c r="C40" s="81">
        <f>SUM(C36:C39)</f>
        <v>2093.6</v>
      </c>
      <c r="F40" s="199" t="s">
        <v>134</v>
      </c>
      <c r="G40" s="193">
        <f>G12+G24</f>
        <v>676.3</v>
      </c>
      <c r="H40" s="200">
        <f>H12+H24</f>
        <v>608.66999999999996</v>
      </c>
    </row>
    <row r="41" spans="2:8" ht="15" customHeight="1" x14ac:dyDescent="0.15">
      <c r="B41" s="4" t="s">
        <v>15</v>
      </c>
      <c r="C41" s="21">
        <f>C42-C40</f>
        <v>350.30000000000018</v>
      </c>
      <c r="F41" s="190" t="s">
        <v>187</v>
      </c>
      <c r="G41" s="191">
        <f>C70</f>
        <v>676.3</v>
      </c>
      <c r="H41" s="200">
        <f>H40-H42</f>
        <v>608.66999999999996</v>
      </c>
    </row>
    <row r="42" spans="2:8" ht="15" customHeight="1" x14ac:dyDescent="0.15">
      <c r="B42" s="83" t="s">
        <v>20</v>
      </c>
      <c r="C42" s="84">
        <v>2443.9</v>
      </c>
      <c r="F42" s="201" t="s">
        <v>188</v>
      </c>
      <c r="G42" s="202">
        <f>C82</f>
        <v>0</v>
      </c>
      <c r="H42" s="203">
        <f>D82</f>
        <v>0</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1476.2</v>
      </c>
      <c r="D46" s="76">
        <f>H29</f>
        <v>-2163.2399999999998</v>
      </c>
      <c r="F46" s="253"/>
    </row>
    <row r="47" spans="2:8" ht="15" customHeight="1" x14ac:dyDescent="0.15">
      <c r="B47" s="1" t="str">
        <f>"Equity per share ("&amp;Market_currency&amp;")"</f>
        <v>Equity per share (HKD)</v>
      </c>
      <c r="C47" s="147">
        <f>C46*H1/Common_Shares*Exchange_Rate</f>
        <v>8.3770201557609241</v>
      </c>
      <c r="D47" s="147">
        <f>D46*H1/Common_Shares*Exchange_Rate</f>
        <v>-12.27577908260958</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4.1998196571663646</v>
      </c>
      <c r="D50" s="95">
        <f>G31/Normalized_FCF!G8</f>
        <v>3.6733080328905765</v>
      </c>
      <c r="F50" s="253"/>
    </row>
    <row r="51" spans="2:8" ht="15" customHeight="1" x14ac:dyDescent="0.15">
      <c r="B51" s="1" t="s">
        <v>172</v>
      </c>
      <c r="C51" s="181"/>
      <c r="D51" s="92">
        <f>G29/G32</f>
        <v>0.29063632068042211</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0.12562606199191742</v>
      </c>
      <c r="D54" s="92">
        <f>Normalized_FCF!G8/G35</f>
        <v>0.14363260578255238</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0.14988580878878563</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4.6606150928058525E-2</v>
      </c>
      <c r="D62" s="92">
        <f>G28/G29</f>
        <v>4.6606150928058525E-2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676.3</v>
      </c>
      <c r="D66" s="76">
        <f>C66-D75</f>
        <v>326.19119185262622</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676.3</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-343.50205717605814</v>
      </c>
      <c r="D73" s="349">
        <f>(Normalized_FCF!C25+Normalized_FCF!C35-Normalized_FCF!C91)/12</f>
        <v>-350.10880814737374</v>
      </c>
      <c r="F73" s="1" t="s">
        <v>342</v>
      </c>
    </row>
    <row r="74" spans="2:6" ht="15" customHeight="1" x14ac:dyDescent="0.15">
      <c r="B74" s="257" t="s">
        <v>312</v>
      </c>
      <c r="C74" s="258">
        <f>-$C$66/C73</f>
        <v>1.9688382816681937</v>
      </c>
      <c r="D74" s="258">
        <f>-$C$66/D73</f>
        <v>1.9316851911801096</v>
      </c>
      <c r="F74" s="253" t="s">
        <v>310</v>
      </c>
    </row>
    <row r="75" spans="2:6" ht="15" customHeight="1" x14ac:dyDescent="0.15">
      <c r="B75" s="80" t="s">
        <v>311</v>
      </c>
      <c r="C75" s="320"/>
      <c r="D75" s="321">
        <f>MAX(-D73*D76,G5)</f>
        <v>350.10880814737374</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0</v>
      </c>
      <c r="D82" s="81">
        <f>SUM(D79:D81)</f>
        <v>0</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-18232.065500000001</v>
      </c>
      <c r="D86" s="223">
        <f>C86*scaling_factor/Common_Shares</f>
        <v>-13.182372186582189</v>
      </c>
      <c r="E86" s="240" t="str">
        <f>Market_currency</f>
        <v>HKD</v>
      </c>
    </row>
    <row r="87" spans="2:8" ht="15" customHeight="1" x14ac:dyDescent="0.15">
      <c r="B87" s="238" t="s">
        <v>282</v>
      </c>
      <c r="C87" s="76">
        <f>DCF!C8*Exchange_Rate</f>
        <v>2560.1115692553367</v>
      </c>
      <c r="D87" s="223">
        <f>C87*scaling_factor/Common_Shares</f>
        <v>1.8510433469591712</v>
      </c>
      <c r="E87" s="240" t="str">
        <f>Market_currency</f>
        <v>HKD</v>
      </c>
    </row>
    <row r="88" spans="2:8" ht="15" customHeight="1" x14ac:dyDescent="0.15">
      <c r="B88" s="239" t="s">
        <v>185</v>
      </c>
      <c r="C88" s="76">
        <f>DCF!C9*Exchange_Rate</f>
        <v>0</v>
      </c>
      <c r="D88" s="223">
        <f>C88*scaling_factor/Common_Shares</f>
        <v>0</v>
      </c>
      <c r="E88" s="240" t="str">
        <f>Market_currency</f>
        <v>HKD</v>
      </c>
    </row>
    <row r="89" spans="2:8" ht="15" customHeight="1" x14ac:dyDescent="0.15">
      <c r="B89" s="80" t="s">
        <v>286</v>
      </c>
      <c r="C89" s="180">
        <f>SUM(C86:C88)</f>
        <v>-15671.953930744665</v>
      </c>
      <c r="D89" s="242">
        <f>SUM(D86:D88)</f>
        <v>-11.331328839623017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x14ac:dyDescent="0.15">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66</v>
      </c>
      <c r="C12" s="328">
        <f>C50</f>
        <v>-144.95951531745632</v>
      </c>
      <c r="E12" s="268"/>
      <c r="G12" s="328">
        <f>G50</f>
        <v>-144.95951531745632</v>
      </c>
      <c r="H12" s="328">
        <f t="shared" ref="H12:Q12" si="6">H50</f>
        <v>-165.59713742938422</v>
      </c>
      <c r="I12" s="328">
        <f t="shared" si="6"/>
        <v>-133.74439226423647</v>
      </c>
      <c r="J12" s="328">
        <f t="shared" si="6"/>
        <v>-167.13634228991492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160</v>
      </c>
      <c r="C13" s="329">
        <f>SUM(C8:C12)</f>
        <v>408.15947302675693</v>
      </c>
      <c r="E13" s="268"/>
      <c r="G13" s="329">
        <f>IF(G$4="","",SUM(G8:G12))</f>
        <v>487.44048468254357</v>
      </c>
      <c r="H13" s="329">
        <f t="shared" ref="H13:Q13" si="7">IF(H$4="","",SUM(H8:H12))</f>
        <v>497.90286257061598</v>
      </c>
      <c r="I13" s="329">
        <f t="shared" si="7"/>
        <v>286.45560773576335</v>
      </c>
      <c r="J13" s="329">
        <f t="shared" si="7"/>
        <v>-53.536342289914785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61</v>
      </c>
      <c r="C14" s="328">
        <f>-SUM(C8+C11,C12)*C43</f>
        <v>-102.03986825668923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x14ac:dyDescent="0.15">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150</v>
      </c>
      <c r="C16" s="332">
        <f>SUM(C13:C15)</f>
        <v>273.66783961690669</v>
      </c>
      <c r="D16" s="61"/>
      <c r="E16" s="276"/>
      <c r="F16" s="61"/>
      <c r="G16" s="329">
        <f>IF(G$4="","",SUM(G13:G15))</f>
        <v>342.24048468254358</v>
      </c>
      <c r="H16" s="329">
        <f t="shared" ref="H16:Q16" si="8">IF(H$4="","",SUM(H13:H15))</f>
        <v>330.00286257061595</v>
      </c>
      <c r="I16" s="329">
        <f t="shared" si="8"/>
        <v>236.55560773576335</v>
      </c>
      <c r="J16" s="329">
        <f t="shared" si="8"/>
        <v>-6.5363422899147814</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273.66783961690669</v>
      </c>
      <c r="D19" s="27"/>
      <c r="E19" s="265"/>
      <c r="F19" s="27"/>
      <c r="G19" s="334">
        <f>IF(G$4="","",G16+G17)</f>
        <v>342.24048468254358</v>
      </c>
      <c r="H19" s="334">
        <f t="shared" ref="H19:Q19" si="9">IF(H$4="","",H16+H17)</f>
        <v>330.00286257061595</v>
      </c>
      <c r="I19" s="334">
        <f t="shared" si="9"/>
        <v>236.55560773576335</v>
      </c>
      <c r="J19" s="334">
        <f t="shared" si="9"/>
        <v>-6.5363422899147814</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x14ac:dyDescent="0.2">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x14ac:dyDescent="0.15">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0.24269629568632464</v>
      </c>
      <c r="H43" s="6">
        <f t="shared" si="18"/>
        <v>0.27033385448935854</v>
      </c>
      <c r="I43" s="6">
        <f t="shared" si="18"/>
        <v>8.4829898049736105E-2</v>
      </c>
      <c r="J43" s="6">
        <f t="shared" si="18"/>
        <v>1.0497541967970232</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x14ac:dyDescent="0.15">
      <c r="A48" s="10"/>
      <c r="B48" s="2" t="s">
        <v>336</v>
      </c>
      <c r="C48" s="328">
        <f>BS!D75*C53</f>
        <v>7.040484682543668</v>
      </c>
      <c r="E48" s="268"/>
      <c r="G48" s="337">
        <f>IFERROR(IF(G$4="","",($C$48/$C$49)*G49),0)</f>
        <v>7.0404846825436671</v>
      </c>
      <c r="H48" s="337">
        <f t="shared" ref="H48:Q48" si="19">IFERROR(IF(H$4="","",($C$48/$C$49)*H49),0)</f>
        <v>7.4028625706157687</v>
      </c>
      <c r="I48" s="337">
        <f t="shared" si="19"/>
        <v>4.5556077357635498</v>
      </c>
      <c r="J48" s="337">
        <f t="shared" si="19"/>
        <v>1.8636577100850886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x14ac:dyDescent="0.15">
      <c r="A50" s="10"/>
      <c r="B50" s="70" t="s">
        <v>66</v>
      </c>
      <c r="C50" s="329">
        <f>C47+C48</f>
        <v>-144.95951531745632</v>
      </c>
      <c r="E50" s="268"/>
      <c r="G50" s="329">
        <f>IF(G$4="","",(G47+G48))</f>
        <v>-144.95951531745632</v>
      </c>
      <c r="H50" s="329">
        <f t="shared" ref="H50:Q50" si="20">IF(H$4="","",(H47+H48))</f>
        <v>-165.59713742938422</v>
      </c>
      <c r="I50" s="329">
        <f t="shared" si="20"/>
        <v>-133.74439226423647</v>
      </c>
      <c r="J50" s="329">
        <f t="shared" si="20"/>
        <v>-167.13634228991492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x14ac:dyDescent="0.15">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x14ac:dyDescent="0.15">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x14ac:dyDescent="0.15">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66</v>
      </c>
      <c r="C80" s="77">
        <f>ABS(C12/C$4)</f>
        <v>4.0394447783942578E-2</v>
      </c>
      <c r="D80" s="27"/>
      <c r="E80" s="265"/>
      <c r="F80" s="27"/>
      <c r="G80" s="6">
        <f t="shared" ref="G80:Q80" si="31">IF(G$4="","",ABS(G12/G$4))</f>
        <v>4.0394447783942578E-2</v>
      </c>
      <c r="H80" s="6">
        <f t="shared" si="31"/>
        <v>4.496989393585276E-2</v>
      </c>
      <c r="I80" s="6">
        <f t="shared" si="31"/>
        <v>4.6445475852283813E-2</v>
      </c>
      <c r="J80" s="6">
        <f t="shared" si="31"/>
        <v>8.2708007863180388E-2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160</v>
      </c>
      <c r="C81" s="78">
        <f>C13/C4</f>
        <v>0.11373780109980408</v>
      </c>
      <c r="D81" s="27"/>
      <c r="E81" s="265"/>
      <c r="F81" s="27"/>
      <c r="G81" s="65">
        <f t="shared" ref="G81:Q81" si="32">IF(G$4="","",G13/G$4)</f>
        <v>0.1358302638027486</v>
      </c>
      <c r="H81" s="65">
        <f t="shared" si="32"/>
        <v>0.13521150949669128</v>
      </c>
      <c r="I81" s="65">
        <f t="shared" si="32"/>
        <v>9.9477569015058817E-2</v>
      </c>
      <c r="J81" s="65">
        <f t="shared" si="32"/>
        <v>-2.6492647609815314E-2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61</v>
      </c>
      <c r="C82" s="77">
        <f>ABS(C14/C$4)</f>
        <v>2.843445027495102E-2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150</v>
      </c>
      <c r="C84" s="78">
        <f>ABS(C16/C$4)</f>
        <v>7.6260335400130053E-2</v>
      </c>
      <c r="D84" s="27"/>
      <c r="E84" s="265"/>
      <c r="F84" s="27"/>
      <c r="G84" s="65">
        <f t="shared" ref="G84:Q84" si="35">IF(G$4="","",ABS(G16/G$4))</f>
        <v>9.536880250865061E-2</v>
      </c>
      <c r="H84" s="65">
        <f t="shared" si="35"/>
        <v>8.9616245538403194E-2</v>
      </c>
      <c r="I84" s="65">
        <f t="shared" si="35"/>
        <v>8.2148773348994078E-2</v>
      </c>
      <c r="J84" s="65">
        <f t="shared" si="35"/>
        <v>3.2345320120322554E-3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7.6260335400130053E-2</v>
      </c>
      <c r="D87" s="75"/>
      <c r="E87" s="265"/>
      <c r="F87" s="75"/>
      <c r="G87" s="65">
        <f t="shared" ref="G87:Q87" si="36">IF(G$4="","",ABS(G19/G$4))</f>
        <v>9.536880250865061E-2</v>
      </c>
      <c r="H87" s="65">
        <f t="shared" si="36"/>
        <v>8.9616245538403194E-2</v>
      </c>
      <c r="I87" s="65">
        <f t="shared" si="36"/>
        <v>8.2148773348994078E-2</v>
      </c>
      <c r="J87" s="65">
        <f t="shared" si="36"/>
        <v>3.2345320120322554E-3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0.84292889999999987</v>
      </c>
      <c r="E90" s="268"/>
      <c r="G90" s="112">
        <f>Data!C65</f>
        <v>0.84292889999999987</v>
      </c>
      <c r="H90" s="112">
        <f>Data!D65</f>
        <v>0.80525609999999992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1165.8246861126986</v>
      </c>
      <c r="E91" s="268"/>
      <c r="G91" s="74">
        <f t="shared" ref="G91:Q91" si="37">IF(G$4="","",G90*Common_Shares/scaling_factor)</f>
        <v>1165.8246861126986</v>
      </c>
      <c r="H91" s="74">
        <f t="shared" si="37"/>
        <v>1113.7207895266561</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4.259998864845338</v>
      </c>
      <c r="E92" s="268"/>
      <c r="G92" s="170">
        <f t="shared" ref="G92:Q92" si="38">IF(G$4="","",G90/(G19*scaling_factor/Common_Shares))</f>
        <v>3.4064487934386185</v>
      </c>
      <c r="H92" s="170">
        <f t="shared" si="38"/>
        <v>3.3748822081454999</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4.8979018012783253E-2</v>
      </c>
      <c r="E94" s="268"/>
      <c r="G94" s="23">
        <f t="shared" ref="G94:Q94" si="39">IF(G$4="","",(G90*(1-dividend_tax_rate))/Market_Price)</f>
        <v>4.8979018012783253E-2</v>
      </c>
      <c r="H94" s="23">
        <f t="shared" si="39"/>
        <v>4.6790011621150485E-2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-0.16264757267222107</v>
      </c>
      <c r="D98" s="27"/>
      <c r="E98" s="265"/>
      <c r="F98" s="27"/>
      <c r="G98" s="6">
        <f t="shared" ref="G98:Q98" si="41">IF(H5="","",G13/H13-1)</f>
        <v>-2.1012889610749208E-2</v>
      </c>
      <c r="H98" s="6">
        <f t="shared" si="41"/>
        <v>0.73815016751181539</v>
      </c>
      <c r="I98" s="6">
        <f t="shared" si="41"/>
        <v>-6.350675736951235</v>
      </c>
      <c r="J98" s="6">
        <f t="shared" si="41"/>
        <v>-0.82818888867164697</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x14ac:dyDescent="0.15">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x14ac:dyDescent="0.15">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x14ac:dyDescent="0.15">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x14ac:dyDescent="0.15">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x14ac:dyDescent="0.15">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165.03015431499836</v>
      </c>
      <c r="H115" s="295">
        <f>IF(H$4="","",Data!D$22/H19)</f>
        <v>161.87738368047906</v>
      </c>
      <c r="I115" s="295">
        <f>IF(I$4="","",Data!E$22/I19)</f>
        <v>117.39311642537582</v>
      </c>
      <c r="J115" s="295">
        <f>IF(J$4="","",Data!F$22/J19)</f>
        <v>-5922.2724702969444</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0.11373780109980408</v>
      </c>
      <c r="E118" s="268"/>
      <c r="G118" s="23">
        <f t="shared" ref="G118:Q118" si="45">IF(G4="","",IF(valuation_method="DDM",G13/(G4+G12),G81))</f>
        <v>0.1358302638027486</v>
      </c>
      <c r="H118" s="23">
        <f t="shared" si="45"/>
        <v>0.13521150949669128</v>
      </c>
      <c r="I118" s="23">
        <f t="shared" si="45"/>
        <v>9.9477569015058817E-2</v>
      </c>
      <c r="J118" s="23">
        <f t="shared" si="45"/>
        <v>-2.6492647609815314E-2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x14ac:dyDescent="0.15">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x14ac:dyDescent="0.15">
      <c r="A121" s="10"/>
      <c r="B121" s="70" t="s">
        <v>218</v>
      </c>
      <c r="C121" s="102">
        <f>C13/C106</f>
        <v>0.26418088869045758</v>
      </c>
      <c r="D121" s="103"/>
      <c r="E121" s="271"/>
      <c r="F121" s="103"/>
      <c r="G121" s="102">
        <f t="shared" ref="G121:Q121" si="48">IF(G$4="","",G13/G106)</f>
        <v>0.31549545934145212</v>
      </c>
      <c r="H121" s="102">
        <f t="shared" si="48"/>
        <v>0.32806408550478749</v>
      </c>
      <c r="I121" s="102">
        <f t="shared" si="48"/>
        <v>0.26533494603164448</v>
      </c>
      <c r="J121" s="102">
        <f t="shared" si="48"/>
        <v>-7.3680625226967777E-2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1.5529880832233947</v>
      </c>
      <c r="D125" s="27"/>
      <c r="E125" s="265"/>
      <c r="F125" s="27"/>
      <c r="G125" s="177">
        <f t="shared" ref="G125:Q125" si="49">IF(G$4="","",G16*$C$3/Common_Shares*Exchange_Rate)</f>
        <v>1.9421185735693369</v>
      </c>
      <c r="H125" s="177">
        <f t="shared" si="49"/>
        <v>1.8726735071215634</v>
      </c>
      <c r="I125" s="177">
        <f t="shared" si="49"/>
        <v>1.3423865966405393</v>
      </c>
      <c r="J125" s="177">
        <f t="shared" si="49"/>
        <v>-3.709190564121978E-2</v>
      </c>
      <c r="K125" s="177">
        <f t="shared" si="49"/>
        <v>-1.2325489620859451</v>
      </c>
      <c r="L125" s="177" t="str">
        <f t="shared" si="49"/>
        <v/>
      </c>
      <c r="M125" s="177" t="str">
        <f t="shared" si="49"/>
        <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9.0237541151853243E-2</v>
      </c>
      <c r="D126" s="27"/>
      <c r="E126" s="265"/>
      <c r="F126" s="27"/>
      <c r="G126" s="77">
        <f t="shared" ref="G126" si="50">IF(G$4="","",G125/Market_Price)</f>
        <v>0.11284826110222759</v>
      </c>
      <c r="H126" s="77">
        <f t="shared" ref="H126" si="51">IF(H$4="","",H125/Market_Price)</f>
        <v>0.10881310326098567</v>
      </c>
      <c r="I126" s="77">
        <f t="shared" ref="I126" si="52">IF(I$4="","",I125/Market_Price)</f>
        <v>7.8000383302762308E-2</v>
      </c>
      <c r="J126" s="77">
        <f t="shared" ref="J126" si="53">IF(J$4="","",J125/Market_Price)</f>
        <v>-2.1552530878105624E-3</v>
      </c>
      <c r="K126" s="77">
        <f t="shared" ref="K126" si="54">IF(K$4="","",K125/Market_Price)</f>
        <v>-7.1618184897498258E-2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1.5653796260237093E-2</v>
      </c>
      <c r="H127" s="23">
        <f>IF(H$4="","",(Data!D47*$C$3)/(Market_Price*Common_Shares))</f>
        <v>1.8918154739626308E-2</v>
      </c>
      <c r="I127" s="23">
        <f>IF(I$4="","",(Data!E47*$C$3)/(Market_Price*Common_Shares))</f>
        <v>1.4212773147713924E-2</v>
      </c>
      <c r="J127" s="23">
        <f>IF(J$4="","",(Data!F47*$C$3)/(Market_Price*Common_Shares))</f>
        <v>9.8728988758875914E-4</v>
      </c>
      <c r="K127" s="23">
        <f>IF(K$4="","",(Data!G47*$C$3)/(Market_Price*Common_Shares))</f>
        <v>-5.4111888306992414E-2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273.66783961690669</v>
      </c>
      <c r="D4" t="str">
        <f>Reporting_currency</f>
        <v>USD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3648.9045282254228</v>
      </c>
      <c r="D6" t="str">
        <f>Reporting_currency</f>
        <v>USD</v>
      </c>
      <c r="E6" s="378" t="s">
        <v>245</v>
      </c>
      <c r="F6" s="378"/>
      <c r="H6" s="120"/>
    </row>
    <row r="7" spans="2:8" x14ac:dyDescent="0.15">
      <c r="B7" s="148" t="s">
        <v>220</v>
      </c>
      <c r="C7" s="338">
        <f>BS!G31</f>
        <v>2323</v>
      </c>
      <c r="D7" t="str">
        <f>Reporting_currency</f>
        <v>USD</v>
      </c>
      <c r="E7" s="378"/>
      <c r="F7" s="378"/>
      <c r="H7" s="120"/>
    </row>
    <row r="8" spans="2:8" x14ac:dyDescent="0.15">
      <c r="B8" s="148" t="s">
        <v>221</v>
      </c>
      <c r="C8" s="338">
        <f>BS!D66</f>
        <v>326.19119185262622</v>
      </c>
      <c r="D8" t="str">
        <f>Reporting_currency</f>
        <v>USD</v>
      </c>
      <c r="E8" s="378"/>
      <c r="F8" s="378"/>
      <c r="H8" s="120"/>
    </row>
    <row r="9" spans="2:8" x14ac:dyDescent="0.15">
      <c r="B9" s="205" t="s">
        <v>186</v>
      </c>
      <c r="C9" s="348">
        <f>BS!H42</f>
        <v>0</v>
      </c>
      <c r="D9" t="str">
        <f>Reporting_currency</f>
        <v>USD</v>
      </c>
      <c r="E9" s="378"/>
      <c r="F9" s="378"/>
      <c r="H9" s="120"/>
    </row>
    <row r="10" spans="2:8" x14ac:dyDescent="0.15">
      <c r="B10" s="149" t="s">
        <v>223</v>
      </c>
      <c r="C10" s="347">
        <f>C6-C7+C8+C9</f>
        <v>1652.095720078049</v>
      </c>
      <c r="D10" t="str">
        <f>Reporting_currency</f>
        <v>USD</v>
      </c>
      <c r="H10" s="120"/>
    </row>
    <row r="11" spans="2:8" ht="14" thickBot="1" x14ac:dyDescent="0.2">
      <c r="B11" s="207" t="s">
        <v>162</v>
      </c>
      <c r="C11" s="208">
        <f>Exchange_Rate</f>
        <v>7.8484999999999996</v>
      </c>
      <c r="D11" t="str">
        <f>Thesis!C15</f>
        <v>USD/HKD</v>
      </c>
      <c r="H11" s="120"/>
    </row>
    <row r="12" spans="2:8" ht="14" thickTop="1" x14ac:dyDescent="0.15">
      <c r="B12" s="149" t="s">
        <v>99</v>
      </c>
      <c r="C12" s="111">
        <f>(C10*scaling_factor)/Common_Shares*Exchange_Rate</f>
        <v>9.3751789366889131</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0.111211776070739</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18.551050612651483</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304.10292611414502</v>
      </c>
      <c r="D21" s="138">
        <f>IF($C$17&lt;B21,0,DCF!$C$16)</f>
        <v>0.111211776070739</v>
      </c>
      <c r="E21" s="124">
        <f t="shared" ref="E21:E50" si="0">IF($C$17&lt;B21,0,1/(1+Equity_Cost)^B21)</f>
        <v>0.93023255813953487</v>
      </c>
      <c r="F21" s="125">
        <f t="shared" ref="F21:F51" si="1">C21*E21</f>
        <v>282.88644289687909</v>
      </c>
      <c r="H21" s="120"/>
    </row>
    <row r="22" spans="2:17" x14ac:dyDescent="0.15">
      <c r="B22" s="122">
        <v>2</v>
      </c>
      <c r="C22" s="123">
        <f t="shared" ref="C22:C50" si="2">IF(ROW()-ROW($C$21)&lt;$C$17, $C$21*(1+D22)^(ROW()-ROW($C$21)), 0)</f>
        <v>337.92275263560776</v>
      </c>
      <c r="D22" s="138">
        <f>IF($C$17&lt;B22,0,DCF!$C$16)</f>
        <v>0.111211776070739</v>
      </c>
      <c r="E22" s="124">
        <f t="shared" si="0"/>
        <v>0.86533261222282321</v>
      </c>
      <c r="F22" s="125">
        <f t="shared" si="1"/>
        <v>292.41557826769736</v>
      </c>
      <c r="H22" s="120"/>
    </row>
    <row r="23" spans="2:17" x14ac:dyDescent="0.15">
      <c r="B23" s="122">
        <v>3</v>
      </c>
      <c r="C23" s="123">
        <f t="shared" si="2"/>
        <v>375.50374213092675</v>
      </c>
      <c r="D23" s="138">
        <f>IF($C$17&lt;B23,0,DCF!$C$16)</f>
        <v>0.111211776070739</v>
      </c>
      <c r="E23" s="124">
        <f t="shared" si="0"/>
        <v>0.80496056950960304</v>
      </c>
      <c r="F23" s="125">
        <f t="shared" si="1"/>
        <v>302.26570611869789</v>
      </c>
      <c r="G23" s="338"/>
      <c r="H23" s="339"/>
      <c r="I23" s="338"/>
      <c r="J23" s="338"/>
      <c r="K23" s="338"/>
      <c r="L23" s="338"/>
      <c r="M23" s="338"/>
      <c r="N23" s="338"/>
      <c r="O23" s="338"/>
      <c r="P23" s="338"/>
      <c r="Q23" s="338"/>
    </row>
    <row r="24" spans="2:17" x14ac:dyDescent="0.15">
      <c r="B24" s="122">
        <v>4</v>
      </c>
      <c r="C24" s="123">
        <f t="shared" si="2"/>
        <v>417.26418021451587</v>
      </c>
      <c r="D24" s="138">
        <f>IF($C$17&lt;B24,0,DCF!$C$16)</f>
        <v>0.111211776070739</v>
      </c>
      <c r="E24" s="124">
        <f t="shared" si="0"/>
        <v>0.7488005297763749</v>
      </c>
      <c r="F24" s="125">
        <f t="shared" si="1"/>
        <v>312.44763920133425</v>
      </c>
      <c r="G24" s="338"/>
      <c r="H24" s="339"/>
      <c r="I24" s="338"/>
      <c r="J24" s="338"/>
      <c r="K24" s="338"/>
      <c r="L24" s="338"/>
      <c r="M24" s="338"/>
      <c r="N24" s="338"/>
      <c r="O24" s="338"/>
      <c r="P24" s="338"/>
      <c r="Q24" s="338"/>
    </row>
    <row r="25" spans="2:17" x14ac:dyDescent="0.15">
      <c r="B25" s="122">
        <v>5</v>
      </c>
      <c r="C25" s="123">
        <f t="shared" si="2"/>
        <v>463.66887078687313</v>
      </c>
      <c r="D25" s="138">
        <f>IF($C$17&lt;B25,0,DCF!$C$16)</f>
        <v>0.111211776070739</v>
      </c>
      <c r="E25" s="124">
        <f t="shared" si="0"/>
        <v>0.69655863235011617</v>
      </c>
      <c r="F25" s="125">
        <f t="shared" si="1"/>
        <v>322.97255449862706</v>
      </c>
      <c r="G25" s="338"/>
      <c r="H25" s="339"/>
      <c r="I25" s="338"/>
      <c r="J25" s="338"/>
      <c r="K25" s="338"/>
      <c r="L25" s="338"/>
      <c r="M25" s="338"/>
      <c r="N25" s="338"/>
      <c r="O25" s="338"/>
      <c r="P25" s="338"/>
      <c r="Q25" s="338"/>
    </row>
    <row r="26" spans="2:17" x14ac:dyDescent="0.15">
      <c r="B26" s="122">
        <v>6</v>
      </c>
      <c r="C26" s="123">
        <f t="shared" si="2"/>
        <v>515.23430941579522</v>
      </c>
      <c r="D26" s="138">
        <f>IF($C$17&lt;B26,0,DCF!$C$16)</f>
        <v>0.111211776070739</v>
      </c>
      <c r="E26" s="124">
        <f t="shared" si="0"/>
        <v>0.64796151846522443</v>
      </c>
      <c r="F26" s="125">
        <f t="shared" si="1"/>
        <v>333.85200549443994</v>
      </c>
      <c r="H26" s="120"/>
    </row>
    <row r="27" spans="2:17" x14ac:dyDescent="0.15">
      <c r="B27" s="122">
        <v>7</v>
      </c>
      <c r="C27" s="123">
        <f t="shared" si="2"/>
        <v>572.53443205850647</v>
      </c>
      <c r="D27" s="138">
        <f>IF($C$17&lt;B27,0,DCF!$C$16)</f>
        <v>0.111211776070739</v>
      </c>
      <c r="E27" s="124">
        <f t="shared" si="0"/>
        <v>0.60275490089788319</v>
      </c>
      <c r="F27" s="125">
        <f t="shared" si="1"/>
        <v>345.09793485605093</v>
      </c>
      <c r="H27" s="120"/>
    </row>
    <row r="28" spans="2:17" x14ac:dyDescent="0.15">
      <c r="B28" s="122">
        <v>8</v>
      </c>
      <c r="C28" s="123">
        <f t="shared" si="2"/>
        <v>636.2070031093848</v>
      </c>
      <c r="D28" s="138">
        <f>IF($C$17&lt;B28,0,DCF!$C$16)</f>
        <v>0.111211776070739</v>
      </c>
      <c r="E28" s="124">
        <f t="shared" si="0"/>
        <v>0.56070223339337966</v>
      </c>
      <c r="F28" s="125">
        <f t="shared" si="1"/>
        <v>356.72268754394088</v>
      </c>
      <c r="H28" s="120"/>
    </row>
    <row r="29" spans="2:17" x14ac:dyDescent="0.15">
      <c r="B29" s="122">
        <v>9</v>
      </c>
      <c r="C29" s="123">
        <f t="shared" si="2"/>
        <v>706.96071387382176</v>
      </c>
      <c r="D29" s="138">
        <f>IF($C$17&lt;B29,0,DCF!$C$16)</f>
        <v>0.111211776070739</v>
      </c>
      <c r="E29" s="124">
        <f t="shared" si="0"/>
        <v>0.52158347292407414</v>
      </c>
      <c r="F29" s="125">
        <f t="shared" si="1"/>
        <v>368.73902436319065</v>
      </c>
      <c r="H29" s="120"/>
    </row>
    <row r="30" spans="2:17" x14ac:dyDescent="0.15">
      <c r="B30" s="122">
        <v>10</v>
      </c>
      <c r="C30" s="123">
        <f t="shared" si="2"/>
        <v>785.58307047596691</v>
      </c>
      <c r="D30" s="138">
        <f>IF($C$17&lt;B30,0,DCF!$C$16)</f>
        <v>0.111211776070739</v>
      </c>
      <c r="E30" s="124">
        <f t="shared" si="0"/>
        <v>0.48519392830146441</v>
      </c>
      <c r="F30" s="125">
        <f t="shared" si="1"/>
        <v>381.16013597136055</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4054.7056815219339</v>
      </c>
      <c r="D51" s="139">
        <f>Terminal_Growth</f>
        <v>0</v>
      </c>
      <c r="E51" s="124">
        <f>1/(1+Equity_Cost)^C17</f>
        <v>0.48519392830146441</v>
      </c>
      <c r="F51" s="125">
        <f t="shared" si="1"/>
        <v>1967.3185777238937</v>
      </c>
      <c r="H51" s="120"/>
    </row>
    <row r="52" spans="1:17" x14ac:dyDescent="0.15">
      <c r="C52" s="114"/>
      <c r="E52" s="127" t="s">
        <v>97</v>
      </c>
      <c r="F52" s="137">
        <f>SUM(F21:F51)</f>
        <v>5265.8782869361121</v>
      </c>
      <c r="H52" s="120"/>
    </row>
    <row r="53" spans="1:17" x14ac:dyDescent="0.15">
      <c r="C53" s="114"/>
      <c r="H53" s="120"/>
    </row>
    <row r="54" spans="1:17" x14ac:dyDescent="0.15">
      <c r="B54" s="119" t="s">
        <v>125</v>
      </c>
      <c r="C54" s="136"/>
      <c r="D54" s="136"/>
      <c r="E54" s="117"/>
      <c r="F54" s="117"/>
      <c r="H54" s="120"/>
    </row>
    <row r="55" spans="1:17" x14ac:dyDescent="0.15">
      <c r="A55" s="133">
        <f>F52</f>
        <v>5265.8782869361121</v>
      </c>
      <c r="B55" s="131">
        <f>C78</f>
        <v>0</v>
      </c>
      <c r="C55" s="131">
        <f>C77</f>
        <v>0.02</v>
      </c>
      <c r="D55" s="131">
        <f>C76</f>
        <v>0.06</v>
      </c>
      <c r="E55" s="131">
        <f>C75</f>
        <v>0.15</v>
      </c>
      <c r="F55" s="131">
        <f>C74</f>
        <v>0.25</v>
      </c>
      <c r="H55" s="120"/>
    </row>
    <row r="56" spans="1:17" x14ac:dyDescent="0.15">
      <c r="A56" s="143">
        <v>5</v>
      </c>
      <c r="B56" s="123">
        <f t="dataTable" ref="B56:F61" dt2D="1" dtr="1" r1="C16" r2="C17"/>
        <v>3648.9045282254228</v>
      </c>
      <c r="C56" s="123">
        <v>3764.6131273651131</v>
      </c>
      <c r="D56" s="123">
        <v>4006.2909589446544</v>
      </c>
      <c r="E56" s="123">
        <v>4605.7380461502344</v>
      </c>
      <c r="F56" s="123">
        <v>5377.6350608665271</v>
      </c>
      <c r="H56" s="120"/>
    </row>
    <row r="57" spans="1:17" x14ac:dyDescent="0.15">
      <c r="A57" s="143">
        <v>10</v>
      </c>
      <c r="B57" s="123">
        <v>3648.9045282254237</v>
      </c>
      <c r="C57" s="123">
        <v>3879.3530508304957</v>
      </c>
      <c r="D57" s="123">
        <v>4411.8572270626009</v>
      </c>
      <c r="E57" s="123">
        <v>6076.466250949903</v>
      </c>
      <c r="F57" s="123">
        <v>9091.3233360922823</v>
      </c>
      <c r="H57" s="120"/>
    </row>
    <row r="58" spans="1:17" x14ac:dyDescent="0.15">
      <c r="A58" s="143">
        <v>15</v>
      </c>
      <c r="B58" s="123">
        <v>3648.9045282254233</v>
      </c>
      <c r="C58" s="341">
        <v>4024.6272307169829</v>
      </c>
      <c r="D58" s="123">
        <v>4982.5107165180734</v>
      </c>
      <c r="E58" s="123">
        <v>8761.8181419070825</v>
      </c>
      <c r="F58" s="123">
        <v>18363.423571588126</v>
      </c>
      <c r="G58" s="338"/>
      <c r="H58" s="339"/>
      <c r="I58" s="338"/>
      <c r="J58" s="338"/>
      <c r="K58" s="338"/>
      <c r="L58" s="338"/>
      <c r="M58" s="338"/>
      <c r="N58" s="338"/>
      <c r="O58" s="338"/>
      <c r="P58" s="338"/>
      <c r="Q58" s="338"/>
    </row>
    <row r="59" spans="1:17" x14ac:dyDescent="0.15">
      <c r="A59" s="144">
        <v>20</v>
      </c>
      <c r="B59" s="123">
        <v>3648.9045282254237</v>
      </c>
      <c r="C59" s="341">
        <v>4176.0779333300561</v>
      </c>
      <c r="D59" s="123">
        <v>5648.6067101971594</v>
      </c>
      <c r="E59" s="123">
        <v>12959.29579250146</v>
      </c>
      <c r="F59" s="123">
        <v>39033.113132159</v>
      </c>
      <c r="G59" s="338"/>
      <c r="H59" s="339"/>
      <c r="I59" s="338"/>
      <c r="J59" s="338"/>
      <c r="K59" s="338"/>
      <c r="L59" s="338"/>
      <c r="M59" s="338"/>
      <c r="N59" s="338"/>
      <c r="O59" s="338"/>
      <c r="P59" s="338"/>
      <c r="Q59" s="338"/>
    </row>
    <row r="60" spans="1:17" x14ac:dyDescent="0.15">
      <c r="A60" s="144">
        <v>25</v>
      </c>
      <c r="B60" s="123">
        <v>3648.9045282254242</v>
      </c>
      <c r="C60" s="341">
        <v>4320.2240476446086</v>
      </c>
      <c r="D60" s="123">
        <v>6362.9600251222191</v>
      </c>
      <c r="E60" s="123">
        <v>19143.239358636234</v>
      </c>
      <c r="F60" s="123">
        <v>83639.760266893121</v>
      </c>
      <c r="G60" s="338"/>
      <c r="H60" s="339"/>
      <c r="I60" s="338"/>
      <c r="J60" s="338"/>
      <c r="K60" s="338"/>
      <c r="L60" s="338"/>
      <c r="M60" s="338"/>
      <c r="N60" s="338"/>
      <c r="O60" s="338"/>
      <c r="P60" s="338"/>
      <c r="Q60" s="338"/>
    </row>
    <row r="61" spans="1:17" x14ac:dyDescent="0.15">
      <c r="A61" s="144">
        <v>30</v>
      </c>
      <c r="B61" s="123">
        <v>3648.9045282254237</v>
      </c>
      <c r="C61" s="341">
        <v>4450.3557212019559</v>
      </c>
      <c r="D61" s="123">
        <v>7093.9398647604703</v>
      </c>
      <c r="E61" s="123">
        <v>28018.28674466124</v>
      </c>
      <c r="F61" s="123">
        <v>178927.02247628008</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0.06</v>
      </c>
      <c r="E64" s="132">
        <f>E55</f>
        <v>0.15</v>
      </c>
      <c r="F64" s="132">
        <f>F55</f>
        <v>0.25</v>
      </c>
      <c r="H64" s="120"/>
    </row>
    <row r="65" spans="1:8" x14ac:dyDescent="0.15">
      <c r="A65" s="143">
        <v>0</v>
      </c>
      <c r="B65" s="124">
        <f>C12</f>
        <v>9.3751789366889131</v>
      </c>
      <c r="C65" s="124">
        <f>C12</f>
        <v>9.3751789366889131</v>
      </c>
      <c r="D65" s="124">
        <f>C12</f>
        <v>9.3751789366889131</v>
      </c>
      <c r="E65" s="141">
        <f>C12</f>
        <v>9.3751789366889131</v>
      </c>
      <c r="F65" s="124">
        <f>C12</f>
        <v>9.3751789366889131</v>
      </c>
      <c r="H65" s="120"/>
    </row>
    <row r="66" spans="1:8" x14ac:dyDescent="0.15">
      <c r="A66" s="143">
        <f t="shared" ref="A66:A71" si="3">A56</f>
        <v>5</v>
      </c>
      <c r="B66" s="124">
        <f t="shared" ref="B66:F71" si="4">(B56-$C$7+$C$8+$C$9)/Common_Shares*$C$3*Exchange_Rate</f>
        <v>9.3751789366889131</v>
      </c>
      <c r="C66" s="124">
        <f t="shared" si="4"/>
        <v>10.031792720178986</v>
      </c>
      <c r="D66" s="124">
        <f t="shared" si="4"/>
        <v>11.403246497676895</v>
      </c>
      <c r="E66" s="124">
        <f t="shared" si="4"/>
        <v>14.804940259926806</v>
      </c>
      <c r="F66" s="124">
        <f t="shared" si="4"/>
        <v>19.185238898627574</v>
      </c>
      <c r="H66" s="120"/>
    </row>
    <row r="67" spans="1:8" x14ac:dyDescent="0.15">
      <c r="A67" s="143">
        <f t="shared" si="3"/>
        <v>10</v>
      </c>
      <c r="B67" s="124">
        <f t="shared" si="4"/>
        <v>9.3751789366889167</v>
      </c>
      <c r="C67" s="124">
        <f t="shared" si="4"/>
        <v>10.682909541436253</v>
      </c>
      <c r="D67" s="124">
        <f t="shared" si="4"/>
        <v>13.704721096322592</v>
      </c>
      <c r="E67" s="124">
        <f t="shared" si="4"/>
        <v>23.150909515619063</v>
      </c>
      <c r="F67" s="124">
        <f t="shared" si="4"/>
        <v>40.259376233527433</v>
      </c>
      <c r="H67" s="120"/>
    </row>
    <row r="68" spans="1:8" x14ac:dyDescent="0.15">
      <c r="A68" s="143">
        <f t="shared" si="3"/>
        <v>15</v>
      </c>
      <c r="B68" s="124">
        <f t="shared" si="4"/>
        <v>9.3751789366889149</v>
      </c>
      <c r="C68" s="124">
        <f t="shared" si="4"/>
        <v>11.507299687094523</v>
      </c>
      <c r="D68" s="124">
        <f t="shared" si="4"/>
        <v>16.943019282966539</v>
      </c>
      <c r="E68" s="124">
        <f t="shared" si="4"/>
        <v>38.389526854637488</v>
      </c>
      <c r="F68" s="124">
        <f t="shared" si="4"/>
        <v>92.875939408560825</v>
      </c>
      <c r="H68" s="120"/>
    </row>
    <row r="69" spans="1:8" x14ac:dyDescent="0.15">
      <c r="A69" s="144">
        <f t="shared" si="3"/>
        <v>20</v>
      </c>
      <c r="B69" s="124">
        <f t="shared" si="4"/>
        <v>9.3751789366889167</v>
      </c>
      <c r="C69" s="124">
        <f t="shared" si="4"/>
        <v>12.366739863489233</v>
      </c>
      <c r="D69" s="124">
        <f t="shared" si="4"/>
        <v>20.722926859664348</v>
      </c>
      <c r="E69" s="124">
        <f t="shared" si="4"/>
        <v>62.209032939439751</v>
      </c>
      <c r="F69" s="124">
        <f t="shared" si="4"/>
        <v>210.17061903342423</v>
      </c>
      <c r="H69" s="120"/>
    </row>
    <row r="70" spans="1:8" x14ac:dyDescent="0.15">
      <c r="A70" s="144">
        <f t="shared" si="3"/>
        <v>25</v>
      </c>
      <c r="B70" s="124">
        <f t="shared" si="4"/>
        <v>9.3751789366889202</v>
      </c>
      <c r="C70" s="124">
        <f t="shared" si="4"/>
        <v>13.184728554037685</v>
      </c>
      <c r="D70" s="124">
        <f t="shared" si="4"/>
        <v>24.776681173078426</v>
      </c>
      <c r="E70" s="124">
        <f t="shared" si="4"/>
        <v>97.301174854897752</v>
      </c>
      <c r="F70" s="124">
        <f t="shared" si="4"/>
        <v>463.30080608706396</v>
      </c>
    </row>
    <row r="71" spans="1:8" x14ac:dyDescent="0.15">
      <c r="A71" s="144">
        <f t="shared" si="3"/>
        <v>30</v>
      </c>
      <c r="B71" s="124">
        <f t="shared" si="4"/>
        <v>9.3751789366889167</v>
      </c>
      <c r="C71" s="124">
        <f t="shared" si="4"/>
        <v>13.923189231651017</v>
      </c>
      <c r="D71" s="124">
        <f t="shared" si="4"/>
        <v>28.924786341825559</v>
      </c>
      <c r="E71" s="124">
        <f t="shared" si="4"/>
        <v>147.66457468965237</v>
      </c>
      <c r="F71" s="124">
        <f t="shared" si="4"/>
        <v>1004.029241336563</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0.25</v>
      </c>
      <c r="D74" s="145">
        <f>Scenarios!C55</f>
        <v>15</v>
      </c>
      <c r="E74" s="135">
        <f>INDEX(B$65:F$71, MATCH(D74, A$65:A$71, 0), MATCH(C74, B$64:F$64, 0))</f>
        <v>92.875939408560825</v>
      </c>
      <c r="F74" s="142">
        <f>Scenarios!C58</f>
        <v>0.05</v>
      </c>
    </row>
    <row r="75" spans="1:8" x14ac:dyDescent="0.15">
      <c r="B75" s="127" t="str">
        <f>Scenarios!B36</f>
        <v>Optimistic</v>
      </c>
      <c r="C75" s="142">
        <f>Scenarios!C38</f>
        <v>0.15</v>
      </c>
      <c r="D75" s="145">
        <f>Scenarios!C37</f>
        <v>10</v>
      </c>
      <c r="E75" s="135">
        <f>INDEX(B$65:F$71, MATCH(D75, A$65:A$71, 0), MATCH(C75, B$64:F$64, 0))</f>
        <v>23.150909515619063</v>
      </c>
      <c r="F75" s="142">
        <f>Scenarios!C40*(1-F$74-F$78)</f>
        <v>0.18</v>
      </c>
      <c r="H75" s="120"/>
    </row>
    <row r="76" spans="1:8" x14ac:dyDescent="0.15">
      <c r="B76" s="127" t="str">
        <f>Scenarios!B24</f>
        <v>Base</v>
      </c>
      <c r="C76" s="142">
        <f>Scenarios!C26</f>
        <v>0.06</v>
      </c>
      <c r="D76" s="145">
        <f>Scenarios!C25</f>
        <v>10</v>
      </c>
      <c r="E76" s="135">
        <f>INDEX(B$65:F$71, MATCH(D76, A$65:A$71, 0), MATCH(C76, B$64:F$64, 0))</f>
        <v>13.704721096322592</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10.682909541436253</v>
      </c>
      <c r="F77" s="142">
        <f>Scenarios!C34*(1-F$74-F$78)</f>
        <v>0.18</v>
      </c>
      <c r="H77" s="120"/>
    </row>
    <row r="78" spans="1:8" x14ac:dyDescent="0.15">
      <c r="B78" s="127" t="str">
        <f>Scenarios!B48</f>
        <v>Devil's advocate</v>
      </c>
      <c r="C78" s="142">
        <f>Scenarios!C50</f>
        <v>0</v>
      </c>
      <c r="D78" s="145">
        <f>Scenarios!C49</f>
        <v>15</v>
      </c>
      <c r="E78" s="135">
        <f>INDEX(B$65:F$71, MATCH(D78, A$65:A$71, 0), MATCH(C78, B$64:F$64, 0))</f>
        <v>9.3751789366889149</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1000000</v>
      </c>
      <c r="E3" s="109" t="s">
        <v>120</v>
      </c>
      <c r="H3" s="120"/>
    </row>
    <row r="4" spans="2:8" x14ac:dyDescent="0.15">
      <c r="B4" s="100" t="s">
        <v>416</v>
      </c>
      <c r="C4" s="114">
        <f>Normalized_FCF!C91*(1-dividend_tax_rate)</f>
        <v>1165.8246861126986</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15544.329148169316</v>
      </c>
      <c r="D6" t="str">
        <f>Reporting_currency</f>
        <v>USD</v>
      </c>
      <c r="E6" s="378"/>
      <c r="F6" s="378"/>
      <c r="H6" s="120"/>
    </row>
    <row r="7" spans="2:8" x14ac:dyDescent="0.15">
      <c r="B7" s="149" t="s">
        <v>420</v>
      </c>
      <c r="C7" s="111">
        <f>(C6*scaling_factor)/Common_Shares*Exchange_Rate</f>
        <v>88.209699621999988</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0.111211776070739</v>
      </c>
      <c r="H11" s="120"/>
    </row>
    <row r="12" spans="2:8" ht="13.25" customHeight="1" x14ac:dyDescent="0.15">
      <c r="B12" s="118" t="s">
        <v>130</v>
      </c>
      <c r="C12" s="162">
        <f>Scenarios!C64</f>
        <v>10</v>
      </c>
      <c r="H12" s="120"/>
    </row>
    <row r="13" spans="2:8" ht="13.25" customHeight="1" x14ac:dyDescent="0.15">
      <c r="B13" s="153" t="s">
        <v>103</v>
      </c>
      <c r="C13" s="140">
        <f>F47/Common_Shares*scaling_factor</f>
        <v>16.219519977774993</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1295.4781200424036</v>
      </c>
      <c r="D16" s="138">
        <f>IF($C$12&lt;B16,0,DDM!$C$11)</f>
        <v>0.111211776070739</v>
      </c>
      <c r="E16" s="124">
        <f t="shared" ref="E16:E45" si="0">IF($C$12&lt;B16,0,1/(1+Equity_Cost)^B16)</f>
        <v>0.93023255813953487</v>
      </c>
      <c r="F16" s="125">
        <f t="shared" ref="F16:F46" si="1">C16*E16</f>
        <v>1205.0959256208405</v>
      </c>
      <c r="H16" s="120"/>
    </row>
    <row r="17" spans="2:8" x14ac:dyDescent="0.15">
      <c r="B17" s="122">
        <v>2</v>
      </c>
      <c r="C17" s="123">
        <f t="shared" ref="C17:C45" si="2">IF(ROW()-ROW($C$16)&lt;$C$12, $C$16*(1+D17)^(ROW()-ROW($C$16)), 0)</f>
        <v>1439.5505426331013</v>
      </c>
      <c r="D17" s="138">
        <f>IF($C$12&lt;B17,0,DDM!$C$11)</f>
        <v>0.111211776070739</v>
      </c>
      <c r="E17" s="124">
        <f t="shared" si="0"/>
        <v>0.86533261222282321</v>
      </c>
      <c r="F17" s="125">
        <f t="shared" si="1"/>
        <v>1245.6900314834841</v>
      </c>
      <c r="H17" s="120"/>
    </row>
    <row r="18" spans="2:8" x14ac:dyDescent="0.15">
      <c r="B18" s="122">
        <v>3</v>
      </c>
      <c r="C18" s="123">
        <f t="shared" si="2"/>
        <v>1599.6455152229246</v>
      </c>
      <c r="D18" s="138">
        <f>IF($C$12&lt;B18,0,DDM!$C$11)</f>
        <v>0.111211776070739</v>
      </c>
      <c r="E18" s="124">
        <f t="shared" si="0"/>
        <v>0.80496056950960304</v>
      </c>
      <c r="F18" s="125">
        <f t="shared" si="1"/>
        <v>1287.6515649473279</v>
      </c>
      <c r="H18" s="120"/>
    </row>
    <row r="19" spans="2:8" x14ac:dyDescent="0.15">
      <c r="B19" s="122">
        <v>4</v>
      </c>
      <c r="C19" s="123">
        <f t="shared" si="2"/>
        <v>1777.5449340544583</v>
      </c>
      <c r="D19" s="138">
        <f>IF($C$12&lt;B19,0,DDM!$C$11)</f>
        <v>0.111211776070739</v>
      </c>
      <c r="E19" s="124">
        <f t="shared" si="0"/>
        <v>0.7488005297763749</v>
      </c>
      <c r="F19" s="125">
        <f t="shared" si="1"/>
        <v>1331.0265883212896</v>
      </c>
      <c r="H19" s="120"/>
    </row>
    <row r="20" spans="2:8" x14ac:dyDescent="0.15">
      <c r="B20" s="122">
        <v>5</v>
      </c>
      <c r="C20" s="123">
        <f t="shared" si="2"/>
        <v>1975.2288632161992</v>
      </c>
      <c r="D20" s="138">
        <f>IF($C$12&lt;B20,0,DDM!$C$11)</f>
        <v>0.111211776070739</v>
      </c>
      <c r="E20" s="124">
        <f t="shared" si="0"/>
        <v>0.69655863235011617</v>
      </c>
      <c r="F20" s="125">
        <f t="shared" si="1"/>
        <v>1375.8627155403503</v>
      </c>
      <c r="H20" s="120"/>
    </row>
    <row r="21" spans="2:8" x14ac:dyDescent="0.15">
      <c r="B21" s="122">
        <v>6</v>
      </c>
      <c r="C21" s="123">
        <f t="shared" si="2"/>
        <v>2194.8975732406598</v>
      </c>
      <c r="D21" s="138">
        <f>IF($C$12&lt;B21,0,DDM!$C$11)</f>
        <v>0.111211776070739</v>
      </c>
      <c r="E21" s="124">
        <f t="shared" si="0"/>
        <v>0.64796151846522443</v>
      </c>
      <c r="F21" s="125">
        <f t="shared" si="1"/>
        <v>1422.209164432654</v>
      </c>
      <c r="H21" s="120"/>
    </row>
    <row r="22" spans="2:8" x14ac:dyDescent="0.15">
      <c r="B22" s="122">
        <v>7</v>
      </c>
      <c r="C22" s="123">
        <f t="shared" si="2"/>
        <v>2438.9960306541084</v>
      </c>
      <c r="D22" s="138">
        <f>IF($C$12&lt;B22,0,DDM!$C$11)</f>
        <v>0.111211776070739</v>
      </c>
      <c r="E22" s="124">
        <f t="shared" si="0"/>
        <v>0.60275490089788319</v>
      </c>
      <c r="F22" s="125">
        <f t="shared" si="1"/>
        <v>1470.1168107472477</v>
      </c>
      <c r="H22" s="120"/>
    </row>
    <row r="23" spans="2:8" x14ac:dyDescent="0.15">
      <c r="B23" s="122">
        <v>8</v>
      </c>
      <c r="C23" s="123">
        <f t="shared" si="2"/>
        <v>2710.2411110526341</v>
      </c>
      <c r="D23" s="138">
        <f>IF($C$12&lt;B23,0,DDM!$C$11)</f>
        <v>0.111211776070739</v>
      </c>
      <c r="E23" s="124">
        <f t="shared" si="0"/>
        <v>0.56070223339337966</v>
      </c>
      <c r="F23" s="125">
        <f t="shared" si="1"/>
        <v>1519.6382440017667</v>
      </c>
      <c r="H23" s="120"/>
    </row>
    <row r="24" spans="2:8" x14ac:dyDescent="0.15">
      <c r="B24" s="122">
        <v>9</v>
      </c>
      <c r="C24" s="123">
        <f t="shared" si="2"/>
        <v>3011.6518385927307</v>
      </c>
      <c r="D24" s="138">
        <f>IF($C$12&lt;B24,0,DDM!$C$11)</f>
        <v>0.111211776070739</v>
      </c>
      <c r="E24" s="124">
        <f t="shared" si="0"/>
        <v>0.52158347292407414</v>
      </c>
      <c r="F24" s="125">
        <f t="shared" si="1"/>
        <v>1570.8278252113696</v>
      </c>
      <c r="H24" s="120"/>
    </row>
    <row r="25" spans="2:8" x14ac:dyDescent="0.15">
      <c r="B25" s="122">
        <v>10</v>
      </c>
      <c r="C25" s="123">
        <f t="shared" si="2"/>
        <v>3346.5829884693344</v>
      </c>
      <c r="D25" s="138">
        <f>IF($C$12&lt;B25,0,DDM!$C$11)</f>
        <v>0.111211776070739</v>
      </c>
      <c r="E25" s="124">
        <f t="shared" si="0"/>
        <v>0.48519392830146441</v>
      </c>
      <c r="F25" s="125">
        <f t="shared" si="1"/>
        <v>1623.7417465622907</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17273.041600565382</v>
      </c>
      <c r="D46" s="139">
        <f>Terminal_Growth</f>
        <v>0</v>
      </c>
      <c r="E46" s="124">
        <f>1/(1+Equity_Cost)^C12</f>
        <v>0.48519392830146441</v>
      </c>
      <c r="F46" s="125">
        <f t="shared" si="1"/>
        <v>8380.7749078929319</v>
      </c>
      <c r="H46" s="120"/>
    </row>
    <row r="47" spans="2:8" x14ac:dyDescent="0.15">
      <c r="C47" s="114"/>
      <c r="E47" s="127" t="s">
        <v>97</v>
      </c>
      <c r="F47" s="137">
        <f>SUM(F16:F46)</f>
        <v>22432.635524761554</v>
      </c>
      <c r="H47" s="120"/>
    </row>
    <row r="48" spans="2:8" x14ac:dyDescent="0.15">
      <c r="C48" s="114"/>
      <c r="H48" s="120"/>
    </row>
    <row r="49" spans="1:8" x14ac:dyDescent="0.15">
      <c r="B49" s="119" t="s">
        <v>125</v>
      </c>
      <c r="C49" s="136"/>
      <c r="D49" s="136"/>
      <c r="E49" s="117"/>
      <c r="F49" s="117"/>
      <c r="H49" s="120"/>
    </row>
    <row r="50" spans="1:8" x14ac:dyDescent="0.15">
      <c r="A50" s="133">
        <f>F47</f>
        <v>22432.635524761554</v>
      </c>
      <c r="B50" s="131">
        <f>C73</f>
        <v>0</v>
      </c>
      <c r="C50" s="131">
        <f>C72</f>
        <v>0.02</v>
      </c>
      <c r="D50" s="131">
        <f>C71</f>
        <v>0.06</v>
      </c>
      <c r="E50" s="131">
        <f>C70</f>
        <v>0.15</v>
      </c>
      <c r="F50" s="131">
        <f>C69</f>
        <v>0.25</v>
      </c>
      <c r="H50" s="120"/>
    </row>
    <row r="51" spans="1:8" x14ac:dyDescent="0.15">
      <c r="A51" s="143">
        <v>5</v>
      </c>
      <c r="B51" s="123">
        <f t="dataTable" ref="B51:F56" dt2D="1" dtr="1" r1="C11" r2="C12"/>
        <v>15544.329148169318</v>
      </c>
      <c r="C51" s="123">
        <v>16037.247649157238</v>
      </c>
      <c r="D51" s="123">
        <v>17066.794937344366</v>
      </c>
      <c r="E51" s="123">
        <v>19620.438848374986</v>
      </c>
      <c r="F51" s="123">
        <v>22908.719254843898</v>
      </c>
      <c r="H51" s="120"/>
    </row>
    <row r="52" spans="1:8" x14ac:dyDescent="0.15">
      <c r="A52" s="143">
        <v>10</v>
      </c>
      <c r="B52" s="123">
        <v>15544.32914816932</v>
      </c>
      <c r="C52" s="123">
        <v>16526.039592872206</v>
      </c>
      <c r="D52" s="123">
        <v>18794.506779146377</v>
      </c>
      <c r="E52" s="123">
        <v>25885.739331317593</v>
      </c>
      <c r="F52" s="123">
        <v>38729.027091695054</v>
      </c>
      <c r="H52" s="120"/>
    </row>
    <row r="53" spans="1:8" x14ac:dyDescent="0.15">
      <c r="A53" s="143">
        <v>15</v>
      </c>
      <c r="B53" s="123">
        <v>15544.329148169318</v>
      </c>
      <c r="C53" s="123">
        <v>17144.907434279979</v>
      </c>
      <c r="D53" s="123">
        <v>21225.489996446726</v>
      </c>
      <c r="E53" s="123">
        <v>37325.335338505458</v>
      </c>
      <c r="F53" s="123">
        <v>78228.163569639539</v>
      </c>
      <c r="H53" s="120"/>
    </row>
    <row r="54" spans="1:8" x14ac:dyDescent="0.15">
      <c r="A54" s="144">
        <v>20</v>
      </c>
      <c r="B54" s="123">
        <v>15544.32914816932</v>
      </c>
      <c r="C54" s="123">
        <v>17790.087255491704</v>
      </c>
      <c r="D54" s="123">
        <v>24063.058173397658</v>
      </c>
      <c r="E54" s="123">
        <v>55206.585365251172</v>
      </c>
      <c r="F54" s="123">
        <v>166281.017634377</v>
      </c>
      <c r="H54" s="120"/>
    </row>
    <row r="55" spans="1:8" x14ac:dyDescent="0.15">
      <c r="A55" s="144">
        <v>25</v>
      </c>
      <c r="B55" s="123">
        <v>15544.329148169318</v>
      </c>
      <c r="C55" s="123">
        <v>18404.149538843565</v>
      </c>
      <c r="D55" s="123">
        <v>27106.202484076919</v>
      </c>
      <c r="E55" s="123">
        <v>81550.177937252942</v>
      </c>
      <c r="F55" s="123">
        <v>356305.28379290091</v>
      </c>
      <c r="H55" s="120"/>
    </row>
    <row r="56" spans="1:8" x14ac:dyDescent="0.15">
      <c r="A56" s="144">
        <v>30</v>
      </c>
      <c r="B56" s="123">
        <v>15544.329148169318</v>
      </c>
      <c r="C56" s="123">
        <v>18958.51032047829</v>
      </c>
      <c r="D56" s="123">
        <v>30220.175771160695</v>
      </c>
      <c r="E56" s="123">
        <v>119357.86972716804</v>
      </c>
      <c r="F56" s="123">
        <v>762228.91263910953</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0.06</v>
      </c>
      <c r="E59" s="132">
        <f>E50</f>
        <v>0.15</v>
      </c>
      <c r="F59" s="132">
        <f>F50</f>
        <v>0.25</v>
      </c>
      <c r="H59" s="120"/>
    </row>
    <row r="60" spans="1:8" x14ac:dyDescent="0.15">
      <c r="A60" s="143">
        <v>0</v>
      </c>
      <c r="B60" s="124">
        <f>C7</f>
        <v>88.209699621999988</v>
      </c>
      <c r="C60" s="124">
        <f>C7</f>
        <v>88.209699621999988</v>
      </c>
      <c r="D60" s="124">
        <f>C7</f>
        <v>88.209699621999988</v>
      </c>
      <c r="E60" s="141">
        <f>C7</f>
        <v>88.209699621999988</v>
      </c>
      <c r="F60" s="124">
        <f>C7</f>
        <v>88.209699621999988</v>
      </c>
      <c r="H60" s="120"/>
    </row>
    <row r="61" spans="1:8" x14ac:dyDescent="0.15">
      <c r="A61" s="143">
        <f t="shared" ref="A61:A66" si="3">A51</f>
        <v>5</v>
      </c>
      <c r="B61" s="124">
        <f t="shared" ref="B61:F66" si="4">B51/Common_Shares*$C$3*Exchange_Rate</f>
        <v>88.209699622000002</v>
      </c>
      <c r="C61" s="124">
        <f t="shared" si="4"/>
        <v>91.006873594309511</v>
      </c>
      <c r="D61" s="124">
        <f t="shared" si="4"/>
        <v>96.849265129638425</v>
      </c>
      <c r="E61" s="124">
        <f t="shared" si="4"/>
        <v>111.34047669537455</v>
      </c>
      <c r="F61" s="124">
        <f t="shared" si="4"/>
        <v>130.00054392392337</v>
      </c>
      <c r="H61" s="120"/>
    </row>
    <row r="62" spans="1:8" x14ac:dyDescent="0.15">
      <c r="A62" s="143">
        <f t="shared" si="3"/>
        <v>10</v>
      </c>
      <c r="B62" s="124">
        <f t="shared" si="4"/>
        <v>88.209699622000016</v>
      </c>
      <c r="C62" s="124">
        <f t="shared" si="4"/>
        <v>93.780630513747127</v>
      </c>
      <c r="D62" s="124">
        <f t="shared" si="4"/>
        <v>106.65354430733947</v>
      </c>
      <c r="E62" s="124">
        <f t="shared" si="4"/>
        <v>146.89429625065762</v>
      </c>
      <c r="F62" s="124">
        <f t="shared" si="4"/>
        <v>219.77634504819153</v>
      </c>
      <c r="H62" s="120"/>
    </row>
    <row r="63" spans="1:8" x14ac:dyDescent="0.15">
      <c r="A63" s="143">
        <f t="shared" si="3"/>
        <v>15</v>
      </c>
      <c r="B63" s="124">
        <f t="shared" si="4"/>
        <v>88.209699622000002</v>
      </c>
      <c r="C63" s="124">
        <f t="shared" si="4"/>
        <v>97.292531598441059</v>
      </c>
      <c r="D63" s="124">
        <f t="shared" si="4"/>
        <v>120.44869090647344</v>
      </c>
      <c r="E63" s="124">
        <f t="shared" si="4"/>
        <v>211.81078881668859</v>
      </c>
      <c r="F63" s="124">
        <f t="shared" si="4"/>
        <v>443.92284444589683</v>
      </c>
      <c r="H63" s="120"/>
    </row>
    <row r="64" spans="1:8" x14ac:dyDescent="0.15">
      <c r="A64" s="144">
        <f t="shared" si="3"/>
        <v>20</v>
      </c>
      <c r="B64" s="124">
        <f t="shared" si="4"/>
        <v>88.209699622000016</v>
      </c>
      <c r="C64" s="124">
        <f t="shared" si="4"/>
        <v>100.95374577428503</v>
      </c>
      <c r="D64" s="124">
        <f t="shared" si="4"/>
        <v>136.55109289242637</v>
      </c>
      <c r="E64" s="124">
        <f t="shared" si="4"/>
        <v>313.28185769912284</v>
      </c>
      <c r="F64" s="124">
        <f t="shared" si="4"/>
        <v>943.5980465002126</v>
      </c>
      <c r="H64" s="120"/>
    </row>
    <row r="65" spans="1:8" x14ac:dyDescent="0.15">
      <c r="A65" s="144">
        <f t="shared" si="3"/>
        <v>25</v>
      </c>
      <c r="B65" s="124">
        <f t="shared" si="4"/>
        <v>88.209699622000002</v>
      </c>
      <c r="C65" s="124">
        <f t="shared" si="4"/>
        <v>104.43837666747774</v>
      </c>
      <c r="D65" s="124">
        <f t="shared" si="4"/>
        <v>153.82008166593224</v>
      </c>
      <c r="E65" s="124">
        <f t="shared" si="4"/>
        <v>462.77434242396538</v>
      </c>
      <c r="F65" s="124">
        <f t="shared" si="4"/>
        <v>2021.9323560068058</v>
      </c>
    </row>
    <row r="66" spans="1:8" x14ac:dyDescent="0.15">
      <c r="A66" s="144">
        <f t="shared" si="3"/>
        <v>30</v>
      </c>
      <c r="B66" s="124">
        <f t="shared" si="4"/>
        <v>88.209699622000002</v>
      </c>
      <c r="C66" s="124">
        <f t="shared" si="4"/>
        <v>107.58421831584347</v>
      </c>
      <c r="D66" s="124">
        <f t="shared" si="4"/>
        <v>171.49100497605409</v>
      </c>
      <c r="E66" s="124">
        <f t="shared" si="4"/>
        <v>677.32236854977191</v>
      </c>
      <c r="F66" s="124">
        <f t="shared" si="4"/>
        <v>4325.4348763592698</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0.25</v>
      </c>
      <c r="D69" s="145">
        <f>Scenarios!C55</f>
        <v>15</v>
      </c>
      <c r="E69" s="135">
        <f>INDEX(B$60:F$66, MATCH(D69, A$60:A$66, 0), MATCH(C69, B$59:F$59, 0))</f>
        <v>443.92284444589683</v>
      </c>
      <c r="F69" s="142">
        <f>Scenarios!C58</f>
        <v>0.05</v>
      </c>
    </row>
    <row r="70" spans="1:8" x14ac:dyDescent="0.15">
      <c r="B70" s="127" t="str">
        <f>Scenarios!B36</f>
        <v>Optimistic</v>
      </c>
      <c r="C70" s="142">
        <f>Scenarios!C38</f>
        <v>0.15</v>
      </c>
      <c r="D70" s="145">
        <f>Scenarios!C37</f>
        <v>10</v>
      </c>
      <c r="E70" s="135">
        <f>INDEX(B$60:F$66, MATCH(D70, A$60:A$66, 0), MATCH(C70, B$59:F$59, 0))</f>
        <v>146.89429625065762</v>
      </c>
      <c r="F70" s="142">
        <f>Scenarios!C40*(1-F$69-F$73)</f>
        <v>0.18</v>
      </c>
      <c r="H70" s="120"/>
    </row>
    <row r="71" spans="1:8" x14ac:dyDescent="0.15">
      <c r="B71" s="127" t="str">
        <f>Scenarios!B24</f>
        <v>Base</v>
      </c>
      <c r="C71" s="142">
        <f>Scenarios!C26</f>
        <v>0.06</v>
      </c>
      <c r="D71" s="145">
        <f>Scenarios!C25</f>
        <v>10</v>
      </c>
      <c r="E71" s="135">
        <f>INDEX(B$60:F$66, MATCH(D71, A$60:A$66, 0), MATCH(C71, B$59:F$59, 0))</f>
        <v>106.65354430733947</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93.780630513747127</v>
      </c>
      <c r="F72" s="142">
        <f>Scenarios!C34*(1-F$69-F$73)</f>
        <v>0.18</v>
      </c>
      <c r="H72" s="120"/>
    </row>
    <row r="73" spans="1:8" x14ac:dyDescent="0.15">
      <c r="B73" s="127" t="str">
        <f>Scenarios!B48</f>
        <v>Devil's advocate</v>
      </c>
      <c r="C73" s="142">
        <f>Scenarios!C50</f>
        <v>0</v>
      </c>
      <c r="D73" s="145">
        <f>Scenarios!C49</f>
        <v>15</v>
      </c>
      <c r="E73" s="135">
        <f>INDEX(B$60:F$66, MATCH(D73, A$60:A$66, 0), MATCH(C73, B$59:F$59, 0))</f>
        <v>88.209699622000002</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-17.21</v>
      </c>
    </row>
    <row r="4" spans="2:9" x14ac:dyDescent="0.15">
      <c r="B4" s="152" t="s">
        <v>142</v>
      </c>
      <c r="C4" s="120">
        <v>3</v>
      </c>
      <c r="D4" s="120"/>
      <c r="E4" s="155" t="s">
        <v>146</v>
      </c>
      <c r="F4" s="155"/>
      <c r="H4" s="247">
        <v>1</v>
      </c>
      <c r="I4" s="124">
        <f t="shared" ref="I4:I13" si="0">IF(ROW()-3 &lt; $C$76, $C$77, IF(ROW()-3 = $C$76, $C$77 + $C$60, ""))</f>
        <v>0.84292889999999987</v>
      </c>
    </row>
    <row r="5" spans="2:9" x14ac:dyDescent="0.15">
      <c r="H5" s="247">
        <v>2</v>
      </c>
      <c r="I5" s="124">
        <f t="shared" si="0"/>
        <v>0.84292889999999987</v>
      </c>
    </row>
    <row r="6" spans="2:9" x14ac:dyDescent="0.15">
      <c r="B6" s="159" t="s">
        <v>92</v>
      </c>
      <c r="C6" s="107">
        <f>DCF!C3</f>
        <v>1000000</v>
      </c>
      <c r="E6" s="100" t="s">
        <v>274</v>
      </c>
      <c r="F6" s="100"/>
      <c r="H6" s="247">
        <v>3</v>
      </c>
      <c r="I6" s="124">
        <f t="shared" si="0"/>
        <v>19.446121639546643</v>
      </c>
    </row>
    <row r="7" spans="2:9" ht="12.75" customHeight="1" x14ac:dyDescent="0.15">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x14ac:dyDescent="0.15">
      <c r="B8" s="100" t="s">
        <v>64</v>
      </c>
      <c r="C8" s="338">
        <f>Normalized_FCF!G19</f>
        <v>342.24048468254358</v>
      </c>
      <c r="D8" t="str">
        <f>Reporting_currency</f>
        <v>USD</v>
      </c>
      <c r="E8" s="380"/>
      <c r="F8" s="380"/>
      <c r="H8" s="247">
        <v>5</v>
      </c>
      <c r="I8" s="124" t="str">
        <f t="shared" si="0"/>
        <v/>
      </c>
    </row>
    <row r="9" spans="2:9" x14ac:dyDescent="0.15">
      <c r="B9" s="100" t="s">
        <v>55</v>
      </c>
      <c r="C9" s="338">
        <f>Normalized_FCF!C19</f>
        <v>273.66783961690669</v>
      </c>
      <c r="D9" t="str">
        <f>Reporting_currency</f>
        <v>USD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0.21097145624674352</v>
      </c>
      <c r="D12" s="158"/>
      <c r="E12" s="380"/>
      <c r="F12" s="380"/>
      <c r="H12" s="247">
        <v>9</v>
      </c>
      <c r="I12" s="124" t="str">
        <f t="shared" si="0"/>
        <v/>
      </c>
    </row>
    <row r="13" spans="2:9" x14ac:dyDescent="0.15">
      <c r="B13" s="148" t="s">
        <v>148</v>
      </c>
      <c r="C13" s="158">
        <f ca="1">(Normalized_FCF!G8/OFFSET(Normalized_FCF!G8, 0, $C$4))^(1/$C$4) - 1</f>
        <v>0.77230247224880189</v>
      </c>
      <c r="E13" s="380"/>
      <c r="F13" s="380"/>
      <c r="H13" s="247">
        <v>10</v>
      </c>
      <c r="I13" s="124" t="str">
        <f t="shared" si="0"/>
        <v/>
      </c>
    </row>
    <row r="14" spans="2:9" x14ac:dyDescent="0.15">
      <c r="B14" s="100" t="s">
        <v>64</v>
      </c>
      <c r="C14" s="158">
        <f ca="1">(Normalized_FCF!G19/OFFSET(Normalized_FCF!G19, 0, $C$4))^(1/$C$4) - 1</f>
        <v>-4.7410961066730337</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17.21</v>
      </c>
      <c r="D21" t="str">
        <f>Market_currency</f>
        <v>HKD</v>
      </c>
      <c r="E21" s="381"/>
      <c r="F21" s="381"/>
    </row>
    <row r="22" spans="2:6" x14ac:dyDescent="0.15">
      <c r="B22" s="100" t="s">
        <v>273</v>
      </c>
      <c r="C22" s="160">
        <f>IF(valuation_method="DCF",DCF!C12,DDM!C7)</f>
        <v>9.3751789366889131</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0.06</v>
      </c>
      <c r="D26" s="164"/>
      <c r="E26" s="379"/>
      <c r="F26" s="379"/>
    </row>
    <row r="27" spans="2:6" x14ac:dyDescent="0.15">
      <c r="B27" s="100" t="s">
        <v>109</v>
      </c>
      <c r="C27" s="160">
        <f>IF(valuation_method="DCF",DCF!E76,DDM!E71)</f>
        <v>13.704721096322592</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0.02</v>
      </c>
      <c r="D32" s="164"/>
      <c r="E32" s="379"/>
      <c r="F32" s="379"/>
    </row>
    <row r="33" spans="2:6" x14ac:dyDescent="0.15">
      <c r="B33" s="100" t="s">
        <v>109</v>
      </c>
      <c r="C33" s="160">
        <f>IF(valuation_method="DCF",DCF!E77,DDM!E72)</f>
        <v>10.682909541436253</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0.15</v>
      </c>
      <c r="D38" s="164"/>
      <c r="E38" s="379"/>
      <c r="F38" s="379"/>
    </row>
    <row r="39" spans="2:6" x14ac:dyDescent="0.15">
      <c r="B39" s="100" t="s">
        <v>109</v>
      </c>
      <c r="C39" s="160">
        <f>IF(valuation_method="DCF",DCF!E75,DDM!E70)</f>
        <v>23.150909515619063</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14.989596469204619</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9.3751789366889149</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0.25</v>
      </c>
      <c r="D56" s="164"/>
      <c r="E56" s="379"/>
      <c r="F56" s="379"/>
    </row>
    <row r="57" spans="2:6" x14ac:dyDescent="0.15">
      <c r="B57" s="100" t="s">
        <v>109</v>
      </c>
      <c r="C57" s="160">
        <f>IF(valuation_method="DCF",DCF!E74,DDM!E69)</f>
        <v>92.875939408560825</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18.603192739546643</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0.111211776070739</v>
      </c>
      <c r="D65" s="151"/>
      <c r="E65" s="251" t="s">
        <v>304</v>
      </c>
    </row>
    <row r="66" spans="2:6" x14ac:dyDescent="0.15">
      <c r="B66" s="100" t="s">
        <v>99</v>
      </c>
      <c r="C66" s="160">
        <f>IF(valuation_method="DCF",DCF!C18,DDM!C13)</f>
        <v>18.551050612651483</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N</v>
      </c>
      <c r="E70" s="251" t="s">
        <v>289</v>
      </c>
    </row>
    <row r="71" spans="2:6" x14ac:dyDescent="0.15">
      <c r="B71" s="100" t="s">
        <v>287</v>
      </c>
      <c r="C71" s="244" t="str">
        <f>IF(C65&gt;8%,"Y","N")</f>
        <v>Y</v>
      </c>
      <c r="E71" s="251"/>
    </row>
    <row r="72" spans="2:6" x14ac:dyDescent="0.15">
      <c r="B72" s="100" t="s">
        <v>279</v>
      </c>
      <c r="C72" s="243" t="str">
        <f>IF(F72&gt;50%,"Y","N")</f>
        <v>N</v>
      </c>
      <c r="E72" s="134" t="s">
        <v>337</v>
      </c>
      <c r="F72" s="291">
        <f>BS!D89/C60</f>
        <v>-0.60910667315373734</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0.84292889999999987</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1.4295060042676422</v>
      </c>
      <c r="D81" s="116"/>
      <c r="E81" s="100"/>
      <c r="F81" s="100"/>
    </row>
    <row r="82" spans="2:8" x14ac:dyDescent="0.15">
      <c r="B82" s="100" t="s">
        <v>118</v>
      </c>
      <c r="C82" s="116">
        <f>C60/(1+C80)^C76</f>
        <v>7.561120861473003</v>
      </c>
      <c r="D82" s="116"/>
    </row>
    <row r="83" spans="2:8" x14ac:dyDescent="0.15">
      <c r="B83" s="110" t="s">
        <v>98</v>
      </c>
      <c r="C83" s="111">
        <f>C81+C82</f>
        <v>8.9906268657406443</v>
      </c>
      <c r="D83" t="str">
        <f>Market_currency</f>
        <v>HKD</v>
      </c>
      <c r="E83" s="146" t="s">
        <v>122</v>
      </c>
      <c r="F83" s="291">
        <f>(1-C83/C60)</f>
        <v>0.51671592120698828</v>
      </c>
    </row>
    <row r="84" spans="2:8" x14ac:dyDescent="0.15">
      <c r="E84" s="120"/>
    </row>
    <row r="85" spans="2:8" x14ac:dyDescent="0.15">
      <c r="B85" s="109" t="s">
        <v>297</v>
      </c>
    </row>
    <row r="86" spans="2:8" x14ac:dyDescent="0.15">
      <c r="B86" s="148" t="s">
        <v>295</v>
      </c>
      <c r="C86" s="116">
        <f>Market_Price</f>
        <v>17.21</v>
      </c>
      <c r="D86" t="str">
        <f>Market_currency</f>
        <v>HKD</v>
      </c>
    </row>
    <row r="87" spans="2:8" x14ac:dyDescent="0.15">
      <c r="B87" s="100" t="s">
        <v>293</v>
      </c>
      <c r="C87" s="237">
        <f ca="1">IRR(OFFSET($I$3, 0, 0, $C$76 + 1, 1))</f>
        <v>7.4059851104757879E-2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1.6453972127999998</v>
      </c>
      <c r="D91" s="116"/>
      <c r="E91" s="100"/>
      <c r="F91" s="100"/>
    </row>
    <row r="92" spans="2:8" x14ac:dyDescent="0.15">
      <c r="B92" s="100" t="s">
        <v>118</v>
      </c>
      <c r="C92" s="116">
        <f>C60/(1+C90)^C76</f>
        <v>9.5248346826478816</v>
      </c>
      <c r="D92" s="116"/>
    </row>
    <row r="93" spans="2:8" x14ac:dyDescent="0.15">
      <c r="B93" s="110" t="s">
        <v>98</v>
      </c>
      <c r="C93" s="111">
        <f>C91+C92</f>
        <v>11.170231895447881</v>
      </c>
      <c r="D93" t="str">
        <f>Market_currency</f>
        <v>HKD</v>
      </c>
      <c r="E93" s="146" t="s">
        <v>122</v>
      </c>
      <c r="F93" s="291">
        <f>(1-C93/C60)</f>
        <v>0.39955296642698235</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2.1920583013319566</v>
      </c>
      <c r="D97" s="116"/>
      <c r="G97" s="2"/>
      <c r="H97" s="281"/>
    </row>
    <row r="98" spans="2:8" x14ac:dyDescent="0.15">
      <c r="B98" s="100" t="s">
        <v>118</v>
      </c>
      <c r="C98" s="116">
        <f>C60/(1+C96)^C76</f>
        <v>14.974836622322377</v>
      </c>
      <c r="D98" s="116"/>
      <c r="G98" s="2"/>
      <c r="H98" s="281"/>
    </row>
    <row r="99" spans="2:8" x14ac:dyDescent="0.15">
      <c r="B99" s="110" t="s">
        <v>379</v>
      </c>
      <c r="C99" s="111">
        <f>C97+C98</f>
        <v>17.166894923654333</v>
      </c>
      <c r="D99" t="s">
        <v>377</v>
      </c>
      <c r="E99" s="146" t="s">
        <v>122</v>
      </c>
      <c r="F99" s="291">
        <f>(1-C99/C60)</f>
        <v>7.7207059884888962E-2</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2.0336528990840268</v>
      </c>
      <c r="D103" s="116"/>
    </row>
    <row r="104" spans="2:8" x14ac:dyDescent="0.15">
      <c r="B104" s="100" t="s">
        <v>118</v>
      </c>
      <c r="C104" s="116">
        <f>C60/(1+C102)^C76</f>
        <v>13.334031739327575</v>
      </c>
      <c r="D104" s="116"/>
    </row>
    <row r="105" spans="2:8" x14ac:dyDescent="0.15">
      <c r="B105" s="110" t="s">
        <v>379</v>
      </c>
      <c r="C105" s="111">
        <f>C103+C104</f>
        <v>15.367684638411601</v>
      </c>
      <c r="D105" t="s">
        <v>377</v>
      </c>
      <c r="E105" s="146" t="s">
        <v>122</v>
      </c>
      <c r="F105" s="291">
        <f>(1-C105/C66)</f>
        <v>0.17160030667313708</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45754</v>
      </c>
      <c r="D1" s="358" t="str">
        <f>Thesis!D1</f>
        <v>INT</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新秀麗</v>
      </c>
    </row>
    <row r="6" spans="1:10" x14ac:dyDescent="0.15">
      <c r="B6" s="4" t="s">
        <v>480</v>
      </c>
      <c r="C6" s="34">
        <f>Common_Shares</f>
        <v>1383064083</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1910.HK</v>
      </c>
      <c r="D11" s="49"/>
      <c r="E11" s="34"/>
    </row>
    <row r="12" spans="1:10" x14ac:dyDescent="0.15">
      <c r="B12" s="4" t="s">
        <v>484</v>
      </c>
      <c r="C12" s="366">
        <f>Market_Price</f>
        <v>17.21</v>
      </c>
      <c r="D12" s="50"/>
      <c r="E12" s="48"/>
    </row>
    <row r="13" spans="1:10" x14ac:dyDescent="0.15">
      <c r="B13" s="1" t="s">
        <v>485</v>
      </c>
      <c r="C13" s="32" t="str">
        <f>Market_currency</f>
        <v>HKD</v>
      </c>
      <c r="D13" s="48"/>
      <c r="E13" s="5"/>
    </row>
    <row r="14" spans="1:10" x14ac:dyDescent="0.15">
      <c r="B14" s="4" t="s">
        <v>486</v>
      </c>
      <c r="C14" s="35">
        <f>投资主题!C12*Common_Shares/1000000</f>
        <v>23802.53286843</v>
      </c>
      <c r="D14" s="35" t="str">
        <f>IF(D11="","",投资主题!D12*Common_Shares/1000000)</f>
        <v/>
      </c>
      <c r="E14" s="5"/>
    </row>
    <row r="15" spans="1:10" x14ac:dyDescent="0.15">
      <c r="B15" s="4" t="s">
        <v>487</v>
      </c>
      <c r="C15" s="32" t="str">
        <f>IF(C25=C13,C13,C25&amp;"/"&amp;C13)</f>
        <v>USD/HKD</v>
      </c>
      <c r="D15" s="32" t="str">
        <f>IF(D11="","",IF(C25=D13,D13,C25&amp;"/"&amp;D13))</f>
        <v/>
      </c>
      <c r="E15" s="5"/>
    </row>
    <row r="16" spans="1:10" x14ac:dyDescent="0.15">
      <c r="B16" s="4" t="s">
        <v>488</v>
      </c>
      <c r="C16" s="366">
        <f>Exchange_Rate</f>
        <v>7.8484999999999996</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x14ac:dyDescent="0.15">
      <c r="B22" s="2" t="s">
        <v>442</v>
      </c>
      <c r="C22" s="32" t="str">
        <f>Thesis!C22</f>
        <v>CNS_02</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USD</v>
      </c>
      <c r="D25" s="32" t="str">
        <f>IF(D11="","",Market_currency&amp;"/"&amp;D13&amp;":")</f>
        <v/>
      </c>
      <c r="E25" s="299" t="str">
        <f>IF(D11="","",1/Exchange_Rate*D16)</f>
        <v/>
      </c>
    </row>
    <row r="26" spans="2:6" x14ac:dyDescent="0.15">
      <c r="B26" s="1" t="str">
        <f>"预期股权价值 ("&amp;C13&amp;") :"</f>
        <v>预期股权价值 (HKD) :</v>
      </c>
      <c r="C26" s="304">
        <f>C132</f>
        <v>18.603192739546643</v>
      </c>
      <c r="D26" s="1" t="s">
        <v>446</v>
      </c>
      <c r="E26" s="301">
        <f ca="1">Scenarios!C87</f>
        <v>7.4059851104757879E-2</v>
      </c>
    </row>
    <row r="27" spans="2:6" x14ac:dyDescent="0.15">
      <c r="D27" s="5"/>
      <c r="E27" s="5"/>
    </row>
    <row r="28" spans="2:6" x14ac:dyDescent="0.15">
      <c r="B28" s="45" t="s">
        <v>448</v>
      </c>
      <c r="C28" s="309" t="str">
        <f>C145&amp;" ("&amp;Market_currency&amp;")"</f>
        <v>1910.HK (HKD)</v>
      </c>
      <c r="D28" s="309" t="str">
        <f>IF(D11="","",D145&amp;" ("&amp;D13&amp;")")</f>
        <v/>
      </c>
      <c r="E28" s="305" t="s">
        <v>453</v>
      </c>
      <c r="F28" s="361">
        <f>Thesis!F28</f>
        <v>3</v>
      </c>
    </row>
    <row r="29" spans="2:6" x14ac:dyDescent="0.15">
      <c r="B29" s="1" t="s">
        <v>449</v>
      </c>
      <c r="C29" s="310">
        <f>C149</f>
        <v>8.9906268657406443</v>
      </c>
      <c r="D29" s="310" t="str">
        <f>D149</f>
        <v/>
      </c>
      <c r="E29" s="306" t="s">
        <v>455</v>
      </c>
      <c r="F29" s="362">
        <f>Thesis!F29</f>
        <v>0.35</v>
      </c>
    </row>
    <row r="30" spans="2:6" x14ac:dyDescent="0.15">
      <c r="B30" s="1" t="s">
        <v>450</v>
      </c>
      <c r="C30" s="311">
        <f>C157</f>
        <v>11.170231895447881</v>
      </c>
      <c r="D30" s="311" t="str">
        <f>D157</f>
        <v/>
      </c>
      <c r="E30" s="307" t="s">
        <v>454</v>
      </c>
      <c r="F30" s="224">
        <f>Thesis!F30</f>
        <v>0.25</v>
      </c>
    </row>
    <row r="31" spans="2:6" x14ac:dyDescent="0.15">
      <c r="B31" s="1" t="s">
        <v>451</v>
      </c>
      <c r="C31" s="311">
        <f>C165</f>
        <v>17.166894923654333</v>
      </c>
      <c r="D31" s="311" t="str">
        <f>D165</f>
        <v/>
      </c>
      <c r="E31" s="307" t="s">
        <v>491</v>
      </c>
      <c r="F31" s="224">
        <f>Thesis!F31</f>
        <v>7.4999999999999997E-2</v>
      </c>
    </row>
    <row r="32" spans="2:6" x14ac:dyDescent="0.15">
      <c r="B32" s="1" t="s">
        <v>452</v>
      </c>
      <c r="C32" s="311">
        <f>C173</f>
        <v>15.367684638411601</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1000000</v>
      </c>
    </row>
    <row r="40" spans="1:6" x14ac:dyDescent="0.15">
      <c r="B40" s="371" t="s">
        <v>494</v>
      </c>
      <c r="C40" s="371"/>
      <c r="D40" s="371"/>
      <c r="E40" s="371"/>
      <c r="F40" s="371"/>
    </row>
    <row r="41" spans="1:6" x14ac:dyDescent="0.15">
      <c r="B41" s="47" t="s">
        <v>228</v>
      </c>
      <c r="C41" s="349">
        <f>Normalized_FCF!C8</f>
        <v>553.11898834421322</v>
      </c>
      <c r="D41" s="1" t="str">
        <f>Reporting_currency</f>
        <v>USD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USD</v>
      </c>
    </row>
    <row r="45" spans="1:6" x14ac:dyDescent="0.15">
      <c r="B45" s="52" t="s">
        <v>231</v>
      </c>
      <c r="C45" s="349">
        <f>Normalized_FCF!C10</f>
        <v>0</v>
      </c>
      <c r="D45" s="1" t="str">
        <f>Reporting_currency</f>
        <v>USD</v>
      </c>
    </row>
    <row r="47" spans="1:6" x14ac:dyDescent="0.15">
      <c r="B47" s="371" t="s">
        <v>496</v>
      </c>
      <c r="C47" s="371"/>
      <c r="D47" s="371"/>
      <c r="E47" s="371"/>
      <c r="F47" s="371"/>
    </row>
    <row r="48" spans="1:6" x14ac:dyDescent="0.15">
      <c r="B48" s="47" t="s">
        <v>233</v>
      </c>
      <c r="C48" s="349">
        <f>Normalized_FCF!C11</f>
        <v>0</v>
      </c>
      <c r="D48" s="1" t="str">
        <f>Reporting_currency</f>
        <v>USD</v>
      </c>
    </row>
    <row r="50" spans="2:6" x14ac:dyDescent="0.15">
      <c r="B50" s="371" t="s">
        <v>497</v>
      </c>
      <c r="C50" s="371"/>
      <c r="D50" s="371"/>
      <c r="E50" s="371"/>
      <c r="F50" s="371"/>
    </row>
    <row r="51" spans="2:6" x14ac:dyDescent="0.15">
      <c r="B51" s="47" t="s">
        <v>331</v>
      </c>
      <c r="C51" s="350">
        <f>Normalized_FCF!C48</f>
        <v>7.040484682543668</v>
      </c>
      <c r="D51" s="1" t="str">
        <f>Reporting_currency</f>
        <v>USD</v>
      </c>
      <c r="E51" s="286"/>
      <c r="F51" s="286"/>
    </row>
    <row r="52" spans="2:6" x14ac:dyDescent="0.15">
      <c r="B52" s="47" t="s">
        <v>332</v>
      </c>
      <c r="C52" s="350">
        <f>Normalized_FCF!C47</f>
        <v>-152</v>
      </c>
      <c r="D52" s="1" t="str">
        <f>Reporting_currency</f>
        <v>USD</v>
      </c>
      <c r="E52" s="286"/>
      <c r="F52" s="286"/>
    </row>
    <row r="53" spans="2:6" x14ac:dyDescent="0.15">
      <c r="B53" s="47" t="s">
        <v>234</v>
      </c>
      <c r="C53" s="349">
        <f>Normalized_FCF!C12</f>
        <v>-144.95951531745632</v>
      </c>
      <c r="D53" s="1" t="str">
        <f>Reporting_currency</f>
        <v>USD</v>
      </c>
    </row>
    <row r="55" spans="2:6" x14ac:dyDescent="0.15">
      <c r="B55" s="1" t="s">
        <v>498</v>
      </c>
    </row>
    <row r="56" spans="2:6" x14ac:dyDescent="0.15">
      <c r="B56" s="47" t="s">
        <v>261</v>
      </c>
      <c r="C56" s="349">
        <f>Normalized_FCF!C15</f>
        <v>-32.451765153160977</v>
      </c>
      <c r="D56" s="1" t="str">
        <f>Reporting_currency</f>
        <v>USD</v>
      </c>
    </row>
    <row r="58" spans="2:6" x14ac:dyDescent="0.15">
      <c r="B58" s="371" t="s">
        <v>237</v>
      </c>
      <c r="C58" s="371"/>
      <c r="D58" s="371"/>
      <c r="E58" s="371"/>
      <c r="F58" s="371"/>
    </row>
    <row r="59" spans="2:6" x14ac:dyDescent="0.15">
      <c r="B59" s="47" t="s">
        <v>235</v>
      </c>
      <c r="C59" s="349">
        <f>Normalized_FCF!C14</f>
        <v>-102.03986825668923</v>
      </c>
      <c r="D59" s="1" t="str">
        <f>Reporting_currency</f>
        <v>USD</v>
      </c>
    </row>
    <row r="61" spans="2:6" x14ac:dyDescent="0.15">
      <c r="B61" s="371" t="s">
        <v>499</v>
      </c>
      <c r="C61" s="374"/>
      <c r="D61" s="374"/>
      <c r="E61" s="374"/>
      <c r="F61" s="374"/>
    </row>
    <row r="62" spans="2:6" x14ac:dyDescent="0.15">
      <c r="B62" s="47" t="s">
        <v>238</v>
      </c>
      <c r="C62" s="349">
        <f>Normalized_FCF!C17</f>
        <v>0</v>
      </c>
      <c r="D62" s="1" t="str">
        <f>Reporting_currency</f>
        <v>USD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342.24048468254358</v>
      </c>
      <c r="D67" s="1" t="str">
        <f>Reporting_currency</f>
        <v>USD</v>
      </c>
    </row>
    <row r="68" spans="1:6" x14ac:dyDescent="0.15">
      <c r="B68" s="47" t="s">
        <v>244</v>
      </c>
      <c r="C68" s="349">
        <f>Normalized_FCF!C19</f>
        <v>273.66783961690669</v>
      </c>
      <c r="D68" s="1" t="str">
        <f>Reporting_currency</f>
        <v>USD</v>
      </c>
    </row>
    <row r="69" spans="1:6" x14ac:dyDescent="0.15">
      <c r="B69" s="227" t="s">
        <v>371</v>
      </c>
      <c r="C69" s="92">
        <f>Normalized_FCF!C126</f>
        <v>9.0237541151853243E-2</v>
      </c>
      <c r="F69" s="314"/>
    </row>
    <row r="70" spans="1:6" x14ac:dyDescent="0.15">
      <c r="B70" s="227" t="s">
        <v>434</v>
      </c>
      <c r="C70" s="92">
        <f>Normalized_FCF!C94</f>
        <v>4.8979018012783253E-2</v>
      </c>
      <c r="E70" s="47" t="s">
        <v>503</v>
      </c>
      <c r="F70" s="315">
        <f>Normalized_FCF!C92</f>
        <v>4.259998864845338</v>
      </c>
    </row>
    <row r="72" spans="1:6" x14ac:dyDescent="0.15">
      <c r="B72" s="210" t="s">
        <v>513</v>
      </c>
      <c r="C72" s="323" t="s">
        <v>429</v>
      </c>
      <c r="D72" s="323" t="s">
        <v>504</v>
      </c>
    </row>
    <row r="73" spans="1:6" x14ac:dyDescent="0.15">
      <c r="B73" s="47" t="s">
        <v>428</v>
      </c>
      <c r="C73" s="92">
        <f>Normalized_FCF!C121</f>
        <v>0.26418088869045758</v>
      </c>
      <c r="D73" s="92">
        <f>Normalized_FCF!G121</f>
        <v>0.31549545934145212</v>
      </c>
    </row>
    <row r="74" spans="1:6" x14ac:dyDescent="0.15">
      <c r="B74" s="259" t="str">
        <f>Normalized_FCF!B118</f>
        <v>Pre-tax Profit/Sales</v>
      </c>
      <c r="C74" s="322">
        <f>Normalized_FCF!C118</f>
        <v>0.11373780109980408</v>
      </c>
      <c r="D74" s="322">
        <f>Normalized_FCF!G118</f>
        <v>0.1358302638027486</v>
      </c>
    </row>
    <row r="75" spans="1:6" x14ac:dyDescent="0.15">
      <c r="B75" s="259" t="str">
        <f>Normalized_FCF!B119</f>
        <v>Sales/Total Assets</v>
      </c>
      <c r="C75" s="324">
        <f>Normalized_FCF!C119</f>
        <v>0.70652858717908329</v>
      </c>
      <c r="D75" s="324">
        <f>Normalized_FCF!G119</f>
        <v>0.70652858717908329</v>
      </c>
    </row>
    <row r="76" spans="1:6" x14ac:dyDescent="0.15">
      <c r="B76" s="259" t="str">
        <f>Normalized_FCF!B120</f>
        <v>Total Assets/Equity</v>
      </c>
      <c r="C76" s="324">
        <f>Normalized_FCF!C120</f>
        <v>3.2875080906148866</v>
      </c>
      <c r="D76" s="324">
        <f>Normalized_FCF!G120</f>
        <v>3.2875080906148866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20.706507776311931</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2323</v>
      </c>
      <c r="D102" s="1" t="str">
        <f>Reporting_currency</f>
        <v>USD</v>
      </c>
    </row>
    <row r="103" spans="2:6" x14ac:dyDescent="0.15">
      <c r="B103" s="47" t="s">
        <v>276</v>
      </c>
      <c r="C103" s="223">
        <f>C102*scaling_factor*Exchange_Rate/Common_Shares</f>
        <v>13.182372186582189</v>
      </c>
      <c r="D103" s="1" t="str">
        <f>Market_currency</f>
        <v>HKD</v>
      </c>
    </row>
    <row r="104" spans="2:6" x14ac:dyDescent="0.15">
      <c r="B104" s="296" t="s">
        <v>384</v>
      </c>
      <c r="C104" s="325">
        <f>IF(BS!G31/BS!G27&gt;300%,"nm",BS!G31/BS!G27)</f>
        <v>1.5035598705501618</v>
      </c>
    </row>
    <row r="105" spans="2:6" x14ac:dyDescent="0.15">
      <c r="B105" s="296" t="s">
        <v>386</v>
      </c>
      <c r="C105" s="326">
        <f>IF(BS!C50&gt;30,"nm",BS!C50)</f>
        <v>4.1998196571663646</v>
      </c>
    </row>
    <row r="107" spans="2:6" x14ac:dyDescent="0.15">
      <c r="B107" s="1" t="s">
        <v>514</v>
      </c>
    </row>
    <row r="108" spans="2:6" x14ac:dyDescent="0.15">
      <c r="B108" s="47" t="s">
        <v>260</v>
      </c>
      <c r="C108" s="349">
        <f>BS!C66</f>
        <v>676.3</v>
      </c>
      <c r="D108" s="1" t="str">
        <f>Reporting_currency</f>
        <v>USD</v>
      </c>
    </row>
    <row r="109" spans="2:6" x14ac:dyDescent="0.15">
      <c r="B109" s="47" t="s">
        <v>262</v>
      </c>
      <c r="C109" s="349">
        <f>DCF!C8</f>
        <v>326.19119185262622</v>
      </c>
      <c r="D109" s="1" t="str">
        <f>Reporting_currency</f>
        <v>USD</v>
      </c>
    </row>
    <row r="110" spans="2:6" x14ac:dyDescent="0.15">
      <c r="B110" s="47" t="s">
        <v>277</v>
      </c>
      <c r="C110" s="223">
        <f>C109*scaling_factor*Exchange_Rate/Common_Shares</f>
        <v>1.8510433469591712</v>
      </c>
      <c r="D110" s="1" t="str">
        <f>Market_currency</f>
        <v>HKD</v>
      </c>
    </row>
    <row r="112" spans="2:6" x14ac:dyDescent="0.15">
      <c r="B112" s="1" t="s">
        <v>515</v>
      </c>
    </row>
    <row r="113" spans="1:6" x14ac:dyDescent="0.15">
      <c r="B113" s="47" t="s">
        <v>253</v>
      </c>
      <c r="C113" s="349">
        <f>DCF!C9</f>
        <v>0</v>
      </c>
      <c r="D113" s="1" t="str">
        <f>Reporting_currency</f>
        <v>USD</v>
      </c>
    </row>
    <row r="114" spans="1:6" x14ac:dyDescent="0.15">
      <c r="B114" s="47" t="s">
        <v>278</v>
      </c>
      <c r="C114" s="223">
        <f>C113*scaling_factor*Exchange_Rate/Common_Shares</f>
        <v>0</v>
      </c>
      <c r="D114" s="1" t="str">
        <f>Market_currency</f>
        <v>HKD</v>
      </c>
    </row>
    <row r="116" spans="1:6" x14ac:dyDescent="0.15">
      <c r="B116" s="370" t="s">
        <v>516</v>
      </c>
      <c r="C116" s="370"/>
      <c r="D116" s="370"/>
      <c r="E116" s="370"/>
      <c r="F116" s="370"/>
    </row>
    <row r="118" spans="1:6" x14ac:dyDescent="0.15">
      <c r="B118" s="47" t="s">
        <v>517</v>
      </c>
      <c r="C118" s="223">
        <f>IF(valuation_method="DCF",DCF!C12,DDM!C7)</f>
        <v>9.3751789366889131</v>
      </c>
      <c r="D118" s="1" t="str">
        <f>Market_currency</f>
        <v>HKD</v>
      </c>
    </row>
    <row r="119" spans="1:6" x14ac:dyDescent="0.15">
      <c r="B119" s="296" t="s">
        <v>550</v>
      </c>
      <c r="C119" s="223">
        <f>BS!D47</f>
        <v>-12.27577908260958</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0.25</v>
      </c>
      <c r="D126" s="230">
        <f>DCF!D74</f>
        <v>15</v>
      </c>
      <c r="E126" s="231" t="str">
        <f>ROUND(IF(valuation_method="DCF",DCF!E74,DDM!E69),2)&amp;" "&amp;Market_currency</f>
        <v>92.88 HKD</v>
      </c>
      <c r="F126" s="232">
        <f>DCF!F74</f>
        <v>0.05</v>
      </c>
    </row>
    <row r="127" spans="1:6" x14ac:dyDescent="0.15">
      <c r="B127" s="218" t="str">
        <f>DCF!B75</f>
        <v>Optimistic</v>
      </c>
      <c r="C127" s="219">
        <f>DCF!C75</f>
        <v>0.15</v>
      </c>
      <c r="D127" s="220">
        <f>DCF!D75</f>
        <v>10</v>
      </c>
      <c r="E127" s="231" t="str">
        <f>ROUND(IF(valuation_method="DCF",DCF!E75,DDM!E70),2)&amp;" "&amp;Market_currency</f>
        <v>23.15 HKD</v>
      </c>
      <c r="F127" s="221">
        <f>DCF!F75</f>
        <v>0.18</v>
      </c>
    </row>
    <row r="128" spans="1:6" x14ac:dyDescent="0.15">
      <c r="B128" s="218" t="str">
        <f>DCF!B76</f>
        <v>Base</v>
      </c>
      <c r="C128" s="219">
        <f>DCF!C76</f>
        <v>0.06</v>
      </c>
      <c r="D128" s="220">
        <f>DCF!D76</f>
        <v>10</v>
      </c>
      <c r="E128" s="231" t="str">
        <f>ROUND(IF(valuation_method="DCF",DCF!E76,DDM!E71),2)&amp;" "&amp;Market_currency</f>
        <v>13.7 HKD</v>
      </c>
      <c r="F128" s="221">
        <f>DCF!F76</f>
        <v>0.53999999999999992</v>
      </c>
    </row>
    <row r="129" spans="1:6" x14ac:dyDescent="0.15">
      <c r="B129" s="218" t="str">
        <f>DCF!B77</f>
        <v>Pessimistic</v>
      </c>
      <c r="C129" s="219">
        <f>DCF!C77</f>
        <v>0.02</v>
      </c>
      <c r="D129" s="220">
        <f>DCF!D77</f>
        <v>10</v>
      </c>
      <c r="E129" s="231" t="str">
        <f>ROUND(IF(valuation_method="DCF",DCF!E77,DDM!E72),2)&amp;" "&amp;Market_currency</f>
        <v>10.68 HKD</v>
      </c>
      <c r="F129" s="221">
        <f>DCF!F77</f>
        <v>0.18</v>
      </c>
    </row>
    <row r="130" spans="1:6" x14ac:dyDescent="0.15">
      <c r="B130" s="218" t="str">
        <f>DCF!B78</f>
        <v>Devil's advocate</v>
      </c>
      <c r="C130" s="219">
        <f>DCF!C78</f>
        <v>0</v>
      </c>
      <c r="D130" s="220">
        <f>DCF!D78</f>
        <v>15</v>
      </c>
      <c r="E130" s="231" t="str">
        <f>ROUND(IF(valuation_method="DCF",DCF!E78,DDM!E73),2)&amp;" "&amp;Market_currency</f>
        <v>9.38 HKD</v>
      </c>
      <c r="F130" s="221">
        <f>DCF!F78</f>
        <v>0.05</v>
      </c>
    </row>
    <row r="132" spans="1:6" x14ac:dyDescent="0.15">
      <c r="B132" s="211" t="s">
        <v>254</v>
      </c>
      <c r="C132" s="217">
        <f>Scenarios!C60</f>
        <v>18.603192739546643</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0.84292889999999987</v>
      </c>
      <c r="D143" s="212" t="str">
        <f>Market_currency</f>
        <v>HKD</v>
      </c>
    </row>
    <row r="145" spans="2:4" x14ac:dyDescent="0.15">
      <c r="B145" s="210" t="s">
        <v>531</v>
      </c>
      <c r="C145" s="241" t="str">
        <f>C11</f>
        <v>1910.HK</v>
      </c>
      <c r="D145" s="241" t="str">
        <f>IF(D11="","",D11)</f>
        <v/>
      </c>
    </row>
    <row r="146" spans="2:4" x14ac:dyDescent="0.15">
      <c r="B146" s="1" t="s">
        <v>387</v>
      </c>
      <c r="C146" s="297">
        <f>F29</f>
        <v>0.35</v>
      </c>
    </row>
    <row r="147" spans="2:4" x14ac:dyDescent="0.15">
      <c r="B147" s="212" t="str">
        <f>"PV("&amp;C141&amp;" yrs of Dividends)"</f>
        <v>PV(3 yrs of Dividends)</v>
      </c>
      <c r="C147" s="216">
        <f>Scenarios!C81</f>
        <v>1.4295060042676422</v>
      </c>
    </row>
    <row r="148" spans="2:4" x14ac:dyDescent="0.15">
      <c r="B148" s="212" t="str">
        <f>"+ PV(Equity Value realized at year "&amp;C141&amp;")"</f>
        <v>+ PV(Equity Value realized at year 3)</v>
      </c>
      <c r="C148" s="216">
        <f>Scenarios!C82</f>
        <v>7.561120861473003</v>
      </c>
    </row>
    <row r="149" spans="2:4" x14ac:dyDescent="0.15">
      <c r="B149" s="80" t="s">
        <v>256</v>
      </c>
      <c r="C149" s="215">
        <f>Scenarios!C83</f>
        <v>8.9906268657406443</v>
      </c>
      <c r="D149" s="300" t="str">
        <f>IF($D$11="","",C149*$E$25)</f>
        <v/>
      </c>
    </row>
    <row r="150" spans="2:4" x14ac:dyDescent="0.15">
      <c r="B150" s="259" t="s">
        <v>532</v>
      </c>
      <c r="C150" s="298" t="str">
        <f>Market_currency</f>
        <v>HKD</v>
      </c>
      <c r="D150" s="298" t="str">
        <f>IF($D$11="","",D$13)</f>
        <v/>
      </c>
    </row>
    <row r="151" spans="2:4" x14ac:dyDescent="0.15">
      <c r="B151" s="214" t="s">
        <v>533</v>
      </c>
      <c r="C151" s="92">
        <f>Scenarios!F83</f>
        <v>0.51671592120698828</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1.6453972127999998</v>
      </c>
    </row>
    <row r="156" spans="2:4" x14ac:dyDescent="0.15">
      <c r="B156" s="212" t="str">
        <f>"+ PV(Equity Value realized at year "&amp;C141&amp;")"</f>
        <v>+ PV(Equity Value realized at year 3)</v>
      </c>
      <c r="C156" s="216">
        <f>Scenarios!C92</f>
        <v>9.5248346826478816</v>
      </c>
    </row>
    <row r="157" spans="2:4" x14ac:dyDescent="0.15">
      <c r="B157" s="80" t="s">
        <v>256</v>
      </c>
      <c r="C157" s="215">
        <f>Scenarios!C93</f>
        <v>11.170231895447881</v>
      </c>
      <c r="D157" s="300" t="str">
        <f>IF($D$11="","",C157*$E$25)</f>
        <v/>
      </c>
    </row>
    <row r="158" spans="2:4" x14ac:dyDescent="0.15">
      <c r="B158" s="259" t="s">
        <v>532</v>
      </c>
      <c r="C158" s="298" t="str">
        <f>Market_currency</f>
        <v>HKD</v>
      </c>
      <c r="D158" s="298" t="str">
        <f>IF($D$11="","",D$13)</f>
        <v/>
      </c>
    </row>
    <row r="159" spans="2:4" x14ac:dyDescent="0.15">
      <c r="B159" s="214" t="s">
        <v>533</v>
      </c>
      <c r="C159" s="92">
        <f>Scenarios!F93</f>
        <v>0.39955296642698235</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2.1920583013319566</v>
      </c>
    </row>
    <row r="164" spans="2:4" x14ac:dyDescent="0.15">
      <c r="B164" s="212" t="str">
        <f>"+ PV(Equity Value realized at year "&amp;C141&amp;")"</f>
        <v>+ PV(Equity Value realized at year 3)</v>
      </c>
      <c r="C164" s="216">
        <f>Scenarios!C98</f>
        <v>14.974836622322377</v>
      </c>
    </row>
    <row r="165" spans="2:4" x14ac:dyDescent="0.15">
      <c r="B165" s="80" t="s">
        <v>382</v>
      </c>
      <c r="C165" s="215">
        <f>Scenarios!C99</f>
        <v>17.166894923654333</v>
      </c>
      <c r="D165" s="300" t="str">
        <f>IF($D$11="","",C165*$E$25)</f>
        <v/>
      </c>
    </row>
    <row r="166" spans="2:4" x14ac:dyDescent="0.15">
      <c r="B166" s="259" t="s">
        <v>532</v>
      </c>
      <c r="C166" s="298" t="str">
        <f>Market_currency</f>
        <v>HKD</v>
      </c>
      <c r="D166" s="298" t="str">
        <f>IF($D$11="","",D$13)</f>
        <v/>
      </c>
    </row>
    <row r="167" spans="2:4" x14ac:dyDescent="0.15">
      <c r="B167" s="214" t="s">
        <v>533</v>
      </c>
      <c r="C167" s="92">
        <f>Scenarios!F99</f>
        <v>7.7207059884888962E-2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2.0336528990840268</v>
      </c>
    </row>
    <row r="172" spans="2:4" x14ac:dyDescent="0.15">
      <c r="B172" s="212" t="str">
        <f>"+ PV(Equity Value realized at year "&amp;C141&amp;")"</f>
        <v>+ PV(Equity Value realized at year 3)</v>
      </c>
      <c r="C172" s="216">
        <f>Scenarios!C104</f>
        <v>13.334031739327575</v>
      </c>
    </row>
    <row r="173" spans="2:4" x14ac:dyDescent="0.15">
      <c r="B173" s="80" t="s">
        <v>382</v>
      </c>
      <c r="C173" s="215">
        <f>Scenarios!C105</f>
        <v>15.367684638411601</v>
      </c>
      <c r="D173" s="300" t="str">
        <f>IF($D$11="","",C173*$E$25)</f>
        <v/>
      </c>
    </row>
    <row r="174" spans="2:4" x14ac:dyDescent="0.15">
      <c r="B174" s="259" t="s">
        <v>532</v>
      </c>
      <c r="C174" s="298" t="str">
        <f>Market_currency</f>
        <v>HKD</v>
      </c>
      <c r="D174" s="298" t="str">
        <f>IF($D$11="","",D$13)</f>
        <v/>
      </c>
    </row>
    <row r="175" spans="2:4" x14ac:dyDescent="0.15">
      <c r="B175" s="214" t="s">
        <v>533</v>
      </c>
      <c r="C175" s="92">
        <f>Scenarios!F105</f>
        <v>0.17160030667313708</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