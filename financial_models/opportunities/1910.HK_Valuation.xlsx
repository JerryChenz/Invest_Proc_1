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5732D67-50CA-480B-890D-3138A8022C5A}"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83" i="2"/>
  <c r="C78" i="2"/>
  <c r="C66" i="2"/>
  <c r="C67" i="2"/>
  <c r="C68" i="2"/>
  <c r="C53" i="2"/>
  <c r="C54" i="2"/>
  <c r="C33" i="2"/>
  <c r="C34" i="2"/>
  <c r="C28" i="2"/>
  <c r="C29" i="2"/>
  <c r="C4" i="2"/>
  <c r="C27" i="3"/>
  <c r="C19" i="3"/>
  <c r="C23" i="3"/>
  <c r="C6" i="4"/>
  <c r="D6" i="4"/>
  <c r="E6" i="4"/>
  <c r="F6" i="4"/>
  <c r="G6" i="4"/>
  <c r="C7" i="4"/>
  <c r="C25" i="4"/>
  <c r="D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<sst xmlns="http://schemas.openxmlformats.org/spreadsheetml/2006/main" count="589" uniqueCount="416">
  <si>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</si>
  <si>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</si>
  <si>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</si>
  <si>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</si>
  <si>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</si>
  <si>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</si>
  <si>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</si>
  <si>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</si>
  <si>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</si>
  <si>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</si>
  <si>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</si>
  <si>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</si>
  <si>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</si>
  <si>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</si>
  <si>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</si>
  <si>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</si>
  <si>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</si>
  <si>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</si>
  <si>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</si>
  <si>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</si>
  <si>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</si>
  <si>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</si>
  <si>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</si>
  <si>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</si>
  <si>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</si>
  <si>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</si>
  <si>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</si>
  <si>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</si>
  <si>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</si>
  <si>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</si>
  <si>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</si>
  <si>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</si>
  <si>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</si>
  <si>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</si>
  <si>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</si>
  <si>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</si>
  <si>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</si>
  <si>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</si>
  <si>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</si>
  <si>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</si>
  <si>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</si>
  <si>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</si>
  <si>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</si>
  <si>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</si>
  <si>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</si>
  <si>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</si>
  <si>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</si>
  <si>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</si>
  <si>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</si>
  <si>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</si>
  <si>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</si>
  <si>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</si>
  <si>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</si>
  <si>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</si>
  <si>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</si>
  <si>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</si>
  <si>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</si>
  <si>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</si>
  <si>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</si>
  <si>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</si>
  <si>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</si>
  <si>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</si>
  <si>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</si>
  <si>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</si>
  <si>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</si>
  <si>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</si>
  <si>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</si>
  <si>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</si>
  <si>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</si>
  <si>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</si>
  <si>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</si>
  <si>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</si>
  <si>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</si>
  <si>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</si>
  <si>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</si>
  <si>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</si>
  <si>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</si>
  <si>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</si>
  <si>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</si>
  <si>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</si>
  <si>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</si>
  <si>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</si>
  <si>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</si>
  <si>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</si>
  <si>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</si>
  <si>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</si>
  <si>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</si>
  <si>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</si>
  <si>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</si>
  <si>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</si>
  <si>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</si>
  <si>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</si>
  <si>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</si>
  <si>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</si>
  <si>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</si>
  <si>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</si>
  <si>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</si>
  <si>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</si>
  <si>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</si>
  <si>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</si>
  <si>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</si>
  <si>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</si>
  <si>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</si>
  <si>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</si>
  <si>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</si>
  <si>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</si>
  <si>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</si>
  <si>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</si>
  <si>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</si>
  <si>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</si>
  <si>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</si>
  <si>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</si>
  <si>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</si>
  <si>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</si>
  <si>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</si>
  <si>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</si>
  <si>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</si>
  <si>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</si>
  <si>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</si>
  <si>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</si>
  <si>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</si>
  <si>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</si>
  <si>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</si>
  <si>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</si>
  <si>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</si>
  <si>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</si>
  <si>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</si>
  <si>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</si>
  <si>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</si>
  <si>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</si>
  <si>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</si>
  <si>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</si>
  <si>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</si>
  <si>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</si>
  <si>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</si>
  <si>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</si>
  <si>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</si>
  <si>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</si>
  <si>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</si>
  <si>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</si>
  <si>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</si>
  <si>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</si>
  <si>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</si>
  <si>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</si>
  <si>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</si>
  <si>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</si>
  <si>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</si>
  <si>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</si>
  <si>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</si>
  <si>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</si>
  <si>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</si>
  <si>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</si>
  <si>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</si>
  <si>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</si>
  <si>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</si>
  <si>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</si>
  <si>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</si>
  <si>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</si>
  <si>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</si>
  <si>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</si>
  <si>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</si>
  <si>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</si>
  <si>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</si>
  <si>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</si>
  <si>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</si>
  <si>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</si>
  <si>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</si>
  <si>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</si>
  <si>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</si>
  <si>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</si>
  <si>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</si>
  <si>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</si>
  <si>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</si>
  <si>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</si>
  <si>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</si>
  <si>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</si>
  <si>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</si>
  <si>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</si>
  <si>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</si>
  <si>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</si>
  <si>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</si>
  <si>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</si>
  <si>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</si>
  <si>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</si>
  <si>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</si>
  <si>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</si>
  <si>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</si>
  <si>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</si>
  <si>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</si>
  <si>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</si>
  <si>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</si>
  <si>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</si>
  <si>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</si>
  <si>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</si>
  <si>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</si>
  <si>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</si>
  <si>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</si>
  <si>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</si>
  <si>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</si>
  <si>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</si>
  <si>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</si>
  <si>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</si>
  <si>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</si>
  <si>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</si>
  <si>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</si>
  <si>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</si>
  <si>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</si>
  <si>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</si>
  <si>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</si>
  <si>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</si>
  <si>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</si>
  <si>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</si>
  <si>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</si>
  <si>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</si>
  <si>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</si>
  <si>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</si>
  <si>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</si>
  <si>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</si>
  <si>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</si>
  <si>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</si>
  <si>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</si>
  <si>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</si>
  <si>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</si>
  <si>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</si>
  <si>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</si>
  <si>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</si>
  <si>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</si>
  <si>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</si>
  <si>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</si>
  <si>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</si>
  <si>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</si>
  <si>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</si>
  <si>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</si>
  <si>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</si>
  <si>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</si>
  <si>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</si>
  <si>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</si>
  <si>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</si>
  <si>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</si>
  <si>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</si>
  <si>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</si>
  <si>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</si>
  <si>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</si>
  <si>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</si>
  <si>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</si>
  <si>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</si>
  <si>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</si>
  <si>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</si>
  <si>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</si>
  <si>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</si>
  <si>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</si>
  <si>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</si>
  <si>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</si>
  <si>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</si>
  <si>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</si>
  <si>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</si>
  <si>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</si>
  <si>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</si>
  <si>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</si>
  <si>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</si>
  <si>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</si>
  <si>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</si>
  <si>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</si>
  <si>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</si>
  <si>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</si>
  <si>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</si>
  <si>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</si>
  <si>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</si>
  <si>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</si>
  <si>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</si>
  <si>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</si>
  <si>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</si>
  <si>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</si>
  <si>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</si>
  <si>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</si>
  <si>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</si>
  <si>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</si>
  <si>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</si>
  <si>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</si>
  <si>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</si>
  <si>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</si>
  <si>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</si>
  <si>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</si>
  <si>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</si>
  <si>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</si>
  <si>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</si>
  <si>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</si>
  <si>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</si>
  <si>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</si>
  <si>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</si>
  <si>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</si>
  <si>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</si>
  <si>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</si>
  <si>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</si>
  <si>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</si>
  <si>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</si>
  <si>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</si>
  <si>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</si>
  <si>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</si>
  <si>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</si>
  <si>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</si>
  <si>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</si>
  <si>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</si>
  <si>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</si>
  <si>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</si>
  <si>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</si>
  <si>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</si>
  <si>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</si>
  <si>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</si>
  <si>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</si>
  <si>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</si>
  <si>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</si>
  <si>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</si>
  <si>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</si>
  <si>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</si>
  <si>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</si>
  <si>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</si>
  <si>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</si>
  <si>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</si>
  <si>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</si>
  <si>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</si>
  <si>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</si>
  <si>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</si>
  <si>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</si>
  <si>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</si>
  <si>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</si>
  <si>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</si>
  <si>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</si>
  <si>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</si>
  <si>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</si>
  <si>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</si>
  <si>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</si>
  <si>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</si>
  <si>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</si>
  <si>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</si>
  <si>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</si>
  <si>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</si>
  <si>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</si>
  <si>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</si>
  <si>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</si>
  <si>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</si>
  <si>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</si>
  <si>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</si>
  <si>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</si>
  <si>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</si>
  <si>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</si>
  <si>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</si>
  <si>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</si>
  <si>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</si>
  <si>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</si>
  <si>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</si>
  <si>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</si>
  <si>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</si>
  <si>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</si>
  <si>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</si>
  <si>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</si>
  <si>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</si>
  <si>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</si>
  <si>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</si>
  <si>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</si>
  <si>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</si>
  <si>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</si>
  <si>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</si>
  <si>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</si>
  <si>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</si>
  <si>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</si>
  <si>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</si>
  <si>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</si>
  <si>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</si>
  <si>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</si>
  <si>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</si>
  <si>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</si>
  <si>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</si>
  <si>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</si>
  <si>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</si>
  <si>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</si>
  <si>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</si>
  <si>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</si>
  <si>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</si>
  <si>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</si>
  <si>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</si>
  <si>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</si>
  <si>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</si>
  <si>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</si>
  <si>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</si>
  <si>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</si>
  <si>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</si>
  <si>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</si>
  <si>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</si>
  <si>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</si>
  <si>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</si>
  <si>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</si>
  <si>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</si>
  <si>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</si>
  <si>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</si>
  <si>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</si>
  <si>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</si>
  <si>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</si>
  <si>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</si>
  <si>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</si>
  <si>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</si>
  <si>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</si>
  <si>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</si>
  <si>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</si>
  <si>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</si>
  <si>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</si>
  <si>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</si>
  <si>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</si>
  <si>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</si>
  <si>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</si>
  <si>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新秀麗</t>
    <phoneticPr fontId="2" type="noConversion"/>
  </si>
  <si>
    <t>1910.HK</t>
    <phoneticPr fontId="2" type="noConversion"/>
  </si>
  <si>
    <t>USD</t>
    <phoneticPr fontId="2" type="noConversion"/>
  </si>
  <si>
    <t>CNS_02</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</si>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</sst>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7" sqref="C1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326</v>
      </c>
      <c r="C5" s="333" t="s">
        <v>410</v>
      </c>
      <c r="D5" s="49" t="s">
        <v>411</v>
      </c>
    </row>
    <row r="6" spans="1:10" x14ac:dyDescent="0.35">
      <c r="B6" s="4" t="s">
        <v>96</v>
      </c>
      <c r="C6" s="50">
        <v>13.52</v>
      </c>
      <c r="D6" s="48" t="s">
        <v>41</v>
      </c>
      <c r="E6" s="48"/>
    </row>
    <row r="7" spans="1:10" x14ac:dyDescent="0.35">
      <c r="B7" s="4" t="s">
        <v>0</v>
      </c>
      <c r="C7" s="51">
        <v>1383064083</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18699.026402160001</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High Growth </v>
      </c>
      <c r="E15" s="5"/>
    </row>
    <row r="16" spans="1:10" x14ac:dyDescent="0.35">
      <c r="B16" s="4" t="s">
        <v>359</v>
      </c>
      <c r="C16" s="48" t="s">
        <v>412</v>
      </c>
      <c r="D16" s="32"/>
      <c r="E16" s="5"/>
    </row>
    <row r="17" spans="1:6" x14ac:dyDescent="0.35">
      <c r="B17" s="4" t="s">
        <v>1</v>
      </c>
      <c r="C17" s="50">
        <v>7.7590000000000003</v>
      </c>
      <c r="D17" s="32" t="str">
        <f>IF(C16=D6,D6,C16&amp;"/"&amp;D6)</f>
        <v>USD/HKD</v>
      </c>
      <c r="E17" s="5"/>
    </row>
    <row r="18" spans="1:6" x14ac:dyDescent="0.35">
      <c r="B18" s="2" t="s">
        <v>57</v>
      </c>
      <c r="C18" s="48" t="s">
        <v>413</v>
      </c>
      <c r="E18" s="5"/>
    </row>
    <row r="19" spans="1:6" x14ac:dyDescent="0.35">
      <c r="B19" s="2" t="s">
        <v>280</v>
      </c>
      <c r="C19" s="249">
        <v>0.25</v>
      </c>
      <c r="E19" s="5"/>
    </row>
    <row r="20" spans="1:6" x14ac:dyDescent="0.35">
      <c r="B20" s="2" t="str">
        <f>"Target Buy Price ("&amp;Market_currency&amp;"):"</f>
        <v>Target Buy Price (HKD):</v>
      </c>
      <c r="C20" s="252">
        <f>C129</f>
        <v>10.175590600126672</v>
      </c>
      <c r="D20" s="1" t="s">
        <v>318</v>
      </c>
      <c r="E20" s="330">
        <v>3</v>
      </c>
    </row>
    <row r="21" spans="1:6" x14ac:dyDescent="0.35">
      <c r="B21" s="1" t="s">
        <v>373</v>
      </c>
      <c r="C21" s="280">
        <f ca="1">Scenarios!C87</f>
        <v>0.13057514345777688</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9" t="s">
        <v>238</v>
      </c>
      <c r="C36" s="339"/>
      <c r="D36" s="339"/>
      <c r="E36" s="339"/>
      <c r="F36" s="339"/>
    </row>
    <row r="37" spans="2:6" x14ac:dyDescent="0.35">
      <c r="B37" s="47" t="s">
        <v>239</v>
      </c>
      <c r="C37" s="188">
        <f>Normalized_FCF!C11</f>
        <v>0</v>
      </c>
      <c r="D37" s="1" t="str">
        <f>Reporting_currency</f>
        <v>USD</v>
      </c>
    </row>
    <row r="39" spans="2:6" x14ac:dyDescent="0.35">
      <c r="B39" s="339" t="s">
        <v>242</v>
      </c>
      <c r="C39" s="339"/>
      <c r="D39" s="339"/>
      <c r="E39" s="339"/>
      <c r="F39" s="339"/>
    </row>
    <row r="40" spans="2:6" x14ac:dyDescent="0.35">
      <c r="B40" s="47" t="s">
        <v>352</v>
      </c>
      <c r="C40" s="322">
        <f>Normalized_FCF!C48</f>
        <v>7.0182060826082004</v>
      </c>
      <c r="D40" s="1" t="str">
        <f>Reporting_currency</f>
        <v>USD</v>
      </c>
      <c r="E40" s="321"/>
      <c r="F40" s="321"/>
    </row>
    <row r="41" spans="2:6" x14ac:dyDescent="0.35">
      <c r="B41" s="47" t="s">
        <v>353</v>
      </c>
      <c r="C41" s="322">
        <f>Normalized_FCF!C47</f>
        <v>-152</v>
      </c>
      <c r="D41" s="1" t="str">
        <f>Reporting_currency</f>
        <v>USD</v>
      </c>
      <c r="E41" s="321"/>
      <c r="F41" s="321"/>
    </row>
    <row r="42" spans="2:6" x14ac:dyDescent="0.35">
      <c r="B42" s="47" t="s">
        <v>240</v>
      </c>
      <c r="C42" s="188">
        <f>Normalized_FCF!C12</f>
        <v>-144.9817939173918</v>
      </c>
      <c r="D42" s="1" t="str">
        <f>Reporting_currency</f>
        <v>USD</v>
      </c>
    </row>
    <row r="44" spans="2:6" x14ac:dyDescent="0.35">
      <c r="B44" s="1" t="s">
        <v>248</v>
      </c>
    </row>
    <row r="45" spans="2:6" x14ac:dyDescent="0.35">
      <c r="B45" s="47" t="s">
        <v>268</v>
      </c>
      <c r="C45" s="188">
        <f>Normalized_FCF!C15</f>
        <v>-32.451765153160977</v>
      </c>
      <c r="D45" s="1" t="str">
        <f>Reporting_currency</f>
        <v>USD</v>
      </c>
    </row>
    <row r="47" spans="2:6" x14ac:dyDescent="0.35">
      <c r="B47" s="339" t="s">
        <v>243</v>
      </c>
      <c r="C47" s="339"/>
      <c r="D47" s="339"/>
      <c r="E47" s="339"/>
      <c r="F47" s="339"/>
    </row>
    <row r="48" spans="2:6" x14ac:dyDescent="0.35">
      <c r="B48" s="47" t="s">
        <v>241</v>
      </c>
      <c r="C48" s="188">
        <f>Normalized_FCF!C14</f>
        <v>-102.03429860670536</v>
      </c>
      <c r="D48" s="1" t="str">
        <f>Reporting_currency</f>
        <v>USD</v>
      </c>
    </row>
    <row r="50" spans="1:6" x14ac:dyDescent="0.35">
      <c r="B50" s="339" t="s">
        <v>350</v>
      </c>
      <c r="C50" s="340"/>
      <c r="D50" s="340"/>
      <c r="E50" s="340"/>
      <c r="F50" s="340"/>
    </row>
    <row r="51" spans="1:6" x14ac:dyDescent="0.35">
      <c r="B51" s="47" t="s">
        <v>244</v>
      </c>
      <c r="C51" s="1">
        <f>Normalized_FCF!C17</f>
        <v>0</v>
      </c>
      <c r="D51" s="1" t="str">
        <f>Reporting_currency</f>
        <v>USD</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273</v>
      </c>
      <c r="C56" s="188">
        <f>Normalized_FCF!G19</f>
        <v>342.21820608260811</v>
      </c>
      <c r="D56" s="1" t="str">
        <f>Reporting_currency</f>
        <v>USD</v>
      </c>
    </row>
    <row r="57" spans="1:6" x14ac:dyDescent="0.35">
      <c r="B57" s="47" t="s">
        <v>250</v>
      </c>
      <c r="C57" s="188">
        <f>Normalized_FCF!C19</f>
        <v>273.65113066695511</v>
      </c>
      <c r="D57" s="1" t="str">
        <f>Reporting_currency</f>
        <v>USD</v>
      </c>
    </row>
    <row r="58" spans="1:6" x14ac:dyDescent="0.35">
      <c r="B58" s="254" t="s">
        <v>405</v>
      </c>
      <c r="C58" s="92">
        <f>Normalized_FCF!C125</f>
        <v>0.11354918043217686</v>
      </c>
    </row>
    <row r="59" spans="1:6" x14ac:dyDescent="0.35">
      <c r="B59" s="254" t="s">
        <v>319</v>
      </c>
      <c r="C59" s="92">
        <f>Normalized_FCF!C93</f>
        <v>6.1635843195266271E-2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253</v>
      </c>
      <c r="C76" s="263">
        <v>0</v>
      </c>
    </row>
    <row r="77" spans="1:6" x14ac:dyDescent="0.35">
      <c r="B77" s="47" t="s">
        <v>287</v>
      </c>
      <c r="C77" s="248">
        <f>Valuation_Model!C6*C28*Exchange_Rate/Common_Shares</f>
        <v>19.18981149303789</v>
      </c>
      <c r="D77" s="1" t="str">
        <f>Market_currency</f>
        <v>HKD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255</v>
      </c>
    </row>
    <row r="84" spans="2:6" x14ac:dyDescent="0.35">
      <c r="B84" s="234" t="s">
        <v>232</v>
      </c>
    </row>
    <row r="85" spans="2:6" ht="24.4" customHeight="1" x14ac:dyDescent="0.35">
      <c r="B85" s="338" t="s">
        <v>356</v>
      </c>
      <c r="C85" s="338"/>
      <c r="D85" s="338"/>
      <c r="E85" s="338"/>
      <c r="F85" s="338"/>
    </row>
    <row r="86" spans="2:6" x14ac:dyDescent="0.35">
      <c r="B86" s="47" t="s">
        <v>257</v>
      </c>
      <c r="C86" s="188">
        <f>Valuation_Model!C7</f>
        <v>2323</v>
      </c>
      <c r="D86" s="1" t="str">
        <f>Reporting_currency</f>
        <v>USD</v>
      </c>
    </row>
    <row r="87" spans="2:6" x14ac:dyDescent="0.35">
      <c r="B87" s="47" t="s">
        <v>288</v>
      </c>
      <c r="C87" s="248">
        <f>C86*C28*Exchange_Rate/Common_Shares</f>
        <v>13.032047626386086</v>
      </c>
      <c r="D87" s="1" t="str">
        <f>Market_currency</f>
        <v>HKD</v>
      </c>
    </row>
    <row r="89" spans="2:6" x14ac:dyDescent="0.35">
      <c r="B89" s="1" t="s">
        <v>256</v>
      </c>
    </row>
    <row r="90" spans="2:6" x14ac:dyDescent="0.35">
      <c r="B90" s="47" t="s">
        <v>267</v>
      </c>
      <c r="C90" s="188">
        <f>BS!C66</f>
        <v>676.3</v>
      </c>
      <c r="D90" s="1" t="str">
        <f>Reporting_currency</f>
        <v>USD</v>
      </c>
    </row>
    <row r="91" spans="2:6" x14ac:dyDescent="0.35">
      <c r="B91" s="47" t="s">
        <v>269</v>
      </c>
      <c r="C91" s="188">
        <f>Valuation_Model!C8</f>
        <v>327.29906075971127</v>
      </c>
      <c r="D91" s="1" t="str">
        <f>Reporting_currency</f>
        <v>USD</v>
      </c>
    </row>
    <row r="92" spans="2:6" x14ac:dyDescent="0.35">
      <c r="B92" s="47" t="s">
        <v>289</v>
      </c>
      <c r="C92" s="248">
        <f>C91*C28*Exchange_Rate/Common_Shares</f>
        <v>1.8361502143314641</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290</v>
      </c>
      <c r="C96" s="248">
        <f>C95*C28*Exchange_Rate/Common_Shares</f>
        <v>0</v>
      </c>
      <c r="D96" s="1" t="str">
        <f>Market_currency</f>
        <v>HKD</v>
      </c>
    </row>
    <row r="98" spans="1:6" ht="24.4" customHeight="1" x14ac:dyDescent="0.35">
      <c r="B98" s="338" t="s">
        <v>381</v>
      </c>
      <c r="C98" s="338"/>
      <c r="D98" s="338"/>
      <c r="E98" s="338"/>
      <c r="F98" s="338"/>
    </row>
    <row r="100" spans="1:6" x14ac:dyDescent="0.35">
      <c r="B100" s="47" t="s">
        <v>286</v>
      </c>
      <c r="C100" s="248">
        <f>Valuation_Model!C12</f>
        <v>7.9939140809832665</v>
      </c>
      <c r="D100" s="1" t="str">
        <f>Market_currency</f>
        <v>HKD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86.22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21.07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9.23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7.99 HKD</v>
      </c>
      <c r="F111" s="246">
        <f>Valuation_Model!F78</f>
        <v>0.05</v>
      </c>
    </row>
    <row r="113" spans="1:6" x14ac:dyDescent="0.35">
      <c r="B113" s="235" t="s">
        <v>260</v>
      </c>
      <c r="C113" s="241">
        <f>Scenarios!C60</f>
        <v>16.697180853372405</v>
      </c>
      <c r="D113" s="236" t="str">
        <f>Market_currency</f>
        <v>HKD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0.83331659999999996</v>
      </c>
      <c r="D124" s="236" t="str">
        <f>Market_currency</f>
        <v>HKD</v>
      </c>
    </row>
    <row r="126" spans="1:6" x14ac:dyDescent="0.35">
      <c r="B126" s="234" t="s">
        <v>265</v>
      </c>
    </row>
    <row r="127" spans="1:6" x14ac:dyDescent="0.35">
      <c r="B127" s="236" t="str">
        <f>"PV("&amp;C122&amp;" yrs of Dividends)"</f>
        <v>PV(3 yrs of Dividends)</v>
      </c>
      <c r="C127" s="240">
        <f>Scenarios!C81</f>
        <v>1.6266340031999997</v>
      </c>
    </row>
    <row r="128" spans="1:6" x14ac:dyDescent="0.35">
      <c r="B128" s="236" t="str">
        <f>"+ PV(Equity Value realized at year "&amp;C122&amp;")"</f>
        <v>+ PV(Equity Value realized at year 3)</v>
      </c>
      <c r="C128" s="240">
        <f>Scenarios!C82</f>
        <v>8.5489565969266721</v>
      </c>
    </row>
    <row r="129" spans="1:6" x14ac:dyDescent="0.35">
      <c r="B129" s="80" t="s">
        <v>262</v>
      </c>
      <c r="C129" s="239">
        <f>Scenarios!C83</f>
        <v>10.175590600126672</v>
      </c>
      <c r="D129" s="47" t="str">
        <f>Reporting_currency</f>
        <v>USD</v>
      </c>
    </row>
    <row r="130" spans="1:6" x14ac:dyDescent="0.35">
      <c r="B130" s="238" t="s">
        <v>264</v>
      </c>
      <c r="C130" s="92">
        <f>Scenarios!F83</f>
        <v>0.39058032074489624</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9" sqref="C69"/>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386</v>
      </c>
      <c r="C22" s="181">
        <v>56480</v>
      </c>
      <c r="D22" s="181">
        <v>53420</v>
      </c>
      <c r="E22" s="181">
        <v>27770</v>
      </c>
      <c r="F22" s="181">
        <v>38710</v>
      </c>
      <c r="G22" s="181">
        <v>-11420</v>
      </c>
      <c r="H22" s="181"/>
      <c r="I22" s="181"/>
      <c r="J22" s="181"/>
      <c r="K22" s="181"/>
      <c r="L22" s="181"/>
      <c r="M22" s="181"/>
    </row>
    <row r="23" spans="2:13" x14ac:dyDescent="0.35">
      <c r="B23" s="27" t="s">
        <v>388</v>
      </c>
      <c r="C23" s="181">
        <v>-11150</v>
      </c>
      <c r="D23" s="181">
        <v>-11010</v>
      </c>
      <c r="E23" s="181">
        <v>-6280</v>
      </c>
      <c r="F23" s="181">
        <v>940</v>
      </c>
      <c r="G23" s="181">
        <v>-2610</v>
      </c>
      <c r="H23" s="181"/>
      <c r="I23" s="181"/>
      <c r="J23" s="181"/>
      <c r="K23" s="181"/>
      <c r="L23" s="181"/>
      <c r="M23" s="181"/>
    </row>
    <row r="24" spans="2:13" x14ac:dyDescent="0.35">
      <c r="B24" s="27" t="s">
        <v>387</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0.83331659999999996</v>
      </c>
      <c r="D25" s="39">
        <f>0.1026*Exchange_Rate</f>
        <v>0.79607340000000004</v>
      </c>
      <c r="E25" s="39">
        <v>0</v>
      </c>
      <c r="F25" s="39">
        <v>0</v>
      </c>
      <c r="G25" s="39">
        <v>0</v>
      </c>
      <c r="H25" s="39"/>
      <c r="I25" s="39"/>
      <c r="J25" s="39"/>
      <c r="K25" s="39"/>
      <c r="L25" s="39"/>
      <c r="M25" s="39"/>
    </row>
    <row r="27" spans="2:13" x14ac:dyDescent="0.35">
      <c r="B27" s="16" t="s">
        <v>28</v>
      </c>
      <c r="C27" s="97" t="s">
        <v>414</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408</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0.83331659999999996</v>
      </c>
      <c r="D65" s="73">
        <f t="shared" ref="D65:M65" si="33">IF(D$4="","",D25)</f>
        <v>0.79607340000000004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1476.2</v>
      </c>
      <c r="D46" s="188">
        <f>H29</f>
        <v>-2163.2399999999998</v>
      </c>
      <c r="F46" s="283"/>
    </row>
    <row r="47" spans="2:8" ht="15" customHeight="1" x14ac:dyDescent="0.35">
      <c r="B47" s="1" t="str">
        <f>"Equity per share ("&amp;Market_currency&amp;")"</f>
        <v>Equity per share (HKD)</v>
      </c>
      <c r="C47" s="148">
        <f>C46*H1/Common_Shares*Exchange_Rate</f>
        <v>8.281493201063773</v>
      </c>
      <c r="D47" s="148">
        <f>D46*H1/Common_Shares*Exchange_Rate</f>
        <v>-12.135792814164201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4.6606150928058525E-2</v>
      </c>
      <c r="D62" s="92">
        <f>G28/G29</f>
        <v>4.6606150928058525E-2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676.3</v>
      </c>
      <c r="D66" s="188">
        <f>C66-D75</f>
        <v>327.29906075971127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-342.3941882689731</v>
      </c>
      <c r="D73" s="188">
        <f>(Normalized_FCF!C25+Normalized_FCF!C35-Normalized_FCF!C91)/12</f>
        <v>-349.00093924028869</v>
      </c>
      <c r="F73" s="1" t="s">
        <v>363</v>
      </c>
    </row>
    <row r="74" spans="2:6" ht="15" customHeight="1" x14ac:dyDescent="0.35">
      <c r="B74" s="288" t="s">
        <v>333</v>
      </c>
      <c r="C74" s="289">
        <f>-$C$66/C73</f>
        <v>1.9752087598774368</v>
      </c>
      <c r="D74" s="289">
        <f>-$C$66/D73</f>
        <v>1.9378171344529374</v>
      </c>
      <c r="F74" s="283" t="s">
        <v>330</v>
      </c>
    </row>
    <row r="75" spans="2:6" ht="15" customHeight="1" x14ac:dyDescent="0.35">
      <c r="B75" s="80" t="s">
        <v>331</v>
      </c>
      <c r="C75" s="293"/>
      <c r="D75" s="292">
        <f>MAX(-D73*D76,G5)</f>
        <v>349.00093924028869</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-18024.156999999999</v>
      </c>
      <c r="D86" s="248">
        <f>C86*$H$1/Common_Shares</f>
        <v>-13.032047626386086</v>
      </c>
      <c r="E86" s="269" t="str">
        <f>Market_currency</f>
        <v>HKD</v>
      </c>
    </row>
    <row r="87" spans="2:8" ht="15" customHeight="1" x14ac:dyDescent="0.35">
      <c r="B87" s="267" t="s">
        <v>297</v>
      </c>
      <c r="C87" s="188">
        <f>Valuation_Model!C8*Exchange_Rate</f>
        <v>2539.5134124346</v>
      </c>
      <c r="D87" s="248">
        <f>C87*$H$1/Common_Shares</f>
        <v>1.8361502143314641</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301</v>
      </c>
      <c r="C89" s="187">
        <f>SUM(C86:C88)</f>
        <v>-15484.643587565399</v>
      </c>
      <c r="D89" s="271">
        <f>SUM(D86:D88)</f>
        <v>-11.195897412054622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-144.9817939173918</v>
      </c>
      <c r="E12" s="302"/>
      <c r="G12" s="191">
        <f>G50</f>
        <v>-144.9817939173918</v>
      </c>
      <c r="H12" s="191">
        <f t="shared" ref="H12:Q12" si="6">H50</f>
        <v>-165.62056272196344</v>
      </c>
      <c r="I12" s="191">
        <f t="shared" si="6"/>
        <v>-133.75880782890059</v>
      </c>
      <c r="J12" s="191">
        <f t="shared" si="6"/>
        <v>-167.14223956636843</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408.13719442682145</v>
      </c>
      <c r="E13" s="302"/>
      <c r="G13" s="184">
        <f>IF(G$4="","",SUM(G8:G12))</f>
        <v>487.41820608260809</v>
      </c>
      <c r="H13" s="184">
        <f t="shared" ref="H13:Q13" si="7">IF(H$4="","",SUM(H8:H12))</f>
        <v>497.87943727803679</v>
      </c>
      <c r="I13" s="184">
        <f t="shared" si="7"/>
        <v>286.44119217109926</v>
      </c>
      <c r="J13" s="184">
        <f t="shared" si="7"/>
        <v>-53.542239566368295</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-102.03429860670536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273.65113066695511</v>
      </c>
      <c r="D16" s="61"/>
      <c r="E16" s="310"/>
      <c r="F16" s="61"/>
      <c r="G16" s="184">
        <f>IF(G$4="","",SUM(G13:G15))</f>
        <v>342.21820608260811</v>
      </c>
      <c r="H16" s="184">
        <f t="shared" ref="H16:Q16" si="8">IF(H$4="","",SUM(H13:H15))</f>
        <v>329.97943727803676</v>
      </c>
      <c r="I16" s="184">
        <f t="shared" si="8"/>
        <v>236.54119217109925</v>
      </c>
      <c r="J16" s="184">
        <f t="shared" si="8"/>
        <v>-6.5422395663682913</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273.65113066695511</v>
      </c>
      <c r="D19" s="27"/>
      <c r="E19" s="299"/>
      <c r="F19" s="27"/>
      <c r="G19" s="186">
        <f>IF(G$4="","",G16+G17)</f>
        <v>342.21820608260811</v>
      </c>
      <c r="H19" s="186">
        <f t="shared" ref="H19:Q19" si="9">IF(H$4="","",H16+H17)</f>
        <v>329.97943727803676</v>
      </c>
      <c r="I19" s="186">
        <f t="shared" si="9"/>
        <v>236.54119217109925</v>
      </c>
      <c r="J19" s="186">
        <f t="shared" si="9"/>
        <v>-6.5422395663682913</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345</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345</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345</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0.24270738869354092</v>
      </c>
      <c r="H43" s="6">
        <f t="shared" si="18"/>
        <v>0.2703465737325354</v>
      </c>
      <c r="I43" s="6">
        <f t="shared" si="18"/>
        <v>8.4834167236271449E-2</v>
      </c>
      <c r="J43" s="6">
        <f t="shared" si="18"/>
        <v>1.0496385742388918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7.0182060826082004</v>
      </c>
      <c r="E48" s="302"/>
      <c r="G48" s="328">
        <f>IF(G$4="","",($C$48/$C$49)*G49)</f>
        <v>7.0182060826082004</v>
      </c>
      <c r="H48" s="328">
        <f t="shared" ref="H48:Q48" si="19">IF(H$4="","",($C$48/$C$49)*H49)</f>
        <v>7.3794372780365647</v>
      </c>
      <c r="I48" s="328">
        <f t="shared" si="19"/>
        <v>4.5411921710994241</v>
      </c>
      <c r="J48" s="328">
        <f t="shared" si="19"/>
        <v>1.8577604336315825</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-144.9817939173918</v>
      </c>
      <c r="E50" s="302"/>
      <c r="G50" s="184">
        <f>IF(G$4="","",(G47+G48))</f>
        <v>-144.9817939173918</v>
      </c>
      <c r="H50" s="184">
        <f t="shared" ref="H50:Q50" si="20">IF(H$4="","",(H47+H48))</f>
        <v>-165.62056272196344</v>
      </c>
      <c r="I50" s="184">
        <f t="shared" si="20"/>
        <v>-133.75880782890059</v>
      </c>
      <c r="J50" s="184">
        <f t="shared" si="20"/>
        <v>-167.14223956636843</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347</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348</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366</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4.0400655943095304E-2</v>
      </c>
      <c r="D80" s="27"/>
      <c r="E80" s="299"/>
      <c r="F80" s="27"/>
      <c r="G80" s="6">
        <f t="shared" ref="G80:Q80" si="31">IF(G$4="","",ABS(G12/G$4))</f>
        <v>4.0400655943095304E-2</v>
      </c>
      <c r="H80" s="6">
        <f t="shared" si="31"/>
        <v>4.4976255355736322E-2</v>
      </c>
      <c r="I80" s="6">
        <f t="shared" si="31"/>
        <v>4.6450481951972704E-2</v>
      </c>
      <c r="J80" s="6">
        <f t="shared" si="31"/>
        <v>8.2710926151211617E-2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0.11373159294065135</v>
      </c>
      <c r="D81" s="27"/>
      <c r="E81" s="299"/>
      <c r="F81" s="27"/>
      <c r="G81" s="65">
        <f t="shared" ref="G81:Q81" si="32">IF(G$4="","",G13/G$4)</f>
        <v>0.13582405564359587</v>
      </c>
      <c r="H81" s="65">
        <f t="shared" si="32"/>
        <v>0.13520514807680772</v>
      </c>
      <c r="I81" s="65">
        <f t="shared" si="32"/>
        <v>9.9472562915369933E-2</v>
      </c>
      <c r="J81" s="65">
        <f t="shared" si="32"/>
        <v>-2.6495565897846542E-2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2.8432898235162839E-2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7.6255679280765515E-2</v>
      </c>
      <c r="D84" s="27"/>
      <c r="E84" s="299"/>
      <c r="F84" s="27"/>
      <c r="G84" s="65">
        <f t="shared" ref="G84:Q84" si="35">IF(G$4="","",ABS(G16/G$4))</f>
        <v>9.5362594349497884E-2</v>
      </c>
      <c r="H84" s="65">
        <f t="shared" si="35"/>
        <v>8.9609884118519653E-2</v>
      </c>
      <c r="I84" s="65">
        <f t="shared" si="35"/>
        <v>8.2143767249305208E-2</v>
      </c>
      <c r="J84" s="65">
        <f t="shared" si="35"/>
        <v>3.2374503000634856E-3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7.6255679280765515E-2</v>
      </c>
      <c r="D87" s="75"/>
      <c r="E87" s="299"/>
      <c r="F87" s="75"/>
      <c r="G87" s="65">
        <f t="shared" ref="G87:Q87" si="36">IF(G$4="","",ABS(G19/G$4))</f>
        <v>9.5362594349497884E-2</v>
      </c>
      <c r="H87" s="65">
        <f t="shared" si="36"/>
        <v>8.9609884118519653E-2</v>
      </c>
      <c r="I87" s="65">
        <f t="shared" si="36"/>
        <v>8.2143767249305208E-2</v>
      </c>
      <c r="J87" s="65">
        <f t="shared" si="36"/>
        <v>3.2374503000634856E-3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0.83331659999999996</v>
      </c>
      <c r="E90" s="302"/>
      <c r="G90" s="113">
        <f>Data!C65</f>
        <v>0.83331659999999996</v>
      </c>
      <c r="H90" s="113">
        <f>Data!D65</f>
        <v>0.79607340000000004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1152.5302592276778</v>
      </c>
      <c r="E91" s="302"/>
      <c r="G91" s="74">
        <f t="shared" ref="G91:Q91" si="37">IF(G$4="","",G90*Common_Shares/$C$3)</f>
        <v>1152.5302592276778</v>
      </c>
      <c r="H91" s="74">
        <f t="shared" si="37"/>
        <v>1101.0205269716923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4.2116773149033877</v>
      </c>
      <c r="E92" s="302"/>
      <c r="G92" s="171">
        <f t="shared" ref="G92:Q92" si="38">IF(G$4="","",G90/(G19*$C$3/Common_Shares))</f>
        <v>3.367822748008527</v>
      </c>
      <c r="H92" s="171">
        <f t="shared" si="38"/>
        <v>3.3366337492235472</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6.1635843195266271E-2</v>
      </c>
      <c r="E93" s="302"/>
      <c r="G93" s="23">
        <f t="shared" ref="G93:Q93" si="39">IF(G$4="","",G90/Market_Price)</f>
        <v>6.1635843195266271E-2</v>
      </c>
      <c r="H93" s="23">
        <f t="shared" si="39"/>
        <v>5.8881168639053259E-2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-0.16265500686355161</v>
      </c>
      <c r="D97" s="27"/>
      <c r="E97" s="299"/>
      <c r="F97" s="27"/>
      <c r="G97" s="6">
        <f t="shared" ref="G97:Q97" si="41">IF(H5="","",G13/H13-1)</f>
        <v>-2.1011575116701819E-2</v>
      </c>
      <c r="H97" s="6">
        <f t="shared" si="41"/>
        <v>0.73815586195661265</v>
      </c>
      <c r="I97" s="6">
        <f t="shared" si="41"/>
        <v>-6.3498171628783107</v>
      </c>
      <c r="J97" s="6">
        <f t="shared" si="41"/>
        <v>-0.82816996288071787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406</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407</v>
      </c>
      <c r="C114" s="170"/>
      <c r="E114" s="302"/>
      <c r="G114" s="334">
        <f>IF(G$4="","",Data!C$22/G19)</f>
        <v>165.04089787194513</v>
      </c>
      <c r="H114" s="334">
        <f>IF(H$4="","",Data!D$22/H19)</f>
        <v>161.8888753816164</v>
      </c>
      <c r="I114" s="334">
        <f>IF(I$4="","",Data!E$22/I19)</f>
        <v>117.40027073133588</v>
      </c>
      <c r="J114" s="334">
        <f>IF(J$4="","",Data!F$22/J19)</f>
        <v>-5916.9340418221009</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0.11373159294065135</v>
      </c>
      <c r="E117" s="302"/>
      <c r="G117" s="23">
        <f t="shared" ref="G117:Q117" si="45">G81</f>
        <v>0.13582405564359587</v>
      </c>
      <c r="H117" s="23">
        <f t="shared" si="45"/>
        <v>0.13520514807680772</v>
      </c>
      <c r="I117" s="23">
        <f t="shared" si="45"/>
        <v>9.9472562915369933E-2</v>
      </c>
      <c r="J117" s="23">
        <f t="shared" si="45"/>
        <v>-2.6495565897846542E-2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1.5351849194430311</v>
      </c>
      <c r="D124" s="27"/>
      <c r="E124" s="299"/>
      <c r="F124" s="27"/>
      <c r="G124" s="178">
        <f t="shared" ref="G124:Q124" si="49">IF(G$4="","",G16*$C$3/Common_Shares*Exchange_Rate)</f>
        <v>1.9198467327959354</v>
      </c>
      <c r="H124" s="178">
        <f t="shared" si="49"/>
        <v>1.8511871469373467</v>
      </c>
      <c r="I124" s="178">
        <f t="shared" si="49"/>
        <v>1.3269978828996596</v>
      </c>
      <c r="J124" s="178">
        <f t="shared" si="49"/>
        <v>-3.6702013608325028E-2</v>
      </c>
      <c r="K124" s="178">
        <f t="shared" si="49"/>
        <v>-1.2184936480633048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0.11354918043217686</v>
      </c>
      <c r="D125" s="27"/>
      <c r="E125" s="299"/>
      <c r="F125" s="27"/>
      <c r="G125" s="77">
        <f t="shared" ref="G125" si="50">IF(G$4="","",G124/Market_Price)</f>
        <v>0.14200049798786504</v>
      </c>
      <c r="H125" s="77">
        <f t="shared" ref="H125" si="51">IF(H$4="","",H124/Market_Price)</f>
        <v>0.13692212625276234</v>
      </c>
      <c r="I125" s="77">
        <f t="shared" ref="I125" si="52">IF(I$4="","",I124/Market_Price)</f>
        <v>9.8150730983702639E-2</v>
      </c>
      <c r="J125" s="77">
        <f t="shared" ref="J125" si="53">IF(J$4="","",J124/Market_Price)</f>
        <v>-2.7146459769471177E-3</v>
      </c>
      <c r="K125" s="77">
        <f t="shared" ref="K125" si="54">IF(K$4="","",K124/Market_Price)</f>
        <v>-9.0125269827167523E-2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409</v>
      </c>
      <c r="C126" s="170"/>
      <c r="G126" s="23">
        <f>IF(G$4="","",(Data!C47*$C$3)/(Market_Price*Common_Shares))</f>
        <v>1.9926171127121327E-2</v>
      </c>
      <c r="H126" s="23">
        <f>IF(H$4="","",(Data!D47*$C$3)/(Market_Price*Common_Shares))</f>
        <v>2.4081467682616032E-2</v>
      </c>
      <c r="I126" s="23">
        <f>IF(I$4="","",(Data!E47*$C$3)/(Market_Price*Common_Shares))</f>
        <v>1.8091851026047091E-2</v>
      </c>
      <c r="J126" s="23">
        <f>IF(J$4="","",(Data!F47*$C$3)/(Market_Price*Common_Shares))</f>
        <v>1.2567499234765196E-3</v>
      </c>
      <c r="K126" s="23">
        <f>IF(K$4="","",(Data!G47*$C$3)/(Market_Price*Common_Shares))</f>
        <v>-6.8880591550542866E-2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273.65113066695511</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3420.6391333369388</v>
      </c>
      <c r="D6" t="str">
        <f>Reporting_currency</f>
        <v>USD</v>
      </c>
      <c r="E6" s="344" t="s">
        <v>251</v>
      </c>
      <c r="F6" s="344"/>
      <c r="H6" s="121"/>
    </row>
    <row r="7" spans="2:8" x14ac:dyDescent="0.35">
      <c r="B7" s="149" t="s">
        <v>226</v>
      </c>
      <c r="C7" s="226">
        <f>BS!G31</f>
        <v>2323</v>
      </c>
      <c r="D7" t="str">
        <f>Reporting_currency</f>
        <v>USD</v>
      </c>
      <c r="E7" s="344"/>
      <c r="F7" s="344"/>
      <c r="H7" s="121"/>
    </row>
    <row r="8" spans="2:8" x14ac:dyDescent="0.35">
      <c r="B8" s="149" t="s">
        <v>227</v>
      </c>
      <c r="C8" s="201">
        <f>BS!D66</f>
        <v>327.29906075971127</v>
      </c>
      <c r="D8" t="str">
        <f>Reporting_currency</f>
        <v>USD</v>
      </c>
      <c r="E8" s="344"/>
      <c r="F8" s="344"/>
      <c r="H8" s="121"/>
    </row>
    <row r="9" spans="2:8" x14ac:dyDescent="0.35">
      <c r="B9" s="227" t="s">
        <v>192</v>
      </c>
      <c r="C9" s="229">
        <f>BS!H42</f>
        <v>0</v>
      </c>
      <c r="D9" t="str">
        <f>Reporting_currency</f>
        <v>USD</v>
      </c>
      <c r="E9" s="344"/>
      <c r="F9" s="344"/>
      <c r="H9" s="121"/>
    </row>
    <row r="10" spans="2:8" ht="13.15" x14ac:dyDescent="0.4">
      <c r="B10" s="150" t="s">
        <v>229</v>
      </c>
      <c r="C10" s="232">
        <f>C6-C7+C8+C9</f>
        <v>1424.93819409665</v>
      </c>
      <c r="D10" t="str">
        <f>Reporting_currency</f>
        <v>USD</v>
      </c>
      <c r="H10" s="121"/>
    </row>
    <row r="11" spans="2:8" ht="13.15" thickBot="1" x14ac:dyDescent="0.4">
      <c r="B11" s="230" t="s">
        <v>168</v>
      </c>
      <c r="C11" s="231">
        <f>Exchange_Rate</f>
        <v>7.7590000000000003</v>
      </c>
      <c r="D11" t="str">
        <f>Thesis!D17</f>
        <v>USD/HKD</v>
      </c>
      <c r="H11" s="121"/>
    </row>
    <row r="12" spans="2:8" ht="13.5" thickTop="1" x14ac:dyDescent="0.4">
      <c r="B12" s="150" t="s">
        <v>104</v>
      </c>
      <c r="C12" s="112">
        <f>(C10*C3)/Common_Shares*C11</f>
        <v>7.9939140809832665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16.697520641709705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304.08435893219303</v>
      </c>
      <c r="D21" s="139">
        <f>IF($C$17&lt;B21,0,Valuation_Model!$C$16)</f>
        <v>0.111211776070739</v>
      </c>
      <c r="E21" s="125">
        <f t="shared" ref="E21:E50" si="0">IF($C$17&lt;B21,0,1/(1+Equity_Cost)^B21)</f>
        <v>0.92592592592592582</v>
      </c>
      <c r="F21" s="126">
        <f t="shared" ref="F21:F51" si="1">C21*E21</f>
        <v>281.55959160388238</v>
      </c>
      <c r="H21" s="121"/>
    </row>
    <row r="22" spans="2:8" x14ac:dyDescent="0.35">
      <c r="B22" s="123">
        <v>2</v>
      </c>
      <c r="C22" s="124">
        <f t="shared" ref="C22:C50" si="2">IF(ROW()-ROW($C$21)&lt;$C$17, $C$21*(1+D22)^(ROW()-ROW($C$21)), 0)</f>
        <v>337.90212056437429</v>
      </c>
      <c r="D22" s="139">
        <f>IF($C$17&lt;B22,0,Valuation_Model!$C$16)</f>
        <v>0.111211776070739</v>
      </c>
      <c r="E22" s="125">
        <f t="shared" si="0"/>
        <v>0.85733882030178321</v>
      </c>
      <c r="F22" s="126">
        <f t="shared" si="1"/>
        <v>289.6966054221316</v>
      </c>
      <c r="H22" s="121"/>
    </row>
    <row r="23" spans="2:8" x14ac:dyDescent="0.35">
      <c r="B23" s="123">
        <v>3</v>
      </c>
      <c r="C23" s="124">
        <f t="shared" si="2"/>
        <v>375.48081553040737</v>
      </c>
      <c r="D23" s="139">
        <f>IF($C$17&lt;B23,0,Valuation_Model!$C$16)</f>
        <v>0.111211776070739</v>
      </c>
      <c r="E23" s="125">
        <f t="shared" si="0"/>
        <v>0.79383224102016958</v>
      </c>
      <c r="F23" s="126">
        <f t="shared" si="1"/>
        <v>298.0687772525842</v>
      </c>
      <c r="H23" s="121"/>
    </row>
    <row r="24" spans="2:8" x14ac:dyDescent="0.35">
      <c r="B24" s="123">
        <v>4</v>
      </c>
      <c r="C24" s="124">
        <f t="shared" si="2"/>
        <v>417.23870390603344</v>
      </c>
      <c r="D24" s="139">
        <f>IF($C$17&lt;B24,0,Valuation_Model!$C$16)</f>
        <v>0.111211776070739</v>
      </c>
      <c r="E24" s="125">
        <f t="shared" si="0"/>
        <v>0.73502985279645328</v>
      </c>
      <c r="F24" s="126">
        <f t="shared" si="1"/>
        <v>306.68290311303468</v>
      </c>
      <c r="H24" s="121"/>
    </row>
    <row r="25" spans="2:8" x14ac:dyDescent="0.35">
      <c r="B25" s="123">
        <v>5</v>
      </c>
      <c r="C25" s="124">
        <f t="shared" si="2"/>
        <v>463.64056121287661</v>
      </c>
      <c r="D25" s="139">
        <f>IF($C$17&lt;B25,0,Valuation_Model!$C$16)</f>
        <v>0.111211776070739</v>
      </c>
      <c r="E25" s="125">
        <f t="shared" si="0"/>
        <v>0.68058319703375303</v>
      </c>
      <c r="F25" s="126">
        <f t="shared" si="1"/>
        <v>315.54597542478302</v>
      </c>
      <c r="H25" s="121"/>
    </row>
    <row r="26" spans="2:8" x14ac:dyDescent="0.35">
      <c r="B26" s="123">
        <v>6</v>
      </c>
      <c r="C26" s="124">
        <f t="shared" si="2"/>
        <v>515.2028514837948</v>
      </c>
      <c r="D26" s="139">
        <f>IF($C$17&lt;B26,0,Valuation_Model!$C$16)</f>
        <v>0.111211776070739</v>
      </c>
      <c r="E26" s="125">
        <f t="shared" si="0"/>
        <v>0.63016962688310452</v>
      </c>
      <c r="F26" s="126">
        <f t="shared" si="1"/>
        <v>324.6651886886545</v>
      </c>
      <c r="H26" s="121"/>
    </row>
    <row r="27" spans="2:8" x14ac:dyDescent="0.35">
      <c r="B27" s="123">
        <v>7</v>
      </c>
      <c r="C27" s="124">
        <f t="shared" si="2"/>
        <v>572.49947563401679</v>
      </c>
      <c r="D27" s="139">
        <f>IF($C$17&lt;B27,0,Valuation_Model!$C$16)</f>
        <v>0.111211776070739</v>
      </c>
      <c r="E27" s="125">
        <f t="shared" si="0"/>
        <v>0.58349039526213387</v>
      </c>
      <c r="F27" s="126">
        <f t="shared" si="1"/>
        <v>334.04794532505684</v>
      </c>
      <c r="H27" s="121"/>
    </row>
    <row r="28" spans="2:8" x14ac:dyDescent="0.35">
      <c r="B28" s="123">
        <v>8</v>
      </c>
      <c r="C28" s="124">
        <f t="shared" si="2"/>
        <v>636.16815911884248</v>
      </c>
      <c r="D28" s="139">
        <f>IF($C$17&lt;B28,0,Valuation_Model!$C$16)</f>
        <v>0.111211776070739</v>
      </c>
      <c r="E28" s="125">
        <f t="shared" si="0"/>
        <v>0.54026888450197574</v>
      </c>
      <c r="F28" s="126">
        <f t="shared" si="1"/>
        <v>343.70186168281242</v>
      </c>
      <c r="H28" s="121"/>
    </row>
    <row r="29" spans="2:8" x14ac:dyDescent="0.35">
      <c r="B29" s="123">
        <v>9</v>
      </c>
      <c r="C29" s="124">
        <f t="shared" si="2"/>
        <v>706.91754997410158</v>
      </c>
      <c r="D29" s="139">
        <f>IF($C$17&lt;B29,0,Valuation_Model!$C$16)</f>
        <v>0.111211776070739</v>
      </c>
      <c r="E29" s="125">
        <f t="shared" si="0"/>
        <v>0.50024896713145905</v>
      </c>
      <c r="F29" s="126">
        <f t="shared" si="1"/>
        <v>353.6347742216459</v>
      </c>
      <c r="H29" s="121"/>
    </row>
    <row r="30" spans="2:8" x14ac:dyDescent="0.35">
      <c r="B30" s="123">
        <v>10</v>
      </c>
      <c r="C30" s="124">
        <f t="shared" si="2"/>
        <v>785.53510624229671</v>
      </c>
      <c r="D30" s="139">
        <f>IF($C$17&lt;B30,0,Valuation_Model!$C$16)</f>
        <v>0.111211776070739</v>
      </c>
      <c r="E30" s="125">
        <f t="shared" si="0"/>
        <v>0.46319348808468425</v>
      </c>
      <c r="F30" s="126">
        <f t="shared" si="1"/>
        <v>363.85474587334244</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3801.0544866524128</v>
      </c>
      <c r="D51" s="140">
        <f>Terminal_Growth</f>
        <v>0</v>
      </c>
      <c r="E51" s="125">
        <f>1/(1+Equity_Cost)^C17</f>
        <v>0.46319348808468425</v>
      </c>
      <c r="F51" s="126">
        <f t="shared" si="1"/>
        <v>1760.62368607247</v>
      </c>
      <c r="H51" s="121"/>
    </row>
    <row r="52" spans="1:8" x14ac:dyDescent="0.35">
      <c r="C52" s="115"/>
      <c r="E52" s="128" t="s">
        <v>102</v>
      </c>
      <c r="F52" s="138">
        <f>SUM(F21:F51)</f>
        <v>4972.082054680398</v>
      </c>
      <c r="H52" s="121"/>
    </row>
    <row r="53" spans="1:8" x14ac:dyDescent="0.35">
      <c r="C53" s="115"/>
      <c r="H53" s="121"/>
    </row>
    <row r="54" spans="1:8" ht="13.15" x14ac:dyDescent="0.35">
      <c r="B54" s="120" t="s">
        <v>131</v>
      </c>
      <c r="C54" s="137"/>
      <c r="D54" s="137"/>
      <c r="E54" s="118"/>
      <c r="F54" s="118"/>
      <c r="H54" s="121"/>
    </row>
    <row r="55" spans="1:8" ht="13.15" x14ac:dyDescent="0.4">
      <c r="A55" s="134">
        <f>F52</f>
        <v>4972.082054680398</v>
      </c>
      <c r="B55" s="132">
        <f>C78</f>
        <v>0</v>
      </c>
      <c r="C55" s="132">
        <f>C77</f>
        <v>0.02</v>
      </c>
      <c r="D55" s="132">
        <f>C76</f>
        <v>0.06</v>
      </c>
      <c r="E55" s="132">
        <f>C75</f>
        <v>0.15</v>
      </c>
      <c r="F55" s="132">
        <f>C74</f>
        <v>0.25</v>
      </c>
      <c r="H55" s="121"/>
    </row>
    <row r="56" spans="1:8" ht="13.15" x14ac:dyDescent="0.4">
      <c r="A56" s="144">
        <v>5</v>
      </c>
      <c r="B56" s="124">
        <f t="dataTable" ref="B56:F61" dt2D="1" dtr="1" r1="C16" r2="C17"/>
        <v>3420.6391333369384</v>
      </c>
      <c r="C56" s="124">
        <v>3531.0068579068902</v>
      </c>
      <c r="D56" s="124">
        <v>3761.8037571024543</v>
      </c>
      <c r="E56" s="124">
        <v>4335.6782125871287</v>
      </c>
      <c r="F56" s="124">
        <v>5077.0622693508194</v>
      </c>
      <c r="H56" s="121"/>
    </row>
    <row r="57" spans="1:8" ht="13.15" x14ac:dyDescent="0.4">
      <c r="A57" s="144">
        <v>10</v>
      </c>
      <c r="B57" s="124">
        <v>3420.6391333369374</v>
      </c>
      <c r="C57" s="124">
        <v>3641.4762137103235</v>
      </c>
      <c r="D57" s="124">
        <v>4152.2008764052498</v>
      </c>
      <c r="E57" s="124">
        <v>5750.76227197363</v>
      </c>
      <c r="F57" s="124">
        <v>8648.4053029455135</v>
      </c>
      <c r="H57" s="121"/>
    </row>
    <row r="58" spans="1:8" ht="13.15" x14ac:dyDescent="0.4">
      <c r="A58" s="144">
        <v>15</v>
      </c>
      <c r="B58" s="124">
        <v>3420.6391333369374</v>
      </c>
      <c r="C58" s="124">
        <v>3778.212671799186</v>
      </c>
      <c r="D58" s="124">
        <v>4689.2071759732344</v>
      </c>
      <c r="E58" s="124">
        <v>8276.4780726474928</v>
      </c>
      <c r="F58" s="124">
        <v>17363.962581649124</v>
      </c>
      <c r="H58" s="121"/>
    </row>
    <row r="59" spans="1:8" ht="13.15" x14ac:dyDescent="0.4">
      <c r="A59" s="145">
        <v>20</v>
      </c>
      <c r="B59" s="124">
        <v>3420.6391333369379</v>
      </c>
      <c r="C59" s="124">
        <v>3917.5251945018404</v>
      </c>
      <c r="D59" s="124">
        <v>5301.7853979226393</v>
      </c>
      <c r="E59" s="124">
        <v>12134.520224879314</v>
      </c>
      <c r="F59" s="124">
        <v>36349.332303431212</v>
      </c>
      <c r="H59" s="121"/>
    </row>
    <row r="60" spans="1:8" ht="13.15" x14ac:dyDescent="0.4">
      <c r="A60" s="145">
        <v>25</v>
      </c>
      <c r="B60" s="124">
        <v>3420.6391333369384</v>
      </c>
      <c r="C60" s="124">
        <v>4047.0935710685335</v>
      </c>
      <c r="D60" s="124">
        <v>5943.7487491473357</v>
      </c>
      <c r="E60" s="124">
        <v>17688.420049432039</v>
      </c>
      <c r="F60" s="124">
        <v>76382.682016838793</v>
      </c>
      <c r="H60" s="121"/>
    </row>
    <row r="61" spans="1:8" ht="13.15" x14ac:dyDescent="0.4">
      <c r="A61" s="145">
        <v>30</v>
      </c>
      <c r="B61" s="124">
        <v>3420.6391333369384</v>
      </c>
      <c r="C61" s="124">
        <v>4161.3909032213323</v>
      </c>
      <c r="D61" s="124">
        <v>6585.6305193959424</v>
      </c>
      <c r="E61" s="124">
        <v>25476.686150329642</v>
      </c>
      <c r="F61" s="124">
        <v>159940.12534096689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7.9939140809832665</v>
      </c>
      <c r="C65" s="125">
        <f>C12</f>
        <v>7.9939140809832665</v>
      </c>
      <c r="D65" s="125">
        <f>C12</f>
        <v>7.9939140809832665</v>
      </c>
      <c r="E65" s="142">
        <f>C12</f>
        <v>7.9939140809832665</v>
      </c>
      <c r="F65" s="125">
        <f>C12</f>
        <v>7.9939140809832665</v>
      </c>
      <c r="H65" s="121"/>
    </row>
    <row r="66" spans="1:8" ht="13.15" x14ac:dyDescent="0.4">
      <c r="A66" s="144">
        <f t="shared" ref="A66:A71" si="3">A56</f>
        <v>5</v>
      </c>
      <c r="B66" s="125">
        <f t="shared" ref="B66:F71" si="4">(B56-$C$7+$C$8+$C$9)/Common_Shares*$C$3*Exchange_Rate</f>
        <v>7.9939140809832629</v>
      </c>
      <c r="C66" s="125">
        <f t="shared" si="4"/>
        <v>8.6130778532654286</v>
      </c>
      <c r="D66" s="125">
        <f t="shared" si="4"/>
        <v>9.9078502089859715</v>
      </c>
      <c r="E66" s="125">
        <f t="shared" si="4"/>
        <v>13.127290258681478</v>
      </c>
      <c r="F66" s="125">
        <f t="shared" si="4"/>
        <v>17.286460442576331</v>
      </c>
      <c r="H66" s="121"/>
    </row>
    <row r="67" spans="1:8" ht="13.15" x14ac:dyDescent="0.4">
      <c r="A67" s="144">
        <f t="shared" si="3"/>
        <v>10</v>
      </c>
      <c r="B67" s="125">
        <f t="shared" si="4"/>
        <v>7.9939140809832585</v>
      </c>
      <c r="C67" s="125">
        <f t="shared" si="4"/>
        <v>9.2328117775385827</v>
      </c>
      <c r="D67" s="125">
        <f t="shared" si="4"/>
        <v>12.097981010517596</v>
      </c>
      <c r="E67" s="125">
        <f t="shared" si="4"/>
        <v>21.065922569169917</v>
      </c>
      <c r="F67" s="125">
        <f t="shared" si="4"/>
        <v>37.321721959566524</v>
      </c>
      <c r="H67" s="121"/>
    </row>
    <row r="68" spans="1:8" ht="13.15" x14ac:dyDescent="0.4">
      <c r="A68" s="144">
        <f t="shared" si="3"/>
        <v>15</v>
      </c>
      <c r="B68" s="125">
        <f t="shared" si="4"/>
        <v>7.9939140809832585</v>
      </c>
      <c r="C68" s="125">
        <f t="shared" si="4"/>
        <v>9.9999043449416831</v>
      </c>
      <c r="D68" s="125">
        <f t="shared" si="4"/>
        <v>15.110590425773443</v>
      </c>
      <c r="E68" s="125">
        <f t="shared" si="4"/>
        <v>35.235207375496934</v>
      </c>
      <c r="F68" s="125">
        <f t="shared" si="4"/>
        <v>86.216064424724237</v>
      </c>
      <c r="H68" s="121"/>
    </row>
    <row r="69" spans="1:8" ht="13.15" x14ac:dyDescent="0.4">
      <c r="A69" s="145">
        <f t="shared" si="3"/>
        <v>20</v>
      </c>
      <c r="B69" s="125">
        <f t="shared" si="4"/>
        <v>7.9939140809832603</v>
      </c>
      <c r="C69" s="125">
        <f t="shared" si="4"/>
        <v>10.781448654374737</v>
      </c>
      <c r="D69" s="125">
        <f t="shared" si="4"/>
        <v>18.547158899011304</v>
      </c>
      <c r="E69" s="125">
        <f t="shared" si="4"/>
        <v>56.878853123447932</v>
      </c>
      <c r="F69" s="125">
        <f t="shared" si="4"/>
        <v>192.72413262051094</v>
      </c>
      <c r="H69" s="121"/>
    </row>
    <row r="70" spans="1:8" ht="13.15" x14ac:dyDescent="0.4">
      <c r="A70" s="145">
        <f t="shared" si="3"/>
        <v>25</v>
      </c>
      <c r="B70" s="125">
        <f t="shared" si="4"/>
        <v>7.9939140809832629</v>
      </c>
      <c r="C70" s="125">
        <f t="shared" si="4"/>
        <v>11.508328230048726</v>
      </c>
      <c r="D70" s="125">
        <f t="shared" si="4"/>
        <v>22.14857817045111</v>
      </c>
      <c r="E70" s="125">
        <f t="shared" si="4"/>
        <v>88.036273280894534</v>
      </c>
      <c r="F70" s="125">
        <f t="shared" si="4"/>
        <v>417.31152827651499</v>
      </c>
    </row>
    <row r="71" spans="1:8" ht="13.15" x14ac:dyDescent="0.4">
      <c r="A71" s="145">
        <f t="shared" si="3"/>
        <v>30</v>
      </c>
      <c r="B71" s="125">
        <f t="shared" si="4"/>
        <v>7.9939140809832629</v>
      </c>
      <c r="C71" s="125">
        <f t="shared" si="4"/>
        <v>12.149537130687614</v>
      </c>
      <c r="D71" s="125">
        <f t="shared" si="4"/>
        <v>25.749539771996034</v>
      </c>
      <c r="E71" s="125">
        <f t="shared" si="4"/>
        <v>131.72850520248983</v>
      </c>
      <c r="F71" s="125">
        <f t="shared" si="4"/>
        <v>886.06941933940516</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86.216064424724237</v>
      </c>
      <c r="F74" s="143">
        <f>Scenarios!C58</f>
        <v>0.05</v>
      </c>
    </row>
    <row r="75" spans="1:8" x14ac:dyDescent="0.35">
      <c r="B75" s="128" t="str">
        <f>Scenarios!B36</f>
        <v>Optimistic</v>
      </c>
      <c r="C75" s="143">
        <f>Scenarios!C38</f>
        <v>0.15</v>
      </c>
      <c r="D75" s="146">
        <f>Scenarios!C37</f>
        <v>10</v>
      </c>
      <c r="E75" s="136">
        <f>INDEX(B$65:F$71, MATCH(D75, A$65:A$71, 0), MATCH(C75, B$64:F$64, 0))</f>
        <v>21.065922569169917</v>
      </c>
      <c r="F75" s="143">
        <f>Scenarios!C40*(1-F$74-F$78)</f>
        <v>0.18</v>
      </c>
      <c r="H75" s="121"/>
    </row>
    <row r="76" spans="1:8" x14ac:dyDescent="0.35">
      <c r="B76" s="128" t="str">
        <f>Scenarios!B24</f>
        <v>Base</v>
      </c>
      <c r="C76" s="143">
        <f>Scenarios!C26</f>
        <v>0.06</v>
      </c>
      <c r="D76" s="146">
        <f>Scenarios!C25</f>
        <v>10</v>
      </c>
      <c r="E76" s="136">
        <f>INDEX(B$65:F$71, MATCH(D76, A$65:A$71, 0), MATCH(C76, B$64:F$64, 0))</f>
        <v>12.097981010517596</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9.2328117775385827</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7.9939140809832585</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27" zoomScale="75" zoomScaleNormal="100" workbookViewId="0">
      <selection activeCell="E67" sqref="E67"/>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-13.52</v>
      </c>
    </row>
    <row r="4" spans="2:9" x14ac:dyDescent="0.35">
      <c r="B4" s="153" t="s">
        <v>148</v>
      </c>
      <c r="C4" s="121">
        <v>3</v>
      </c>
      <c r="D4" s="121"/>
      <c r="E4" s="156" t="s">
        <v>152</v>
      </c>
      <c r="F4" s="156"/>
      <c r="H4" s="276">
        <v>1</v>
      </c>
      <c r="I4" s="264">
        <f t="shared" ref="I4:I13" si="0">IF(ROW()-3 &lt; $C$76, $C$77, IF(ROW()-3 = $C$76, $C$77 + $C$60, ""))</f>
        <v>0.83331659999999996</v>
      </c>
    </row>
    <row r="5" spans="2:9" x14ac:dyDescent="0.35">
      <c r="H5" s="276">
        <v>2</v>
      </c>
      <c r="I5" s="264">
        <f t="shared" si="0"/>
        <v>0.83331659999999996</v>
      </c>
    </row>
    <row r="6" spans="2:9" ht="13.15" x14ac:dyDescent="0.4">
      <c r="B6" s="160" t="s">
        <v>97</v>
      </c>
      <c r="C6" s="107">
        <f>Valuation_Model!C3</f>
        <v>1000000</v>
      </c>
      <c r="E6" s="100" t="s">
        <v>285</v>
      </c>
      <c r="F6" s="100"/>
      <c r="H6" s="276">
        <v>3</v>
      </c>
      <c r="I6" s="264">
        <f t="shared" si="0"/>
        <v>17.530497453372405</v>
      </c>
    </row>
    <row r="7" spans="2:9" ht="12.75" customHeight="1" x14ac:dyDescent="0.35">
      <c r="B7" s="100" t="s">
        <v>279</v>
      </c>
      <c r="C7" s="115">
        <f>Normalized_FCF!G8</f>
        <v>632.39999999999986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6"/>
      <c r="H7" s="276">
        <v>4</v>
      </c>
      <c r="I7" s="264" t="str">
        <f t="shared" si="0"/>
        <v/>
      </c>
    </row>
    <row r="8" spans="2:9" x14ac:dyDescent="0.35">
      <c r="B8" s="100" t="s">
        <v>67</v>
      </c>
      <c r="C8" s="115">
        <f>Normalized_FCF!G19</f>
        <v>342.21820608260811</v>
      </c>
      <c r="D8" t="str">
        <f>Reporting_currency</f>
        <v>USD</v>
      </c>
      <c r="E8" s="346"/>
      <c r="F8" s="346"/>
      <c r="H8" s="276">
        <v>5</v>
      </c>
      <c r="I8" s="264" t="str">
        <f t="shared" si="0"/>
        <v/>
      </c>
    </row>
    <row r="9" spans="2:9" x14ac:dyDescent="0.35">
      <c r="B9" s="100" t="s">
        <v>58</v>
      </c>
      <c r="C9" s="201">
        <f>Normalized_FCF!C19</f>
        <v>273.65113066695511</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0.21097145624674352</v>
      </c>
      <c r="D12" s="159"/>
      <c r="E12" s="346"/>
      <c r="F12" s="346"/>
      <c r="H12" s="276">
        <v>9</v>
      </c>
      <c r="I12" s="264" t="str">
        <f t="shared" si="0"/>
        <v/>
      </c>
    </row>
    <row r="13" spans="2:9" x14ac:dyDescent="0.35">
      <c r="B13" s="149" t="s">
        <v>154</v>
      </c>
      <c r="C13" s="159">
        <f ca="1">(Normalized_FCF!G8/OFFSET(Normalized_FCF!G8, 0, $C$4))^(1/$C$4) - 1</f>
        <v>0.77230247224880189</v>
      </c>
      <c r="E13" s="346"/>
      <c r="F13" s="346"/>
      <c r="H13" s="276">
        <v>10</v>
      </c>
      <c r="I13" s="264" t="str">
        <f t="shared" si="0"/>
        <v/>
      </c>
    </row>
    <row r="14" spans="2:9" x14ac:dyDescent="0.35">
      <c r="B14" s="100" t="s">
        <v>67</v>
      </c>
      <c r="C14" s="159">
        <f ca="1">(Normalized_FCF!G19/OFFSET(Normalized_FCF!G19, 0, $C$4))^(1/$C$4) - 1</f>
        <v>-4.7398905201088688</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13.52</v>
      </c>
      <c r="D21" t="str">
        <f>Market_currency</f>
        <v>HKD</v>
      </c>
      <c r="E21" s="347"/>
      <c r="F21" s="347"/>
    </row>
    <row r="22" spans="2:6" x14ac:dyDescent="0.35">
      <c r="B22" s="100" t="s">
        <v>284</v>
      </c>
      <c r="C22" s="161">
        <f>Valuation_Model!C12</f>
        <v>7.9939140809832665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0.06</v>
      </c>
      <c r="D26" s="165"/>
      <c r="E26" s="345"/>
      <c r="F26" s="345"/>
    </row>
    <row r="27" spans="2:6" x14ac:dyDescent="0.35">
      <c r="B27" s="100" t="s">
        <v>115</v>
      </c>
      <c r="C27" s="161">
        <f>Valuation_Model!E76</f>
        <v>12.097981010517596</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9.2328117775385827</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0.15</v>
      </c>
      <c r="D38" s="165"/>
      <c r="E38" s="345"/>
      <c r="F38" s="345"/>
    </row>
    <row r="39" spans="2:6" x14ac:dyDescent="0.35">
      <c r="B39" s="100" t="s">
        <v>115</v>
      </c>
      <c r="C39" s="161">
        <f>Valuation_Model!E75</f>
        <v>21.065922569169917</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13.318535475652258</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7.9939140809832585</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15</v>
      </c>
      <c r="D55" s="164"/>
      <c r="E55" s="345"/>
      <c r="F55" s="345"/>
    </row>
    <row r="56" spans="2:6" x14ac:dyDescent="0.35">
      <c r="B56" s="119" t="s">
        <v>136</v>
      </c>
      <c r="C56" s="165">
        <v>0.25</v>
      </c>
      <c r="D56" s="165"/>
      <c r="E56" s="345"/>
      <c r="F56" s="345"/>
    </row>
    <row r="57" spans="2:6" x14ac:dyDescent="0.35">
      <c r="B57" s="100" t="s">
        <v>115</v>
      </c>
      <c r="C57" s="161">
        <f>Valuation_Model!E74</f>
        <v>86.216064424724237</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16.697180853372405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415</v>
      </c>
    </row>
    <row r="65" spans="2:6" x14ac:dyDescent="0.35">
      <c r="B65" s="119" t="s">
        <v>136</v>
      </c>
      <c r="C65" s="152">
        <v>0.111211776070739</v>
      </c>
      <c r="D65" s="152"/>
      <c r="E65" s="281" t="s">
        <v>323</v>
      </c>
    </row>
    <row r="66" spans="2:6" x14ac:dyDescent="0.35">
      <c r="B66" s="100" t="s">
        <v>104</v>
      </c>
      <c r="C66" s="161">
        <f>Valuation_Model!C18</f>
        <v>16.697520641709705</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N</v>
      </c>
      <c r="E70" s="281" t="s">
        <v>304</v>
      </c>
    </row>
    <row r="71" spans="2:6" x14ac:dyDescent="0.35">
      <c r="B71" s="100" t="s">
        <v>302</v>
      </c>
      <c r="C71" s="273" t="str">
        <f>IF(C65&gt;8%,"Y","N")</f>
        <v>Y</v>
      </c>
      <c r="E71" s="281"/>
    </row>
    <row r="72" spans="2:6" x14ac:dyDescent="0.35">
      <c r="B72" s="100" t="s">
        <v>294</v>
      </c>
      <c r="C72" s="272" t="str">
        <f>IF(F72&gt;50%,"Y","N")</f>
        <v>N</v>
      </c>
      <c r="E72" s="135" t="s">
        <v>358</v>
      </c>
      <c r="F72" s="329">
        <f>BS!D89/C60</f>
        <v>-0.67052621100365795</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0.83331659999999996</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1.6266340031999997</v>
      </c>
      <c r="D81" s="117"/>
      <c r="E81" s="100"/>
      <c r="F81" s="100"/>
    </row>
    <row r="82" spans="2:8" x14ac:dyDescent="0.35">
      <c r="B82" s="100" t="s">
        <v>124</v>
      </c>
      <c r="C82" s="117">
        <f>C60/(1+C80)^C76</f>
        <v>8.5489565969266721</v>
      </c>
      <c r="D82" s="117"/>
    </row>
    <row r="83" spans="2:8" ht="13.15" x14ac:dyDescent="0.4">
      <c r="B83" s="111" t="s">
        <v>103</v>
      </c>
      <c r="C83" s="112">
        <f>C81+C82</f>
        <v>10.175590600126672</v>
      </c>
      <c r="D83" t="str">
        <f>Market_currency</f>
        <v>HKD</v>
      </c>
      <c r="E83" s="147" t="s">
        <v>128</v>
      </c>
      <c r="F83" s="329">
        <f>(1-C83/C60)</f>
        <v>0.39058032074489624</v>
      </c>
    </row>
    <row r="84" spans="2:8" x14ac:dyDescent="0.35">
      <c r="E84" s="121"/>
    </row>
    <row r="85" spans="2:8" ht="13.15" x14ac:dyDescent="0.4">
      <c r="B85" s="109" t="s">
        <v>312</v>
      </c>
    </row>
    <row r="86" spans="2:8" x14ac:dyDescent="0.35">
      <c r="B86" s="149" t="s">
        <v>310</v>
      </c>
      <c r="C86" s="266">
        <f>Market_Price</f>
        <v>13.52</v>
      </c>
      <c r="D86" t="str">
        <f>Market_currency</f>
        <v>HKD</v>
      </c>
    </row>
    <row r="87" spans="2:8" ht="13.15" x14ac:dyDescent="0.4">
      <c r="B87" s="100" t="s">
        <v>308</v>
      </c>
      <c r="C87" s="265">
        <f ca="1">IRR(OFFSET($I$3, 0, 0, $C$76 + 1, 1))</f>
        <v>0.13057514345777688</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