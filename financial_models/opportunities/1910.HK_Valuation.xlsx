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AFF349F-D12F-46B3-8164-14199095E1F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Q92" i="2"/>
  <c r="Q94" i="2"/>
  <c r="J94" i="2"/>
  <c r="P92" i="2"/>
  <c r="P94" i="2"/>
  <c r="K94" i="2"/>
  <c r="O92" i="2"/>
  <c r="O94" i="2"/>
  <c r="L92" i="2"/>
  <c r="L94" i="2"/>
  <c r="N92" i="2"/>
  <c r="N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<sst xmlns="http://schemas.openxmlformats.org/spreadsheetml/2006/main" count="836" uniqueCount="560">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</sst>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142C0F16-D885-4509-8E9F-290813B1691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1910.HK_Valuation_backup.xlsx" TargetMode="External"/><Relationship Id="rId1" Type="http://schemas.openxmlformats.org/officeDocument/2006/relationships/externalLinkPath" Target="191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1383064083</v>
          </cell>
        </row>
        <row r="12">
          <cell r="C12">
            <v>16.059999999999999</v>
          </cell>
        </row>
        <row r="13">
          <cell r="C13" t="str">
            <v>HKD</v>
          </cell>
        </row>
        <row r="16">
          <cell r="C16">
            <v>7.8498999999999999</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新秀麗</v>
      </c>
    </row>
    <row r="6" spans="1:10">
      <c r="B6" s="4" t="s">
        <v>480</v>
      </c>
      <c r="C6" s="34">
        <f>Common_Shares</f>
        <v>1383064083</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1910.HK</v>
      </c>
      <c r="D11" s="49"/>
      <c r="E11" s="34"/>
    </row>
    <row r="12" spans="1:10">
      <c r="B12" s="4" t="s">
        <v>484</v>
      </c>
      <c r="C12" s="366">
        <f>Market_Price</f>
        <v>16.059999999999999</v>
      </c>
      <c r="D12" s="50"/>
      <c r="E12" s="48"/>
    </row>
    <row r="13" spans="1:10">
      <c r="B13" s="1" t="s">
        <v>485</v>
      </c>
      <c r="C13" s="32" t="str">
        <f>Market_currency</f>
        <v>HKD</v>
      </c>
      <c r="D13" s="48"/>
      <c r="E13" s="5"/>
    </row>
    <row r="14" spans="1:10">
      <c r="B14" s="4" t="s">
        <v>486</v>
      </c>
      <c r="C14" s="35">
        <f>投资主题!C12*Common_Shares/1000000</f>
        <v>22212.009172980001</v>
      </c>
      <c r="D14" s="35" t="str">
        <f>IF(D11="","",投资主题!D12*Common_Shares/1000000)</f>
        <v/>
      </c>
      <c r="E14" s="5"/>
    </row>
    <row r="15" spans="1:10">
      <c r="B15" s="4" t="s">
        <v>487</v>
      </c>
      <c r="C15" s="32" t="str">
        <f>IF(C25=C13,C13,C25&amp;"/"&amp;C13)</f>
        <v>USD/HKD</v>
      </c>
      <c r="D15" s="32" t="str">
        <f>IF(D11="","",IF(C25=D13,D13,C25&amp;"/"&amp;D13))</f>
        <v/>
      </c>
      <c r="E15" s="5"/>
    </row>
    <row r="16" spans="1:10">
      <c r="B16" s="4" t="s">
        <v>488</v>
      </c>
      <c r="C16" s="366">
        <f>Exchange_Rate</f>
        <v>7.8498999999999999</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High Growth </v>
      </c>
      <c r="D21" s="1" t="s">
        <v>447</v>
      </c>
      <c r="E21" s="363" t="str">
        <f>valuation_method</f>
        <v>DCF</v>
      </c>
    </row>
    <row r="22" spans="2:6">
      <c r="B22" s="2" t="s">
        <v>442</v>
      </c>
      <c r="C22" s="32" t="str">
        <f>Thesis!C22</f>
        <v>CNS_02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(HKD) :</v>
      </c>
      <c r="C26" s="304">
        <f>C132</f>
        <v>18.606441375593661</v>
      </c>
      <c r="D26" s="1" t="s">
        <v>446</v>
      </c>
      <c r="E26" s="301">
        <f ca="1">Scenarios!C87</f>
        <v>0.10038068682203893</v>
      </c>
    </row>
    <row r="27" spans="2:6">
      <c r="D27" s="5"/>
      <c r="E27" s="5"/>
    </row>
    <row r="28" spans="2:6">
      <c r="B28" s="45" t="s">
        <v>448</v>
      </c>
      <c r="C28" s="309" t="str">
        <f>C145&amp;" ("&amp;Market_currency&amp;")"</f>
        <v>1910.HK (HKD)</v>
      </c>
      <c r="D28" s="309" t="str">
        <f>IF(D11="","",D145&amp;" ("&amp;D13&amp;")")</f>
        <v/>
      </c>
      <c r="E28" s="305" t="s">
        <v>453</v>
      </c>
      <c r="F28" s="361">
        <f>Thesis!F28</f>
        <v>3</v>
      </c>
    </row>
    <row r="29" spans="2:6">
      <c r="B29" s="1" t="s">
        <v>449</v>
      </c>
      <c r="C29" s="310">
        <f>C149</f>
        <v>8.9922022406924391</v>
      </c>
      <c r="D29" s="310" t="str">
        <f>D149</f>
        <v/>
      </c>
      <c r="E29" s="306" t="s">
        <v>455</v>
      </c>
      <c r="F29" s="362">
        <f>Thesis!F29</f>
        <v>0.35</v>
      </c>
    </row>
    <row r="30" spans="2:6">
      <c r="B30" s="1" t="s">
        <v>450</v>
      </c>
      <c r="C30" s="311">
        <f>C157</f>
        <v>11.172188699823955</v>
      </c>
      <c r="D30" s="311" t="str">
        <f>D157</f>
        <v/>
      </c>
      <c r="E30" s="307" t="s">
        <v>454</v>
      </c>
      <c r="F30" s="224">
        <f>Thesis!F30</f>
        <v>0.25</v>
      </c>
    </row>
    <row r="31" spans="2:6">
      <c r="B31" s="1" t="s">
        <v>451</v>
      </c>
      <c r="C31" s="311">
        <f>C165</f>
        <v>17.169900962627121</v>
      </c>
      <c r="D31" s="311" t="str">
        <f>D165</f>
        <v/>
      </c>
      <c r="E31" s="307" t="s">
        <v>491</v>
      </c>
      <c r="F31" s="224">
        <f>Thesis!F31</f>
        <v>7.4999999999999997E-2</v>
      </c>
    </row>
    <row r="32" spans="2:6">
      <c r="B32" s="1" t="s">
        <v>452</v>
      </c>
      <c r="C32" s="311">
        <f>C173</f>
        <v>15.37037589106744</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1000000</v>
      </c>
    </row>
    <row r="40" spans="1:6">
      <c r="B40" s="367" t="s">
        <v>494</v>
      </c>
      <c r="C40" s="367"/>
      <c r="D40" s="367"/>
      <c r="E40" s="367"/>
      <c r="F40" s="367"/>
    </row>
    <row r="41" spans="1:6">
      <c r="B41" s="47" t="s">
        <v>228</v>
      </c>
      <c r="C41" s="349">
        <f>Normalized_FCF!C8</f>
        <v>553.11898834421322</v>
      </c>
      <c r="D41" s="1" t="str">
        <f>Reporting_currency</f>
        <v>USD</v>
      </c>
    </row>
    <row r="42" spans="1:6">
      <c r="B42" s="47"/>
      <c r="C42" s="76"/>
    </row>
    <row r="43" spans="1:6" ht="24.6" customHeight="1">
      <c r="B43" s="367" t="s">
        <v>495</v>
      </c>
      <c r="C43" s="367"/>
      <c r="D43" s="367"/>
      <c r="E43" s="367"/>
      <c r="F43" s="367"/>
    </row>
    <row r="44" spans="1:6">
      <c r="B44" s="47" t="s">
        <v>230</v>
      </c>
      <c r="C44" s="349">
        <f>Normalized_FCF!C9</f>
        <v>0</v>
      </c>
      <c r="D44" s="1" t="str">
        <f>Reporting_currency</f>
        <v>USD</v>
      </c>
    </row>
    <row r="45" spans="1:6">
      <c r="B45" s="52" t="s">
        <v>231</v>
      </c>
      <c r="C45" s="349">
        <f>Normalized_FCF!C10</f>
        <v>0</v>
      </c>
      <c r="D45" s="1" t="str">
        <f>Reporting_currency</f>
        <v>USD</v>
      </c>
    </row>
    <row r="47" spans="1:6">
      <c r="B47" s="367" t="s">
        <v>496</v>
      </c>
      <c r="C47" s="367"/>
      <c r="D47" s="367"/>
      <c r="E47" s="367"/>
      <c r="F47" s="367"/>
    </row>
    <row r="48" spans="1:6">
      <c r="B48" s="47" t="s">
        <v>233</v>
      </c>
      <c r="C48" s="349">
        <f>Normalized_FCF!C11</f>
        <v>0</v>
      </c>
      <c r="D48" s="1" t="str">
        <f>Reporting_currency</f>
        <v>USD</v>
      </c>
    </row>
    <row r="50" spans="2:6">
      <c r="B50" s="367" t="s">
        <v>497</v>
      </c>
      <c r="C50" s="367"/>
      <c r="D50" s="367"/>
      <c r="E50" s="367"/>
      <c r="F50" s="367"/>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498</v>
      </c>
    </row>
    <row r="56" spans="2:6">
      <c r="B56" s="47" t="s">
        <v>261</v>
      </c>
      <c r="C56" s="349">
        <f>Normalized_FCF!C15</f>
        <v>-32.451765153160977</v>
      </c>
      <c r="D56" s="1" t="str">
        <f>Reporting_currency</f>
        <v>USD</v>
      </c>
    </row>
    <row r="58" spans="2:6">
      <c r="B58" s="367" t="s">
        <v>237</v>
      </c>
      <c r="C58" s="367"/>
      <c r="D58" s="367"/>
      <c r="E58" s="367"/>
      <c r="F58" s="367"/>
    </row>
    <row r="59" spans="2:6">
      <c r="B59" s="47" t="s">
        <v>235</v>
      </c>
      <c r="C59" s="349">
        <f>Normalized_FCF!C14</f>
        <v>-102.03995537970573</v>
      </c>
      <c r="D59" s="1" t="str">
        <f>Reporting_currency</f>
        <v>USD</v>
      </c>
    </row>
    <row r="61" spans="2:6">
      <c r="B61" s="367"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9.6716474822229823E-2</v>
      </c>
      <c r="F69" s="314"/>
    </row>
    <row r="70" spans="1:6">
      <c r="B70" s="227" t="s">
        <v>434</v>
      </c>
      <c r="C70" s="92">
        <f>Normalized_FCF!C94</f>
        <v>5.2495595267745956E-2</v>
      </c>
      <c r="E70" s="47" t="s">
        <v>503</v>
      </c>
      <c r="F70" s="315">
        <f>Normalized_FCF!C92</f>
        <v>4.2607546857938532</v>
      </c>
    </row>
    <row r="72" spans="1:6">
      <c r="B72" s="210" t="s">
        <v>513</v>
      </c>
      <c r="C72" s="323" t="s">
        <v>429</v>
      </c>
      <c r="D72" s="323" t="s">
        <v>504</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20.710221141933477</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514</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c r="B116" s="371" t="s">
        <v>516</v>
      </c>
      <c r="C116" s="371"/>
      <c r="D116" s="371"/>
      <c r="E116" s="371"/>
      <c r="F116" s="371"/>
    </row>
    <row r="118" spans="1:6">
      <c r="B118" s="47" t="s">
        <v>517</v>
      </c>
      <c r="C118" s="223">
        <f>IF(valuation_method="DCF",DCF!C12,DDM!C7)</f>
        <v>9.3767726829022227</v>
      </c>
      <c r="D118" s="1" t="str">
        <f>Market_currency</f>
        <v>HKD</v>
      </c>
    </row>
    <row r="119" spans="1:6">
      <c r="B119" s="296" t="s">
        <v>550</v>
      </c>
      <c r="C119" s="223">
        <f>BS!D47</f>
        <v>-12.277968811948389</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0.84307926</v>
      </c>
      <c r="D143" s="212" t="str">
        <f>Market_currency</f>
        <v>HKD</v>
      </c>
    </row>
    <row r="145" spans="2:4">
      <c r="B145" s="210" t="s">
        <v>531</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532</v>
      </c>
      <c r="C150" s="298" t="str">
        <f>Market_currency</f>
        <v>HKD</v>
      </c>
      <c r="D150" s="298" t="str">
        <f>IF($D$11="","",D$13)</f>
        <v/>
      </c>
    </row>
    <row r="151" spans="2:4">
      <c r="B151" s="214" t="s">
        <v>533</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532</v>
      </c>
      <c r="C158" s="298" t="str">
        <f>Market_currency</f>
        <v>HKD</v>
      </c>
      <c r="D158" s="298" t="str">
        <f>IF($D$11="","",D$13)</f>
        <v/>
      </c>
    </row>
    <row r="159" spans="2:4">
      <c r="B159" s="214" t="s">
        <v>533</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532</v>
      </c>
      <c r="C166" s="298" t="str">
        <f>Market_currency</f>
        <v>HKD</v>
      </c>
      <c r="D166" s="298" t="str">
        <f>IF($D$11="","",D$13)</f>
        <v/>
      </c>
    </row>
    <row r="167" spans="2:4">
      <c r="B167" s="214" t="s">
        <v>533</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532</v>
      </c>
      <c r="C174" s="298" t="str">
        <f>Market_currency</f>
        <v>HKD</v>
      </c>
      <c r="D174" s="298" t="str">
        <f>IF($D$11="","",D$13)</f>
        <v/>
      </c>
    </row>
    <row r="175" spans="2:4">
      <c r="B175" s="214" t="s">
        <v>533</v>
      </c>
      <c r="C175" s="92">
        <f>Scenarios!F105</f>
        <v>0.17159988468095144</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1383064083</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16.059999999999999</v>
      </c>
      <c r="D12" s="50"/>
      <c r="E12" s="48"/>
    </row>
    <row r="13" spans="1:10">
      <c r="B13" s="1" t="s">
        <v>464</v>
      </c>
      <c r="C13" s="48" t="s">
        <v>377</v>
      </c>
      <c r="D13" s="48"/>
      <c r="E13" s="5"/>
    </row>
    <row r="14" spans="1:10">
      <c r="B14" s="4" t="s">
        <v>465</v>
      </c>
      <c r="C14" s="35">
        <f>Thesis!C12*Common_Shares/1000000</f>
        <v>22212.009172980001</v>
      </c>
      <c r="D14" s="35" t="str">
        <f>IF(D11="","",Thesis!D12*Common_Shares/1000000)</f>
        <v/>
      </c>
      <c r="E14" s="5"/>
    </row>
    <row r="15" spans="1:10">
      <c r="B15" s="4" t="s">
        <v>466</v>
      </c>
      <c r="C15" s="32" t="str">
        <f>IF(C25=C13,C13,C25&amp;"/"&amp;C13)</f>
        <v>USD/HKD</v>
      </c>
      <c r="D15" s="32" t="str">
        <f>IF(D11="","",IF(C25=D13,D13,C25&amp;"/"&amp;D13))</f>
        <v/>
      </c>
      <c r="E15" s="5"/>
    </row>
    <row r="16" spans="1:10">
      <c r="B16" s="4" t="s">
        <v>467</v>
      </c>
      <c r="C16" s="50">
        <v>7.8498999999999999</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High Growth </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556</v>
      </c>
      <c r="D25" s="32" t="str">
        <f>IF(D11="","",Market_currency&amp;"/"&amp;D13&amp;":")</f>
        <v/>
      </c>
      <c r="E25" s="299" t="str">
        <f>IF(D11="","",1/Exchange_Rate*D16)</f>
        <v/>
      </c>
    </row>
    <row r="26" spans="2:6">
      <c r="B26" s="1" t="str">
        <f>"Expected Equity Value ("&amp;C13&amp;") :"</f>
        <v>Expected Equity Value (HKD) :</v>
      </c>
      <c r="C26" s="304">
        <f>C132</f>
        <v>18.606441375593661</v>
      </c>
      <c r="D26" s="1" t="s">
        <v>380</v>
      </c>
      <c r="E26" s="301">
        <f ca="1">Scenarios!C87</f>
        <v>0.10038068682203893</v>
      </c>
    </row>
    <row r="27" spans="2:6">
      <c r="D27" s="5"/>
      <c r="E27" s="5"/>
    </row>
    <row r="28" spans="2:6">
      <c r="B28" s="45" t="s">
        <v>409</v>
      </c>
      <c r="C28" s="309" t="str">
        <f>C145&amp;" ("&amp;Market_currency&amp;")"</f>
        <v>1910.HK (HKD)</v>
      </c>
      <c r="D28" s="309" t="str">
        <f>IF(D11="","",D145&amp;" ("&amp;D13&amp;")")</f>
        <v/>
      </c>
      <c r="E28" s="305" t="s">
        <v>405</v>
      </c>
      <c r="F28" s="303">
        <v>3</v>
      </c>
    </row>
    <row r="29" spans="2:6">
      <c r="B29" s="1" t="s">
        <v>401</v>
      </c>
      <c r="C29" s="310">
        <f>C149</f>
        <v>8.9922022406924391</v>
      </c>
      <c r="D29" s="310" t="str">
        <f>D149</f>
        <v/>
      </c>
      <c r="E29" s="306" t="s">
        <v>400</v>
      </c>
      <c r="F29" s="302">
        <v>0.35</v>
      </c>
    </row>
    <row r="30" spans="2:6">
      <c r="B30" s="1" t="s">
        <v>402</v>
      </c>
      <c r="C30" s="311">
        <f>C157</f>
        <v>11.172188699823955</v>
      </c>
      <c r="D30" s="311" t="str">
        <f>D157</f>
        <v/>
      </c>
      <c r="E30" s="307" t="s">
        <v>413</v>
      </c>
      <c r="F30" s="312">
        <v>0.25</v>
      </c>
    </row>
    <row r="31" spans="2:6">
      <c r="B31" s="1" t="s">
        <v>403</v>
      </c>
      <c r="C31" s="311">
        <f>C165</f>
        <v>17.169900962627121</v>
      </c>
      <c r="D31" s="311" t="str">
        <f>D165</f>
        <v/>
      </c>
      <c r="E31" s="307" t="s">
        <v>412</v>
      </c>
      <c r="F31" s="312">
        <v>7.4999999999999997E-2</v>
      </c>
    </row>
    <row r="32" spans="2:6">
      <c r="B32" s="1" t="s">
        <v>404</v>
      </c>
      <c r="C32" s="311">
        <f>C173</f>
        <v>15.37037589106744</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553.11898834421322</v>
      </c>
      <c r="D41" s="1" t="str">
        <f>Reporting_currency</f>
        <v>USD</v>
      </c>
    </row>
    <row r="42" spans="1:6">
      <c r="B42" s="47"/>
      <c r="C42" s="76"/>
    </row>
    <row r="43" spans="1:6" ht="24.6" customHeight="1">
      <c r="B43" s="367" t="s">
        <v>229</v>
      </c>
      <c r="C43" s="367"/>
      <c r="D43" s="367"/>
      <c r="E43" s="367"/>
      <c r="F43" s="367"/>
    </row>
    <row r="44" spans="1:6">
      <c r="B44" s="47" t="s">
        <v>230</v>
      </c>
      <c r="C44" s="349">
        <f>Normalized_FCF!C9</f>
        <v>0</v>
      </c>
      <c r="D44" s="1" t="str">
        <f>Reporting_currency</f>
        <v>USD</v>
      </c>
    </row>
    <row r="45" spans="1:6">
      <c r="B45" s="52" t="s">
        <v>231</v>
      </c>
      <c r="C45" s="349">
        <f>Normalized_FCF!C10</f>
        <v>0</v>
      </c>
      <c r="D45" s="1" t="str">
        <f>Reporting_currency</f>
        <v>USD</v>
      </c>
    </row>
    <row r="47" spans="1:6">
      <c r="B47" s="367" t="s">
        <v>232</v>
      </c>
      <c r="C47" s="367"/>
      <c r="D47" s="367"/>
      <c r="E47" s="367"/>
      <c r="F47" s="367"/>
    </row>
    <row r="48" spans="1:6">
      <c r="B48" s="47" t="s">
        <v>233</v>
      </c>
      <c r="C48" s="349">
        <f>Normalized_FCF!C11</f>
        <v>0</v>
      </c>
      <c r="D48" s="1" t="str">
        <f>Reporting_currency</f>
        <v>USD</v>
      </c>
    </row>
    <row r="50" spans="2:6">
      <c r="B50" s="367" t="s">
        <v>236</v>
      </c>
      <c r="C50" s="367"/>
      <c r="D50" s="367"/>
      <c r="E50" s="367"/>
      <c r="F50" s="367"/>
    </row>
    <row r="51" spans="2:6">
      <c r="B51" s="47" t="s">
        <v>331</v>
      </c>
      <c r="C51" s="350">
        <f>Normalized_FCF!C48</f>
        <v>7.0408331746096984</v>
      </c>
      <c r="D51" s="1" t="str">
        <f>Reporting_currency</f>
        <v>USD</v>
      </c>
      <c r="E51" s="286"/>
      <c r="F51" s="286"/>
    </row>
    <row r="52" spans="2:6">
      <c r="B52" s="47" t="s">
        <v>332</v>
      </c>
      <c r="C52" s="350">
        <f>Normalized_FCF!C47</f>
        <v>-152</v>
      </c>
      <c r="D52" s="1" t="str">
        <f>Reporting_currency</f>
        <v>USD</v>
      </c>
      <c r="E52" s="286"/>
      <c r="F52" s="286"/>
    </row>
    <row r="53" spans="2:6">
      <c r="B53" s="47" t="s">
        <v>234</v>
      </c>
      <c r="C53" s="349">
        <f>Normalized_FCF!C12</f>
        <v>-144.9591668253903</v>
      </c>
      <c r="D53" s="1" t="str">
        <f>Reporting_currency</f>
        <v>USD</v>
      </c>
    </row>
    <row r="55" spans="2:6">
      <c r="B55" s="1" t="s">
        <v>242</v>
      </c>
    </row>
    <row r="56" spans="2:6">
      <c r="B56" s="47" t="s">
        <v>261</v>
      </c>
      <c r="C56" s="349">
        <f>Normalized_FCF!C15</f>
        <v>-32.451765153160977</v>
      </c>
      <c r="D56" s="1" t="str">
        <f>Reporting_currency</f>
        <v>USD</v>
      </c>
    </row>
    <row r="58" spans="2:6">
      <c r="B58" s="367" t="s">
        <v>237</v>
      </c>
      <c r="C58" s="367"/>
      <c r="D58" s="367"/>
      <c r="E58" s="367"/>
      <c r="F58" s="367"/>
    </row>
    <row r="59" spans="2:6">
      <c r="B59" s="47" t="s">
        <v>235</v>
      </c>
      <c r="C59" s="349">
        <f>Normalized_FCF!C14</f>
        <v>-102.03995537970573</v>
      </c>
      <c r="D59" s="1" t="str">
        <f>Reporting_currency</f>
        <v>USD</v>
      </c>
    </row>
    <row r="61" spans="2:6">
      <c r="B61" s="367"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342.24083317460958</v>
      </c>
      <c r="D67" s="1" t="str">
        <f>Reporting_currency</f>
        <v>USD</v>
      </c>
    </row>
    <row r="68" spans="1:6">
      <c r="B68" s="47" t="s">
        <v>244</v>
      </c>
      <c r="C68" s="349">
        <f>Normalized_FCF!C19</f>
        <v>273.66810098595624</v>
      </c>
      <c r="D68" s="1" t="str">
        <f>Reporting_currency</f>
        <v>USD</v>
      </c>
    </row>
    <row r="69" spans="1:6">
      <c r="B69" s="227" t="s">
        <v>371</v>
      </c>
      <c r="C69" s="92">
        <f>Normalized_FCF!C126</f>
        <v>9.6716474822229823E-2</v>
      </c>
      <c r="F69" s="314"/>
    </row>
    <row r="70" spans="1:6">
      <c r="B70" s="227" t="s">
        <v>434</v>
      </c>
      <c r="C70" s="92">
        <f>Normalized_FCF!C94</f>
        <v>5.2495595267745956E-2</v>
      </c>
      <c r="E70" s="47" t="s">
        <v>424</v>
      </c>
      <c r="F70" s="315">
        <f>Normalized_FCF!C92</f>
        <v>4.2607546857938532</v>
      </c>
    </row>
    <row r="72" spans="1:6">
      <c r="B72" s="210" t="s">
        <v>427</v>
      </c>
      <c r="C72" s="323" t="s">
        <v>429</v>
      </c>
      <c r="D72" s="323" t="s">
        <v>430</v>
      </c>
    </row>
    <row r="73" spans="1:6">
      <c r="B73" s="47" t="s">
        <v>428</v>
      </c>
      <c r="C73" s="92">
        <f>Normalized_FCF!C121</f>
        <v>0.26418111425166535</v>
      </c>
      <c r="D73" s="92">
        <f>Normalized_FCF!G121</f>
        <v>0.31549568490265989</v>
      </c>
    </row>
    <row r="74" spans="1:6">
      <c r="B74" s="259" t="str">
        <f>Normalized_FCF!B118</f>
        <v>Pre-tax Profit/Sales</v>
      </c>
      <c r="C74" s="322">
        <f>Normalized_FCF!C118</f>
        <v>0.1137378982106735</v>
      </c>
      <c r="D74" s="322">
        <f>Normalized_FCF!G118</f>
        <v>0.135830360913618</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20.710221141933477</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2323</v>
      </c>
      <c r="D102" s="1" t="str">
        <f>Reporting_currency</f>
        <v>USD</v>
      </c>
    </row>
    <row r="103" spans="2:6">
      <c r="B103" s="47" t="s">
        <v>276</v>
      </c>
      <c r="C103" s="223">
        <f>C102*scaling_factor*Exchange_Rate/Common_Shares</f>
        <v>13.184723632216542</v>
      </c>
      <c r="D103" s="1" t="str">
        <f>Market_currency</f>
        <v>HKD</v>
      </c>
    </row>
    <row r="104" spans="2:6">
      <c r="B104" s="296" t="s">
        <v>384</v>
      </c>
      <c r="C104" s="325">
        <f>IF(BS!G31/BS!G27&gt;300%,"nm",BS!G31/BS!G27)</f>
        <v>1.5035598705501618</v>
      </c>
    </row>
    <row r="105" spans="2:6">
      <c r="B105" s="296" t="s">
        <v>386</v>
      </c>
      <c r="C105" s="326">
        <f>IF(BS!C50&gt;30,"nm",BS!C50)</f>
        <v>4.1998196571663646</v>
      </c>
    </row>
    <row r="107" spans="2:6">
      <c r="B107" s="1" t="s">
        <v>250</v>
      </c>
    </row>
    <row r="108" spans="2:6">
      <c r="B108" s="47" t="s">
        <v>260</v>
      </c>
      <c r="C108" s="349">
        <f>BS!C66</f>
        <v>676.3</v>
      </c>
      <c r="D108" s="1" t="str">
        <f>Reporting_currency</f>
        <v>USD</v>
      </c>
    </row>
    <row r="109" spans="2:6">
      <c r="B109" s="47" t="s">
        <v>262</v>
      </c>
      <c r="C109" s="349">
        <f>DCF!C8</f>
        <v>326.17386205966619</v>
      </c>
      <c r="D109" s="1" t="str">
        <f>Reporting_currency</f>
        <v>USD</v>
      </c>
    </row>
    <row r="110" spans="2:6">
      <c r="B110" s="47" t="s">
        <v>277</v>
      </c>
      <c r="C110" s="223">
        <f>C109*scaling_factor*Exchange_Rate/Common_Shares</f>
        <v>1.8512751731852859</v>
      </c>
      <c r="D110" s="1" t="str">
        <f>Market_currency</f>
        <v>HKD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HKD</v>
      </c>
    </row>
    <row r="116" spans="1:6" ht="24.6" customHeight="1">
      <c r="B116" s="371" t="s">
        <v>352</v>
      </c>
      <c r="C116" s="371"/>
      <c r="D116" s="371"/>
      <c r="E116" s="371"/>
      <c r="F116" s="371"/>
    </row>
    <row r="118" spans="1:6">
      <c r="B118" s="47" t="s">
        <v>425</v>
      </c>
      <c r="C118" s="223">
        <f>IF(valuation_method="DCF",DCF!C12,DDM!C7)</f>
        <v>9.3767726829022227</v>
      </c>
      <c r="D118" s="1" t="str">
        <f>Market_currency</f>
        <v>HKD</v>
      </c>
    </row>
    <row r="119" spans="1:6">
      <c r="B119" s="296" t="s">
        <v>549</v>
      </c>
      <c r="C119" s="223">
        <f>BS!D47</f>
        <v>-12.277968811948389</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254</v>
      </c>
      <c r="C132" s="217">
        <f>Scenarios!C60</f>
        <v>18.606441375593661</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0.84307926</v>
      </c>
      <c r="D143" s="212" t="str">
        <f>Market_currency</f>
        <v>HKD</v>
      </c>
    </row>
    <row r="145" spans="2:4">
      <c r="B145" s="210" t="s">
        <v>388</v>
      </c>
      <c r="C145" s="241" t="str">
        <f>C11</f>
        <v>1910.HK</v>
      </c>
      <c r="D145" s="241" t="str">
        <f>IF(D11="","",D11)</f>
        <v/>
      </c>
    </row>
    <row r="146" spans="2:4">
      <c r="B146" s="1" t="s">
        <v>387</v>
      </c>
      <c r="C146" s="297">
        <f>F29</f>
        <v>0.35</v>
      </c>
    </row>
    <row r="147" spans="2:4">
      <c r="B147" s="212" t="str">
        <f>"PV("&amp;C141&amp;" yrs of Dividends)"</f>
        <v>PV(3 yrs of Dividends)</v>
      </c>
      <c r="C147" s="216">
        <f>Scenarios!C81</f>
        <v>1.4297609967383023</v>
      </c>
    </row>
    <row r="148" spans="2:4">
      <c r="B148" s="212" t="str">
        <f>"+ PV(Equity Value realized at year "&amp;C141&amp;")"</f>
        <v>+ PV(Equity Value realized at year 3)</v>
      </c>
      <c r="C148" s="216">
        <f>Scenarios!C82</f>
        <v>7.5624412439541366</v>
      </c>
    </row>
    <row r="149" spans="2:4">
      <c r="B149" s="80" t="s">
        <v>256</v>
      </c>
      <c r="C149" s="215">
        <f>Scenarios!C83</f>
        <v>8.9922022406924391</v>
      </c>
      <c r="D149" s="300" t="str">
        <f>IF($D$11="","",C149*$E$25)</f>
        <v/>
      </c>
    </row>
    <row r="150" spans="2:4">
      <c r="B150" s="259" t="s">
        <v>395</v>
      </c>
      <c r="C150" s="298" t="str">
        <f>Market_currency</f>
        <v>HKD</v>
      </c>
      <c r="D150" s="298" t="str">
        <f>IF($D$11="","",D$13)</f>
        <v/>
      </c>
    </row>
    <row r="151" spans="2:4">
      <c r="B151" s="214" t="s">
        <v>258</v>
      </c>
      <c r="C151" s="92">
        <f>Scenarios!F83</f>
        <v>0.51671563308781643</v>
      </c>
    </row>
    <row r="153" spans="2:4">
      <c r="B153" s="210" t="s">
        <v>391</v>
      </c>
    </row>
    <row r="154" spans="2:4">
      <c r="B154" s="1" t="s">
        <v>390</v>
      </c>
      <c r="C154" s="297">
        <f>Scenarios!C90</f>
        <v>0.25</v>
      </c>
    </row>
    <row r="155" spans="2:4">
      <c r="B155" s="212" t="str">
        <f>"PV("&amp;C141&amp;" yrs of Dividends)"</f>
        <v>PV(3 yrs of Dividends)</v>
      </c>
      <c r="C155" s="216">
        <f>Scenarios!C91</f>
        <v>1.64569071552</v>
      </c>
    </row>
    <row r="156" spans="2:4">
      <c r="B156" s="212" t="str">
        <f>"+ PV(Equity Value realized at year "&amp;C141&amp;")"</f>
        <v>+ PV(Equity Value realized at year 3)</v>
      </c>
      <c r="C156" s="216">
        <f>Scenarios!C92</f>
        <v>9.5264979843039548</v>
      </c>
    </row>
    <row r="157" spans="2:4">
      <c r="B157" s="80" t="s">
        <v>256</v>
      </c>
      <c r="C157" s="215">
        <f>Scenarios!C93</f>
        <v>11.172188699823955</v>
      </c>
      <c r="D157" s="300" t="str">
        <f>IF($D$11="","",C157*$E$25)</f>
        <v/>
      </c>
    </row>
    <row r="158" spans="2:4">
      <c r="B158" s="259" t="s">
        <v>395</v>
      </c>
      <c r="C158" s="298" t="str">
        <f>Market_currency</f>
        <v>HKD</v>
      </c>
      <c r="D158" s="298" t="str">
        <f>IF($D$11="","",D$13)</f>
        <v/>
      </c>
    </row>
    <row r="159" spans="2:4">
      <c r="B159" s="214" t="s">
        <v>258</v>
      </c>
      <c r="C159" s="92">
        <f>Scenarios!F93</f>
        <v>0.39955263479459979</v>
      </c>
    </row>
    <row r="161" spans="2:4">
      <c r="B161" s="210" t="s">
        <v>381</v>
      </c>
    </row>
    <row r="162" spans="2:4">
      <c r="B162" s="1" t="s">
        <v>389</v>
      </c>
      <c r="C162" s="92">
        <f>Scenarios!C96</f>
        <v>7.4999999999999997E-2</v>
      </c>
    </row>
    <row r="163" spans="2:4">
      <c r="B163" s="212" t="str">
        <f>"PV("&amp;C141&amp;" yrs of Dividends)"</f>
        <v>PV(3 yrs of Dividends)</v>
      </c>
      <c r="C163" s="216">
        <f>Scenarios!C97</f>
        <v>2.1924493163822043</v>
      </c>
    </row>
    <row r="164" spans="2:4">
      <c r="B164" s="212" t="str">
        <f>"+ PV(Equity Value realized at year "&amp;C141&amp;")"</f>
        <v>+ PV(Equity Value realized at year 3)</v>
      </c>
      <c r="C164" s="216">
        <f>Scenarios!C98</f>
        <v>14.977451646244916</v>
      </c>
    </row>
    <row r="165" spans="2:4">
      <c r="B165" s="80" t="s">
        <v>382</v>
      </c>
      <c r="C165" s="215">
        <f>Scenarios!C99</f>
        <v>17.169900962627121</v>
      </c>
      <c r="D165" s="300" t="str">
        <f>IF($D$11="","",C165*$E$25)</f>
        <v/>
      </c>
    </row>
    <row r="166" spans="2:4">
      <c r="B166" s="259" t="s">
        <v>395</v>
      </c>
      <c r="C166" s="298" t="str">
        <f>Market_currency</f>
        <v>HKD</v>
      </c>
      <c r="D166" s="298" t="str">
        <f>IF($D$11="","",D$13)</f>
        <v/>
      </c>
    </row>
    <row r="167" spans="2:4">
      <c r="B167" s="214" t="s">
        <v>258</v>
      </c>
      <c r="C167" s="92">
        <f>Scenarios!F99</f>
        <v>7.7206618072108713E-2</v>
      </c>
    </row>
    <row r="169" spans="2:4">
      <c r="B169" s="210" t="s">
        <v>408</v>
      </c>
    </row>
    <row r="170" spans="2:4">
      <c r="B170" s="1" t="s">
        <v>399</v>
      </c>
      <c r="C170" s="92">
        <f>F32</f>
        <v>0.1174</v>
      </c>
    </row>
    <row r="171" spans="2:4">
      <c r="B171" s="212" t="str">
        <f>"PV("&amp;C141&amp;" yrs of Dividends)"</f>
        <v>PV(3 yrs of Dividends)</v>
      </c>
      <c r="C171" s="216">
        <f>Scenarios!C103</f>
        <v>2.034015658090043</v>
      </c>
    </row>
    <row r="172" spans="2:4">
      <c r="B172" s="212" t="str">
        <f>"+ PV(Equity Value realized at year "&amp;C141&amp;")"</f>
        <v>+ PV(Equity Value realized at year 3)</v>
      </c>
      <c r="C172" s="216">
        <f>Scenarios!C104</f>
        <v>13.336360232977396</v>
      </c>
    </row>
    <row r="173" spans="2:4">
      <c r="B173" s="80" t="s">
        <v>382</v>
      </c>
      <c r="C173" s="215">
        <f>Scenarios!C105</f>
        <v>15.37037589106744</v>
      </c>
      <c r="D173" s="300" t="str">
        <f>IF($D$11="","",C173*$E$25)</f>
        <v/>
      </c>
    </row>
    <row r="174" spans="2:4">
      <c r="B174" s="259" t="s">
        <v>395</v>
      </c>
      <c r="C174" s="298" t="str">
        <f>Market_currency</f>
        <v>HKD</v>
      </c>
      <c r="D174" s="298" t="str">
        <f>IF($D$11="","",D$13)</f>
        <v/>
      </c>
    </row>
    <row r="175" spans="2:4">
      <c r="B175" s="214" t="s">
        <v>258</v>
      </c>
      <c r="C175" s="92">
        <f>Scenarios!F105</f>
        <v>0.17159988468095144</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3588.6</v>
      </c>
      <c r="D4" s="351">
        <v>3682.4</v>
      </c>
      <c r="E4" s="351">
        <v>2879.6</v>
      </c>
      <c r="F4" s="351">
        <v>2020.8</v>
      </c>
      <c r="G4" s="351">
        <v>1536.7</v>
      </c>
      <c r="H4" s="351"/>
      <c r="I4" s="351"/>
      <c r="J4" s="351"/>
      <c r="K4" s="351"/>
      <c r="L4" s="351"/>
      <c r="M4" s="351"/>
    </row>
    <row r="5" spans="2:13">
      <c r="B5" s="40" t="s">
        <v>41</v>
      </c>
      <c r="C5" s="351">
        <v>1436.4</v>
      </c>
      <c r="D5" s="351">
        <v>1499.6</v>
      </c>
      <c r="E5" s="351">
        <v>1274.2</v>
      </c>
      <c r="F5" s="351">
        <v>919.3</v>
      </c>
      <c r="G5" s="351">
        <v>830.4</v>
      </c>
      <c r="H5" s="351"/>
      <c r="I5" s="351"/>
      <c r="J5" s="351"/>
      <c r="K5" s="351"/>
      <c r="L5" s="351"/>
      <c r="M5" s="351"/>
    </row>
    <row r="6" spans="2:13">
      <c r="B6" s="40" t="s">
        <v>52</v>
      </c>
      <c r="C6" s="351">
        <f>230.7+C7</f>
        <v>1519.8</v>
      </c>
      <c r="D6" s="351">
        <f>250.2+D7</f>
        <v>1519.3</v>
      </c>
      <c r="E6" s="351">
        <f>221.9+E7</f>
        <v>1185.2</v>
      </c>
      <c r="F6" s="351">
        <f>206+F7</f>
        <v>987.9</v>
      </c>
      <c r="G6" s="351">
        <f>200+G7</f>
        <v>1017.9</v>
      </c>
      <c r="H6" s="351"/>
      <c r="I6" s="351"/>
      <c r="J6" s="351"/>
      <c r="K6" s="351"/>
      <c r="L6" s="351"/>
      <c r="M6" s="351"/>
    </row>
    <row r="7" spans="2:13">
      <c r="B7" s="69" t="s">
        <v>59</v>
      </c>
      <c r="C7" s="352">
        <f>1062.1+227</f>
        <v>1289.0999999999999</v>
      </c>
      <c r="D7" s="352">
        <v>1269.0999999999999</v>
      </c>
      <c r="E7" s="352">
        <v>963.3</v>
      </c>
      <c r="F7" s="352">
        <v>781.9</v>
      </c>
      <c r="G7" s="352">
        <v>817.9</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152</v>
      </c>
      <c r="D12" s="351">
        <v>173</v>
      </c>
      <c r="E12" s="351">
        <v>138.30000000000001</v>
      </c>
      <c r="F12" s="351">
        <v>169</v>
      </c>
      <c r="G12" s="351">
        <v>0</v>
      </c>
      <c r="H12" s="351"/>
      <c r="I12" s="351"/>
      <c r="J12" s="351"/>
      <c r="K12" s="351"/>
      <c r="L12" s="351"/>
      <c r="M12" s="351"/>
    </row>
    <row r="13" spans="2:13">
      <c r="B13" s="40" t="s">
        <v>65</v>
      </c>
      <c r="C13" s="351">
        <v>13.6</v>
      </c>
      <c r="D13" s="351">
        <v>14.3</v>
      </c>
      <c r="E13" s="351">
        <v>8.8000000000000007</v>
      </c>
      <c r="F13" s="351">
        <v>3.6</v>
      </c>
      <c r="G13" s="351">
        <v>0</v>
      </c>
      <c r="H13" s="351"/>
      <c r="I13" s="351"/>
      <c r="J13" s="351"/>
      <c r="K13" s="351"/>
      <c r="L13" s="351"/>
      <c r="M13" s="351"/>
    </row>
    <row r="14" spans="2:13">
      <c r="B14" s="40" t="s">
        <v>48</v>
      </c>
      <c r="C14" s="351">
        <v>118.3</v>
      </c>
      <c r="D14" s="351">
        <v>134.6</v>
      </c>
      <c r="E14" s="351">
        <v>24.3</v>
      </c>
      <c r="F14" s="351">
        <v>-56.2</v>
      </c>
      <c r="G14" s="351">
        <v>-94.4</v>
      </c>
      <c r="H14" s="351"/>
      <c r="I14" s="351"/>
      <c r="J14" s="351"/>
      <c r="K14" s="351"/>
      <c r="L14" s="351"/>
      <c r="M14" s="351"/>
    </row>
    <row r="15" spans="2:13">
      <c r="B15" s="43" t="s">
        <v>40</v>
      </c>
      <c r="C15" s="353">
        <v>372.6</v>
      </c>
      <c r="D15" s="353">
        <v>450.3</v>
      </c>
      <c r="E15" s="353">
        <v>338.3</v>
      </c>
      <c r="F15" s="353">
        <v>23.5</v>
      </c>
      <c r="G15" s="353">
        <v>-1288</v>
      </c>
      <c r="H15" s="353"/>
      <c r="I15" s="353"/>
      <c r="J15" s="353"/>
      <c r="K15" s="353"/>
      <c r="L15" s="353"/>
      <c r="M15" s="353"/>
    </row>
    <row r="16" spans="2:13">
      <c r="B16" s="28" t="s">
        <v>42</v>
      </c>
      <c r="C16" s="351">
        <v>26.9</v>
      </c>
      <c r="D16" s="351">
        <v>33.299999999999997</v>
      </c>
      <c r="E16" s="351">
        <v>25.6</v>
      </c>
      <c r="F16" s="351">
        <v>9.1999999999999993</v>
      </c>
      <c r="G16" s="351">
        <v>-10.3</v>
      </c>
      <c r="H16" s="351"/>
      <c r="I16" s="351"/>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56480</v>
      </c>
      <c r="D22" s="351">
        <v>53420</v>
      </c>
      <c r="E22" s="351">
        <v>27770</v>
      </c>
      <c r="F22" s="351">
        <v>38710</v>
      </c>
      <c r="G22" s="351">
        <v>-11420</v>
      </c>
      <c r="H22" s="351"/>
      <c r="I22" s="351"/>
      <c r="J22" s="351"/>
      <c r="K22" s="351"/>
      <c r="L22" s="351"/>
      <c r="M22" s="351"/>
    </row>
    <row r="23" spans="2:13">
      <c r="B23" s="27" t="s">
        <v>356</v>
      </c>
      <c r="C23" s="351">
        <v>-11150</v>
      </c>
      <c r="D23" s="351">
        <v>-11010</v>
      </c>
      <c r="E23" s="351">
        <v>-6280</v>
      </c>
      <c r="F23" s="351">
        <v>940</v>
      </c>
      <c r="G23" s="351">
        <v>-2610</v>
      </c>
      <c r="H23" s="351"/>
      <c r="I23" s="351"/>
      <c r="J23" s="351"/>
      <c r="K23" s="351"/>
      <c r="L23" s="351"/>
      <c r="M23" s="351"/>
    </row>
    <row r="24" spans="2:13">
      <c r="B24" s="27" t="s">
        <v>355</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0.84307926</v>
      </c>
      <c r="D25" s="39">
        <f>0.1026*Exchange_Rate</f>
        <v>0.80539973999999992</v>
      </c>
      <c r="E25" s="39">
        <v>0</v>
      </c>
      <c r="F25" s="39">
        <v>0</v>
      </c>
      <c r="G25" s="39">
        <v>0</v>
      </c>
      <c r="H25" s="39"/>
      <c r="I25" s="39"/>
      <c r="J25" s="39"/>
      <c r="K25" s="39"/>
      <c r="L25" s="39"/>
      <c r="M25" s="39"/>
    </row>
    <row r="27" spans="2:13">
      <c r="B27" s="16" t="s">
        <v>26</v>
      </c>
      <c r="C27" s="97" t="s">
        <v>558</v>
      </c>
    </row>
    <row r="28" spans="2:13">
      <c r="B28" s="26" t="s">
        <v>22</v>
      </c>
      <c r="C28" s="333">
        <f>BS!C4</f>
        <v>325.3</v>
      </c>
      <c r="D28" s="351">
        <v>304.10000000000002</v>
      </c>
      <c r="E28" s="351">
        <v>281.7</v>
      </c>
      <c r="F28" s="351">
        <v>197.6</v>
      </c>
      <c r="G28" s="351">
        <v>129.80000000000001</v>
      </c>
      <c r="H28" s="351"/>
      <c r="I28" s="351"/>
      <c r="J28" s="351"/>
      <c r="K28" s="351"/>
      <c r="L28" s="351"/>
      <c r="M28" s="351"/>
    </row>
    <row r="29" spans="2:13">
      <c r="B29" s="26" t="s">
        <v>30</v>
      </c>
      <c r="C29" s="333">
        <f>BS!C6</f>
        <v>651.4</v>
      </c>
      <c r="D29" s="351">
        <v>695.9</v>
      </c>
      <c r="E29" s="351">
        <v>687.6</v>
      </c>
      <c r="F29" s="351">
        <v>348.4</v>
      </c>
      <c r="G29" s="351">
        <v>455.9</v>
      </c>
      <c r="H29" s="351"/>
      <c r="I29" s="351"/>
      <c r="J29" s="351"/>
      <c r="K29" s="351"/>
      <c r="L29" s="351"/>
      <c r="M29" s="351"/>
    </row>
    <row r="30" spans="2:13">
      <c r="B30" s="29" t="s">
        <v>38</v>
      </c>
      <c r="C30" s="334">
        <f>BS!C33+BS!C42</f>
        <v>3534.2</v>
      </c>
      <c r="D30" s="353">
        <v>3594.1</v>
      </c>
      <c r="E30" s="353">
        <v>3641.5</v>
      </c>
      <c r="F30" s="353">
        <v>4127.7</v>
      </c>
      <c r="G30" s="353">
        <v>4493.2</v>
      </c>
      <c r="H30" s="353"/>
      <c r="I30" s="353"/>
      <c r="J30" s="353"/>
      <c r="K30" s="353"/>
      <c r="L30" s="353"/>
      <c r="M30" s="353"/>
    </row>
    <row r="31" spans="2:13">
      <c r="B31" s="29" t="s">
        <v>28</v>
      </c>
      <c r="C31" s="334">
        <f>BS!G27</f>
        <v>1545</v>
      </c>
      <c r="D31" s="353">
        <v>1517.7</v>
      </c>
      <c r="E31" s="353">
        <v>1079.5999999999999</v>
      </c>
      <c r="F31" s="353">
        <v>726.6</v>
      </c>
      <c r="G31" s="353">
        <v>669</v>
      </c>
      <c r="H31" s="353"/>
      <c r="I31" s="353"/>
      <c r="J31" s="353"/>
      <c r="K31" s="353"/>
      <c r="L31" s="353"/>
      <c r="M31" s="353"/>
    </row>
    <row r="32" spans="2:13">
      <c r="B32" s="26" t="s">
        <v>168</v>
      </c>
      <c r="C32" s="333">
        <f>BS!G28</f>
        <v>68.8</v>
      </c>
      <c r="D32" s="351">
        <v>66.7</v>
      </c>
      <c r="E32" s="351">
        <v>47.8</v>
      </c>
      <c r="F32" s="351">
        <v>36.9</v>
      </c>
      <c r="G32" s="351">
        <v>34.9</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0.84307926</v>
      </c>
      <c r="D65" s="73">
        <f t="shared" ref="D65:M65" si="33">IF(D$4="","",D25)</f>
        <v>0.80539973999999992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84</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38</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325.3</v>
      </c>
      <c r="D4" s="261">
        <v>0.6</v>
      </c>
      <c r="E4" s="25"/>
      <c r="F4" s="4" t="s">
        <v>75</v>
      </c>
      <c r="G4" s="19">
        <v>676.3</v>
      </c>
      <c r="H4" s="261">
        <v>0.9</v>
      </c>
    </row>
    <row r="5" spans="2:8" ht="15" customHeight="1">
      <c r="B5" s="1" t="s">
        <v>31</v>
      </c>
      <c r="C5" s="19">
        <v>0</v>
      </c>
      <c r="D5" s="261">
        <v>0.6</v>
      </c>
      <c r="E5" s="25"/>
      <c r="F5" s="1" t="s">
        <v>27</v>
      </c>
      <c r="G5" s="19">
        <v>0</v>
      </c>
      <c r="H5" s="261">
        <v>0.7</v>
      </c>
    </row>
    <row r="6" spans="2:8" ht="15" customHeight="1">
      <c r="B6" s="4" t="s">
        <v>8</v>
      </c>
      <c r="C6" s="19">
        <v>651.4</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89.6</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1066.3</v>
      </c>
      <c r="D12" s="20">
        <f>C4*D4+C5*D5+C9*D9+C6*D6+C8*D8+C7*D7+C10*D10+C11*D11</f>
        <v>529.84</v>
      </c>
      <c r="F12" s="80" t="s">
        <v>68</v>
      </c>
      <c r="G12" s="81">
        <f>SUM(G4:G9)</f>
        <v>676.3</v>
      </c>
      <c r="H12" s="20">
        <f>G4*H4+G5*H5+G6*H6+G7*H7+G8*H8+G9*H9</f>
        <v>608.66999999999996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262.1+499.2</f>
        <v>761.3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1519.8</v>
      </c>
      <c r="D21" s="261">
        <v>0.05</v>
      </c>
      <c r="F21" s="1" t="s">
        <v>176</v>
      </c>
      <c r="G21" s="19">
        <v>0</v>
      </c>
      <c r="H21" s="261">
        <v>0.1</v>
      </c>
    </row>
    <row r="22" spans="2:8" ht="15" customHeight="1">
      <c r="B22" s="4" t="s">
        <v>18</v>
      </c>
      <c r="C22" s="19">
        <v>165.7</v>
      </c>
      <c r="D22" s="261">
        <v>0.9</v>
      </c>
      <c r="H22" s="262"/>
    </row>
    <row r="23" spans="2:8" ht="15" customHeight="1">
      <c r="B23" s="4" t="s">
        <v>19</v>
      </c>
      <c r="C23" s="19">
        <f>819.6+70.2</f>
        <v>889.80000000000007</v>
      </c>
      <c r="D23" s="261">
        <v>0</v>
      </c>
      <c r="H23" s="262"/>
    </row>
    <row r="24" spans="2:8" ht="15" customHeight="1">
      <c r="B24" s="80" t="s">
        <v>71</v>
      </c>
      <c r="C24" s="81">
        <f>SUM(C15:C23)</f>
        <v>3336.6</v>
      </c>
      <c r="D24" s="20">
        <f>C15*D15+C16*D16+C18*D18+C17*D17+C19*D19+C20*D20+C21*D21+C22*D22+C23*D23</f>
        <v>301.25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f>49+35</f>
        <v>84</v>
      </c>
      <c r="F27" s="187" t="s">
        <v>28</v>
      </c>
      <c r="G27" s="85">
        <f>G32-G30</f>
        <v>1545</v>
      </c>
      <c r="H27" s="188">
        <f>H32-G30</f>
        <v>-2094.4399999999996</v>
      </c>
    </row>
    <row r="28" spans="2:8" ht="15" customHeight="1">
      <c r="B28" s="4" t="s">
        <v>4</v>
      </c>
      <c r="C28" s="19">
        <v>145.4</v>
      </c>
      <c r="F28" s="189" t="s">
        <v>240</v>
      </c>
      <c r="G28" s="12">
        <v>68.8</v>
      </c>
      <c r="H28" s="188"/>
    </row>
    <row r="29" spans="2:8" ht="15" customHeight="1">
      <c r="B29" s="4" t="s">
        <v>5</v>
      </c>
      <c r="C29" s="19">
        <v>0</v>
      </c>
      <c r="F29" s="190" t="s">
        <v>73</v>
      </c>
      <c r="G29" s="14">
        <f>G27-G28</f>
        <v>1476.2</v>
      </c>
      <c r="H29" s="188">
        <f>H27-G28</f>
        <v>-2163.2399999999998</v>
      </c>
    </row>
    <row r="30" spans="2:8" ht="15" customHeight="1">
      <c r="B30" s="2" t="s">
        <v>6</v>
      </c>
      <c r="C30" s="19">
        <v>0</v>
      </c>
      <c r="F30" s="187" t="s">
        <v>21</v>
      </c>
      <c r="G30" s="85">
        <f>C33+C42</f>
        <v>3534.2</v>
      </c>
      <c r="H30" s="188"/>
    </row>
    <row r="31" spans="2:8" ht="15" customHeight="1">
      <c r="B31" s="80" t="s">
        <v>199</v>
      </c>
      <c r="C31" s="81">
        <f>SUM(C27:C30)</f>
        <v>229.4</v>
      </c>
      <c r="F31" s="190" t="s">
        <v>74</v>
      </c>
      <c r="G31" s="191">
        <f>C31+C40</f>
        <v>2323</v>
      </c>
      <c r="H31" s="188"/>
    </row>
    <row r="32" spans="2:8" ht="15" customHeight="1">
      <c r="B32" s="4" t="s">
        <v>7</v>
      </c>
      <c r="C32" s="21">
        <f>C33-C31</f>
        <v>860.9</v>
      </c>
      <c r="F32" s="192" t="s">
        <v>72</v>
      </c>
      <c r="G32" s="193">
        <f>G35+G40</f>
        <v>5079.2</v>
      </c>
      <c r="H32" s="188">
        <f>H35+H40</f>
        <v>1439.76</v>
      </c>
    </row>
    <row r="33" spans="2:8" ht="15" customHeight="1">
      <c r="B33" s="83" t="s">
        <v>2</v>
      </c>
      <c r="C33" s="84">
        <v>1090.3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4402.8999999999996</v>
      </c>
      <c r="H35" s="200">
        <f>D12+D24</f>
        <v>831.09</v>
      </c>
    </row>
    <row r="36" spans="2:8" ht="15" customHeight="1">
      <c r="B36" s="4" t="s">
        <v>11</v>
      </c>
      <c r="C36" s="19">
        <v>1687</v>
      </c>
      <c r="F36" s="190" t="s">
        <v>193</v>
      </c>
      <c r="G36" s="191">
        <f>C4+C15</f>
        <v>325.3</v>
      </c>
      <c r="H36" s="195"/>
    </row>
    <row r="37" spans="2:8" ht="15" customHeight="1">
      <c r="B37" s="4" t="s">
        <v>12</v>
      </c>
      <c r="C37" s="19">
        <v>406.6</v>
      </c>
      <c r="F37" s="190" t="s">
        <v>194</v>
      </c>
      <c r="G37" s="191">
        <f>C6</f>
        <v>651.4</v>
      </c>
      <c r="H37" s="195"/>
    </row>
    <row r="38" spans="2:8" ht="15" customHeight="1">
      <c r="B38" s="4" t="s">
        <v>13</v>
      </c>
      <c r="C38" s="19">
        <v>0</v>
      </c>
      <c r="F38" s="190" t="s">
        <v>195</v>
      </c>
      <c r="G38" s="191">
        <f>C7+C17</f>
        <v>0</v>
      </c>
      <c r="H38" s="195"/>
    </row>
    <row r="39" spans="2:8" ht="15" customHeight="1">
      <c r="B39" s="2" t="s">
        <v>14</v>
      </c>
      <c r="C39" s="19">
        <v>0</v>
      </c>
      <c r="F39" s="190" t="s">
        <v>77</v>
      </c>
      <c r="G39" s="191">
        <f>C7+C17+C19+C20</f>
        <v>761.3</v>
      </c>
      <c r="H39" s="188">
        <f>C7*D7+C17*D17+C19*D19+C20*D20</f>
        <v>76.13</v>
      </c>
    </row>
    <row r="40" spans="2:8" ht="15" customHeight="1">
      <c r="B40" s="80" t="s">
        <v>200</v>
      </c>
      <c r="C40" s="81">
        <f>SUM(C36:C39)</f>
        <v>2093.6</v>
      </c>
      <c r="F40" s="199" t="s">
        <v>134</v>
      </c>
      <c r="G40" s="193">
        <f>G12+G24</f>
        <v>676.3</v>
      </c>
      <c r="H40" s="200">
        <f>H12+H24</f>
        <v>608.66999999999996</v>
      </c>
    </row>
    <row r="41" spans="2:8" ht="15" customHeight="1">
      <c r="B41" s="4" t="s">
        <v>15</v>
      </c>
      <c r="C41" s="21">
        <f>C42-C40</f>
        <v>350.30000000000018</v>
      </c>
      <c r="F41" s="190" t="s">
        <v>187</v>
      </c>
      <c r="G41" s="191">
        <f>C70</f>
        <v>676.3</v>
      </c>
      <c r="H41" s="200">
        <f>H40-H42</f>
        <v>608.66999999999996</v>
      </c>
    </row>
    <row r="42" spans="2:8" ht="15" customHeight="1">
      <c r="B42" s="83" t="s">
        <v>20</v>
      </c>
      <c r="C42" s="84">
        <v>2443.9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1476.2</v>
      </c>
      <c r="D46" s="76">
        <f>H29</f>
        <v>-2163.2399999999998</v>
      </c>
      <c r="F46" s="253"/>
    </row>
    <row r="47" spans="2:8" ht="15" customHeight="1">
      <c r="B47" s="1" t="str">
        <f>"Equity per share ("&amp;Market_currency&amp;")"</f>
        <v>Equity per share (HKD)</v>
      </c>
      <c r="C47" s="147">
        <f>C46*H1/Common_Shares*Exchange_Rate</f>
        <v>8.3785144321472487</v>
      </c>
      <c r="D47" s="147">
        <f>D46*H1/Common_Shares*Exchange_Rate</f>
        <v>-12.277968811948389</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4.1998196571663646</v>
      </c>
      <c r="D50" s="95">
        <f>G31/Normalized_FCF!G8</f>
        <v>3.6733080328905765</v>
      </c>
      <c r="F50" s="253"/>
    </row>
    <row r="51" spans="2:8" ht="15" customHeight="1">
      <c r="B51" s="1" t="s">
        <v>172</v>
      </c>
      <c r="C51" s="181"/>
      <c r="D51" s="92">
        <f>G29/G32</f>
        <v>0.29063632068042211</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0.12562606199191742</v>
      </c>
      <c r="D54" s="92">
        <f>Normalized_FCF!G8/G35</f>
        <v>0.14363260578255238</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0.14988580878878563</v>
      </c>
      <c r="F59" s="253"/>
    </row>
    <row r="60" spans="2:8" ht="15" customHeight="1">
      <c r="F60" s="253"/>
    </row>
    <row r="61" spans="2:8" ht="15" customHeight="1">
      <c r="B61" s="157" t="s">
        <v>269</v>
      </c>
      <c r="C61" s="235" t="s">
        <v>133</v>
      </c>
      <c r="D61" s="197" t="s">
        <v>92</v>
      </c>
      <c r="F61" s="253"/>
    </row>
    <row r="62" spans="2:8" ht="15" customHeight="1">
      <c r="B62" s="1" t="s">
        <v>241</v>
      </c>
      <c r="C62" s="92">
        <f>IF(G28&lt;=0,0,G28/G29)</f>
        <v>4.6606150928058525E-2</v>
      </c>
      <c r="D62" s="92">
        <f>G28/G29</f>
        <v>4.6606150928058525E-2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676.3</v>
      </c>
      <c r="D66" s="76">
        <f>C66-D75</f>
        <v>326.17386205966619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676.3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-343.51938696901817</v>
      </c>
      <c r="D73" s="349">
        <f>(Normalized_FCF!C25+Normalized_FCF!C35-Normalized_FCF!C91)/12</f>
        <v>-350.12613794033376</v>
      </c>
      <c r="F73" s="1" t="s">
        <v>342</v>
      </c>
    </row>
    <row r="74" spans="2:6" ht="15" customHeight="1">
      <c r="B74" s="257" t="s">
        <v>312</v>
      </c>
      <c r="C74" s="258">
        <f>-$C$66/C73</f>
        <v>1.9687389581333734</v>
      </c>
      <c r="D74" s="258">
        <f>-$C$66/D73</f>
        <v>1.9315895807677479</v>
      </c>
      <c r="F74" s="253" t="s">
        <v>310</v>
      </c>
    </row>
    <row r="75" spans="2:6" ht="15" customHeight="1">
      <c r="B75" s="80" t="s">
        <v>311</v>
      </c>
      <c r="C75" s="320"/>
      <c r="D75" s="321">
        <f>MAX(-D73*D76,G5)</f>
        <v>350.12613794033376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-18235.3177</v>
      </c>
      <c r="D86" s="223">
        <f>C86*scaling_factor/Common_Shares</f>
        <v>-13.184723632216542</v>
      </c>
      <c r="E86" s="240" t="str">
        <f>Market_currency</f>
        <v>HKD</v>
      </c>
    </row>
    <row r="87" spans="2:8" ht="15" customHeight="1">
      <c r="B87" s="238" t="s">
        <v>282</v>
      </c>
      <c r="C87" s="76">
        <f>DCF!C8*Exchange_Rate</f>
        <v>2560.4321997821735</v>
      </c>
      <c r="D87" s="223">
        <f>C87*scaling_factor/Common_Shares</f>
        <v>1.8512751731852859</v>
      </c>
      <c r="E87" s="240" t="str">
        <f>Market_currency</f>
        <v>HKD</v>
      </c>
    </row>
    <row r="88" spans="2:8" ht="15" customHeight="1">
      <c r="B88" s="239" t="s">
        <v>185</v>
      </c>
      <c r="C88" s="76">
        <f>DCF!C9*Exchange_Rate</f>
        <v>0</v>
      </c>
      <c r="D88" s="223">
        <f>C88*scaling_factor/Common_Shares</f>
        <v>0</v>
      </c>
      <c r="E88" s="240" t="str">
        <f>Market_currency</f>
        <v>HKD</v>
      </c>
    </row>
    <row r="89" spans="2:8" ht="15" customHeight="1">
      <c r="B89" s="80" t="s">
        <v>286</v>
      </c>
      <c r="C89" s="180">
        <f>SUM(C86:C88)</f>
        <v>-15674.885500217826</v>
      </c>
      <c r="D89" s="242">
        <f>SUM(D86:D88)</f>
        <v>-11.333448459031256</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44</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-144.9591668253903</v>
      </c>
      <c r="E12" s="268"/>
      <c r="G12" s="328">
        <f>G50</f>
        <v>-144.9591668253903</v>
      </c>
      <c r="H12" s="328">
        <f t="shared" ref="H12:Q12" si="6">H50</f>
        <v>-165.59677100022657</v>
      </c>
      <c r="I12" s="328">
        <f t="shared" si="6"/>
        <v>-133.7441667693702</v>
      </c>
      <c r="J12" s="328">
        <f t="shared" si="6"/>
        <v>-167.13625004201509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408.15982151882292</v>
      </c>
      <c r="E13" s="268"/>
      <c r="G13" s="329">
        <f>IF(G$4="","",SUM(G8:G12))</f>
        <v>487.44083317460957</v>
      </c>
      <c r="H13" s="329">
        <f t="shared" ref="H13:Q13" si="7">IF(H$4="","",SUM(H8:H12))</f>
        <v>497.90322899977366</v>
      </c>
      <c r="I13" s="329">
        <f t="shared" si="7"/>
        <v>286.45583323062965</v>
      </c>
      <c r="J13" s="329">
        <f t="shared" si="7"/>
        <v>-53.536250042014956</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-102.03995537970573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273.66810098595624</v>
      </c>
      <c r="D16" s="61"/>
      <c r="E16" s="276"/>
      <c r="F16" s="61"/>
      <c r="G16" s="329">
        <f>IF(G$4="","",SUM(G13:G15))</f>
        <v>342.24083317460958</v>
      </c>
      <c r="H16" s="329">
        <f t="shared" ref="H16:Q16" si="8">IF(H$4="","",SUM(H13:H15))</f>
        <v>330.00322899977363</v>
      </c>
      <c r="I16" s="329">
        <f t="shared" si="8"/>
        <v>236.55583323062964</v>
      </c>
      <c r="J16" s="329">
        <f t="shared" si="8"/>
        <v>-6.5362500420149523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273.66810098595624</v>
      </c>
      <c r="D19" s="27"/>
      <c r="E19" s="265"/>
      <c r="F19" s="27"/>
      <c r="G19" s="334">
        <f>IF(G$4="","",G16+G17)</f>
        <v>342.24083317460958</v>
      </c>
      <c r="H19" s="334">
        <f t="shared" ref="H19:Q19" si="9">IF(H$4="","",H16+H17)</f>
        <v>330.00322899977363</v>
      </c>
      <c r="I19" s="334">
        <f t="shared" si="9"/>
        <v>236.55583323062964</v>
      </c>
      <c r="J19" s="334">
        <f t="shared" si="9"/>
        <v>-6.5362500420149523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0.42622819573379517</v>
      </c>
      <c r="D28" s="26"/>
      <c r="E28" s="266" t="s">
        <v>324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324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-227.20000000000005</v>
      </c>
      <c r="E33" s="266" t="s">
        <v>324</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0.24269612217247899</v>
      </c>
      <c r="H43" s="6">
        <f t="shared" si="18"/>
        <v>0.2703336555386372</v>
      </c>
      <c r="I43" s="6">
        <f t="shared" si="18"/>
        <v>8.4829831272577816E-2</v>
      </c>
      <c r="J43" s="6">
        <f t="shared" si="18"/>
        <v>1.049756005620389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7.0408331746096984</v>
      </c>
      <c r="E48" s="268"/>
      <c r="G48" s="337">
        <f>IFERROR(IF(G$4="","",($C$48/$C$49)*G49),0)</f>
        <v>7.0408331746096984</v>
      </c>
      <c r="H48" s="337">
        <f t="shared" ref="H48:Q48" si="19">IFERROR(IF(H$4="","",($C$48/$C$49)*H49),0)</f>
        <v>7.4032289997734333</v>
      </c>
      <c r="I48" s="337">
        <f t="shared" si="19"/>
        <v>4.5558332306298048</v>
      </c>
      <c r="J48" s="337">
        <f t="shared" si="19"/>
        <v>1.8637499579849202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-144.9591668253903</v>
      </c>
      <c r="E50" s="268"/>
      <c r="G50" s="329">
        <f>IF(G$4="","",(G47+G48))</f>
        <v>-144.9591668253903</v>
      </c>
      <c r="H50" s="329">
        <f t="shared" ref="H50:Q50" si="20">IF(H$4="","",(H47+H48))</f>
        <v>-165.59677100022657</v>
      </c>
      <c r="I50" s="329">
        <f t="shared" si="20"/>
        <v>-133.7441667693702</v>
      </c>
      <c r="J50" s="329">
        <f t="shared" si="20"/>
        <v>-167.13625004201509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2.0109418896939228E-2</v>
      </c>
      <c r="E53" s="265" t="s">
        <v>326</v>
      </c>
      <c r="G53" s="6">
        <f>IF(Normalized_FCF!G4="","",Normalized_FCF!G49/BS!$C$66)</f>
        <v>2.0109418896939228E-2</v>
      </c>
      <c r="H53" s="169"/>
      <c r="I53" s="169"/>
      <c r="J53" s="169"/>
      <c r="K53" s="169"/>
      <c r="L53" s="169"/>
      <c r="M53" s="169"/>
      <c r="N53" s="169"/>
      <c r="O53" s="169"/>
      <c r="P53" s="169"/>
      <c r="Q53" s="169"/>
    </row>
    <row r="54" spans="1:17" ht="15.75" customHeight="1">
      <c r="A54" s="10"/>
      <c r="B54" s="8" t="s">
        <v>85</v>
      </c>
      <c r="C54" s="82">
        <f>G54</f>
        <v>6.5432630219543694E-2</v>
      </c>
      <c r="E54" s="265" t="s">
        <v>327</v>
      </c>
      <c r="G54" s="23">
        <f>IFERROR(ABS(Normalized_FCF!G47/BS!$G$31),0)</f>
        <v>6.5432630219543694E-2</v>
      </c>
      <c r="H54" s="169"/>
      <c r="I54" s="169"/>
      <c r="J54" s="169"/>
      <c r="K54" s="169"/>
      <c r="L54" s="169"/>
      <c r="M54" s="169"/>
      <c r="N54" s="169"/>
      <c r="O54" s="169"/>
      <c r="P54" s="169"/>
      <c r="Q54" s="169"/>
    </row>
    <row r="55" spans="1:17" ht="15.75" customHeight="1">
      <c r="A55" s="10"/>
      <c r="B55" s="26" t="s">
        <v>88</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4.0394350673073148E-2</v>
      </c>
      <c r="D80" s="27"/>
      <c r="E80" s="265"/>
      <c r="F80" s="27"/>
      <c r="G80" s="6">
        <f t="shared" ref="G80:Q80" si="31">IF(G$4="","",ABS(G12/G$4))</f>
        <v>4.0394350673073148E-2</v>
      </c>
      <c r="H80" s="6">
        <f t="shared" si="31"/>
        <v>4.4969794427608775E-2</v>
      </c>
      <c r="I80" s="6">
        <f t="shared" si="31"/>
        <v>4.644539754457918E-2</v>
      </c>
      <c r="J80" s="6">
        <f t="shared" si="31"/>
        <v>8.2707962213982134E-2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0.1137378982106735</v>
      </c>
      <c r="D81" s="27"/>
      <c r="E81" s="265"/>
      <c r="F81" s="27"/>
      <c r="G81" s="65">
        <f t="shared" ref="G81:Q81" si="32">IF(G$4="","",G13/G$4)</f>
        <v>0.135830360913618</v>
      </c>
      <c r="H81" s="65">
        <f t="shared" si="32"/>
        <v>0.13521160900493528</v>
      </c>
      <c r="I81" s="65">
        <f t="shared" si="32"/>
        <v>9.9477647322763457E-2</v>
      </c>
      <c r="J81" s="65">
        <f t="shared" si="32"/>
        <v>-2.6492601960617063E-2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2.8434474552668374E-2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7.6260408233282131E-2</v>
      </c>
      <c r="D84" s="27"/>
      <c r="E84" s="265"/>
      <c r="F84" s="27"/>
      <c r="G84" s="65">
        <f t="shared" ref="G84:Q84" si="35">IF(G$4="","",ABS(G16/G$4))</f>
        <v>9.5368899619520026E-2</v>
      </c>
      <c r="H84" s="65">
        <f t="shared" si="35"/>
        <v>8.9616345046647186E-2</v>
      </c>
      <c r="I84" s="65">
        <f t="shared" si="35"/>
        <v>8.2148851656698732E-2</v>
      </c>
      <c r="J84" s="65">
        <f t="shared" si="35"/>
        <v>3.2344863628340024E-3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7.6260408233282131E-2</v>
      </c>
      <c r="D87" s="75"/>
      <c r="E87" s="265"/>
      <c r="F87" s="75"/>
      <c r="G87" s="65">
        <f t="shared" ref="G87:Q87" si="36">IF(G$4="","",ABS(G19/G$4))</f>
        <v>9.5368899619520026E-2</v>
      </c>
      <c r="H87" s="65">
        <f t="shared" si="36"/>
        <v>8.9616345046647186E-2</v>
      </c>
      <c r="I87" s="65">
        <f t="shared" si="36"/>
        <v>8.2148851656698732E-2</v>
      </c>
      <c r="J87" s="65">
        <f t="shared" si="36"/>
        <v>3.2344863628340024E-3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0.84307926</v>
      </c>
      <c r="E90" s="268"/>
      <c r="G90" s="112">
        <f>Data!C65</f>
        <v>0.84307926</v>
      </c>
      <c r="H90" s="112">
        <f>Data!D65</f>
        <v>0.80539973999999992</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1166.0326436282187</v>
      </c>
      <c r="E91" s="268"/>
      <c r="G91" s="74">
        <f t="shared" ref="G91:Q91" si="37">IF(G$4="","",G90*Common_Shares/scaling_factor)</f>
        <v>1166.0326436282187</v>
      </c>
      <c r="H91" s="74">
        <f t="shared" si="37"/>
        <v>1113.9194528515384</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4.2607546857938532</v>
      </c>
      <c r="E92" s="268"/>
      <c r="G92" s="170">
        <f t="shared" ref="G92:Q92" si="38">IF(G$4="","",G90/(G19*scaling_factor/Common_Shares))</f>
        <v>3.4070529597890338</v>
      </c>
      <c r="H92" s="170">
        <f t="shared" si="38"/>
        <v>3.3754804649269126</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5.2495595267745956E-2</v>
      </c>
      <c r="E94" s="268"/>
      <c r="G94" s="23">
        <f t="shared" ref="G94:Q94" si="39">IF(G$4="","",(G90*(1-dividend_tax_rate))/Market_Price)</f>
        <v>5.2495595267745956E-2</v>
      </c>
      <c r="H94" s="23">
        <f t="shared" si="39"/>
        <v>5.0149423412204235E-2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-0.16264745638859279</v>
      </c>
      <c r="D98" s="27"/>
      <c r="E98" s="265"/>
      <c r="F98" s="27"/>
      <c r="G98" s="6">
        <f t="shared" ref="G98:Q98" si="41">IF(H5="","",G13/H13-1)</f>
        <v>-2.101291017168494E-2</v>
      </c>
      <c r="H98" s="6">
        <f t="shared" si="41"/>
        <v>0.7381500784412538</v>
      </c>
      <c r="I98" s="6">
        <f t="shared" si="41"/>
        <v>-6.3506891686627416</v>
      </c>
      <c r="J98" s="6">
        <f t="shared" si="41"/>
        <v>-0.82818918471753866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165.02998627046992</v>
      </c>
      <c r="H115" s="295">
        <f>IF(H$4="","",Data!D$22/H19)</f>
        <v>161.87720393498526</v>
      </c>
      <c r="I115" s="295">
        <f>IF(I$4="","",Data!E$22/I19)</f>
        <v>117.39300452137104</v>
      </c>
      <c r="J115" s="295">
        <f>IF(J$4="","",Data!F$22/J19)</f>
        <v>-5922.3560529619417</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0.1137378982106735</v>
      </c>
      <c r="E118" s="268"/>
      <c r="G118" s="23">
        <f t="shared" ref="G118:Q118" si="45">IF(G4="","",IF(valuation_method="DDM",G13/(G4+G12),G81))</f>
        <v>0.135830360913618</v>
      </c>
      <c r="H118" s="23">
        <f t="shared" si="45"/>
        <v>0.13521160900493528</v>
      </c>
      <c r="I118" s="23">
        <f t="shared" si="45"/>
        <v>9.9477647322763457E-2</v>
      </c>
      <c r="J118" s="23">
        <f t="shared" si="45"/>
        <v>-2.6492601960617063E-2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0.26418111425166535</v>
      </c>
      <c r="D121" s="103"/>
      <c r="E121" s="271"/>
      <c r="F121" s="103"/>
      <c r="G121" s="102">
        <f t="shared" ref="G121:Q121" si="48">IF(G$4="","",G13/G106)</f>
        <v>0.31549568490265989</v>
      </c>
      <c r="H121" s="102">
        <f t="shared" si="48"/>
        <v>0.32806432694193427</v>
      </c>
      <c r="I121" s="102">
        <f t="shared" si="48"/>
        <v>0.26533515490054621</v>
      </c>
      <c r="J121" s="102">
        <f t="shared" si="48"/>
        <v>-7.3680498268669084E-2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1.553266585645011</v>
      </c>
      <c r="D125" s="27"/>
      <c r="E125" s="265"/>
      <c r="F125" s="27"/>
      <c r="G125" s="177">
        <f t="shared" ref="G125:Q125" si="49">IF(G$4="","",G16*$C$3/Common_Shares*Exchange_Rate)</f>
        <v>1.9424669828096228</v>
      </c>
      <c r="H125" s="177">
        <f t="shared" si="49"/>
        <v>1.8730096306935351</v>
      </c>
      <c r="I125" s="177">
        <f t="shared" si="49"/>
        <v>1.3426273287707955</v>
      </c>
      <c r="J125" s="177">
        <f t="shared" si="49"/>
        <v>-3.7097998448140726E-2</v>
      </c>
      <c r="K125" s="177">
        <f t="shared" si="49"/>
        <v>-1.2327688217466344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9.6716474822229823E-2</v>
      </c>
      <c r="D126" s="27"/>
      <c r="E126" s="265"/>
      <c r="F126" s="27"/>
      <c r="G126" s="77">
        <f t="shared" ref="G126" si="50">IF(G$4="","",G125/Market_Price)</f>
        <v>0.12095062159462161</v>
      </c>
      <c r="H126" s="77">
        <f t="shared" ref="H126" si="51">IF(H$4="","",H125/Market_Price)</f>
        <v>0.11662575533583656</v>
      </c>
      <c r="I126" s="77">
        <f t="shared" ref="I126" si="52">IF(I$4="","",I125/Market_Price)</f>
        <v>8.3600705402913797E-2</v>
      </c>
      <c r="J126" s="77">
        <f t="shared" ref="J126" si="53">IF(J$4="","",J125/Market_Price)</f>
        <v>-2.3099625434707801E-3</v>
      </c>
      <c r="K126" s="77">
        <f t="shared" ref="K126" si="54">IF(K$4="","",K125/Market_Price)</f>
        <v>-7.6760200606888818E-2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1.6774709442009986E-2</v>
      </c>
      <c r="H127" s="23">
        <f>IF(H$4="","",(Data!D47*$C$3)/(Market_Price*Common_Shares))</f>
        <v>2.0272817127582117E-2</v>
      </c>
      <c r="I127" s="23">
        <f>IF(I$4="","",(Data!E47*$C$3)/(Market_Price*Common_Shares))</f>
        <v>1.5230499742973639E-2</v>
      </c>
      <c r="J127" s="23">
        <f>IF(J$4="","",(Data!F47*$C$3)/(Market_Price*Common_Shares))</f>
        <v>1.0579862369491E-3</v>
      </c>
      <c r="K127" s="23">
        <f>IF(K$4="","",(Data!G47*$C$3)/(Market_Price*Common_Shares))</f>
        <v>-5.7986649922997478E-2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273.66810098595624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3648.9080131460832</v>
      </c>
      <c r="D6" t="str">
        <f>Reporting_currency</f>
        <v>USD</v>
      </c>
      <c r="E6" s="375" t="s">
        <v>245</v>
      </c>
      <c r="F6" s="375"/>
      <c r="H6" s="120"/>
    </row>
    <row r="7" spans="2:8">
      <c r="B7" s="148" t="s">
        <v>220</v>
      </c>
      <c r="C7" s="338">
        <f>BS!G31</f>
        <v>2323</v>
      </c>
      <c r="D7" t="str">
        <f>Reporting_currency</f>
        <v>USD</v>
      </c>
      <c r="E7" s="375"/>
      <c r="F7" s="375"/>
      <c r="H7" s="120"/>
    </row>
    <row r="8" spans="2:8">
      <c r="B8" s="148" t="s">
        <v>221</v>
      </c>
      <c r="C8" s="338">
        <f>BS!D66</f>
        <v>326.17386205966619</v>
      </c>
      <c r="D8" t="str">
        <f>Reporting_currency</f>
        <v>USD</v>
      </c>
      <c r="E8" s="375"/>
      <c r="F8" s="375"/>
      <c r="H8" s="120"/>
    </row>
    <row r="9" spans="2:8">
      <c r="B9" s="205" t="s">
        <v>186</v>
      </c>
      <c r="C9" s="348">
        <f>BS!H42</f>
        <v>0</v>
      </c>
      <c r="D9" t="str">
        <f>Reporting_currency</f>
        <v>USD</v>
      </c>
      <c r="E9" s="375"/>
      <c r="F9" s="375"/>
      <c r="H9" s="120"/>
    </row>
    <row r="10" spans="2:8" ht="13.15">
      <c r="B10" s="149" t="s">
        <v>223</v>
      </c>
      <c r="C10" s="347">
        <f>C6-C7+C8+C9</f>
        <v>1652.0818752057494</v>
      </c>
      <c r="D10" t="str">
        <f>Reporting_currency</f>
        <v>USD</v>
      </c>
      <c r="H10" s="120"/>
    </row>
    <row r="11" spans="2:8" ht="13.15" thickBot="1">
      <c r="B11" s="207" t="s">
        <v>162</v>
      </c>
      <c r="C11" s="208">
        <f>Exchange_Rate</f>
        <v>7.8498999999999999</v>
      </c>
      <c r="D11" t="str">
        <f>Thesis!C15</f>
        <v>USD/HKD</v>
      </c>
      <c r="H11" s="120"/>
    </row>
    <row r="12" spans="2:8" ht="13.5" thickTop="1">
      <c r="B12" s="149" t="s">
        <v>99</v>
      </c>
      <c r="C12" s="111">
        <f>(C10*scaling_factor)/Common_Shares*Exchange_Rate</f>
        <v>9.3767726829022227</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0.111211776070739</v>
      </c>
      <c r="H16" s="120"/>
    </row>
    <row r="17" spans="2:17" ht="13.35" customHeight="1">
      <c r="B17" s="118" t="s">
        <v>130</v>
      </c>
      <c r="C17" s="162">
        <f>Scenarios!C64</f>
        <v>10</v>
      </c>
      <c r="H17" s="120"/>
    </row>
    <row r="18" spans="2:17" ht="13.35" customHeight="1">
      <c r="B18" s="153" t="s">
        <v>103</v>
      </c>
      <c r="C18" s="140">
        <f>(F52-C7+C8+C9)*Exchange_Rate/Common_Shares*scaling_factor</f>
        <v>18.554289897880711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304.10321655051081</v>
      </c>
      <c r="D21" s="138">
        <f>IF($C$17&lt;B21,0,DCF!$C$16)</f>
        <v>0.111211776070739</v>
      </c>
      <c r="E21" s="124">
        <f t="shared" ref="E21:E50" si="0">IF($C$17&lt;B21,0,1/(1+Equity_Cost)^B21)</f>
        <v>0.93023255813953487</v>
      </c>
      <c r="F21" s="125">
        <f t="shared" ref="F21:F51" si="1">C21*E21</f>
        <v>282.88671307024259</v>
      </c>
      <c r="H21" s="120"/>
    </row>
    <row r="22" spans="2:17">
      <c r="B22" s="122">
        <v>2</v>
      </c>
      <c r="C22" s="123">
        <f t="shared" ref="C22:C50" si="2">IF(ROW()-ROW($C$21)&lt;$C$17, $C$21*(1+D22)^(ROW()-ROW($C$21)), 0)</f>
        <v>337.92307537191766</v>
      </c>
      <c r="D22" s="138">
        <f>IF($C$17&lt;B22,0,DCF!$C$16)</f>
        <v>0.111211776070739</v>
      </c>
      <c r="E22" s="124">
        <f t="shared" si="0"/>
        <v>0.86533261222282321</v>
      </c>
      <c r="F22" s="125">
        <f t="shared" si="1"/>
        <v>292.41585754195148</v>
      </c>
      <c r="H22" s="120"/>
    </row>
    <row r="23" spans="2:17">
      <c r="B23" s="122">
        <v>3</v>
      </c>
      <c r="C23" s="123">
        <f t="shared" si="2"/>
        <v>375.50410075931484</v>
      </c>
      <c r="D23" s="138">
        <f>IF($C$17&lt;B23,0,DCF!$C$16)</f>
        <v>0.111211776070739</v>
      </c>
      <c r="E23" s="124">
        <f t="shared" si="0"/>
        <v>0.80496056950960304</v>
      </c>
      <c r="F23" s="125">
        <f t="shared" si="1"/>
        <v>302.26599480040943</v>
      </c>
      <c r="G23" s="338"/>
      <c r="H23" s="339"/>
      <c r="I23" s="338"/>
      <c r="J23" s="338"/>
      <c r="K23" s="338"/>
      <c r="L23" s="338"/>
      <c r="M23" s="338"/>
      <c r="N23" s="338"/>
      <c r="O23" s="338"/>
      <c r="P23" s="338"/>
      <c r="Q23" s="338"/>
    </row>
    <row r="24" spans="2:17">
      <c r="B24" s="122">
        <v>4</v>
      </c>
      <c r="C24" s="123">
        <f t="shared" si="2"/>
        <v>417.26457872660393</v>
      </c>
      <c r="D24" s="138">
        <f>IF($C$17&lt;B24,0,DCF!$C$16)</f>
        <v>0.111211776070739</v>
      </c>
      <c r="E24" s="124">
        <f t="shared" si="0"/>
        <v>0.7488005297763749</v>
      </c>
      <c r="F24" s="125">
        <f t="shared" si="1"/>
        <v>312.44793760739691</v>
      </c>
      <c r="G24" s="338"/>
      <c r="H24" s="339"/>
      <c r="I24" s="338"/>
      <c r="J24" s="338"/>
      <c r="K24" s="338"/>
      <c r="L24" s="338"/>
      <c r="M24" s="338"/>
      <c r="N24" s="338"/>
      <c r="O24" s="338"/>
      <c r="P24" s="338"/>
      <c r="Q24" s="338"/>
    </row>
    <row r="25" spans="2:17">
      <c r="B25" s="122">
        <v>5</v>
      </c>
      <c r="C25" s="123">
        <f t="shared" si="2"/>
        <v>463.66931361819826</v>
      </c>
      <c r="D25" s="138">
        <f>IF($C$17&lt;B25,0,DCF!$C$16)</f>
        <v>0.111211776070739</v>
      </c>
      <c r="E25" s="124">
        <f t="shared" si="0"/>
        <v>0.69655863235011617</v>
      </c>
      <c r="F25" s="125">
        <f t="shared" si="1"/>
        <v>322.97286295660928</v>
      </c>
      <c r="G25" s="338"/>
      <c r="H25" s="339"/>
      <c r="I25" s="338"/>
      <c r="J25" s="338"/>
      <c r="K25" s="338"/>
      <c r="L25" s="338"/>
      <c r="M25" s="338"/>
      <c r="N25" s="338"/>
      <c r="O25" s="338"/>
      <c r="P25" s="338"/>
      <c r="Q25" s="338"/>
    </row>
    <row r="26" spans="2:17">
      <c r="B26" s="122">
        <v>6</v>
      </c>
      <c r="C26" s="123">
        <f t="shared" si="2"/>
        <v>515.23480149517866</v>
      </c>
      <c r="D26" s="138">
        <f>IF($C$17&lt;B26,0,DCF!$C$16)</f>
        <v>0.111211776070739</v>
      </c>
      <c r="E26" s="124">
        <f t="shared" si="0"/>
        <v>0.64796151846522443</v>
      </c>
      <c r="F26" s="125">
        <f t="shared" si="1"/>
        <v>333.85232434294443</v>
      </c>
      <c r="H26" s="120"/>
    </row>
    <row r="27" spans="2:17">
      <c r="B27" s="122">
        <v>7</v>
      </c>
      <c r="C27" s="123">
        <f t="shared" si="2"/>
        <v>572.53497886291211</v>
      </c>
      <c r="D27" s="138">
        <f>IF($C$17&lt;B27,0,DCF!$C$16)</f>
        <v>0.111211776070739</v>
      </c>
      <c r="E27" s="124">
        <f t="shared" si="0"/>
        <v>0.60275490089788319</v>
      </c>
      <c r="F27" s="125">
        <f t="shared" si="1"/>
        <v>345.09826444508622</v>
      </c>
      <c r="H27" s="120"/>
    </row>
    <row r="28" spans="2:17">
      <c r="B28" s="122">
        <v>8</v>
      </c>
      <c r="C28" s="123">
        <f t="shared" si="2"/>
        <v>636.20761072487949</v>
      </c>
      <c r="D28" s="138">
        <f>IF($C$17&lt;B28,0,DCF!$C$16)</f>
        <v>0.111211776070739</v>
      </c>
      <c r="E28" s="124">
        <f t="shared" si="0"/>
        <v>0.56070223339337966</v>
      </c>
      <c r="F28" s="125">
        <f t="shared" si="1"/>
        <v>356.72302823530583</v>
      </c>
      <c r="H28" s="120"/>
    </row>
    <row r="29" spans="2:17">
      <c r="B29" s="122">
        <v>9</v>
      </c>
      <c r="C29" s="123">
        <f t="shared" si="2"/>
        <v>706.96138906331475</v>
      </c>
      <c r="D29" s="138">
        <f>IF($C$17&lt;B29,0,DCF!$C$16)</f>
        <v>0.111211776070739</v>
      </c>
      <c r="E29" s="124">
        <f t="shared" si="0"/>
        <v>0.52158347292407414</v>
      </c>
      <c r="F29" s="125">
        <f t="shared" si="1"/>
        <v>368.73937653087125</v>
      </c>
      <c r="H29" s="120"/>
    </row>
    <row r="30" spans="2:17">
      <c r="B30" s="122">
        <v>10</v>
      </c>
      <c r="C30" s="123">
        <f t="shared" si="2"/>
        <v>785.58382075448253</v>
      </c>
      <c r="D30" s="138">
        <f>IF($C$17&lt;B30,0,DCF!$C$16)</f>
        <v>0.111211776070739</v>
      </c>
      <c r="E30" s="124">
        <f t="shared" si="0"/>
        <v>0.48519392830146441</v>
      </c>
      <c r="F30" s="125">
        <f t="shared" si="1"/>
        <v>381.16050000194087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4054.7095540068108</v>
      </c>
      <c r="D51" s="139">
        <f>Terminal_Growth</f>
        <v>0</v>
      </c>
      <c r="E51" s="124">
        <f>1/(1+Equity_Cost)^C17</f>
        <v>0.48519392830146441</v>
      </c>
      <c r="F51" s="125">
        <f t="shared" si="1"/>
        <v>1967.3204566300433</v>
      </c>
      <c r="H51" s="120"/>
    </row>
    <row r="52" spans="1:17">
      <c r="C52" s="114"/>
      <c r="E52" s="127" t="s">
        <v>97</v>
      </c>
      <c r="F52" s="137">
        <f>SUM(F21:F51)</f>
        <v>5265.8833161628017</v>
      </c>
      <c r="H52" s="120"/>
    </row>
    <row r="53" spans="1:17">
      <c r="C53" s="114"/>
      <c r="H53" s="120"/>
    </row>
    <row r="54" spans="1:17" ht="13.15">
      <c r="B54" s="119" t="s">
        <v>125</v>
      </c>
      <c r="C54" s="136"/>
      <c r="D54" s="136"/>
      <c r="E54" s="117"/>
      <c r="F54" s="117"/>
      <c r="H54" s="120"/>
    </row>
    <row r="55" spans="1:17" ht="13.15">
      <c r="A55" s="133">
        <f>F52</f>
        <v>5265.8833161628017</v>
      </c>
      <c r="B55" s="131">
        <f>C78</f>
        <v>0</v>
      </c>
      <c r="C55" s="131">
        <f>C77</f>
        <v>0.02</v>
      </c>
      <c r="D55" s="131">
        <f>C76</f>
        <v>0.06</v>
      </c>
      <c r="E55" s="131">
        <f>C75</f>
        <v>0.15</v>
      </c>
      <c r="F55" s="131">
        <f>C74</f>
        <v>0.25</v>
      </c>
      <c r="H55" s="120"/>
    </row>
    <row r="56" spans="1:17" ht="13.15">
      <c r="A56" s="143">
        <v>5</v>
      </c>
      <c r="B56" s="123">
        <f t="dataTable" ref="B56:F61" dt2D="1" dtr="1" r1="C16" r2="C17"/>
        <v>3648.9080131460837</v>
      </c>
      <c r="C56" s="123">
        <v>3764.6167227943611</v>
      </c>
      <c r="D56" s="123">
        <v>4006.2947851905938</v>
      </c>
      <c r="E56" s="123">
        <v>4605.7424449037653</v>
      </c>
      <c r="F56" s="123">
        <v>5377.640196827575</v>
      </c>
      <c r="H56" s="120"/>
    </row>
    <row r="57" spans="1:17" ht="13.15">
      <c r="A57" s="143">
        <v>10</v>
      </c>
      <c r="B57" s="123">
        <v>3648.9080131460842</v>
      </c>
      <c r="C57" s="123">
        <v>3879.3567558431887</v>
      </c>
      <c r="D57" s="123">
        <v>4411.8614406484267</v>
      </c>
      <c r="E57" s="123">
        <v>6076.4720543362673</v>
      </c>
      <c r="F57" s="123">
        <v>9091.3320188463185</v>
      </c>
      <c r="H57" s="120"/>
    </row>
    <row r="58" spans="1:17" ht="13.15">
      <c r="A58" s="143">
        <v>15</v>
      </c>
      <c r="B58" s="123">
        <v>3648.9080131460837</v>
      </c>
      <c r="C58" s="341">
        <v>4024.6310744751513</v>
      </c>
      <c r="D58" s="123">
        <v>4982.5154751118935</v>
      </c>
      <c r="E58" s="123">
        <v>8761.8265099640812</v>
      </c>
      <c r="F58" s="123">
        <v>18363.441109748881</v>
      </c>
      <c r="G58" s="338"/>
      <c r="H58" s="339"/>
      <c r="I58" s="338"/>
      <c r="J58" s="338"/>
      <c r="K58" s="338"/>
      <c r="L58" s="338"/>
      <c r="M58" s="338"/>
      <c r="N58" s="338"/>
      <c r="O58" s="338"/>
      <c r="P58" s="338"/>
      <c r="Q58" s="338"/>
    </row>
    <row r="59" spans="1:17" ht="13.15">
      <c r="A59" s="144">
        <v>20</v>
      </c>
      <c r="B59" s="123">
        <v>3648.9080131460842</v>
      </c>
      <c r="C59" s="341">
        <v>4176.0819217326462</v>
      </c>
      <c r="D59" s="123">
        <v>5648.6121049522362</v>
      </c>
      <c r="E59" s="123">
        <v>12959.30816939905</v>
      </c>
      <c r="F59" s="123">
        <v>39033.150411101582</v>
      </c>
      <c r="G59" s="338"/>
      <c r="H59" s="339"/>
      <c r="I59" s="338"/>
      <c r="J59" s="338"/>
      <c r="K59" s="338"/>
      <c r="L59" s="338"/>
      <c r="M59" s="338"/>
      <c r="N59" s="338"/>
      <c r="O59" s="338"/>
      <c r="P59" s="338"/>
      <c r="Q59" s="338"/>
    </row>
    <row r="60" spans="1:17" ht="13.15">
      <c r="A60" s="144">
        <v>25</v>
      </c>
      <c r="B60" s="123">
        <v>3648.9080131460842</v>
      </c>
      <c r="C60" s="341">
        <v>4320.2281737153035</v>
      </c>
      <c r="D60" s="123">
        <v>6362.9661021271613</v>
      </c>
      <c r="E60" s="123">
        <v>19143.257641567412</v>
      </c>
      <c r="F60" s="123">
        <v>83639.84014783446</v>
      </c>
      <c r="G60" s="338"/>
      <c r="H60" s="339"/>
      <c r="I60" s="338"/>
      <c r="J60" s="338"/>
      <c r="K60" s="338"/>
      <c r="L60" s="338"/>
      <c r="M60" s="338"/>
      <c r="N60" s="338"/>
      <c r="O60" s="338"/>
      <c r="P60" s="338"/>
      <c r="Q60" s="338"/>
    </row>
    <row r="61" spans="1:17" ht="13.15">
      <c r="A61" s="144">
        <v>30</v>
      </c>
      <c r="B61" s="123">
        <v>3648.9080131460837</v>
      </c>
      <c r="C61" s="341">
        <v>4450.3599715561313</v>
      </c>
      <c r="D61" s="123">
        <v>7093.9466398945979</v>
      </c>
      <c r="E61" s="123">
        <v>28018.313503790068</v>
      </c>
      <c r="F61" s="123">
        <v>178927.19336221926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9.3767726829022227</v>
      </c>
      <c r="C65" s="124">
        <f>C12</f>
        <v>9.3767726829022227</v>
      </c>
      <c r="D65" s="124">
        <f>C12</f>
        <v>9.3767726829022227</v>
      </c>
      <c r="E65" s="141">
        <f>C12</f>
        <v>9.3767726829022227</v>
      </c>
      <c r="F65" s="124">
        <f>C12</f>
        <v>9.3767726829022227</v>
      </c>
      <c r="H65" s="120"/>
    </row>
    <row r="66" spans="1:8" ht="13.15">
      <c r="A66" s="143">
        <f t="shared" ref="A66:A71" si="3">A56</f>
        <v>5</v>
      </c>
      <c r="B66" s="124">
        <f t="shared" ref="B66:F71" si="4">(B56-$C$7+$C$8+$C$9)/Common_Shares*$C$3*Exchange_Rate</f>
        <v>9.3767726829022244</v>
      </c>
      <c r="C66" s="124">
        <f t="shared" si="4"/>
        <v>10.033504219085145</v>
      </c>
      <c r="D66" s="124">
        <f t="shared" si="4"/>
        <v>11.405203943865134</v>
      </c>
      <c r="E66" s="124">
        <f t="shared" si="4"/>
        <v>14.807507742959904</v>
      </c>
      <c r="F66" s="124">
        <f t="shared" si="4"/>
        <v>19.188591914911981</v>
      </c>
      <c r="H66" s="120"/>
    </row>
    <row r="67" spans="1:8" ht="13.15">
      <c r="A67" s="143">
        <f t="shared" si="3"/>
        <v>10</v>
      </c>
      <c r="B67" s="124">
        <f t="shared" si="4"/>
        <v>9.376772682902228</v>
      </c>
      <c r="C67" s="124">
        <f t="shared" si="4"/>
        <v>10.684737807247085</v>
      </c>
      <c r="D67" s="124">
        <f t="shared" si="4"/>
        <v>13.707091273462169</v>
      </c>
      <c r="E67" s="124">
        <f t="shared" si="4"/>
        <v>23.154973708558405</v>
      </c>
      <c r="F67" s="124">
        <f t="shared" si="4"/>
        <v>40.266508543642004</v>
      </c>
      <c r="H67" s="120"/>
    </row>
    <row r="68" spans="1:8" ht="13.15">
      <c r="A68" s="143">
        <f t="shared" si="3"/>
        <v>15</v>
      </c>
      <c r="B68" s="124">
        <f t="shared" si="4"/>
        <v>9.3767726829022244</v>
      </c>
      <c r="C68" s="124">
        <f t="shared" si="4"/>
        <v>11.50927579348083</v>
      </c>
      <c r="D68" s="124">
        <f t="shared" si="4"/>
        <v>16.94597019468911</v>
      </c>
      <c r="E68" s="124">
        <f t="shared" si="4"/>
        <v>38.396323838560129</v>
      </c>
      <c r="F68" s="124">
        <f t="shared" si="4"/>
        <v>92.892507618679815</v>
      </c>
      <c r="H68" s="120"/>
    </row>
    <row r="69" spans="1:8" ht="13.15">
      <c r="A69" s="144">
        <f t="shared" si="3"/>
        <v>20</v>
      </c>
      <c r="B69" s="124">
        <f t="shared" si="4"/>
        <v>9.376772682902228</v>
      </c>
      <c r="C69" s="124">
        <f t="shared" si="4"/>
        <v>12.36887009608742</v>
      </c>
      <c r="D69" s="124">
        <f t="shared" si="4"/>
        <v>20.726555634549531</v>
      </c>
      <c r="E69" s="124">
        <f t="shared" si="4"/>
        <v>62.220101553130831</v>
      </c>
      <c r="F69" s="124">
        <f t="shared" si="4"/>
        <v>210.20822208126742</v>
      </c>
      <c r="H69" s="120"/>
    </row>
    <row r="70" spans="1:8" ht="13.15">
      <c r="A70" s="144">
        <f t="shared" si="3"/>
        <v>25</v>
      </c>
      <c r="B70" s="124">
        <f t="shared" si="4"/>
        <v>9.376772682902228</v>
      </c>
      <c r="C70" s="124">
        <f t="shared" si="4"/>
        <v>13.187005479217504</v>
      </c>
      <c r="D70" s="124">
        <f t="shared" si="4"/>
        <v>24.781036920955295</v>
      </c>
      <c r="E70" s="124">
        <f t="shared" si="4"/>
        <v>97.31853665693248</v>
      </c>
      <c r="F70" s="124">
        <f t="shared" si="4"/>
        <v>463.38380379751925</v>
      </c>
    </row>
    <row r="71" spans="1:8" ht="13.15">
      <c r="A71" s="144">
        <f t="shared" si="3"/>
        <v>30</v>
      </c>
      <c r="B71" s="124">
        <f t="shared" si="4"/>
        <v>9.3767726829022244</v>
      </c>
      <c r="C71" s="124">
        <f t="shared" si="4"/>
        <v>13.92559858739434</v>
      </c>
      <c r="D71" s="124">
        <f t="shared" si="4"/>
        <v>28.929885982940949</v>
      </c>
      <c r="E71" s="124">
        <f t="shared" si="4"/>
        <v>147.6909683245558</v>
      </c>
      <c r="F71" s="124">
        <f t="shared" si="4"/>
        <v>1004.2092096421444</v>
      </c>
    </row>
    <row r="73" spans="1:8" ht="13.15">
      <c r="B73" s="171" t="s">
        <v>113</v>
      </c>
      <c r="C73" s="171" t="s">
        <v>128</v>
      </c>
      <c r="D73" s="171" t="s">
        <v>108</v>
      </c>
      <c r="E73" s="172" t="s">
        <v>109</v>
      </c>
      <c r="F73" s="172" t="s">
        <v>115</v>
      </c>
    </row>
    <row r="74" spans="1:8">
      <c r="B74" s="127" t="str">
        <f>Scenarios!B54</f>
        <v>Snowball Scenario</v>
      </c>
      <c r="C74" s="142">
        <f>Scenarios!C56</f>
        <v>0.25</v>
      </c>
      <c r="D74" s="145">
        <f>Scenarios!C55</f>
        <v>15</v>
      </c>
      <c r="E74" s="135">
        <f>INDEX(B$65:F$71, MATCH(D74, A$65:A$71, 0), MATCH(C74, B$64:F$64, 0))</f>
        <v>92.892507618679815</v>
      </c>
      <c r="F74" s="142">
        <f>Scenarios!C58</f>
        <v>0.05</v>
      </c>
    </row>
    <row r="75" spans="1:8">
      <c r="B75" s="127" t="str">
        <f>Scenarios!B36</f>
        <v>Optimistic</v>
      </c>
      <c r="C75" s="142">
        <f>Scenarios!C38</f>
        <v>0.15</v>
      </c>
      <c r="D75" s="145">
        <f>Scenarios!C37</f>
        <v>10</v>
      </c>
      <c r="E75" s="135">
        <f>INDEX(B$65:F$71, MATCH(D75, A$65:A$71, 0), MATCH(C75, B$64:F$64, 0))</f>
        <v>23.154973708558405</v>
      </c>
      <c r="F75" s="142">
        <f>Scenarios!C40*(1-F$74-F$78)</f>
        <v>0.18</v>
      </c>
      <c r="H75" s="120"/>
    </row>
    <row r="76" spans="1:8">
      <c r="B76" s="127" t="str">
        <f>Scenarios!B24</f>
        <v>Base</v>
      </c>
      <c r="C76" s="142">
        <f>Scenarios!C26</f>
        <v>0.06</v>
      </c>
      <c r="D76" s="145">
        <f>Scenarios!C25</f>
        <v>10</v>
      </c>
      <c r="E76" s="135">
        <f>INDEX(B$65:F$71, MATCH(D76, A$65:A$71, 0), MATCH(C76, B$64:F$64, 0))</f>
        <v>13.707091273462169</v>
      </c>
      <c r="F76" s="142">
        <f>Scenarios!C28*(1-F$74-F$78)</f>
        <v>0.53999999999999992</v>
      </c>
      <c r="H76" s="120"/>
    </row>
    <row r="77" spans="1:8">
      <c r="B77" s="127" t="str">
        <f>Scenarios!B30</f>
        <v>Pessimistic</v>
      </c>
      <c r="C77" s="142">
        <f>Scenarios!C32</f>
        <v>0.02</v>
      </c>
      <c r="D77" s="145">
        <f>Scenarios!C31</f>
        <v>10</v>
      </c>
      <c r="E77" s="135">
        <f>INDEX(B$65:F$71, MATCH(D77, A$65:A$71, 0), MATCH(C77, B$64:F$64, 0))</f>
        <v>10.684737807247085</v>
      </c>
      <c r="F77" s="142">
        <f>Scenarios!C34*(1-F$74-F$78)</f>
        <v>0.18</v>
      </c>
      <c r="H77" s="120"/>
    </row>
    <row r="78" spans="1:8">
      <c r="B78" s="127" t="str">
        <f>Scenarios!B48</f>
        <v>Devil's advocate</v>
      </c>
      <c r="C78" s="142">
        <f>Scenarios!C50</f>
        <v>0</v>
      </c>
      <c r="D78" s="145">
        <f>Scenarios!C49</f>
        <v>15</v>
      </c>
      <c r="E78" s="135">
        <f>INDEX(B$65:F$71, MATCH(D78, A$65:A$71, 0), MATCH(C78, B$64:F$64, 0))</f>
        <v>9.3767726829022244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1166.0326436282187</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15547.101915042917</v>
      </c>
      <c r="D6" t="str">
        <f>Reporting_currency</f>
        <v>USD</v>
      </c>
      <c r="E6" s="375"/>
      <c r="F6" s="375"/>
      <c r="H6" s="120"/>
    </row>
    <row r="7" spans="2:8" ht="13.15">
      <c r="B7" s="149" t="s">
        <v>420</v>
      </c>
      <c r="C7" s="111">
        <f>(C6*scaling_factor)/Common_Shares*Exchange_Rate</f>
        <v>88.241171774320023</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0.111211776070739</v>
      </c>
      <c r="H11" s="120"/>
    </row>
    <row r="12" spans="2:8" ht="13.35" customHeight="1">
      <c r="B12" s="118" t="s">
        <v>130</v>
      </c>
      <c r="C12" s="162">
        <f>Scenarios!C64</f>
        <v>10</v>
      </c>
      <c r="H12" s="120"/>
    </row>
    <row r="13" spans="2:8" ht="13.35" customHeight="1">
      <c r="B13" s="153" t="s">
        <v>103</v>
      </c>
      <c r="C13" s="140">
        <f>F47/Common_Shares*scaling_factor</f>
        <v>16.222413183861367</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1295.7092048825718</v>
      </c>
      <c r="D16" s="138">
        <f>IF($C$12&lt;B16,0,DDM!$C$11)</f>
        <v>0.111211776070739</v>
      </c>
      <c r="E16" s="124">
        <f t="shared" ref="E16:E45" si="0">IF($C$12&lt;B16,0,1/(1+Equity_Cost)^B16)</f>
        <v>0.93023255813953487</v>
      </c>
      <c r="F16" s="125">
        <f t="shared" ref="F16:F46" si="1">C16*E16</f>
        <v>1205.3108882628576</v>
      </c>
      <c r="H16" s="120"/>
    </row>
    <row r="17" spans="2:8">
      <c r="B17" s="122">
        <v>2</v>
      </c>
      <c r="C17" s="123">
        <f t="shared" ref="C17:C45" si="2">IF(ROW()-ROW($C$16)&lt;$C$12, $C$16*(1+D17)^(ROW()-ROW($C$16)), 0)</f>
        <v>1439.8073268287676</v>
      </c>
      <c r="D17" s="138">
        <f>IF($C$12&lt;B17,0,DDM!$C$11)</f>
        <v>0.111211776070739</v>
      </c>
      <c r="E17" s="124">
        <f t="shared" si="0"/>
        <v>0.86533261222282321</v>
      </c>
      <c r="F17" s="125">
        <f t="shared" si="1"/>
        <v>1245.9122352222976</v>
      </c>
      <c r="H17" s="120"/>
    </row>
    <row r="18" spans="2:8">
      <c r="B18" s="122">
        <v>3</v>
      </c>
      <c r="C18" s="123">
        <f t="shared" si="2"/>
        <v>1599.9308568450579</v>
      </c>
      <c r="D18" s="138">
        <f>IF($C$12&lt;B18,0,DDM!$C$11)</f>
        <v>0.111211776070739</v>
      </c>
      <c r="E18" s="124">
        <f t="shared" si="0"/>
        <v>0.80496056950960304</v>
      </c>
      <c r="F18" s="125">
        <f t="shared" si="1"/>
        <v>1287.8812537019849</v>
      </c>
      <c r="H18" s="120"/>
    </row>
    <row r="19" spans="2:8">
      <c r="B19" s="122">
        <v>4</v>
      </c>
      <c r="C19" s="123">
        <f t="shared" si="2"/>
        <v>1777.8620090251759</v>
      </c>
      <c r="D19" s="138">
        <f>IF($C$12&lt;B19,0,DDM!$C$11)</f>
        <v>0.111211776070739</v>
      </c>
      <c r="E19" s="124">
        <f t="shared" si="0"/>
        <v>0.7488005297763749</v>
      </c>
      <c r="F19" s="125">
        <f t="shared" si="1"/>
        <v>1331.2640142273419</v>
      </c>
      <c r="H19" s="120"/>
    </row>
    <row r="20" spans="2:8">
      <c r="B20" s="122">
        <v>5</v>
      </c>
      <c r="C20" s="123">
        <f t="shared" si="2"/>
        <v>1975.5812006575582</v>
      </c>
      <c r="D20" s="138">
        <f>IF($C$12&lt;B20,0,DDM!$C$11)</f>
        <v>0.111211776070739</v>
      </c>
      <c r="E20" s="124">
        <f t="shared" si="0"/>
        <v>0.69655863235011617</v>
      </c>
      <c r="F20" s="125">
        <f t="shared" si="1"/>
        <v>1376.1081392266292</v>
      </c>
      <c r="H20" s="120"/>
    </row>
    <row r="21" spans="2:8">
      <c r="B21" s="122">
        <v>6</v>
      </c>
      <c r="C21" s="123">
        <f t="shared" si="2"/>
        <v>2195.289094754648</v>
      </c>
      <c r="D21" s="138">
        <f>IF($C$12&lt;B21,0,DDM!$C$11)</f>
        <v>0.111211776070739</v>
      </c>
      <c r="E21" s="124">
        <f t="shared" si="0"/>
        <v>0.64796151846522443</v>
      </c>
      <c r="F21" s="125">
        <f t="shared" si="1"/>
        <v>1422.4628553073696</v>
      </c>
      <c r="H21" s="120"/>
    </row>
    <row r="22" spans="2:8">
      <c r="B22" s="122">
        <v>7</v>
      </c>
      <c r="C22" s="123">
        <f t="shared" si="2"/>
        <v>2439.4310939710372</v>
      </c>
      <c r="D22" s="138">
        <f>IF($C$12&lt;B22,0,DDM!$C$11)</f>
        <v>0.111211776070739</v>
      </c>
      <c r="E22" s="124">
        <f t="shared" si="0"/>
        <v>0.60275490089788319</v>
      </c>
      <c r="F22" s="125">
        <f t="shared" si="1"/>
        <v>1470.3790472937274</v>
      </c>
      <c r="H22" s="120"/>
    </row>
    <row r="23" spans="2:8">
      <c r="B23" s="122">
        <v>8</v>
      </c>
      <c r="C23" s="123">
        <f t="shared" si="2"/>
        <v>2710.7245585337419</v>
      </c>
      <c r="D23" s="138">
        <f>IF($C$12&lt;B23,0,DDM!$C$11)</f>
        <v>0.111211776070739</v>
      </c>
      <c r="E23" s="124">
        <f t="shared" si="0"/>
        <v>0.56070223339337966</v>
      </c>
      <c r="F23" s="125">
        <f t="shared" si="1"/>
        <v>1519.9093140841521</v>
      </c>
      <c r="H23" s="120"/>
    </row>
    <row r="24" spans="2:8">
      <c r="B24" s="122">
        <v>9</v>
      </c>
      <c r="C24" s="123">
        <f t="shared" si="2"/>
        <v>3012.1890511268498</v>
      </c>
      <c r="D24" s="138">
        <f>IF($C$12&lt;B24,0,DDM!$C$11)</f>
        <v>0.111211776070739</v>
      </c>
      <c r="E24" s="124">
        <f t="shared" si="0"/>
        <v>0.52158347292407414</v>
      </c>
      <c r="F24" s="125">
        <f t="shared" si="1"/>
        <v>1571.1080263906138</v>
      </c>
      <c r="H24" s="120"/>
    </row>
    <row r="25" spans="2:8">
      <c r="B25" s="122">
        <v>10</v>
      </c>
      <c r="C25" s="123">
        <f t="shared" si="2"/>
        <v>3347.1799453635003</v>
      </c>
      <c r="D25" s="138">
        <f>IF($C$12&lt;B25,0,DDM!$C$11)</f>
        <v>0.111211776070739</v>
      </c>
      <c r="E25" s="124">
        <f t="shared" si="0"/>
        <v>0.48519392830146441</v>
      </c>
      <c r="F25" s="125">
        <f t="shared" si="1"/>
        <v>1624.0313864227978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17276.122731767624</v>
      </c>
      <c r="D46" s="139">
        <f>Terminal_Growth</f>
        <v>0</v>
      </c>
      <c r="E46" s="124">
        <f>1/(1+Equity_Cost)^C12</f>
        <v>0.48519392830146441</v>
      </c>
      <c r="F46" s="125">
        <f t="shared" si="1"/>
        <v>8382.2698540445599</v>
      </c>
      <c r="H46" s="120"/>
    </row>
    <row r="47" spans="2:8">
      <c r="C47" s="114"/>
      <c r="E47" s="127" t="s">
        <v>97</v>
      </c>
      <c r="F47" s="137">
        <f>SUM(F16:F46)</f>
        <v>22436.637014184333</v>
      </c>
      <c r="H47" s="120"/>
    </row>
    <row r="48" spans="2:8">
      <c r="C48" s="114"/>
      <c r="H48" s="120"/>
    </row>
    <row r="49" spans="1:8" ht="13.15">
      <c r="B49" s="119" t="s">
        <v>125</v>
      </c>
      <c r="C49" s="136"/>
      <c r="D49" s="136"/>
      <c r="E49" s="117"/>
      <c r="F49" s="117"/>
      <c r="H49" s="120"/>
    </row>
    <row r="50" spans="1:8" ht="13.15">
      <c r="A50" s="133">
        <f>F47</f>
        <v>22436.637014184333</v>
      </c>
      <c r="B50" s="131">
        <f>C73</f>
        <v>0</v>
      </c>
      <c r="C50" s="131">
        <f>C72</f>
        <v>0.02</v>
      </c>
      <c r="D50" s="131">
        <f>C71</f>
        <v>0.06</v>
      </c>
      <c r="E50" s="131">
        <f>C70</f>
        <v>0.15</v>
      </c>
      <c r="F50" s="131">
        <f>C69</f>
        <v>0.25</v>
      </c>
      <c r="H50" s="120"/>
    </row>
    <row r="51" spans="1:8" ht="13.15">
      <c r="A51" s="143">
        <v>5</v>
      </c>
      <c r="B51" s="123">
        <f t="dataTable" ref="B51:F56" dt2D="1" dtr="1" r1="C11" r2="C12"/>
        <v>15547.101915042917</v>
      </c>
      <c r="C51" s="123">
        <v>16040.108341863976</v>
      </c>
      <c r="D51" s="123">
        <v>17069.839278672305</v>
      </c>
      <c r="E51" s="123">
        <v>19623.938703683358</v>
      </c>
      <c r="F51" s="123">
        <v>22912.805667146473</v>
      </c>
      <c r="H51" s="120"/>
    </row>
    <row r="52" spans="1:8" ht="13.15">
      <c r="A52" s="143">
        <v>10</v>
      </c>
      <c r="B52" s="123">
        <v>15547.10191504292</v>
      </c>
      <c r="C52" s="123">
        <v>16528.98747532491</v>
      </c>
      <c r="D52" s="123">
        <v>18797.859306316004</v>
      </c>
      <c r="E52" s="123">
        <v>25890.356778608657</v>
      </c>
      <c r="F52" s="123">
        <v>38735.935499407147</v>
      </c>
      <c r="H52" s="120"/>
    </row>
    <row r="53" spans="1:8" ht="13.15">
      <c r="A53" s="143">
        <v>15</v>
      </c>
      <c r="B53" s="123">
        <v>15547.10191504292</v>
      </c>
      <c r="C53" s="123">
        <v>17147.965709161552</v>
      </c>
      <c r="D53" s="123">
        <v>21229.27615762339</v>
      </c>
      <c r="E53" s="123">
        <v>37331.993358442262</v>
      </c>
      <c r="F53" s="123">
        <v>78242.117755662039</v>
      </c>
      <c r="H53" s="120"/>
    </row>
    <row r="54" spans="1:8" ht="13.15">
      <c r="A54" s="144">
        <v>20</v>
      </c>
      <c r="B54" s="123">
        <v>15547.101915042922</v>
      </c>
      <c r="C54" s="123">
        <v>17793.260616281372</v>
      </c>
      <c r="D54" s="123">
        <v>24067.350494407125</v>
      </c>
      <c r="E54" s="123">
        <v>55216.433007413565</v>
      </c>
      <c r="F54" s="123">
        <v>166310.67851539733</v>
      </c>
      <c r="H54" s="120"/>
    </row>
    <row r="55" spans="1:8" ht="13.15">
      <c r="A55" s="144">
        <v>25</v>
      </c>
      <c r="B55" s="123">
        <v>15547.101915042922</v>
      </c>
      <c r="C55" s="123">
        <v>18407.432434856102</v>
      </c>
      <c r="D55" s="123">
        <v>27111.037635185756</v>
      </c>
      <c r="E55" s="123">
        <v>81564.724697667334</v>
      </c>
      <c r="F55" s="123">
        <v>356368.84082893463</v>
      </c>
      <c r="H55" s="120"/>
    </row>
    <row r="56" spans="1:8" ht="13.15">
      <c r="A56" s="144">
        <v>30</v>
      </c>
      <c r="B56" s="123">
        <v>15547.101915042924</v>
      </c>
      <c r="C56" s="123">
        <v>18961.89210227719</v>
      </c>
      <c r="D56" s="123">
        <v>30225.566386702478</v>
      </c>
      <c r="E56" s="123">
        <v>119379.16054931475</v>
      </c>
      <c r="F56" s="123">
        <v>762364.8775340186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88.241171774320023</v>
      </c>
      <c r="C60" s="124">
        <f>C7</f>
        <v>88.241171774320023</v>
      </c>
      <c r="D60" s="124">
        <f>C7</f>
        <v>88.241171774320023</v>
      </c>
      <c r="E60" s="141">
        <f>C7</f>
        <v>88.241171774320023</v>
      </c>
      <c r="F60" s="124">
        <f>C7</f>
        <v>88.241171774320023</v>
      </c>
      <c r="H60" s="120"/>
    </row>
    <row r="61" spans="1:8" ht="13.15">
      <c r="A61" s="143">
        <f t="shared" ref="A61:A66" si="3">A51</f>
        <v>5</v>
      </c>
      <c r="B61" s="124">
        <f t="shared" ref="B61:F66" si="4">B51/Common_Shares*$C$3*Exchange_Rate</f>
        <v>88.241171774320023</v>
      </c>
      <c r="C61" s="124">
        <f t="shared" si="4"/>
        <v>91.039343744419995</v>
      </c>
      <c r="D61" s="124">
        <f t="shared" si="4"/>
        <v>96.883819774278479</v>
      </c>
      <c r="E61" s="124">
        <f t="shared" si="4"/>
        <v>111.38020162876575</v>
      </c>
      <c r="F61" s="124">
        <f t="shared" si="4"/>
        <v>130.04692654326783</v>
      </c>
      <c r="H61" s="120"/>
    </row>
    <row r="62" spans="1:8" ht="13.15">
      <c r="A62" s="143">
        <f t="shared" si="3"/>
        <v>10</v>
      </c>
      <c r="B62" s="124">
        <f t="shared" si="4"/>
        <v>88.241171774320037</v>
      </c>
      <c r="C62" s="124">
        <f t="shared" si="4"/>
        <v>93.814090306727323</v>
      </c>
      <c r="D62" s="124">
        <f t="shared" si="4"/>
        <v>106.69159700002852</v>
      </c>
      <c r="E62" s="124">
        <f t="shared" si="4"/>
        <v>146.94670635619426</v>
      </c>
      <c r="F62" s="124">
        <f t="shared" si="4"/>
        <v>219.85475858590144</v>
      </c>
      <c r="H62" s="120"/>
    </row>
    <row r="63" spans="1:8" ht="13.15">
      <c r="A63" s="143">
        <f t="shared" si="3"/>
        <v>15</v>
      </c>
      <c r="B63" s="124">
        <f t="shared" si="4"/>
        <v>88.241171774320037</v>
      </c>
      <c r="C63" s="124">
        <f t="shared" si="4"/>
        <v>97.327244395187776</v>
      </c>
      <c r="D63" s="124">
        <f t="shared" si="4"/>
        <v>120.49166554036516</v>
      </c>
      <c r="E63" s="124">
        <f t="shared" si="4"/>
        <v>211.88636034042386</v>
      </c>
      <c r="F63" s="124">
        <f t="shared" si="4"/>
        <v>444.08123073945194</v>
      </c>
      <c r="H63" s="120"/>
    </row>
    <row r="64" spans="1:8" ht="13.15">
      <c r="A64" s="144">
        <f t="shared" si="3"/>
        <v>20</v>
      </c>
      <c r="B64" s="124">
        <f t="shared" si="4"/>
        <v>88.241171774320051</v>
      </c>
      <c r="C64" s="124">
        <f t="shared" si="4"/>
        <v>100.9897648479005</v>
      </c>
      <c r="D64" s="124">
        <f t="shared" si="4"/>
        <v>136.59981266829448</v>
      </c>
      <c r="E64" s="124">
        <f t="shared" si="4"/>
        <v>313.39363287109217</v>
      </c>
      <c r="F64" s="124">
        <f t="shared" si="4"/>
        <v>943.9347108531756</v>
      </c>
      <c r="H64" s="120"/>
    </row>
    <row r="65" spans="1:8" ht="13.15">
      <c r="A65" s="144">
        <f t="shared" si="3"/>
        <v>25</v>
      </c>
      <c r="B65" s="124">
        <f t="shared" si="4"/>
        <v>88.241171774320051</v>
      </c>
      <c r="C65" s="124">
        <f t="shared" si="4"/>
        <v>104.47563901518576</v>
      </c>
      <c r="D65" s="124">
        <f t="shared" si="4"/>
        <v>153.87496280781133</v>
      </c>
      <c r="E65" s="124">
        <f t="shared" si="4"/>
        <v>462.93945470364639</v>
      </c>
      <c r="F65" s="124">
        <f t="shared" si="4"/>
        <v>2022.6537569792806</v>
      </c>
    </row>
    <row r="66" spans="1:8" ht="13.15">
      <c r="A66" s="144">
        <f t="shared" si="3"/>
        <v>30</v>
      </c>
      <c r="B66" s="124">
        <f t="shared" si="4"/>
        <v>88.241171774320065</v>
      </c>
      <c r="C66" s="124">
        <f t="shared" si="4"/>
        <v>107.62260306174528</v>
      </c>
      <c r="D66" s="124">
        <f t="shared" si="4"/>
        <v>171.55219088931818</v>
      </c>
      <c r="E66" s="124">
        <f t="shared" si="4"/>
        <v>677.56402896630345</v>
      </c>
      <c r="F66" s="124">
        <f t="shared" si="4"/>
        <v>4326.9781391281294</v>
      </c>
    </row>
    <row r="68" spans="1:8" ht="13.15">
      <c r="B68" s="171" t="s">
        <v>113</v>
      </c>
      <c r="C68" s="171" t="s">
        <v>128</v>
      </c>
      <c r="D68" s="171" t="s">
        <v>108</v>
      </c>
      <c r="E68" s="172" t="s">
        <v>109</v>
      </c>
      <c r="F68" s="172" t="s">
        <v>115</v>
      </c>
    </row>
    <row r="69" spans="1:8">
      <c r="B69" s="127" t="str">
        <f>Scenarios!B54</f>
        <v>Snowball Scenario</v>
      </c>
      <c r="C69" s="142">
        <f>Scenarios!C56</f>
        <v>0.25</v>
      </c>
      <c r="D69" s="145">
        <f>Scenarios!C55</f>
        <v>15</v>
      </c>
      <c r="E69" s="135">
        <f>INDEX(B$60:F$66, MATCH(D69, A$60:A$66, 0), MATCH(C69, B$59:F$59, 0))</f>
        <v>444.08123073945194</v>
      </c>
      <c r="F69" s="142">
        <f>Scenarios!C58</f>
        <v>0.05</v>
      </c>
    </row>
    <row r="70" spans="1:8">
      <c r="B70" s="127" t="str">
        <f>Scenarios!B36</f>
        <v>Optimistic</v>
      </c>
      <c r="C70" s="142">
        <f>Scenarios!C38</f>
        <v>0.15</v>
      </c>
      <c r="D70" s="145">
        <f>Scenarios!C37</f>
        <v>10</v>
      </c>
      <c r="E70" s="135">
        <f>INDEX(B$60:F$66, MATCH(D70, A$60:A$66, 0), MATCH(C70, B$59:F$59, 0))</f>
        <v>146.94670635619426</v>
      </c>
      <c r="F70" s="142">
        <f>Scenarios!C40*(1-F$69-F$73)</f>
        <v>0.18</v>
      </c>
      <c r="H70" s="120"/>
    </row>
    <row r="71" spans="1:8">
      <c r="B71" s="127" t="str">
        <f>Scenarios!B24</f>
        <v>Base</v>
      </c>
      <c r="C71" s="142">
        <f>Scenarios!C26</f>
        <v>0.06</v>
      </c>
      <c r="D71" s="145">
        <f>Scenarios!C25</f>
        <v>10</v>
      </c>
      <c r="E71" s="135">
        <f>INDEX(B$60:F$66, MATCH(D71, A$60:A$66, 0), MATCH(C71, B$59:F$59, 0))</f>
        <v>106.69159700002852</v>
      </c>
      <c r="F71" s="142">
        <f>Scenarios!C28*(1-F$69-F$73)</f>
        <v>0.53999999999999992</v>
      </c>
      <c r="H71" s="120"/>
    </row>
    <row r="72" spans="1:8">
      <c r="B72" s="127" t="str">
        <f>Scenarios!B30</f>
        <v>Pessimistic</v>
      </c>
      <c r="C72" s="142">
        <f>Scenarios!C32</f>
        <v>0.02</v>
      </c>
      <c r="D72" s="145">
        <f>Scenarios!C31</f>
        <v>10</v>
      </c>
      <c r="E72" s="135">
        <f>INDEX(B$60:F$66, MATCH(D72, A$60:A$66, 0), MATCH(C72, B$59:F$59, 0))</f>
        <v>93.814090306727323</v>
      </c>
      <c r="F72" s="142">
        <f>Scenarios!C34*(1-F$69-F$73)</f>
        <v>0.18</v>
      </c>
      <c r="H72" s="120"/>
    </row>
    <row r="73" spans="1:8">
      <c r="B73" s="127" t="str">
        <f>Scenarios!B48</f>
        <v>Devil's advocate</v>
      </c>
      <c r="C73" s="142">
        <f>Scenarios!C50</f>
        <v>0</v>
      </c>
      <c r="D73" s="145">
        <f>Scenarios!C49</f>
        <v>15</v>
      </c>
      <c r="E73" s="135">
        <f>INDEX(B$60:F$66, MATCH(D73, A$60:A$66, 0), MATCH(C73, B$59:F$59, 0))</f>
        <v>88.241171774320037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-16.059999999999999</v>
      </c>
    </row>
    <row r="4" spans="2:9">
      <c r="B4" s="152" t="s">
        <v>142</v>
      </c>
      <c r="C4" s="120">
        <v>3</v>
      </c>
      <c r="D4" s="120"/>
      <c r="E4" s="155" t="s">
        <v>146</v>
      </c>
      <c r="F4" s="155"/>
      <c r="H4" s="247">
        <v>1</v>
      </c>
      <c r="I4" s="124">
        <f t="shared" ref="I4:I13" si="0">IF(ROW()-3 &lt; $C$76, $C$77, IF(ROW()-3 = $C$76, $C$77 + $C$60, ""))</f>
        <v>0.84307926</v>
      </c>
    </row>
    <row r="5" spans="2:9">
      <c r="H5" s="247">
        <v>2</v>
      </c>
      <c r="I5" s="124">
        <f t="shared" si="0"/>
        <v>0.84307926</v>
      </c>
    </row>
    <row r="6" spans="2:9" ht="13.15">
      <c r="B6" s="159" t="s">
        <v>92</v>
      </c>
      <c r="C6" s="107">
        <f>DCF!C3</f>
        <v>1000000</v>
      </c>
      <c r="E6" s="100" t="s">
        <v>274</v>
      </c>
      <c r="F6" s="100"/>
      <c r="H6" s="247">
        <v>3</v>
      </c>
      <c r="I6" s="124">
        <f t="shared" si="0"/>
        <v>19.449520635593661</v>
      </c>
    </row>
    <row r="7" spans="2:9" ht="12.75" customHeight="1">
      <c r="B7" s="100" t="s">
        <v>270</v>
      </c>
      <c r="C7" s="338">
        <f>Normalized_FCF!G8</f>
        <v>632.39999999999986</v>
      </c>
      <c r="D7" t="str">
        <f>Reporting_currency</f>
        <v>USD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77"/>
      <c r="H7" s="247">
        <v>4</v>
      </c>
      <c r="I7" s="124" t="str">
        <f t="shared" si="0"/>
        <v/>
      </c>
    </row>
    <row r="8" spans="2:9">
      <c r="B8" s="100" t="s">
        <v>64</v>
      </c>
      <c r="C8" s="338">
        <f>Normalized_FCF!G19</f>
        <v>342.24083317460958</v>
      </c>
      <c r="D8" t="str">
        <f>Reporting_currency</f>
        <v>USD</v>
      </c>
      <c r="E8" s="377"/>
      <c r="F8" s="377"/>
      <c r="H8" s="247">
        <v>5</v>
      </c>
      <c r="I8" s="124" t="str">
        <f t="shared" si="0"/>
        <v/>
      </c>
    </row>
    <row r="9" spans="2:9">
      <c r="B9" s="100" t="s">
        <v>55</v>
      </c>
      <c r="C9" s="338">
        <f>Normalized_FCF!C19</f>
        <v>273.66810098595624</v>
      </c>
      <c r="D9" t="str">
        <f>Reporting_currency</f>
        <v>USD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0.21097145624674352</v>
      </c>
      <c r="D12" s="158"/>
      <c r="E12" s="377"/>
      <c r="F12" s="377"/>
      <c r="H12" s="247">
        <v>9</v>
      </c>
      <c r="I12" s="124" t="str">
        <f t="shared" si="0"/>
        <v/>
      </c>
    </row>
    <row r="13" spans="2:9">
      <c r="B13" s="148" t="s">
        <v>148</v>
      </c>
      <c r="C13" s="158">
        <f ca="1">(Normalized_FCF!G8/OFFSET(Normalized_FCF!G8, 0, $C$4))^(1/$C$4) - 1</f>
        <v>0.77230247224880189</v>
      </c>
      <c r="E13" s="377"/>
      <c r="F13" s="377"/>
      <c r="H13" s="247">
        <v>10</v>
      </c>
      <c r="I13" s="124" t="str">
        <f t="shared" si="0"/>
        <v/>
      </c>
    </row>
    <row r="14" spans="2:9">
      <c r="B14" s="100" t="s">
        <v>64</v>
      </c>
      <c r="C14" s="158">
        <f ca="1">(Normalized_FCF!G19/OFFSET(Normalized_FCF!G19, 0, $C$4))^(1/$C$4) - 1</f>
        <v>-4.7411149761139981</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16.059999999999999</v>
      </c>
      <c r="D21" t="str">
        <f>Market_currency</f>
        <v>HKD</v>
      </c>
      <c r="E21" s="378"/>
      <c r="F21" s="378"/>
    </row>
    <row r="22" spans="2:6">
      <c r="B22" s="100" t="s">
        <v>273</v>
      </c>
      <c r="C22" s="160">
        <f>IF(valuation_method="DCF",DCF!C12,DDM!C7)</f>
        <v>9.3767726829022227</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0.06</v>
      </c>
      <c r="D26" s="164"/>
      <c r="E26" s="376"/>
      <c r="F26" s="376"/>
    </row>
    <row r="27" spans="2:6">
      <c r="B27" s="100" t="s">
        <v>109</v>
      </c>
      <c r="C27" s="160">
        <f>IF(valuation_method="DCF",DCF!E76,DDM!E71)</f>
        <v>13.707091273462169</v>
      </c>
      <c r="D27" s="160" t="str">
        <f>Market_currency</f>
        <v>HKD</v>
      </c>
      <c r="E27" s="376"/>
      <c r="F27" s="376"/>
    </row>
    <row r="28" spans="2:6">
      <c r="B28" s="100" t="s">
        <v>143</v>
      </c>
      <c r="C28" s="165">
        <v>0.6</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10.684737807247085</v>
      </c>
      <c r="D33" t="str">
        <f>Market_currency</f>
        <v>HKD</v>
      </c>
      <c r="E33" s="376"/>
      <c r="F33" s="376"/>
    </row>
    <row r="34" spans="2:6">
      <c r="B34" s="100" t="s">
        <v>143</v>
      </c>
      <c r="C34" s="165">
        <v>0.2</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0.15</v>
      </c>
      <c r="D38" s="164"/>
      <c r="E38" s="376"/>
      <c r="F38" s="376"/>
    </row>
    <row r="39" spans="2:6">
      <c r="B39" s="100" t="s">
        <v>109</v>
      </c>
      <c r="C39" s="160">
        <f>IF(valuation_method="DCF",DCF!E75,DDM!E70)</f>
        <v>23.154973708558405</v>
      </c>
      <c r="D39" t="str">
        <f>Market_currency</f>
        <v>HKD</v>
      </c>
      <c r="E39" s="376"/>
      <c r="F39" s="376"/>
    </row>
    <row r="40" spans="2:6">
      <c r="B40" s="100" t="s">
        <v>143</v>
      </c>
      <c r="C40" s="167">
        <f>1-C28-C34</f>
        <v>0.2</v>
      </c>
      <c r="D40" s="165"/>
      <c r="E40" s="376"/>
      <c r="F40" s="376"/>
    </row>
    <row r="42" spans="2:6" ht="13.15">
      <c r="B42" s="100" t="s">
        <v>116</v>
      </c>
      <c r="C42" s="154">
        <f>C27*C28+C33*C34+C39*C40</f>
        <v>14.992197067238401</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v>
      </c>
      <c r="D50" s="164"/>
      <c r="E50" s="376"/>
      <c r="F50" s="376"/>
    </row>
    <row r="51" spans="2:6">
      <c r="B51" s="100" t="s">
        <v>109</v>
      </c>
      <c r="C51" s="160">
        <f>IF(valuation_method="DCF",DCF!E78,DDM!E73)</f>
        <v>9.3767726829022244</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0.25</v>
      </c>
      <c r="D56" s="164"/>
      <c r="E56" s="376"/>
      <c r="F56" s="376"/>
    </row>
    <row r="57" spans="2:6">
      <c r="B57" s="100" t="s">
        <v>109</v>
      </c>
      <c r="C57" s="160">
        <f>IF(valuation_method="DCF",DCF!E74,DDM!E69)</f>
        <v>92.892507618679815</v>
      </c>
      <c r="D57" t="str">
        <f>Market_currency</f>
        <v>HKD</v>
      </c>
      <c r="E57" s="376"/>
      <c r="F57" s="376"/>
    </row>
    <row r="58" spans="2:6">
      <c r="B58" s="100" t="s">
        <v>143</v>
      </c>
      <c r="C58" s="165">
        <v>0.05</v>
      </c>
      <c r="D58" s="165"/>
      <c r="E58" s="376"/>
      <c r="F58" s="376"/>
    </row>
    <row r="60" spans="2:6" ht="13.15">
      <c r="B60" s="100" t="s">
        <v>116</v>
      </c>
      <c r="C60" s="154">
        <f>C51*C52+C57*C58+C42*(1-C52-C58)</f>
        <v>18.606441375593661</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0.111211776070739</v>
      </c>
      <c r="D65" s="151"/>
      <c r="E65" s="251" t="s">
        <v>304</v>
      </c>
    </row>
    <row r="66" spans="2:6">
      <c r="B66" s="100" t="s">
        <v>99</v>
      </c>
      <c r="C66" s="160">
        <f>IF(valuation_method="DCF",DCF!C18,DDM!C13)</f>
        <v>18.554289897880711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N</v>
      </c>
      <c r="E70" s="251" t="s">
        <v>289</v>
      </c>
    </row>
    <row r="71" spans="2:6">
      <c r="B71" s="100" t="s">
        <v>287</v>
      </c>
      <c r="C71" s="244" t="str">
        <f>IF(C65&gt;8%,"Y","N")</f>
        <v>Y</v>
      </c>
      <c r="E71" s="251"/>
    </row>
    <row r="72" spans="2:6">
      <c r="B72" s="100" t="s">
        <v>279</v>
      </c>
      <c r="C72" s="243" t="str">
        <f>IF(F72&gt;50%,"Y","N")</f>
        <v>N</v>
      </c>
      <c r="E72" s="134" t="s">
        <v>337</v>
      </c>
      <c r="F72" s="291">
        <f>BS!D89/C60</f>
        <v>-0.60911424330165065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0.84307926</v>
      </c>
      <c r="D77" t="str">
        <f>Market_currency</f>
        <v>HKD</v>
      </c>
    </row>
    <row r="79" spans="2:6" ht="13.15">
      <c r="B79" s="109" t="s">
        <v>296</v>
      </c>
    </row>
    <row r="80" spans="2:6">
      <c r="B80" s="148" t="s">
        <v>294</v>
      </c>
      <c r="C80" s="167">
        <f>Thesis!F29</f>
        <v>0.35</v>
      </c>
    </row>
    <row r="81" spans="2:8">
      <c r="B81" s="100" t="s">
        <v>117</v>
      </c>
      <c r="C81" s="116">
        <f>PV(C80, C76, -C77, 0)</f>
        <v>1.4297609967383023</v>
      </c>
      <c r="D81" s="116"/>
      <c r="E81" s="100"/>
      <c r="F81" s="100"/>
    </row>
    <row r="82" spans="2:8">
      <c r="B82" s="100" t="s">
        <v>118</v>
      </c>
      <c r="C82" s="116">
        <f>C60/(1+C80)^C76</f>
        <v>7.5624412439541366</v>
      </c>
      <c r="D82" s="116"/>
    </row>
    <row r="83" spans="2:8" ht="13.15">
      <c r="B83" s="110" t="s">
        <v>98</v>
      </c>
      <c r="C83" s="111">
        <f>C81+C82</f>
        <v>8.9922022406924391</v>
      </c>
      <c r="D83" t="str">
        <f>Market_currency</f>
        <v>HKD</v>
      </c>
      <c r="E83" s="146" t="s">
        <v>122</v>
      </c>
      <c r="F83" s="291">
        <f>(1-C83/C60)</f>
        <v>0.51671563308781643</v>
      </c>
    </row>
    <row r="84" spans="2:8">
      <c r="E84" s="120"/>
    </row>
    <row r="85" spans="2:8" ht="13.15">
      <c r="B85" s="109" t="s">
        <v>297</v>
      </c>
    </row>
    <row r="86" spans="2:8">
      <c r="B86" s="148" t="s">
        <v>295</v>
      </c>
      <c r="C86" s="116">
        <f>Market_Price</f>
        <v>16.059999999999999</v>
      </c>
      <c r="D86" t="str">
        <f>Market_currency</f>
        <v>HKD</v>
      </c>
    </row>
    <row r="87" spans="2:8" ht="13.15">
      <c r="B87" s="100" t="s">
        <v>293</v>
      </c>
      <c r="C87" s="237">
        <f ca="1">IRR(OFFSET($I$3, 0, 0, $C$76 + 1, 1))</f>
        <v>0.10038068682203893</v>
      </c>
    </row>
    <row r="88" spans="2:8">
      <c r="B88" s="100"/>
    </row>
    <row r="89" spans="2:8" ht="13.15">
      <c r="B89" s="109" t="s">
        <v>392</v>
      </c>
    </row>
    <row r="90" spans="2:8">
      <c r="B90" s="148" t="s">
        <v>393</v>
      </c>
      <c r="C90" s="167">
        <f>Thesis!F30</f>
        <v>0.25</v>
      </c>
    </row>
    <row r="91" spans="2:8">
      <c r="B91" s="100" t="s">
        <v>117</v>
      </c>
      <c r="C91" s="116">
        <f>PV(C90, C76, -C77, 0)</f>
        <v>1.64569071552</v>
      </c>
      <c r="D91" s="116"/>
      <c r="E91" s="100"/>
      <c r="F91" s="100"/>
    </row>
    <row r="92" spans="2:8">
      <c r="B92" s="100" t="s">
        <v>118</v>
      </c>
      <c r="C92" s="116">
        <f>C60/(1+C90)^C76</f>
        <v>9.5264979843039548</v>
      </c>
      <c r="D92" s="116"/>
    </row>
    <row r="93" spans="2:8" ht="13.15">
      <c r="B93" s="110" t="s">
        <v>98</v>
      </c>
      <c r="C93" s="111">
        <f>C91+C92</f>
        <v>11.172188699823955</v>
      </c>
      <c r="D93" t="str">
        <f>Market_currency</f>
        <v>HKD</v>
      </c>
      <c r="E93" s="146" t="s">
        <v>122</v>
      </c>
      <c r="F93" s="291">
        <f>(1-C93/C60)</f>
        <v>0.39955263479459979</v>
      </c>
    </row>
    <row r="95" spans="2:8" ht="13.15">
      <c r="B95" s="109" t="s">
        <v>378</v>
      </c>
      <c r="G95" s="2"/>
      <c r="H95" s="281"/>
    </row>
    <row r="96" spans="2:8">
      <c r="B96" s="148" t="s">
        <v>383</v>
      </c>
      <c r="C96" s="134">
        <f>Thesis!F31</f>
        <v>7.4999999999999997E-2</v>
      </c>
      <c r="G96" s="2"/>
      <c r="H96" s="281"/>
    </row>
    <row r="97" spans="2:8">
      <c r="B97" s="100" t="s">
        <v>117</v>
      </c>
      <c r="C97" s="116">
        <f>PV(C96, C76, -C77, 0)</f>
        <v>2.1924493163822043</v>
      </c>
      <c r="D97" s="116"/>
      <c r="G97" s="2"/>
      <c r="H97" s="281"/>
    </row>
    <row r="98" spans="2:8">
      <c r="B98" s="100" t="s">
        <v>118</v>
      </c>
      <c r="C98" s="116">
        <f>C60/(1+C96)^C76</f>
        <v>14.977451646244916</v>
      </c>
      <c r="D98" s="116"/>
      <c r="G98" s="2"/>
      <c r="H98" s="281"/>
    </row>
    <row r="99" spans="2:8" ht="13.15">
      <c r="B99" s="110" t="s">
        <v>379</v>
      </c>
      <c r="C99" s="111">
        <f>C97+C98</f>
        <v>17.169900962627121</v>
      </c>
      <c r="D99" t="s">
        <v>377</v>
      </c>
      <c r="E99" s="146" t="s">
        <v>122</v>
      </c>
      <c r="F99" s="291">
        <f>(1-C99/C60)</f>
        <v>7.7206618072108713E-2</v>
      </c>
    </row>
    <row r="100" spans="2:8">
      <c r="B100" s="100"/>
    </row>
    <row r="101" spans="2:8" ht="13.15">
      <c r="B101" s="109" t="s">
        <v>398</v>
      </c>
    </row>
    <row r="102" spans="2:8">
      <c r="B102" s="148" t="s">
        <v>397</v>
      </c>
      <c r="C102" s="134">
        <f>Thesis!F32</f>
        <v>0.1174</v>
      </c>
    </row>
    <row r="103" spans="2:8">
      <c r="B103" s="100" t="s">
        <v>117</v>
      </c>
      <c r="C103" s="116">
        <f>PV(C102, C76, -C77, 0)</f>
        <v>2.034015658090043</v>
      </c>
      <c r="D103" s="116"/>
    </row>
    <row r="104" spans="2:8">
      <c r="B104" s="100" t="s">
        <v>118</v>
      </c>
      <c r="C104" s="116">
        <f>C60/(1+C102)^C76</f>
        <v>13.336360232977396</v>
      </c>
      <c r="D104" s="116"/>
    </row>
    <row r="105" spans="2:8" ht="13.15">
      <c r="B105" s="110" t="s">
        <v>379</v>
      </c>
      <c r="C105" s="111">
        <f>C103+C104</f>
        <v>15.37037589106744</v>
      </c>
      <c r="D105" t="s">
        <v>377</v>
      </c>
      <c r="E105" s="146" t="s">
        <v>122</v>
      </c>
      <c r="F105" s="291">
        <f>(1-C105/C66)</f>
        <v>0.17159988468095144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34975-E0E0-4CC0-B62E-1FAAEFD79F71}">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