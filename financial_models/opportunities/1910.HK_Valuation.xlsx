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9460AEB-375A-4BEB-B46C-63B1E8C2F9F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C136" i="6"/>
  <c r="D139" i="6"/>
  <c r="C90" i="9"/>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F69" i="4"/>
  <c r="O126" i="2"/>
  <c r="O92" i="2"/>
  <c r="O91" i="2"/>
  <c r="O48" i="2"/>
  <c r="Q126" i="2"/>
  <c r="Q48" i="2"/>
  <c r="Q92" i="2"/>
  <c r="Q91" i="2"/>
  <c r="D69" i="4"/>
  <c r="J91" i="2"/>
  <c r="K126" i="2"/>
  <c r="K91" i="2"/>
  <c r="L126" i="2"/>
  <c r="L48" i="2"/>
  <c r="L91" i="2"/>
  <c r="L92" i="2"/>
  <c r="P126" i="2"/>
  <c r="P92" i="2"/>
  <c r="P48" i="2"/>
  <c r="P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I48" i="2"/>
  <c r="K48" i="2"/>
  <c r="K50" i="2" s="1"/>
  <c r="K12" i="2" s="1"/>
  <c r="K43" i="2" s="1"/>
  <c r="H48" i="2"/>
  <c r="H50" i="2" s="1"/>
  <c r="H12" i="2" s="1"/>
  <c r="H80" i="2" s="1"/>
  <c r="M50" i="2"/>
  <c r="M12" i="2" s="1"/>
  <c r="P50" i="2"/>
  <c r="P12" i="2" s="1"/>
  <c r="J50" i="2"/>
  <c r="J12" i="2" s="1"/>
  <c r="J80" i="2" s="1"/>
  <c r="N50" i="2"/>
  <c r="N12" i="2" s="1"/>
  <c r="G50" i="2"/>
  <c r="G12" i="2" s="1"/>
  <c r="G43" i="2" s="1"/>
  <c r="C40" i="6"/>
  <c r="I50" i="2"/>
  <c r="I12" i="2" s="1"/>
  <c r="I80"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<sst xmlns="http://schemas.openxmlformats.org/spreadsheetml/2006/main" count="616" uniqueCount="432">
  <si>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</si>
  <si>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</si>
  <si>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</si>
  <si>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</si>
  <si>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</si>
  <si>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</si>
  <si>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</si>
  <si>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</si>
  <si>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</si>
  <si>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</si>
  <si>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</si>
  <si>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</si>
  <si>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</si>
  <si>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</si>
  <si>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</si>
  <si>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</si>
  <si>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</si>
  <si>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</si>
  <si>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</si>
  <si>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</si>
  <si>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</si>
  <si>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</si>
  <si>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</si>
  <si>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</si>
  <si>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</si>
  <si>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</si>
  <si>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</si>
  <si>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</si>
  <si>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</si>
  <si>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</si>
  <si>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</si>
  <si>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</si>
  <si>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</si>
  <si>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</si>
  <si>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</si>
  <si>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</si>
  <si>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</si>
  <si>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</si>
  <si>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</si>
  <si>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</si>
  <si>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</si>
  <si>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</si>
  <si>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</si>
  <si>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</si>
  <si>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</si>
  <si>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</si>
  <si>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</si>
  <si>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</si>
  <si>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</si>
  <si>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</si>
  <si>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</si>
  <si>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</si>
  <si>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</si>
  <si>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</si>
  <si>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</si>
  <si>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</si>
  <si>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</si>
  <si>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</si>
  <si>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</si>
  <si>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</si>
  <si>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</si>
  <si>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</si>
  <si>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</si>
  <si>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</si>
  <si>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</si>
  <si>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</si>
  <si>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</si>
  <si>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</si>
  <si>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</si>
  <si>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</si>
  <si>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</si>
  <si>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</si>
  <si>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</si>
  <si>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</si>
  <si>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</si>
  <si>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</si>
  <si>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</si>
  <si>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</si>
  <si>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</si>
  <si>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</si>
  <si>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</si>
  <si>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</si>
  <si>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</si>
  <si>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</si>
  <si>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</si>
  <si>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</si>
  <si>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</si>
  <si>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</si>
  <si>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</si>
  <si>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</si>
  <si>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</si>
  <si>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</si>
  <si>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</si>
  <si>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</si>
  <si>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</si>
  <si>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</si>
  <si>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</si>
  <si>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</si>
  <si>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</si>
  <si>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</si>
  <si>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</si>
  <si>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</si>
  <si>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</si>
  <si>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</si>
  <si>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</si>
  <si>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</si>
  <si>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</si>
  <si>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</si>
  <si>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</si>
  <si>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</si>
  <si>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</si>
  <si>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</si>
  <si>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</si>
  <si>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</si>
  <si>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</si>
  <si>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</si>
  <si>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</si>
  <si>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</si>
  <si>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</si>
  <si>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</si>
  <si>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</si>
  <si>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</si>
  <si>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</si>
  <si>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</si>
  <si>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</si>
  <si>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</si>
  <si>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</si>
  <si>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</si>
  <si>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</si>
  <si>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</si>
  <si>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</si>
  <si>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</si>
  <si>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</si>
  <si>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</si>
  <si>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</si>
  <si>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</si>
  <si>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</si>
  <si>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</si>
  <si>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</si>
  <si>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</si>
  <si>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</si>
  <si>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</si>
  <si>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</si>
  <si>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</si>
  <si>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</si>
  <si>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</si>
  <si>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</si>
  <si>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</si>
  <si>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</si>
  <si>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</si>
  <si>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</si>
  <si>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</si>
  <si>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</si>
  <si>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</si>
  <si>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</si>
  <si>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</si>
  <si>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</si>
  <si>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</si>
  <si>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</si>
  <si>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</si>
  <si>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</si>
  <si>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</si>
  <si>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</si>
  <si>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</si>
  <si>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</si>
  <si>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</si>
  <si>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</si>
  <si>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</si>
  <si>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</si>
  <si>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</si>
  <si>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</si>
  <si>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</si>
  <si>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</si>
  <si>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</si>
  <si>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</si>
  <si>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</si>
  <si>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</si>
  <si>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</si>
  <si>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</si>
  <si>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</si>
  <si>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</si>
  <si>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</si>
  <si>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</si>
  <si>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</si>
  <si>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</si>
  <si>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</si>
  <si>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</si>
  <si>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</si>
  <si>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</si>
  <si>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</si>
  <si>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</si>
  <si>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</si>
  <si>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</si>
  <si>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</si>
  <si>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</si>
  <si>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</si>
  <si>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</si>
  <si>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</si>
  <si>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</si>
  <si>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</si>
  <si>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</si>
  <si>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</si>
  <si>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</si>
  <si>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</si>
  <si>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</si>
  <si>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</si>
  <si>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</si>
  <si>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</si>
  <si>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</si>
  <si>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</si>
  <si>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</si>
  <si>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</si>
  <si>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</si>
  <si>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</si>
  <si>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</si>
  <si>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</si>
  <si>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</si>
  <si>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</si>
  <si>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</si>
  <si>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</si>
  <si>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</si>
  <si>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</si>
  <si>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</si>
  <si>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</si>
  <si>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</si>
  <si>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</si>
  <si>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</si>
  <si>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</si>
  <si>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</si>
  <si>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</si>
  <si>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</si>
  <si>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</si>
  <si>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</si>
  <si>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</si>
  <si>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</si>
  <si>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</si>
  <si>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</si>
  <si>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</si>
  <si>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</si>
  <si>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</si>
  <si>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</si>
  <si>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</si>
  <si>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</si>
  <si>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</si>
  <si>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</si>
  <si>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</si>
  <si>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</si>
  <si>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</si>
  <si>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</si>
  <si>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</si>
  <si>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</si>
  <si>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</si>
  <si>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</si>
  <si>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</si>
  <si>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</si>
  <si>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</si>
  <si>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</si>
  <si>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</si>
  <si>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</si>
  <si>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</si>
  <si>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</si>
  <si>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</si>
  <si>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</si>
  <si>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</si>
  <si>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</si>
  <si>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</si>
  <si>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</si>
  <si>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</si>
  <si>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</si>
  <si>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</si>
  <si>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</si>
  <si>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</si>
  <si>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</si>
  <si>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</si>
  <si>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</si>
  <si>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</si>
  <si>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</si>
  <si>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</si>
  <si>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</si>
  <si>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</si>
  <si>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</si>
  <si>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</si>
  <si>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</si>
  <si>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</si>
  <si>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</si>
  <si>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</si>
  <si>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</si>
  <si>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</si>
  <si>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</si>
  <si>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</si>
  <si>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</si>
  <si>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</si>
  <si>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</si>
  <si>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</si>
  <si>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</si>
  <si>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</si>
  <si>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</si>
  <si>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</si>
  <si>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</si>
  <si>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</si>
  <si>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</si>
  <si>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</si>
  <si>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</si>
  <si>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</si>
  <si>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</si>
  <si>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</si>
  <si>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</si>
  <si>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</si>
  <si>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</si>
  <si>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</si>
  <si>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</si>
  <si>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</si>
  <si>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</si>
  <si>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</si>
  <si>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</si>
  <si>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</si>
  <si>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</si>
  <si>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</si>
  <si>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</si>
  <si>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</si>
  <si>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</si>
  <si>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</si>
  <si>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</si>
  <si>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</si>
  <si>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</si>
  <si>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</si>
  <si>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</si>
  <si>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</si>
  <si>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</si>
  <si>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</si>
  <si>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</si>
  <si>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</si>
  <si>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</si>
  <si>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</si>
  <si>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</si>
  <si>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</si>
  <si>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</si>
  <si>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</si>
  <si>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</si>
  <si>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</si>
  <si>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</si>
  <si>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</si>
  <si>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</si>
  <si>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</si>
  <si>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</si>
  <si>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</si>
  <si>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</si>
  <si>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</si>
  <si>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</si>
  <si>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</si>
  <si>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</si>
  <si>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</si>
  <si>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</si>
  <si>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</si>
  <si>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</si>
  <si>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</si>
  <si>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</si>
  <si>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</si>
  <si>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</si>
  <si>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</si>
  <si>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</si>
  <si>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</si>
  <si>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</si>
  <si>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</si>
  <si>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</si>
  <si>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</si>
  <si>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</si>
  <si>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</si>
  <si>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</si>
  <si>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</si>
  <si>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</si>
  <si>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</si>
  <si>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</si>
  <si>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</si>
  <si>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</si>
  <si>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</si>
  <si>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</si>
  <si>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</si>
  <si>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</si>
  <si>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</si>
  <si>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</si>
  <si>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</si>
  <si>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</si>
  <si>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</si>
  <si>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</si>
  <si>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</si>
  <si>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</si>
  <si>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</si>
  <si>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</si>
  <si>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</si>
  <si>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</si>
  <si>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</si>
  <si>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</si>
  <si>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</si>
  <si>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</si>
  <si>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</si>
  <si>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</si>
  <si>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</si>
  <si>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</si>
  <si>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</si>
  <si>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</si>
  <si>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</si>
  <si>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</si>
  <si>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</si>
  <si>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</si>
  <si>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</si>
  <si>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</si>
  <si>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</si>
  <si>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</si>
  <si>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</si>
  <si>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</si>
  <si>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</si>
  <si>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</si>
  <si>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</si>
  <si>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</si>
  <si>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</si>
  <si>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</si>
  <si>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</si>
  <si>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</si>
  <si>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</si>
  <si>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</si>
  <si>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</si>
  <si>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</si>
  <si>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</si>
  <si>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N</t>
  </si>
  <si>
    <t>新秀麗</t>
  </si>
  <si>
    <t>1910.HK</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</si>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</sst>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1910.HK Stock Information</v>
      </c>
      <c r="C4" s="46"/>
      <c r="D4" s="5"/>
      <c r="E4" s="2"/>
      <c r="F4" s="2"/>
    </row>
    <row r="5" spans="1:10" ht="12.4">
      <c r="B5" s="4" t="s">
        <v>323</v>
      </c>
      <c r="C5" s="333" t="s">
        <v>425</v>
      </c>
      <c r="D5" s="49" t="s">
        <v>426</v>
      </c>
    </row>
    <row r="6" spans="1:10">
      <c r="B6" s="4" t="s">
        <v>95</v>
      </c>
      <c r="C6" s="50">
        <v>14.64</v>
      </c>
      <c r="D6" s="48" t="s">
        <v>404</v>
      </c>
      <c r="E6" s="48"/>
    </row>
    <row r="7" spans="1:10">
      <c r="B7" s="4" t="s">
        <v>0</v>
      </c>
      <c r="C7" s="51">
        <v>1383064083</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20248.058175120001</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High Growth </v>
      </c>
      <c r="E15" s="5"/>
    </row>
    <row r="16" spans="1:10">
      <c r="B16" s="4" t="s">
        <v>355</v>
      </c>
      <c r="C16" s="48" t="s">
        <v>427</v>
      </c>
      <c r="D16" s="32"/>
      <c r="E16" s="5"/>
    </row>
    <row r="17" spans="1:6">
      <c r="B17" s="4" t="s">
        <v>1</v>
      </c>
      <c r="C17" s="50">
        <v>7.7549000000000001</v>
      </c>
      <c r="D17" s="32" t="str">
        <f>IF(C16=D6,D6,C16&amp;"/"&amp;D6)</f>
        <v>USD/HKD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9.1086666437717536</v>
      </c>
      <c r="D20" s="1" t="s">
        <v>315</v>
      </c>
      <c r="E20" s="330">
        <v>3</v>
      </c>
    </row>
    <row r="21" spans="1:6">
      <c r="B21" s="1" t="s">
        <v>407</v>
      </c>
      <c r="C21" s="280">
        <f ca="1">Scenarios!C87</f>
        <v>9.919795200818049E-2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553.11898834421322</v>
      </c>
      <c r="D30" s="1" t="str">
        <f>Reporting_currency</f>
        <v>USD</v>
      </c>
    </row>
    <row r="31" spans="1:6">
      <c r="B31" s="47"/>
      <c r="C31" s="76"/>
    </row>
    <row r="32" spans="1:6" ht="24.4" customHeight="1">
      <c r="B32" s="341" t="s">
        <v>234</v>
      </c>
      <c r="C32" s="341"/>
      <c r="D32" s="341"/>
      <c r="E32" s="341"/>
      <c r="F32" s="341"/>
    </row>
    <row r="33" spans="2:6">
      <c r="B33" s="47" t="s">
        <v>235</v>
      </c>
      <c r="C33" s="188">
        <f>Normalized_FCF!C9</f>
        <v>0</v>
      </c>
      <c r="D33" s="1" t="str">
        <f>Reporting_currency</f>
        <v>USD</v>
      </c>
    </row>
    <row r="34" spans="2:6">
      <c r="B34" s="52" t="s">
        <v>236</v>
      </c>
      <c r="C34" s="188">
        <f>Normalized_FCF!C10</f>
        <v>0</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7.0171854987005426</v>
      </c>
      <c r="D40" s="1" t="str">
        <f>Reporting_currency</f>
        <v>USD</v>
      </c>
      <c r="E40" s="321"/>
      <c r="F40" s="321"/>
    </row>
    <row r="41" spans="2:6">
      <c r="B41" s="47" t="s">
        <v>349</v>
      </c>
      <c r="C41" s="322">
        <f>Normalized_FCF!C47</f>
        <v>-152</v>
      </c>
      <c r="D41" s="1" t="str">
        <f>Reporting_currency</f>
        <v>USD</v>
      </c>
      <c r="E41" s="321"/>
      <c r="F41" s="321"/>
    </row>
    <row r="42" spans="2:6">
      <c r="B42" s="47" t="s">
        <v>239</v>
      </c>
      <c r="C42" s="188">
        <f>Normalized_FCF!C12</f>
        <v>-144.98281450129946</v>
      </c>
      <c r="D42" s="1" t="str">
        <f>Reporting_currency</f>
        <v>USD</v>
      </c>
    </row>
    <row r="44" spans="2:6">
      <c r="B44" s="1" t="s">
        <v>247</v>
      </c>
    </row>
    <row r="45" spans="2:6">
      <c r="B45" s="47" t="s">
        <v>266</v>
      </c>
      <c r="C45" s="188">
        <f>Normalized_FCF!C15</f>
        <v>-32.451765153160977</v>
      </c>
      <c r="D45" s="1" t="str">
        <f>Reporting_currency</f>
        <v>USD</v>
      </c>
    </row>
    <row r="47" spans="2:6">
      <c r="B47" s="341" t="s">
        <v>242</v>
      </c>
      <c r="C47" s="341"/>
      <c r="D47" s="341"/>
      <c r="E47" s="341"/>
      <c r="F47" s="341"/>
    </row>
    <row r="48" spans="2:6">
      <c r="B48" s="47" t="s">
        <v>240</v>
      </c>
      <c r="C48" s="188">
        <f>Normalized_FCF!C14</f>
        <v>-102.03404346072844</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342.21718549870042</v>
      </c>
      <c r="D56" s="1" t="str">
        <f>Reporting_currency</f>
        <v>USD</v>
      </c>
    </row>
    <row r="57" spans="1:6">
      <c r="B57" s="47" t="s">
        <v>249</v>
      </c>
      <c r="C57" s="188">
        <f>Normalized_FCF!C19</f>
        <v>273.65036522902437</v>
      </c>
      <c r="D57" s="1" t="str">
        <f>Reporting_currency</f>
        <v>USD</v>
      </c>
    </row>
    <row r="58" spans="1:6">
      <c r="B58" s="254" t="s">
        <v>398</v>
      </c>
      <c r="C58" s="92">
        <f>Normalized_FCF!C125</f>
        <v>0.10480665350528036</v>
      </c>
    </row>
    <row r="59" spans="1:6">
      <c r="B59" s="254" t="s">
        <v>316</v>
      </c>
      <c r="C59" s="92">
        <f>Normalized_FCF!C93</f>
        <v>5.6890454918032782E-2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19.179617591466304</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2323</v>
      </c>
      <c r="D86" s="1" t="str">
        <f>Reporting_currency</f>
        <v>USD</v>
      </c>
    </row>
    <row r="87" spans="2:6">
      <c r="B87" s="47" t="s">
        <v>285</v>
      </c>
      <c r="C87" s="248">
        <f>C86*scaling_factor*Exchange_Rate/Common_Shares</f>
        <v>13.025161249885484</v>
      </c>
      <c r="D87" s="1" t="str">
        <f>Market_currency</f>
        <v>HKD</v>
      </c>
    </row>
    <row r="88" spans="2:6">
      <c r="B88" s="336" t="s">
        <v>412</v>
      </c>
      <c r="C88" s="337">
        <f>BS!G30/BS!G27</f>
        <v>2.2875080906148866</v>
      </c>
    </row>
    <row r="89" spans="2:6">
      <c r="B89" s="336" t="s">
        <v>413</v>
      </c>
      <c r="C89" s="337">
        <f>BS!G31/BS!G27</f>
        <v>1.5035598705501618</v>
      </c>
    </row>
    <row r="90" spans="2:6">
      <c r="B90" s="336" t="s">
        <v>415</v>
      </c>
      <c r="C90" s="338">
        <f>BS!C50</f>
        <v>4.1998196571663646</v>
      </c>
    </row>
    <row r="92" spans="2:6">
      <c r="B92" s="1" t="s">
        <v>255</v>
      </c>
    </row>
    <row r="93" spans="2:6">
      <c r="B93" s="47" t="s">
        <v>265</v>
      </c>
      <c r="C93" s="188">
        <f>BS!C66</f>
        <v>676.3</v>
      </c>
      <c r="D93" s="1" t="str">
        <f>Reporting_currency</f>
        <v>USD</v>
      </c>
    </row>
    <row r="94" spans="2:6">
      <c r="B94" s="47" t="s">
        <v>267</v>
      </c>
      <c r="C94" s="188">
        <f>Valuation_Model!C8</f>
        <v>327.34981229623696</v>
      </c>
      <c r="D94" s="1" t="str">
        <f>Reporting_currency</f>
        <v>USD</v>
      </c>
    </row>
    <row r="95" spans="2:6">
      <c r="B95" s="47" t="s">
        <v>286</v>
      </c>
      <c r="C95" s="248">
        <f>C94*scaling_factor*Exchange_Rate/Common_Shares</f>
        <v>1.8354645244417702</v>
      </c>
      <c r="D95" s="1" t="str">
        <f>Market_currency</f>
        <v>HKD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HKD</v>
      </c>
    </row>
    <row r="101" spans="1:6" ht="24.4" customHeight="1">
      <c r="B101" s="340" t="s">
        <v>374</v>
      </c>
      <c r="C101" s="340"/>
      <c r="D101" s="340"/>
      <c r="E101" s="340"/>
      <c r="F101" s="340"/>
    </row>
    <row r="103" spans="1:6">
      <c r="B103" s="47" t="s">
        <v>283</v>
      </c>
      <c r="C103" s="248">
        <f>Valuation_Model!C12</f>
        <v>7.9899208660225911</v>
      </c>
      <c r="D103" s="1" t="str">
        <f>Market_currency</f>
        <v>HKD</v>
      </c>
    </row>
    <row r="104" spans="1:6">
      <c r="B104" s="336" t="s">
        <v>414</v>
      </c>
      <c r="C104" s="248">
        <f>BS!D47</f>
        <v>-12.129380035386257</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0.25</v>
      </c>
      <c r="D111" s="257">
        <f>Valuation_Model!D74</f>
        <v>15</v>
      </c>
      <c r="E111" s="258" t="str">
        <f>ROUND(Valuation_Model!E74,2)&amp;" "&amp;Market_currency</f>
        <v>86.17 HKD</v>
      </c>
      <c r="F111" s="259">
        <f>Valuation_Model!F74</f>
        <v>0.05</v>
      </c>
    </row>
    <row r="112" spans="1:6">
      <c r="B112" s="242" t="str">
        <f>Valuation_Model!B75</f>
        <v>Optimistic</v>
      </c>
      <c r="C112" s="243">
        <f>Valuation_Model!C75</f>
        <v>0.15</v>
      </c>
      <c r="D112" s="244">
        <f>Valuation_Model!D75</f>
        <v>10</v>
      </c>
      <c r="E112" s="245" t="str">
        <f>ROUND(Valuation_Model!E75,2)&amp;" "&amp;Market_currency</f>
        <v>21.05 HKD</v>
      </c>
      <c r="F112" s="246">
        <f>Valuation_Model!F75</f>
        <v>0.18</v>
      </c>
    </row>
    <row r="113" spans="1:6">
      <c r="B113" s="242" t="str">
        <f>Valuation_Model!B76</f>
        <v>Base</v>
      </c>
      <c r="C113" s="243">
        <f>Valuation_Model!C76</f>
        <v>0.06</v>
      </c>
      <c r="D113" s="244">
        <f>Valuation_Model!D76</f>
        <v>10</v>
      </c>
      <c r="E113" s="245" t="str">
        <f>ROUND(Valuation_Model!E76,2)&amp;" "&amp;Market_currency</f>
        <v>12.09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9.23 HKD</v>
      </c>
      <c r="F114" s="246">
        <f>Valuation_Model!F77</f>
        <v>0.18</v>
      </c>
    </row>
    <row r="115" spans="1:6">
      <c r="B115" s="242" t="str">
        <f>Valuation_Model!B78</f>
        <v>Devil's advocate</v>
      </c>
      <c r="C115" s="243">
        <f>Valuation_Model!C78</f>
        <v>0</v>
      </c>
      <c r="D115" s="244">
        <f>Valuation_Model!D78</f>
        <v>15</v>
      </c>
      <c r="E115" s="245" t="str">
        <f>ROUND(Valuation_Model!E78,2)&amp;" "&amp;Market_currency</f>
        <v>7.99 HKD</v>
      </c>
      <c r="F115" s="246">
        <f>Valuation_Model!F78</f>
        <v>0.05</v>
      </c>
    </row>
    <row r="117" spans="1:6">
      <c r="B117" s="235" t="s">
        <v>259</v>
      </c>
      <c r="C117" s="241">
        <f>Scenarios!C60</f>
        <v>16.688564338966547</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0.83287625999999992</v>
      </c>
      <c r="D128" s="236" t="str">
        <f>Market_currency</f>
        <v>HKD</v>
      </c>
    </row>
    <row r="130" spans="2:4">
      <c r="B130" s="234" t="s">
        <v>418</v>
      </c>
      <c r="C130" s="337">
        <f>C19</f>
        <v>0.3</v>
      </c>
      <c r="D130" s="1" t="s">
        <v>416</v>
      </c>
    </row>
    <row r="131" spans="2:4">
      <c r="B131" s="236" t="str">
        <f>"PV("&amp;C126&amp;" yrs of Dividends)"</f>
        <v>PV(3 yrs of Dividends)</v>
      </c>
      <c r="C131" s="240">
        <f>Scenarios!C81</f>
        <v>1.5125973042330454</v>
      </c>
    </row>
    <row r="132" spans="2:4">
      <c r="B132" s="236" t="str">
        <f>"+ PV(Equity Value realized at year "&amp;C126&amp;")"</f>
        <v>+ PV(Equity Value realized at year 3)</v>
      </c>
      <c r="C132" s="240">
        <f>Scenarios!C82</f>
        <v>7.5960693395387082</v>
      </c>
    </row>
    <row r="133" spans="2:4">
      <c r="B133" s="80" t="s">
        <v>261</v>
      </c>
      <c r="C133" s="239">
        <f>Scenarios!C83</f>
        <v>9.1086666437717536</v>
      </c>
      <c r="D133" s="47" t="str">
        <f>Reporting_currency</f>
        <v>USD</v>
      </c>
    </row>
    <row r="134" spans="2:4">
      <c r="B134" s="238" t="s">
        <v>263</v>
      </c>
      <c r="C134" s="92">
        <f>Scenarios!F83</f>
        <v>0.45419711014303965</v>
      </c>
    </row>
    <row r="136" spans="2:4">
      <c r="B136" s="234" t="s">
        <v>421</v>
      </c>
      <c r="C136" s="337">
        <f>Scenarios!C90</f>
        <v>0.2</v>
      </c>
      <c r="D136" s="1" t="s">
        <v>420</v>
      </c>
    </row>
    <row r="137" spans="2:4">
      <c r="B137" s="236" t="str">
        <f>"PV("&amp;C126&amp;" yrs of Dividends)"</f>
        <v>PV(3 yrs of Dividends)</v>
      </c>
      <c r="C137" s="240">
        <f>Scenarios!C91</f>
        <v>1.7544384180555554</v>
      </c>
    </row>
    <row r="138" spans="2:4">
      <c r="B138" s="236" t="str">
        <f>"+ PV(Equity Value realized at year "&amp;C126&amp;")"</f>
        <v>+ PV(Equity Value realized at year 3)</v>
      </c>
      <c r="C138" s="240">
        <f>Scenarios!C92</f>
        <v>9.6577339924574925</v>
      </c>
    </row>
    <row r="139" spans="2:4">
      <c r="B139" s="80" t="s">
        <v>261</v>
      </c>
      <c r="C139" s="239">
        <f>Scenarios!C93</f>
        <v>11.412172410513048</v>
      </c>
      <c r="D139" s="47" t="str">
        <f>Reporting_currency</f>
        <v>USD</v>
      </c>
    </row>
    <row r="140" spans="2:4">
      <c r="B140" s="238" t="s">
        <v>263</v>
      </c>
      <c r="C140" s="92">
        <f>Scenarios!F93</f>
        <v>0.31616811496082498</v>
      </c>
    </row>
    <row r="142" spans="2:4">
      <c r="B142" s="234" t="s">
        <v>408</v>
      </c>
      <c r="C142" s="92">
        <f>Scenarios!C96</f>
        <v>0.08</v>
      </c>
      <c r="D142" s="1" t="s">
        <v>419</v>
      </c>
    </row>
    <row r="143" spans="2:4">
      <c r="B143" s="236" t="str">
        <f>"PV("&amp;C126&amp;" yrs of Dividends)"</f>
        <v>PV(3 yrs of Dividends)</v>
      </c>
      <c r="C143" s="240">
        <f>Scenarios!C97</f>
        <v>2.1464029003962817</v>
      </c>
    </row>
    <row r="144" spans="2:4">
      <c r="B144" s="236" t="str">
        <f>"+ PV(Equity Value realized at year "&amp;C126&amp;")"</f>
        <v>+ PV(Equity Value realized at year 3)</v>
      </c>
      <c r="C144" s="240">
        <f>Scenarios!C98</f>
        <v>13.247920428611099</v>
      </c>
    </row>
    <row r="145" spans="1:6">
      <c r="B145" s="80" t="s">
        <v>409</v>
      </c>
      <c r="C145" s="239">
        <f>Scenarios!C99</f>
        <v>15.394323329007381</v>
      </c>
      <c r="D145" s="101" t="str">
        <f>Reporting_currency</f>
        <v>USD</v>
      </c>
    </row>
    <row r="146" spans="1:6">
      <c r="B146" s="238" t="s">
        <v>263</v>
      </c>
      <c r="C146" s="92">
        <f>Scenarios!F99</f>
        <v>7.7552567355192448E-2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0.83287625999999992</v>
      </c>
      <c r="D25" s="39">
        <f>0.1026*Exchange_Rate</f>
        <v>0.79565273999999997</v>
      </c>
      <c r="E25" s="39">
        <v>0</v>
      </c>
      <c r="F25" s="39">
        <v>0</v>
      </c>
      <c r="G25" s="39">
        <v>0</v>
      </c>
      <c r="H25" s="39"/>
      <c r="I25" s="39"/>
      <c r="J25" s="39"/>
      <c r="K25" s="39"/>
      <c r="L25" s="39"/>
      <c r="M25" s="39"/>
    </row>
    <row r="27" spans="2:13">
      <c r="B27" s="16" t="s">
        <v>28</v>
      </c>
      <c r="C27" s="97" t="s">
        <v>429</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0.83287625999999992</v>
      </c>
      <c r="D65" s="73">
        <f t="shared" ref="D65:M65" si="33">IF(D$4="","",D25)</f>
        <v>0.79565273999999997</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81">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8.277117105932394</v>
      </c>
      <c r="D47" s="148">
        <f>D46*H1/Common_Shares*Exchange_Rate</f>
        <v>-12.129380035386257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327.34981229623696</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-342.3434367324474</v>
      </c>
      <c r="D73" s="188">
        <f>(Normalized_FCF!C25+Normalized_FCF!C35-Normalized_FCF!C91)/12</f>
        <v>-348.95018770376299</v>
      </c>
      <c r="F73" s="1" t="s">
        <v>359</v>
      </c>
    </row>
    <row r="74" spans="2:6" ht="15" customHeight="1">
      <c r="B74" s="288" t="s">
        <v>329</v>
      </c>
      <c r="C74" s="289">
        <f>-$C$66/C73</f>
        <v>1.9755015795104918</v>
      </c>
      <c r="D74" s="289">
        <f>-$C$66/D73</f>
        <v>1.9380989718055019</v>
      </c>
      <c r="F74" s="283" t="s">
        <v>327</v>
      </c>
    </row>
    <row r="75" spans="2:6" ht="15" customHeight="1">
      <c r="B75" s="80" t="s">
        <v>328</v>
      </c>
      <c r="C75" s="293"/>
      <c r="D75" s="292">
        <f>MAX(-D73*D76,G5)</f>
        <v>348.95018770376299</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-18014.632700000002</v>
      </c>
      <c r="D86" s="248">
        <f>C86*scaling_factor/Common_Shares</f>
        <v>-13.025161249885485</v>
      </c>
      <c r="E86" s="269" t="str">
        <f>Market_currency</f>
        <v>HKD</v>
      </c>
    </row>
    <row r="87" spans="2:8" ht="15" customHeight="1">
      <c r="B87" s="267" t="s">
        <v>294</v>
      </c>
      <c r="C87" s="188">
        <f>Valuation_Model!C8*Exchange_Rate</f>
        <v>2538.5650593760879</v>
      </c>
      <c r="D87" s="248">
        <f>C87*scaling_factor/Common_Shares</f>
        <v>1.83546452444177</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-15476.067640623914</v>
      </c>
      <c r="D89" s="271">
        <f>SUM(D86:D88)</f>
        <v>-11.189696725443715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-144.98281450129946</v>
      </c>
      <c r="E12" s="302"/>
      <c r="G12" s="191">
        <f>G50</f>
        <v>-144.98281450129946</v>
      </c>
      <c r="H12" s="191">
        <f t="shared" ref="H12:Q12" si="6">H50</f>
        <v>-165.62163583592516</v>
      </c>
      <c r="I12" s="191">
        <f t="shared" si="6"/>
        <v>-133.7594682067232</v>
      </c>
      <c r="J12" s="191">
        <f t="shared" si="6"/>
        <v>-167.1425097209322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408.13617384291376</v>
      </c>
      <c r="E13" s="302"/>
      <c r="G13" s="184">
        <f>IF(G$4="","",SUM(G8:G12))</f>
        <v>487.41718549870041</v>
      </c>
      <c r="H13" s="184">
        <f t="shared" ref="H13:Q13" si="7">IF(H$4="","",SUM(H8:H12))</f>
        <v>497.87836416407504</v>
      </c>
      <c r="I13" s="184">
        <f t="shared" si="7"/>
        <v>286.44053179327659</v>
      </c>
      <c r="J13" s="184">
        <f t="shared" si="7"/>
        <v>-53.54250972093206</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-102.03404346072844</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273.65036522902437</v>
      </c>
      <c r="D16" s="61"/>
      <c r="E16" s="310"/>
      <c r="F16" s="61"/>
      <c r="G16" s="184">
        <f>IF(G$4="","",SUM(G13:G15))</f>
        <v>342.21718549870042</v>
      </c>
      <c r="H16" s="184">
        <f t="shared" ref="H16:Q16" si="8">IF(H$4="","",SUM(H13:H15))</f>
        <v>329.978364164075</v>
      </c>
      <c r="I16" s="184">
        <f t="shared" si="8"/>
        <v>236.54053179327659</v>
      </c>
      <c r="J16" s="184">
        <f t="shared" si="8"/>
        <v>-6.5425097209320562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273.65036522902437</v>
      </c>
      <c r="D19" s="27"/>
      <c r="E19" s="299"/>
      <c r="F19" s="27"/>
      <c r="G19" s="186">
        <f>IF(G$4="","",G16+G17)</f>
        <v>342.21718549870042</v>
      </c>
      <c r="H19" s="186">
        <f t="shared" ref="H19:Q19" si="9">IF(H$4="","",H16+H17)</f>
        <v>329.978364164075</v>
      </c>
      <c r="I19" s="186">
        <f t="shared" si="9"/>
        <v>236.54053179327659</v>
      </c>
      <c r="J19" s="186">
        <f t="shared" si="9"/>
        <v>-6.5425097209320562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0.24270789688911248</v>
      </c>
      <c r="H43" s="6">
        <f t="shared" si="18"/>
        <v>0.27034715643044649</v>
      </c>
      <c r="I43" s="6">
        <f t="shared" si="18"/>
        <v>8.4834362818238473E-2</v>
      </c>
      <c r="J43" s="6">
        <f t="shared" si="18"/>
        <v>1.0496332781731563</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7.0171854987005426</v>
      </c>
      <c r="E48" s="302"/>
      <c r="G48" s="328">
        <f>IFERROR(IF(G$4="","",($C$48/$C$49)*G49),0)</f>
        <v>7.0171854987005418</v>
      </c>
      <c r="H48" s="328">
        <f t="shared" ref="H48:Q48" si="19">IFERROR(IF(H$4="","",($C$48/$C$49)*H49),0)</f>
        <v>7.378364164074835</v>
      </c>
      <c r="I48" s="328">
        <f t="shared" si="19"/>
        <v>4.5405317932768217</v>
      </c>
      <c r="J48" s="328">
        <f t="shared" si="19"/>
        <v>1.8574902790677907</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-144.98281450129946</v>
      </c>
      <c r="E50" s="302"/>
      <c r="G50" s="184">
        <f>IF(G$4="","",(G47+G48))</f>
        <v>-144.98281450129946</v>
      </c>
      <c r="H50" s="184">
        <f t="shared" ref="H50:Q50" si="20">IF(H$4="","",(H47+H48))</f>
        <v>-165.62163583592516</v>
      </c>
      <c r="I50" s="184">
        <f t="shared" si="20"/>
        <v>-133.7594682067232</v>
      </c>
      <c r="J50" s="184">
        <f t="shared" si="20"/>
        <v>-167.1425097209322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431</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4.0400940339212911E-2</v>
      </c>
      <c r="D80" s="27"/>
      <c r="E80" s="299"/>
      <c r="F80" s="27"/>
      <c r="G80" s="6">
        <f t="shared" ref="G80:Q80" si="31">IF(G$4="","",ABS(G12/G$4))</f>
        <v>4.0400940339212911E-2</v>
      </c>
      <c r="H80" s="6">
        <f t="shared" si="31"/>
        <v>4.4976546772736575E-2</v>
      </c>
      <c r="I80" s="6">
        <f t="shared" si="31"/>
        <v>4.6450711281679123E-2</v>
      </c>
      <c r="J80" s="6">
        <f t="shared" si="31"/>
        <v>8.2711059838149345E-2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0.11373130854453374</v>
      </c>
      <c r="D81" s="27"/>
      <c r="E81" s="299"/>
      <c r="F81" s="27"/>
      <c r="G81" s="65">
        <f t="shared" ref="G81:Q81" si="32">IF(G$4="","",G13/G$4)</f>
        <v>0.13582377124747824</v>
      </c>
      <c r="H81" s="65">
        <f t="shared" si="32"/>
        <v>0.13520485665980747</v>
      </c>
      <c r="I81" s="65">
        <f t="shared" si="32"/>
        <v>9.94723335856635E-2</v>
      </c>
      <c r="J81" s="65">
        <f t="shared" si="32"/>
        <v>-2.6495699584784274E-2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2.8432827136133435E-2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7.6255465983677301E-2</v>
      </c>
      <c r="D84" s="27"/>
      <c r="E84" s="299"/>
      <c r="F84" s="27"/>
      <c r="G84" s="65">
        <f t="shared" ref="G84:Q84" si="35">IF(G$4="","",ABS(G16/G$4))</f>
        <v>9.536230995338027E-2</v>
      </c>
      <c r="H84" s="65">
        <f t="shared" si="35"/>
        <v>8.9609592701519386E-2</v>
      </c>
      <c r="I84" s="65">
        <f t="shared" si="35"/>
        <v>8.2143537919598761E-2</v>
      </c>
      <c r="J84" s="65">
        <f t="shared" si="35"/>
        <v>3.2375839870012156E-3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7.6255465983677301E-2</v>
      </c>
      <c r="D87" s="75"/>
      <c r="E87" s="299"/>
      <c r="F87" s="75"/>
      <c r="G87" s="65">
        <f t="shared" ref="G87:Q87" si="36">IF(G$4="","",ABS(G19/G$4))</f>
        <v>9.536230995338027E-2</v>
      </c>
      <c r="H87" s="65">
        <f t="shared" si="36"/>
        <v>8.9609592701519386E-2</v>
      </c>
      <c r="I87" s="65">
        <f t="shared" si="36"/>
        <v>8.2143537919598761E-2</v>
      </c>
      <c r="J87" s="65">
        <f t="shared" si="36"/>
        <v>3.2375839870012156E-3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0.83287625999999992</v>
      </c>
      <c r="E90" s="302"/>
      <c r="G90" s="113">
        <f>Data!C65</f>
        <v>0.83287625999999992</v>
      </c>
      <c r="H90" s="113">
        <f>Data!D65</f>
        <v>0.79565273999999997</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1151.9212407893697</v>
      </c>
      <c r="E91" s="302"/>
      <c r="G91" s="74">
        <f t="shared" ref="G91:Q91" si="37">IF(G$4="","",G90*Common_Shares/scaling_factor)</f>
        <v>1151.9212407893697</v>
      </c>
      <c r="H91" s="74">
        <f t="shared" si="37"/>
        <v>1100.4387272345373</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4.209463560647178</v>
      </c>
      <c r="E92" s="302"/>
      <c r="G92" s="171">
        <f t="shared" ref="G92:Q92" si="38">IF(G$4="","",G90/(G19*scaling_factor/Common_Shares))</f>
        <v>3.3660531662392037</v>
      </c>
      <c r="H92" s="171">
        <f t="shared" si="38"/>
        <v>3.3348814550985733</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5.6890454918032782E-2</v>
      </c>
      <c r="E93" s="302"/>
      <c r="G93" s="23">
        <f t="shared" ref="G93:Q93" si="39">IF(G$4="","",G90/Market_Price)</f>
        <v>5.6890454918032782E-2</v>
      </c>
      <c r="H93" s="23">
        <f t="shared" si="39"/>
        <v>5.4347864754098356E-2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-0.1626553474405511</v>
      </c>
      <c r="D97" s="27"/>
      <c r="E97" s="299"/>
      <c r="F97" s="27"/>
      <c r="G97" s="6">
        <f t="shared" ref="G97:Q97" si="41">IF(H5="","",G13/H13-1)</f>
        <v>-2.1011514896693062E-2</v>
      </c>
      <c r="H97" s="6">
        <f t="shared" si="41"/>
        <v>0.738156122833177</v>
      </c>
      <c r="I97" s="6">
        <f t="shared" si="41"/>
        <v>-6.3497778360825459</v>
      </c>
      <c r="J97" s="6">
        <f t="shared" si="41"/>
        <v>-0.8281690958891782</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165.04139006839702</v>
      </c>
      <c r="H114" s="334">
        <f>IF(H$4="","",Data!D$22/H19)</f>
        <v>161.88940185617139</v>
      </c>
      <c r="I114" s="334">
        <f>IF(I$4="","",Data!E$22/I19)</f>
        <v>117.40059849138012</v>
      </c>
      <c r="J114" s="334">
        <f>IF(J$4="","",Data!F$22/J19)</f>
        <v>-5916.6897186490251</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0.11373130854453374</v>
      </c>
      <c r="E117" s="302"/>
      <c r="G117" s="23">
        <f t="shared" ref="G117:Q117" si="45">G81</f>
        <v>0.13582377124747824</v>
      </c>
      <c r="H117" s="23">
        <f t="shared" si="45"/>
        <v>0.13520485665980747</v>
      </c>
      <c r="I117" s="23">
        <f t="shared" si="45"/>
        <v>9.94723335856635E-2</v>
      </c>
      <c r="J117" s="23">
        <f t="shared" si="45"/>
        <v>-2.6495699584784274E-2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1.5343694073173044</v>
      </c>
      <c r="D124" s="27"/>
      <c r="E124" s="299"/>
      <c r="F124" s="27"/>
      <c r="G124" s="178">
        <f t="shared" ref="G124:Q124" si="49">IF(G$4="","",G16*$C$3/Common_Shares*Exchange_Rate)</f>
        <v>1.9188265275947247</v>
      </c>
      <c r="H124" s="178">
        <f t="shared" si="49"/>
        <v>1.8502029282008225</v>
      </c>
      <c r="I124" s="178">
        <f t="shared" si="49"/>
        <v>1.3262929697550976</v>
      </c>
      <c r="J124" s="178">
        <f t="shared" si="49"/>
        <v>-3.6684134349583855E-2</v>
      </c>
      <c r="K124" s="178">
        <f t="shared" si="49"/>
        <v>-1.2178497733427145</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0.10480665350528036</v>
      </c>
      <c r="D125" s="27"/>
      <c r="E125" s="299"/>
      <c r="F125" s="27"/>
      <c r="G125" s="77">
        <f t="shared" ref="G125" si="50">IF(G$4="","",G124/Market_Price)</f>
        <v>0.13106738576466698</v>
      </c>
      <c r="H125" s="77">
        <f t="shared" ref="H125" si="51">IF(H$4="","",H124/Market_Price)</f>
        <v>0.1263799814344824</v>
      </c>
      <c r="I125" s="77">
        <f t="shared" ref="I125" si="52">IF(I$4="","",I124/Market_Price)</f>
        <v>9.0593782087096827E-2</v>
      </c>
      <c r="J125" s="77">
        <f t="shared" ref="J125" si="53">IF(J$4="","",J124/Market_Price)</f>
        <v>-2.5057468818021757E-3</v>
      </c>
      <c r="K125" s="77">
        <f t="shared" ref="K125" si="54">IF(K$4="","",K124/Market_Price)</f>
        <v>-8.3186459927781037E-2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1.8401764592806038E-2</v>
      </c>
      <c r="H126" s="23">
        <f>IF(H$4="","",(Data!D47*$C$3)/(Market_Price*Common_Shares))</f>
        <v>2.223916960853612E-2</v>
      </c>
      <c r="I126" s="23">
        <f>IF(I$4="","",(Data!E47*$C$3)/(Market_Price*Common_Shares))</f>
        <v>1.6707774991267531E-2</v>
      </c>
      <c r="J126" s="23">
        <f>IF(J$4="","",(Data!F47*$C$3)/(Market_Price*Common_Shares))</f>
        <v>1.1606051205876055E-3</v>
      </c>
      <c r="K126" s="23">
        <f>IF(K$4="","",(Data!G47*$C$3)/(Market_Price*Common_Shares))</f>
        <v>-6.3611038098588771E-2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273.65036522902437</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3420.6295653628044</v>
      </c>
      <c r="D6" t="str">
        <f>Reporting_currency</f>
        <v>USD</v>
      </c>
      <c r="E6" s="348" t="s">
        <v>250</v>
      </c>
      <c r="F6" s="348"/>
      <c r="H6" s="121"/>
    </row>
    <row r="7" spans="2:8">
      <c r="B7" s="149" t="s">
        <v>225</v>
      </c>
      <c r="C7" s="226">
        <f>BS!G31</f>
        <v>2323</v>
      </c>
      <c r="D7" t="str">
        <f>Reporting_currency</f>
        <v>USD</v>
      </c>
      <c r="E7" s="348"/>
      <c r="F7" s="348"/>
      <c r="H7" s="121"/>
    </row>
    <row r="8" spans="2:8">
      <c r="B8" s="149" t="s">
        <v>226</v>
      </c>
      <c r="C8" s="201">
        <f>BS!D66</f>
        <v>327.34981229623696</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1424.9793776590413</v>
      </c>
      <c r="D10" t="str">
        <f>Reporting_currency</f>
        <v>USD</v>
      </c>
      <c r="H10" s="121"/>
    </row>
    <row r="11" spans="2:8" ht="13.15" thickBot="1">
      <c r="B11" s="230" t="s">
        <v>167</v>
      </c>
      <c r="C11" s="231">
        <f>Exchange_Rate</f>
        <v>7.7549000000000001</v>
      </c>
      <c r="D11" t="str">
        <f>Thesis!D17</f>
        <v>USD/HKD</v>
      </c>
      <c r="H11" s="121"/>
    </row>
    <row r="12" spans="2:8" ht="13.5" thickTop="1">
      <c r="B12" s="150" t="s">
        <v>103</v>
      </c>
      <c r="C12" s="112">
        <f>(C10*scaling_factor)/Common_Shares*Exchange_Rate</f>
        <v>7.9899208660225911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16.688903946803435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304.08350836855055</v>
      </c>
      <c r="D21" s="139">
        <f>IF($C$17&lt;B21,0,Valuation_Model!$C$16)</f>
        <v>0.111211776070739</v>
      </c>
      <c r="E21" s="125">
        <f t="shared" ref="E21:E50" si="0">IF($C$17&lt;B21,0,1/(1+Equity_Cost)^B21)</f>
        <v>0.92592592592592582</v>
      </c>
      <c r="F21" s="126">
        <f t="shared" ref="F21:F51" si="1">C21*E21</f>
        <v>281.55880404495417</v>
      </c>
      <c r="H21" s="121"/>
    </row>
    <row r="22" spans="2:8">
      <c r="B22" s="123">
        <v>2</v>
      </c>
      <c r="C22" s="124">
        <f t="shared" ref="C22:C50" si="2">IF(ROW()-ROW($C$21)&lt;$C$17, $C$21*(1+D22)^(ROW()-ROW($C$21)), 0)</f>
        <v>337.90117540803845</v>
      </c>
      <c r="D22" s="139">
        <f>IF($C$17&lt;B22,0,Valuation_Model!$C$16)</f>
        <v>0.111211776070739</v>
      </c>
      <c r="E22" s="125">
        <f t="shared" si="0"/>
        <v>0.85733882030178321</v>
      </c>
      <c r="F22" s="126">
        <f t="shared" si="1"/>
        <v>289.69579510291362</v>
      </c>
      <c r="H22" s="121"/>
    </row>
    <row r="23" spans="2:8">
      <c r="B23" s="123">
        <v>3</v>
      </c>
      <c r="C23" s="124">
        <f t="shared" si="2"/>
        <v>375.47976526155674</v>
      </c>
      <c r="D23" s="139">
        <f>IF($C$17&lt;B23,0,Valuation_Model!$C$16)</f>
        <v>0.111211776070739</v>
      </c>
      <c r="E23" s="125">
        <f t="shared" si="0"/>
        <v>0.79383224102016958</v>
      </c>
      <c r="F23" s="126">
        <f t="shared" si="1"/>
        <v>298.0679435153088</v>
      </c>
      <c r="H23" s="121"/>
    </row>
    <row r="24" spans="2:8">
      <c r="B24" s="123">
        <v>4</v>
      </c>
      <c r="C24" s="124">
        <f t="shared" si="2"/>
        <v>417.23753683491861</v>
      </c>
      <c r="D24" s="139">
        <f>IF($C$17&lt;B24,0,Valuation_Model!$C$16)</f>
        <v>0.111211776070739</v>
      </c>
      <c r="E24" s="125">
        <f t="shared" si="0"/>
        <v>0.73502985279645328</v>
      </c>
      <c r="F24" s="126">
        <f t="shared" si="1"/>
        <v>306.68204528092497</v>
      </c>
      <c r="H24" s="121"/>
    </row>
    <row r="25" spans="2:8">
      <c r="B25" s="123">
        <v>5</v>
      </c>
      <c r="C25" s="124">
        <f t="shared" si="2"/>
        <v>463.63926434971034</v>
      </c>
      <c r="D25" s="139">
        <f>IF($C$17&lt;B25,0,Valuation_Model!$C$16)</f>
        <v>0.111211776070739</v>
      </c>
      <c r="E25" s="125">
        <f t="shared" si="0"/>
        <v>0.68058319703375303</v>
      </c>
      <c r="F25" s="126">
        <f t="shared" si="1"/>
        <v>315.54509280150324</v>
      </c>
      <c r="H25" s="121"/>
    </row>
    <row r="26" spans="2:8">
      <c r="B26" s="123">
        <v>6</v>
      </c>
      <c r="C26" s="124">
        <f t="shared" si="2"/>
        <v>515.20141039417251</v>
      </c>
      <c r="D26" s="139">
        <f>IF($C$17&lt;B26,0,Valuation_Model!$C$16)</f>
        <v>0.111211776070739</v>
      </c>
      <c r="E26" s="125">
        <f t="shared" si="0"/>
        <v>0.63016962688310452</v>
      </c>
      <c r="F26" s="126">
        <f t="shared" si="1"/>
        <v>324.66428055774492</v>
      </c>
      <c r="H26" s="121"/>
    </row>
    <row r="27" spans="2:8">
      <c r="B27" s="123">
        <v>7</v>
      </c>
      <c r="C27" s="124">
        <f t="shared" si="2"/>
        <v>572.49787427825811</v>
      </c>
      <c r="D27" s="139">
        <f>IF($C$17&lt;B27,0,Valuation_Model!$C$16)</f>
        <v>0.111211776070739</v>
      </c>
      <c r="E27" s="125">
        <f t="shared" si="0"/>
        <v>0.58349039526213387</v>
      </c>
      <c r="F27" s="126">
        <f t="shared" si="1"/>
        <v>334.04701094935223</v>
      </c>
      <c r="H27" s="121"/>
    </row>
    <row r="28" spans="2:8">
      <c r="B28" s="123">
        <v>8</v>
      </c>
      <c r="C28" s="124">
        <f t="shared" si="2"/>
        <v>636.16637967346583</v>
      </c>
      <c r="D28" s="139">
        <f>IF($C$17&lt;B28,0,Valuation_Model!$C$16)</f>
        <v>0.111211776070739</v>
      </c>
      <c r="E28" s="125">
        <f t="shared" si="0"/>
        <v>0.54026888450197574</v>
      </c>
      <c r="F28" s="126">
        <f t="shared" si="1"/>
        <v>343.70090030384375</v>
      </c>
      <c r="H28" s="121"/>
    </row>
    <row r="29" spans="2:8">
      <c r="B29" s="123">
        <v>9</v>
      </c>
      <c r="C29" s="124">
        <f t="shared" si="2"/>
        <v>706.91557263344407</v>
      </c>
      <c r="D29" s="139">
        <f>IF($C$17&lt;B29,0,Valuation_Model!$C$16)</f>
        <v>0.111211776070739</v>
      </c>
      <c r="E29" s="125">
        <f t="shared" si="0"/>
        <v>0.50024896713145905</v>
      </c>
      <c r="F29" s="126">
        <f t="shared" si="1"/>
        <v>353.63378505902432</v>
      </c>
      <c r="H29" s="121"/>
    </row>
    <row r="30" spans="2:8">
      <c r="B30" s="123">
        <v>10</v>
      </c>
      <c r="C30" s="124">
        <f t="shared" si="2"/>
        <v>785.5329089980728</v>
      </c>
      <c r="D30" s="139">
        <f>IF($C$17&lt;B30,0,Valuation_Model!$C$16)</f>
        <v>0.111211776070739</v>
      </c>
      <c r="E30" s="125">
        <f t="shared" si="0"/>
        <v>0.46319348808468425</v>
      </c>
      <c r="F30" s="126">
        <f t="shared" si="1"/>
        <v>363.85372812412618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3801.0438546068817</v>
      </c>
      <c r="D51" s="140">
        <f>Terminal_Growth</f>
        <v>0</v>
      </c>
      <c r="E51" s="125">
        <f>1/(1+Equity_Cost)^C17</f>
        <v>0.46319348808468425</v>
      </c>
      <c r="F51" s="126">
        <f t="shared" si="1"/>
        <v>1760.6187613782149</v>
      </c>
      <c r="H51" s="121"/>
    </row>
    <row r="52" spans="1:8">
      <c r="C52" s="115"/>
      <c r="E52" s="128" t="s">
        <v>101</v>
      </c>
      <c r="F52" s="138">
        <f>SUM(F21:F51)</f>
        <v>4972.0681471179105</v>
      </c>
      <c r="H52" s="121"/>
    </row>
    <row r="53" spans="1:8">
      <c r="C53" s="115"/>
      <c r="H53" s="121"/>
    </row>
    <row r="54" spans="1:8" ht="13.15">
      <c r="B54" s="120" t="s">
        <v>130</v>
      </c>
      <c r="C54" s="137"/>
      <c r="D54" s="137"/>
      <c r="E54" s="118"/>
      <c r="F54" s="118"/>
      <c r="H54" s="121"/>
    </row>
    <row r="55" spans="1:8" ht="13.15">
      <c r="A55" s="134">
        <f>F52</f>
        <v>4972.0681471179105</v>
      </c>
      <c r="B55" s="132">
        <f>C78</f>
        <v>0</v>
      </c>
      <c r="C55" s="132">
        <f>C77</f>
        <v>0.02</v>
      </c>
      <c r="D55" s="132">
        <f>C76</f>
        <v>0.06</v>
      </c>
      <c r="E55" s="132">
        <f>C75</f>
        <v>0.15</v>
      </c>
      <c r="F55" s="132">
        <f>C74</f>
        <v>0.25</v>
      </c>
      <c r="H55" s="121"/>
    </row>
    <row r="56" spans="1:8" ht="13.15">
      <c r="A56" s="144">
        <v>5</v>
      </c>
      <c r="B56" s="124">
        <f t="dataTable" ref="B56:F61" dt2D="1" dtr="1" r1="C16" r2="C17"/>
        <v>3420.629565362804</v>
      </c>
      <c r="C56" s="124">
        <v>3530.9969812198256</v>
      </c>
      <c r="D56" s="124">
        <v>3761.7932348463373</v>
      </c>
      <c r="E56" s="124">
        <v>4335.6660851292536</v>
      </c>
      <c r="F56" s="124">
        <v>5077.0480681449699</v>
      </c>
      <c r="H56" s="121"/>
    </row>
    <row r="57" spans="1:8" ht="13.15">
      <c r="A57" s="144">
        <v>10</v>
      </c>
      <c r="B57" s="124">
        <v>3420.6295653628031</v>
      </c>
      <c r="C57" s="124">
        <v>3641.4660280260505</v>
      </c>
      <c r="D57" s="124">
        <v>4152.1892621574334</v>
      </c>
      <c r="E57" s="124">
        <v>5750.746186340938</v>
      </c>
      <c r="F57" s="124">
        <v>8648.381112227049</v>
      </c>
      <c r="H57" s="121"/>
    </row>
    <row r="58" spans="1:8" ht="13.15">
      <c r="A58" s="144">
        <v>15</v>
      </c>
      <c r="B58" s="124">
        <v>3420.6295653628031</v>
      </c>
      <c r="C58" s="124">
        <v>3778.2021036451924</v>
      </c>
      <c r="D58" s="124">
        <v>4689.1940596487048</v>
      </c>
      <c r="E58" s="124">
        <v>8276.454922258039</v>
      </c>
      <c r="F58" s="124">
        <v>17363.914012379355</v>
      </c>
      <c r="H58" s="121"/>
    </row>
    <row r="59" spans="1:8" ht="13.15">
      <c r="A59" s="145">
        <v>20</v>
      </c>
      <c r="B59" s="124">
        <v>3420.6295653628031</v>
      </c>
      <c r="C59" s="124">
        <v>3917.5142366725368</v>
      </c>
      <c r="D59" s="124">
        <v>5301.7705681368643</v>
      </c>
      <c r="E59" s="124">
        <v>12134.48628304239</v>
      </c>
      <c r="F59" s="124">
        <v>36349.230629604273</v>
      </c>
      <c r="H59" s="121"/>
    </row>
    <row r="60" spans="1:8" ht="13.15">
      <c r="A60" s="145">
        <v>25</v>
      </c>
      <c r="B60" s="124">
        <v>3420.6295653628031</v>
      </c>
      <c r="C60" s="124">
        <v>4047.0822508195679</v>
      </c>
      <c r="D60" s="124">
        <v>5943.732123706277</v>
      </c>
      <c r="E60" s="124">
        <v>17688.370572612384</v>
      </c>
      <c r="F60" s="124">
        <v>76382.468364507353</v>
      </c>
      <c r="H60" s="121"/>
    </row>
    <row r="61" spans="1:8" ht="13.15">
      <c r="A61" s="145">
        <v>30</v>
      </c>
      <c r="B61" s="124">
        <v>3420.6295653628031</v>
      </c>
      <c r="C61" s="124">
        <v>4161.3792632678096</v>
      </c>
      <c r="D61" s="124">
        <v>6585.6120985277894</v>
      </c>
      <c r="E61" s="124">
        <v>25476.614888713142</v>
      </c>
      <c r="F61" s="124">
        <v>159939.67796756013</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7.9899208660225911</v>
      </c>
      <c r="C65" s="125">
        <f>C12</f>
        <v>7.9899208660225911</v>
      </c>
      <c r="D65" s="125">
        <f>C12</f>
        <v>7.9899208660225911</v>
      </c>
      <c r="E65" s="142">
        <f>C12</f>
        <v>7.9899208660225911</v>
      </c>
      <c r="F65" s="125">
        <f>C12</f>
        <v>7.9899208660225911</v>
      </c>
      <c r="H65" s="121"/>
    </row>
    <row r="66" spans="1:8" ht="13.15">
      <c r="A66" s="144">
        <f t="shared" ref="A66:A71" si="3">A56</f>
        <v>5</v>
      </c>
      <c r="B66" s="125">
        <f t="shared" ref="B66:F71" si="4">(B56-$C$7+$C$8+$C$9)/Common_Shares*$C$3*Exchange_Rate</f>
        <v>7.9899208660225876</v>
      </c>
      <c r="C66" s="125">
        <f t="shared" si="4"/>
        <v>8.6087557296777195</v>
      </c>
      <c r="D66" s="125">
        <f t="shared" si="4"/>
        <v>9.902840283855415</v>
      </c>
      <c r="E66" s="125">
        <f t="shared" si="4"/>
        <v>13.120570121077273</v>
      </c>
      <c r="F66" s="125">
        <f t="shared" si="4"/>
        <v>17.277530894447729</v>
      </c>
      <c r="H66" s="121"/>
    </row>
    <row r="67" spans="1:8" ht="13.15">
      <c r="A67" s="144">
        <f t="shared" si="3"/>
        <v>10</v>
      </c>
      <c r="B67" s="125">
        <f t="shared" si="4"/>
        <v>7.989920866022584</v>
      </c>
      <c r="C67" s="125">
        <f t="shared" si="4"/>
        <v>9.2281604424509567</v>
      </c>
      <c r="D67" s="125">
        <f t="shared" si="4"/>
        <v>12.091807656667177</v>
      </c>
      <c r="E67" s="125">
        <f t="shared" si="4"/>
        <v>21.054985316852761</v>
      </c>
      <c r="F67" s="125">
        <f t="shared" si="4"/>
        <v>37.302149394754856</v>
      </c>
      <c r="H67" s="121"/>
    </row>
    <row r="68" spans="1:8" ht="13.15">
      <c r="A68" s="144">
        <f t="shared" si="3"/>
        <v>15</v>
      </c>
      <c r="B68" s="125">
        <f t="shared" si="4"/>
        <v>7.989920866022584</v>
      </c>
      <c r="C68" s="125">
        <f t="shared" si="4"/>
        <v>9.9948455193411245</v>
      </c>
      <c r="D68" s="125">
        <f t="shared" si="4"/>
        <v>15.102816730832442</v>
      </c>
      <c r="E68" s="125">
        <f t="shared" si="4"/>
        <v>35.216743196992525</v>
      </c>
      <c r="F68" s="125">
        <f t="shared" si="4"/>
        <v>86.170518487809474</v>
      </c>
      <c r="H68" s="121"/>
    </row>
    <row r="69" spans="1:8" ht="13.15">
      <c r="A69" s="145">
        <f t="shared" si="3"/>
        <v>20</v>
      </c>
      <c r="B69" s="125">
        <f t="shared" si="4"/>
        <v>7.989920866022584</v>
      </c>
      <c r="C69" s="125">
        <f t="shared" si="4"/>
        <v>10.77597466128975</v>
      </c>
      <c r="D69" s="125">
        <f t="shared" si="4"/>
        <v>18.537559649881139</v>
      </c>
      <c r="E69" s="125">
        <f t="shared" si="4"/>
        <v>56.848891531616417</v>
      </c>
      <c r="F69" s="125">
        <f t="shared" si="4"/>
        <v>192.6220080786338</v>
      </c>
      <c r="H69" s="121"/>
    </row>
    <row r="70" spans="1:8" ht="13.15">
      <c r="A70" s="145">
        <f t="shared" si="3"/>
        <v>25</v>
      </c>
      <c r="B70" s="125">
        <f t="shared" si="4"/>
        <v>7.989920866022584</v>
      </c>
      <c r="C70" s="125">
        <f t="shared" si="4"/>
        <v>11.502468108165566</v>
      </c>
      <c r="D70" s="125">
        <f t="shared" si="4"/>
        <v>22.137065796036506</v>
      </c>
      <c r="E70" s="125">
        <f t="shared" si="4"/>
        <v>87.98976042307352</v>
      </c>
      <c r="F70" s="125">
        <f t="shared" si="4"/>
        <v>417.09009970674953</v>
      </c>
    </row>
    <row r="71" spans="1:8" ht="13.15">
      <c r="A71" s="145">
        <f t="shared" si="3"/>
        <v>30</v>
      </c>
      <c r="B71" s="125">
        <f t="shared" si="4"/>
        <v>7.989920866022584</v>
      </c>
      <c r="C71" s="125">
        <f t="shared" si="4"/>
        <v>12.1433363894908</v>
      </c>
      <c r="D71" s="125">
        <f t="shared" si="4"/>
        <v>25.736114515417757</v>
      </c>
      <c r="E71" s="125">
        <f t="shared" si="4"/>
        <v>131.65878240788473</v>
      </c>
      <c r="F71" s="125">
        <f t="shared" si="4"/>
        <v>885.5989798919594</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86.170518487809474</v>
      </c>
      <c r="F74" s="143">
        <f>Scenarios!C58</f>
        <v>0.05</v>
      </c>
    </row>
    <row r="75" spans="1:8">
      <c r="B75" s="128" t="str">
        <f>Scenarios!B36</f>
        <v>Optimistic</v>
      </c>
      <c r="C75" s="143">
        <f>Scenarios!C38</f>
        <v>0.15</v>
      </c>
      <c r="D75" s="146">
        <f>Scenarios!C37</f>
        <v>10</v>
      </c>
      <c r="E75" s="136">
        <f>INDEX(B$65:F$71, MATCH(D75, A$65:A$71, 0), MATCH(C75, B$64:F$64, 0))</f>
        <v>21.054985316852761</v>
      </c>
      <c r="F75" s="143">
        <f>Scenarios!C40*(1-F$74-F$78)</f>
        <v>0.18</v>
      </c>
      <c r="H75" s="121"/>
    </row>
    <row r="76" spans="1:8">
      <c r="B76" s="128" t="str">
        <f>Scenarios!B24</f>
        <v>Base</v>
      </c>
      <c r="C76" s="143">
        <f>Scenarios!C26</f>
        <v>0.06</v>
      </c>
      <c r="D76" s="146">
        <f>Scenarios!C25</f>
        <v>10</v>
      </c>
      <c r="E76" s="136">
        <f>INDEX(B$65:F$71, MATCH(D76, A$65:A$71, 0), MATCH(C76, B$64:F$64, 0))</f>
        <v>12.091807656667177</v>
      </c>
      <c r="F76" s="143">
        <f>Scenarios!C28*(1-F$74-F$78)</f>
        <v>0.53999999999999992</v>
      </c>
      <c r="H76" s="121"/>
    </row>
    <row r="77" spans="1:8">
      <c r="B77" s="128" t="str">
        <f>Scenarios!B30</f>
        <v>Pessimistic</v>
      </c>
      <c r="C77" s="143">
        <f>Scenarios!C32</f>
        <v>0.02</v>
      </c>
      <c r="D77" s="146">
        <f>Scenarios!C31</f>
        <v>10</v>
      </c>
      <c r="E77" s="136">
        <f>INDEX(B$65:F$71, MATCH(D77, A$65:A$71, 0), MATCH(C77, B$64:F$64, 0))</f>
        <v>9.2281604424509567</v>
      </c>
      <c r="F77" s="143">
        <f>Scenarios!C34*(1-F$74-F$78)</f>
        <v>0.18</v>
      </c>
      <c r="H77" s="121"/>
    </row>
    <row r="78" spans="1:8">
      <c r="B78" s="128" t="str">
        <f>Scenarios!B48</f>
        <v>Devil's advocate</v>
      </c>
      <c r="C78" s="143">
        <f>Scenarios!C50</f>
        <v>0</v>
      </c>
      <c r="D78" s="146">
        <f>Scenarios!C49</f>
        <v>15</v>
      </c>
      <c r="E78" s="136">
        <f>INDEX(B$65:F$71, MATCH(D78, A$65:A$71, 0), MATCH(C78, B$64:F$64, 0))</f>
        <v>7.989920866022584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-14.64</v>
      </c>
    </row>
    <row r="4" spans="2:9">
      <c r="B4" s="153" t="s">
        <v>147</v>
      </c>
      <c r="C4" s="121">
        <v>3</v>
      </c>
      <c r="D4" s="121"/>
      <c r="E4" s="156" t="s">
        <v>151</v>
      </c>
      <c r="F4" s="156"/>
      <c r="H4" s="276">
        <v>1</v>
      </c>
      <c r="I4" s="264">
        <f t="shared" ref="I4:I13" si="0">IF(ROW()-3 &lt; $C$76, $C$77, IF(ROW()-3 = $C$76, $C$77 + $C$60, ""))</f>
        <v>0.83287625999999992</v>
      </c>
    </row>
    <row r="5" spans="2:9">
      <c r="H5" s="276">
        <v>2</v>
      </c>
      <c r="I5" s="264">
        <f t="shared" si="0"/>
        <v>0.83287625999999992</v>
      </c>
    </row>
    <row r="6" spans="2:9" ht="13.15">
      <c r="B6" s="160" t="s">
        <v>96</v>
      </c>
      <c r="C6" s="107">
        <f>Valuation_Model!C3</f>
        <v>1000000</v>
      </c>
      <c r="E6" s="100" t="s">
        <v>282</v>
      </c>
      <c r="F6" s="100"/>
      <c r="H6" s="276">
        <v>3</v>
      </c>
      <c r="I6" s="264">
        <f t="shared" si="0"/>
        <v>17.521440598966546</v>
      </c>
    </row>
    <row r="7" spans="2:9" ht="12.75" customHeight="1">
      <c r="B7" s="100" t="s">
        <v>276</v>
      </c>
      <c r="C7" s="115">
        <f>Normalized_FCF!G8</f>
        <v>632.39999999999986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0"/>
      <c r="H7" s="276">
        <v>4</v>
      </c>
      <c r="I7" s="264" t="str">
        <f t="shared" si="0"/>
        <v/>
      </c>
    </row>
    <row r="8" spans="2:9">
      <c r="B8" s="100" t="s">
        <v>66</v>
      </c>
      <c r="C8" s="115">
        <f>Normalized_FCF!G19</f>
        <v>342.21718549870042</v>
      </c>
      <c r="D8" t="str">
        <f>Reporting_currency</f>
        <v>USD</v>
      </c>
      <c r="E8" s="350"/>
      <c r="F8" s="350"/>
      <c r="H8" s="276">
        <v>5</v>
      </c>
      <c r="I8" s="264" t="str">
        <f t="shared" si="0"/>
        <v/>
      </c>
    </row>
    <row r="9" spans="2:9">
      <c r="B9" s="100" t="s">
        <v>57</v>
      </c>
      <c r="C9" s="201">
        <f>Normalized_FCF!C19</f>
        <v>273.65036522902437</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0.21097145624674352</v>
      </c>
      <c r="D12" s="159"/>
      <c r="E12" s="350"/>
      <c r="F12" s="350"/>
      <c r="H12" s="276">
        <v>9</v>
      </c>
      <c r="I12" s="264" t="str">
        <f t="shared" si="0"/>
        <v/>
      </c>
    </row>
    <row r="13" spans="2:9">
      <c r="B13" s="149" t="s">
        <v>153</v>
      </c>
      <c r="C13" s="159">
        <f ca="1">(Normalized_FCF!G8/OFFSET(Normalized_FCF!G8, 0, $C$4))^(1/$C$4) - 1</f>
        <v>0.77230247224880189</v>
      </c>
      <c r="E13" s="350"/>
      <c r="F13" s="350"/>
      <c r="H13" s="276">
        <v>10</v>
      </c>
      <c r="I13" s="264" t="str">
        <f t="shared" si="0"/>
        <v/>
      </c>
    </row>
    <row r="14" spans="2:9">
      <c r="B14" s="100" t="s">
        <v>66</v>
      </c>
      <c r="C14" s="159">
        <f ca="1">(Normalized_FCF!G19/OFFSET(Normalized_FCF!G19, 0, $C$4))^(1/$C$4) - 1</f>
        <v>-4.7398353255798833</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14.64</v>
      </c>
      <c r="D21" t="str">
        <f>Market_currency</f>
        <v>HKD</v>
      </c>
      <c r="E21" s="351"/>
      <c r="F21" s="351"/>
    </row>
    <row r="22" spans="2:6">
      <c r="B22" s="100" t="s">
        <v>281</v>
      </c>
      <c r="C22" s="161">
        <f>Valuation_Model!C12</f>
        <v>7.9899208660225911</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0.06</v>
      </c>
      <c r="D26" s="165"/>
      <c r="E26" s="349"/>
      <c r="F26" s="349"/>
    </row>
    <row r="27" spans="2:6">
      <c r="B27" s="100" t="s">
        <v>114</v>
      </c>
      <c r="C27" s="161">
        <f>Valuation_Model!E76</f>
        <v>12.091807656667177</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9.2281604424509567</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0.15</v>
      </c>
      <c r="D38" s="165"/>
      <c r="E38" s="349"/>
      <c r="F38" s="349"/>
    </row>
    <row r="39" spans="2:6">
      <c r="B39" s="100" t="s">
        <v>114</v>
      </c>
      <c r="C39" s="161">
        <f>Valuation_Model!E75</f>
        <v>21.054985316852761</v>
      </c>
      <c r="D39" t="str">
        <f>Market_currency</f>
        <v>HKD</v>
      </c>
      <c r="E39" s="349"/>
      <c r="F39" s="349"/>
    </row>
    <row r="40" spans="2:6">
      <c r="B40" s="100" t="s">
        <v>148</v>
      </c>
      <c r="C40" s="168">
        <f>1-C28-C34</f>
        <v>0.2</v>
      </c>
      <c r="D40" s="166"/>
      <c r="E40" s="349"/>
      <c r="F40" s="349"/>
    </row>
    <row r="42" spans="2:6" ht="13.15">
      <c r="B42" s="100" t="s">
        <v>121</v>
      </c>
      <c r="C42" s="155">
        <f>C27*C28+C33*C34+C39*C40</f>
        <v>13.311713745861049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7.989920866022584</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0.25</v>
      </c>
      <c r="D56" s="165"/>
      <c r="E56" s="349"/>
      <c r="F56" s="349"/>
    </row>
    <row r="57" spans="2:6">
      <c r="B57" s="100" t="s">
        <v>114</v>
      </c>
      <c r="C57" s="161">
        <f>Valuation_Model!E74</f>
        <v>86.170518487809474</v>
      </c>
      <c r="D57" t="str">
        <f>Market_currency</f>
        <v>HKD</v>
      </c>
      <c r="E57" s="349"/>
      <c r="F57" s="349"/>
    </row>
    <row r="58" spans="2:6">
      <c r="B58" s="100" t="s">
        <v>148</v>
      </c>
      <c r="C58" s="166">
        <v>0.05</v>
      </c>
      <c r="D58" s="166"/>
      <c r="E58" s="349"/>
      <c r="F58" s="349"/>
    </row>
    <row r="60" spans="2:6" ht="13.15">
      <c r="B60" s="100" t="s">
        <v>121</v>
      </c>
      <c r="C60" s="155">
        <f>C51*C52+C57*C58+C42*(1-C52-C58)</f>
        <v>16.688564338966547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16.688903946803435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-0.67050085904133838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0.83287625999999992</v>
      </c>
      <c r="D77" t="str">
        <f>Market_currency</f>
        <v>HKD</v>
      </c>
    </row>
    <row r="79" spans="2:6" ht="13.15">
      <c r="B79" s="109" t="s">
        <v>308</v>
      </c>
    </row>
    <row r="80" spans="2:6">
      <c r="B80" s="149" t="s">
        <v>306</v>
      </c>
      <c r="C80" s="168">
        <f>Thesis!C127</f>
        <v>0.3</v>
      </c>
    </row>
    <row r="81" spans="2:8">
      <c r="B81" s="100" t="s">
        <v>122</v>
      </c>
      <c r="C81" s="117">
        <f>PV(C80, C76, -C77, 0)</f>
        <v>1.5125973042330454</v>
      </c>
      <c r="D81" s="117"/>
      <c r="E81" s="100"/>
      <c r="F81" s="100"/>
    </row>
    <row r="82" spans="2:8">
      <c r="B82" s="100" t="s">
        <v>123</v>
      </c>
      <c r="C82" s="117">
        <f>C60/(1+C80)^C76</f>
        <v>7.5960693395387082</v>
      </c>
      <c r="D82" s="117"/>
    </row>
    <row r="83" spans="2:8" ht="13.15">
      <c r="B83" s="111" t="s">
        <v>102</v>
      </c>
      <c r="C83" s="112">
        <f>C81+C82</f>
        <v>9.1086666437717536</v>
      </c>
      <c r="D83" t="str">
        <f>Market_currency</f>
        <v>HKD</v>
      </c>
      <c r="E83" s="147" t="s">
        <v>127</v>
      </c>
      <c r="F83" s="329">
        <f>(1-C83/C60)</f>
        <v>0.45419711014303965</v>
      </c>
    </row>
    <row r="84" spans="2:8">
      <c r="E84" s="121"/>
    </row>
    <row r="85" spans="2:8" ht="13.15">
      <c r="B85" s="109" t="s">
        <v>309</v>
      </c>
    </row>
    <row r="86" spans="2:8">
      <c r="B86" s="149" t="s">
        <v>307</v>
      </c>
      <c r="C86" s="266">
        <f>Market_Price</f>
        <v>14.64</v>
      </c>
      <c r="D86" t="str">
        <f>Market_currency</f>
        <v>HKD</v>
      </c>
    </row>
    <row r="87" spans="2:8" ht="13.15">
      <c r="B87" s="100" t="s">
        <v>305</v>
      </c>
      <c r="C87" s="265">
        <f ca="1">IRR(OFFSET($I$3, 0, 0, $C$76 + 1, 1))</f>
        <v>9.919795200818049E-2</v>
      </c>
    </row>
    <row r="88" spans="2:8">
      <c r="B88" s="100"/>
    </row>
    <row r="89" spans="2:8" ht="13.15">
      <c r="B89" s="109" t="s">
        <v>422</v>
      </c>
    </row>
    <row r="90" spans="2:8">
      <c r="B90" s="149" t="s">
        <v>423</v>
      </c>
      <c r="C90" s="168">
        <f>Thesis!E19</f>
        <v>0.2</v>
      </c>
    </row>
    <row r="91" spans="2:8">
      <c r="B91" s="100" t="s">
        <v>122</v>
      </c>
      <c r="C91" s="117">
        <f>PV(C90, C76, -C77, 0)</f>
        <v>1.7544384180555554</v>
      </c>
      <c r="D91" s="117"/>
      <c r="E91" s="100"/>
      <c r="F91" s="100"/>
    </row>
    <row r="92" spans="2:8">
      <c r="B92" s="100" t="s">
        <v>123</v>
      </c>
      <c r="C92" s="117">
        <f>C60/(1+C90)^C76</f>
        <v>9.6577339924574925</v>
      </c>
      <c r="D92" s="117"/>
    </row>
    <row r="93" spans="2:8" ht="13.15">
      <c r="B93" s="111" t="s">
        <v>102</v>
      </c>
      <c r="C93" s="112">
        <f>C91+C92</f>
        <v>11.412172410513048</v>
      </c>
      <c r="D93" t="str">
        <f>Market_currency</f>
        <v>HKD</v>
      </c>
      <c r="E93" s="147" t="s">
        <v>127</v>
      </c>
      <c r="F93" s="329">
        <f>(1-C93/C60)</f>
        <v>0.31616811496082498</v>
      </c>
    </row>
    <row r="95" spans="2:8" ht="13.15">
      <c r="B95" s="109" t="s">
        <v>405</v>
      </c>
      <c r="G95" s="2"/>
      <c r="H95" s="316"/>
    </row>
    <row r="96" spans="2:8">
      <c r="B96" s="149" t="s">
        <v>411</v>
      </c>
      <c r="C96" s="135">
        <f>Thesis!C67</f>
        <v>0.08</v>
      </c>
      <c r="G96" s="2"/>
      <c r="H96" s="316"/>
    </row>
    <row r="97" spans="2:8">
      <c r="B97" s="100" t="s">
        <v>122</v>
      </c>
      <c r="C97" s="117">
        <f>PV(C96, C76, -C77, 0)</f>
        <v>2.1464029003962817</v>
      </c>
      <c r="D97" s="117"/>
      <c r="G97" s="2"/>
      <c r="H97" s="316"/>
    </row>
    <row r="98" spans="2:8">
      <c r="B98" s="100" t="s">
        <v>123</v>
      </c>
      <c r="C98" s="117">
        <f>C60/(1+C96)^C76</f>
        <v>13.247920428611099</v>
      </c>
      <c r="D98" s="117"/>
      <c r="G98" s="2"/>
      <c r="H98" s="316"/>
    </row>
    <row r="99" spans="2:8" ht="13.15">
      <c r="B99" s="111" t="s">
        <v>406</v>
      </c>
      <c r="C99" s="112">
        <f>C97+C98</f>
        <v>15.394323329007381</v>
      </c>
      <c r="D99" t="s">
        <v>404</v>
      </c>
      <c r="E99" s="147" t="s">
        <v>127</v>
      </c>
      <c r="F99" s="329">
        <f>(1-C99/C60)</f>
        <v>7.7552567355192448E-2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