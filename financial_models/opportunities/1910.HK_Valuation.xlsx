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322139-A119-4119-95C6-5A3D251E89B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<sst xmlns="http://schemas.openxmlformats.org/spreadsheetml/2006/main" count="685" uniqueCount="465">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</sst>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14.78</v>
      </c>
      <c r="D12" s="50"/>
      <c r="E12" s="48"/>
    </row>
    <row r="13" spans="1:10">
      <c r="B13" s="1" t="s">
        <v>415</v>
      </c>
      <c r="C13" s="48" t="s">
        <v>396</v>
      </c>
      <c r="D13" s="48"/>
      <c r="E13" s="5"/>
    </row>
    <row r="14" spans="1:10">
      <c r="B14" s="4" t="s">
        <v>419</v>
      </c>
      <c r="C14" s="35">
        <f>Thesis!C12*Common_Shares/1000000</f>
        <v>20441.687146739998</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7.8413000000000004</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18.586485075372369</v>
      </c>
      <c r="D26" s="1" t="s">
        <v>399</v>
      </c>
      <c r="E26" s="301">
        <f ca="1">Scenarios!C87</f>
        <v>0.13240055219216473</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8.6652706775501045</v>
      </c>
      <c r="D29" s="310" t="str">
        <f>D149</f>
        <v/>
      </c>
      <c r="E29" s="306" t="s">
        <v>423</v>
      </c>
      <c r="F29" s="302">
        <v>0.3674</v>
      </c>
    </row>
    <row r="30" spans="2:6">
      <c r="B30" s="1" t="s">
        <v>425</v>
      </c>
      <c r="C30" s="311">
        <f>C157</f>
        <v>12.028183239166919</v>
      </c>
      <c r="D30" s="311" t="str">
        <f>D157</f>
        <v/>
      </c>
      <c r="E30" s="307" t="s">
        <v>436</v>
      </c>
      <c r="F30" s="312">
        <v>0.21740000000000001</v>
      </c>
    </row>
    <row r="31" spans="2:6">
      <c r="B31" s="1" t="s">
        <v>426</v>
      </c>
      <c r="C31" s="311">
        <f>C165</f>
        <v>17.151434978241308</v>
      </c>
      <c r="D31" s="311" t="str">
        <f>D165</f>
        <v/>
      </c>
      <c r="E31" s="307" t="s">
        <v>435</v>
      </c>
      <c r="F31" s="312">
        <v>7.4999999999999997E-2</v>
      </c>
    </row>
    <row r="32" spans="2:6">
      <c r="B32" s="1" t="s">
        <v>427</v>
      </c>
      <c r="C32" s="311">
        <f>C173</f>
        <v>15.353843628726462</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553.11898834421322</v>
      </c>
      <c r="D41" s="1" t="str">
        <f>Reporting_currency</f>
        <v>USD</v>
      </c>
    </row>
    <row r="42" spans="1:6">
      <c r="B42" s="47"/>
      <c r="C42" s="76"/>
    </row>
    <row r="43" spans="1:6" ht="24.5"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7.0386924376326601</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-144.96130756236735</v>
      </c>
      <c r="D53" s="1" t="str">
        <f>Reporting_currency</f>
        <v>USD</v>
      </c>
    </row>
    <row r="55" spans="2:6">
      <c r="B55" s="1" t="s">
        <v>246</v>
      </c>
    </row>
    <row r="56" spans="2:6">
      <c r="B56" s="47" t="s">
        <v>265</v>
      </c>
      <c r="C56" s="349">
        <f>Normalized_FCF!C15</f>
        <v>-32.451765153160977</v>
      </c>
      <c r="D56" s="1" t="str">
        <f>Reporting_currency</f>
        <v>USD</v>
      </c>
    </row>
    <row r="58" spans="2:6">
      <c r="B58" s="359" t="s">
        <v>241</v>
      </c>
      <c r="C58" s="359"/>
      <c r="D58" s="359"/>
      <c r="E58" s="359"/>
      <c r="F58" s="359"/>
    </row>
    <row r="59" spans="2:6">
      <c r="B59" s="47" t="s">
        <v>239</v>
      </c>
      <c r="C59" s="349">
        <f>Normalized_FCF!C14</f>
        <v>-102.03942019546147</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342.23869243763255</v>
      </c>
      <c r="D67" s="1" t="str">
        <f>Reporting_currency</f>
        <v>USD</v>
      </c>
    </row>
    <row r="68" spans="1:6">
      <c r="B68" s="47" t="s">
        <v>248</v>
      </c>
      <c r="C68" s="349">
        <f>Normalized_FCF!C19</f>
        <v>273.66649543322342</v>
      </c>
      <c r="D68" s="1" t="str">
        <f>Reporting_currency</f>
        <v>USD</v>
      </c>
    </row>
    <row r="69" spans="1:6">
      <c r="B69" s="227" t="s">
        <v>390</v>
      </c>
      <c r="C69" s="92">
        <f>Normalized_FCF!C125</f>
        <v>0.10497671132701779</v>
      </c>
      <c r="F69" s="314"/>
    </row>
    <row r="70" spans="1:6">
      <c r="B70" s="227" t="s">
        <v>308</v>
      </c>
      <c r="C70" s="92">
        <f>Normalized_FCF!C93</f>
        <v>5.6979405953991882E-2</v>
      </c>
      <c r="E70" s="47" t="s">
        <v>447</v>
      </c>
      <c r="F70" s="315">
        <f>Normalized_FCF!C92</f>
        <v>4.256111762876742</v>
      </c>
    </row>
    <row r="72" spans="1:6">
      <c r="B72" s="210" t="s">
        <v>450</v>
      </c>
      <c r="C72" s="323" t="s">
        <v>452</v>
      </c>
      <c r="D72" s="323" t="s">
        <v>453</v>
      </c>
    </row>
    <row r="73" spans="1:6">
      <c r="B73" s="47" t="s">
        <v>451</v>
      </c>
      <c r="C73" s="92">
        <f>Normalized_FCF!C120</f>
        <v>0.26417972866138895</v>
      </c>
      <c r="D73" s="92">
        <f>Normalized_FCF!G120</f>
        <v>0.31549429931238354</v>
      </c>
    </row>
    <row r="74" spans="1:6">
      <c r="B74" s="259" t="str">
        <f>Normalized_FCF!B117</f>
        <v>Pre-tax Profit/Sales</v>
      </c>
      <c r="C74" s="322">
        <f>Normalized_FCF!C117</f>
        <v>0.11373730167247559</v>
      </c>
      <c r="D74" s="322">
        <f>Normalized_FCF!G117</f>
        <v>0.1358297643754201</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20.687410578844304</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2323</v>
      </c>
      <c r="D102" s="1" t="str">
        <f>Reporting_currency</f>
        <v>USD</v>
      </c>
    </row>
    <row r="103" spans="2:6">
      <c r="B103" s="47" t="s">
        <v>281</v>
      </c>
      <c r="C103" s="223">
        <f>C102*scaling_factor*Exchange_Rate/Common_Shares</f>
        <v>13.170279037605519</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326.28031650213467</v>
      </c>
      <c r="D109" s="1" t="str">
        <f>Reporting_currency</f>
        <v>USD</v>
      </c>
    </row>
    <row r="110" spans="2:6">
      <c r="B110" s="47" t="s">
        <v>282</v>
      </c>
      <c r="C110" s="223">
        <f>C109*scaling_factor*Exchange_Rate/Common_Shares</f>
        <v>1.8498505436122941</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5" customHeight="1">
      <c r="B116" s="358" t="s">
        <v>366</v>
      </c>
      <c r="C116" s="358"/>
      <c r="D116" s="358"/>
      <c r="E116" s="358"/>
      <c r="F116" s="358"/>
    </row>
    <row r="118" spans="1:6">
      <c r="B118" s="47" t="s">
        <v>448</v>
      </c>
      <c r="C118" s="223">
        <f>IF(valuation_method="DCF",DCF!C12,DDM!C7)</f>
        <v>9.366982084851081</v>
      </c>
      <c r="D118" s="1" t="str">
        <f>Market_currency</f>
        <v>HKD</v>
      </c>
    </row>
    <row r="119" spans="1:6">
      <c r="B119" s="296" t="s">
        <v>405</v>
      </c>
      <c r="C119" s="223">
        <f>BS!D47</f>
        <v>-12.264517617438555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92.79 HKD</v>
      </c>
      <c r="F126" s="232">
        <f>DCF!F74</f>
        <v>0.05</v>
      </c>
    </row>
    <row r="127" spans="1:6">
      <c r="B127" s="218" t="str">
        <f>DCF!B75</f>
        <v>Optimistic</v>
      </c>
      <c r="C127" s="219">
        <f>DCF!C75</f>
        <v>0.15</v>
      </c>
      <c r="D127" s="220">
        <f>DCF!D75</f>
        <v>10</v>
      </c>
      <c r="E127" s="231" t="str">
        <f>ROUND(IF(valuation_method="DCF",DCF!E75,DDM!E70),2)&amp;" "&amp;Market_currency</f>
        <v>23.13 HKD</v>
      </c>
      <c r="F127" s="221">
        <f>DCF!F75</f>
        <v>0.18</v>
      </c>
    </row>
    <row r="128" spans="1:6">
      <c r="B128" s="218" t="str">
        <f>DCF!B76</f>
        <v>Base</v>
      </c>
      <c r="C128" s="219">
        <f>DCF!C76</f>
        <v>0.06</v>
      </c>
      <c r="D128" s="220">
        <f>DCF!D76</f>
        <v>10</v>
      </c>
      <c r="E128" s="231" t="str">
        <f>ROUND(IF(valuation_method="DCF",DCF!E76,DDM!E71),2)&amp;" "&amp;Market_currency</f>
        <v>13.69 HKD</v>
      </c>
      <c r="F128" s="221">
        <f>DCF!F76</f>
        <v>0.53999999999999992</v>
      </c>
    </row>
    <row r="129" spans="1:6">
      <c r="B129" s="218" t="str">
        <f>DCF!B77</f>
        <v>Pessimistic</v>
      </c>
      <c r="C129" s="219">
        <f>DCF!C77</f>
        <v>0.02</v>
      </c>
      <c r="D129" s="220">
        <f>DCF!D77</f>
        <v>10</v>
      </c>
      <c r="E129" s="231" t="str">
        <f>ROUND(IF(valuation_method="DCF",DCF!E77,DDM!E72),2)&amp;" "&amp;Market_currency</f>
        <v>10.67 HKD</v>
      </c>
      <c r="F129" s="221">
        <f>DCF!F77</f>
        <v>0.18</v>
      </c>
    </row>
    <row r="130" spans="1:6">
      <c r="B130" s="218" t="str">
        <f>DCF!B78</f>
        <v>Devil's advocate</v>
      </c>
      <c r="C130" s="219">
        <f>DCF!C78</f>
        <v>0</v>
      </c>
      <c r="D130" s="220">
        <f>DCF!D78</f>
        <v>15</v>
      </c>
      <c r="E130" s="231" t="str">
        <f>ROUND(IF(valuation_method="DCF",DCF!E78,DDM!E73),2)&amp;" "&amp;Market_currency</f>
        <v>9.37 HKD</v>
      </c>
      <c r="F130" s="221">
        <f>DCF!F78</f>
        <v>0.05</v>
      </c>
    </row>
    <row r="132" spans="1:6">
      <c r="B132" s="211" t="s">
        <v>258</v>
      </c>
      <c r="C132" s="217">
        <f>Scenarios!C60</f>
        <v>18.586485075372369</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0.84215561999999999</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1.3956702496004907</v>
      </c>
    </row>
    <row r="148" spans="2:4">
      <c r="B148" s="212" t="str">
        <f>"+ PV(Equity Value realized at year "&amp;C141&amp;")"</f>
        <v>+ PV(Equity Value realized at year 3)</v>
      </c>
      <c r="C148" s="216">
        <f>Scenarios!C82</f>
        <v>7.269600427949614</v>
      </c>
    </row>
    <row r="149" spans="2:4">
      <c r="B149" s="80" t="s">
        <v>260</v>
      </c>
      <c r="C149" s="215">
        <f>Scenarios!C83</f>
        <v>8.6652706775501045</v>
      </c>
      <c r="D149" s="300" t="str">
        <f>IF($D$11="","",C149*$E$25)</f>
        <v/>
      </c>
    </row>
    <row r="150" spans="2:4">
      <c r="B150" s="259" t="s">
        <v>415</v>
      </c>
      <c r="C150" s="298" t="str">
        <f>Market_currency</f>
        <v>HKD</v>
      </c>
      <c r="D150" s="298" t="str">
        <f>IF($D$11="","",D$13)</f>
        <v/>
      </c>
    </row>
    <row r="151" spans="2:4">
      <c r="B151" s="214" t="s">
        <v>262</v>
      </c>
      <c r="C151" s="92">
        <f>Scenarios!F83</f>
        <v>0.53378647751791219</v>
      </c>
    </row>
    <row r="153" spans="2:4">
      <c r="B153" s="210" t="s">
        <v>411</v>
      </c>
    </row>
    <row r="154" spans="2:4">
      <c r="B154" s="1" t="s">
        <v>410</v>
      </c>
      <c r="C154" s="297">
        <f>Scenarios!C90</f>
        <v>0.21740000000000001</v>
      </c>
    </row>
    <row r="155" spans="2:4">
      <c r="B155" s="212" t="str">
        <f>"PV("&amp;C141&amp;" yrs of Dividends)"</f>
        <v>PV(3 yrs of Dividends)</v>
      </c>
      <c r="C155" s="216">
        <f>Scenarios!C91</f>
        <v>1.7267565770704867</v>
      </c>
    </row>
    <row r="156" spans="2:4">
      <c r="B156" s="212" t="str">
        <f>"+ PV(Equity Value realized at year "&amp;C141&amp;")"</f>
        <v>+ PV(Equity Value realized at year 3)</v>
      </c>
      <c r="C156" s="216">
        <f>Scenarios!C92</f>
        <v>10.301426662096432</v>
      </c>
    </row>
    <row r="157" spans="2:4">
      <c r="B157" s="80" t="s">
        <v>260</v>
      </c>
      <c r="C157" s="215">
        <f>Scenarios!C93</f>
        <v>12.028183239166919</v>
      </c>
      <c r="D157" s="300" t="str">
        <f>IF($D$11="","",C157*$E$25)</f>
        <v/>
      </c>
    </row>
    <row r="158" spans="2:4">
      <c r="B158" s="259" t="s">
        <v>415</v>
      </c>
      <c r="C158" s="298" t="str">
        <f>Market_currency</f>
        <v>HKD</v>
      </c>
      <c r="D158" s="298" t="str">
        <f>IF($D$11="","",D$13)</f>
        <v/>
      </c>
    </row>
    <row r="159" spans="2:4">
      <c r="B159" s="214" t="s">
        <v>262</v>
      </c>
      <c r="C159" s="92">
        <f>Scenarios!F93</f>
        <v>0.35285325921550326</v>
      </c>
    </row>
    <row r="161" spans="2:4">
      <c r="B161" s="210" t="s">
        <v>400</v>
      </c>
    </row>
    <row r="162" spans="2:4">
      <c r="B162" s="1" t="s">
        <v>409</v>
      </c>
      <c r="C162" s="92">
        <f>Scenarios!C96</f>
        <v>7.4999999999999997E-2</v>
      </c>
    </row>
    <row r="163" spans="2:4">
      <c r="B163" s="212" t="str">
        <f>"PV("&amp;C141&amp;" yrs of Dividends)"</f>
        <v>PV(3 yrs of Dividends)</v>
      </c>
      <c r="C163" s="216">
        <f>Scenarios!C97</f>
        <v>2.1900473667878293</v>
      </c>
    </row>
    <row r="164" spans="2:4">
      <c r="B164" s="212" t="str">
        <f>"+ PV(Equity Value realized at year "&amp;C141&amp;")"</f>
        <v>+ PV(Equity Value realized at year 3)</v>
      </c>
      <c r="C164" s="216">
        <f>Scenarios!C98</f>
        <v>14.96138761145348</v>
      </c>
    </row>
    <row r="165" spans="2:4">
      <c r="B165" s="80" t="s">
        <v>401</v>
      </c>
      <c r="C165" s="215">
        <f>Scenarios!C99</f>
        <v>17.151434978241308</v>
      </c>
      <c r="D165" s="300" t="str">
        <f>IF($D$11="","",C165*$E$25)</f>
        <v/>
      </c>
    </row>
    <row r="166" spans="2:4">
      <c r="B166" s="259" t="s">
        <v>415</v>
      </c>
      <c r="C166" s="298" t="str">
        <f>Market_currency</f>
        <v>HKD</v>
      </c>
      <c r="D166" s="298" t="str">
        <f>IF($D$11="","",D$13)</f>
        <v/>
      </c>
    </row>
    <row r="167" spans="2:4">
      <c r="B167" s="214" t="s">
        <v>262</v>
      </c>
      <c r="C167" s="92">
        <f>Scenarios!F99</f>
        <v>7.7209332012567744E-2</v>
      </c>
    </row>
    <row r="169" spans="2:4">
      <c r="B169" s="210" t="s">
        <v>431</v>
      </c>
    </row>
    <row r="170" spans="2:4">
      <c r="B170" s="1" t="s">
        <v>422</v>
      </c>
      <c r="C170" s="92">
        <f>F32</f>
        <v>0.1174</v>
      </c>
    </row>
    <row r="171" spans="2:4">
      <c r="B171" s="212" t="str">
        <f>"PV("&amp;C141&amp;" yrs of Dividends)"</f>
        <v>PV(3 yrs of Dividends)</v>
      </c>
      <c r="C171" s="216">
        <f>Scenarios!C103</f>
        <v>2.0317872813388012</v>
      </c>
    </row>
    <row r="172" spans="2:4">
      <c r="B172" s="212" t="str">
        <f>"+ PV(Equity Value realized at year "&amp;C141&amp;")"</f>
        <v>+ PV(Equity Value realized at year 3)</v>
      </c>
      <c r="C172" s="216">
        <f>Scenarios!C104</f>
        <v>13.322056347387662</v>
      </c>
    </row>
    <row r="173" spans="2:4">
      <c r="B173" s="80" t="s">
        <v>401</v>
      </c>
      <c r="C173" s="215">
        <f>Scenarios!C105</f>
        <v>15.353843628726462</v>
      </c>
      <c r="D173" s="300" t="str">
        <f>IF($D$11="","",C173*$E$25)</f>
        <v/>
      </c>
    </row>
    <row r="174" spans="2:4">
      <c r="B174" s="259" t="s">
        <v>415</v>
      </c>
      <c r="C174" s="298" t="str">
        <f>Market_currency</f>
        <v>HKD</v>
      </c>
      <c r="D174" s="298" t="str">
        <f>IF($D$11="","",D$13)</f>
        <v/>
      </c>
    </row>
    <row r="175" spans="2:4">
      <c r="B175" s="214" t="s">
        <v>262</v>
      </c>
      <c r="C175" s="92">
        <f>Scenarios!F105</f>
        <v>0.17160247686850405</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0.84215561999999999</v>
      </c>
      <c r="D25" s="39">
        <f>0.1026*Exchange_Rate</f>
        <v>0.80451738000000006</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0.84215561999999999</v>
      </c>
      <c r="D65" s="73">
        <f t="shared" ref="D65:M65" si="33">IF(D$4="","",D25)</f>
        <v>0.80451738000000006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8.3693353057741149</v>
      </c>
      <c r="D47" s="147">
        <f>D46*H1/Common_Shares*Exchange_Rate</f>
        <v>-12.264517617438555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326.28031650213467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-343.4129325265497</v>
      </c>
      <c r="D73" s="349">
        <f>(Normalized_FCF!C25+Normalized_FCF!C35-Normalized_FCF!C91)/12</f>
        <v>-350.01968349786529</v>
      </c>
      <c r="F73" s="1" t="s">
        <v>351</v>
      </c>
    </row>
    <row r="74" spans="2:6" ht="15" customHeight="1">
      <c r="B74" s="257" t="s">
        <v>321</v>
      </c>
      <c r="C74" s="258">
        <f>-$C$66/C73</f>
        <v>1.9693492467634846</v>
      </c>
      <c r="D74" s="258">
        <f>-$C$66/D73</f>
        <v>1.93217705142038</v>
      </c>
      <c r="F74" s="253" t="s">
        <v>319</v>
      </c>
    </row>
    <row r="75" spans="2:6" ht="15" customHeight="1">
      <c r="B75" s="80" t="s">
        <v>320</v>
      </c>
      <c r="C75" s="320"/>
      <c r="D75" s="321">
        <f>MAX(-D73*D76,G5)</f>
        <v>350.01968349786529</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-18215.339900000003</v>
      </c>
      <c r="D86" s="223">
        <f>C86*scaling_factor/Common_Shares</f>
        <v>-13.170279037605521</v>
      </c>
      <c r="E86" s="240" t="str">
        <f>Market_currency</f>
        <v>HKD</v>
      </c>
    </row>
    <row r="87" spans="2:8" ht="15" customHeight="1">
      <c r="B87" s="238" t="s">
        <v>287</v>
      </c>
      <c r="C87" s="76">
        <f>DCF!C8*Exchange_Rate</f>
        <v>2558.4618457881888</v>
      </c>
      <c r="D87" s="223">
        <f>C87*scaling_factor/Common_Shares</f>
        <v>1.8498505436122941</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-15656.878054211815</v>
      </c>
      <c r="D89" s="242">
        <f>SUM(D86:D88)</f>
        <v>-11.320428493993226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-144.96130756236735</v>
      </c>
      <c r="E12" s="268"/>
      <c r="G12" s="328">
        <f>G50</f>
        <v>-144.96130756236735</v>
      </c>
      <c r="H12" s="328">
        <f t="shared" ref="H12:Q12" si="6">H50</f>
        <v>-165.59902192219508</v>
      </c>
      <c r="I12" s="328">
        <f t="shared" si="6"/>
        <v>-133.74555195212005</v>
      </c>
      <c r="J12" s="328">
        <f t="shared" si="6"/>
        <v>-167.13681670768548</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408.1576807818459</v>
      </c>
      <c r="E13" s="268"/>
      <c r="G13" s="329">
        <f>IF(G$4="","",SUM(G8:G12))</f>
        <v>487.43869243763254</v>
      </c>
      <c r="H13" s="329">
        <f t="shared" ref="H13:Q13" si="7">IF(H$4="","",SUM(H8:H12))</f>
        <v>497.90097807780512</v>
      </c>
      <c r="I13" s="329">
        <f t="shared" si="7"/>
        <v>286.45444804787974</v>
      </c>
      <c r="J13" s="329">
        <f t="shared" si="7"/>
        <v>-53.536816707685347</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-102.03942019546147</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273.66649543322342</v>
      </c>
      <c r="D16" s="61"/>
      <c r="E16" s="276"/>
      <c r="F16" s="61"/>
      <c r="G16" s="329">
        <f>IF(G$4="","",SUM(G13:G15))</f>
        <v>342.23869243763255</v>
      </c>
      <c r="H16" s="329">
        <f t="shared" ref="H16:Q16" si="8">IF(H$4="","",SUM(H13:H15))</f>
        <v>330.00097807780509</v>
      </c>
      <c r="I16" s="329">
        <f t="shared" si="8"/>
        <v>236.55444804787973</v>
      </c>
      <c r="J16" s="329">
        <f t="shared" si="8"/>
        <v>-6.5368167076853432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273.66649543322342</v>
      </c>
      <c r="D19" s="27"/>
      <c r="E19" s="265"/>
      <c r="F19" s="27"/>
      <c r="G19" s="334">
        <f>IF(G$4="","",G16+G17)</f>
        <v>342.23869243763255</v>
      </c>
      <c r="H19" s="334">
        <f t="shared" ref="H19:Q19" si="9">IF(H$4="","",H16+H17)</f>
        <v>330.00097807780509</v>
      </c>
      <c r="I19" s="334">
        <f t="shared" si="9"/>
        <v>236.55444804787973</v>
      </c>
      <c r="J19" s="334">
        <f t="shared" si="9"/>
        <v>-6.5368167076853432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0.24269718804716431</v>
      </c>
      <c r="H43" s="6">
        <f t="shared" si="18"/>
        <v>0.27033487766912273</v>
      </c>
      <c r="I43" s="6">
        <f t="shared" si="18"/>
        <v>8.4830241476782198E-2</v>
      </c>
      <c r="J43" s="6">
        <f t="shared" si="18"/>
        <v>1.0497448943753196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7.0386924376326601</v>
      </c>
      <c r="E48" s="268"/>
      <c r="G48" s="337">
        <f>IFERROR(IF(G$4="","",($C$48/$C$49)*G49),0)</f>
        <v>7.0386924376326601</v>
      </c>
      <c r="H48" s="337">
        <f t="shared" ref="H48:Q48" si="19">IFERROR(IF(H$4="","",($C$48/$C$49)*H49),0)</f>
        <v>7.4009780778049299</v>
      </c>
      <c r="I48" s="337">
        <f t="shared" si="19"/>
        <v>4.5544480478799567</v>
      </c>
      <c r="J48" s="337">
        <f t="shared" si="19"/>
        <v>1.8631832923145277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-144.96130756236735</v>
      </c>
      <c r="E50" s="268"/>
      <c r="G50" s="329">
        <f>IF(G$4="","",(G47+G48))</f>
        <v>-144.96130756236735</v>
      </c>
      <c r="H50" s="329">
        <f t="shared" ref="H50:Q50" si="20">IF(H$4="","",(H47+H48))</f>
        <v>-165.59902192219508</v>
      </c>
      <c r="I50" s="329">
        <f t="shared" si="20"/>
        <v>-133.74555195212005</v>
      </c>
      <c r="J50" s="329">
        <f t="shared" si="20"/>
        <v>-167.13681670768548</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4.0394947211271071E-2</v>
      </c>
      <c r="D80" s="27"/>
      <c r="E80" s="265"/>
      <c r="F80" s="27"/>
      <c r="G80" s="6">
        <f t="shared" ref="G80:Q80" si="31">IF(G$4="","",ABS(G12/G$4))</f>
        <v>4.0394947211271071E-2</v>
      </c>
      <c r="H80" s="6">
        <f t="shared" si="31"/>
        <v>4.4970405692536138E-2</v>
      </c>
      <c r="I80" s="6">
        <f t="shared" si="31"/>
        <v>4.6445878577621912E-2</v>
      </c>
      <c r="J80" s="6">
        <f t="shared" si="31"/>
        <v>8.2708242630485693E-2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0.11373730167247559</v>
      </c>
      <c r="D81" s="27"/>
      <c r="E81" s="265"/>
      <c r="F81" s="27"/>
      <c r="G81" s="65">
        <f t="shared" ref="G81:Q81" si="32">IF(G$4="","",G13/G$4)</f>
        <v>0.1358297643754201</v>
      </c>
      <c r="H81" s="65">
        <f t="shared" si="32"/>
        <v>0.13521099774000792</v>
      </c>
      <c r="I81" s="65">
        <f t="shared" si="32"/>
        <v>9.9477166289720712E-2</v>
      </c>
      <c r="J81" s="65">
        <f t="shared" si="32"/>
        <v>-2.6492882377120618E-2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2.8434325418118897E-2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7.6259960829633683E-2</v>
      </c>
      <c r="D84" s="27"/>
      <c r="E84" s="265"/>
      <c r="F84" s="27"/>
      <c r="G84" s="65">
        <f t="shared" ref="G84:Q84" si="35">IF(G$4="","",ABS(G16/G$4))</f>
        <v>9.5368303081322117E-2</v>
      </c>
      <c r="H84" s="65">
        <f t="shared" si="35"/>
        <v>8.9615733781719817E-2</v>
      </c>
      <c r="I84" s="65">
        <f t="shared" si="35"/>
        <v>8.2148370623655972E-2</v>
      </c>
      <c r="J84" s="65">
        <f t="shared" si="35"/>
        <v>3.2347667793375611E-3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7.6259960829633683E-2</v>
      </c>
      <c r="D87" s="75"/>
      <c r="E87" s="265"/>
      <c r="F87" s="75"/>
      <c r="G87" s="65">
        <f t="shared" ref="G87:Q87" si="36">IF(G$4="","",ABS(G19/G$4))</f>
        <v>9.5368303081322117E-2</v>
      </c>
      <c r="H87" s="65">
        <f t="shared" si="36"/>
        <v>8.9615733781719817E-2</v>
      </c>
      <c r="I87" s="65">
        <f t="shared" si="36"/>
        <v>8.2148370623655972E-2</v>
      </c>
      <c r="J87" s="65">
        <f t="shared" si="36"/>
        <v>3.2347667793375611E-3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0.84215561999999999</v>
      </c>
      <c r="E90" s="268"/>
      <c r="G90" s="112">
        <f>Data!C65</f>
        <v>0.84215561999999999</v>
      </c>
      <c r="H90" s="112">
        <f>Data!D65</f>
        <v>0.80451738000000006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1164.7551903185963</v>
      </c>
      <c r="E91" s="268"/>
      <c r="G91" s="74">
        <f t="shared" ref="G91:Q91" si="37">IF(G$4="","",G90*Common_Shares/scaling_factor)</f>
        <v>1164.7551903185963</v>
      </c>
      <c r="H91" s="74">
        <f t="shared" si="37"/>
        <v>1112.6990924272625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4.256111762876742</v>
      </c>
      <c r="E92" s="268"/>
      <c r="G92" s="170">
        <f t="shared" ref="G92:Q92" si="38">IF(G$4="","",G90/(G19*scaling_factor/Common_Shares))</f>
        <v>3.4033416327724373</v>
      </c>
      <c r="H92" s="170">
        <f t="shared" si="38"/>
        <v>3.3718054379975775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5.6979405953991882E-2</v>
      </c>
      <c r="E93" s="268"/>
      <c r="G93" s="23">
        <f t="shared" ref="G93:Q93" si="39">IF(G$4="","",G90/Market_Price)</f>
        <v>5.6979405953991882E-2</v>
      </c>
      <c r="H93" s="23">
        <f t="shared" si="39"/>
        <v>5.4432840324763199E-2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-0.16264817070493554</v>
      </c>
      <c r="D97" s="27"/>
      <c r="E97" s="265"/>
      <c r="F97" s="27"/>
      <c r="G97" s="6">
        <f t="shared" ref="G97:Q97" si="41">IF(H5="","",G13/H13-1)</f>
        <v>-2.1012783868317064E-2</v>
      </c>
      <c r="H97" s="6">
        <f t="shared" si="41"/>
        <v>0.73815062559120359</v>
      </c>
      <c r="I97" s="6">
        <f t="shared" si="41"/>
        <v>-6.3506066603089319</v>
      </c>
      <c r="J97" s="6">
        <f t="shared" si="41"/>
        <v>-0.82818736614991861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165.03101854940778</v>
      </c>
      <c r="H114" s="295">
        <f>IF(H$4="","",Data!D$22/H19)</f>
        <v>161.87830809218099</v>
      </c>
      <c r="I114" s="295">
        <f>IF(I$4="","",Data!E$22/I19)</f>
        <v>117.39369193505598</v>
      </c>
      <c r="J114" s="295">
        <f>IF(J$4="","",Data!F$22/J19)</f>
        <v>-5921.8426538545291</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0.11373730167247559</v>
      </c>
      <c r="E117" s="268"/>
      <c r="G117" s="23">
        <f t="shared" ref="G117:Q117" si="45">IF(G4="","",IF(valuation_method="DDM",G13/(G4+G12),G81))</f>
        <v>0.1358297643754201</v>
      </c>
      <c r="H117" s="23">
        <f t="shared" si="45"/>
        <v>0.13521099774000792</v>
      </c>
      <c r="I117" s="23">
        <f t="shared" si="45"/>
        <v>9.9477166289720712E-2</v>
      </c>
      <c r="J117" s="23">
        <f t="shared" si="45"/>
        <v>-2.6492882377120618E-2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0.26417972866138895</v>
      </c>
      <c r="D120" s="103"/>
      <c r="E120" s="271"/>
      <c r="F120" s="103"/>
      <c r="G120" s="102">
        <f>IF(G$4="","",G13/G105)</f>
        <v>0.31549429931238354</v>
      </c>
      <c r="H120" s="102">
        <f t="shared" ref="H120:Q120" si="48">IF(H$4="","",H13/H105)</f>
        <v>0.32806284382803264</v>
      </c>
      <c r="I120" s="102">
        <f t="shared" si="48"/>
        <v>0.26533387184872154</v>
      </c>
      <c r="J120" s="102">
        <f t="shared" si="48"/>
        <v>-7.368127815536106E-2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1.5515557934133231</v>
      </c>
      <c r="D124" s="27"/>
      <c r="E124" s="265"/>
      <c r="F124" s="27"/>
      <c r="G124" s="177">
        <f t="shared" ref="G124:Q124" si="49">IF(G$4="","",G16*$C$3/Common_Shares*Exchange_Rate)</f>
        <v>1.9403267657636138</v>
      </c>
      <c r="H124" s="177">
        <f t="shared" si="49"/>
        <v>1.8709448833264894</v>
      </c>
      <c r="I124" s="177">
        <f t="shared" si="49"/>
        <v>1.3411485528959683</v>
      </c>
      <c r="J124" s="177">
        <f t="shared" si="49"/>
        <v>-3.7060568255659836E-2</v>
      </c>
      <c r="K124" s="177">
        <f t="shared" si="49"/>
        <v>-1.2314182552595427</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0.10497671132701779</v>
      </c>
      <c r="D125" s="27"/>
      <c r="E125" s="265"/>
      <c r="F125" s="27"/>
      <c r="G125" s="77">
        <f t="shared" ref="G125" si="50">IF(G$4="","",G124/Market_Price)</f>
        <v>0.13128056601918903</v>
      </c>
      <c r="H125" s="77">
        <f t="shared" ref="H125" si="51">IF(H$4="","",H124/Market_Price)</f>
        <v>0.12658625732926182</v>
      </c>
      <c r="I125" s="77">
        <f t="shared" ref="I125" si="52">IF(I$4="","",I124/Market_Price)</f>
        <v>9.0740768125572968E-2</v>
      </c>
      <c r="J125" s="77">
        <f t="shared" ref="J125" si="53">IF(J$4="","",J124/Market_Price)</f>
        <v>-2.5074809374600704E-3</v>
      </c>
      <c r="K125" s="77">
        <f t="shared" ref="K125" si="54">IF(K$4="","",K124/Market_Price)</f>
        <v>-8.331652606627489E-2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1.822745829761031E-2</v>
      </c>
      <c r="H126" s="23">
        <f>IF(H$4="","",(Data!D47*$C$3)/(Market_Price*Common_Shares))</f>
        <v>2.2028514416033072E-2</v>
      </c>
      <c r="I126" s="23">
        <f>IF(I$4="","",(Data!E47*$C$3)/(Market_Price*Common_Shares))</f>
        <v>1.6549514605693955E-2</v>
      </c>
      <c r="J126" s="23">
        <f>IF(J$4="","",(Data!F47*$C$3)/(Market_Price*Common_Shares))</f>
        <v>1.1496115673479395E-3</v>
      </c>
      <c r="K126" s="23">
        <f>IF(K$4="","",(Data!G47*$C$3)/(Market_Price*Common_Shares))</f>
        <v>-6.3008497818899833E-2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273.66649543322342</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3648.8866057763125</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326.28031650213467</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1652.1669222784471</v>
      </c>
      <c r="D10" t="str">
        <f>Reporting_currency</f>
        <v>USD</v>
      </c>
      <c r="H10" s="120"/>
    </row>
    <row r="11" spans="2:8" ht="13.15" thickBot="1">
      <c r="B11" s="207" t="s">
        <v>166</v>
      </c>
      <c r="C11" s="208">
        <f>Exchange_Rate</f>
        <v>7.8413000000000004</v>
      </c>
      <c r="D11" t="str">
        <f>Thesis!C15</f>
        <v>USD/HKD</v>
      </c>
      <c r="H11" s="120"/>
    </row>
    <row r="12" spans="2:8" ht="13.5" thickTop="1">
      <c r="B12" s="149" t="s">
        <v>102</v>
      </c>
      <c r="C12" s="111">
        <f>(C10*scaling_factor)/Common_Shares*Exchange_Rate</f>
        <v>9.366982084851081</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0.111211776070739</v>
      </c>
      <c r="H16" s="120"/>
    </row>
    <row r="17" spans="2:17" ht="13.25" customHeight="1">
      <c r="B17" s="118" t="s">
        <v>134</v>
      </c>
      <c r="C17" s="162">
        <f>Scenarios!C64</f>
        <v>10</v>
      </c>
      <c r="H17" s="120"/>
    </row>
    <row r="18" spans="2:17" ht="13.25" customHeight="1">
      <c r="B18" s="153" t="s">
        <v>106</v>
      </c>
      <c r="C18" s="140">
        <f>(F52-C7+C8+C9)*Exchange_Rate/Common_Shares*scaling_factor</f>
        <v>18.534391038116691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304.10143244140698</v>
      </c>
      <c r="D21" s="138">
        <f>IF($C$17&lt;B21,0,DCF!$C$16)</f>
        <v>0.111211776070739</v>
      </c>
      <c r="E21" s="124">
        <f t="shared" ref="E21:E50" si="0">IF($C$17&lt;B21,0,1/(1+Equity_Cost)^B21)</f>
        <v>0.93023255813953487</v>
      </c>
      <c r="F21" s="125">
        <f t="shared" ref="F21:F51" si="1">C21*E21</f>
        <v>282.88505343386697</v>
      </c>
      <c r="H21" s="120"/>
    </row>
    <row r="22" spans="2:17">
      <c r="B22" s="122">
        <v>2</v>
      </c>
      <c r="C22" s="123">
        <f t="shared" ref="C22:C50" si="2">IF(ROW()-ROW($C$21)&lt;$C$17, $C$21*(1+D22)^(ROW()-ROW($C$21)), 0)</f>
        <v>337.92109284887169</v>
      </c>
      <c r="D22" s="138">
        <f>IF($C$17&lt;B22,0,DCF!$C$16)</f>
        <v>0.111211776070739</v>
      </c>
      <c r="E22" s="124">
        <f t="shared" si="0"/>
        <v>0.86533261222282321</v>
      </c>
      <c r="F22" s="125">
        <f t="shared" si="1"/>
        <v>292.4141420001053</v>
      </c>
      <c r="H22" s="120"/>
    </row>
    <row r="23" spans="2:17">
      <c r="B23" s="122">
        <v>3</v>
      </c>
      <c r="C23" s="123">
        <f t="shared" si="2"/>
        <v>375.50189775635982</v>
      </c>
      <c r="D23" s="138">
        <f>IF($C$17&lt;B23,0,DCF!$C$16)</f>
        <v>0.111211776070739</v>
      </c>
      <c r="E23" s="124">
        <f t="shared" si="0"/>
        <v>0.80496056950960304</v>
      </c>
      <c r="F23" s="125">
        <f t="shared" si="1"/>
        <v>302.26422146989614</v>
      </c>
      <c r="G23" s="338"/>
      <c r="H23" s="339"/>
      <c r="I23" s="338"/>
      <c r="J23" s="338"/>
      <c r="K23" s="338"/>
      <c r="L23" s="338"/>
      <c r="M23" s="338"/>
      <c r="N23" s="338"/>
      <c r="O23" s="338"/>
      <c r="P23" s="338"/>
      <c r="Q23" s="338"/>
    </row>
    <row r="24" spans="2:17">
      <c r="B24" s="122">
        <v>4</v>
      </c>
      <c r="C24" s="123">
        <f t="shared" si="2"/>
        <v>417.2621307237776</v>
      </c>
      <c r="D24" s="138">
        <f>IF($C$17&lt;B24,0,DCF!$C$16)</f>
        <v>0.111211776070739</v>
      </c>
      <c r="E24" s="124">
        <f t="shared" si="0"/>
        <v>0.7488005297763749</v>
      </c>
      <c r="F24" s="125">
        <f t="shared" si="1"/>
        <v>312.44610454158368</v>
      </c>
      <c r="G24" s="338"/>
      <c r="H24" s="339"/>
      <c r="I24" s="338"/>
      <c r="J24" s="338"/>
      <c r="K24" s="338"/>
      <c r="L24" s="338"/>
      <c r="M24" s="338"/>
      <c r="N24" s="338"/>
      <c r="O24" s="338"/>
      <c r="P24" s="338"/>
      <c r="Q24" s="338"/>
    </row>
    <row r="25" spans="2:17">
      <c r="B25" s="122">
        <v>5</v>
      </c>
      <c r="C25" s="123">
        <f t="shared" si="2"/>
        <v>463.66659336862983</v>
      </c>
      <c r="D25" s="138">
        <f>IF($C$17&lt;B25,0,DCF!$C$16)</f>
        <v>0.111211776070739</v>
      </c>
      <c r="E25" s="124">
        <f t="shared" si="0"/>
        <v>0.69655863235011617</v>
      </c>
      <c r="F25" s="125">
        <f t="shared" si="1"/>
        <v>322.97096814329024</v>
      </c>
      <c r="G25" s="338"/>
      <c r="H25" s="339"/>
      <c r="I25" s="338"/>
      <c r="J25" s="338"/>
      <c r="K25" s="338"/>
      <c r="L25" s="338"/>
      <c r="M25" s="338"/>
      <c r="N25" s="338"/>
      <c r="O25" s="338"/>
      <c r="P25" s="338"/>
      <c r="Q25" s="338"/>
    </row>
    <row r="26" spans="2:17">
      <c r="B26" s="122">
        <v>6</v>
      </c>
      <c r="C26" s="123">
        <f t="shared" si="2"/>
        <v>515.2317787218243</v>
      </c>
      <c r="D26" s="138">
        <f>IF($C$17&lt;B26,0,DCF!$C$16)</f>
        <v>0.111211776070739</v>
      </c>
      <c r="E26" s="124">
        <f t="shared" si="0"/>
        <v>0.64796151846522443</v>
      </c>
      <c r="F26" s="125">
        <f t="shared" si="1"/>
        <v>333.8503657021318</v>
      </c>
      <c r="H26" s="120"/>
    </row>
    <row r="27" spans="2:17">
      <c r="B27" s="122">
        <v>7</v>
      </c>
      <c r="C27" s="123">
        <f t="shared" si="2"/>
        <v>572.53161992156436</v>
      </c>
      <c r="D27" s="138">
        <f>IF($C$17&lt;B27,0,DCF!$C$16)</f>
        <v>0.111211776070739</v>
      </c>
      <c r="E27" s="124">
        <f t="shared" si="0"/>
        <v>0.60275490089788319</v>
      </c>
      <c r="F27" s="125">
        <f t="shared" si="1"/>
        <v>345.09623982672707</v>
      </c>
      <c r="H27" s="120"/>
    </row>
    <row r="28" spans="2:17">
      <c r="B28" s="122">
        <v>8</v>
      </c>
      <c r="C28" s="123">
        <f t="shared" si="2"/>
        <v>636.20387822969872</v>
      </c>
      <c r="D28" s="138">
        <f>IF($C$17&lt;B28,0,DCF!$C$16)</f>
        <v>0.111211776070739</v>
      </c>
      <c r="E28" s="124">
        <f t="shared" si="0"/>
        <v>0.56070223339337966</v>
      </c>
      <c r="F28" s="125">
        <f t="shared" si="1"/>
        <v>356.7209354169218</v>
      </c>
      <c r="H28" s="120"/>
    </row>
    <row r="29" spans="2:17">
      <c r="B29" s="122">
        <v>9</v>
      </c>
      <c r="C29" s="123">
        <f t="shared" si="2"/>
        <v>706.95724147071576</v>
      </c>
      <c r="D29" s="138">
        <f>IF($C$17&lt;B29,0,DCF!$C$16)</f>
        <v>0.111211776070739</v>
      </c>
      <c r="E29" s="124">
        <f t="shared" si="0"/>
        <v>0.52158347292407414</v>
      </c>
      <c r="F29" s="125">
        <f t="shared" si="1"/>
        <v>368.7372132151192</v>
      </c>
      <c r="H29" s="120"/>
    </row>
    <row r="30" spans="2:17">
      <c r="B30" s="122">
        <v>10</v>
      </c>
      <c r="C30" s="123">
        <f t="shared" si="2"/>
        <v>785.57921190074433</v>
      </c>
      <c r="D30" s="138">
        <f>IF($C$17&lt;B30,0,DCF!$C$16)</f>
        <v>0.111211776070739</v>
      </c>
      <c r="E30" s="124">
        <f t="shared" si="0"/>
        <v>0.48519392830146441</v>
      </c>
      <c r="F30" s="125">
        <f t="shared" si="1"/>
        <v>381.15826381409067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4054.6857658854265</v>
      </c>
      <c r="D51" s="139">
        <f>Terminal_Growth</f>
        <v>0</v>
      </c>
      <c r="E51" s="124">
        <f>1/(1+Equity_Cost)^C17</f>
        <v>0.48519392830146441</v>
      </c>
      <c r="F51" s="125">
        <f t="shared" si="1"/>
        <v>1967.308914777982</v>
      </c>
      <c r="H51" s="120"/>
    </row>
    <row r="52" spans="1:17">
      <c r="C52" s="114"/>
      <c r="E52" s="127" t="s">
        <v>100</v>
      </c>
      <c r="F52" s="137">
        <f>SUM(F21:F51)</f>
        <v>5265.8524223417153</v>
      </c>
      <c r="H52" s="120"/>
    </row>
    <row r="53" spans="1:17">
      <c r="C53" s="114"/>
      <c r="H53" s="120"/>
    </row>
    <row r="54" spans="1:17" ht="13.15">
      <c r="B54" s="119" t="s">
        <v>129</v>
      </c>
      <c r="C54" s="136"/>
      <c r="D54" s="136"/>
      <c r="E54" s="117"/>
      <c r="F54" s="117"/>
      <c r="H54" s="120"/>
    </row>
    <row r="55" spans="1:17" ht="13.15">
      <c r="A55" s="133">
        <f>F52</f>
        <v>5265.8524223417153</v>
      </c>
      <c r="B55" s="131">
        <f>C78</f>
        <v>0</v>
      </c>
      <c r="C55" s="131">
        <f>C77</f>
        <v>0.02</v>
      </c>
      <c r="D55" s="131">
        <f>C76</f>
        <v>0.06</v>
      </c>
      <c r="E55" s="131">
        <f>C75</f>
        <v>0.15</v>
      </c>
      <c r="F55" s="131">
        <f>C74</f>
        <v>0.25</v>
      </c>
      <c r="H55" s="120"/>
    </row>
    <row r="56" spans="1:17" ht="13.15">
      <c r="A56" s="143">
        <v>5</v>
      </c>
      <c r="B56" s="123">
        <f t="dataTable" ref="B56:F61" dt2D="1" dtr="1" r1="C16" r2="C17"/>
        <v>3648.886605776313</v>
      </c>
      <c r="C56" s="123">
        <v>3764.59463658612</v>
      </c>
      <c r="D56" s="123">
        <v>4006.2712811083952</v>
      </c>
      <c r="E56" s="123">
        <v>4605.7154239892243</v>
      </c>
      <c r="F56" s="123">
        <v>5377.6086473525611</v>
      </c>
      <c r="H56" s="120"/>
    </row>
    <row r="57" spans="1:17" ht="13.15">
      <c r="A57" s="143">
        <v>10</v>
      </c>
      <c r="B57" s="123">
        <v>3648.8866057763134</v>
      </c>
      <c r="C57" s="123">
        <v>3879.3339964794982</v>
      </c>
      <c r="D57" s="123">
        <v>4411.8355571926377</v>
      </c>
      <c r="E57" s="123">
        <v>6076.4364049628921</v>
      </c>
      <c r="F57" s="123">
        <v>9091.278681928663</v>
      </c>
      <c r="H57" s="120"/>
    </row>
    <row r="58" spans="1:17" ht="13.15">
      <c r="A58" s="143">
        <v>15</v>
      </c>
      <c r="B58" s="123">
        <v>3648.8866057763134</v>
      </c>
      <c r="C58" s="341">
        <v>4024.6074628178299</v>
      </c>
      <c r="D58" s="123">
        <v>4982.4862437498587</v>
      </c>
      <c r="E58" s="123">
        <v>8761.7751061853905</v>
      </c>
      <c r="F58" s="123">
        <v>18363.333375332804</v>
      </c>
      <c r="G58" s="338"/>
      <c r="H58" s="339"/>
      <c r="I58" s="338"/>
      <c r="J58" s="338"/>
      <c r="K58" s="338"/>
      <c r="L58" s="338"/>
      <c r="M58" s="338"/>
      <c r="N58" s="338"/>
      <c r="O58" s="338"/>
      <c r="P58" s="338"/>
      <c r="Q58" s="338"/>
    </row>
    <row r="59" spans="1:17" ht="13.15">
      <c r="A59" s="144">
        <v>20</v>
      </c>
      <c r="B59" s="123">
        <v>3648.8866057763134</v>
      </c>
      <c r="C59" s="341">
        <v>4176.0574215453098</v>
      </c>
      <c r="D59" s="123">
        <v>5648.5789657424812</v>
      </c>
      <c r="E59" s="123">
        <v>12959.232139885298</v>
      </c>
      <c r="F59" s="123">
        <v>39032.92141188286</v>
      </c>
      <c r="G59" s="338"/>
      <c r="H59" s="339"/>
      <c r="I59" s="338"/>
      <c r="J59" s="338"/>
      <c r="K59" s="338"/>
      <c r="L59" s="338"/>
      <c r="M59" s="338"/>
      <c r="N59" s="338"/>
      <c r="O59" s="338"/>
      <c r="P59" s="338"/>
      <c r="Q59" s="338"/>
    </row>
    <row r="60" spans="1:17" ht="13.15">
      <c r="A60" s="144">
        <v>25</v>
      </c>
      <c r="B60" s="123">
        <v>3648.886605776313</v>
      </c>
      <c r="C60" s="341">
        <v>4320.2028278524649</v>
      </c>
      <c r="D60" s="123">
        <v>6362.9287719539443</v>
      </c>
      <c r="E60" s="123">
        <v>19143.145332133059</v>
      </c>
      <c r="F60" s="123">
        <v>83639.34945062334</v>
      </c>
      <c r="G60" s="338"/>
      <c r="H60" s="339"/>
      <c r="I60" s="338"/>
      <c r="J60" s="338"/>
      <c r="K60" s="338"/>
      <c r="L60" s="338"/>
      <c r="M60" s="338"/>
      <c r="N60" s="338"/>
      <c r="O60" s="338"/>
      <c r="P60" s="338"/>
      <c r="Q60" s="338"/>
    </row>
    <row r="61" spans="1:17" ht="13.15">
      <c r="A61" s="144">
        <v>30</v>
      </c>
      <c r="B61" s="123">
        <v>3648.8866057763134</v>
      </c>
      <c r="C61" s="341">
        <v>4450.3338622376223</v>
      </c>
      <c r="D61" s="123">
        <v>7093.9050212135289</v>
      </c>
      <c r="E61" s="123">
        <v>28018.149126284421</v>
      </c>
      <c r="F61" s="123">
        <v>178926.14363430708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9.366982084851081</v>
      </c>
      <c r="C65" s="124">
        <f>C12</f>
        <v>9.366982084851081</v>
      </c>
      <c r="D65" s="124">
        <f>C12</f>
        <v>9.366982084851081</v>
      </c>
      <c r="E65" s="141">
        <f>C12</f>
        <v>9.366982084851081</v>
      </c>
      <c r="F65" s="124">
        <f>C12</f>
        <v>9.366982084851081</v>
      </c>
      <c r="H65" s="120"/>
    </row>
    <row r="66" spans="1:8" ht="13.15">
      <c r="A66" s="143">
        <f t="shared" ref="A66:A71" si="3">A56</f>
        <v>5</v>
      </c>
      <c r="B66" s="124">
        <f t="shared" ref="B66:F71" si="4">(B56-$C$7+$C$8+$C$9)/Common_Shares*$C$3*Exchange_Rate</f>
        <v>9.3669820848510845</v>
      </c>
      <c r="C66" s="124">
        <f t="shared" si="4"/>
        <v>10.022990286597539</v>
      </c>
      <c r="D66" s="124">
        <f t="shared" si="4"/>
        <v>11.393179199740269</v>
      </c>
      <c r="E66" s="124">
        <f t="shared" si="4"/>
        <v>14.791735647953265</v>
      </c>
      <c r="F66" s="124">
        <f t="shared" si="4"/>
        <v>19.167994424936438</v>
      </c>
      <c r="H66" s="120"/>
    </row>
    <row r="67" spans="1:8" ht="13.15">
      <c r="A67" s="143">
        <f t="shared" si="3"/>
        <v>10</v>
      </c>
      <c r="B67" s="124">
        <f t="shared" si="4"/>
        <v>9.3669820848510845</v>
      </c>
      <c r="C67" s="124">
        <f t="shared" si="4"/>
        <v>10.673506595849382</v>
      </c>
      <c r="D67" s="124">
        <f t="shared" si="4"/>
        <v>13.6925311944514</v>
      </c>
      <c r="E67" s="124">
        <f t="shared" si="4"/>
        <v>23.130007583331707</v>
      </c>
      <c r="F67" s="124">
        <f t="shared" si="4"/>
        <v>40.2226955049887</v>
      </c>
      <c r="H67" s="120"/>
    </row>
    <row r="68" spans="1:8" ht="13.15">
      <c r="A68" s="143">
        <f t="shared" si="3"/>
        <v>15</v>
      </c>
      <c r="B68" s="124">
        <f t="shared" si="4"/>
        <v>9.3669820848510845</v>
      </c>
      <c r="C68" s="124">
        <f t="shared" si="4"/>
        <v>11.49713642298499</v>
      </c>
      <c r="D68" s="124">
        <f t="shared" si="4"/>
        <v>16.927842763525771</v>
      </c>
      <c r="E68" s="124">
        <f t="shared" si="4"/>
        <v>38.354570650736576</v>
      </c>
      <c r="F68" s="124">
        <f t="shared" si="4"/>
        <v>92.790731477469294</v>
      </c>
      <c r="H68" s="120"/>
    </row>
    <row r="69" spans="1:8" ht="13.15">
      <c r="A69" s="144">
        <f t="shared" si="3"/>
        <v>20</v>
      </c>
      <c r="B69" s="124">
        <f t="shared" si="4"/>
        <v>9.3669820848510845</v>
      </c>
      <c r="C69" s="124">
        <f t="shared" si="4"/>
        <v>12.355783954915578</v>
      </c>
      <c r="D69" s="124">
        <f t="shared" si="4"/>
        <v>20.704264207159451</v>
      </c>
      <c r="E69" s="124">
        <f t="shared" si="4"/>
        <v>62.152108482070084</v>
      </c>
      <c r="F69" s="124">
        <f t="shared" si="4"/>
        <v>209.97723256817829</v>
      </c>
      <c r="H69" s="120"/>
    </row>
    <row r="70" spans="1:8" ht="13.15">
      <c r="A70" s="144">
        <f t="shared" si="3"/>
        <v>25</v>
      </c>
      <c r="B70" s="124">
        <f t="shared" si="4"/>
        <v>9.3669820848510845</v>
      </c>
      <c r="C70" s="124">
        <f t="shared" si="4"/>
        <v>13.173018230875224</v>
      </c>
      <c r="D70" s="124">
        <f t="shared" si="4"/>
        <v>24.754279824148</v>
      </c>
      <c r="E70" s="124">
        <f t="shared" si="4"/>
        <v>97.211885617770875</v>
      </c>
      <c r="F70" s="124">
        <f t="shared" si="4"/>
        <v>462.87396271931163</v>
      </c>
    </row>
    <row r="71" spans="1:8" ht="13.15">
      <c r="A71" s="144">
        <f t="shared" si="3"/>
        <v>30</v>
      </c>
      <c r="B71" s="124">
        <f t="shared" si="4"/>
        <v>9.3669820848510845</v>
      </c>
      <c r="C71" s="124">
        <f t="shared" si="4"/>
        <v>13.910797840993501</v>
      </c>
      <c r="D71" s="124">
        <f t="shared" si="4"/>
        <v>28.898559278565145</v>
      </c>
      <c r="E71" s="124">
        <f t="shared" si="4"/>
        <v>147.52883629740117</v>
      </c>
      <c r="F71" s="124">
        <f t="shared" si="4"/>
        <v>1003.1036949612409</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92.790731477469294</v>
      </c>
      <c r="F74" s="142">
        <f>Scenarios!C58</f>
        <v>0.05</v>
      </c>
    </row>
    <row r="75" spans="1:8">
      <c r="B75" s="127" t="str">
        <f>Scenarios!B36</f>
        <v>Optimistic</v>
      </c>
      <c r="C75" s="142">
        <f>Scenarios!C38</f>
        <v>0.15</v>
      </c>
      <c r="D75" s="145">
        <f>Scenarios!C37</f>
        <v>10</v>
      </c>
      <c r="E75" s="135">
        <f>INDEX(B$65:F$71, MATCH(D75, A$65:A$71, 0), MATCH(C75, B$64:F$64, 0))</f>
        <v>23.130007583331707</v>
      </c>
      <c r="F75" s="142">
        <f>Scenarios!C40*(1-F$74-F$78)</f>
        <v>0.18</v>
      </c>
      <c r="H75" s="120"/>
    </row>
    <row r="76" spans="1:8">
      <c r="B76" s="127" t="str">
        <f>Scenarios!B24</f>
        <v>Base</v>
      </c>
      <c r="C76" s="142">
        <f>Scenarios!C26</f>
        <v>0.06</v>
      </c>
      <c r="D76" s="145">
        <f>Scenarios!C25</f>
        <v>10</v>
      </c>
      <c r="E76" s="135">
        <f>INDEX(B$65:F$71, MATCH(D76, A$65:A$71, 0), MATCH(C76, B$64:F$64, 0))</f>
        <v>13.6925311944514</v>
      </c>
      <c r="F76" s="142">
        <f>Scenarios!C28*(1-F$74-F$78)</f>
        <v>0.53999999999999992</v>
      </c>
      <c r="H76" s="120"/>
    </row>
    <row r="77" spans="1:8">
      <c r="B77" s="127" t="str">
        <f>Scenarios!B30</f>
        <v>Pessimistic</v>
      </c>
      <c r="C77" s="142">
        <f>Scenarios!C32</f>
        <v>0.02</v>
      </c>
      <c r="D77" s="145">
        <f>Scenarios!C31</f>
        <v>10</v>
      </c>
      <c r="E77" s="135">
        <f>INDEX(B$65:F$71, MATCH(D77, A$65:A$71, 0), MATCH(C77, B$64:F$64, 0))</f>
        <v>10.673506595849382</v>
      </c>
      <c r="F77" s="142">
        <f>Scenarios!C34*(1-F$74-F$78)</f>
        <v>0.18</v>
      </c>
      <c r="H77" s="120"/>
    </row>
    <row r="78" spans="1:8">
      <c r="B78" s="127" t="str">
        <f>Scenarios!B48</f>
        <v>Devil's advocate</v>
      </c>
      <c r="C78" s="142">
        <f>Scenarios!C50</f>
        <v>0</v>
      </c>
      <c r="D78" s="145">
        <f>Scenarios!C49</f>
        <v>15</v>
      </c>
      <c r="E78" s="135">
        <f>INDEX(B$65:F$71, MATCH(D78, A$65:A$71, 0), MATCH(C78, B$64:F$64, 0))</f>
        <v>9.3669820848510845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1164.7551903185963</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15530.069204247951</v>
      </c>
      <c r="D6" t="str">
        <f>Reporting_currency</f>
        <v>USD</v>
      </c>
      <c r="E6" s="364"/>
      <c r="F6" s="364"/>
      <c r="H6" s="120"/>
    </row>
    <row r="7" spans="2:8" ht="13.15">
      <c r="B7" s="149" t="s">
        <v>443</v>
      </c>
      <c r="C7" s="111">
        <f>(C6*scaling_factor)/Common_Shares*Exchange_Rate</f>
        <v>88.047931508079998</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0.111211776070739</v>
      </c>
      <c r="H11" s="120"/>
    </row>
    <row r="12" spans="2:8" ht="13.25" customHeight="1">
      <c r="B12" s="118" t="s">
        <v>134</v>
      </c>
      <c r="C12" s="162">
        <f>Scenarios!C64</f>
        <v>10</v>
      </c>
      <c r="H12" s="120"/>
    </row>
    <row r="13" spans="2:8" ht="13.25" customHeight="1">
      <c r="B13" s="153" t="s">
        <v>106</v>
      </c>
      <c r="C13" s="140">
        <f>F47/Common_Shares*scaling_factor</f>
        <v>16.204640632187942</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1294.2896837215389</v>
      </c>
      <c r="D16" s="138">
        <f>IF($C$12&lt;B16,0,DDM!$C$11)</f>
        <v>0.111211776070739</v>
      </c>
      <c r="E16" s="124">
        <f t="shared" ref="E16:E45" si="0">IF($C$12&lt;B16,0,1/(1+Equity_Cost)^B16)</f>
        <v>0.93023255813953487</v>
      </c>
      <c r="F16" s="125">
        <f t="shared" ref="F16:F46" si="1">C16*E16</f>
        <v>1203.9904034618967</v>
      </c>
      <c r="H16" s="120"/>
    </row>
    <row r="17" spans="2:8">
      <c r="B17" s="122">
        <v>2</v>
      </c>
      <c r="C17" s="123">
        <f t="shared" ref="C17:C45" si="2">IF(ROW()-ROW($C$16)&lt;$C$12, $C$16*(1+D17)^(ROW()-ROW($C$16)), 0)</f>
        <v>1438.2299381982464</v>
      </c>
      <c r="D17" s="138">
        <f>IF($C$12&lt;B17,0,DDM!$C$11)</f>
        <v>0.111211776070739</v>
      </c>
      <c r="E17" s="124">
        <f t="shared" si="0"/>
        <v>0.86533261222282321</v>
      </c>
      <c r="F17" s="125">
        <f t="shared" si="1"/>
        <v>1244.5472693981581</v>
      </c>
      <c r="H17" s="120"/>
    </row>
    <row r="18" spans="2:8">
      <c r="B18" s="122">
        <v>3</v>
      </c>
      <c r="C18" s="123">
        <f t="shared" si="2"/>
        <v>1598.1780440233824</v>
      </c>
      <c r="D18" s="138">
        <f>IF($C$12&lt;B18,0,DDM!$C$11)</f>
        <v>0.111211776070739</v>
      </c>
      <c r="E18" s="124">
        <f t="shared" si="0"/>
        <v>0.80496056950960304</v>
      </c>
      <c r="F18" s="125">
        <f t="shared" si="1"/>
        <v>1286.4703084948053</v>
      </c>
      <c r="H18" s="120"/>
    </row>
    <row r="19" spans="2:8">
      <c r="B19" s="122">
        <v>4</v>
      </c>
      <c r="C19" s="123">
        <f t="shared" si="2"/>
        <v>1775.9142627764825</v>
      </c>
      <c r="D19" s="138">
        <f>IF($C$12&lt;B19,0,DDM!$C$11)</f>
        <v>0.111211776070739</v>
      </c>
      <c r="E19" s="124">
        <f t="shared" si="0"/>
        <v>0.7488005297763749</v>
      </c>
      <c r="F19" s="125">
        <f t="shared" si="1"/>
        <v>1329.8055408044504</v>
      </c>
      <c r="H19" s="120"/>
    </row>
    <row r="20" spans="2:8">
      <c r="B20" s="122">
        <v>5</v>
      </c>
      <c r="C20" s="123">
        <f t="shared" si="2"/>
        <v>1973.4168420892122</v>
      </c>
      <c r="D20" s="138">
        <f>IF($C$12&lt;B20,0,DDM!$C$11)</f>
        <v>0.111211776070739</v>
      </c>
      <c r="E20" s="124">
        <f t="shared" si="0"/>
        <v>0.69655863235011617</v>
      </c>
      <c r="F20" s="125">
        <f t="shared" si="1"/>
        <v>1374.6005365823469</v>
      </c>
      <c r="H20" s="120"/>
    </row>
    <row r="21" spans="2:8">
      <c r="B21" s="122">
        <v>6</v>
      </c>
      <c r="C21" s="123">
        <f t="shared" si="2"/>
        <v>2192.8840340258625</v>
      </c>
      <c r="D21" s="138">
        <f>IF($C$12&lt;B21,0,DDM!$C$11)</f>
        <v>0.111211776070739</v>
      </c>
      <c r="E21" s="124">
        <f t="shared" si="0"/>
        <v>0.64796151846522443</v>
      </c>
      <c r="F21" s="125">
        <f t="shared" si="1"/>
        <v>1420.9044685055449</v>
      </c>
      <c r="H21" s="120"/>
    </row>
    <row r="22" spans="2:8">
      <c r="B22" s="122">
        <v>7</v>
      </c>
      <c r="C22" s="123">
        <f t="shared" si="2"/>
        <v>2436.7585621670455</v>
      </c>
      <c r="D22" s="138">
        <f>IF($C$12&lt;B22,0,DDM!$C$11)</f>
        <v>0.111211776070739</v>
      </c>
      <c r="E22" s="124">
        <f t="shared" si="0"/>
        <v>0.60275490089788319</v>
      </c>
      <c r="F22" s="125">
        <f t="shared" si="1"/>
        <v>1468.7681656510658</v>
      </c>
      <c r="H22" s="120"/>
    </row>
    <row r="23" spans="2:8">
      <c r="B23" s="122">
        <v>8</v>
      </c>
      <c r="C23" s="123">
        <f t="shared" si="2"/>
        <v>2707.754809721223</v>
      </c>
      <c r="D23" s="138">
        <f>IF($C$12&lt;B23,0,DDM!$C$11)</f>
        <v>0.111211776070739</v>
      </c>
      <c r="E23" s="124">
        <f t="shared" si="0"/>
        <v>0.56070223339337966</v>
      </c>
      <c r="F23" s="125">
        <f t="shared" si="1"/>
        <v>1518.2441692923555</v>
      </c>
      <c r="H23" s="120"/>
    </row>
    <row r="24" spans="2:8">
      <c r="B24" s="122">
        <v>9</v>
      </c>
      <c r="C24" s="123">
        <f t="shared" si="2"/>
        <v>3008.8890312744061</v>
      </c>
      <c r="D24" s="138">
        <f>IF($C$12&lt;B24,0,DDM!$C$11)</f>
        <v>0.111211776070739</v>
      </c>
      <c r="E24" s="124">
        <f t="shared" si="0"/>
        <v>0.52158347292407414</v>
      </c>
      <c r="F24" s="125">
        <f t="shared" si="1"/>
        <v>1569.3867905752579</v>
      </c>
      <c r="H24" s="120"/>
    </row>
    <row r="25" spans="2:8">
      <c r="B25" s="122">
        <v>10</v>
      </c>
      <c r="C25" s="123">
        <f t="shared" si="2"/>
        <v>3343.5129244421978</v>
      </c>
      <c r="D25" s="138">
        <f>IF($C$12&lt;B25,0,DDM!$C$11)</f>
        <v>0.111211776070739</v>
      </c>
      <c r="E25" s="124">
        <f t="shared" si="0"/>
        <v>0.48519392830146441</v>
      </c>
      <c r="F25" s="125">
        <f t="shared" si="1"/>
        <v>1622.2521701368273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17257.195782953855</v>
      </c>
      <c r="D46" s="139">
        <f>Terminal_Growth</f>
        <v>0</v>
      </c>
      <c r="E46" s="124">
        <f>1/(1+Equity_Cost)^C12</f>
        <v>0.48519392830146441</v>
      </c>
      <c r="F46" s="125">
        <f t="shared" si="1"/>
        <v>8373.0866133988475</v>
      </c>
      <c r="H46" s="120"/>
    </row>
    <row r="47" spans="2:8">
      <c r="C47" s="114"/>
      <c r="E47" s="127" t="s">
        <v>100</v>
      </c>
      <c r="F47" s="137">
        <f>SUM(F16:F46)</f>
        <v>22412.056436301558</v>
      </c>
      <c r="H47" s="120"/>
    </row>
    <row r="48" spans="2:8">
      <c r="C48" s="114"/>
      <c r="H48" s="120"/>
    </row>
    <row r="49" spans="1:8" ht="13.15">
      <c r="B49" s="119" t="s">
        <v>129</v>
      </c>
      <c r="C49" s="136"/>
      <c r="D49" s="136"/>
      <c r="E49" s="117"/>
      <c r="F49" s="117"/>
      <c r="H49" s="120"/>
    </row>
    <row r="50" spans="1:8" ht="13.15">
      <c r="A50" s="133">
        <f>F47</f>
        <v>22412.056436301558</v>
      </c>
      <c r="B50" s="131">
        <f>C73</f>
        <v>0</v>
      </c>
      <c r="C50" s="131">
        <f>C72</f>
        <v>0.02</v>
      </c>
      <c r="D50" s="131">
        <f>C71</f>
        <v>0.06</v>
      </c>
      <c r="E50" s="131">
        <f>C70</f>
        <v>0.15</v>
      </c>
      <c r="F50" s="131">
        <f>C69</f>
        <v>0.25</v>
      </c>
      <c r="H50" s="120"/>
    </row>
    <row r="51" spans="1:8" ht="13.15">
      <c r="A51" s="143">
        <v>5</v>
      </c>
      <c r="B51" s="123">
        <f t="dataTable" ref="B51:F56" dt2D="1" dtr="1" r1="C11" r2="C12"/>
        <v>15530.069204247953</v>
      </c>
      <c r="C51" s="123">
        <v>16022.535515236879</v>
      </c>
      <c r="D51" s="123">
        <v>17051.138324800711</v>
      </c>
      <c r="E51" s="123">
        <v>19602.439592503375</v>
      </c>
      <c r="F51" s="123">
        <v>22887.703420144921</v>
      </c>
      <c r="H51" s="120"/>
    </row>
    <row r="52" spans="1:8" ht="13.15">
      <c r="A52" s="143">
        <v>10</v>
      </c>
      <c r="B52" s="123">
        <v>15530.069204247957</v>
      </c>
      <c r="C52" s="123">
        <v>16510.879054544035</v>
      </c>
      <c r="D52" s="123">
        <v>18777.265210845446</v>
      </c>
      <c r="E52" s="123">
        <v>25861.992459535024</v>
      </c>
      <c r="F52" s="123">
        <v>38693.498137747134</v>
      </c>
      <c r="H52" s="120"/>
    </row>
    <row r="53" spans="1:8" ht="13.15">
      <c r="A53" s="143">
        <v>15</v>
      </c>
      <c r="B53" s="123">
        <v>15530.069204247957</v>
      </c>
      <c r="C53" s="123">
        <v>17129.179163460485</v>
      </c>
      <c r="D53" s="123">
        <v>21206.018310395324</v>
      </c>
      <c r="E53" s="123">
        <v>37291.094093116248</v>
      </c>
      <c r="F53" s="123">
        <v>78156.399184381022</v>
      </c>
      <c r="H53" s="120"/>
    </row>
    <row r="54" spans="1:8" ht="13.15">
      <c r="A54" s="144">
        <v>20</v>
      </c>
      <c r="B54" s="123">
        <v>15530.069204247957</v>
      </c>
      <c r="C54" s="123">
        <v>17773.767114287708</v>
      </c>
      <c r="D54" s="123">
        <v>24040.983379634712</v>
      </c>
      <c r="E54" s="123">
        <v>55155.940348416123</v>
      </c>
      <c r="F54" s="123">
        <v>166128.47596055811</v>
      </c>
      <c r="H54" s="120"/>
    </row>
    <row r="55" spans="1:8" ht="13.15">
      <c r="A55" s="144">
        <v>25</v>
      </c>
      <c r="B55" s="123">
        <v>15530.069204247953</v>
      </c>
      <c r="C55" s="123">
        <v>18387.266073636241</v>
      </c>
      <c r="D55" s="123">
        <v>27081.335992660039</v>
      </c>
      <c r="E55" s="123">
        <v>81475.366026550473</v>
      </c>
      <c r="F55" s="123">
        <v>355978.41903615638</v>
      </c>
      <c r="H55" s="120"/>
    </row>
    <row r="56" spans="1:8" ht="13.15">
      <c r="A56" s="144">
        <v>30</v>
      </c>
      <c r="B56" s="123">
        <v>15530.069204247955</v>
      </c>
      <c r="C56" s="123">
        <v>18941.118299798225</v>
      </c>
      <c r="D56" s="123">
        <v>30192.452605517276</v>
      </c>
      <c r="E56" s="123">
        <v>119248.3740704138</v>
      </c>
      <c r="F56" s="123">
        <v>761529.66460814769</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88.047931508079998</v>
      </c>
      <c r="C60" s="124">
        <f>C7</f>
        <v>88.047931508079998</v>
      </c>
      <c r="D60" s="124">
        <f>C7</f>
        <v>88.047931508079998</v>
      </c>
      <c r="E60" s="141">
        <f>C7</f>
        <v>88.047931508079998</v>
      </c>
      <c r="F60" s="124">
        <f>C7</f>
        <v>88.047931508079998</v>
      </c>
      <c r="H60" s="120"/>
    </row>
    <row r="61" spans="1:8" ht="13.15">
      <c r="A61" s="143">
        <f t="shared" ref="A61:A66" si="3">A51</f>
        <v>5</v>
      </c>
      <c r="B61" s="124">
        <f t="shared" ref="B61:F66" si="4">B51/Common_Shares*$C$3*Exchange_Rate</f>
        <v>88.047931508079998</v>
      </c>
      <c r="C61" s="124">
        <f t="shared" si="4"/>
        <v>90.839975732076724</v>
      </c>
      <c r="D61" s="124">
        <f t="shared" si="4"/>
        <v>96.671652882666763</v>
      </c>
      <c r="E61" s="124">
        <f t="shared" si="4"/>
        <v>111.13628895870671</v>
      </c>
      <c r="F61" s="124">
        <f t="shared" si="4"/>
        <v>129.76213541681739</v>
      </c>
      <c r="H61" s="120"/>
    </row>
    <row r="62" spans="1:8" ht="13.15">
      <c r="A62" s="143">
        <f t="shared" si="3"/>
        <v>10</v>
      </c>
      <c r="B62" s="124">
        <f t="shared" si="4"/>
        <v>88.047931508080026</v>
      </c>
      <c r="C62" s="124">
        <f t="shared" si="4"/>
        <v>93.608645847826665</v>
      </c>
      <c r="D62" s="124">
        <f t="shared" si="4"/>
        <v>106.45795195435092</v>
      </c>
      <c r="E62" s="124">
        <f t="shared" si="4"/>
        <v>146.6249062249359</v>
      </c>
      <c r="F62" s="124">
        <f t="shared" si="4"/>
        <v>219.37329634748141</v>
      </c>
      <c r="H62" s="120"/>
    </row>
    <row r="63" spans="1:8" ht="13.15">
      <c r="A63" s="143">
        <f t="shared" si="3"/>
        <v>15</v>
      </c>
      <c r="B63" s="124">
        <f t="shared" si="4"/>
        <v>88.047931508080026</v>
      </c>
      <c r="C63" s="124">
        <f t="shared" si="4"/>
        <v>97.114106443354672</v>
      </c>
      <c r="D63" s="124">
        <f t="shared" si="4"/>
        <v>120.22779958005955</v>
      </c>
      <c r="E63" s="124">
        <f t="shared" si="4"/>
        <v>211.42234818077657</v>
      </c>
      <c r="F63" s="124">
        <f t="shared" si="4"/>
        <v>443.10873260128392</v>
      </c>
      <c r="H63" s="120"/>
    </row>
    <row r="64" spans="1:8" ht="13.15">
      <c r="A64" s="144">
        <f t="shared" si="3"/>
        <v>20</v>
      </c>
      <c r="B64" s="124">
        <f t="shared" si="4"/>
        <v>88.047931508080026</v>
      </c>
      <c r="C64" s="124">
        <f t="shared" si="4"/>
        <v>100.7686063041695</v>
      </c>
      <c r="D64" s="124">
        <f t="shared" si="4"/>
        <v>136.30067130788882</v>
      </c>
      <c r="E64" s="124">
        <f t="shared" si="4"/>
        <v>312.70732887221925</v>
      </c>
      <c r="F64" s="124">
        <f t="shared" si="4"/>
        <v>941.86757834381876</v>
      </c>
      <c r="H64" s="120"/>
    </row>
    <row r="65" spans="1:8" ht="13.15">
      <c r="A65" s="144">
        <f t="shared" si="3"/>
        <v>25</v>
      </c>
      <c r="B65" s="124">
        <f t="shared" si="4"/>
        <v>88.047931508079998</v>
      </c>
      <c r="C65" s="124">
        <f t="shared" si="4"/>
        <v>104.24684671910742</v>
      </c>
      <c r="D65" s="124">
        <f t="shared" si="4"/>
        <v>153.53799041518829</v>
      </c>
      <c r="E65" s="124">
        <f t="shared" si="4"/>
        <v>461.92565874331234</v>
      </c>
      <c r="F65" s="124">
        <f t="shared" si="4"/>
        <v>2018.2243263331225</v>
      </c>
    </row>
    <row r="66" spans="1:8" ht="13.15">
      <c r="A66" s="144">
        <f t="shared" si="3"/>
        <v>30</v>
      </c>
      <c r="B66" s="124">
        <f t="shared" si="4"/>
        <v>88.047931508080012</v>
      </c>
      <c r="C66" s="124">
        <f t="shared" si="4"/>
        <v>107.38691919614243</v>
      </c>
      <c r="D66" s="124">
        <f t="shared" si="4"/>
        <v>171.17650694978144</v>
      </c>
      <c r="E66" s="124">
        <f t="shared" si="4"/>
        <v>676.08022440297566</v>
      </c>
      <c r="F66" s="124">
        <f t="shared" si="4"/>
        <v>4317.5024443837492</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443.10873260128392</v>
      </c>
      <c r="F69" s="142">
        <f>Scenarios!C58</f>
        <v>0.05</v>
      </c>
    </row>
    <row r="70" spans="1:8">
      <c r="B70" s="127" t="str">
        <f>Scenarios!B36</f>
        <v>Optimistic</v>
      </c>
      <c r="C70" s="142">
        <f>Scenarios!C38</f>
        <v>0.15</v>
      </c>
      <c r="D70" s="145">
        <f>Scenarios!C37</f>
        <v>10</v>
      </c>
      <c r="E70" s="135">
        <f>INDEX(B$60:F$66, MATCH(D70, A$60:A$66, 0), MATCH(C70, B$59:F$59, 0))</f>
        <v>146.6249062249359</v>
      </c>
      <c r="F70" s="142">
        <f>Scenarios!C40*(1-F$69-F$73)</f>
        <v>0.18</v>
      </c>
      <c r="H70" s="120"/>
    </row>
    <row r="71" spans="1:8">
      <c r="B71" s="127" t="str">
        <f>Scenarios!B24</f>
        <v>Base</v>
      </c>
      <c r="C71" s="142">
        <f>Scenarios!C26</f>
        <v>0.06</v>
      </c>
      <c r="D71" s="145">
        <f>Scenarios!C25</f>
        <v>10</v>
      </c>
      <c r="E71" s="135">
        <f>INDEX(B$60:F$66, MATCH(D71, A$60:A$66, 0), MATCH(C71, B$59:F$59, 0))</f>
        <v>106.45795195435092</v>
      </c>
      <c r="F71" s="142">
        <f>Scenarios!C28*(1-F$69-F$73)</f>
        <v>0.53999999999999992</v>
      </c>
      <c r="H71" s="120"/>
    </row>
    <row r="72" spans="1:8">
      <c r="B72" s="127" t="str">
        <f>Scenarios!B30</f>
        <v>Pessimistic</v>
      </c>
      <c r="C72" s="142">
        <f>Scenarios!C32</f>
        <v>0.02</v>
      </c>
      <c r="D72" s="145">
        <f>Scenarios!C31</f>
        <v>10</v>
      </c>
      <c r="E72" s="135">
        <f>INDEX(B$60:F$66, MATCH(D72, A$60:A$66, 0), MATCH(C72, B$59:F$59, 0))</f>
        <v>93.608645847826665</v>
      </c>
      <c r="F72" s="142">
        <f>Scenarios!C34*(1-F$69-F$73)</f>
        <v>0.18</v>
      </c>
      <c r="H72" s="120"/>
    </row>
    <row r="73" spans="1:8">
      <c r="B73" s="127" t="str">
        <f>Scenarios!B48</f>
        <v>Devil's advocate</v>
      </c>
      <c r="C73" s="142">
        <f>Scenarios!C50</f>
        <v>0</v>
      </c>
      <c r="D73" s="145">
        <f>Scenarios!C49</f>
        <v>15</v>
      </c>
      <c r="E73" s="135">
        <f>INDEX(B$60:F$66, MATCH(D73, A$60:A$66, 0), MATCH(C73, B$59:F$59, 0))</f>
        <v>88.047931508080026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-14.78</v>
      </c>
    </row>
    <row r="4" spans="2:9">
      <c r="B4" s="152" t="s">
        <v>146</v>
      </c>
      <c r="C4" s="120">
        <v>3</v>
      </c>
      <c r="D4" s="120"/>
      <c r="E4" s="155" t="s">
        <v>150</v>
      </c>
      <c r="F4" s="155"/>
      <c r="H4" s="247">
        <v>1</v>
      </c>
      <c r="I4" s="124">
        <f t="shared" ref="I4:I13" si="0">IF(ROW()-3 &lt; $C$76, $C$77, IF(ROW()-3 = $C$76, $C$77 + $C$60, ""))</f>
        <v>0.84215561999999999</v>
      </c>
    </row>
    <row r="5" spans="2:9">
      <c r="H5" s="247">
        <v>2</v>
      </c>
      <c r="I5" s="124">
        <f t="shared" si="0"/>
        <v>0.84215561999999999</v>
      </c>
    </row>
    <row r="6" spans="2:9" ht="13.15">
      <c r="B6" s="159" t="s">
        <v>95</v>
      </c>
      <c r="C6" s="107">
        <f>DCF!C3</f>
        <v>1000000</v>
      </c>
      <c r="E6" s="100" t="s">
        <v>279</v>
      </c>
      <c r="F6" s="100"/>
      <c r="H6" s="247">
        <v>3</v>
      </c>
      <c r="I6" s="124">
        <f t="shared" si="0"/>
        <v>19.428640695372369</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342.23869243763255</v>
      </c>
      <c r="D8" t="str">
        <f>Reporting_currency</f>
        <v>USD</v>
      </c>
      <c r="E8" s="366"/>
      <c r="F8" s="366"/>
      <c r="H8" s="247">
        <v>5</v>
      </c>
      <c r="I8" s="124" t="str">
        <f t="shared" si="0"/>
        <v/>
      </c>
    </row>
    <row r="9" spans="2:9">
      <c r="B9" s="100" t="s">
        <v>57</v>
      </c>
      <c r="C9" s="338">
        <f>Normalized_FCF!C19</f>
        <v>273.66649543322342</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-4.7409990692398889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14.78</v>
      </c>
      <c r="D21" t="str">
        <f>Market_currency</f>
        <v>HKD</v>
      </c>
      <c r="E21" s="367"/>
      <c r="F21" s="367"/>
    </row>
    <row r="22" spans="2:6">
      <c r="B22" s="100" t="s">
        <v>278</v>
      </c>
      <c r="C22" s="160">
        <f>IF(valuation_method="DCF",DCF!C12,DDM!C7)</f>
        <v>9.366982084851081</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13.6925311944514</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10.673506595849382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23.130007583331707</v>
      </c>
      <c r="D39" t="str">
        <f>Market_currency</f>
        <v>HKD</v>
      </c>
      <c r="E39" s="365"/>
      <c r="F39" s="365"/>
    </row>
    <row r="40" spans="2:6">
      <c r="B40" s="100" t="s">
        <v>147</v>
      </c>
      <c r="C40" s="167">
        <f>1-C28-C34</f>
        <v>0.2</v>
      </c>
      <c r="D40" s="165"/>
      <c r="E40" s="365"/>
      <c r="F40" s="365"/>
    </row>
    <row r="42" spans="2:6" ht="13.15">
      <c r="B42" s="100" t="s">
        <v>120</v>
      </c>
      <c r="C42" s="154">
        <f>C27*C28+C33*C34+C39*C40</f>
        <v>14.976221552507056</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9.3669820848510845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92.790731477469294</v>
      </c>
      <c r="D57" t="str">
        <f>Market_currency</f>
        <v>HKD</v>
      </c>
      <c r="E57" s="365"/>
      <c r="F57" s="365"/>
    </row>
    <row r="58" spans="2:6">
      <c r="B58" s="100" t="s">
        <v>147</v>
      </c>
      <c r="C58" s="165">
        <v>0.05</v>
      </c>
      <c r="D58" s="165"/>
      <c r="E58" s="365"/>
      <c r="F58" s="365"/>
    </row>
    <row r="60" spans="2:6" ht="13.15">
      <c r="B60" s="100" t="s">
        <v>120</v>
      </c>
      <c r="C60" s="154">
        <f>C51*C52+C57*C58+C42*(1-C52-C58)</f>
        <v>18.586485075372369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18.534391038116691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-0.6090677418611613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0.84215561999999999</v>
      </c>
      <c r="D77" t="str">
        <f>Market_currency</f>
        <v>HKD</v>
      </c>
    </row>
    <row r="79" spans="2:6" ht="13.15">
      <c r="B79" s="109" t="s">
        <v>301</v>
      </c>
    </row>
    <row r="80" spans="2:6">
      <c r="B80" s="148" t="s">
        <v>299</v>
      </c>
      <c r="C80" s="167">
        <f>Thesis!F29</f>
        <v>0.3674</v>
      </c>
    </row>
    <row r="81" spans="2:8">
      <c r="B81" s="100" t="s">
        <v>121</v>
      </c>
      <c r="C81" s="116">
        <f>PV(C80, C76, -C77, 0)</f>
        <v>1.3956702496004907</v>
      </c>
      <c r="D81" s="116"/>
      <c r="E81" s="100"/>
      <c r="F81" s="100"/>
    </row>
    <row r="82" spans="2:8">
      <c r="B82" s="100" t="s">
        <v>122</v>
      </c>
      <c r="C82" s="116">
        <f>C60/(1+C80)^C76</f>
        <v>7.269600427949614</v>
      </c>
      <c r="D82" s="116"/>
    </row>
    <row r="83" spans="2:8" ht="13.15">
      <c r="B83" s="110" t="s">
        <v>101</v>
      </c>
      <c r="C83" s="111">
        <f>C81+C82</f>
        <v>8.6652706775501045</v>
      </c>
      <c r="D83" t="str">
        <f>Market_currency</f>
        <v>HKD</v>
      </c>
      <c r="E83" s="146" t="s">
        <v>126</v>
      </c>
      <c r="F83" s="291">
        <f>(1-C83/C60)</f>
        <v>0.53378647751791219</v>
      </c>
    </row>
    <row r="84" spans="2:8">
      <c r="E84" s="120"/>
    </row>
    <row r="85" spans="2:8" ht="13.15">
      <c r="B85" s="109" t="s">
        <v>302</v>
      </c>
    </row>
    <row r="86" spans="2:8">
      <c r="B86" s="148" t="s">
        <v>300</v>
      </c>
      <c r="C86" s="116">
        <f>Market_Price</f>
        <v>14.78</v>
      </c>
      <c r="D86" t="str">
        <f>Market_currency</f>
        <v>HKD</v>
      </c>
    </row>
    <row r="87" spans="2:8" ht="13.15">
      <c r="B87" s="100" t="s">
        <v>298</v>
      </c>
      <c r="C87" s="237">
        <f ca="1">IRR(OFFSET($I$3, 0, 0, $C$76 + 1, 1))</f>
        <v>0.13240055219216473</v>
      </c>
    </row>
    <row r="88" spans="2:8">
      <c r="B88" s="100"/>
    </row>
    <row r="89" spans="2:8" ht="13.15">
      <c r="B89" s="109" t="s">
        <v>412</v>
      </c>
    </row>
    <row r="90" spans="2:8">
      <c r="B90" s="148" t="s">
        <v>413</v>
      </c>
      <c r="C90" s="167">
        <f>Thesis!F30</f>
        <v>0.21740000000000001</v>
      </c>
    </row>
    <row r="91" spans="2:8">
      <c r="B91" s="100" t="s">
        <v>121</v>
      </c>
      <c r="C91" s="116">
        <f>PV(C90, C76, -C77, 0)</f>
        <v>1.7267565770704867</v>
      </c>
      <c r="D91" s="116"/>
      <c r="E91" s="100"/>
      <c r="F91" s="100"/>
    </row>
    <row r="92" spans="2:8">
      <c r="B92" s="100" t="s">
        <v>122</v>
      </c>
      <c r="C92" s="116">
        <f>C60/(1+C90)^C76</f>
        <v>10.301426662096432</v>
      </c>
      <c r="D92" s="116"/>
    </row>
    <row r="93" spans="2:8" ht="13.15">
      <c r="B93" s="110" t="s">
        <v>101</v>
      </c>
      <c r="C93" s="111">
        <f>C91+C92</f>
        <v>12.028183239166919</v>
      </c>
      <c r="D93" t="str">
        <f>Market_currency</f>
        <v>HKD</v>
      </c>
      <c r="E93" s="146" t="s">
        <v>126</v>
      </c>
      <c r="F93" s="291">
        <f>(1-C93/C60)</f>
        <v>0.35285325921550326</v>
      </c>
    </row>
    <row r="95" spans="2:8" ht="13.15">
      <c r="B95" s="109" t="s">
        <v>397</v>
      </c>
      <c r="G95" s="2"/>
      <c r="H95" s="281"/>
    </row>
    <row r="96" spans="2:8">
      <c r="B96" s="148" t="s">
        <v>403</v>
      </c>
      <c r="C96" s="134">
        <f>Thesis!F31</f>
        <v>7.4999999999999997E-2</v>
      </c>
      <c r="G96" s="2"/>
      <c r="H96" s="281"/>
    </row>
    <row r="97" spans="2:8">
      <c r="B97" s="100" t="s">
        <v>121</v>
      </c>
      <c r="C97" s="116">
        <f>PV(C96, C76, -C77, 0)</f>
        <v>2.1900473667878293</v>
      </c>
      <c r="D97" s="116"/>
      <c r="G97" s="2"/>
      <c r="H97" s="281"/>
    </row>
    <row r="98" spans="2:8">
      <c r="B98" s="100" t="s">
        <v>122</v>
      </c>
      <c r="C98" s="116">
        <f>C60/(1+C96)^C76</f>
        <v>14.96138761145348</v>
      </c>
      <c r="D98" s="116"/>
      <c r="G98" s="2"/>
      <c r="H98" s="281"/>
    </row>
    <row r="99" spans="2:8" ht="13.15">
      <c r="B99" s="110" t="s">
        <v>398</v>
      </c>
      <c r="C99" s="111">
        <f>C97+C98</f>
        <v>17.151434978241308</v>
      </c>
      <c r="D99" t="s">
        <v>396</v>
      </c>
      <c r="E99" s="146" t="s">
        <v>126</v>
      </c>
      <c r="F99" s="291">
        <f>(1-C99/C60)</f>
        <v>7.7209332012567744E-2</v>
      </c>
    </row>
    <row r="100" spans="2:8">
      <c r="B100" s="100"/>
    </row>
    <row r="101" spans="2:8" ht="13.15">
      <c r="B101" s="109" t="s">
        <v>421</v>
      </c>
    </row>
    <row r="102" spans="2:8">
      <c r="B102" s="148" t="s">
        <v>420</v>
      </c>
      <c r="C102" s="134">
        <f>Thesis!F32</f>
        <v>0.1174</v>
      </c>
    </row>
    <row r="103" spans="2:8">
      <c r="B103" s="100" t="s">
        <v>121</v>
      </c>
      <c r="C103" s="116">
        <f>PV(C102, C76, -C77, 0)</f>
        <v>2.0317872813388012</v>
      </c>
      <c r="D103" s="116"/>
    </row>
    <row r="104" spans="2:8">
      <c r="B104" s="100" t="s">
        <v>122</v>
      </c>
      <c r="C104" s="116">
        <f>C60/(1+C102)^C76</f>
        <v>13.322056347387662</v>
      </c>
      <c r="D104" s="116"/>
    </row>
    <row r="105" spans="2:8" ht="13.15">
      <c r="B105" s="110" t="s">
        <v>398</v>
      </c>
      <c r="C105" s="111">
        <f>C103+C104</f>
        <v>15.353843628726462</v>
      </c>
      <c r="D105" t="s">
        <v>396</v>
      </c>
      <c r="E105" s="146" t="s">
        <v>126</v>
      </c>
      <c r="F105" s="291">
        <f>(1-C105/C66)</f>
        <v>0.17160247686850405</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2025-05-30T11:23:51Z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