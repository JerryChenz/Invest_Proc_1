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97F58B-E1D5-422C-9FA2-814C3847486B}"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<sst xmlns="http://schemas.openxmlformats.org/spreadsheetml/2006/main" count="836" uniqueCount="560">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</sst>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16.13</v>
      </c>
      <c r="D12" s="50"/>
      <c r="E12" s="48"/>
    </row>
    <row r="13" spans="1:10">
      <c r="B13" s="1" t="s">
        <v>485</v>
      </c>
      <c r="C13" s="32" t="str">
        <f>Market_currency</f>
        <v>HKD</v>
      </c>
      <c r="D13" s="48"/>
      <c r="E13" s="5"/>
    </row>
    <row r="14" spans="1:10">
      <c r="B14" s="4" t="s">
        <v>486</v>
      </c>
      <c r="C14" s="35">
        <f>投资主题!C12*Common_Shares/1000000</f>
        <v>22308.823658789996</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7.8494000000000002</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18.605281151290658</v>
      </c>
      <c r="D26" s="1" t="s">
        <v>446</v>
      </c>
      <c r="E26" s="301">
        <f ca="1">Scenarios!C87</f>
        <v>9.8685421802452877E-2</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8.9916396079421457</v>
      </c>
      <c r="D29" s="310" t="str">
        <f>D149</f>
        <v/>
      </c>
      <c r="E29" s="306" t="s">
        <v>455</v>
      </c>
      <c r="F29" s="362">
        <f>Thesis!F29</f>
        <v>0.35</v>
      </c>
    </row>
    <row r="30" spans="2:6">
      <c r="B30" s="1" t="s">
        <v>450</v>
      </c>
      <c r="C30" s="311">
        <f>C157</f>
        <v>11.171489842580817</v>
      </c>
      <c r="D30" s="311" t="str">
        <f>D157</f>
        <v/>
      </c>
      <c r="E30" s="307" t="s">
        <v>454</v>
      </c>
      <c r="F30" s="224">
        <f>Thesis!F30</f>
        <v>0.25</v>
      </c>
    </row>
    <row r="31" spans="2:6">
      <c r="B31" s="1" t="s">
        <v>451</v>
      </c>
      <c r="C31" s="311">
        <f>C165</f>
        <v>17.168827379579184</v>
      </c>
      <c r="D31" s="311" t="str">
        <f>D165</f>
        <v/>
      </c>
      <c r="E31" s="307" t="s">
        <v>491</v>
      </c>
      <c r="F31" s="224">
        <f>Thesis!F31</f>
        <v>7.4999999999999997E-2</v>
      </c>
    </row>
    <row r="32" spans="2:6">
      <c r="B32" s="1" t="s">
        <v>452</v>
      </c>
      <c r="C32" s="311">
        <f>C173</f>
        <v>15.369414731452171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495</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7.040708713157545</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-144.95929128684244</v>
      </c>
      <c r="D53" s="1" t="str">
        <f>Reporting_currency</f>
        <v>USD</v>
      </c>
    </row>
    <row r="55" spans="2:6">
      <c r="B55" s="1" t="s">
        <v>498</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-102.03992426434269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342.2407087131574</v>
      </c>
      <c r="D67" s="1" t="str">
        <f>Reporting_currency</f>
        <v>USD</v>
      </c>
    </row>
    <row r="68" spans="1:6">
      <c r="B68" s="47" t="s">
        <v>244</v>
      </c>
      <c r="C68" s="349">
        <f>Normalized_FCF!C19</f>
        <v>273.66800763986708</v>
      </c>
      <c r="D68" s="1" t="str">
        <f>Reporting_currency</f>
        <v>USD</v>
      </c>
    </row>
    <row r="69" spans="1:6">
      <c r="B69" s="227" t="s">
        <v>371</v>
      </c>
      <c r="C69" s="92">
        <f>Normalized_FCF!C126</f>
        <v>9.6290584031846913E-2</v>
      </c>
      <c r="F69" s="314"/>
    </row>
    <row r="70" spans="1:6">
      <c r="B70" s="227" t="s">
        <v>434</v>
      </c>
      <c r="C70" s="92">
        <f>Normalized_FCF!C94</f>
        <v>5.2264448853068815E-2</v>
      </c>
      <c r="E70" s="47" t="s">
        <v>503</v>
      </c>
      <c r="F70" s="315">
        <f>Normalized_FCF!C92</f>
        <v>4.2604847499065448</v>
      </c>
    </row>
    <row r="72" spans="1:6">
      <c r="B72" s="210" t="s">
        <v>513</v>
      </c>
      <c r="C72" s="323" t="s">
        <v>429</v>
      </c>
      <c r="D72" s="323" t="s">
        <v>504</v>
      </c>
    </row>
    <row r="73" spans="1:6">
      <c r="B73" s="47" t="s">
        <v>428</v>
      </c>
      <c r="C73" s="92">
        <f>Normalized_FCF!C121</f>
        <v>0.26418103369409113</v>
      </c>
      <c r="D73" s="92">
        <f>Normalized_FCF!G121</f>
        <v>0.31549560434508567</v>
      </c>
    </row>
    <row r="74" spans="1:6">
      <c r="B74" s="259" t="str">
        <f>Normalized_FCF!B118</f>
        <v>Pre-tax Profit/Sales</v>
      </c>
      <c r="C74" s="322">
        <f>Normalized_FCF!C118</f>
        <v>0.11373786352822013</v>
      </c>
      <c r="D74" s="322">
        <f>Normalized_FCF!G118</f>
        <v>0.13583032623116464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20.708894939115876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13.183883830204273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326.18005127143761</v>
      </c>
      <c r="D109" s="1" t="str">
        <f>Reporting_currency</f>
        <v>USD</v>
      </c>
    </row>
    <row r="110" spans="2:6">
      <c r="B110" s="47" t="s">
        <v>277</v>
      </c>
      <c r="C110" s="223">
        <f>C109*scaling_factor*Exchange_Rate/Common_Shares</f>
        <v>1.8511923821320304</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9.3762034910436309</v>
      </c>
      <c r="D118" s="1" t="str">
        <f>Market_currency</f>
        <v>HKD</v>
      </c>
    </row>
    <row r="119" spans="1:6">
      <c r="B119" s="296" t="s">
        <v>550</v>
      </c>
      <c r="C119" s="223">
        <f>BS!D47</f>
        <v>-12.277186765755959</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18.605281151290658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0.84302555999999995</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1.4296699279987808</v>
      </c>
    </row>
    <row r="148" spans="2:4">
      <c r="B148" s="212" t="str">
        <f>"+ PV(Equity Value realized at year "&amp;C141&amp;")"</f>
        <v>+ PV(Equity Value realized at year 3)</v>
      </c>
      <c r="C148" s="216">
        <f>Scenarios!C82</f>
        <v>7.5619696799433642</v>
      </c>
    </row>
    <row r="149" spans="2:4">
      <c r="B149" s="80" t="s">
        <v>256</v>
      </c>
      <c r="C149" s="215">
        <f>Scenarios!C83</f>
        <v>8.9916396079421457</v>
      </c>
      <c r="D149" s="300" t="str">
        <f>IF($D$11="","",C149*$E$25)</f>
        <v/>
      </c>
    </row>
    <row r="150" spans="2:4">
      <c r="B150" s="259" t="s">
        <v>532</v>
      </c>
      <c r="C150" s="298" t="str">
        <f>Market_currency</f>
        <v>HKD</v>
      </c>
      <c r="D150" s="298" t="str">
        <f>IF($D$11="","",D$13)</f>
        <v/>
      </c>
    </row>
    <row r="151" spans="2:4">
      <c r="B151" s="214" t="s">
        <v>533</v>
      </c>
      <c r="C151" s="92">
        <f>Scenarios!F83</f>
        <v>0.51671573598776865</v>
      </c>
    </row>
    <row r="153" spans="2:4">
      <c r="B153" s="210" t="s">
        <v>391</v>
      </c>
    </row>
    <row r="154" spans="2:4">
      <c r="B154" s="1" t="s">
        <v>390</v>
      </c>
      <c r="C154" s="297">
        <f>Scenarios!C90</f>
        <v>0.25</v>
      </c>
    </row>
    <row r="155" spans="2:4">
      <c r="B155" s="212" t="str">
        <f>"PV("&amp;C141&amp;" yrs of Dividends)"</f>
        <v>PV(3 yrs of Dividends)</v>
      </c>
      <c r="C155" s="216">
        <f>Scenarios!C91</f>
        <v>1.6455858931199998</v>
      </c>
    </row>
    <row r="156" spans="2:4">
      <c r="B156" s="212" t="str">
        <f>"+ PV(Equity Value realized at year "&amp;C141&amp;")"</f>
        <v>+ PV(Equity Value realized at year 3)</v>
      </c>
      <c r="C156" s="216">
        <f>Scenarios!C92</f>
        <v>9.5259039494608171</v>
      </c>
    </row>
    <row r="157" spans="2:4">
      <c r="B157" s="80" t="s">
        <v>256</v>
      </c>
      <c r="C157" s="215">
        <f>Scenarios!C93</f>
        <v>11.171489842580817</v>
      </c>
      <c r="D157" s="300" t="str">
        <f>IF($D$11="","",C157*$E$25)</f>
        <v/>
      </c>
    </row>
    <row r="158" spans="2:4">
      <c r="B158" s="259" t="s">
        <v>532</v>
      </c>
      <c r="C158" s="298" t="str">
        <f>Market_currency</f>
        <v>HKD</v>
      </c>
      <c r="D158" s="298" t="str">
        <f>IF($D$11="","",D$13)</f>
        <v/>
      </c>
    </row>
    <row r="159" spans="2:4">
      <c r="B159" s="214" t="s">
        <v>533</v>
      </c>
      <c r="C159" s="92">
        <f>Scenarios!F93</f>
        <v>0.39955275323502193</v>
      </c>
    </row>
    <row r="161" spans="2:4">
      <c r="B161" s="210" t="s">
        <v>381</v>
      </c>
    </row>
    <row r="162" spans="2:4">
      <c r="B162" s="1" t="s">
        <v>389</v>
      </c>
      <c r="C162" s="92">
        <f>Scenarios!C96</f>
        <v>7.4999999999999997E-2</v>
      </c>
    </row>
    <row r="163" spans="2:4">
      <c r="B163" s="212" t="str">
        <f>"PV("&amp;C141&amp;" yrs of Dividends)"</f>
        <v>PV(3 yrs of Dividends)</v>
      </c>
      <c r="C163" s="216">
        <f>Scenarios!C97</f>
        <v>2.192309668149973</v>
      </c>
    </row>
    <row r="164" spans="2:4">
      <c r="B164" s="212" t="str">
        <f>"+ PV(Equity Value realized at year "&amp;C141&amp;")"</f>
        <v>+ PV(Equity Value realized at year 3)</v>
      </c>
      <c r="C164" s="216">
        <f>Scenarios!C98</f>
        <v>14.97651771142921</v>
      </c>
    </row>
    <row r="165" spans="2:4">
      <c r="B165" s="80" t="s">
        <v>382</v>
      </c>
      <c r="C165" s="215">
        <f>Scenarios!C99</f>
        <v>17.168827379579184</v>
      </c>
      <c r="D165" s="300" t="str">
        <f>IF($D$11="","",C165*$E$25)</f>
        <v/>
      </c>
    </row>
    <row r="166" spans="2:4">
      <c r="B166" s="259" t="s">
        <v>532</v>
      </c>
      <c r="C166" s="298" t="str">
        <f>Market_currency</f>
        <v>HKD</v>
      </c>
      <c r="D166" s="298" t="str">
        <f>IF($D$11="","",D$13)</f>
        <v/>
      </c>
    </row>
    <row r="167" spans="2:4">
      <c r="B167" s="214" t="s">
        <v>533</v>
      </c>
      <c r="C167" s="92">
        <f>Scenarios!F99</f>
        <v>7.7206775862767696E-2</v>
      </c>
    </row>
    <row r="169" spans="2:4">
      <c r="B169" s="210" t="s">
        <v>408</v>
      </c>
    </row>
    <row r="170" spans="2:4">
      <c r="B170" s="1" t="s">
        <v>399</v>
      </c>
      <c r="C170" s="92">
        <f>F32</f>
        <v>0.1174</v>
      </c>
    </row>
    <row r="171" spans="2:4">
      <c r="B171" s="212" t="str">
        <f>"PV("&amp;C141&amp;" yrs of Dividends)"</f>
        <v>PV(3 yrs of Dividends)</v>
      </c>
      <c r="C171" s="216">
        <f>Scenarios!C103</f>
        <v>2.0338861013021798</v>
      </c>
    </row>
    <row r="172" spans="2:4">
      <c r="B172" s="212" t="str">
        <f>"+ PV(Equity Value realized at year "&amp;C141&amp;")"</f>
        <v>+ PV(Equity Value realized at year 3)</v>
      </c>
      <c r="C172" s="216">
        <f>Scenarios!C104</f>
        <v>13.335528630149991</v>
      </c>
    </row>
    <row r="173" spans="2:4">
      <c r="B173" s="80" t="s">
        <v>382</v>
      </c>
      <c r="C173" s="215">
        <f>Scenarios!C105</f>
        <v>15.369414731452171</v>
      </c>
      <c r="D173" s="300" t="str">
        <f>IF($D$11="","",C173*$E$25)</f>
        <v/>
      </c>
    </row>
    <row r="174" spans="2:4">
      <c r="B174" s="259" t="s">
        <v>532</v>
      </c>
      <c r="C174" s="298" t="str">
        <f>Market_currency</f>
        <v>HKD</v>
      </c>
      <c r="D174" s="298" t="str">
        <f>IF($D$11="","",D$13)</f>
        <v/>
      </c>
    </row>
    <row r="175" spans="2:4">
      <c r="B175" s="214" t="s">
        <v>533</v>
      </c>
      <c r="C175" s="92">
        <f>Scenarios!F105</f>
        <v>0.17160003539281088</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16.13</v>
      </c>
      <c r="D12" s="50"/>
      <c r="E12" s="48"/>
    </row>
    <row r="13" spans="1:10">
      <c r="B13" s="1" t="s">
        <v>464</v>
      </c>
      <c r="C13" s="48" t="s">
        <v>377</v>
      </c>
      <c r="D13" s="48"/>
      <c r="E13" s="5"/>
    </row>
    <row r="14" spans="1:10">
      <c r="B14" s="4" t="s">
        <v>465</v>
      </c>
      <c r="C14" s="35">
        <f>Thesis!C12*Common_Shares/1000000</f>
        <v>22308.823658789996</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7.8494000000000002</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18.605281151290658</v>
      </c>
      <c r="D26" s="1" t="s">
        <v>380</v>
      </c>
      <c r="E26" s="301">
        <f ca="1">Scenarios!C87</f>
        <v>9.8685421802452877E-2</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8.9916396079421457</v>
      </c>
      <c r="D29" s="310" t="str">
        <f>D149</f>
        <v/>
      </c>
      <c r="E29" s="306" t="s">
        <v>400</v>
      </c>
      <c r="F29" s="302">
        <v>0.35</v>
      </c>
    </row>
    <row r="30" spans="2:6">
      <c r="B30" s="1" t="s">
        <v>402</v>
      </c>
      <c r="C30" s="311">
        <f>C157</f>
        <v>11.171489842580817</v>
      </c>
      <c r="D30" s="311" t="str">
        <f>D157</f>
        <v/>
      </c>
      <c r="E30" s="307" t="s">
        <v>413</v>
      </c>
      <c r="F30" s="312">
        <v>0.25</v>
      </c>
    </row>
    <row r="31" spans="2:6">
      <c r="B31" s="1" t="s">
        <v>403</v>
      </c>
      <c r="C31" s="311">
        <f>C165</f>
        <v>17.168827379579184</v>
      </c>
      <c r="D31" s="311" t="str">
        <f>D165</f>
        <v/>
      </c>
      <c r="E31" s="307" t="s">
        <v>412</v>
      </c>
      <c r="F31" s="312">
        <v>7.4999999999999997E-2</v>
      </c>
    </row>
    <row r="32" spans="2:6">
      <c r="B32" s="1" t="s">
        <v>404</v>
      </c>
      <c r="C32" s="311">
        <f>C173</f>
        <v>15.369414731452171</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553.11898834421322</v>
      </c>
      <c r="D41" s="1" t="str">
        <f>Reporting_currency</f>
        <v>USD</v>
      </c>
    </row>
    <row r="42" spans="1:6">
      <c r="B42" s="47"/>
      <c r="C42" s="76"/>
    </row>
    <row r="43" spans="1:6" ht="24.6" customHeight="1">
      <c r="B43" s="370" t="s">
        <v>229</v>
      </c>
      <c r="C43" s="370"/>
      <c r="D43" s="370"/>
      <c r="E43" s="370"/>
      <c r="F43" s="370"/>
    </row>
    <row r="44" spans="1:6">
      <c r="B44" s="47" t="s">
        <v>230</v>
      </c>
      <c r="C44" s="349">
        <f>Normalized_FCF!C9</f>
        <v>0</v>
      </c>
      <c r="D44" s="1" t="str">
        <f>Reporting_currency</f>
        <v>USD</v>
      </c>
    </row>
    <row r="45" spans="1:6">
      <c r="B45" s="52" t="s">
        <v>231</v>
      </c>
      <c r="C45" s="349">
        <f>Normalized_FCF!C10</f>
        <v>0</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7.040708713157545</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-144.95929128684244</v>
      </c>
      <c r="D53" s="1" t="str">
        <f>Reporting_currency</f>
        <v>USD</v>
      </c>
    </row>
    <row r="55" spans="2:6">
      <c r="B55" s="1" t="s">
        <v>242</v>
      </c>
    </row>
    <row r="56" spans="2:6">
      <c r="B56" s="47" t="s">
        <v>261</v>
      </c>
      <c r="C56" s="349">
        <f>Normalized_FCF!C15</f>
        <v>-32.451765153160977</v>
      </c>
      <c r="D56" s="1" t="str">
        <f>Reporting_currency</f>
        <v>USD</v>
      </c>
    </row>
    <row r="58" spans="2:6">
      <c r="B58" s="370" t="s">
        <v>237</v>
      </c>
      <c r="C58" s="370"/>
      <c r="D58" s="370"/>
      <c r="E58" s="370"/>
      <c r="F58" s="370"/>
    </row>
    <row r="59" spans="2:6">
      <c r="B59" s="47" t="s">
        <v>235</v>
      </c>
      <c r="C59" s="349">
        <f>Normalized_FCF!C14</f>
        <v>-102.03992426434269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342.2407087131574</v>
      </c>
      <c r="D67" s="1" t="str">
        <f>Reporting_currency</f>
        <v>USD</v>
      </c>
    </row>
    <row r="68" spans="1:6">
      <c r="B68" s="47" t="s">
        <v>244</v>
      </c>
      <c r="C68" s="349">
        <f>Normalized_FCF!C19</f>
        <v>273.66800763986708</v>
      </c>
      <c r="D68" s="1" t="str">
        <f>Reporting_currency</f>
        <v>USD</v>
      </c>
    </row>
    <row r="69" spans="1:6">
      <c r="B69" s="227" t="s">
        <v>371</v>
      </c>
      <c r="C69" s="92">
        <f>Normalized_FCF!C126</f>
        <v>9.6290584031846913E-2</v>
      </c>
      <c r="F69" s="314"/>
    </row>
    <row r="70" spans="1:6">
      <c r="B70" s="227" t="s">
        <v>434</v>
      </c>
      <c r="C70" s="92">
        <f>Normalized_FCF!C94</f>
        <v>5.2264448853068815E-2</v>
      </c>
      <c r="E70" s="47" t="s">
        <v>424</v>
      </c>
      <c r="F70" s="315">
        <f>Normalized_FCF!C92</f>
        <v>4.2604847499065448</v>
      </c>
    </row>
    <row r="72" spans="1:6">
      <c r="B72" s="210" t="s">
        <v>427</v>
      </c>
      <c r="C72" s="323" t="s">
        <v>429</v>
      </c>
      <c r="D72" s="323" t="s">
        <v>430</v>
      </c>
    </row>
    <row r="73" spans="1:6">
      <c r="B73" s="47" t="s">
        <v>428</v>
      </c>
      <c r="C73" s="92">
        <f>Normalized_FCF!C121</f>
        <v>0.26418103369409113</v>
      </c>
      <c r="D73" s="92">
        <f>Normalized_FCF!G121</f>
        <v>0.31549560434508567</v>
      </c>
    </row>
    <row r="74" spans="1:6">
      <c r="B74" s="259" t="str">
        <f>Normalized_FCF!B118</f>
        <v>Pre-tax Profit/Sales</v>
      </c>
      <c r="C74" s="322">
        <f>Normalized_FCF!C118</f>
        <v>0.11373786352822013</v>
      </c>
      <c r="D74" s="322">
        <f>Normalized_FCF!G118</f>
        <v>0.13583032623116464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20.708894939115876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13.183883830204273</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326.18005127143761</v>
      </c>
      <c r="D109" s="1" t="str">
        <f>Reporting_currency</f>
        <v>USD</v>
      </c>
    </row>
    <row r="110" spans="2:6">
      <c r="B110" s="47" t="s">
        <v>277</v>
      </c>
      <c r="C110" s="223">
        <f>C109*scaling_factor*Exchange_Rate/Common_Shares</f>
        <v>1.8511923821320304</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9.3762034910436309</v>
      </c>
      <c r="D118" s="1" t="str">
        <f>Market_currency</f>
        <v>HKD</v>
      </c>
    </row>
    <row r="119" spans="1:6">
      <c r="B119" s="296" t="s">
        <v>549</v>
      </c>
      <c r="C119" s="223">
        <f>BS!D47</f>
        <v>-12.277186765755959</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18.605281151290658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0.84302555999999995</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1.4296699279987808</v>
      </c>
    </row>
    <row r="148" spans="2:4">
      <c r="B148" s="212" t="str">
        <f>"+ PV(Equity Value realized at year "&amp;C141&amp;")"</f>
        <v>+ PV(Equity Value realized at year 3)</v>
      </c>
      <c r="C148" s="216">
        <f>Scenarios!C82</f>
        <v>7.5619696799433642</v>
      </c>
    </row>
    <row r="149" spans="2:4">
      <c r="B149" s="80" t="s">
        <v>256</v>
      </c>
      <c r="C149" s="215">
        <f>Scenarios!C83</f>
        <v>8.9916396079421457</v>
      </c>
      <c r="D149" s="300" t="str">
        <f>IF($D$11="","",C149*$E$25)</f>
        <v/>
      </c>
    </row>
    <row r="150" spans="2:4">
      <c r="B150" s="259" t="s">
        <v>395</v>
      </c>
      <c r="C150" s="298" t="str">
        <f>Market_currency</f>
        <v>HKD</v>
      </c>
      <c r="D150" s="298" t="str">
        <f>IF($D$11="","",D$13)</f>
        <v/>
      </c>
    </row>
    <row r="151" spans="2:4">
      <c r="B151" s="214" t="s">
        <v>258</v>
      </c>
      <c r="C151" s="92">
        <f>Scenarios!F83</f>
        <v>0.51671573598776865</v>
      </c>
    </row>
    <row r="153" spans="2:4">
      <c r="B153" s="210" t="s">
        <v>391</v>
      </c>
    </row>
    <row r="154" spans="2:4">
      <c r="B154" s="1" t="s">
        <v>390</v>
      </c>
      <c r="C154" s="297">
        <f>Scenarios!C90</f>
        <v>0.25</v>
      </c>
    </row>
    <row r="155" spans="2:4">
      <c r="B155" s="212" t="str">
        <f>"PV("&amp;C141&amp;" yrs of Dividends)"</f>
        <v>PV(3 yrs of Dividends)</v>
      </c>
      <c r="C155" s="216">
        <f>Scenarios!C91</f>
        <v>1.6455858931199998</v>
      </c>
    </row>
    <row r="156" spans="2:4">
      <c r="B156" s="212" t="str">
        <f>"+ PV(Equity Value realized at year "&amp;C141&amp;")"</f>
        <v>+ PV(Equity Value realized at year 3)</v>
      </c>
      <c r="C156" s="216">
        <f>Scenarios!C92</f>
        <v>9.5259039494608171</v>
      </c>
    </row>
    <row r="157" spans="2:4">
      <c r="B157" s="80" t="s">
        <v>256</v>
      </c>
      <c r="C157" s="215">
        <f>Scenarios!C93</f>
        <v>11.171489842580817</v>
      </c>
      <c r="D157" s="300" t="str">
        <f>IF($D$11="","",C157*$E$25)</f>
        <v/>
      </c>
    </row>
    <row r="158" spans="2:4">
      <c r="B158" s="259" t="s">
        <v>395</v>
      </c>
      <c r="C158" s="298" t="str">
        <f>Market_currency</f>
        <v>HKD</v>
      </c>
      <c r="D158" s="298" t="str">
        <f>IF($D$11="","",D$13)</f>
        <v/>
      </c>
    </row>
    <row r="159" spans="2:4">
      <c r="B159" s="214" t="s">
        <v>258</v>
      </c>
      <c r="C159" s="92">
        <f>Scenarios!F93</f>
        <v>0.39955275323502193</v>
      </c>
    </row>
    <row r="161" spans="2:4">
      <c r="B161" s="210" t="s">
        <v>381</v>
      </c>
    </row>
    <row r="162" spans="2:4">
      <c r="B162" s="1" t="s">
        <v>389</v>
      </c>
      <c r="C162" s="92">
        <f>Scenarios!C96</f>
        <v>7.4999999999999997E-2</v>
      </c>
    </row>
    <row r="163" spans="2:4">
      <c r="B163" s="212" t="str">
        <f>"PV("&amp;C141&amp;" yrs of Dividends)"</f>
        <v>PV(3 yrs of Dividends)</v>
      </c>
      <c r="C163" s="216">
        <f>Scenarios!C97</f>
        <v>2.192309668149973</v>
      </c>
    </row>
    <row r="164" spans="2:4">
      <c r="B164" s="212" t="str">
        <f>"+ PV(Equity Value realized at year "&amp;C141&amp;")"</f>
        <v>+ PV(Equity Value realized at year 3)</v>
      </c>
      <c r="C164" s="216">
        <f>Scenarios!C98</f>
        <v>14.97651771142921</v>
      </c>
    </row>
    <row r="165" spans="2:4">
      <c r="B165" s="80" t="s">
        <v>382</v>
      </c>
      <c r="C165" s="215">
        <f>Scenarios!C99</f>
        <v>17.168827379579184</v>
      </c>
      <c r="D165" s="300" t="str">
        <f>IF($D$11="","",C165*$E$25)</f>
        <v/>
      </c>
    </row>
    <row r="166" spans="2:4">
      <c r="B166" s="259" t="s">
        <v>395</v>
      </c>
      <c r="C166" s="298" t="str">
        <f>Market_currency</f>
        <v>HKD</v>
      </c>
      <c r="D166" s="298" t="str">
        <f>IF($D$11="","",D$13)</f>
        <v/>
      </c>
    </row>
    <row r="167" spans="2:4">
      <c r="B167" s="214" t="s">
        <v>258</v>
      </c>
      <c r="C167" s="92">
        <f>Scenarios!F99</f>
        <v>7.7206775862767696E-2</v>
      </c>
    </row>
    <row r="169" spans="2:4">
      <c r="B169" s="210" t="s">
        <v>408</v>
      </c>
    </row>
    <row r="170" spans="2:4">
      <c r="B170" s="1" t="s">
        <v>399</v>
      </c>
      <c r="C170" s="92">
        <f>F32</f>
        <v>0.1174</v>
      </c>
    </row>
    <row r="171" spans="2:4">
      <c r="B171" s="212" t="str">
        <f>"PV("&amp;C141&amp;" yrs of Dividends)"</f>
        <v>PV(3 yrs of Dividends)</v>
      </c>
      <c r="C171" s="216">
        <f>Scenarios!C103</f>
        <v>2.0338861013021798</v>
      </c>
    </row>
    <row r="172" spans="2:4">
      <c r="B172" s="212" t="str">
        <f>"+ PV(Equity Value realized at year "&amp;C141&amp;")"</f>
        <v>+ PV(Equity Value realized at year 3)</v>
      </c>
      <c r="C172" s="216">
        <f>Scenarios!C104</f>
        <v>13.335528630149991</v>
      </c>
    </row>
    <row r="173" spans="2:4">
      <c r="B173" s="80" t="s">
        <v>382</v>
      </c>
      <c r="C173" s="215">
        <f>Scenarios!C105</f>
        <v>15.369414731452171</v>
      </c>
      <c r="D173" s="300" t="str">
        <f>IF($D$11="","",C173*$E$25)</f>
        <v/>
      </c>
    </row>
    <row r="174" spans="2:4">
      <c r="B174" s="259" t="s">
        <v>395</v>
      </c>
      <c r="C174" s="298" t="str">
        <f>Market_currency</f>
        <v>HKD</v>
      </c>
      <c r="D174" s="298" t="str">
        <f>IF($D$11="","",D$13)</f>
        <v/>
      </c>
    </row>
    <row r="175" spans="2:4">
      <c r="B175" s="214" t="s">
        <v>258</v>
      </c>
      <c r="C175" s="92">
        <f>Scenarios!F105</f>
        <v>0.17160003539281088</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0.84302555999999995</v>
      </c>
      <c r="D25" s="39">
        <f>0.1026*Exchange_Rate</f>
        <v>0.80534843999999994</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0.84302555999999995</v>
      </c>
      <c r="D65" s="73">
        <f t="shared" ref="D65:M65" si="33">IF(D$4="","",D25)</f>
        <v>0.80534843999999994</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8.3779807620092761</v>
      </c>
      <c r="D47" s="147">
        <f>D46*H1/Common_Shares*Exchange_Rate</f>
        <v>-12.277186765755959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326.18005127143761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-343.51319775724681</v>
      </c>
      <c r="D73" s="349">
        <f>(Normalized_FCF!C25+Normalized_FCF!C35-Normalized_FCF!C91)/12</f>
        <v>-350.11994872856235</v>
      </c>
      <c r="F73" s="1" t="s">
        <v>342</v>
      </c>
    </row>
    <row r="74" spans="2:6" ht="15" customHeight="1">
      <c r="B74" s="257" t="s">
        <v>312</v>
      </c>
      <c r="C74" s="258">
        <f>-$C$66/C73</f>
        <v>1.9687744296739544</v>
      </c>
      <c r="D74" s="258">
        <f>-$C$66/D73</f>
        <v>1.9316237262570701</v>
      </c>
      <c r="F74" s="253" t="s">
        <v>310</v>
      </c>
    </row>
    <row r="75" spans="2:6" ht="15" customHeight="1">
      <c r="B75" s="80" t="s">
        <v>311</v>
      </c>
      <c r="C75" s="320"/>
      <c r="D75" s="321">
        <f>MAX(-D73*D76,G5)</f>
        <v>350.11994872856235</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-18234.156200000001</v>
      </c>
      <c r="D86" s="223">
        <f>C86*scaling_factor/Common_Shares</f>
        <v>-13.183883830204273</v>
      </c>
      <c r="E86" s="240" t="str">
        <f>Market_currency</f>
        <v>HKD</v>
      </c>
    </row>
    <row r="87" spans="2:8" ht="15" customHeight="1">
      <c r="B87" s="238" t="s">
        <v>282</v>
      </c>
      <c r="C87" s="76">
        <f>DCF!C8*Exchange_Rate</f>
        <v>2560.3176944500224</v>
      </c>
      <c r="D87" s="223">
        <f>C87*scaling_factor/Common_Shares</f>
        <v>1.8511923821320304</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-15673.838505549978</v>
      </c>
      <c r="D89" s="242">
        <f>SUM(D86:D88)</f>
        <v>-11.332691448072243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-144.95929128684244</v>
      </c>
      <c r="E12" s="268"/>
      <c r="G12" s="328">
        <f>G50</f>
        <v>-144.95929128684244</v>
      </c>
      <c r="H12" s="328">
        <f t="shared" ref="H12:Q12" si="6">H50</f>
        <v>-165.59690186778289</v>
      </c>
      <c r="I12" s="328">
        <f t="shared" si="6"/>
        <v>-133.744247303251</v>
      </c>
      <c r="J12" s="328">
        <f t="shared" si="6"/>
        <v>-167.13628298769359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408.15969705737075</v>
      </c>
      <c r="E13" s="268"/>
      <c r="G13" s="329">
        <f>IF(G$4="","",SUM(G8:G12))</f>
        <v>487.44070871315739</v>
      </c>
      <c r="H13" s="329">
        <f t="shared" ref="H13:Q13" si="7">IF(H$4="","",SUM(H8:H12))</f>
        <v>497.90309813221734</v>
      </c>
      <c r="I13" s="329">
        <f t="shared" si="7"/>
        <v>286.45575269674885</v>
      </c>
      <c r="J13" s="329">
        <f t="shared" si="7"/>
        <v>-53.536282987693454</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-102.03992426434269</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273.66800763986708</v>
      </c>
      <c r="D16" s="61"/>
      <c r="E16" s="276"/>
      <c r="F16" s="61"/>
      <c r="G16" s="329">
        <f>IF(G$4="","",SUM(G13:G15))</f>
        <v>342.2407087131574</v>
      </c>
      <c r="H16" s="329">
        <f t="shared" ref="H16:Q16" si="8">IF(H$4="","",SUM(H13:H15))</f>
        <v>330.0030981322173</v>
      </c>
      <c r="I16" s="329">
        <f t="shared" si="8"/>
        <v>236.55575269674884</v>
      </c>
      <c r="J16" s="329">
        <f t="shared" si="8"/>
        <v>-6.5362829876934505</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273.66800763986708</v>
      </c>
      <c r="D19" s="27"/>
      <c r="E19" s="265"/>
      <c r="F19" s="27"/>
      <c r="G19" s="334">
        <f>IF(G$4="","",G16+G17)</f>
        <v>342.2407087131574</v>
      </c>
      <c r="H19" s="334">
        <f t="shared" ref="H19:Q19" si="9">IF(H$4="","",H16+H17)</f>
        <v>330.0030981322173</v>
      </c>
      <c r="I19" s="334">
        <f t="shared" si="9"/>
        <v>236.55575269674884</v>
      </c>
      <c r="J19" s="334">
        <f t="shared" si="9"/>
        <v>-6.5362829876934505</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0.24269618414168112</v>
      </c>
      <c r="H43" s="6">
        <f t="shared" si="18"/>
        <v>0.27033372659243265</v>
      </c>
      <c r="I43" s="6">
        <f t="shared" si="18"/>
        <v>8.4829855121550835E-2</v>
      </c>
      <c r="J43" s="6">
        <f t="shared" si="18"/>
        <v>1.0497553596113287</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7.040708713157545</v>
      </c>
      <c r="E48" s="268"/>
      <c r="G48" s="337">
        <f>IFERROR(IF(G$4="","",($C$48/$C$49)*G49),0)</f>
        <v>7.0407087131575441</v>
      </c>
      <c r="H48" s="337">
        <f t="shared" ref="H48:Q48" si="19">IFERROR(IF(H$4="","",($C$48/$C$49)*H49),0)</f>
        <v>7.4030981322171243</v>
      </c>
      <c r="I48" s="337">
        <f t="shared" si="19"/>
        <v>4.5557526967489999</v>
      </c>
      <c r="J48" s="337">
        <f t="shared" si="19"/>
        <v>1.8637170123064088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-144.95929128684244</v>
      </c>
      <c r="E50" s="268"/>
      <c r="G50" s="329">
        <f>IF(G$4="","",(G47+G48))</f>
        <v>-144.95929128684244</v>
      </c>
      <c r="H50" s="329">
        <f t="shared" ref="H50:Q50" si="20">IF(H$4="","",(H47+H48))</f>
        <v>-165.59690186778289</v>
      </c>
      <c r="I50" s="329">
        <f t="shared" si="20"/>
        <v>-133.744247303251</v>
      </c>
      <c r="J50" s="329">
        <f t="shared" si="20"/>
        <v>-167.13628298769359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4.0394385355526516E-2</v>
      </c>
      <c r="D80" s="27"/>
      <c r="E80" s="265"/>
      <c r="F80" s="27"/>
      <c r="G80" s="6">
        <f t="shared" ref="G80:Q80" si="31">IF(G$4="","",ABS(G12/G$4))</f>
        <v>4.0394385355526516E-2</v>
      </c>
      <c r="H80" s="6">
        <f t="shared" si="31"/>
        <v>4.4969829966267347E-2</v>
      </c>
      <c r="I80" s="6">
        <f t="shared" si="31"/>
        <v>4.6445425511616546E-2</v>
      </c>
      <c r="J80" s="6">
        <f t="shared" si="31"/>
        <v>8.2707978517267217E-2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0.11373786352822013</v>
      </c>
      <c r="D81" s="27"/>
      <c r="E81" s="265"/>
      <c r="F81" s="27"/>
      <c r="G81" s="65">
        <f t="shared" ref="G81:Q81" si="32">IF(G$4="","",G13/G$4)</f>
        <v>0.13583032623116464</v>
      </c>
      <c r="H81" s="65">
        <f t="shared" si="32"/>
        <v>0.13521157346627671</v>
      </c>
      <c r="I81" s="65">
        <f t="shared" si="32"/>
        <v>9.9477619355726091E-2</v>
      </c>
      <c r="J81" s="65">
        <f t="shared" si="32"/>
        <v>-2.6492618263902146E-2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2.8434465882055032E-2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7.6260382221442088E-2</v>
      </c>
      <c r="D84" s="27"/>
      <c r="E84" s="265"/>
      <c r="F84" s="27"/>
      <c r="G84" s="65">
        <f t="shared" ref="G84:Q84" si="35">IF(G$4="","",ABS(G16/G$4))</f>
        <v>9.5368864937066658E-2</v>
      </c>
      <c r="H84" s="65">
        <f t="shared" si="35"/>
        <v>8.9616309507988615E-2</v>
      </c>
      <c r="I84" s="65">
        <f t="shared" si="35"/>
        <v>8.2148823689661352E-2</v>
      </c>
      <c r="J84" s="65">
        <f t="shared" si="35"/>
        <v>3.2345026661190867E-3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7.6260382221442088E-2</v>
      </c>
      <c r="D87" s="75"/>
      <c r="E87" s="265"/>
      <c r="F87" s="75"/>
      <c r="G87" s="65">
        <f t="shared" ref="G87:Q87" si="36">IF(G$4="","",ABS(G19/G$4))</f>
        <v>9.5368864937066658E-2</v>
      </c>
      <c r="H87" s="65">
        <f t="shared" si="36"/>
        <v>8.9616309507988615E-2</v>
      </c>
      <c r="I87" s="65">
        <f t="shared" si="36"/>
        <v>8.2148823689661352E-2</v>
      </c>
      <c r="J87" s="65">
        <f t="shared" si="36"/>
        <v>3.2345026661190867E-3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0.84302555999999995</v>
      </c>
      <c r="E90" s="268"/>
      <c r="G90" s="112">
        <f>Data!C65</f>
        <v>0.84302555999999995</v>
      </c>
      <c r="H90" s="112">
        <f>Data!D65</f>
        <v>0.80534843999999994</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1165.9583730869615</v>
      </c>
      <c r="E91" s="268"/>
      <c r="G91" s="74">
        <f t="shared" ref="G91:Q91" si="37">IF(G$4="","",G90*Common_Shares/scaling_factor)</f>
        <v>1165.9583730869615</v>
      </c>
      <c r="H91" s="74">
        <f t="shared" si="37"/>
        <v>1113.8485016640805</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4.2604847499065448</v>
      </c>
      <c r="E92" s="268"/>
      <c r="G92" s="170">
        <f t="shared" ref="G92:Q92" si="38">IF(G$4="","",G90/(G19*scaling_factor/Common_Shares))</f>
        <v>3.4068371862337026</v>
      </c>
      <c r="H92" s="170">
        <f t="shared" si="38"/>
        <v>3.3752668019432104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5.2264448853068815E-2</v>
      </c>
      <c r="E94" s="268"/>
      <c r="G94" s="23">
        <f t="shared" ref="G94:Q94" si="39">IF(G$4="","",(G90*(1-dividend_tax_rate))/Market_Price)</f>
        <v>5.2264448853068815E-2</v>
      </c>
      <c r="H94" s="23">
        <f t="shared" si="39"/>
        <v>4.9928607563546189E-2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-0.16264749791844091</v>
      </c>
      <c r="D98" s="27"/>
      <c r="E98" s="265"/>
      <c r="F98" s="27"/>
      <c r="G98" s="6">
        <f t="shared" ref="G98:Q98" si="41">IF(H5="","",G13/H13-1)</f>
        <v>-2.1012902828497104E-2</v>
      </c>
      <c r="H98" s="6">
        <f t="shared" si="41"/>
        <v>0.7381501102521526</v>
      </c>
      <c r="I98" s="6">
        <f t="shared" si="41"/>
        <v>-6.3506843716176054</v>
      </c>
      <c r="J98" s="6">
        <f t="shared" si="41"/>
        <v>-0.82818907898686311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165.03004628633366</v>
      </c>
      <c r="H115" s="295">
        <f>IF(H$4="","",Data!D$22/H19)</f>
        <v>161.87726812975865</v>
      </c>
      <c r="I115" s="295">
        <f>IF(I$4="","",Data!E$22/I19)</f>
        <v>117.39304448706254</v>
      </c>
      <c r="J115" s="295">
        <f>IF(J$4="","",Data!F$22/J19)</f>
        <v>-5922.3262017393372</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0.11373786352822013</v>
      </c>
      <c r="E118" s="268"/>
      <c r="G118" s="23">
        <f t="shared" ref="G118:Q118" si="45">IF(G4="","",IF(valuation_method="DDM",G13/(G4+G12),G81))</f>
        <v>0.13583032623116464</v>
      </c>
      <c r="H118" s="23">
        <f t="shared" si="45"/>
        <v>0.13521157346627671</v>
      </c>
      <c r="I118" s="23">
        <f t="shared" si="45"/>
        <v>9.9477619355726091E-2</v>
      </c>
      <c r="J118" s="23">
        <f t="shared" si="45"/>
        <v>-2.6492618263902146E-2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0.26418103369409113</v>
      </c>
      <c r="D121" s="103"/>
      <c r="E121" s="271"/>
      <c r="F121" s="103"/>
      <c r="G121" s="102">
        <f t="shared" ref="G121:Q121" si="48">IF(G$4="","",G13/G106)</f>
        <v>0.31549560434508567</v>
      </c>
      <c r="H121" s="102">
        <f t="shared" si="48"/>
        <v>0.32806424071438184</v>
      </c>
      <c r="I121" s="102">
        <f t="shared" si="48"/>
        <v>0.26533508030450986</v>
      </c>
      <c r="J121" s="102">
        <f t="shared" si="48"/>
        <v>-7.3680543610918595E-2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1.5531671204336903</v>
      </c>
      <c r="D125" s="27"/>
      <c r="E125" s="265"/>
      <c r="F125" s="27"/>
      <c r="G125" s="177">
        <f t="shared" ref="G125:Q125" si="49">IF(G$4="","",G16*$C$3/Common_Shares*Exchange_Rate)</f>
        <v>1.9423425508571015</v>
      </c>
      <c r="H125" s="177">
        <f t="shared" si="49"/>
        <v>1.8728895864755288</v>
      </c>
      <c r="I125" s="177">
        <f t="shared" si="49"/>
        <v>1.3425413529575843</v>
      </c>
      <c r="J125" s="177">
        <f t="shared" si="49"/>
        <v>-3.7095822467107603E-2</v>
      </c>
      <c r="K125" s="177">
        <f t="shared" si="49"/>
        <v>-1.2326903004392453</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9.6290584031846913E-2</v>
      </c>
      <c r="D126" s="27"/>
      <c r="E126" s="265"/>
      <c r="F126" s="27"/>
      <c r="G126" s="77">
        <f t="shared" ref="G126" si="50">IF(G$4="","",G125/Market_Price)</f>
        <v>0.12041801307235596</v>
      </c>
      <c r="H126" s="77">
        <f t="shared" ref="H126" si="51">IF(H$4="","",H125/Market_Price)</f>
        <v>0.11611218763022498</v>
      </c>
      <c r="I126" s="77">
        <f t="shared" ref="I126" si="52">IF(I$4="","",I125/Market_Price)</f>
        <v>8.323256992917448E-2</v>
      </c>
      <c r="J126" s="77">
        <f t="shared" ref="J126" si="53">IF(J$4="","",J125/Market_Price)</f>
        <v>-2.2998030047803849E-3</v>
      </c>
      <c r="K126" s="77">
        <f t="shared" ref="K126" si="54">IF(K$4="","",K125/Market_Price)</f>
        <v>-7.6422213294435548E-2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1.6701911570903932E-2</v>
      </c>
      <c r="H127" s="23">
        <f>IF(H$4="","",(Data!D47*$C$3)/(Market_Price*Common_Shares))</f>
        <v>2.0184838379973268E-2</v>
      </c>
      <c r="I127" s="23">
        <f>IF(I$4="","",(Data!E47*$C$3)/(Market_Price*Common_Shares))</f>
        <v>1.5164403339873322E-2</v>
      </c>
      <c r="J127" s="23">
        <f>IF(J$4="","",(Data!F47*$C$3)/(Market_Price*Common_Shares))</f>
        <v>1.053394852163828E-3</v>
      </c>
      <c r="K127" s="23">
        <f>IF(K$4="","",(Data!G47*$C$3)/(Market_Price*Common_Shares))</f>
        <v>-5.773500296114939E-2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273.66800763986708</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3648.9067685315613</v>
      </c>
      <c r="D6" t="str">
        <f>Reporting_currency</f>
        <v>USD</v>
      </c>
      <c r="E6" s="378" t="s">
        <v>245</v>
      </c>
      <c r="F6" s="378"/>
      <c r="H6" s="120"/>
    </row>
    <row r="7" spans="2:8">
      <c r="B7" s="148" t="s">
        <v>220</v>
      </c>
      <c r="C7" s="338">
        <f>BS!G31</f>
        <v>2323</v>
      </c>
      <c r="D7" t="str">
        <f>Reporting_currency</f>
        <v>USD</v>
      </c>
      <c r="E7" s="378"/>
      <c r="F7" s="378"/>
      <c r="H7" s="120"/>
    </row>
    <row r="8" spans="2:8">
      <c r="B8" s="148" t="s">
        <v>221</v>
      </c>
      <c r="C8" s="338">
        <f>BS!D66</f>
        <v>326.18005127143761</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1652.0868198029989</v>
      </c>
      <c r="D10" t="str">
        <f>Reporting_currency</f>
        <v>USD</v>
      </c>
      <c r="H10" s="120"/>
    </row>
    <row r="11" spans="2:8" ht="13.15" thickBot="1">
      <c r="B11" s="207" t="s">
        <v>162</v>
      </c>
      <c r="C11" s="208">
        <f>Exchange_Rate</f>
        <v>7.8494000000000002</v>
      </c>
      <c r="D11" t="str">
        <f>Thesis!C15</f>
        <v>USD/HKD</v>
      </c>
      <c r="H11" s="120"/>
    </row>
    <row r="12" spans="2:8" ht="13.5" thickTop="1">
      <c r="B12" s="149" t="s">
        <v>99</v>
      </c>
      <c r="C12" s="111">
        <f>(C10*scaling_factor)/Common_Shares*Exchange_Rate</f>
        <v>9.3762034910436309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18.553133013157531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304.10311282323727</v>
      </c>
      <c r="D21" s="138">
        <f>IF($C$17&lt;B21,0,DCF!$C$16)</f>
        <v>0.111211776070739</v>
      </c>
      <c r="E21" s="124">
        <f t="shared" ref="E21:E50" si="0">IF($C$17&lt;B21,0,1/(1+Equity_Cost)^B21)</f>
        <v>0.93023255813953487</v>
      </c>
      <c r="F21" s="125">
        <f t="shared" ref="F21:F51" si="1">C21*E21</f>
        <v>282.88661657975558</v>
      </c>
      <c r="H21" s="120"/>
    </row>
    <row r="22" spans="2:17">
      <c r="B22" s="122">
        <v>2</v>
      </c>
      <c r="C22" s="123">
        <f t="shared" ref="C22:C50" si="2">IF(ROW()-ROW($C$21)&lt;$C$17, $C$21*(1+D22)^(ROW()-ROW($C$21)), 0)</f>
        <v>337.92296010894978</v>
      </c>
      <c r="D22" s="138">
        <f>IF($C$17&lt;B22,0,DCF!$C$16)</f>
        <v>0.111211776070739</v>
      </c>
      <c r="E22" s="124">
        <f t="shared" si="0"/>
        <v>0.86533261222282321</v>
      </c>
      <c r="F22" s="125">
        <f t="shared" si="1"/>
        <v>292.41575780114641</v>
      </c>
      <c r="H22" s="120"/>
    </row>
    <row r="23" spans="2:17">
      <c r="B23" s="122">
        <v>3</v>
      </c>
      <c r="C23" s="123">
        <f t="shared" si="2"/>
        <v>375.50397267774758</v>
      </c>
      <c r="D23" s="138">
        <f>IF($C$17&lt;B23,0,DCF!$C$16)</f>
        <v>0.111211776070739</v>
      </c>
      <c r="E23" s="124">
        <f t="shared" si="0"/>
        <v>0.80496056950960304</v>
      </c>
      <c r="F23" s="125">
        <f t="shared" si="1"/>
        <v>302.26589169979809</v>
      </c>
      <c r="G23" s="338"/>
      <c r="H23" s="339"/>
      <c r="I23" s="338"/>
      <c r="J23" s="338"/>
      <c r="K23" s="338"/>
      <c r="L23" s="338"/>
      <c r="M23" s="338"/>
      <c r="N23" s="338"/>
      <c r="O23" s="338"/>
      <c r="P23" s="338"/>
      <c r="Q23" s="338"/>
    </row>
    <row r="24" spans="2:17">
      <c r="B24" s="122">
        <v>4</v>
      </c>
      <c r="C24" s="123">
        <f t="shared" si="2"/>
        <v>417.26443640085813</v>
      </c>
      <c r="D24" s="138">
        <f>IF($C$17&lt;B24,0,DCF!$C$16)</f>
        <v>0.111211776070739</v>
      </c>
      <c r="E24" s="124">
        <f t="shared" si="0"/>
        <v>0.7488005297763749</v>
      </c>
      <c r="F24" s="125">
        <f t="shared" si="1"/>
        <v>312.44783103380308</v>
      </c>
      <c r="G24" s="338"/>
      <c r="H24" s="339"/>
      <c r="I24" s="338"/>
      <c r="J24" s="338"/>
      <c r="K24" s="338"/>
      <c r="L24" s="338"/>
      <c r="M24" s="338"/>
      <c r="N24" s="338"/>
      <c r="O24" s="338"/>
      <c r="P24" s="338"/>
      <c r="Q24" s="338"/>
    </row>
    <row r="25" spans="2:17">
      <c r="B25" s="122">
        <v>5</v>
      </c>
      <c r="C25" s="123">
        <f t="shared" si="2"/>
        <v>463.6691554641535</v>
      </c>
      <c r="D25" s="138">
        <f>IF($C$17&lt;B25,0,DCF!$C$16)</f>
        <v>0.111211776070739</v>
      </c>
      <c r="E25" s="124">
        <f t="shared" si="0"/>
        <v>0.69655863235011617</v>
      </c>
      <c r="F25" s="125">
        <f t="shared" si="1"/>
        <v>322.97275279304415</v>
      </c>
      <c r="G25" s="338"/>
      <c r="H25" s="339"/>
      <c r="I25" s="338"/>
      <c r="J25" s="338"/>
      <c r="K25" s="338"/>
      <c r="L25" s="338"/>
      <c r="M25" s="338"/>
      <c r="N25" s="338"/>
      <c r="O25" s="338"/>
      <c r="P25" s="338"/>
      <c r="Q25" s="338"/>
    </row>
    <row r="26" spans="2:17">
      <c r="B26" s="122">
        <v>6</v>
      </c>
      <c r="C26" s="123">
        <f t="shared" si="2"/>
        <v>515.23462575254166</v>
      </c>
      <c r="D26" s="138">
        <f>IF($C$17&lt;B26,0,DCF!$C$16)</f>
        <v>0.111211776070739</v>
      </c>
      <c r="E26" s="124">
        <f t="shared" si="0"/>
        <v>0.64796151846522443</v>
      </c>
      <c r="F26" s="125">
        <f t="shared" si="1"/>
        <v>333.85221046847852</v>
      </c>
      <c r="H26" s="120"/>
    </row>
    <row r="27" spans="2:17">
      <c r="B27" s="122">
        <v>7</v>
      </c>
      <c r="C27" s="123">
        <f t="shared" si="2"/>
        <v>572.53478357562426</v>
      </c>
      <c r="D27" s="138">
        <f>IF($C$17&lt;B27,0,DCF!$C$16)</f>
        <v>0.111211776070739</v>
      </c>
      <c r="E27" s="124">
        <f t="shared" si="0"/>
        <v>0.60275490089788319</v>
      </c>
      <c r="F27" s="125">
        <f t="shared" si="1"/>
        <v>345.09814673471641</v>
      </c>
      <c r="H27" s="120"/>
    </row>
    <row r="28" spans="2:17">
      <c r="B28" s="122">
        <v>8</v>
      </c>
      <c r="C28" s="123">
        <f t="shared" si="2"/>
        <v>636.20739371934553</v>
      </c>
      <c r="D28" s="138">
        <f>IF($C$17&lt;B28,0,DCF!$C$16)</f>
        <v>0.111211776070739</v>
      </c>
      <c r="E28" s="124">
        <f t="shared" si="0"/>
        <v>0.56070223339337966</v>
      </c>
      <c r="F28" s="125">
        <f t="shared" si="1"/>
        <v>356.72290655981828</v>
      </c>
      <c r="H28" s="120"/>
    </row>
    <row r="29" spans="2:17">
      <c r="B29" s="122">
        <v>9</v>
      </c>
      <c r="C29" s="123">
        <f t="shared" si="2"/>
        <v>706.96114792420997</v>
      </c>
      <c r="D29" s="138">
        <f>IF($C$17&lt;B29,0,DCF!$C$16)</f>
        <v>0.111211776070739</v>
      </c>
      <c r="E29" s="124">
        <f t="shared" si="0"/>
        <v>0.52158347292407414</v>
      </c>
      <c r="F29" s="125">
        <f t="shared" si="1"/>
        <v>368.73925075669956</v>
      </c>
      <c r="H29" s="120"/>
    </row>
    <row r="30" spans="2:17">
      <c r="B30" s="122">
        <v>10</v>
      </c>
      <c r="C30" s="123">
        <f t="shared" si="2"/>
        <v>785.58355279786974</v>
      </c>
      <c r="D30" s="138">
        <f>IF($C$17&lt;B30,0,DCF!$C$16)</f>
        <v>0.111211776070739</v>
      </c>
      <c r="E30" s="124">
        <f t="shared" si="0"/>
        <v>0.48519392830146441</v>
      </c>
      <c r="F30" s="125">
        <f t="shared" si="1"/>
        <v>381.16036999101931</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4054.7081709764971</v>
      </c>
      <c r="D51" s="139">
        <f>Terminal_Growth</f>
        <v>0</v>
      </c>
      <c r="E51" s="124">
        <f>1/(1+Equity_Cost)^C17</f>
        <v>0.48519392830146441</v>
      </c>
      <c r="F51" s="125">
        <f t="shared" si="1"/>
        <v>1967.3197855921323</v>
      </c>
      <c r="H51" s="120"/>
    </row>
    <row r="52" spans="1:17">
      <c r="C52" s="114"/>
      <c r="E52" s="127" t="s">
        <v>97</v>
      </c>
      <c r="F52" s="137">
        <f>SUM(F21:F51)</f>
        <v>5265.8815200104118</v>
      </c>
      <c r="H52" s="120"/>
    </row>
    <row r="53" spans="1:17">
      <c r="C53" s="114"/>
      <c r="H53" s="120"/>
    </row>
    <row r="54" spans="1:17" ht="13.15">
      <c r="B54" s="119" t="s">
        <v>125</v>
      </c>
      <c r="C54" s="136"/>
      <c r="D54" s="136"/>
      <c r="E54" s="117"/>
      <c r="F54" s="117"/>
      <c r="H54" s="120"/>
    </row>
    <row r="55" spans="1:17" ht="13.15">
      <c r="A55" s="133">
        <f>F52</f>
        <v>5265.8815200104118</v>
      </c>
      <c r="B55" s="131">
        <f>C78</f>
        <v>0</v>
      </c>
      <c r="C55" s="131">
        <f>C77</f>
        <v>0.02</v>
      </c>
      <c r="D55" s="131">
        <f>C76</f>
        <v>0.06</v>
      </c>
      <c r="E55" s="131">
        <f>C75</f>
        <v>0.15</v>
      </c>
      <c r="F55" s="131">
        <f>C74</f>
        <v>0.25</v>
      </c>
      <c r="H55" s="120"/>
    </row>
    <row r="56" spans="1:17" ht="13.15">
      <c r="A56" s="143">
        <v>5</v>
      </c>
      <c r="B56" s="123">
        <f t="dataTable" ref="B56:F61" dt2D="1" dtr="1" r1="C16" r2="C17"/>
        <v>3648.9067685315617</v>
      </c>
      <c r="C56" s="123">
        <v>3764.6154387124861</v>
      </c>
      <c r="D56" s="123">
        <v>4006.2934186741863</v>
      </c>
      <c r="E56" s="123">
        <v>4605.7408739203602</v>
      </c>
      <c r="F56" s="123">
        <v>5377.6383625557719</v>
      </c>
      <c r="H56" s="120"/>
    </row>
    <row r="57" spans="1:17" ht="13.15">
      <c r="A57" s="143">
        <v>10</v>
      </c>
      <c r="B57" s="123">
        <v>3648.9067685315622</v>
      </c>
      <c r="C57" s="123">
        <v>3879.3554326243693</v>
      </c>
      <c r="D57" s="123">
        <v>4411.8599357963449</v>
      </c>
      <c r="E57" s="123">
        <v>6076.4699816982793</v>
      </c>
      <c r="F57" s="123">
        <v>9091.3289178627329</v>
      </c>
      <c r="H57" s="120"/>
    </row>
    <row r="58" spans="1:17" ht="13.15">
      <c r="A58" s="143">
        <v>15</v>
      </c>
      <c r="B58" s="123">
        <v>3648.9067685315622</v>
      </c>
      <c r="C58" s="341">
        <v>4024.6297017043771</v>
      </c>
      <c r="D58" s="123">
        <v>4982.5137756141003</v>
      </c>
      <c r="E58" s="123">
        <v>8761.8235213722946</v>
      </c>
      <c r="F58" s="123">
        <v>18363.434846120039</v>
      </c>
      <c r="G58" s="338"/>
      <c r="H58" s="339"/>
      <c r="I58" s="338"/>
      <c r="J58" s="338"/>
      <c r="K58" s="338"/>
      <c r="L58" s="338"/>
      <c r="M58" s="338"/>
      <c r="N58" s="338"/>
      <c r="O58" s="338"/>
      <c r="P58" s="338"/>
      <c r="Q58" s="338"/>
    </row>
    <row r="59" spans="1:17" ht="13.15">
      <c r="A59" s="144">
        <v>20</v>
      </c>
      <c r="B59" s="123">
        <v>3648.9067685315626</v>
      </c>
      <c r="C59" s="341">
        <v>4176.08049730315</v>
      </c>
      <c r="D59" s="123">
        <v>5648.6101782539936</v>
      </c>
      <c r="E59" s="123">
        <v>12959.303749078477</v>
      </c>
      <c r="F59" s="123">
        <v>39033.13709719351</v>
      </c>
      <c r="G59" s="338"/>
      <c r="H59" s="339"/>
      <c r="I59" s="338"/>
      <c r="J59" s="338"/>
      <c r="K59" s="338"/>
      <c r="L59" s="338"/>
      <c r="M59" s="338"/>
      <c r="N59" s="338"/>
      <c r="O59" s="338"/>
      <c r="P59" s="338"/>
      <c r="Q59" s="338"/>
    </row>
    <row r="60" spans="1:17" ht="13.15">
      <c r="A60" s="144">
        <v>25</v>
      </c>
      <c r="B60" s="123">
        <v>3648.9067685315626</v>
      </c>
      <c r="C60" s="341">
        <v>4320.2267001186274</v>
      </c>
      <c r="D60" s="123">
        <v>6362.963931768254</v>
      </c>
      <c r="E60" s="123">
        <v>19143.251111949128</v>
      </c>
      <c r="F60" s="123">
        <v>83639.811618926833</v>
      </c>
      <c r="G60" s="338"/>
      <c r="H60" s="339"/>
      <c r="I60" s="338"/>
      <c r="J60" s="338"/>
      <c r="K60" s="338"/>
      <c r="L60" s="338"/>
      <c r="M60" s="338"/>
      <c r="N60" s="338"/>
      <c r="O60" s="338"/>
      <c r="P60" s="338"/>
      <c r="Q60" s="338"/>
    </row>
    <row r="61" spans="1:17" ht="13.15">
      <c r="A61" s="144">
        <v>30</v>
      </c>
      <c r="B61" s="123">
        <v>3648.9067685315626</v>
      </c>
      <c r="C61" s="341">
        <v>4450.3584535724967</v>
      </c>
      <c r="D61" s="123">
        <v>7093.944220203839</v>
      </c>
      <c r="E61" s="123">
        <v>28018.303946958342</v>
      </c>
      <c r="F61" s="123">
        <v>178927.13233152669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9.3762034910436309</v>
      </c>
      <c r="C65" s="124">
        <f>C12</f>
        <v>9.3762034910436309</v>
      </c>
      <c r="D65" s="124">
        <f>C12</f>
        <v>9.3762034910436309</v>
      </c>
      <c r="E65" s="141">
        <f>C12</f>
        <v>9.3762034910436309</v>
      </c>
      <c r="F65" s="124">
        <f>C12</f>
        <v>9.3762034910436309</v>
      </c>
      <c r="H65" s="120"/>
    </row>
    <row r="66" spans="1:8" ht="13.15">
      <c r="A66" s="143">
        <f t="shared" ref="A66:A71" si="3">A56</f>
        <v>5</v>
      </c>
      <c r="B66" s="124">
        <f t="shared" ref="B66:F71" si="4">(B56-$C$7+$C$8+$C$9)/Common_Shares*$C$3*Exchange_Rate</f>
        <v>9.3762034910436363</v>
      </c>
      <c r="C66" s="124">
        <f t="shared" si="4"/>
        <v>10.03289297266771</v>
      </c>
      <c r="D66" s="124">
        <f t="shared" si="4"/>
        <v>11.404504859079029</v>
      </c>
      <c r="E66" s="124">
        <f t="shared" si="4"/>
        <v>14.806590787739006</v>
      </c>
      <c r="F66" s="124">
        <f t="shared" si="4"/>
        <v>19.187394411930004</v>
      </c>
      <c r="H66" s="120"/>
    </row>
    <row r="67" spans="1:8" ht="13.15">
      <c r="A67" s="143">
        <f t="shared" si="3"/>
        <v>10</v>
      </c>
      <c r="B67" s="124">
        <f t="shared" si="4"/>
        <v>9.376203491043638</v>
      </c>
      <c r="C67" s="124">
        <f t="shared" si="4"/>
        <v>10.684084858338228</v>
      </c>
      <c r="D67" s="124">
        <f t="shared" si="4"/>
        <v>13.706244784674849</v>
      </c>
      <c r="E67" s="124">
        <f t="shared" si="4"/>
        <v>23.153522213758841</v>
      </c>
      <c r="F67" s="124">
        <f t="shared" si="4"/>
        <v>40.263961292039248</v>
      </c>
      <c r="H67" s="120"/>
    </row>
    <row r="68" spans="1:8" ht="13.15">
      <c r="A68" s="143">
        <f t="shared" si="3"/>
        <v>15</v>
      </c>
      <c r="B68" s="124">
        <f t="shared" si="4"/>
        <v>9.376203491043638</v>
      </c>
      <c r="C68" s="124">
        <f t="shared" si="4"/>
        <v>11.508570044334208</v>
      </c>
      <c r="D68" s="124">
        <f t="shared" si="4"/>
        <v>16.944916300566923</v>
      </c>
      <c r="E68" s="124">
        <f t="shared" si="4"/>
        <v>38.393896346384778</v>
      </c>
      <c r="F68" s="124">
        <f t="shared" si="4"/>
        <v>92.886590400731762</v>
      </c>
      <c r="H68" s="120"/>
    </row>
    <row r="69" spans="1:8" ht="13.15">
      <c r="A69" s="144">
        <f t="shared" si="3"/>
        <v>20</v>
      </c>
      <c r="B69" s="124">
        <f t="shared" si="4"/>
        <v>9.3762034910436398</v>
      </c>
      <c r="C69" s="124">
        <f t="shared" si="4"/>
        <v>12.36810930183151</v>
      </c>
      <c r="D69" s="124">
        <f t="shared" si="4"/>
        <v>20.725259646292848</v>
      </c>
      <c r="E69" s="124">
        <f t="shared" si="4"/>
        <v>62.216148477963635</v>
      </c>
      <c r="F69" s="124">
        <f t="shared" si="4"/>
        <v>210.19479241668719</v>
      </c>
      <c r="H69" s="120"/>
    </row>
    <row r="70" spans="1:8" ht="13.15">
      <c r="A70" s="144">
        <f t="shared" si="3"/>
        <v>25</v>
      </c>
      <c r="B70" s="124">
        <f t="shared" si="4"/>
        <v>9.3762034910436398</v>
      </c>
      <c r="C70" s="124">
        <f t="shared" si="4"/>
        <v>13.186192294721875</v>
      </c>
      <c r="D70" s="124">
        <f t="shared" si="4"/>
        <v>24.779481299328744</v>
      </c>
      <c r="E70" s="124">
        <f t="shared" si="4"/>
        <v>97.312336013127094</v>
      </c>
      <c r="F70" s="124">
        <f t="shared" si="4"/>
        <v>463.35416174353384</v>
      </c>
    </row>
    <row r="71" spans="1:8" ht="13.15">
      <c r="A71" s="144">
        <f t="shared" si="3"/>
        <v>30</v>
      </c>
      <c r="B71" s="124">
        <f t="shared" si="4"/>
        <v>9.3762034910436398</v>
      </c>
      <c r="C71" s="124">
        <f t="shared" si="4"/>
        <v>13.924738106239998</v>
      </c>
      <c r="D71" s="124">
        <f t="shared" si="4"/>
        <v>28.92806468499554</v>
      </c>
      <c r="E71" s="124">
        <f t="shared" si="4"/>
        <v>147.68154202418458</v>
      </c>
      <c r="F71" s="124">
        <f t="shared" si="4"/>
        <v>1004.1449352116069</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92.886590400731762</v>
      </c>
      <c r="F74" s="142">
        <f>Scenarios!C58</f>
        <v>0.05</v>
      </c>
    </row>
    <row r="75" spans="1:8">
      <c r="B75" s="127" t="str">
        <f>Scenarios!B36</f>
        <v>Optimistic</v>
      </c>
      <c r="C75" s="142">
        <f>Scenarios!C38</f>
        <v>0.15</v>
      </c>
      <c r="D75" s="145">
        <f>Scenarios!C37</f>
        <v>10</v>
      </c>
      <c r="E75" s="135">
        <f>INDEX(B$65:F$71, MATCH(D75, A$65:A$71, 0), MATCH(C75, B$64:F$64, 0))</f>
        <v>23.153522213758841</v>
      </c>
      <c r="F75" s="142">
        <f>Scenarios!C40*(1-F$74-F$78)</f>
        <v>0.18</v>
      </c>
      <c r="H75" s="120"/>
    </row>
    <row r="76" spans="1:8">
      <c r="B76" s="127" t="str">
        <f>Scenarios!B24</f>
        <v>Base</v>
      </c>
      <c r="C76" s="142">
        <f>Scenarios!C26</f>
        <v>0.06</v>
      </c>
      <c r="D76" s="145">
        <f>Scenarios!C25</f>
        <v>10</v>
      </c>
      <c r="E76" s="135">
        <f>INDEX(B$65:F$71, MATCH(D76, A$65:A$71, 0), MATCH(C76, B$64:F$64, 0))</f>
        <v>13.706244784674849</v>
      </c>
      <c r="F76" s="142">
        <f>Scenarios!C28*(1-F$74-F$78)</f>
        <v>0.53999999999999992</v>
      </c>
      <c r="H76" s="120"/>
    </row>
    <row r="77" spans="1:8">
      <c r="B77" s="127" t="str">
        <f>Scenarios!B30</f>
        <v>Pessimistic</v>
      </c>
      <c r="C77" s="142">
        <f>Scenarios!C32</f>
        <v>0.02</v>
      </c>
      <c r="D77" s="145">
        <f>Scenarios!C31</f>
        <v>10</v>
      </c>
      <c r="E77" s="135">
        <f>INDEX(B$65:F$71, MATCH(D77, A$65:A$71, 0), MATCH(C77, B$64:F$64, 0))</f>
        <v>10.684084858338228</v>
      </c>
      <c r="F77" s="142">
        <f>Scenarios!C34*(1-F$74-F$78)</f>
        <v>0.18</v>
      </c>
      <c r="H77" s="120"/>
    </row>
    <row r="78" spans="1:8">
      <c r="B78" s="127" t="str">
        <f>Scenarios!B48</f>
        <v>Devil's advocate</v>
      </c>
      <c r="C78" s="142">
        <f>Scenarios!C50</f>
        <v>0</v>
      </c>
      <c r="D78" s="145">
        <f>Scenarios!C49</f>
        <v>15</v>
      </c>
      <c r="E78" s="135">
        <f>INDEX(B$65:F$71, MATCH(D78, A$65:A$71, 0), MATCH(C78, B$64:F$64, 0))</f>
        <v>9.376203491043638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1165.9583730869615</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15546.111641159487</v>
      </c>
      <c r="D6" t="str">
        <f>Reporting_currency</f>
        <v>USD</v>
      </c>
      <c r="E6" s="378"/>
      <c r="F6" s="378"/>
      <c r="H6" s="120"/>
    </row>
    <row r="7" spans="2:8" ht="13.15">
      <c r="B7" s="149" t="s">
        <v>420</v>
      </c>
      <c r="C7" s="111">
        <f>(C6*scaling_factor)/Common_Shares*Exchange_Rate</f>
        <v>88.22993107552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16.221379895973374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1295.6266745825117</v>
      </c>
      <c r="D16" s="138">
        <f>IF($C$12&lt;B16,0,DDM!$C$11)</f>
        <v>0.111211776070739</v>
      </c>
      <c r="E16" s="124">
        <f t="shared" ref="E16:E45" si="0">IF($C$12&lt;B16,0,1/(1+Equity_Cost)^B16)</f>
        <v>0.93023255813953487</v>
      </c>
      <c r="F16" s="125">
        <f t="shared" ref="F16:F46" si="1">C16*E16</f>
        <v>1205.2341158907086</v>
      </c>
      <c r="H16" s="120"/>
    </row>
    <row r="17" spans="2:8">
      <c r="B17" s="122">
        <v>2</v>
      </c>
      <c r="C17" s="123">
        <f t="shared" ref="C17:C45" si="2">IF(ROW()-ROW($C$16)&lt;$C$12, $C$16*(1+D17)^(ROW()-ROW($C$16)), 0)</f>
        <v>1439.7156181874582</v>
      </c>
      <c r="D17" s="138">
        <f>IF($C$12&lt;B17,0,DDM!$C$11)</f>
        <v>0.111211776070739</v>
      </c>
      <c r="E17" s="124">
        <f t="shared" si="0"/>
        <v>0.86533261222282321</v>
      </c>
      <c r="F17" s="125">
        <f t="shared" si="1"/>
        <v>1245.8328767441499</v>
      </c>
      <c r="H17" s="120"/>
    </row>
    <row r="18" spans="2:8">
      <c r="B18" s="122">
        <v>3</v>
      </c>
      <c r="C18" s="123">
        <f t="shared" si="2"/>
        <v>1599.8289491228672</v>
      </c>
      <c r="D18" s="138">
        <f>IF($C$12&lt;B18,0,DDM!$C$11)</f>
        <v>0.111211776070739</v>
      </c>
      <c r="E18" s="124">
        <f t="shared" si="0"/>
        <v>0.80496056950960304</v>
      </c>
      <c r="F18" s="125">
        <f t="shared" si="1"/>
        <v>1287.799222003893</v>
      </c>
      <c r="H18" s="120"/>
    </row>
    <row r="19" spans="2:8">
      <c r="B19" s="122">
        <v>4</v>
      </c>
      <c r="C19" s="123">
        <f t="shared" si="2"/>
        <v>1777.7487679642052</v>
      </c>
      <c r="D19" s="138">
        <f>IF($C$12&lt;B19,0,DDM!$C$11)</f>
        <v>0.111211776070739</v>
      </c>
      <c r="E19" s="124">
        <f t="shared" si="0"/>
        <v>0.7488005297763749</v>
      </c>
      <c r="F19" s="125">
        <f t="shared" si="1"/>
        <v>1331.1792192608946</v>
      </c>
      <c r="H19" s="120"/>
    </row>
    <row r="20" spans="2:8">
      <c r="B20" s="122">
        <v>5</v>
      </c>
      <c r="C20" s="123">
        <f t="shared" si="2"/>
        <v>1975.4553658570726</v>
      </c>
      <c r="D20" s="138">
        <f>IF($C$12&lt;B20,0,DDM!$C$11)</f>
        <v>0.111211776070739</v>
      </c>
      <c r="E20" s="124">
        <f t="shared" si="0"/>
        <v>0.69655863235011617</v>
      </c>
      <c r="F20" s="125">
        <f t="shared" si="1"/>
        <v>1376.0204879101009</v>
      </c>
      <c r="H20" s="120"/>
    </row>
    <row r="21" spans="2:8">
      <c r="B21" s="122">
        <v>6</v>
      </c>
      <c r="C21" s="123">
        <f t="shared" si="2"/>
        <v>2195.1492656425094</v>
      </c>
      <c r="D21" s="138">
        <f>IF($C$12&lt;B21,0,DDM!$C$11)</f>
        <v>0.111211776070739</v>
      </c>
      <c r="E21" s="124">
        <f t="shared" si="0"/>
        <v>0.64796151846522443</v>
      </c>
      <c r="F21" s="125">
        <f t="shared" si="1"/>
        <v>1422.3722514235426</v>
      </c>
      <c r="H21" s="120"/>
    </row>
    <row r="22" spans="2:8">
      <c r="B22" s="122">
        <v>7</v>
      </c>
      <c r="C22" s="123">
        <f t="shared" si="2"/>
        <v>2439.2757142149912</v>
      </c>
      <c r="D22" s="138">
        <f>IF($C$12&lt;B22,0,DDM!$C$11)</f>
        <v>0.111211776070739</v>
      </c>
      <c r="E22" s="124">
        <f t="shared" si="0"/>
        <v>0.60275490089788319</v>
      </c>
      <c r="F22" s="125">
        <f t="shared" si="1"/>
        <v>1470.2853913842703</v>
      </c>
      <c r="H22" s="120"/>
    </row>
    <row r="23" spans="2:8">
      <c r="B23" s="122">
        <v>8</v>
      </c>
      <c r="C23" s="123">
        <f t="shared" si="2"/>
        <v>2710.5518987190603</v>
      </c>
      <c r="D23" s="138">
        <f>IF($C$12&lt;B23,0,DDM!$C$11)</f>
        <v>0.111211776070739</v>
      </c>
      <c r="E23" s="124">
        <f t="shared" si="0"/>
        <v>0.56070223339337966</v>
      </c>
      <c r="F23" s="125">
        <f t="shared" si="1"/>
        <v>1519.8125033404428</v>
      </c>
      <c r="H23" s="120"/>
    </row>
    <row r="24" spans="2:8">
      <c r="B24" s="122">
        <v>9</v>
      </c>
      <c r="C24" s="123">
        <f t="shared" si="2"/>
        <v>3011.9971895075214</v>
      </c>
      <c r="D24" s="138">
        <f>IF($C$12&lt;B24,0,DDM!$C$11)</f>
        <v>0.111211776070739</v>
      </c>
      <c r="E24" s="124">
        <f t="shared" si="0"/>
        <v>0.52158347292407414</v>
      </c>
      <c r="F24" s="125">
        <f t="shared" si="1"/>
        <v>1571.0079545408837</v>
      </c>
      <c r="H24" s="120"/>
    </row>
    <row r="25" spans="2:8">
      <c r="B25" s="122">
        <v>10</v>
      </c>
      <c r="C25" s="123">
        <f t="shared" si="2"/>
        <v>3346.9667464727268</v>
      </c>
      <c r="D25" s="138">
        <f>IF($C$12&lt;B25,0,DDM!$C$11)</f>
        <v>0.111211776070739</v>
      </c>
      <c r="E25" s="124">
        <f t="shared" si="0"/>
        <v>0.48519392830146441</v>
      </c>
      <c r="F25" s="125">
        <f t="shared" si="1"/>
        <v>1623.9279436154739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17275.022327766823</v>
      </c>
      <c r="D46" s="139">
        <f>Terminal_Growth</f>
        <v>0</v>
      </c>
      <c r="E46" s="124">
        <f>1/(1+Equity_Cost)^C12</f>
        <v>0.48519392830146441</v>
      </c>
      <c r="F46" s="125">
        <f t="shared" si="1"/>
        <v>8381.7359447046929</v>
      </c>
      <c r="H46" s="120"/>
    </row>
    <row r="47" spans="2:8">
      <c r="C47" s="114"/>
      <c r="E47" s="127" t="s">
        <v>97</v>
      </c>
      <c r="F47" s="137">
        <f>SUM(F16:F46)</f>
        <v>22435.207910819052</v>
      </c>
      <c r="H47" s="120"/>
    </row>
    <row r="48" spans="2:8">
      <c r="C48" s="114"/>
      <c r="H48" s="120"/>
    </row>
    <row r="49" spans="1:8" ht="13.15">
      <c r="B49" s="119" t="s">
        <v>125</v>
      </c>
      <c r="C49" s="136"/>
      <c r="D49" s="136"/>
      <c r="E49" s="117"/>
      <c r="F49" s="117"/>
      <c r="H49" s="120"/>
    </row>
    <row r="50" spans="1:8" ht="13.15">
      <c r="A50" s="133">
        <f>F47</f>
        <v>22435.207910819052</v>
      </c>
      <c r="B50" s="131">
        <f>C73</f>
        <v>0</v>
      </c>
      <c r="C50" s="131">
        <f>C72</f>
        <v>0.02</v>
      </c>
      <c r="D50" s="131">
        <f>C71</f>
        <v>0.06</v>
      </c>
      <c r="E50" s="131">
        <f>C70</f>
        <v>0.15</v>
      </c>
      <c r="F50" s="131">
        <f>C69</f>
        <v>0.25</v>
      </c>
      <c r="H50" s="120"/>
    </row>
    <row r="51" spans="1:8" ht="13.15">
      <c r="A51" s="143">
        <v>5</v>
      </c>
      <c r="B51" s="123">
        <f t="dataTable" ref="B51:F56" dt2D="1" dtr="1" r1="C11" r2="C12"/>
        <v>15546.111641159488</v>
      </c>
      <c r="C51" s="123">
        <v>16039.086665897285</v>
      </c>
      <c r="D51" s="123">
        <v>17068.75201391233</v>
      </c>
      <c r="E51" s="123">
        <v>19622.68875535894</v>
      </c>
      <c r="F51" s="123">
        <v>22911.34623418127</v>
      </c>
      <c r="H51" s="120"/>
    </row>
    <row r="52" spans="1:8" ht="13.15">
      <c r="A52" s="143">
        <v>10</v>
      </c>
      <c r="B52" s="123">
        <v>15546.111641159492</v>
      </c>
      <c r="C52" s="123">
        <v>16527.934660163228</v>
      </c>
      <c r="D52" s="123">
        <v>18796.661975183997</v>
      </c>
      <c r="E52" s="123">
        <v>25888.707690290423</v>
      </c>
      <c r="F52" s="123">
        <v>38733.468210938547</v>
      </c>
      <c r="H52" s="120"/>
    </row>
    <row r="53" spans="1:8" ht="13.15">
      <c r="A53" s="143">
        <v>15</v>
      </c>
      <c r="B53" s="123">
        <v>15546.111641159492</v>
      </c>
      <c r="C53" s="123">
        <v>17146.87346813242</v>
      </c>
      <c r="D53" s="123">
        <v>21227.923957203155</v>
      </c>
      <c r="E53" s="123">
        <v>37329.615494179125</v>
      </c>
      <c r="F53" s="123">
        <v>78237.134117796857</v>
      </c>
      <c r="H53" s="120"/>
    </row>
    <row r="54" spans="1:8" ht="13.15">
      <c r="A54" s="144">
        <v>20</v>
      </c>
      <c r="B54" s="123">
        <v>15546.111641159494</v>
      </c>
      <c r="C54" s="123">
        <v>17792.127273142203</v>
      </c>
      <c r="D54" s="123">
        <v>24065.817522618028</v>
      </c>
      <c r="E54" s="123">
        <v>55212.915992355571</v>
      </c>
      <c r="F54" s="123">
        <v>166300.08534360438</v>
      </c>
      <c r="H54" s="120"/>
    </row>
    <row r="55" spans="1:8" ht="13.15">
      <c r="A55" s="144">
        <v>25</v>
      </c>
      <c r="B55" s="123">
        <v>15546.111641159492</v>
      </c>
      <c r="C55" s="123">
        <v>18406.259971994477</v>
      </c>
      <c r="D55" s="123">
        <v>27109.310795504025</v>
      </c>
      <c r="E55" s="123">
        <v>81559.529426090754</v>
      </c>
      <c r="F55" s="123">
        <v>356346.14188749401</v>
      </c>
      <c r="H55" s="120"/>
    </row>
    <row r="56" spans="1:8" ht="13.15">
      <c r="A56" s="144">
        <v>30</v>
      </c>
      <c r="B56" s="123">
        <v>15546.111641159492</v>
      </c>
      <c r="C56" s="123">
        <v>18960.684323063291</v>
      </c>
      <c r="D56" s="123">
        <v>30223.641166866117</v>
      </c>
      <c r="E56" s="123">
        <v>119371.55668426235</v>
      </c>
      <c r="F56" s="123">
        <v>762316.31864297972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88.22993107552</v>
      </c>
      <c r="C60" s="124">
        <f>C7</f>
        <v>88.22993107552</v>
      </c>
      <c r="D60" s="124">
        <f>C7</f>
        <v>88.22993107552</v>
      </c>
      <c r="E60" s="141">
        <f>C7</f>
        <v>88.22993107552</v>
      </c>
      <c r="F60" s="124">
        <f>C7</f>
        <v>88.22993107552</v>
      </c>
      <c r="H60" s="120"/>
    </row>
    <row r="61" spans="1:8" ht="13.15">
      <c r="A61" s="143">
        <f t="shared" ref="A61:A66" si="3">A51</f>
        <v>5</v>
      </c>
      <c r="B61" s="124">
        <f t="shared" ref="B61:F66" si="4">B51/Common_Shares*$C$3*Exchange_Rate</f>
        <v>88.229931075520014</v>
      </c>
      <c r="C61" s="124">
        <f t="shared" si="4"/>
        <v>91.027746597403421</v>
      </c>
      <c r="D61" s="124">
        <f t="shared" si="4"/>
        <v>96.871478122249414</v>
      </c>
      <c r="E61" s="124">
        <f t="shared" si="4"/>
        <v>111.3660133391769</v>
      </c>
      <c r="F61" s="124">
        <f t="shared" si="4"/>
        <v>130.03036037237794</v>
      </c>
      <c r="H61" s="120"/>
    </row>
    <row r="62" spans="1:8" ht="13.15">
      <c r="A62" s="143">
        <f t="shared" si="3"/>
        <v>10</v>
      </c>
      <c r="B62" s="124">
        <f t="shared" si="4"/>
        <v>88.229931075520028</v>
      </c>
      <c r="C62" s="124">
        <f t="shared" si="4"/>
        <v>93.802139695565529</v>
      </c>
      <c r="D62" s="124">
        <f t="shared" si="4"/>
        <v>106.67800597350143</v>
      </c>
      <c r="E62" s="124">
        <f t="shared" si="4"/>
        <v>146.92798738825007</v>
      </c>
      <c r="F62" s="124">
        <f t="shared" si="4"/>
        <v>219.82675214546876</v>
      </c>
      <c r="H62" s="120"/>
    </row>
    <row r="63" spans="1:8" ht="13.15">
      <c r="A63" s="143">
        <f t="shared" si="3"/>
        <v>15</v>
      </c>
      <c r="B63" s="124">
        <f t="shared" si="4"/>
        <v>88.229931075520028</v>
      </c>
      <c r="C63" s="124">
        <f t="shared" si="4"/>
        <v>97.314846257025266</v>
      </c>
      <c r="D63" s="124">
        <f t="shared" si="4"/>
        <v>120.4763165769163</v>
      </c>
      <c r="E63" s="124">
        <f t="shared" si="4"/>
        <v>211.8593689631731</v>
      </c>
      <c r="F63" s="124">
        <f t="shared" si="4"/>
        <v>444.0246609630413</v>
      </c>
      <c r="H63" s="120"/>
    </row>
    <row r="64" spans="1:8" ht="13.15">
      <c r="A64" s="144">
        <f t="shared" si="3"/>
        <v>20</v>
      </c>
      <c r="B64" s="124">
        <f t="shared" si="4"/>
        <v>88.229931075520042</v>
      </c>
      <c r="C64" s="124">
        <f t="shared" si="4"/>
        <v>100.9769001555385</v>
      </c>
      <c r="D64" s="124">
        <f t="shared" si="4"/>
        <v>136.58241175079229</v>
      </c>
      <c r="E64" s="124">
        <f t="shared" si="4"/>
        <v>313.35371087819345</v>
      </c>
      <c r="F64" s="124">
        <f t="shared" si="4"/>
        <v>943.81446669097568</v>
      </c>
      <c r="H64" s="120"/>
    </row>
    <row r="65" spans="1:8" ht="13.15">
      <c r="A65" s="144">
        <f t="shared" si="3"/>
        <v>25</v>
      </c>
      <c r="B65" s="124">
        <f t="shared" si="4"/>
        <v>88.229931075520028</v>
      </c>
      <c r="C65" s="124">
        <f t="shared" si="4"/>
        <v>104.46233027090578</v>
      </c>
      <c r="D65" s="124">
        <f t="shared" si="4"/>
        <v>153.85536127629257</v>
      </c>
      <c r="E65" s="124">
        <f t="shared" si="4"/>
        <v>462.88048265161751</v>
      </c>
      <c r="F65" s="124">
        <f t="shared" si="4"/>
        <v>2022.3960990039643</v>
      </c>
    </row>
    <row r="66" spans="1:8" ht="13.15">
      <c r="A66" s="144">
        <f t="shared" si="3"/>
        <v>30</v>
      </c>
      <c r="B66" s="124">
        <f t="shared" si="4"/>
        <v>88.229931075520028</v>
      </c>
      <c r="C66" s="124">
        <f t="shared" si="4"/>
        <v>107.60889343798613</v>
      </c>
      <c r="D66" s="124">
        <f t="shared" si="4"/>
        <v>171.53033752464157</v>
      </c>
      <c r="E66" s="124">
        <f t="shared" si="4"/>
        <v>677.47771672662896</v>
      </c>
      <c r="F66" s="124">
        <f t="shared" si="4"/>
        <v>4326.4269422548559</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444.0246609630413</v>
      </c>
      <c r="F69" s="142">
        <f>Scenarios!C58</f>
        <v>0.05</v>
      </c>
    </row>
    <row r="70" spans="1:8">
      <c r="B70" s="127" t="str">
        <f>Scenarios!B36</f>
        <v>Optimistic</v>
      </c>
      <c r="C70" s="142">
        <f>Scenarios!C38</f>
        <v>0.15</v>
      </c>
      <c r="D70" s="145">
        <f>Scenarios!C37</f>
        <v>10</v>
      </c>
      <c r="E70" s="135">
        <f>INDEX(B$60:F$66, MATCH(D70, A$60:A$66, 0), MATCH(C70, B$59:F$59, 0))</f>
        <v>146.92798738825007</v>
      </c>
      <c r="F70" s="142">
        <f>Scenarios!C40*(1-F$69-F$73)</f>
        <v>0.18</v>
      </c>
      <c r="H70" s="120"/>
    </row>
    <row r="71" spans="1:8">
      <c r="B71" s="127" t="str">
        <f>Scenarios!B24</f>
        <v>Base</v>
      </c>
      <c r="C71" s="142">
        <f>Scenarios!C26</f>
        <v>0.06</v>
      </c>
      <c r="D71" s="145">
        <f>Scenarios!C25</f>
        <v>10</v>
      </c>
      <c r="E71" s="135">
        <f>INDEX(B$60:F$66, MATCH(D71, A$60:A$66, 0), MATCH(C71, B$59:F$59, 0))</f>
        <v>106.67800597350143</v>
      </c>
      <c r="F71" s="142">
        <f>Scenarios!C28*(1-F$69-F$73)</f>
        <v>0.53999999999999992</v>
      </c>
      <c r="H71" s="120"/>
    </row>
    <row r="72" spans="1:8">
      <c r="B72" s="127" t="str">
        <f>Scenarios!B30</f>
        <v>Pessimistic</v>
      </c>
      <c r="C72" s="142">
        <f>Scenarios!C32</f>
        <v>0.02</v>
      </c>
      <c r="D72" s="145">
        <f>Scenarios!C31</f>
        <v>10</v>
      </c>
      <c r="E72" s="135">
        <f>INDEX(B$60:F$66, MATCH(D72, A$60:A$66, 0), MATCH(C72, B$59:F$59, 0))</f>
        <v>93.802139695565529</v>
      </c>
      <c r="F72" s="142">
        <f>Scenarios!C34*(1-F$69-F$73)</f>
        <v>0.18</v>
      </c>
      <c r="H72" s="120"/>
    </row>
    <row r="73" spans="1:8">
      <c r="B73" s="127" t="str">
        <f>Scenarios!B48</f>
        <v>Devil's advocate</v>
      </c>
      <c r="C73" s="142">
        <f>Scenarios!C50</f>
        <v>0</v>
      </c>
      <c r="D73" s="145">
        <f>Scenarios!C49</f>
        <v>15</v>
      </c>
      <c r="E73" s="135">
        <f>INDEX(B$60:F$66, MATCH(D73, A$60:A$66, 0), MATCH(C73, B$59:F$59, 0))</f>
        <v>88.229931075520028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-16.13</v>
      </c>
    </row>
    <row r="4" spans="2:9">
      <c r="B4" s="152" t="s">
        <v>142</v>
      </c>
      <c r="C4" s="120">
        <v>3</v>
      </c>
      <c r="D4" s="120"/>
      <c r="E4" s="155" t="s">
        <v>146</v>
      </c>
      <c r="F4" s="155"/>
      <c r="H4" s="247">
        <v>1</v>
      </c>
      <c r="I4" s="124">
        <f t="shared" ref="I4:I13" si="0">IF(ROW()-3 &lt; $C$76, $C$77, IF(ROW()-3 = $C$76, $C$77 + $C$60, ""))</f>
        <v>0.84302555999999995</v>
      </c>
    </row>
    <row r="5" spans="2:9">
      <c r="H5" s="247">
        <v>2</v>
      </c>
      <c r="I5" s="124">
        <f t="shared" si="0"/>
        <v>0.84302555999999995</v>
      </c>
    </row>
    <row r="6" spans="2:9" ht="13.15">
      <c r="B6" s="159" t="s">
        <v>92</v>
      </c>
      <c r="C6" s="107">
        <f>DCF!C3</f>
        <v>1000000</v>
      </c>
      <c r="E6" s="100" t="s">
        <v>274</v>
      </c>
      <c r="F6" s="100"/>
      <c r="H6" s="247">
        <v>3</v>
      </c>
      <c r="I6" s="124">
        <f t="shared" si="0"/>
        <v>19.448306711290659</v>
      </c>
    </row>
    <row r="7" spans="2:9" ht="12.75" customHeight="1">
      <c r="B7" s="100" t="s">
        <v>270</v>
      </c>
      <c r="C7" s="338">
        <f>Normalized_FCF!G8</f>
        <v>632.39999999999986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80"/>
      <c r="H7" s="247">
        <v>4</v>
      </c>
      <c r="I7" s="124" t="str">
        <f t="shared" si="0"/>
        <v/>
      </c>
    </row>
    <row r="8" spans="2:9">
      <c r="B8" s="100" t="s">
        <v>64</v>
      </c>
      <c r="C8" s="338">
        <f>Normalized_FCF!G19</f>
        <v>342.2407087131574</v>
      </c>
      <c r="D8" t="str">
        <f>Reporting_currency</f>
        <v>USD</v>
      </c>
      <c r="E8" s="380"/>
      <c r="F8" s="380"/>
      <c r="H8" s="247">
        <v>5</v>
      </c>
      <c r="I8" s="124" t="str">
        <f t="shared" si="0"/>
        <v/>
      </c>
    </row>
    <row r="9" spans="2:9">
      <c r="B9" s="100" t="s">
        <v>55</v>
      </c>
      <c r="C9" s="338">
        <f>Normalized_FCF!C19</f>
        <v>273.66800763986708</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0.21097145624674352</v>
      </c>
      <c r="D12" s="158"/>
      <c r="E12" s="380"/>
      <c r="F12" s="380"/>
      <c r="H12" s="247">
        <v>9</v>
      </c>
      <c r="I12" s="124" t="str">
        <f t="shared" si="0"/>
        <v/>
      </c>
    </row>
    <row r="13" spans="2:9">
      <c r="B13" s="148" t="s">
        <v>148</v>
      </c>
      <c r="C13" s="158">
        <f ca="1">(Normalized_FCF!G8/OFFSET(Normalized_FCF!G8, 0, $C$4))^(1/$C$4) - 1</f>
        <v>0.77230247224880189</v>
      </c>
      <c r="E13" s="380"/>
      <c r="F13" s="380"/>
      <c r="H13" s="247">
        <v>10</v>
      </c>
      <c r="I13" s="124" t="str">
        <f t="shared" si="0"/>
        <v/>
      </c>
    </row>
    <row r="14" spans="2:9">
      <c r="B14" s="100" t="s">
        <v>64</v>
      </c>
      <c r="C14" s="158">
        <f ca="1">(Normalized_FCF!G19/OFFSET(Normalized_FCF!G19, 0, $C$4))^(1/$C$4) - 1</f>
        <v>-4.7411082369886497</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16.13</v>
      </c>
      <c r="D21" t="str">
        <f>Market_currency</f>
        <v>HKD</v>
      </c>
      <c r="E21" s="381"/>
      <c r="F21" s="381"/>
    </row>
    <row r="22" spans="2:6">
      <c r="B22" s="100" t="s">
        <v>273</v>
      </c>
      <c r="C22" s="160">
        <f>IF(valuation_method="DCF",DCF!C12,DDM!C7)</f>
        <v>9.3762034910436309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0.06</v>
      </c>
      <c r="D26" s="164"/>
      <c r="E26" s="379"/>
      <c r="F26" s="379"/>
    </row>
    <row r="27" spans="2:6">
      <c r="B27" s="100" t="s">
        <v>109</v>
      </c>
      <c r="C27" s="160">
        <f>IF(valuation_method="DCF",DCF!E76,DDM!E71)</f>
        <v>13.706244784674849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10.684084858338228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0.15</v>
      </c>
      <c r="D38" s="164"/>
      <c r="E38" s="379"/>
      <c r="F38" s="379"/>
    </row>
    <row r="39" spans="2:6">
      <c r="B39" s="100" t="s">
        <v>109</v>
      </c>
      <c r="C39" s="160">
        <f>IF(valuation_method="DCF",DCF!E75,DDM!E70)</f>
        <v>23.153522213758841</v>
      </c>
      <c r="D39" t="str">
        <f>Market_currency</f>
        <v>HKD</v>
      </c>
      <c r="E39" s="379"/>
      <c r="F39" s="379"/>
    </row>
    <row r="40" spans="2:6">
      <c r="B40" s="100" t="s">
        <v>143</v>
      </c>
      <c r="C40" s="167">
        <f>1-C28-C34</f>
        <v>0.2</v>
      </c>
      <c r="D40" s="165"/>
      <c r="E40" s="379"/>
      <c r="F40" s="379"/>
    </row>
    <row r="42" spans="2:6" ht="13.15">
      <c r="B42" s="100" t="s">
        <v>116</v>
      </c>
      <c r="C42" s="154">
        <f>C27*C28+C33*C34+C39*C40</f>
        <v>14.991268285224322</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9.376203491043638</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0.25</v>
      </c>
      <c r="D56" s="164"/>
      <c r="E56" s="379"/>
      <c r="F56" s="379"/>
    </row>
    <row r="57" spans="2:6">
      <c r="B57" s="100" t="s">
        <v>109</v>
      </c>
      <c r="C57" s="160">
        <f>IF(valuation_method="DCF",DCF!E74,DDM!E69)</f>
        <v>92.886590400731762</v>
      </c>
      <c r="D57" t="str">
        <f>Market_currency</f>
        <v>HKD</v>
      </c>
      <c r="E57" s="379"/>
      <c r="F57" s="379"/>
    </row>
    <row r="58" spans="2:6">
      <c r="B58" s="100" t="s">
        <v>143</v>
      </c>
      <c r="C58" s="165">
        <v>0.05</v>
      </c>
      <c r="D58" s="165"/>
      <c r="E58" s="379"/>
      <c r="F58" s="379"/>
    </row>
    <row r="60" spans="2:6" ht="13.15">
      <c r="B60" s="100" t="s">
        <v>116</v>
      </c>
      <c r="C60" s="154">
        <f>C51*C52+C57*C58+C42*(1-C52-C58)</f>
        <v>18.605281151290658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18.553133013157531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-0.60911153967087928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0.84302555999999995</v>
      </c>
      <c r="D77" t="str">
        <f>Market_currency</f>
        <v>HKD</v>
      </c>
    </row>
    <row r="79" spans="2:6" ht="13.15">
      <c r="B79" s="109" t="s">
        <v>296</v>
      </c>
    </row>
    <row r="80" spans="2:6">
      <c r="B80" s="148" t="s">
        <v>294</v>
      </c>
      <c r="C80" s="167">
        <f>Thesis!F29</f>
        <v>0.35</v>
      </c>
    </row>
    <row r="81" spans="2:8">
      <c r="B81" s="100" t="s">
        <v>117</v>
      </c>
      <c r="C81" s="116">
        <f>PV(C80, C76, -C77, 0)</f>
        <v>1.4296699279987808</v>
      </c>
      <c r="D81" s="116"/>
      <c r="E81" s="100"/>
      <c r="F81" s="100"/>
    </row>
    <row r="82" spans="2:8">
      <c r="B82" s="100" t="s">
        <v>118</v>
      </c>
      <c r="C82" s="116">
        <f>C60/(1+C80)^C76</f>
        <v>7.5619696799433642</v>
      </c>
      <c r="D82" s="116"/>
    </row>
    <row r="83" spans="2:8" ht="13.15">
      <c r="B83" s="110" t="s">
        <v>98</v>
      </c>
      <c r="C83" s="111">
        <f>C81+C82</f>
        <v>8.9916396079421457</v>
      </c>
      <c r="D83" t="str">
        <f>Market_currency</f>
        <v>HKD</v>
      </c>
      <c r="E83" s="146" t="s">
        <v>122</v>
      </c>
      <c r="F83" s="291">
        <f>(1-C83/C60)</f>
        <v>0.51671573598776865</v>
      </c>
    </row>
    <row r="84" spans="2:8">
      <c r="E84" s="120"/>
    </row>
    <row r="85" spans="2:8" ht="13.15">
      <c r="B85" s="109" t="s">
        <v>297</v>
      </c>
    </row>
    <row r="86" spans="2:8">
      <c r="B86" s="148" t="s">
        <v>295</v>
      </c>
      <c r="C86" s="116">
        <f>Market_Price</f>
        <v>16.13</v>
      </c>
      <c r="D86" t="str">
        <f>Market_currency</f>
        <v>HKD</v>
      </c>
    </row>
    <row r="87" spans="2:8" ht="13.15">
      <c r="B87" s="100" t="s">
        <v>293</v>
      </c>
      <c r="C87" s="237">
        <f ca="1">IRR(OFFSET($I$3, 0, 0, $C$76 + 1, 1))</f>
        <v>9.8685421802452877E-2</v>
      </c>
    </row>
    <row r="88" spans="2:8">
      <c r="B88" s="100"/>
    </row>
    <row r="89" spans="2:8" ht="13.15">
      <c r="B89" s="109" t="s">
        <v>392</v>
      </c>
    </row>
    <row r="90" spans="2:8">
      <c r="B90" s="148" t="s">
        <v>393</v>
      </c>
      <c r="C90" s="167">
        <f>Thesis!F30</f>
        <v>0.25</v>
      </c>
    </row>
    <row r="91" spans="2:8">
      <c r="B91" s="100" t="s">
        <v>117</v>
      </c>
      <c r="C91" s="116">
        <f>PV(C90, C76, -C77, 0)</f>
        <v>1.6455858931199998</v>
      </c>
      <c r="D91" s="116"/>
      <c r="E91" s="100"/>
      <c r="F91" s="100"/>
    </row>
    <row r="92" spans="2:8">
      <c r="B92" s="100" t="s">
        <v>118</v>
      </c>
      <c r="C92" s="116">
        <f>C60/(1+C90)^C76</f>
        <v>9.5259039494608171</v>
      </c>
      <c r="D92" s="116"/>
    </row>
    <row r="93" spans="2:8" ht="13.15">
      <c r="B93" s="110" t="s">
        <v>98</v>
      </c>
      <c r="C93" s="111">
        <f>C91+C92</f>
        <v>11.171489842580817</v>
      </c>
      <c r="D93" t="str">
        <f>Market_currency</f>
        <v>HKD</v>
      </c>
      <c r="E93" s="146" t="s">
        <v>122</v>
      </c>
      <c r="F93" s="291">
        <f>(1-C93/C60)</f>
        <v>0.39955275323502193</v>
      </c>
    </row>
    <row r="95" spans="2:8" ht="13.15">
      <c r="B95" s="109" t="s">
        <v>378</v>
      </c>
      <c r="G95" s="2"/>
      <c r="H95" s="281"/>
    </row>
    <row r="96" spans="2:8">
      <c r="B96" s="148" t="s">
        <v>383</v>
      </c>
      <c r="C96" s="134">
        <f>Thesis!F31</f>
        <v>7.4999999999999997E-2</v>
      </c>
      <c r="G96" s="2"/>
      <c r="H96" s="281"/>
    </row>
    <row r="97" spans="2:8">
      <c r="B97" s="100" t="s">
        <v>117</v>
      </c>
      <c r="C97" s="116">
        <f>PV(C96, C76, -C77, 0)</f>
        <v>2.192309668149973</v>
      </c>
      <c r="D97" s="116"/>
      <c r="G97" s="2"/>
      <c r="H97" s="281"/>
    </row>
    <row r="98" spans="2:8">
      <c r="B98" s="100" t="s">
        <v>118</v>
      </c>
      <c r="C98" s="116">
        <f>C60/(1+C96)^C76</f>
        <v>14.97651771142921</v>
      </c>
      <c r="D98" s="116"/>
      <c r="G98" s="2"/>
      <c r="H98" s="281"/>
    </row>
    <row r="99" spans="2:8" ht="13.15">
      <c r="B99" s="110" t="s">
        <v>379</v>
      </c>
      <c r="C99" s="111">
        <f>C97+C98</f>
        <v>17.168827379579184</v>
      </c>
      <c r="D99" t="s">
        <v>377</v>
      </c>
      <c r="E99" s="146" t="s">
        <v>122</v>
      </c>
      <c r="F99" s="291">
        <f>(1-C99/C60)</f>
        <v>7.7206775862767696E-2</v>
      </c>
    </row>
    <row r="100" spans="2:8">
      <c r="B100" s="100"/>
    </row>
    <row r="101" spans="2:8" ht="13.15">
      <c r="B101" s="109" t="s">
        <v>398</v>
      </c>
    </row>
    <row r="102" spans="2:8">
      <c r="B102" s="148" t="s">
        <v>397</v>
      </c>
      <c r="C102" s="134">
        <f>Thesis!F32</f>
        <v>0.1174</v>
      </c>
    </row>
    <row r="103" spans="2:8">
      <c r="B103" s="100" t="s">
        <v>117</v>
      </c>
      <c r="C103" s="116">
        <f>PV(C102, C76, -C77, 0)</f>
        <v>2.0338861013021798</v>
      </c>
      <c r="D103" s="116"/>
    </row>
    <row r="104" spans="2:8">
      <c r="B104" s="100" t="s">
        <v>118</v>
      </c>
      <c r="C104" s="116">
        <f>C60/(1+C102)^C76</f>
        <v>13.335528630149991</v>
      </c>
      <c r="D104" s="116"/>
    </row>
    <row r="105" spans="2:8" ht="13.15">
      <c r="B105" s="110" t="s">
        <v>379</v>
      </c>
      <c r="C105" s="111">
        <f>C103+C104</f>
        <v>15.369414731452171</v>
      </c>
      <c r="D105" t="s">
        <v>377</v>
      </c>
      <c r="E105" s="146" t="s">
        <v>122</v>
      </c>
      <c r="F105" s="291">
        <f>(1-C105/C66)</f>
        <v>0.17160003539281088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2025-08-05T03:07:28Z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