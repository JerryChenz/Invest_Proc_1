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FE9445D-15F0-48A1-8C13-C27D613A216F}"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D6" i="4"/>
  <c r="E6" i="4"/>
  <c r="F6" i="4"/>
  <c r="G6" i="4"/>
  <c r="C7" i="4"/>
  <c r="C6" i="4" s="1"/>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120" i="2"/>
  <c r="O117" i="2"/>
  <c r="O118" i="2"/>
  <c r="N120" i="2"/>
  <c r="N118" i="2"/>
  <c r="N117" i="2"/>
  <c r="Q120" i="2"/>
  <c r="Q118" i="2"/>
  <c r="Q117" i="2"/>
  <c r="P120" i="2"/>
  <c r="P117" i="2"/>
  <c r="P118" i="2"/>
  <c r="L120" i="2"/>
  <c r="L117" i="2"/>
  <c r="L118" i="2"/>
  <c r="M120" i="2"/>
  <c r="M118" i="2"/>
  <c r="M117"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I118" i="2" s="1"/>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<sst xmlns="http://schemas.openxmlformats.org/spreadsheetml/2006/main" count="685" uniqueCount="465">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</sst>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1383064083</v>
      </c>
      <c r="E6" s="48"/>
    </row>
    <row r="7" spans="1:10">
      <c r="B7" s="2" t="s">
        <v>307</v>
      </c>
      <c r="C7" s="250">
        <v>6</v>
      </c>
      <c r="D7" s="48"/>
      <c r="E7" s="48"/>
    </row>
    <row r="8" spans="1:10">
      <c r="B8" s="1" t="s">
        <v>268</v>
      </c>
      <c r="C8" s="33">
        <f>EOMONTH(EDATE(BS!C1,C7+2),0)</f>
        <v>45900</v>
      </c>
      <c r="E8" s="48"/>
    </row>
    <row r="9" spans="1:10">
      <c r="E9" s="34"/>
    </row>
    <row r="10" spans="1:10">
      <c r="B10" s="45" t="s">
        <v>417</v>
      </c>
      <c r="C10" s="46"/>
      <c r="E10" s="34"/>
    </row>
    <row r="11" spans="1:10">
      <c r="B11" s="1" t="s">
        <v>416</v>
      </c>
      <c r="C11" s="49" t="s">
        <v>457</v>
      </c>
      <c r="D11" s="49" t="s">
        <v>458</v>
      </c>
      <c r="E11" s="34"/>
    </row>
    <row r="12" spans="1:10">
      <c r="B12" s="4" t="s">
        <v>94</v>
      </c>
      <c r="C12" s="50">
        <v>14.06</v>
      </c>
      <c r="D12" s="50"/>
      <c r="E12" s="48"/>
    </row>
    <row r="13" spans="1:10">
      <c r="B13" s="1" t="s">
        <v>415</v>
      </c>
      <c r="C13" s="48" t="s">
        <v>396</v>
      </c>
      <c r="D13" s="48"/>
      <c r="E13" s="5"/>
    </row>
    <row r="14" spans="1:10">
      <c r="B14" s="4" t="s">
        <v>419</v>
      </c>
      <c r="C14" s="35">
        <f>Thesis!C12*Common_Shares/1000000</f>
        <v>19445.881006979998</v>
      </c>
      <c r="D14" s="35" t="str">
        <f>IF(D11="","",Thesis!D12*Common_Shares/1000000)</f>
        <v/>
      </c>
      <c r="E14" s="5"/>
    </row>
    <row r="15" spans="1:10">
      <c r="B15" s="4" t="s">
        <v>418</v>
      </c>
      <c r="C15" s="32" t="str">
        <f>IF(C25=C13,C13,C25&amp;"/"&amp;C13)</f>
        <v>USD/HKD</v>
      </c>
      <c r="D15" s="32" t="str">
        <f>IF(D11="","",IF(C25=D13,D13,C25&amp;"/"&amp;D13))</f>
        <v/>
      </c>
      <c r="E15" s="5"/>
    </row>
    <row r="16" spans="1:10">
      <c r="B16" s="4" t="s">
        <v>1</v>
      </c>
      <c r="C16" s="50">
        <v>7.8360000000000003</v>
      </c>
      <c r="D16" s="50"/>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High Growth </v>
      </c>
      <c r="D21" s="1" t="s">
        <v>438</v>
      </c>
      <c r="E21" s="308" t="s">
        <v>461</v>
      </c>
    </row>
    <row r="22" spans="2:6">
      <c r="B22" s="2" t="s">
        <v>56</v>
      </c>
      <c r="C22" s="48" t="s">
        <v>459</v>
      </c>
      <c r="D22" s="1" t="str">
        <f>IF(valuation_method="DDM","DDM Terminal Value","")</f>
        <v/>
      </c>
      <c r="E22" s="313"/>
    </row>
    <row r="23" spans="2:6">
      <c r="B23" s="1" t="s">
        <v>433</v>
      </c>
      <c r="C23" s="262" t="s">
        <v>455</v>
      </c>
    </row>
    <row r="24" spans="2:6">
      <c r="B24" s="1" t="s">
        <v>434</v>
      </c>
      <c r="C24" s="262" t="s">
        <v>455</v>
      </c>
    </row>
    <row r="25" spans="2:6">
      <c r="B25" s="4" t="s">
        <v>347</v>
      </c>
      <c r="C25" s="48" t="s">
        <v>460</v>
      </c>
      <c r="D25" s="32" t="str">
        <f>IF(D11="","",Market_currency&amp;"/"&amp;D13&amp;":")</f>
        <v/>
      </c>
      <c r="E25" s="299" t="str">
        <f>IF(D11="","",1/Exchange_Rate*D16)</f>
        <v/>
      </c>
    </row>
    <row r="26" spans="2:6">
      <c r="B26" s="1" t="str">
        <f>"Expected Equity Value ("&amp;C13&amp;") :"</f>
        <v>Expected Equity Value (HKD) :</v>
      </c>
      <c r="C26" s="304">
        <f>C132</f>
        <v>18.574185957570329</v>
      </c>
      <c r="D26" s="1" t="s">
        <v>399</v>
      </c>
      <c r="E26" s="301">
        <f ca="1">Scenarios!C87</f>
        <v>0.15212950115223522</v>
      </c>
    </row>
    <row r="27" spans="2:6">
      <c r="D27" s="5"/>
      <c r="E27" s="5"/>
    </row>
    <row r="28" spans="2:6">
      <c r="B28" s="45" t="s">
        <v>432</v>
      </c>
      <c r="C28" s="309" t="str">
        <f>C145&amp;" ("&amp;Market_currency&amp;")"</f>
        <v>1910.HK (HKD)</v>
      </c>
      <c r="D28" s="309" t="str">
        <f>IF(D11="","",D145&amp;" ("&amp;D13&amp;")")</f>
        <v/>
      </c>
      <c r="E28" s="305" t="s">
        <v>428</v>
      </c>
      <c r="F28" s="303">
        <v>3</v>
      </c>
    </row>
    <row r="29" spans="2:6">
      <c r="B29" s="1" t="s">
        <v>424</v>
      </c>
      <c r="C29" s="310">
        <f>C149</f>
        <v>8.6595168654575794</v>
      </c>
      <c r="D29" s="310" t="str">
        <f>D149</f>
        <v/>
      </c>
      <c r="E29" s="306" t="s">
        <v>423</v>
      </c>
      <c r="F29" s="302">
        <v>0.3674</v>
      </c>
    </row>
    <row r="30" spans="2:6">
      <c r="B30" s="1" t="s">
        <v>425</v>
      </c>
      <c r="C30" s="311">
        <f>C157</f>
        <v>12.020199411772911</v>
      </c>
      <c r="D30" s="311" t="str">
        <f>D157</f>
        <v/>
      </c>
      <c r="E30" s="307" t="s">
        <v>436</v>
      </c>
      <c r="F30" s="312">
        <v>0.21740000000000001</v>
      </c>
    </row>
    <row r="31" spans="2:6">
      <c r="B31" s="1" t="s">
        <v>426</v>
      </c>
      <c r="C31" s="311">
        <f>C165</f>
        <v>17.140054402109261</v>
      </c>
      <c r="D31" s="311" t="str">
        <f>D165</f>
        <v/>
      </c>
      <c r="E31" s="307" t="s">
        <v>435</v>
      </c>
      <c r="F31" s="312">
        <v>7.4999999999999997E-2</v>
      </c>
    </row>
    <row r="32" spans="2:6">
      <c r="B32" s="1" t="s">
        <v>427</v>
      </c>
      <c r="C32" s="311">
        <f>C173</f>
        <v>15.34365480626559</v>
      </c>
      <c r="D32" s="311" t="str">
        <f>D173</f>
        <v/>
      </c>
      <c r="E32" s="307" t="s">
        <v>437</v>
      </c>
      <c r="F32" s="312">
        <v>0.1174</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1000000</v>
      </c>
    </row>
    <row r="40" spans="1:6" ht="24.6" customHeight="1">
      <c r="B40" s="359" t="s">
        <v>231</v>
      </c>
      <c r="C40" s="359"/>
      <c r="D40" s="359"/>
      <c r="E40" s="359"/>
      <c r="F40" s="359"/>
    </row>
    <row r="41" spans="1:6">
      <c r="B41" s="47" t="s">
        <v>232</v>
      </c>
      <c r="C41" s="349">
        <f>Normalized_FCF!C8</f>
        <v>553.11898834421322</v>
      </c>
      <c r="D41" s="1" t="str">
        <f>Reporting_currency</f>
        <v>USD</v>
      </c>
    </row>
    <row r="42" spans="1:6">
      <c r="B42" s="47"/>
      <c r="C42" s="76"/>
    </row>
    <row r="43" spans="1:6" ht="24.6" customHeight="1">
      <c r="B43" s="359" t="s">
        <v>233</v>
      </c>
      <c r="C43" s="359"/>
      <c r="D43" s="359"/>
      <c r="E43" s="359"/>
      <c r="F43" s="359"/>
    </row>
    <row r="44" spans="1:6">
      <c r="B44" s="47" t="s">
        <v>234</v>
      </c>
      <c r="C44" s="349">
        <f>Normalized_FCF!C9</f>
        <v>0</v>
      </c>
      <c r="D44" s="1" t="str">
        <f>Reporting_currency</f>
        <v>USD</v>
      </c>
    </row>
    <row r="45" spans="1:6">
      <c r="B45" s="52" t="s">
        <v>235</v>
      </c>
      <c r="C45" s="349">
        <f>Normalized_FCF!C10</f>
        <v>0</v>
      </c>
      <c r="D45" s="1" t="str">
        <f>Reporting_currency</f>
        <v>USD</v>
      </c>
    </row>
    <row r="47" spans="1:6">
      <c r="B47" s="359" t="s">
        <v>236</v>
      </c>
      <c r="C47" s="359"/>
      <c r="D47" s="359"/>
      <c r="E47" s="359"/>
      <c r="F47" s="359"/>
    </row>
    <row r="48" spans="1:6">
      <c r="B48" s="47" t="s">
        <v>237</v>
      </c>
      <c r="C48" s="349">
        <f>Normalized_FCF!C11</f>
        <v>0</v>
      </c>
      <c r="D48" s="1" t="str">
        <f>Reporting_currency</f>
        <v>USD</v>
      </c>
    </row>
    <row r="50" spans="2:6">
      <c r="B50" s="359" t="s">
        <v>240</v>
      </c>
      <c r="C50" s="359"/>
      <c r="D50" s="359"/>
      <c r="E50" s="359"/>
      <c r="F50" s="359"/>
    </row>
    <row r="51" spans="2:6">
      <c r="B51" s="47" t="s">
        <v>340</v>
      </c>
      <c r="C51" s="350">
        <f>Normalized_FCF!C48</f>
        <v>7.0373731462398332</v>
      </c>
      <c r="D51" s="1" t="str">
        <f>Reporting_currency</f>
        <v>USD</v>
      </c>
      <c r="E51" s="286"/>
      <c r="F51" s="286"/>
    </row>
    <row r="52" spans="2:6">
      <c r="B52" s="47" t="s">
        <v>341</v>
      </c>
      <c r="C52" s="350">
        <f>Normalized_FCF!C47</f>
        <v>-152</v>
      </c>
      <c r="D52" s="1" t="str">
        <f>Reporting_currency</f>
        <v>USD</v>
      </c>
      <c r="E52" s="286"/>
      <c r="F52" s="286"/>
    </row>
    <row r="53" spans="2:6">
      <c r="B53" s="47" t="s">
        <v>238</v>
      </c>
      <c r="C53" s="349">
        <f>Normalized_FCF!C12</f>
        <v>-144.96262685376016</v>
      </c>
      <c r="D53" s="1" t="str">
        <f>Reporting_currency</f>
        <v>USD</v>
      </c>
    </row>
    <row r="55" spans="2:6">
      <c r="B55" s="1" t="s">
        <v>246</v>
      </c>
    </row>
    <row r="56" spans="2:6">
      <c r="B56" s="47" t="s">
        <v>265</v>
      </c>
      <c r="C56" s="349">
        <f>Normalized_FCF!C15</f>
        <v>-32.451765153160977</v>
      </c>
      <c r="D56" s="1" t="str">
        <f>Reporting_currency</f>
        <v>USD</v>
      </c>
    </row>
    <row r="58" spans="2:6">
      <c r="B58" s="359" t="s">
        <v>241</v>
      </c>
      <c r="C58" s="359"/>
      <c r="D58" s="359"/>
      <c r="E58" s="359"/>
      <c r="F58" s="359"/>
    </row>
    <row r="59" spans="2:6">
      <c r="B59" s="47" t="s">
        <v>239</v>
      </c>
      <c r="C59" s="349">
        <f>Normalized_FCF!C14</f>
        <v>-102.03909037261326</v>
      </c>
      <c r="D59" s="1" t="str">
        <f>Reporting_currency</f>
        <v>USD</v>
      </c>
    </row>
    <row r="61" spans="2:6">
      <c r="B61" s="359" t="s">
        <v>338</v>
      </c>
      <c r="C61" s="360"/>
      <c r="D61" s="360"/>
      <c r="E61" s="360"/>
      <c r="F61" s="360"/>
    </row>
    <row r="62" spans="2:6">
      <c r="B62" s="47" t="s">
        <v>242</v>
      </c>
      <c r="C62" s="349">
        <f>Normalized_FCF!C17</f>
        <v>0</v>
      </c>
      <c r="D62" s="1" t="str">
        <f>Reporting_currency</f>
        <v>USD</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342.23737314623969</v>
      </c>
      <c r="D67" s="1" t="str">
        <f>Reporting_currency</f>
        <v>USD</v>
      </c>
    </row>
    <row r="68" spans="1:6">
      <c r="B68" s="47" t="s">
        <v>248</v>
      </c>
      <c r="C68" s="349">
        <f>Normalized_FCF!C19</f>
        <v>273.6655059646788</v>
      </c>
      <c r="D68" s="1" t="str">
        <f>Reporting_currency</f>
        <v>USD</v>
      </c>
    </row>
    <row r="69" spans="1:6">
      <c r="B69" s="227" t="s">
        <v>390</v>
      </c>
      <c r="C69" s="92">
        <f>Normalized_FCF!C125</f>
        <v>0.11027748776049213</v>
      </c>
      <c r="F69" s="314"/>
    </row>
    <row r="70" spans="1:6">
      <c r="B70" s="227" t="s">
        <v>308</v>
      </c>
      <c r="C70" s="92">
        <f>Normalized_FCF!C93</f>
        <v>5.9856785206258888E-2</v>
      </c>
      <c r="E70" s="47" t="s">
        <v>447</v>
      </c>
      <c r="F70" s="315">
        <f>Normalized_FCF!C92</f>
        <v>4.253250399527885</v>
      </c>
    </row>
    <row r="72" spans="1:6">
      <c r="B72" s="210" t="s">
        <v>450</v>
      </c>
      <c r="C72" s="323" t="s">
        <v>452</v>
      </c>
      <c r="D72" s="323" t="s">
        <v>453</v>
      </c>
    </row>
    <row r="73" spans="1:6">
      <c r="B73" s="47" t="s">
        <v>451</v>
      </c>
      <c r="C73" s="92">
        <f>Normalized_FCF!C120</f>
        <v>0.2641788747511023</v>
      </c>
      <c r="D73" s="92">
        <f>Normalized_FCF!G120</f>
        <v>0.31549344540209689</v>
      </c>
    </row>
    <row r="74" spans="1:6">
      <c r="B74" s="259" t="str">
        <f>Normalized_FCF!B117</f>
        <v>Pre-tax Profit/Sales</v>
      </c>
      <c r="C74" s="322">
        <f>Normalized_FCF!C117</f>
        <v>0.11373693403846989</v>
      </c>
      <c r="D74" s="322">
        <f>Normalized_FCF!G117</f>
        <v>0.13582939674141439</v>
      </c>
    </row>
    <row r="75" spans="1:6">
      <c r="B75" s="259" t="str">
        <f>Normalized_FCF!B118</f>
        <v>Sales/Total Assets</v>
      </c>
      <c r="C75" s="324">
        <f>Normalized_FCF!C118</f>
        <v>0.70652858717908329</v>
      </c>
      <c r="D75" s="324">
        <f>Normalized_FCF!G118</f>
        <v>0.70652858717908329</v>
      </c>
    </row>
    <row r="76" spans="1:6">
      <c r="B76" s="259" t="str">
        <f>Normalized_FCF!B119</f>
        <v>Total Assets/Equity</v>
      </c>
      <c r="C76" s="324">
        <f>Normalized_FCF!C119</f>
        <v>3.2875080906148866</v>
      </c>
      <c r="D76" s="324">
        <f>Normalized_FCF!G119</f>
        <v>3.2875080906148866</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20.673353038833589</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2323</v>
      </c>
      <c r="D102" s="1" t="str">
        <f>Reporting_currency</f>
        <v>USD</v>
      </c>
    </row>
    <row r="103" spans="2:6">
      <c r="B103" s="47" t="s">
        <v>281</v>
      </c>
      <c r="C103" s="223">
        <f>C102*scaling_factor*Exchange_Rate/Common_Shares</f>
        <v>13.161377136275471</v>
      </c>
      <c r="D103" s="1" t="str">
        <f>Market_currency</f>
        <v>HKD</v>
      </c>
    </row>
    <row r="104" spans="2:6">
      <c r="B104" s="296" t="s">
        <v>404</v>
      </c>
      <c r="C104" s="325">
        <f>IF(BS!G31/BS!G27&gt;300%,"nm",BS!G31/BS!G27)</f>
        <v>1.5035598705501618</v>
      </c>
    </row>
    <row r="105" spans="2:6">
      <c r="B105" s="296" t="s">
        <v>406</v>
      </c>
      <c r="C105" s="326">
        <f>IF(BS!C50&gt;30,"nm",BS!C50)</f>
        <v>4.1998196571663646</v>
      </c>
    </row>
    <row r="107" spans="2:6">
      <c r="B107" s="1" t="s">
        <v>254</v>
      </c>
    </row>
    <row r="108" spans="2:6">
      <c r="B108" s="47" t="s">
        <v>264</v>
      </c>
      <c r="C108" s="349">
        <f>BS!C66</f>
        <v>676.3</v>
      </c>
      <c r="D108" s="1" t="str">
        <f>Reporting_currency</f>
        <v>USD</v>
      </c>
    </row>
    <row r="109" spans="2:6">
      <c r="B109" s="47" t="s">
        <v>266</v>
      </c>
      <c r="C109" s="349">
        <f>DCF!C8</f>
        <v>326.34592214691179</v>
      </c>
      <c r="D109" s="1" t="str">
        <f>Reporting_currency</f>
        <v>USD</v>
      </c>
    </row>
    <row r="110" spans="2:6">
      <c r="B110" s="47" t="s">
        <v>282</v>
      </c>
      <c r="C110" s="223">
        <f>C109*scaling_factor*Exchange_Rate/Common_Shares</f>
        <v>1.8489719148777874</v>
      </c>
      <c r="D110" s="1" t="str">
        <f>Market_currency</f>
        <v>HKD</v>
      </c>
    </row>
    <row r="112" spans="2:6">
      <c r="B112" s="1" t="s">
        <v>256</v>
      </c>
    </row>
    <row r="113" spans="1:6">
      <c r="B113" s="47" t="s">
        <v>257</v>
      </c>
      <c r="C113" s="349">
        <f>DCF!C9</f>
        <v>0</v>
      </c>
      <c r="D113" s="1" t="str">
        <f>Reporting_currency</f>
        <v>USD</v>
      </c>
    </row>
    <row r="114" spans="1:6">
      <c r="B114" s="47" t="s">
        <v>283</v>
      </c>
      <c r="C114" s="223">
        <f>C113*scaling_factor*Exchange_Rate/Common_Shares</f>
        <v>0</v>
      </c>
      <c r="D114" s="1" t="str">
        <f>Market_currency</f>
        <v>HKD</v>
      </c>
    </row>
    <row r="116" spans="1:6" ht="24.6" customHeight="1">
      <c r="B116" s="358" t="s">
        <v>366</v>
      </c>
      <c r="C116" s="358"/>
      <c r="D116" s="358"/>
      <c r="E116" s="358"/>
      <c r="F116" s="358"/>
    </row>
    <row r="118" spans="1:6">
      <c r="B118" s="47" t="s">
        <v>448</v>
      </c>
      <c r="C118" s="223">
        <f>IF(valuation_method="DCF",DCF!C12,DDM!C7)</f>
        <v>9.3609478174359069</v>
      </c>
      <c r="D118" s="1" t="str">
        <f>Market_currency</f>
        <v>HKD</v>
      </c>
    </row>
    <row r="119" spans="1:6">
      <c r="B119" s="296" t="s">
        <v>405</v>
      </c>
      <c r="C119" s="223">
        <f>BS!D47</f>
        <v>-12.256227927798774</v>
      </c>
      <c r="D119" s="1" t="str">
        <f>Market_currency</f>
        <v>HKD</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0.25</v>
      </c>
      <c r="D126" s="230">
        <f>DCF!D74</f>
        <v>15</v>
      </c>
      <c r="E126" s="231" t="str">
        <f>ROUND(IF(valuation_method="DCF",DCF!E74,DDM!E69),2)&amp;" "&amp;Market_currency</f>
        <v>92.73 HKD</v>
      </c>
      <c r="F126" s="232">
        <f>DCF!F74</f>
        <v>0.05</v>
      </c>
    </row>
    <row r="127" spans="1:6">
      <c r="B127" s="218" t="str">
        <f>DCF!B75</f>
        <v>Optimistic</v>
      </c>
      <c r="C127" s="219">
        <f>DCF!C75</f>
        <v>0.15</v>
      </c>
      <c r="D127" s="220">
        <f>DCF!D75</f>
        <v>10</v>
      </c>
      <c r="E127" s="231" t="str">
        <f>ROUND(IF(valuation_method="DCF",DCF!E75,DDM!E70),2)&amp;" "&amp;Market_currency</f>
        <v>23.11 HKD</v>
      </c>
      <c r="F127" s="221">
        <f>DCF!F75</f>
        <v>0.18</v>
      </c>
    </row>
    <row r="128" spans="1:6">
      <c r="B128" s="218" t="str">
        <f>DCF!B76</f>
        <v>Base</v>
      </c>
      <c r="C128" s="219">
        <f>DCF!C76</f>
        <v>0.06</v>
      </c>
      <c r="D128" s="220">
        <f>DCF!D76</f>
        <v>10</v>
      </c>
      <c r="E128" s="231" t="str">
        <f>ROUND(IF(valuation_method="DCF",DCF!E76,DDM!E71),2)&amp;" "&amp;Market_currency</f>
        <v>13.68 HKD</v>
      </c>
      <c r="F128" s="221">
        <f>DCF!F76</f>
        <v>0.53999999999999992</v>
      </c>
    </row>
    <row r="129" spans="1:6">
      <c r="B129" s="218" t="str">
        <f>DCF!B77</f>
        <v>Pessimistic</v>
      </c>
      <c r="C129" s="219">
        <f>DCF!C77</f>
        <v>0.02</v>
      </c>
      <c r="D129" s="220">
        <f>DCF!D77</f>
        <v>10</v>
      </c>
      <c r="E129" s="231" t="str">
        <f>ROUND(IF(valuation_method="DCF",DCF!E77,DDM!E72),2)&amp;" "&amp;Market_currency</f>
        <v>10.67 HKD</v>
      </c>
      <c r="F129" s="221">
        <f>DCF!F77</f>
        <v>0.18</v>
      </c>
    </row>
    <row r="130" spans="1:6">
      <c r="B130" s="218" t="str">
        <f>DCF!B78</f>
        <v>Devil's advocate</v>
      </c>
      <c r="C130" s="219">
        <f>DCF!C78</f>
        <v>0</v>
      </c>
      <c r="D130" s="220">
        <f>DCF!D78</f>
        <v>15</v>
      </c>
      <c r="E130" s="231" t="str">
        <f>ROUND(IF(valuation_method="DCF",DCF!E78,DDM!E73),2)&amp;" "&amp;Market_currency</f>
        <v>9.36 HKD</v>
      </c>
      <c r="F130" s="221">
        <f>DCF!F78</f>
        <v>0.05</v>
      </c>
    </row>
    <row r="132" spans="1:6">
      <c r="B132" s="211" t="s">
        <v>258</v>
      </c>
      <c r="C132" s="217">
        <f>Scenarios!C60</f>
        <v>18.574185957570329</v>
      </c>
      <c r="D132" s="212" t="str">
        <f>Market_currency</f>
        <v>HKD</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0.84158639999999996</v>
      </c>
      <c r="D143" s="212" t="str">
        <f>Market_currency</f>
        <v>HKD</v>
      </c>
    </row>
    <row r="145" spans="2:4">
      <c r="B145" s="210" t="s">
        <v>408</v>
      </c>
      <c r="C145" s="241" t="str">
        <f>C11</f>
        <v>1910.HK</v>
      </c>
      <c r="D145" s="241" t="str">
        <f>IF(D11="","",D11)</f>
        <v/>
      </c>
    </row>
    <row r="146" spans="2:4">
      <c r="B146" s="1" t="s">
        <v>407</v>
      </c>
      <c r="C146" s="297">
        <f>F29</f>
        <v>0.3674</v>
      </c>
    </row>
    <row r="147" spans="2:4">
      <c r="B147" s="212" t="str">
        <f>"PV("&amp;C141&amp;" yrs of Dividends)"</f>
        <v>PV(3 yrs of Dividends)</v>
      </c>
      <c r="C147" s="216">
        <f>Scenarios!C81</f>
        <v>1.3947269044507218</v>
      </c>
    </row>
    <row r="148" spans="2:4">
      <c r="B148" s="212" t="str">
        <f>"+ PV(Equity Value realized at year "&amp;C141&amp;")"</f>
        <v>+ PV(Equity Value realized at year 3)</v>
      </c>
      <c r="C148" s="216">
        <f>Scenarios!C82</f>
        <v>7.2647899610068576</v>
      </c>
    </row>
    <row r="149" spans="2:4">
      <c r="B149" s="80" t="s">
        <v>260</v>
      </c>
      <c r="C149" s="215">
        <f>Scenarios!C83</f>
        <v>8.6595168654575794</v>
      </c>
      <c r="D149" s="300" t="str">
        <f>IF($D$11="","",C149*$E$25)</f>
        <v/>
      </c>
    </row>
    <row r="150" spans="2:4">
      <c r="B150" s="259" t="s">
        <v>415</v>
      </c>
      <c r="C150" s="298" t="str">
        <f>Market_currency</f>
        <v>HKD</v>
      </c>
      <c r="D150" s="298" t="str">
        <f>IF($D$11="","",D$13)</f>
        <v/>
      </c>
    </row>
    <row r="151" spans="2:4">
      <c r="B151" s="214" t="s">
        <v>262</v>
      </c>
      <c r="C151" s="92">
        <f>Scenarios!F83</f>
        <v>0.53378754335512624</v>
      </c>
    </row>
    <row r="153" spans="2:4">
      <c r="B153" s="210" t="s">
        <v>411</v>
      </c>
    </row>
    <row r="154" spans="2:4">
      <c r="B154" s="1" t="s">
        <v>410</v>
      </c>
      <c r="C154" s="297">
        <f>Scenarios!C90</f>
        <v>0.21740000000000001</v>
      </c>
    </row>
    <row r="155" spans="2:4">
      <c r="B155" s="212" t="str">
        <f>"PV("&amp;C141&amp;" yrs of Dividends)"</f>
        <v>PV(3 yrs of Dividends)</v>
      </c>
      <c r="C155" s="216">
        <f>Scenarios!C91</f>
        <v>1.7255894479135263</v>
      </c>
    </row>
    <row r="156" spans="2:4">
      <c r="B156" s="212" t="str">
        <f>"+ PV(Equity Value realized at year "&amp;C141&amp;")"</f>
        <v>+ PV(Equity Value realized at year 3)</v>
      </c>
      <c r="C156" s="216">
        <f>Scenarios!C92</f>
        <v>10.294609963859385</v>
      </c>
    </row>
    <row r="157" spans="2:4">
      <c r="B157" s="80" t="s">
        <v>260</v>
      </c>
      <c r="C157" s="215">
        <f>Scenarios!C93</f>
        <v>12.020199411772911</v>
      </c>
      <c r="D157" s="300" t="str">
        <f>IF($D$11="","",C157*$E$25)</f>
        <v/>
      </c>
    </row>
    <row r="158" spans="2:4">
      <c r="B158" s="259" t="s">
        <v>415</v>
      </c>
      <c r="C158" s="298" t="str">
        <f>Market_currency</f>
        <v>HKD</v>
      </c>
      <c r="D158" s="298" t="str">
        <f>IF($D$11="","",D$13)</f>
        <v/>
      </c>
    </row>
    <row r="159" spans="2:4">
      <c r="B159" s="214" t="s">
        <v>262</v>
      </c>
      <c r="C159" s="92">
        <f>Scenarios!F93</f>
        <v>0.35285457789476871</v>
      </c>
    </row>
    <row r="161" spans="2:4">
      <c r="B161" s="210" t="s">
        <v>400</v>
      </c>
    </row>
    <row r="162" spans="2:4">
      <c r="B162" s="1" t="s">
        <v>409</v>
      </c>
      <c r="C162" s="92">
        <f>Scenarios!C96</f>
        <v>7.4999999999999997E-2</v>
      </c>
    </row>
    <row r="163" spans="2:4">
      <c r="B163" s="212" t="str">
        <f>"PV("&amp;C141&amp;" yrs of Dividends)"</f>
        <v>PV(3 yrs of Dividends)</v>
      </c>
      <c r="C163" s="216">
        <f>Scenarios!C97</f>
        <v>2.1885670955261789</v>
      </c>
    </row>
    <row r="164" spans="2:4">
      <c r="B164" s="212" t="str">
        <f>"+ PV(Equity Value realized at year "&amp;C141&amp;")"</f>
        <v>+ PV(Equity Value realized at year 3)</v>
      </c>
      <c r="C164" s="216">
        <f>Scenarios!C98</f>
        <v>14.951487306583083</v>
      </c>
    </row>
    <row r="165" spans="2:4">
      <c r="B165" s="80" t="s">
        <v>401</v>
      </c>
      <c r="C165" s="215">
        <f>Scenarios!C99</f>
        <v>17.140054402109261</v>
      </c>
      <c r="D165" s="300" t="str">
        <f>IF($D$11="","",C165*$E$25)</f>
        <v/>
      </c>
    </row>
    <row r="166" spans="2:4">
      <c r="B166" s="259" t="s">
        <v>415</v>
      </c>
      <c r="C166" s="298" t="str">
        <f>Market_currency</f>
        <v>HKD</v>
      </c>
      <c r="D166" s="298" t="str">
        <f>IF($D$11="","",D$13)</f>
        <v/>
      </c>
    </row>
    <row r="167" spans="2:4">
      <c r="B167" s="214" t="s">
        <v>262</v>
      </c>
      <c r="C167" s="92">
        <f>Scenarios!F99</f>
        <v>7.7211004495007507E-2</v>
      </c>
    </row>
    <row r="169" spans="2:4">
      <c r="B169" s="210" t="s">
        <v>431</v>
      </c>
    </row>
    <row r="170" spans="2:4">
      <c r="B170" s="1" t="s">
        <v>422</v>
      </c>
      <c r="C170" s="92">
        <f>F32</f>
        <v>0.1174</v>
      </c>
    </row>
    <row r="171" spans="2:4">
      <c r="B171" s="212" t="str">
        <f>"PV("&amp;C141&amp;" yrs of Dividends)"</f>
        <v>PV(3 yrs of Dividends)</v>
      </c>
      <c r="C171" s="216">
        <f>Scenarios!C103</f>
        <v>2.030413979387454</v>
      </c>
    </row>
    <row r="172" spans="2:4">
      <c r="B172" s="212" t="str">
        <f>"+ PV(Equity Value realized at year "&amp;C141&amp;")"</f>
        <v>+ PV(Equity Value realized at year 3)</v>
      </c>
      <c r="C172" s="216">
        <f>Scenarios!C104</f>
        <v>13.313240826878136</v>
      </c>
    </row>
    <row r="173" spans="2:4">
      <c r="B173" s="80" t="s">
        <v>401</v>
      </c>
      <c r="C173" s="215">
        <f>Scenarios!C105</f>
        <v>15.34365480626559</v>
      </c>
      <c r="D173" s="300" t="str">
        <f>IF($D$11="","",C173*$E$25)</f>
        <v/>
      </c>
    </row>
    <row r="174" spans="2:4">
      <c r="B174" s="259" t="s">
        <v>415</v>
      </c>
      <c r="C174" s="298" t="str">
        <f>Market_currency</f>
        <v>HKD</v>
      </c>
      <c r="D174" s="298" t="str">
        <f>IF($D$11="","",D$13)</f>
        <v/>
      </c>
    </row>
    <row r="175" spans="2:4">
      <c r="B175" s="214" t="s">
        <v>262</v>
      </c>
      <c r="C175" s="92">
        <f>Scenarios!F105</f>
        <v>0.17160407431975944</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56480</v>
      </c>
      <c r="D22" s="351">
        <v>53420</v>
      </c>
      <c r="E22" s="351">
        <v>27770</v>
      </c>
      <c r="F22" s="351">
        <v>38710</v>
      </c>
      <c r="G22" s="351">
        <v>-11420</v>
      </c>
      <c r="H22" s="351"/>
      <c r="I22" s="351"/>
      <c r="J22" s="351"/>
      <c r="K22" s="351"/>
      <c r="L22" s="351"/>
      <c r="M22" s="351"/>
    </row>
    <row r="23" spans="2:13">
      <c r="B23" s="27" t="s">
        <v>373</v>
      </c>
      <c r="C23" s="351">
        <v>-11150</v>
      </c>
      <c r="D23" s="351">
        <v>-11010</v>
      </c>
      <c r="E23" s="351">
        <v>-6280</v>
      </c>
      <c r="F23" s="351">
        <v>940</v>
      </c>
      <c r="G23" s="351">
        <v>-2610</v>
      </c>
      <c r="H23" s="351"/>
      <c r="I23" s="351"/>
      <c r="J23" s="351"/>
      <c r="K23" s="351"/>
      <c r="L23" s="351"/>
      <c r="M23" s="351"/>
    </row>
    <row r="24" spans="2:13">
      <c r="B24" s="27" t="s">
        <v>372</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0.84158639999999996</v>
      </c>
      <c r="D25" s="39">
        <f>0.1026*Exchange_Rate</f>
        <v>0.80397359999999995</v>
      </c>
      <c r="E25" s="39">
        <v>0</v>
      </c>
      <c r="F25" s="39">
        <v>0</v>
      </c>
      <c r="G25" s="39">
        <v>0</v>
      </c>
      <c r="H25" s="39"/>
      <c r="I25" s="39"/>
      <c r="J25" s="39"/>
      <c r="K25" s="39"/>
      <c r="L25" s="39"/>
      <c r="M25" s="39"/>
    </row>
    <row r="27" spans="2:13">
      <c r="B27" s="16" t="s">
        <v>28</v>
      </c>
      <c r="C27" s="97" t="s">
        <v>462</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172</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152</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168</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160</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393</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0.84158639999999996</v>
      </c>
      <c r="D65" s="73">
        <f t="shared" ref="D65:M65" si="33">IF(D$4="","",D25)</f>
        <v>0.80397359999999995</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168</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89.6</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262.1+499.2</f>
        <v>761.3</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1519.8</v>
      </c>
      <c r="D21" s="261">
        <v>0.05</v>
      </c>
      <c r="F21" s="1" t="s">
        <v>180</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244</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203</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4402.8999999999996</v>
      </c>
      <c r="H35" s="200">
        <f>D12+D24</f>
        <v>831.09</v>
      </c>
    </row>
    <row r="36" spans="2:8" ht="15" customHeight="1">
      <c r="B36" s="4" t="s">
        <v>13</v>
      </c>
      <c r="C36" s="19">
        <v>1687</v>
      </c>
      <c r="F36" s="190" t="s">
        <v>197</v>
      </c>
      <c r="G36" s="191">
        <f>C4+C15</f>
        <v>325.3</v>
      </c>
      <c r="H36" s="195"/>
    </row>
    <row r="37" spans="2:8" ht="15" customHeight="1">
      <c r="B37" s="4" t="s">
        <v>14</v>
      </c>
      <c r="C37" s="19">
        <v>406.6</v>
      </c>
      <c r="F37" s="190" t="s">
        <v>198</v>
      </c>
      <c r="G37" s="191">
        <f>C6</f>
        <v>651.4</v>
      </c>
      <c r="H37" s="195"/>
    </row>
    <row r="38" spans="2:8" ht="15" customHeight="1">
      <c r="B38" s="4" t="s">
        <v>15</v>
      </c>
      <c r="C38" s="19">
        <v>0</v>
      </c>
      <c r="F38" s="190" t="s">
        <v>199</v>
      </c>
      <c r="G38" s="191">
        <f>C7+C17</f>
        <v>0</v>
      </c>
      <c r="H38" s="195"/>
    </row>
    <row r="39" spans="2:8" ht="15" customHeight="1">
      <c r="B39" s="2" t="s">
        <v>16</v>
      </c>
      <c r="C39" s="19">
        <v>0</v>
      </c>
      <c r="F39" s="190" t="s">
        <v>79</v>
      </c>
      <c r="G39" s="191">
        <f>C7+C17+C19+C20</f>
        <v>761.3</v>
      </c>
      <c r="H39" s="188">
        <f>C7*D7+C17*D17+C19*D19+C20*D20</f>
        <v>76.13</v>
      </c>
    </row>
    <row r="40" spans="2:8" ht="15" customHeight="1">
      <c r="B40" s="80" t="s">
        <v>204</v>
      </c>
      <c r="C40" s="81">
        <f>SUM(C36:C39)</f>
        <v>2093.6</v>
      </c>
      <c r="F40" s="199" t="s">
        <v>138</v>
      </c>
      <c r="G40" s="193">
        <f>G12+G24</f>
        <v>676.3</v>
      </c>
      <c r="H40" s="200">
        <f>H12+H24</f>
        <v>608.66999999999996</v>
      </c>
    </row>
    <row r="41" spans="2:8" ht="15" customHeight="1">
      <c r="B41" s="4" t="s">
        <v>17</v>
      </c>
      <c r="C41" s="21">
        <f>C42-C40</f>
        <v>350.30000000000018</v>
      </c>
      <c r="F41" s="190" t="s">
        <v>191</v>
      </c>
      <c r="G41" s="191">
        <f>C70</f>
        <v>676.3</v>
      </c>
      <c r="H41" s="200">
        <f>H40-H42</f>
        <v>608.66999999999996</v>
      </c>
    </row>
    <row r="42" spans="2:8" ht="15" customHeight="1">
      <c r="B42" s="83" t="s">
        <v>22</v>
      </c>
      <c r="C42" s="84">
        <v>2443.9</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1476.2</v>
      </c>
      <c r="D46" s="76">
        <f>H29</f>
        <v>-2163.2399999999998</v>
      </c>
      <c r="F46" s="253"/>
    </row>
    <row r="47" spans="2:8" ht="15" customHeight="1">
      <c r="B47" s="1" t="str">
        <f>"Equity per share ("&amp;Market_currency&amp;")"</f>
        <v>Equity per share (HKD)</v>
      </c>
      <c r="C47" s="147">
        <f>C46*H1/Common_Shares*Exchange_Rate</f>
        <v>8.3636784023116011</v>
      </c>
      <c r="D47" s="147">
        <f>D46*H1/Common_Shares*Exchange_Rate</f>
        <v>-12.256227927798774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176</v>
      </c>
      <c r="C51" s="181"/>
      <c r="D51" s="92">
        <f>G29/G32</f>
        <v>0.29063632068042211</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0.12562606199191742</v>
      </c>
      <c r="D54" s="92">
        <f>Normalized_FCF!G8/G35</f>
        <v>0.14363260578255238</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274</v>
      </c>
      <c r="C61" s="235" t="s">
        <v>137</v>
      </c>
      <c r="D61" s="197" t="s">
        <v>95</v>
      </c>
      <c r="F61" s="253"/>
    </row>
    <row r="62" spans="2:8" ht="15" customHeight="1">
      <c r="B62" s="1" t="s">
        <v>245</v>
      </c>
      <c r="C62" s="92">
        <f>IF(G28&lt;=0,0,G28/G29)</f>
        <v>4.6606150928058525E-2</v>
      </c>
      <c r="D62" s="92">
        <f>G28/G29</f>
        <v>4.6606150928058525E-2</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676.3</v>
      </c>
      <c r="D66" s="76">
        <f>C66-D75</f>
        <v>326.34592214691179</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676.3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-343.34732688177263</v>
      </c>
      <c r="D73" s="349">
        <f>(Normalized_FCF!C25+Normalized_FCF!C35-Normalized_FCF!C91)/12</f>
        <v>-349.95407785308817</v>
      </c>
      <c r="F73" s="1" t="s">
        <v>351</v>
      </c>
    </row>
    <row r="74" spans="2:6" ht="15" customHeight="1">
      <c r="B74" s="257" t="s">
        <v>321</v>
      </c>
      <c r="C74" s="258">
        <f>-$C$66/C73</f>
        <v>1.9697255433500882</v>
      </c>
      <c r="D74" s="258">
        <f>-$C$66/D73</f>
        <v>1.9325392752928938</v>
      </c>
      <c r="F74" s="253" t="s">
        <v>319</v>
      </c>
    </row>
    <row r="75" spans="2:6" ht="15" customHeight="1">
      <c r="B75" s="80" t="s">
        <v>320</v>
      </c>
      <c r="C75" s="320"/>
      <c r="D75" s="321">
        <f>MAX(-D73*D76,G5)</f>
        <v>349.95407785308817</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-18203.028000000002</v>
      </c>
      <c r="D86" s="223">
        <f>C86*scaling_factor/Common_Shares</f>
        <v>-13.161377136275474</v>
      </c>
      <c r="E86" s="240" t="str">
        <f>Market_currency</f>
        <v>HKD</v>
      </c>
    </row>
    <row r="87" spans="2:8" ht="15" customHeight="1">
      <c r="B87" s="238" t="s">
        <v>287</v>
      </c>
      <c r="C87" s="76">
        <f>DCF!C8*Exchange_Rate</f>
        <v>2557.2466459432007</v>
      </c>
      <c r="D87" s="223">
        <f>C87*scaling_factor/Common_Shares</f>
        <v>1.848971914877787</v>
      </c>
      <c r="E87" s="240" t="str">
        <f>Market_currency</f>
        <v>HKD</v>
      </c>
    </row>
    <row r="88" spans="2:8" ht="15" customHeight="1">
      <c r="B88" s="239" t="s">
        <v>189</v>
      </c>
      <c r="C88" s="76">
        <f>DCF!C9*Exchange_Rate</f>
        <v>0</v>
      </c>
      <c r="D88" s="223">
        <f>C88*scaling_factor/Common_Shares</f>
        <v>0</v>
      </c>
      <c r="E88" s="240" t="str">
        <f>Market_currency</f>
        <v>HKD</v>
      </c>
    </row>
    <row r="89" spans="2:8" ht="15" customHeight="1">
      <c r="B89" s="80" t="s">
        <v>291</v>
      </c>
      <c r="C89" s="180">
        <f>SUM(C86:C88)</f>
        <v>-15645.781354056802</v>
      </c>
      <c r="D89" s="242">
        <f>SUM(D86:D88)</f>
        <v>-11.312405221397688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152</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-144.96262685376016</v>
      </c>
      <c r="E12" s="268"/>
      <c r="G12" s="328">
        <f>G50</f>
        <v>-144.96262685376016</v>
      </c>
      <c r="H12" s="328">
        <f t="shared" ref="H12:Q12" si="6">H50</f>
        <v>-165.60040911829194</v>
      </c>
      <c r="I12" s="328">
        <f t="shared" si="6"/>
        <v>-133.74640561125659</v>
      </c>
      <c r="J12" s="328">
        <f t="shared" si="6"/>
        <v>-167.13716593187769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164</v>
      </c>
      <c r="C13" s="329">
        <f>SUM(C8:C12)</f>
        <v>408.15636149045304</v>
      </c>
      <c r="E13" s="268"/>
      <c r="G13" s="329">
        <f>IF(G$4="","",SUM(G8:G12))</f>
        <v>487.43737314623968</v>
      </c>
      <c r="H13" s="329">
        <f t="shared" ref="H13:Q13" si="7">IF(H$4="","",SUM(H8:H12))</f>
        <v>497.89959088170826</v>
      </c>
      <c r="I13" s="329">
        <f t="shared" si="7"/>
        <v>286.45359438874323</v>
      </c>
      <c r="J13" s="329">
        <f t="shared" si="7"/>
        <v>-53.537165931877553</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-102.03909037261326</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243</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154</v>
      </c>
      <c r="C16" s="332">
        <f>SUM(C13:C15)</f>
        <v>273.6655059646788</v>
      </c>
      <c r="D16" s="61"/>
      <c r="E16" s="276"/>
      <c r="F16" s="61"/>
      <c r="G16" s="329">
        <f>IF(G$4="","",SUM(G13:G15))</f>
        <v>342.23737314623969</v>
      </c>
      <c r="H16" s="329">
        <f t="shared" ref="H16:Q16" si="8">IF(H$4="","",SUM(H13:H15))</f>
        <v>329.99959088170823</v>
      </c>
      <c r="I16" s="329">
        <f t="shared" si="8"/>
        <v>236.55359438874322</v>
      </c>
      <c r="J16" s="329">
        <f t="shared" si="8"/>
        <v>-6.5371659318775492</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273.6655059646788</v>
      </c>
      <c r="D19" s="27"/>
      <c r="E19" s="265"/>
      <c r="F19" s="27"/>
      <c r="G19" s="334">
        <f>IF(G$4="","",G16+G17)</f>
        <v>342.23737314623969</v>
      </c>
      <c r="H19" s="334">
        <f t="shared" ref="H19:Q19" si="9">IF(H$4="","",H16+H17)</f>
        <v>329.99959088170823</v>
      </c>
      <c r="I19" s="334">
        <f t="shared" si="9"/>
        <v>236.55359438874322</v>
      </c>
      <c r="J19" s="334">
        <f t="shared" si="9"/>
        <v>-6.5371659318775492</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0.42622819573379517</v>
      </c>
      <c r="D28" s="26"/>
      <c r="E28" s="266" t="s">
        <v>333</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333</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-227.20000000000005</v>
      </c>
      <c r="E33" s="266" t="s">
        <v>333</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0.24269784492808669</v>
      </c>
      <c r="H43" s="6">
        <f t="shared" si="18"/>
        <v>0.27033563084806483</v>
      </c>
      <c r="I43" s="6">
        <f t="shared" si="18"/>
        <v>8.4830494279023505E-2</v>
      </c>
      <c r="J43" s="6">
        <f t="shared" si="18"/>
        <v>1.0497380468646906</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345</v>
      </c>
      <c r="C48" s="328">
        <f>BS!D75*C53</f>
        <v>7.0373731462398332</v>
      </c>
      <c r="E48" s="268"/>
      <c r="G48" s="337">
        <f>IFERROR(IF(G$4="","",($C$48/$C$49)*G49),0)</f>
        <v>7.0373731462398332</v>
      </c>
      <c r="H48" s="337">
        <f t="shared" ref="H48:Q48" si="19">IFERROR(IF(H$4="","",($C$48/$C$49)*H49),0)</f>
        <v>7.3995908817080611</v>
      </c>
      <c r="I48" s="337">
        <f t="shared" si="19"/>
        <v>4.5535943887434227</v>
      </c>
      <c r="J48" s="337">
        <f t="shared" si="19"/>
        <v>1.862834068122309</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342</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-144.96262685376016</v>
      </c>
      <c r="E50" s="268"/>
      <c r="G50" s="329">
        <f>IF(G$4="","",(G47+G48))</f>
        <v>-144.96262685376016</v>
      </c>
      <c r="H50" s="329">
        <f t="shared" ref="H50:Q50" si="20">IF(H$4="","",(H47+H48))</f>
        <v>-165.60040911829194</v>
      </c>
      <c r="I50" s="329">
        <f t="shared" si="20"/>
        <v>-133.74640561125659</v>
      </c>
      <c r="J50" s="329">
        <f t="shared" si="20"/>
        <v>-167.13716593187769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2.0109418896939228E-2</v>
      </c>
      <c r="E53" s="265" t="s">
        <v>335</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336</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160</v>
      </c>
      <c r="C62" s="343">
        <v>0</v>
      </c>
      <c r="E62" s="266" t="s">
        <v>337</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195</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152</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4.0395314845276753E-2</v>
      </c>
      <c r="D80" s="27"/>
      <c r="E80" s="265"/>
      <c r="F80" s="27"/>
      <c r="G80" s="6">
        <f t="shared" ref="G80:Q80" si="31">IF(G$4="","",ABS(G12/G$4))</f>
        <v>4.0395314845276753E-2</v>
      </c>
      <c r="H80" s="6">
        <f t="shared" si="31"/>
        <v>4.4970782402316951E-2</v>
      </c>
      <c r="I80" s="6">
        <f t="shared" si="31"/>
        <v>4.6446175028218017E-2</v>
      </c>
      <c r="J80" s="6">
        <f t="shared" si="31"/>
        <v>8.2708415445307645E-2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164</v>
      </c>
      <c r="C81" s="78">
        <f>C13/C4</f>
        <v>0.11373693403846989</v>
      </c>
      <c r="D81" s="27"/>
      <c r="E81" s="265"/>
      <c r="F81" s="27"/>
      <c r="G81" s="65">
        <f t="shared" ref="G81:Q81" si="32">IF(G$4="","",G13/G$4)</f>
        <v>0.13582939674141439</v>
      </c>
      <c r="H81" s="65">
        <f t="shared" si="32"/>
        <v>0.1352106210302271</v>
      </c>
      <c r="I81" s="65">
        <f t="shared" si="32"/>
        <v>9.9476869839124613E-2</v>
      </c>
      <c r="J81" s="65">
        <f t="shared" si="32"/>
        <v>-2.6493055191942574E-2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2.8434233509617473E-2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154</v>
      </c>
      <c r="C84" s="78">
        <f>ABS(C16/C$4)</f>
        <v>7.6259685104129407E-2</v>
      </c>
      <c r="D84" s="27"/>
      <c r="E84" s="265"/>
      <c r="F84" s="27"/>
      <c r="G84" s="65">
        <f t="shared" ref="G84:Q84" si="35">IF(G$4="","",ABS(G16/G$4))</f>
        <v>9.5367935447316421E-2</v>
      </c>
      <c r="H84" s="65">
        <f t="shared" si="35"/>
        <v>8.9615357071939017E-2</v>
      </c>
      <c r="I84" s="65">
        <f t="shared" si="35"/>
        <v>8.2148074173059873E-2</v>
      </c>
      <c r="J84" s="65">
        <f t="shared" si="35"/>
        <v>3.2349395941595159E-3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7.6259685104129407E-2</v>
      </c>
      <c r="D87" s="75"/>
      <c r="E87" s="265"/>
      <c r="F87" s="75"/>
      <c r="G87" s="65">
        <f t="shared" ref="G87:Q87" si="36">IF(G$4="","",ABS(G19/G$4))</f>
        <v>9.5367935447316421E-2</v>
      </c>
      <c r="H87" s="65">
        <f t="shared" si="36"/>
        <v>8.9615357071939017E-2</v>
      </c>
      <c r="I87" s="65">
        <f t="shared" si="36"/>
        <v>8.2148074173059873E-2</v>
      </c>
      <c r="J87" s="65">
        <f t="shared" si="36"/>
        <v>3.2349395941595159E-3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0.84158639999999996</v>
      </c>
      <c r="E90" s="268"/>
      <c r="G90" s="112">
        <f>Data!C65</f>
        <v>0.84158639999999996</v>
      </c>
      <c r="H90" s="112">
        <f>Data!D65</f>
        <v>0.80397359999999995</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1163.9679225812711</v>
      </c>
      <c r="E91" s="268"/>
      <c r="G91" s="74">
        <f t="shared" ref="G91:Q91" si="37">IF(G$4="","",G90*Common_Shares/scaling_factor)</f>
        <v>1163.9679225812711</v>
      </c>
      <c r="H91" s="74">
        <f t="shared" si="37"/>
        <v>1111.9470098402087</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213</v>
      </c>
      <c r="C92" s="23">
        <f>C90/(C19*scaling_factor/Common_Shares)</f>
        <v>4.253250399527885</v>
      </c>
      <c r="E92" s="268"/>
      <c r="G92" s="170">
        <f t="shared" ref="G92:Q92" si="38">IF(G$4="","",G90/(G19*scaling_factor/Common_Shares))</f>
        <v>3.4010543964872646</v>
      </c>
      <c r="H92" s="170">
        <f t="shared" si="38"/>
        <v>3.3695405708511856</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309</v>
      </c>
      <c r="C93" s="23">
        <f>C90/Market_Price</f>
        <v>5.9856785206258888E-2</v>
      </c>
      <c r="E93" s="268"/>
      <c r="G93" s="23">
        <f t="shared" ref="G93:Q93" si="39">IF(G$4="","",G90/Market_Price)</f>
        <v>5.9856785206258888E-2</v>
      </c>
      <c r="H93" s="23">
        <f t="shared" si="39"/>
        <v>5.7181621621621617E-2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164</v>
      </c>
      <c r="C97" s="77">
        <f>C13/G13-1</f>
        <v>-0.1626486109262717</v>
      </c>
      <c r="D97" s="27"/>
      <c r="E97" s="265"/>
      <c r="F97" s="27"/>
      <c r="G97" s="6">
        <f t="shared" ref="G97:Q97" si="41">IF(H5="","",G13/H13-1)</f>
        <v>-2.1012706029626349E-2</v>
      </c>
      <c r="H97" s="6">
        <f t="shared" si="41"/>
        <v>0.73815096279090087</v>
      </c>
      <c r="I97" s="6">
        <f t="shared" si="41"/>
        <v>-6.350555813007289</v>
      </c>
      <c r="J97" s="6">
        <f t="shared" si="41"/>
        <v>-0.82818624540475749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5079.2</v>
      </c>
      <c r="D101" s="26"/>
      <c r="E101" s="269"/>
      <c r="F101" s="26"/>
      <c r="G101" s="333">
        <f t="shared" ref="G101:Q101" si="42">IF(G$4="","",G105+G104)</f>
        <v>5079.2</v>
      </c>
      <c r="H101" s="333">
        <f t="shared" si="42"/>
        <v>5111.8</v>
      </c>
      <c r="I101" s="333">
        <f t="shared" si="42"/>
        <v>4721.1000000000004</v>
      </c>
      <c r="J101" s="333">
        <f t="shared" si="42"/>
        <v>4854.3</v>
      </c>
      <c r="K101" s="333">
        <f t="shared" si="42"/>
        <v>5162.2</v>
      </c>
      <c r="L101" s="333" t="str">
        <f t="shared" si="42"/>
        <v/>
      </c>
      <c r="M101" s="333" t="str">
        <f t="shared" si="42"/>
        <v/>
      </c>
      <c r="N101" s="333" t="str">
        <f t="shared" si="42"/>
        <v/>
      </c>
      <c r="O101" s="333" t="str">
        <f t="shared" si="42"/>
        <v/>
      </c>
      <c r="P101" s="333" t="str">
        <f t="shared" si="42"/>
        <v/>
      </c>
      <c r="Q101" s="333" t="str">
        <f t="shared" si="42"/>
        <v/>
      </c>
    </row>
    <row r="102" spans="1:17" ht="15.75" customHeight="1">
      <c r="A102" s="10"/>
      <c r="B102" s="93" t="s">
        <v>210</v>
      </c>
      <c r="C102" s="345">
        <f>BS!C4</f>
        <v>325.3</v>
      </c>
      <c r="D102" s="89"/>
      <c r="E102" s="270"/>
      <c r="F102" s="89"/>
      <c r="G102" s="346">
        <f>IF(G$4="","",Data!D77)</f>
        <v>304.10000000000002</v>
      </c>
      <c r="H102" s="346">
        <f>IF(H$4="","",Data!E77)</f>
        <v>281.7</v>
      </c>
      <c r="I102" s="346">
        <f>IF(I$4="","",Data!F77)</f>
        <v>197.6</v>
      </c>
      <c r="J102" s="346">
        <f>IF(J$4="","",Data!G77)</f>
        <v>129.80000000000001</v>
      </c>
      <c r="K102" s="346" t="str">
        <f>IF(K$4="","",Data!H77)</f>
        <v/>
      </c>
      <c r="L102" s="346" t="str">
        <f>IF(L$4="","",Data!I77)</f>
        <v/>
      </c>
      <c r="M102" s="346" t="str">
        <f>IF(M$4="","",Data!J77)</f>
        <v/>
      </c>
      <c r="N102" s="346" t="str">
        <f>IF(N$4="","",Data!K77)</f>
        <v/>
      </c>
      <c r="O102" s="346" t="str">
        <f>IF(O$4="","",Data!L77)</f>
        <v/>
      </c>
      <c r="P102" s="346" t="str">
        <f>IF(P$4="","",Data!M77)</f>
        <v/>
      </c>
      <c r="Q102" s="346" t="str">
        <f>IF(Q$4="","",Data!N77)</f>
        <v/>
      </c>
    </row>
    <row r="103" spans="1:17" ht="15.75" customHeight="1">
      <c r="A103" s="10"/>
      <c r="B103" s="93" t="s">
        <v>211</v>
      </c>
      <c r="C103" s="345">
        <f>BS!C6+BS!C7</f>
        <v>651.4</v>
      </c>
      <c r="D103" s="89"/>
      <c r="E103" s="270"/>
      <c r="F103" s="89"/>
      <c r="G103" s="346">
        <f>IF(G$4="","",Data!D78)</f>
        <v>695.9</v>
      </c>
      <c r="H103" s="346">
        <f>IF(H$4="","",Data!E78)</f>
        <v>687.6</v>
      </c>
      <c r="I103" s="346">
        <f>IF(I$4="","",Data!F78)</f>
        <v>348.4</v>
      </c>
      <c r="J103" s="346">
        <f>IF(J$4="","",Data!G78)</f>
        <v>455.9</v>
      </c>
      <c r="K103" s="346" t="str">
        <f>IF(K$4="","",Data!H78)</f>
        <v/>
      </c>
      <c r="L103" s="346" t="str">
        <f>IF(L$4="","",Data!I78)</f>
        <v/>
      </c>
      <c r="M103" s="346" t="str">
        <f>IF(M$4="","",Data!J78)</f>
        <v/>
      </c>
      <c r="N103" s="346" t="str">
        <f>IF(N$4="","",Data!K78)</f>
        <v/>
      </c>
      <c r="O103" s="346" t="str">
        <f>IF(O$4="","",Data!L78)</f>
        <v/>
      </c>
      <c r="P103" s="346" t="str">
        <f>IF(P$4="","",Data!M78)</f>
        <v/>
      </c>
      <c r="Q103" s="346" t="str">
        <f>IF(Q$4="","",Data!N78)</f>
        <v/>
      </c>
    </row>
    <row r="104" spans="1:17" ht="15.75" customHeight="1">
      <c r="A104" s="10"/>
      <c r="B104" s="26" t="s">
        <v>40</v>
      </c>
      <c r="C104" s="344">
        <f>BS!G30</f>
        <v>3534.2</v>
      </c>
      <c r="D104" s="26"/>
      <c r="E104" s="269"/>
      <c r="F104" s="26"/>
      <c r="G104" s="333">
        <f>Data!C79</f>
        <v>3534.2</v>
      </c>
      <c r="H104" s="333">
        <f>Data!D79</f>
        <v>3594.1</v>
      </c>
      <c r="I104" s="333">
        <f>Data!E79</f>
        <v>3641.5</v>
      </c>
      <c r="J104" s="333">
        <f>Data!F79</f>
        <v>4127.7</v>
      </c>
      <c r="K104" s="333">
        <f>Data!G79</f>
        <v>4493.2</v>
      </c>
      <c r="L104" s="333" t="str">
        <f>Data!H79</f>
        <v/>
      </c>
      <c r="M104" s="333" t="str">
        <f>Data!I79</f>
        <v/>
      </c>
      <c r="N104" s="333" t="str">
        <f>Data!J79</f>
        <v/>
      </c>
      <c r="O104" s="333" t="str">
        <f>Data!K79</f>
        <v/>
      </c>
      <c r="P104" s="333" t="str">
        <f>Data!L79</f>
        <v/>
      </c>
      <c r="Q104" s="333" t="str">
        <f>Data!M79</f>
        <v/>
      </c>
    </row>
    <row r="105" spans="1:17" ht="15.75" customHeight="1">
      <c r="A105" s="10"/>
      <c r="B105" s="26" t="s">
        <v>30</v>
      </c>
      <c r="C105" s="344">
        <f>BS!G27</f>
        <v>1545</v>
      </c>
      <c r="D105" s="26"/>
      <c r="E105" s="269"/>
      <c r="F105" s="26"/>
      <c r="G105" s="333">
        <f>Data!C80</f>
        <v>1545</v>
      </c>
      <c r="H105" s="333">
        <f>Data!D80</f>
        <v>1517.7</v>
      </c>
      <c r="I105" s="333">
        <f>Data!E80</f>
        <v>1079.5999999999999</v>
      </c>
      <c r="J105" s="333">
        <f>Data!F80</f>
        <v>726.6</v>
      </c>
      <c r="K105" s="333">
        <f>Data!G80</f>
        <v>669</v>
      </c>
      <c r="L105" s="333" t="str">
        <f>Data!H80</f>
        <v/>
      </c>
      <c r="M105" s="333" t="str">
        <f>Data!I80</f>
        <v/>
      </c>
      <c r="N105" s="333" t="str">
        <f>Data!J80</f>
        <v/>
      </c>
      <c r="O105" s="333" t="str">
        <f>Data!K80</f>
        <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9.0648163629270473E-2</v>
      </c>
      <c r="D108" s="26"/>
      <c r="E108" s="26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218</v>
      </c>
      <c r="C109" s="94">
        <f>C103/C$4</f>
        <v>0.18151925541994093</v>
      </c>
      <c r="D109" s="26"/>
      <c r="E109" s="26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151.5834675254965</v>
      </c>
      <c r="H113" s="295">
        <f>IF(H$4="","",Data!D$22/Data!D15)</f>
        <v>118.63202309571396</v>
      </c>
      <c r="I113" s="295">
        <f>IF(I$4="","",Data!E$22/Data!E15)</f>
        <v>82.086905113804306</v>
      </c>
      <c r="J113" s="295">
        <f>IF(J$4="","",Data!F$22/Data!F15)</f>
        <v>1647.2340425531916</v>
      </c>
      <c r="K113" s="295">
        <f>IF(K$4="","",Data!G$22/Data!G15)</f>
        <v>8.866459627329192</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392</v>
      </c>
      <c r="C114" s="169"/>
      <c r="E114" s="268"/>
      <c r="G114" s="295">
        <f>IF(G$4="","",Data!C$22/G19)</f>
        <v>165.03165472774307</v>
      </c>
      <c r="H114" s="295">
        <f>IF(H$4="","",Data!D$22/H19)</f>
        <v>161.87898856865235</v>
      </c>
      <c r="I114" s="295">
        <f>IF(I$4="","",Data!E$22/I19)</f>
        <v>117.39411557773175</v>
      </c>
      <c r="J114" s="295">
        <f>IF(J$4="","",Data!F$22/J19)</f>
        <v>-5921.5263010590343</v>
      </c>
      <c r="K114" s="295">
        <f>IF(K$4="","",Data!G$22/K19)</f>
        <v>52.578268876611439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0.11373693403846989</v>
      </c>
      <c r="E117" s="268"/>
      <c r="G117" s="23">
        <f t="shared" ref="G117:Q117" si="45">IF(G4="","",IF(valuation_method="DDM",G13/(G4+G12),G81))</f>
        <v>0.13582939674141439</v>
      </c>
      <c r="H117" s="23">
        <f t="shared" si="45"/>
        <v>0.1352106210302271</v>
      </c>
      <c r="I117" s="23">
        <f t="shared" si="45"/>
        <v>9.9476869839124613E-2</v>
      </c>
      <c r="J117" s="23">
        <f t="shared" si="45"/>
        <v>-2.6493055191942574E-2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83</v>
      </c>
      <c r="C118" s="42">
        <f>IF(valuation_method="DDM",(C4+C12)/C101,C4/C101)</f>
        <v>0.70652858717908329</v>
      </c>
      <c r="E118" s="268"/>
      <c r="G118" s="42">
        <f t="shared" ref="G118:Q118" si="46">IF(G4="","",IF(valuation_method="DDM",(G4+G12)/G101,G4/G101))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91</v>
      </c>
      <c r="C119" s="15">
        <f>C101/C105</f>
        <v>3.2875080906148866</v>
      </c>
      <c r="D119" s="11"/>
      <c r="E119" s="27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222</v>
      </c>
      <c r="C120" s="102">
        <f>C13/C105</f>
        <v>0.2641788747511023</v>
      </c>
      <c r="D120" s="103"/>
      <c r="E120" s="271"/>
      <c r="F120" s="103"/>
      <c r="G120" s="102">
        <f>IF(G$4="","",G13/G105)</f>
        <v>0.31549344540209689</v>
      </c>
      <c r="H120" s="102">
        <f t="shared" ref="H120:Q120" si="48">IF(H$4="","",H13/H105)</f>
        <v>0.32806192981597698</v>
      </c>
      <c r="I120" s="102">
        <f t="shared" si="48"/>
        <v>0.26533308113073661</v>
      </c>
      <c r="J120" s="102">
        <f t="shared" si="48"/>
        <v>-7.3681758783206097E-2</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1.5505014779125195</v>
      </c>
      <c r="D124" s="27"/>
      <c r="E124" s="265"/>
      <c r="F124" s="27"/>
      <c r="G124" s="177">
        <f t="shared" ref="G124:Q124" si="49">IF(G$4="","",G16*$C$3/Common_Shares*Exchange_Rate)</f>
        <v>1.9390078080524737</v>
      </c>
      <c r="H124" s="177">
        <f t="shared" si="49"/>
        <v>1.8696724366813491</v>
      </c>
      <c r="I124" s="177">
        <f t="shared" si="49"/>
        <v>1.3402372228548372</v>
      </c>
      <c r="J124" s="177">
        <f t="shared" si="49"/>
        <v>-3.7037497301701298E-2</v>
      </c>
      <c r="K124" s="177">
        <f t="shared" si="49"/>
        <v>-1.2305859294012189</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269</v>
      </c>
      <c r="C125" s="77">
        <f>C19*Exchange_Rate*$C$3/(Market_Price*Common_Shares)</f>
        <v>0.11027748776049213</v>
      </c>
      <c r="D125" s="27"/>
      <c r="E125" s="265"/>
      <c r="F125" s="27"/>
      <c r="G125" s="77">
        <f t="shared" ref="G125" si="50">IF(G$4="","",G124/Market_Price)</f>
        <v>0.13790951693118589</v>
      </c>
      <c r="H125" s="77">
        <f t="shared" ref="H125" si="51">IF(H$4="","",H124/Market_Price)</f>
        <v>0.13297812494177447</v>
      </c>
      <c r="I125" s="77">
        <f t="shared" ref="I125" si="52">IF(I$4="","",I124/Market_Price)</f>
        <v>9.5322704328224539E-2</v>
      </c>
      <c r="J125" s="77">
        <f t="shared" ref="J125" si="53">IF(J$4="","",J124/Market_Price)</f>
        <v>-2.6342458962803198E-3</v>
      </c>
      <c r="K125" s="77">
        <f t="shared" ref="K125" si="54">IF(K$4="","",K124/Market_Price)</f>
        <v>-8.7523892560541883E-2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394</v>
      </c>
      <c r="C126" s="169"/>
      <c r="G126" s="23">
        <f>IF(G$4="","",(Data!C47*$C$3)/(Market_Price*Common_Shares))</f>
        <v>1.916087010232435E-2</v>
      </c>
      <c r="H126" s="23">
        <f>IF(H$4="","",(Data!D47*$C$3)/(Market_Price*Common_Shares))</f>
        <v>2.3156574898219685E-2</v>
      </c>
      <c r="I126" s="23">
        <f>IF(I$4="","",(Data!E47*$C$3)/(Market_Price*Common_Shares))</f>
        <v>1.7397000417649834E-2</v>
      </c>
      <c r="J126" s="23">
        <f>IF(J$4="","",(Data!F47*$C$3)/(Market_Price*Common_Shares))</f>
        <v>1.2084821454767102E-3</v>
      </c>
      <c r="K126" s="23">
        <f>IF(K$4="","",(Data!G47*$C$3)/(Market_Price*Common_Shares))</f>
        <v>-6.6235106526553303E-2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273.6655059646788</v>
      </c>
      <c r="D4" t="str">
        <f>Reporting_currency</f>
        <v>USD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3648.8734128623842</v>
      </c>
      <c r="D6" t="str">
        <f>Reporting_currency</f>
        <v>USD</v>
      </c>
      <c r="E6" s="364" t="s">
        <v>249</v>
      </c>
      <c r="F6" s="364"/>
      <c r="H6" s="120"/>
    </row>
    <row r="7" spans="2:8">
      <c r="B7" s="148" t="s">
        <v>224</v>
      </c>
      <c r="C7" s="338">
        <f>BS!G31</f>
        <v>2323</v>
      </c>
      <c r="D7" t="str">
        <f>Reporting_currency</f>
        <v>USD</v>
      </c>
      <c r="E7" s="364"/>
      <c r="F7" s="364"/>
      <c r="H7" s="120"/>
    </row>
    <row r="8" spans="2:8">
      <c r="B8" s="148" t="s">
        <v>225</v>
      </c>
      <c r="C8" s="338">
        <f>BS!D66</f>
        <v>326.34592214691179</v>
      </c>
      <c r="D8" t="str">
        <f>Reporting_currency</f>
        <v>USD</v>
      </c>
      <c r="E8" s="364"/>
      <c r="F8" s="364"/>
      <c r="H8" s="120"/>
    </row>
    <row r="9" spans="2:8">
      <c r="B9" s="205" t="s">
        <v>190</v>
      </c>
      <c r="C9" s="348">
        <f>BS!H42</f>
        <v>0</v>
      </c>
      <c r="D9" t="str">
        <f>Reporting_currency</f>
        <v>USD</v>
      </c>
      <c r="E9" s="364"/>
      <c r="F9" s="364"/>
      <c r="H9" s="120"/>
    </row>
    <row r="10" spans="2:8" ht="13.15">
      <c r="B10" s="149" t="s">
        <v>227</v>
      </c>
      <c r="C10" s="347">
        <f>C6-C7+C8+C9</f>
        <v>1652.2193350092959</v>
      </c>
      <c r="D10" t="str">
        <f>Reporting_currency</f>
        <v>USD</v>
      </c>
      <c r="H10" s="120"/>
    </row>
    <row r="11" spans="2:8" ht="13.15" thickBot="1">
      <c r="B11" s="207" t="s">
        <v>166</v>
      </c>
      <c r="C11" s="208">
        <f>Exchange_Rate</f>
        <v>7.8360000000000003</v>
      </c>
      <c r="D11" t="str">
        <f>Thesis!C15</f>
        <v>USD/HKD</v>
      </c>
      <c r="H11" s="120"/>
    </row>
    <row r="12" spans="2:8" ht="13.5" thickTop="1">
      <c r="B12" s="149" t="s">
        <v>102</v>
      </c>
      <c r="C12" s="111">
        <f>(C10*scaling_factor)/Common_Shares*Exchange_Rate</f>
        <v>9.3609478174359069</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0.111211776070739</v>
      </c>
      <c r="H16" s="120"/>
    </row>
    <row r="17" spans="2:17" ht="13.35" customHeight="1">
      <c r="B17" s="118" t="s">
        <v>134</v>
      </c>
      <c r="C17" s="162">
        <f>Scenarios!C64</f>
        <v>10</v>
      </c>
      <c r="H17" s="120"/>
    </row>
    <row r="18" spans="2:17" ht="13.35" customHeight="1">
      <c r="B18" s="153" t="s">
        <v>106</v>
      </c>
      <c r="C18" s="140">
        <f>(F52-C7+C8+C9)*Exchange_Rate/Common_Shares*scaling_factor</f>
        <v>18.522127319332345</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304.10033293230816</v>
      </c>
      <c r="D21" s="138">
        <f>IF($C$17&lt;B21,0,DCF!$C$16)</f>
        <v>0.111211776070739</v>
      </c>
      <c r="E21" s="124">
        <f t="shared" ref="E21:E50" si="0">IF($C$17&lt;B21,0,1/(1+Equity_Cost)^B21)</f>
        <v>0.93023255813953487</v>
      </c>
      <c r="F21" s="125">
        <f t="shared" ref="F21:F51" si="1">C21*E21</f>
        <v>282.88403063470525</v>
      </c>
      <c r="H21" s="120"/>
    </row>
    <row r="22" spans="2:17">
      <c r="B22" s="122">
        <v>2</v>
      </c>
      <c r="C22" s="123">
        <f t="shared" ref="C22:C50" si="2">IF(ROW()-ROW($C$21)&lt;$C$17, $C$21*(1+D22)^(ROW()-ROW($C$21)), 0)</f>
        <v>337.91987106141318</v>
      </c>
      <c r="D22" s="138">
        <f>IF($C$17&lt;B22,0,DCF!$C$16)</f>
        <v>0.111211776070739</v>
      </c>
      <c r="E22" s="124">
        <f t="shared" si="0"/>
        <v>0.86533261222282321</v>
      </c>
      <c r="F22" s="125">
        <f t="shared" si="1"/>
        <v>292.41308474757227</v>
      </c>
      <c r="H22" s="120"/>
    </row>
    <row r="23" spans="2:17">
      <c r="B23" s="122">
        <v>3</v>
      </c>
      <c r="C23" s="123">
        <f t="shared" si="2"/>
        <v>375.50054009174806</v>
      </c>
      <c r="D23" s="138">
        <f>IF($C$17&lt;B23,0,DCF!$C$16)</f>
        <v>0.111211776070739</v>
      </c>
      <c r="E23" s="124">
        <f t="shared" si="0"/>
        <v>0.80496056950960304</v>
      </c>
      <c r="F23" s="125">
        <f t="shared" si="1"/>
        <v>302.26312860341704</v>
      </c>
      <c r="G23" s="338"/>
      <c r="H23" s="339"/>
      <c r="I23" s="338"/>
      <c r="J23" s="338"/>
      <c r="K23" s="338"/>
      <c r="L23" s="338"/>
      <c r="M23" s="338"/>
      <c r="N23" s="338"/>
      <c r="O23" s="338"/>
      <c r="P23" s="338"/>
      <c r="Q23" s="338"/>
    </row>
    <row r="24" spans="2:17">
      <c r="B24" s="122">
        <v>4</v>
      </c>
      <c r="C24" s="123">
        <f t="shared" si="2"/>
        <v>417.26062207087307</v>
      </c>
      <c r="D24" s="138">
        <f>IF($C$17&lt;B24,0,DCF!$C$16)</f>
        <v>0.111211776070739</v>
      </c>
      <c r="E24" s="124">
        <f t="shared" si="0"/>
        <v>0.7488005297763749</v>
      </c>
      <c r="F24" s="125">
        <f t="shared" si="1"/>
        <v>312.44497486148953</v>
      </c>
      <c r="G24" s="338"/>
      <c r="H24" s="339"/>
      <c r="I24" s="338"/>
      <c r="J24" s="338"/>
      <c r="K24" s="338"/>
      <c r="L24" s="338"/>
      <c r="M24" s="338"/>
      <c r="N24" s="338"/>
      <c r="O24" s="338"/>
      <c r="P24" s="338"/>
      <c r="Q24" s="338"/>
    </row>
    <row r="25" spans="2:17">
      <c r="B25" s="122">
        <v>5</v>
      </c>
      <c r="C25" s="123">
        <f t="shared" si="2"/>
        <v>463.66491693575631</v>
      </c>
      <c r="D25" s="138">
        <f>IF($C$17&lt;B25,0,DCF!$C$16)</f>
        <v>0.111211776070739</v>
      </c>
      <c r="E25" s="124">
        <f t="shared" si="0"/>
        <v>0.69655863235011617</v>
      </c>
      <c r="F25" s="125">
        <f t="shared" si="1"/>
        <v>322.96980040950064</v>
      </c>
      <c r="G25" s="338"/>
      <c r="H25" s="339"/>
      <c r="I25" s="338"/>
      <c r="J25" s="338"/>
      <c r="K25" s="338"/>
      <c r="L25" s="338"/>
      <c r="M25" s="338"/>
      <c r="N25" s="338"/>
      <c r="O25" s="338"/>
      <c r="P25" s="338"/>
      <c r="Q25" s="338"/>
    </row>
    <row r="26" spans="2:17">
      <c r="B26" s="122">
        <v>6</v>
      </c>
      <c r="C26" s="123">
        <f t="shared" si="2"/>
        <v>515.22991584987346</v>
      </c>
      <c r="D26" s="138">
        <f>IF($C$17&lt;B26,0,DCF!$C$16)</f>
        <v>0.111211776070739</v>
      </c>
      <c r="E26" s="124">
        <f t="shared" si="0"/>
        <v>0.64796151846522443</v>
      </c>
      <c r="F26" s="125">
        <f t="shared" si="1"/>
        <v>333.84915863279383</v>
      </c>
      <c r="H26" s="120"/>
    </row>
    <row r="27" spans="2:17">
      <c r="B27" s="122">
        <v>7</v>
      </c>
      <c r="C27" s="123">
        <f t="shared" si="2"/>
        <v>572.52954987631529</v>
      </c>
      <c r="D27" s="138">
        <f>IF($C$17&lt;B27,0,DCF!$C$16)</f>
        <v>0.111211776070739</v>
      </c>
      <c r="E27" s="124">
        <f t="shared" si="0"/>
        <v>0.60275490089788319</v>
      </c>
      <c r="F27" s="125">
        <f t="shared" si="1"/>
        <v>345.09499209680808</v>
      </c>
      <c r="H27" s="120"/>
    </row>
    <row r="28" spans="2:17">
      <c r="B28" s="122">
        <v>8</v>
      </c>
      <c r="C28" s="123">
        <f t="shared" si="2"/>
        <v>636.20157797104093</v>
      </c>
      <c r="D28" s="138">
        <f>IF($C$17&lt;B28,0,DCF!$C$16)</f>
        <v>0.111211776070739</v>
      </c>
      <c r="E28" s="124">
        <f t="shared" si="0"/>
        <v>0.56070223339337966</v>
      </c>
      <c r="F28" s="125">
        <f t="shared" si="1"/>
        <v>356.71964565675501</v>
      </c>
      <c r="H28" s="120"/>
    </row>
    <row r="29" spans="2:17">
      <c r="B29" s="122">
        <v>9</v>
      </c>
      <c r="C29" s="123">
        <f t="shared" si="2"/>
        <v>706.9546853962072</v>
      </c>
      <c r="D29" s="138">
        <f>IF($C$17&lt;B29,0,DCF!$C$16)</f>
        <v>0.111211776070739</v>
      </c>
      <c r="E29" s="124">
        <f t="shared" si="0"/>
        <v>0.52158347292407414</v>
      </c>
      <c r="F29" s="125">
        <f t="shared" si="1"/>
        <v>368.73588000889998</v>
      </c>
      <c r="H29" s="120"/>
    </row>
    <row r="30" spans="2:17">
      <c r="B30" s="122">
        <v>10</v>
      </c>
      <c r="C30" s="123">
        <f t="shared" si="2"/>
        <v>785.57637156064993</v>
      </c>
      <c r="D30" s="138">
        <f>IF($C$17&lt;B30,0,DCF!$C$16)</f>
        <v>0.111211776070739</v>
      </c>
      <c r="E30" s="124">
        <f t="shared" si="0"/>
        <v>0.48519392830146441</v>
      </c>
      <c r="F30" s="125">
        <f t="shared" si="1"/>
        <v>381.15688569832253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4054.6711057641091</v>
      </c>
      <c r="D51" s="139">
        <f>Terminal_Growth</f>
        <v>0</v>
      </c>
      <c r="E51" s="124">
        <f>1/(1+Equity_Cost)^C17</f>
        <v>0.48519392830146441</v>
      </c>
      <c r="F51" s="125">
        <f t="shared" si="1"/>
        <v>1967.3018017761306</v>
      </c>
      <c r="H51" s="120"/>
    </row>
    <row r="52" spans="1:17">
      <c r="C52" s="114"/>
      <c r="E52" s="127" t="s">
        <v>100</v>
      </c>
      <c r="F52" s="137">
        <f>SUM(F21:F51)</f>
        <v>5265.8333831263953</v>
      </c>
      <c r="H52" s="120"/>
    </row>
    <row r="53" spans="1:17">
      <c r="C53" s="114"/>
      <c r="H53" s="120"/>
    </row>
    <row r="54" spans="1:17" ht="13.15">
      <c r="B54" s="119" t="s">
        <v>129</v>
      </c>
      <c r="C54" s="136"/>
      <c r="D54" s="136"/>
      <c r="E54" s="117"/>
      <c r="F54" s="117"/>
      <c r="H54" s="120"/>
    </row>
    <row r="55" spans="1:17" ht="13.15">
      <c r="A55" s="133">
        <f>F52</f>
        <v>5265.8333831263953</v>
      </c>
      <c r="B55" s="131">
        <f>C78</f>
        <v>0</v>
      </c>
      <c r="C55" s="131">
        <f>C77</f>
        <v>0.02</v>
      </c>
      <c r="D55" s="131">
        <f>C76</f>
        <v>0.06</v>
      </c>
      <c r="E55" s="131">
        <f>C75</f>
        <v>0.15</v>
      </c>
      <c r="F55" s="131">
        <f>C74</f>
        <v>0.25</v>
      </c>
      <c r="H55" s="120"/>
    </row>
    <row r="56" spans="1:17" ht="13.15">
      <c r="A56" s="143">
        <v>5</v>
      </c>
      <c r="B56" s="123">
        <f t="dataTable" ref="B56:F61" dt2D="1" dtr="1" r1="C16" r2="C17"/>
        <v>3648.8734128623846</v>
      </c>
      <c r="C56" s="123">
        <v>3764.5810253182508</v>
      </c>
      <c r="D56" s="123">
        <v>4006.2567960344813</v>
      </c>
      <c r="E56" s="123">
        <v>4605.6987715651476</v>
      </c>
      <c r="F56" s="123">
        <v>5377.589204071448</v>
      </c>
      <c r="H56" s="120"/>
    </row>
    <row r="57" spans="1:17" ht="13.15">
      <c r="A57" s="143">
        <v>10</v>
      </c>
      <c r="B57" s="123">
        <v>3648.8734128623855</v>
      </c>
      <c r="C57" s="123">
        <v>3879.3199703600139</v>
      </c>
      <c r="D57" s="123">
        <v>4411.819605760581</v>
      </c>
      <c r="E57" s="123">
        <v>6076.4144350002307</v>
      </c>
      <c r="F57" s="123">
        <v>9091.2458115026639</v>
      </c>
      <c r="H57" s="120"/>
    </row>
    <row r="58" spans="1:17" ht="13.15">
      <c r="A58" s="143">
        <v>15</v>
      </c>
      <c r="B58" s="123">
        <v>3648.8734128623851</v>
      </c>
      <c r="C58" s="341">
        <v>4024.5929114476203</v>
      </c>
      <c r="D58" s="123">
        <v>4982.4682290732553</v>
      </c>
      <c r="E58" s="123">
        <v>8761.7434271124748</v>
      </c>
      <c r="F58" s="123">
        <v>18363.266980867091</v>
      </c>
      <c r="G58" s="338"/>
      <c r="H58" s="339"/>
      <c r="I58" s="338"/>
      <c r="J58" s="338"/>
      <c r="K58" s="338"/>
      <c r="L58" s="338"/>
      <c r="M58" s="338"/>
      <c r="N58" s="338"/>
      <c r="O58" s="338"/>
      <c r="P58" s="338"/>
      <c r="Q58" s="338"/>
    </row>
    <row r="59" spans="1:17" ht="13.15">
      <c r="A59" s="144">
        <v>20</v>
      </c>
      <c r="B59" s="123">
        <v>3648.8734128623855</v>
      </c>
      <c r="C59" s="341">
        <v>4176.0423225926497</v>
      </c>
      <c r="D59" s="123">
        <v>5648.5585427411215</v>
      </c>
      <c r="E59" s="123">
        <v>12959.185284487286</v>
      </c>
      <c r="F59" s="123">
        <v>39032.780284457374</v>
      </c>
      <c r="G59" s="338"/>
      <c r="H59" s="339"/>
      <c r="I59" s="338"/>
      <c r="J59" s="338"/>
      <c r="K59" s="338"/>
      <c r="L59" s="338"/>
      <c r="M59" s="338"/>
      <c r="N59" s="338"/>
      <c r="O59" s="338"/>
      <c r="P59" s="338"/>
      <c r="Q59" s="338"/>
    </row>
    <row r="60" spans="1:17" ht="13.15">
      <c r="A60" s="144">
        <v>25</v>
      </c>
      <c r="B60" s="123">
        <v>3648.8734128623855</v>
      </c>
      <c r="C60" s="341">
        <v>4320.187207727693</v>
      </c>
      <c r="D60" s="123">
        <v>6362.9057661495199</v>
      </c>
      <c r="E60" s="123">
        <v>19143.076118179331</v>
      </c>
      <c r="F60" s="123">
        <v>83639.047044202554</v>
      </c>
      <c r="G60" s="338"/>
      <c r="H60" s="339"/>
      <c r="I60" s="338"/>
      <c r="J60" s="338"/>
      <c r="K60" s="338"/>
      <c r="L60" s="338"/>
      <c r="M60" s="338"/>
      <c r="N60" s="338"/>
      <c r="O60" s="338"/>
      <c r="P60" s="338"/>
      <c r="Q60" s="338"/>
    </row>
    <row r="61" spans="1:17" ht="13.15">
      <c r="A61" s="144">
        <v>30</v>
      </c>
      <c r="B61" s="123">
        <v>3648.873412862386</v>
      </c>
      <c r="C61" s="341">
        <v>4450.3177716110995</v>
      </c>
      <c r="D61" s="123">
        <v>7093.8793724914731</v>
      </c>
      <c r="E61" s="123">
        <v>28018.04782386815</v>
      </c>
      <c r="F61" s="123">
        <v>178925.49670896589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9.3609478174359069</v>
      </c>
      <c r="C65" s="124">
        <f>C12</f>
        <v>9.3609478174359069</v>
      </c>
      <c r="D65" s="124">
        <f>C12</f>
        <v>9.3609478174359069</v>
      </c>
      <c r="E65" s="141">
        <f>C12</f>
        <v>9.3609478174359069</v>
      </c>
      <c r="F65" s="124">
        <f>C12</f>
        <v>9.3609478174359069</v>
      </c>
      <c r="H65" s="120"/>
    </row>
    <row r="66" spans="1:8" ht="13.15">
      <c r="A66" s="143">
        <f t="shared" ref="A66:A71" si="3">A56</f>
        <v>5</v>
      </c>
      <c r="B66" s="124">
        <f t="shared" ref="B66:F71" si="4">(B56-$C$7+$C$8+$C$9)/Common_Shares*$C$3*Exchange_Rate</f>
        <v>9.3609478174359104</v>
      </c>
      <c r="C66" s="124">
        <f t="shared" si="4"/>
        <v>10.016510247513249</v>
      </c>
      <c r="D66" s="124">
        <f t="shared" si="4"/>
        <v>11.385768087847451</v>
      </c>
      <c r="E66" s="124">
        <f t="shared" si="4"/>
        <v>14.782015143927136</v>
      </c>
      <c r="F66" s="124">
        <f t="shared" si="4"/>
        <v>19.155300159036138</v>
      </c>
      <c r="H66" s="120"/>
    </row>
    <row r="67" spans="1:8" ht="13.15">
      <c r="A67" s="143">
        <f t="shared" si="3"/>
        <v>10</v>
      </c>
      <c r="B67" s="124">
        <f t="shared" si="4"/>
        <v>9.3609478174359158</v>
      </c>
      <c r="C67" s="124">
        <f t="shared" si="4"/>
        <v>10.666584516954932</v>
      </c>
      <c r="D67" s="124">
        <f t="shared" si="4"/>
        <v>13.683557623470668</v>
      </c>
      <c r="E67" s="124">
        <f t="shared" si="4"/>
        <v>23.114621044356198</v>
      </c>
      <c r="F67" s="124">
        <f t="shared" si="4"/>
        <v>40.195694117289918</v>
      </c>
      <c r="H67" s="120"/>
    </row>
    <row r="68" spans="1:8" ht="13.15">
      <c r="A68" s="143">
        <f t="shared" si="3"/>
        <v>15</v>
      </c>
      <c r="B68" s="124">
        <f t="shared" si="4"/>
        <v>9.3609478174359122</v>
      </c>
      <c r="C68" s="124">
        <f t="shared" si="4"/>
        <v>11.489654669925192</v>
      </c>
      <c r="D68" s="124">
        <f t="shared" si="4"/>
        <v>16.916670728814832</v>
      </c>
      <c r="E68" s="124">
        <f t="shared" si="4"/>
        <v>38.328838694017733</v>
      </c>
      <c r="F68" s="124">
        <f t="shared" si="4"/>
        <v>92.728008979767367</v>
      </c>
      <c r="H68" s="120"/>
    </row>
    <row r="69" spans="1:8" ht="13.15">
      <c r="A69" s="144">
        <f t="shared" si="3"/>
        <v>20</v>
      </c>
      <c r="B69" s="124">
        <f t="shared" si="4"/>
        <v>9.3609478174359158</v>
      </c>
      <c r="C69" s="124">
        <f t="shared" si="4"/>
        <v>12.347718732407575</v>
      </c>
      <c r="D69" s="124">
        <f t="shared" si="4"/>
        <v>20.690526012931414</v>
      </c>
      <c r="E69" s="124">
        <f t="shared" si="4"/>
        <v>62.110205587043332</v>
      </c>
      <c r="F69" s="124">
        <f t="shared" si="4"/>
        <v>209.83487932493088</v>
      </c>
      <c r="H69" s="120"/>
    </row>
    <row r="70" spans="1:8" ht="13.15">
      <c r="A70" s="144">
        <f t="shared" si="3"/>
        <v>25</v>
      </c>
      <c r="B70" s="124">
        <f t="shared" si="4"/>
        <v>9.3609478174359158</v>
      </c>
      <c r="C70" s="124">
        <f t="shared" si="4"/>
        <v>13.16439768011632</v>
      </c>
      <c r="D70" s="124">
        <f t="shared" si="4"/>
        <v>24.737789557283183</v>
      </c>
      <c r="E70" s="124">
        <f t="shared" si="4"/>
        <v>97.146158850830673</v>
      </c>
      <c r="F70" s="124">
        <f t="shared" si="4"/>
        <v>462.55976071378785</v>
      </c>
    </row>
    <row r="71" spans="1:8" ht="13.15">
      <c r="A71" s="144">
        <f t="shared" si="3"/>
        <v>30</v>
      </c>
      <c r="B71" s="124">
        <f t="shared" si="4"/>
        <v>9.3609478174359158</v>
      </c>
      <c r="C71" s="124">
        <f t="shared" si="4"/>
        <v>13.901675953136424</v>
      </c>
      <c r="D71" s="124">
        <f t="shared" si="4"/>
        <v>28.879252884760501</v>
      </c>
      <c r="E71" s="124">
        <f t="shared" si="4"/>
        <v>147.42891808128459</v>
      </c>
      <c r="F71" s="124">
        <f t="shared" si="4"/>
        <v>1002.4223952444291</v>
      </c>
    </row>
    <row r="73" spans="1:8" ht="13.15">
      <c r="B73" s="171" t="s">
        <v>117</v>
      </c>
      <c r="C73" s="171" t="s">
        <v>132</v>
      </c>
      <c r="D73" s="171" t="s">
        <v>112</v>
      </c>
      <c r="E73" s="172" t="s">
        <v>113</v>
      </c>
      <c r="F73" s="172" t="s">
        <v>119</v>
      </c>
    </row>
    <row r="74" spans="1:8">
      <c r="B74" s="127" t="str">
        <f>Scenarios!B54</f>
        <v>Snowball Scenario</v>
      </c>
      <c r="C74" s="142">
        <f>Scenarios!C56</f>
        <v>0.25</v>
      </c>
      <c r="D74" s="145">
        <f>Scenarios!C55</f>
        <v>15</v>
      </c>
      <c r="E74" s="135">
        <f>INDEX(B$65:F$71, MATCH(D74, A$65:A$71, 0), MATCH(C74, B$64:F$64, 0))</f>
        <v>92.728008979767367</v>
      </c>
      <c r="F74" s="142">
        <f>Scenarios!C58</f>
        <v>0.05</v>
      </c>
    </row>
    <row r="75" spans="1:8">
      <c r="B75" s="127" t="str">
        <f>Scenarios!B36</f>
        <v>Optimistic</v>
      </c>
      <c r="C75" s="142">
        <f>Scenarios!C38</f>
        <v>0.15</v>
      </c>
      <c r="D75" s="145">
        <f>Scenarios!C37</f>
        <v>10</v>
      </c>
      <c r="E75" s="135">
        <f>INDEX(B$65:F$71, MATCH(D75, A$65:A$71, 0), MATCH(C75, B$64:F$64, 0))</f>
        <v>23.114621044356198</v>
      </c>
      <c r="F75" s="142">
        <f>Scenarios!C40*(1-F$74-F$78)</f>
        <v>0.18</v>
      </c>
      <c r="H75" s="120"/>
    </row>
    <row r="76" spans="1:8">
      <c r="B76" s="127" t="str">
        <f>Scenarios!B24</f>
        <v>Base</v>
      </c>
      <c r="C76" s="142">
        <f>Scenarios!C26</f>
        <v>0.06</v>
      </c>
      <c r="D76" s="145">
        <f>Scenarios!C25</f>
        <v>10</v>
      </c>
      <c r="E76" s="135">
        <f>INDEX(B$65:F$71, MATCH(D76, A$65:A$71, 0), MATCH(C76, B$64:F$64, 0))</f>
        <v>13.683557623470668</v>
      </c>
      <c r="F76" s="142">
        <f>Scenarios!C28*(1-F$74-F$78)</f>
        <v>0.53999999999999992</v>
      </c>
      <c r="H76" s="120"/>
    </row>
    <row r="77" spans="1:8">
      <c r="B77" s="127" t="str">
        <f>Scenarios!B30</f>
        <v>Pessimistic</v>
      </c>
      <c r="C77" s="142">
        <f>Scenarios!C32</f>
        <v>0.02</v>
      </c>
      <c r="D77" s="145">
        <f>Scenarios!C31</f>
        <v>10</v>
      </c>
      <c r="E77" s="135">
        <f>INDEX(B$65:F$71, MATCH(D77, A$65:A$71, 0), MATCH(C77, B$64:F$64, 0))</f>
        <v>10.666584516954932</v>
      </c>
      <c r="F77" s="142">
        <f>Scenarios!C34*(1-F$74-F$78)</f>
        <v>0.18</v>
      </c>
      <c r="H77" s="120"/>
    </row>
    <row r="78" spans="1:8">
      <c r="B78" s="127" t="str">
        <f>Scenarios!B48</f>
        <v>Devil's advocate</v>
      </c>
      <c r="C78" s="142">
        <f>Scenarios!C50</f>
        <v>0</v>
      </c>
      <c r="D78" s="145">
        <f>Scenarios!C49</f>
        <v>15</v>
      </c>
      <c r="E78" s="135">
        <f>INDEX(B$65:F$71, MATCH(D78, A$65:A$71, 0), MATCH(C78, B$64:F$64, 0))</f>
        <v>9.3609478174359122</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442</v>
      </c>
      <c r="C2" s="37"/>
      <c r="D2" s="37"/>
      <c r="E2" s="37"/>
      <c r="F2" s="37"/>
      <c r="H2" s="130" t="s">
        <v>59</v>
      </c>
    </row>
    <row r="3" spans="2:8" ht="13.15">
      <c r="B3" s="109" t="s">
        <v>441</v>
      </c>
      <c r="C3" s="107">
        <f>scaling_factor</f>
        <v>1000000</v>
      </c>
      <c r="E3" s="109" t="s">
        <v>124</v>
      </c>
      <c r="H3" s="120"/>
    </row>
    <row r="4" spans="2:8">
      <c r="B4" s="100" t="s">
        <v>439</v>
      </c>
      <c r="C4" s="114">
        <f>Normalized_FCF!C91</f>
        <v>1163.9679225812711</v>
      </c>
      <c r="D4" t="str">
        <f>Market_currency</f>
        <v>HKD</v>
      </c>
      <c r="E4" s="100" t="s">
        <v>250</v>
      </c>
      <c r="F4" s="134">
        <f>Thesis!E22</f>
        <v>0</v>
      </c>
      <c r="H4" s="120"/>
    </row>
    <row r="5" spans="2:8">
      <c r="B5" s="205" t="s">
        <v>123</v>
      </c>
      <c r="C5" s="206">
        <f>Equity_Cost</f>
        <v>7.4999999999999997E-2</v>
      </c>
      <c r="E5" s="148"/>
      <c r="H5" s="120"/>
    </row>
    <row r="6" spans="2:8" ht="13.35" customHeight="1">
      <c r="B6" s="149" t="s">
        <v>440</v>
      </c>
      <c r="C6" s="319">
        <f>(C4*(1+Terminal_Growth))/(Equity_Cost-Terminal_Growth)</f>
        <v>15519.572301083615</v>
      </c>
      <c r="D6" t="str">
        <f>Reporting_currency</f>
        <v>USD</v>
      </c>
      <c r="E6" s="364"/>
      <c r="F6" s="364"/>
      <c r="H6" s="120"/>
    </row>
    <row r="7" spans="2:8" ht="13.15">
      <c r="B7" s="149" t="s">
        <v>443</v>
      </c>
      <c r="C7" s="111">
        <f>(C6*scaling_factor)/Common_Shares*Exchange_Rate</f>
        <v>87.928947072</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0.111211776070739</v>
      </c>
      <c r="H11" s="120"/>
    </row>
    <row r="12" spans="2:8" ht="13.35" customHeight="1">
      <c r="B12" s="118" t="s">
        <v>134</v>
      </c>
      <c r="C12" s="162">
        <f>Scenarios!C64</f>
        <v>10</v>
      </c>
      <c r="H12" s="120"/>
    </row>
    <row r="13" spans="2:8" ht="13.35" customHeight="1">
      <c r="B13" s="153" t="s">
        <v>106</v>
      </c>
      <c r="C13" s="140">
        <f>F47/Common_Shares*scaling_factor</f>
        <v>16.193687780575246</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1293.4148625409025</v>
      </c>
      <c r="D16" s="138">
        <f>IF($C$12&lt;B16,0,DDM!$C$11)</f>
        <v>0.111211776070739</v>
      </c>
      <c r="E16" s="124">
        <f t="shared" ref="E16:E45" si="0">IF($C$12&lt;B16,0,1/(1+Equity_Cost)^B16)</f>
        <v>0.93023255813953487</v>
      </c>
      <c r="F16" s="125">
        <f t="shared" ref="F16:F46" si="1">C16*E16</f>
        <v>1203.1766163171185</v>
      </c>
      <c r="H16" s="120"/>
    </row>
    <row r="17" spans="2:8">
      <c r="B17" s="122">
        <v>2</v>
      </c>
      <c r="C17" s="123">
        <f t="shared" ref="C17:C45" si="2">IF(ROW()-ROW($C$16)&lt;$C$12, $C$16*(1+D17)^(ROW()-ROW($C$16)), 0)</f>
        <v>1437.257826600367</v>
      </c>
      <c r="D17" s="138">
        <f>IF($C$12&lt;B17,0,DDM!$C$11)</f>
        <v>0.111211776070739</v>
      </c>
      <c r="E17" s="124">
        <f t="shared" si="0"/>
        <v>0.86533261222282321</v>
      </c>
      <c r="F17" s="125">
        <f t="shared" si="1"/>
        <v>1243.706069529793</v>
      </c>
      <c r="H17" s="120"/>
    </row>
    <row r="18" spans="2:8">
      <c r="B18" s="122">
        <v>3</v>
      </c>
      <c r="C18" s="123">
        <f t="shared" si="2"/>
        <v>1597.0978221681639</v>
      </c>
      <c r="D18" s="138">
        <f>IF($C$12&lt;B18,0,DDM!$C$11)</f>
        <v>0.111211776070739</v>
      </c>
      <c r="E18" s="124">
        <f t="shared" si="0"/>
        <v>0.80496056950960304</v>
      </c>
      <c r="F18" s="125">
        <f t="shared" si="1"/>
        <v>1285.6007724950321</v>
      </c>
      <c r="H18" s="120"/>
    </row>
    <row r="19" spans="2:8">
      <c r="B19" s="122">
        <v>4</v>
      </c>
      <c r="C19" s="123">
        <f t="shared" si="2"/>
        <v>1774.7139075301948</v>
      </c>
      <c r="D19" s="138">
        <f>IF($C$12&lt;B19,0,DDM!$C$11)</f>
        <v>0.111211776070739</v>
      </c>
      <c r="E19" s="124">
        <f t="shared" si="0"/>
        <v>0.7488005297763749</v>
      </c>
      <c r="F19" s="125">
        <f t="shared" si="1"/>
        <v>1328.9067141601104</v>
      </c>
      <c r="H19" s="120"/>
    </row>
    <row r="20" spans="2:8">
      <c r="B20" s="122">
        <v>5</v>
      </c>
      <c r="C20" s="123">
        <f t="shared" si="2"/>
        <v>1972.082993204069</v>
      </c>
      <c r="D20" s="138">
        <f>IF($C$12&lt;B20,0,DDM!$C$11)</f>
        <v>0.111211776070739</v>
      </c>
      <c r="E20" s="124">
        <f t="shared" si="0"/>
        <v>0.69655863235011617</v>
      </c>
      <c r="F20" s="125">
        <f t="shared" si="1"/>
        <v>1373.6714326271497</v>
      </c>
      <c r="H20" s="120"/>
    </row>
    <row r="21" spans="2:8">
      <c r="B21" s="122">
        <v>6</v>
      </c>
      <c r="C21" s="123">
        <f t="shared" si="2"/>
        <v>2191.4018454371926</v>
      </c>
      <c r="D21" s="138">
        <f>IF($C$12&lt;B21,0,DDM!$C$11)</f>
        <v>0.111211776070739</v>
      </c>
      <c r="E21" s="124">
        <f t="shared" si="0"/>
        <v>0.64796151846522443</v>
      </c>
      <c r="F21" s="125">
        <f t="shared" si="1"/>
        <v>1419.9440673369784</v>
      </c>
      <c r="H21" s="120"/>
    </row>
    <row r="22" spans="2:8">
      <c r="B22" s="122">
        <v>7</v>
      </c>
      <c r="C22" s="123">
        <f t="shared" si="2"/>
        <v>2435.1115367529578</v>
      </c>
      <c r="D22" s="138">
        <f>IF($C$12&lt;B22,0,DDM!$C$11)</f>
        <v>0.111211776070739</v>
      </c>
      <c r="E22" s="124">
        <f t="shared" si="0"/>
        <v>0.60275490089788319</v>
      </c>
      <c r="F22" s="125">
        <f t="shared" si="1"/>
        <v>1467.7754130108212</v>
      </c>
      <c r="H22" s="120"/>
    </row>
    <row r="23" spans="2:8">
      <c r="B23" s="122">
        <v>8</v>
      </c>
      <c r="C23" s="123">
        <f t="shared" si="2"/>
        <v>2705.9246156856007</v>
      </c>
      <c r="D23" s="138">
        <f>IF($C$12&lt;B23,0,DDM!$C$11)</f>
        <v>0.111211776070739</v>
      </c>
      <c r="E23" s="124">
        <f t="shared" si="0"/>
        <v>0.56070223339337966</v>
      </c>
      <c r="F23" s="125">
        <f t="shared" si="1"/>
        <v>1517.2179754090389</v>
      </c>
      <c r="H23" s="120"/>
    </row>
    <row r="24" spans="2:8">
      <c r="B24" s="122">
        <v>9</v>
      </c>
      <c r="C24" s="123">
        <f t="shared" si="2"/>
        <v>3006.8552981095286</v>
      </c>
      <c r="D24" s="138">
        <f>IF($C$12&lt;B24,0,DDM!$C$11)</f>
        <v>0.111211776070739</v>
      </c>
      <c r="E24" s="124">
        <f t="shared" si="0"/>
        <v>0.52158347292407414</v>
      </c>
      <c r="F24" s="125">
        <f t="shared" si="1"/>
        <v>1568.3260289681202</v>
      </c>
      <c r="H24" s="120"/>
    </row>
    <row r="25" spans="2:8">
      <c r="B25" s="122">
        <v>10</v>
      </c>
      <c r="C25" s="123">
        <f t="shared" si="2"/>
        <v>3341.2530162000003</v>
      </c>
      <c r="D25" s="138">
        <f>IF($C$12&lt;B25,0,DDM!$C$11)</f>
        <v>0.111211776070739</v>
      </c>
      <c r="E25" s="124">
        <f t="shared" si="0"/>
        <v>0.48519392830146441</v>
      </c>
      <c r="F25" s="125">
        <f t="shared" si="1"/>
        <v>1621.1556763791946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17245.531500545367</v>
      </c>
      <c r="D46" s="139">
        <f>Terminal_Growth</f>
        <v>0</v>
      </c>
      <c r="E46" s="124">
        <f>1/(1+Equity_Cost)^C12</f>
        <v>0.48519392830146441</v>
      </c>
      <c r="F46" s="125">
        <f t="shared" si="1"/>
        <v>8367.4271743962545</v>
      </c>
      <c r="H46" s="120"/>
    </row>
    <row r="47" spans="2:8">
      <c r="C47" s="114"/>
      <c r="E47" s="127" t="s">
        <v>100</v>
      </c>
      <c r="F47" s="137">
        <f>SUM(F16:F46)</f>
        <v>22396.907940629608</v>
      </c>
      <c r="H47" s="120"/>
    </row>
    <row r="48" spans="2:8">
      <c r="C48" s="114"/>
      <c r="H48" s="120"/>
    </row>
    <row r="49" spans="1:8" ht="13.15">
      <c r="B49" s="119" t="s">
        <v>129</v>
      </c>
      <c r="C49" s="136"/>
      <c r="D49" s="136"/>
      <c r="E49" s="117"/>
      <c r="F49" s="117"/>
      <c r="H49" s="120"/>
    </row>
    <row r="50" spans="1:8" ht="13.15">
      <c r="A50" s="133">
        <f>F47</f>
        <v>22396.907940629608</v>
      </c>
      <c r="B50" s="131">
        <f>C73</f>
        <v>0</v>
      </c>
      <c r="C50" s="131">
        <f>C72</f>
        <v>0.02</v>
      </c>
      <c r="D50" s="131">
        <f>C71</f>
        <v>0.06</v>
      </c>
      <c r="E50" s="131">
        <f>C70</f>
        <v>0.15</v>
      </c>
      <c r="F50" s="131">
        <f>C69</f>
        <v>0.25</v>
      </c>
      <c r="H50" s="120"/>
    </row>
    <row r="51" spans="1:8" ht="13.15">
      <c r="A51" s="143">
        <v>5</v>
      </c>
      <c r="B51" s="123">
        <f t="dataTable" ref="B51:F56" dt2D="1" dtr="1" r1="C11" r2="C12"/>
        <v>15519.572301083615</v>
      </c>
      <c r="C51" s="123">
        <v>16011.705749989949</v>
      </c>
      <c r="D51" s="123">
        <v>17039.613318344967</v>
      </c>
      <c r="E51" s="123">
        <v>19589.19014026456</v>
      </c>
      <c r="F51" s="123">
        <v>22872.233430713735</v>
      </c>
      <c r="H51" s="120"/>
    </row>
    <row r="52" spans="1:8" ht="13.15">
      <c r="A52" s="143">
        <v>10</v>
      </c>
      <c r="B52" s="123">
        <v>15519.572301083619</v>
      </c>
      <c r="C52" s="123">
        <v>16499.719213830242</v>
      </c>
      <c r="D52" s="123">
        <v>18764.573500846152</v>
      </c>
      <c r="E52" s="123">
        <v>25844.512123361746</v>
      </c>
      <c r="F52" s="123">
        <v>38667.344879979923</v>
      </c>
      <c r="H52" s="120"/>
    </row>
    <row r="53" spans="1:8" ht="13.15">
      <c r="A53" s="143">
        <v>15</v>
      </c>
      <c r="B53" s="123">
        <v>15519.572301083619</v>
      </c>
      <c r="C53" s="123">
        <v>17117.601408551691</v>
      </c>
      <c r="D53" s="123">
        <v>21191.684985940821</v>
      </c>
      <c r="E53" s="123">
        <v>37265.888731926971</v>
      </c>
      <c r="F53" s="123">
        <v>78103.572623010172</v>
      </c>
      <c r="H53" s="120"/>
    </row>
    <row r="54" spans="1:8" ht="13.15">
      <c r="A54" s="144">
        <v>20</v>
      </c>
      <c r="B54" s="123">
        <v>15519.572301083619</v>
      </c>
      <c r="C54" s="123">
        <v>17761.753677012552</v>
      </c>
      <c r="D54" s="123">
        <v>24024.733878670326</v>
      </c>
      <c r="E54" s="123">
        <v>55118.659988801461</v>
      </c>
      <c r="F54" s="123">
        <v>166016.18833955252</v>
      </c>
      <c r="H54" s="120"/>
    </row>
    <row r="55" spans="1:8" ht="13.15">
      <c r="A55" s="144">
        <v>25</v>
      </c>
      <c r="B55" s="123">
        <v>15519.572301083619</v>
      </c>
      <c r="C55" s="123">
        <v>18374.837967303076</v>
      </c>
      <c r="D55" s="123">
        <v>27063.031492033733</v>
      </c>
      <c r="E55" s="123">
        <v>81420.296147838962</v>
      </c>
      <c r="F55" s="123">
        <v>355737.81025688612</v>
      </c>
      <c r="H55" s="120"/>
    </row>
    <row r="56" spans="1:8" ht="13.15">
      <c r="A56" s="144">
        <v>30</v>
      </c>
      <c r="B56" s="123">
        <v>15519.572301083619</v>
      </c>
      <c r="C56" s="123">
        <v>18928.315840130967</v>
      </c>
      <c r="D56" s="123">
        <v>30172.045275251981</v>
      </c>
      <c r="E56" s="123">
        <v>119167.77310085866</v>
      </c>
      <c r="F56" s="123">
        <v>761014.94036313437</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87.928947072</v>
      </c>
      <c r="C60" s="124">
        <f>C7</f>
        <v>87.928947072</v>
      </c>
      <c r="D60" s="124">
        <f>C7</f>
        <v>87.928947072</v>
      </c>
      <c r="E60" s="141">
        <f>C7</f>
        <v>87.928947072</v>
      </c>
      <c r="F60" s="124">
        <f>C7</f>
        <v>87.928947072</v>
      </c>
      <c r="H60" s="120"/>
    </row>
    <row r="61" spans="1:8" ht="13.15">
      <c r="A61" s="143">
        <f t="shared" ref="A61:A66" si="3">A51</f>
        <v>5</v>
      </c>
      <c r="B61" s="124">
        <f t="shared" ref="B61:F66" si="4">B51/Common_Shares*$C$3*Exchange_Rate</f>
        <v>87.928947071999985</v>
      </c>
      <c r="C61" s="124">
        <f t="shared" si="4"/>
        <v>90.717218239641952</v>
      </c>
      <c r="D61" s="124">
        <f t="shared" si="4"/>
        <v>96.541014696100063</v>
      </c>
      <c r="E61" s="124">
        <f t="shared" si="4"/>
        <v>110.98610384426641</v>
      </c>
      <c r="F61" s="124">
        <f t="shared" si="4"/>
        <v>129.58678008202807</v>
      </c>
      <c r="H61" s="120"/>
    </row>
    <row r="62" spans="1:8" ht="13.15">
      <c r="A62" s="143">
        <f t="shared" si="3"/>
        <v>10</v>
      </c>
      <c r="B62" s="124">
        <f t="shared" si="4"/>
        <v>87.928947072000014</v>
      </c>
      <c r="C62" s="124">
        <f t="shared" si="4"/>
        <v>93.482146885867607</v>
      </c>
      <c r="D62" s="124">
        <f t="shared" si="4"/>
        <v>106.31408895652051</v>
      </c>
      <c r="E62" s="124">
        <f t="shared" si="4"/>
        <v>146.42676321937472</v>
      </c>
      <c r="F62" s="124">
        <f t="shared" si="4"/>
        <v>219.07684409119508</v>
      </c>
      <c r="H62" s="120"/>
    </row>
    <row r="63" spans="1:8" ht="13.15">
      <c r="A63" s="143">
        <f t="shared" si="3"/>
        <v>15</v>
      </c>
      <c r="B63" s="124">
        <f t="shared" si="4"/>
        <v>87.928947072000014</v>
      </c>
      <c r="C63" s="124">
        <f t="shared" si="4"/>
        <v>96.982870342827823</v>
      </c>
      <c r="D63" s="124">
        <f t="shared" si="4"/>
        <v>120.06532856354441</v>
      </c>
      <c r="E63" s="124">
        <f t="shared" si="4"/>
        <v>211.1366405163019</v>
      </c>
      <c r="F63" s="124">
        <f t="shared" si="4"/>
        <v>442.50993326815194</v>
      </c>
      <c r="H63" s="120"/>
    </row>
    <row r="64" spans="1:8" ht="13.15">
      <c r="A64" s="144">
        <f t="shared" si="3"/>
        <v>20</v>
      </c>
      <c r="B64" s="124">
        <f t="shared" si="4"/>
        <v>87.928947072000014</v>
      </c>
      <c r="C64" s="124">
        <f t="shared" si="4"/>
        <v>100.63243165940153</v>
      </c>
      <c r="D64" s="124">
        <f t="shared" si="4"/>
        <v>136.11648005847368</v>
      </c>
      <c r="E64" s="124">
        <f t="shared" si="4"/>
        <v>312.28474875538234</v>
      </c>
      <c r="F64" s="124">
        <f t="shared" si="4"/>
        <v>940.59477635117912</v>
      </c>
      <c r="H64" s="120"/>
    </row>
    <row r="65" spans="1:8" ht="13.15">
      <c r="A65" s="144">
        <f t="shared" si="3"/>
        <v>25</v>
      </c>
      <c r="B65" s="124">
        <f t="shared" si="4"/>
        <v>87.928947072000014</v>
      </c>
      <c r="C65" s="124">
        <f t="shared" si="4"/>
        <v>104.10597172002977</v>
      </c>
      <c r="D65" s="124">
        <f t="shared" si="4"/>
        <v>153.33050534548246</v>
      </c>
      <c r="E65" s="124">
        <f t="shared" si="4"/>
        <v>461.30143097242603</v>
      </c>
      <c r="F65" s="124">
        <f t="shared" si="4"/>
        <v>2015.4969790889725</v>
      </c>
    </row>
    <row r="66" spans="1:8" ht="13.15">
      <c r="A66" s="144">
        <f t="shared" si="3"/>
        <v>30</v>
      </c>
      <c r="B66" s="124">
        <f t="shared" si="4"/>
        <v>87.928947072000014</v>
      </c>
      <c r="C66" s="124">
        <f t="shared" si="4"/>
        <v>107.24180082931578</v>
      </c>
      <c r="D66" s="124">
        <f t="shared" si="4"/>
        <v>170.94518589770547</v>
      </c>
      <c r="E66" s="124">
        <f t="shared" si="4"/>
        <v>675.16659675871904</v>
      </c>
      <c r="F66" s="124">
        <f t="shared" si="4"/>
        <v>4311.6679450965976</v>
      </c>
    </row>
    <row r="68" spans="1:8" ht="13.15">
      <c r="B68" s="171" t="s">
        <v>117</v>
      </c>
      <c r="C68" s="171" t="s">
        <v>132</v>
      </c>
      <c r="D68" s="171" t="s">
        <v>112</v>
      </c>
      <c r="E68" s="172" t="s">
        <v>113</v>
      </c>
      <c r="F68" s="172" t="s">
        <v>119</v>
      </c>
    </row>
    <row r="69" spans="1:8">
      <c r="B69" s="127" t="str">
        <f>Scenarios!B54</f>
        <v>Snowball Scenario</v>
      </c>
      <c r="C69" s="142">
        <f>Scenarios!C56</f>
        <v>0.25</v>
      </c>
      <c r="D69" s="145">
        <f>Scenarios!C55</f>
        <v>15</v>
      </c>
      <c r="E69" s="135">
        <f>INDEX(B$60:F$66, MATCH(D69, A$60:A$66, 0), MATCH(C69, B$59:F$59, 0))</f>
        <v>442.50993326815194</v>
      </c>
      <c r="F69" s="142">
        <f>Scenarios!C58</f>
        <v>0.05</v>
      </c>
    </row>
    <row r="70" spans="1:8">
      <c r="B70" s="127" t="str">
        <f>Scenarios!B36</f>
        <v>Optimistic</v>
      </c>
      <c r="C70" s="142">
        <f>Scenarios!C38</f>
        <v>0.15</v>
      </c>
      <c r="D70" s="145">
        <f>Scenarios!C37</f>
        <v>10</v>
      </c>
      <c r="E70" s="135">
        <f>INDEX(B$60:F$66, MATCH(D70, A$60:A$66, 0), MATCH(C70, B$59:F$59, 0))</f>
        <v>146.42676321937472</v>
      </c>
      <c r="F70" s="142">
        <f>Scenarios!C40*(1-F$69-F$73)</f>
        <v>0.18</v>
      </c>
      <c r="H70" s="120"/>
    </row>
    <row r="71" spans="1:8">
      <c r="B71" s="127" t="str">
        <f>Scenarios!B24</f>
        <v>Base</v>
      </c>
      <c r="C71" s="142">
        <f>Scenarios!C26</f>
        <v>0.06</v>
      </c>
      <c r="D71" s="145">
        <f>Scenarios!C25</f>
        <v>10</v>
      </c>
      <c r="E71" s="135">
        <f>INDEX(B$60:F$66, MATCH(D71, A$60:A$66, 0), MATCH(C71, B$59:F$59, 0))</f>
        <v>106.31408895652051</v>
      </c>
      <c r="F71" s="142">
        <f>Scenarios!C28*(1-F$69-F$73)</f>
        <v>0.53999999999999992</v>
      </c>
      <c r="H71" s="120"/>
    </row>
    <row r="72" spans="1:8">
      <c r="B72" s="127" t="str">
        <f>Scenarios!B30</f>
        <v>Pessimistic</v>
      </c>
      <c r="C72" s="142">
        <f>Scenarios!C32</f>
        <v>0.02</v>
      </c>
      <c r="D72" s="145">
        <f>Scenarios!C31</f>
        <v>10</v>
      </c>
      <c r="E72" s="135">
        <f>INDEX(B$60:F$66, MATCH(D72, A$60:A$66, 0), MATCH(C72, B$59:F$59, 0))</f>
        <v>93.482146885867607</v>
      </c>
      <c r="F72" s="142">
        <f>Scenarios!C34*(1-F$69-F$73)</f>
        <v>0.18</v>
      </c>
      <c r="H72" s="120"/>
    </row>
    <row r="73" spans="1:8">
      <c r="B73" s="127" t="str">
        <f>Scenarios!B48</f>
        <v>Devil's advocate</v>
      </c>
      <c r="C73" s="142">
        <f>Scenarios!C50</f>
        <v>0</v>
      </c>
      <c r="D73" s="145">
        <f>Scenarios!C49</f>
        <v>15</v>
      </c>
      <c r="E73" s="135">
        <f>INDEX(B$60:F$66, MATCH(D73, A$60:A$66, 0), MATCH(C73, B$59:F$59, 0))</f>
        <v>87.928947072000014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-14.06</v>
      </c>
    </row>
    <row r="4" spans="2:9">
      <c r="B4" s="152" t="s">
        <v>146</v>
      </c>
      <c r="C4" s="120">
        <v>3</v>
      </c>
      <c r="D4" s="120"/>
      <c r="E4" s="155" t="s">
        <v>150</v>
      </c>
      <c r="F4" s="155"/>
      <c r="H4" s="247">
        <v>1</v>
      </c>
      <c r="I4" s="124">
        <f t="shared" ref="I4:I13" si="0">IF(ROW()-3 &lt; $C$76, $C$77, IF(ROW()-3 = $C$76, $C$77 + $C$60, ""))</f>
        <v>0.84158639999999996</v>
      </c>
    </row>
    <row r="5" spans="2:9">
      <c r="H5" s="247">
        <v>2</v>
      </c>
      <c r="I5" s="124">
        <f t="shared" si="0"/>
        <v>0.84158639999999996</v>
      </c>
    </row>
    <row r="6" spans="2:9" ht="13.15">
      <c r="B6" s="159" t="s">
        <v>95</v>
      </c>
      <c r="C6" s="107">
        <f>DCF!C3</f>
        <v>1000000</v>
      </c>
      <c r="E6" s="100" t="s">
        <v>279</v>
      </c>
      <c r="F6" s="100"/>
      <c r="H6" s="247">
        <v>3</v>
      </c>
      <c r="I6" s="124">
        <f t="shared" si="0"/>
        <v>19.415772357570329</v>
      </c>
    </row>
    <row r="7" spans="2:9" ht="12.75" customHeight="1">
      <c r="B7" s="100" t="s">
        <v>275</v>
      </c>
      <c r="C7" s="338">
        <f>Normalized_FCF!G8</f>
        <v>632.39999999999986</v>
      </c>
      <c r="D7" t="str">
        <f>Reporting_currency</f>
        <v>USD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6"/>
      <c r="H7" s="247">
        <v>4</v>
      </c>
      <c r="I7" s="124" t="str">
        <f t="shared" si="0"/>
        <v/>
      </c>
    </row>
    <row r="8" spans="2:9">
      <c r="B8" s="100" t="s">
        <v>66</v>
      </c>
      <c r="C8" s="338">
        <f>Normalized_FCF!G19</f>
        <v>342.23737314623969</v>
      </c>
      <c r="D8" t="str">
        <f>Reporting_currency</f>
        <v>USD</v>
      </c>
      <c r="E8" s="366"/>
      <c r="F8" s="366"/>
      <c r="H8" s="247">
        <v>5</v>
      </c>
      <c r="I8" s="124" t="str">
        <f t="shared" si="0"/>
        <v/>
      </c>
    </row>
    <row r="9" spans="2:9">
      <c r="B9" s="100" t="s">
        <v>57</v>
      </c>
      <c r="C9" s="338">
        <f>Normalized_FCF!C19</f>
        <v>273.6655059646788</v>
      </c>
      <c r="D9" t="str">
        <f>Reporting_currency</f>
        <v>USD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0.21097145624674352</v>
      </c>
      <c r="D12" s="158"/>
      <c r="E12" s="366"/>
      <c r="F12" s="366"/>
      <c r="H12" s="247">
        <v>9</v>
      </c>
      <c r="I12" s="124" t="str">
        <f t="shared" si="0"/>
        <v/>
      </c>
    </row>
    <row r="13" spans="2:9">
      <c r="B13" s="148" t="s">
        <v>152</v>
      </c>
      <c r="C13" s="158">
        <f ca="1">(Normalized_FCF!G8/OFFSET(Normalized_FCF!G8, 0, $C$4))^(1/$C$4) - 1</f>
        <v>0.77230247224880189</v>
      </c>
      <c r="E13" s="366"/>
      <c r="F13" s="366"/>
      <c r="H13" s="247">
        <v>10</v>
      </c>
      <c r="I13" s="124" t="str">
        <f t="shared" si="0"/>
        <v/>
      </c>
    </row>
    <row r="14" spans="2:9">
      <c r="B14" s="100" t="s">
        <v>66</v>
      </c>
      <c r="C14" s="158">
        <f ca="1">(Normalized_FCF!G19/OFFSET(Normalized_FCF!G19, 0, $C$4))^(1/$C$4) - 1</f>
        <v>-4.7409276446906716</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14.06</v>
      </c>
      <c r="D21" t="str">
        <f>Market_currency</f>
        <v>HKD</v>
      </c>
      <c r="E21" s="367"/>
      <c r="F21" s="367"/>
    </row>
    <row r="22" spans="2:6">
      <c r="B22" s="100" t="s">
        <v>278</v>
      </c>
      <c r="C22" s="160">
        <f>IF(valuation_method="DCF",DCF!C12,DDM!C7)</f>
        <v>9.3609478174359069</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0.06</v>
      </c>
      <c r="D26" s="164"/>
      <c r="E26" s="365"/>
      <c r="F26" s="365"/>
    </row>
    <row r="27" spans="2:6">
      <c r="B27" s="100" t="s">
        <v>113</v>
      </c>
      <c r="C27" s="160">
        <f>IF(valuation_method="DCF",DCF!E76,DDM!E71)</f>
        <v>13.683557623470668</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10.666584516954932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0.15</v>
      </c>
      <c r="D38" s="164"/>
      <c r="E38" s="365"/>
      <c r="F38" s="365"/>
    </row>
    <row r="39" spans="2:6">
      <c r="B39" s="100" t="s">
        <v>113</v>
      </c>
      <c r="C39" s="160">
        <f>IF(valuation_method="DCF",DCF!E75,DDM!E70)</f>
        <v>23.114621044356198</v>
      </c>
      <c r="D39" t="str">
        <f>Market_currency</f>
        <v>HKD</v>
      </c>
      <c r="E39" s="365"/>
      <c r="F39" s="365"/>
    </row>
    <row r="40" spans="2:6">
      <c r="B40" s="100" t="s">
        <v>147</v>
      </c>
      <c r="C40" s="167">
        <f>1-C28-C34</f>
        <v>0.2</v>
      </c>
      <c r="D40" s="165"/>
      <c r="E40" s="365"/>
      <c r="F40" s="365"/>
    </row>
    <row r="42" spans="2:6" ht="13.15">
      <c r="B42" s="100" t="s">
        <v>120</v>
      </c>
      <c r="C42" s="154">
        <f>C27*C28+C33*C34+C39*C40</f>
        <v>14.966375686344627</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9.3609478174359122</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0.25</v>
      </c>
      <c r="D56" s="164"/>
      <c r="E56" s="365"/>
      <c r="F56" s="365"/>
    </row>
    <row r="57" spans="2:6">
      <c r="B57" s="100" t="s">
        <v>113</v>
      </c>
      <c r="C57" s="160">
        <f>IF(valuation_method="DCF",DCF!E74,DDM!E69)</f>
        <v>92.728008979767367</v>
      </c>
      <c r="D57" t="str">
        <f>Market_currency</f>
        <v>HKD</v>
      </c>
      <c r="E57" s="365"/>
      <c r="F57" s="365"/>
    </row>
    <row r="58" spans="2:6">
      <c r="B58" s="100" t="s">
        <v>147</v>
      </c>
      <c r="C58" s="165">
        <v>0.05</v>
      </c>
      <c r="D58" s="165"/>
      <c r="E58" s="365"/>
      <c r="F58" s="365"/>
    </row>
    <row r="60" spans="2:6" ht="13.15">
      <c r="B60" s="100" t="s">
        <v>120</v>
      </c>
      <c r="C60" s="154">
        <f>C51*C52+C57*C58+C42*(1-C52-C58)</f>
        <v>18.574185957570329</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0.111211776070739</v>
      </c>
      <c r="D65" s="151"/>
      <c r="E65" s="251" t="s">
        <v>312</v>
      </c>
    </row>
    <row r="66" spans="2:6">
      <c r="B66" s="100" t="s">
        <v>102</v>
      </c>
      <c r="C66" s="160">
        <f>IF(valuation_method="DCF",DCF!C18,DDM!C13)</f>
        <v>18.522127319332345</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N</v>
      </c>
      <c r="E70" s="251" t="s">
        <v>294</v>
      </c>
    </row>
    <row r="71" spans="2:6">
      <c r="B71" s="100" t="s">
        <v>292</v>
      </c>
      <c r="C71" s="244" t="str">
        <f>IF(C65&gt;8%,"Y","N")</f>
        <v>Y</v>
      </c>
      <c r="E71" s="251"/>
    </row>
    <row r="72" spans="2:6">
      <c r="B72" s="100" t="s">
        <v>284</v>
      </c>
      <c r="C72" s="243" t="str">
        <f>IF(F72&gt;50%,"Y","N")</f>
        <v>N</v>
      </c>
      <c r="E72" s="134" t="s">
        <v>346</v>
      </c>
      <c r="F72" s="291">
        <f>BS!D89/C60</f>
        <v>-0.60903908506348625</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0.84158639999999996</v>
      </c>
      <c r="D77" t="str">
        <f>Market_currency</f>
        <v>HKD</v>
      </c>
    </row>
    <row r="79" spans="2:6" ht="13.15">
      <c r="B79" s="109" t="s">
        <v>301</v>
      </c>
    </row>
    <row r="80" spans="2:6">
      <c r="B80" s="148" t="s">
        <v>299</v>
      </c>
      <c r="C80" s="167">
        <f>Thesis!F29</f>
        <v>0.3674</v>
      </c>
    </row>
    <row r="81" spans="2:8">
      <c r="B81" s="100" t="s">
        <v>121</v>
      </c>
      <c r="C81" s="116">
        <f>PV(C80, C76, -C77, 0)</f>
        <v>1.3947269044507218</v>
      </c>
      <c r="D81" s="116"/>
      <c r="E81" s="100"/>
      <c r="F81" s="100"/>
    </row>
    <row r="82" spans="2:8">
      <c r="B82" s="100" t="s">
        <v>122</v>
      </c>
      <c r="C82" s="116">
        <f>C60/(1+C80)^C76</f>
        <v>7.2647899610068576</v>
      </c>
      <c r="D82" s="116"/>
    </row>
    <row r="83" spans="2:8" ht="13.15">
      <c r="B83" s="110" t="s">
        <v>101</v>
      </c>
      <c r="C83" s="111">
        <f>C81+C82</f>
        <v>8.6595168654575794</v>
      </c>
      <c r="D83" t="str">
        <f>Market_currency</f>
        <v>HKD</v>
      </c>
      <c r="E83" s="146" t="s">
        <v>126</v>
      </c>
      <c r="F83" s="291">
        <f>(1-C83/C60)</f>
        <v>0.53378754335512624</v>
      </c>
    </row>
    <row r="84" spans="2:8">
      <c r="E84" s="120"/>
    </row>
    <row r="85" spans="2:8" ht="13.15">
      <c r="B85" s="109" t="s">
        <v>302</v>
      </c>
    </row>
    <row r="86" spans="2:8">
      <c r="B86" s="148" t="s">
        <v>300</v>
      </c>
      <c r="C86" s="116">
        <f>Market_Price</f>
        <v>14.06</v>
      </c>
      <c r="D86" t="str">
        <f>Market_currency</f>
        <v>HKD</v>
      </c>
    </row>
    <row r="87" spans="2:8" ht="13.15">
      <c r="B87" s="100" t="s">
        <v>298</v>
      </c>
      <c r="C87" s="237">
        <f ca="1">IRR(OFFSET($I$3, 0, 0, $C$76 + 1, 1))</f>
        <v>0.15212950115223522</v>
      </c>
    </row>
    <row r="88" spans="2:8">
      <c r="B88" s="100"/>
    </row>
    <row r="89" spans="2:8" ht="13.15">
      <c r="B89" s="109" t="s">
        <v>412</v>
      </c>
    </row>
    <row r="90" spans="2:8">
      <c r="B90" s="148" t="s">
        <v>413</v>
      </c>
      <c r="C90" s="167">
        <f>Thesis!F30</f>
        <v>0.21740000000000001</v>
      </c>
    </row>
    <row r="91" spans="2:8">
      <c r="B91" s="100" t="s">
        <v>121</v>
      </c>
      <c r="C91" s="116">
        <f>PV(C90, C76, -C77, 0)</f>
        <v>1.7255894479135263</v>
      </c>
      <c r="D91" s="116"/>
      <c r="E91" s="100"/>
      <c r="F91" s="100"/>
    </row>
    <row r="92" spans="2:8">
      <c r="B92" s="100" t="s">
        <v>122</v>
      </c>
      <c r="C92" s="116">
        <f>C60/(1+C90)^C76</f>
        <v>10.294609963859385</v>
      </c>
      <c r="D92" s="116"/>
    </row>
    <row r="93" spans="2:8" ht="13.15">
      <c r="B93" s="110" t="s">
        <v>101</v>
      </c>
      <c r="C93" s="111">
        <f>C91+C92</f>
        <v>12.020199411772911</v>
      </c>
      <c r="D93" t="str">
        <f>Market_currency</f>
        <v>HKD</v>
      </c>
      <c r="E93" s="146" t="s">
        <v>126</v>
      </c>
      <c r="F93" s="291">
        <f>(1-C93/C60)</f>
        <v>0.35285457789476871</v>
      </c>
    </row>
    <row r="95" spans="2:8" ht="13.15">
      <c r="B95" s="109" t="s">
        <v>397</v>
      </c>
      <c r="G95" s="2"/>
      <c r="H95" s="281"/>
    </row>
    <row r="96" spans="2:8">
      <c r="B96" s="148" t="s">
        <v>403</v>
      </c>
      <c r="C96" s="134">
        <f>Thesis!F31</f>
        <v>7.4999999999999997E-2</v>
      </c>
      <c r="G96" s="2"/>
      <c r="H96" s="281"/>
    </row>
    <row r="97" spans="2:8">
      <c r="B97" s="100" t="s">
        <v>121</v>
      </c>
      <c r="C97" s="116">
        <f>PV(C96, C76, -C77, 0)</f>
        <v>2.1885670955261789</v>
      </c>
      <c r="D97" s="116"/>
      <c r="G97" s="2"/>
      <c r="H97" s="281"/>
    </row>
    <row r="98" spans="2:8">
      <c r="B98" s="100" t="s">
        <v>122</v>
      </c>
      <c r="C98" s="116">
        <f>C60/(1+C96)^C76</f>
        <v>14.951487306583083</v>
      </c>
      <c r="D98" s="116"/>
      <c r="G98" s="2"/>
      <c r="H98" s="281"/>
    </row>
    <row r="99" spans="2:8" ht="13.15">
      <c r="B99" s="110" t="s">
        <v>398</v>
      </c>
      <c r="C99" s="111">
        <f>C97+C98</f>
        <v>17.140054402109261</v>
      </c>
      <c r="D99" t="s">
        <v>396</v>
      </c>
      <c r="E99" s="146" t="s">
        <v>126</v>
      </c>
      <c r="F99" s="291">
        <f>(1-C99/C60)</f>
        <v>7.7211004495007507E-2</v>
      </c>
    </row>
    <row r="100" spans="2:8">
      <c r="B100" s="100"/>
    </row>
    <row r="101" spans="2:8" ht="13.15">
      <c r="B101" s="109" t="s">
        <v>421</v>
      </c>
    </row>
    <row r="102" spans="2:8">
      <c r="B102" s="148" t="s">
        <v>420</v>
      </c>
      <c r="C102" s="134">
        <f>Thesis!F32</f>
        <v>0.1174</v>
      </c>
    </row>
    <row r="103" spans="2:8">
      <c r="B103" s="100" t="s">
        <v>121</v>
      </c>
      <c r="C103" s="116">
        <f>PV(C102, C76, -C77, 0)</f>
        <v>2.030413979387454</v>
      </c>
      <c r="D103" s="116"/>
    </row>
    <row r="104" spans="2:8">
      <c r="B104" s="100" t="s">
        <v>122</v>
      </c>
      <c r="C104" s="116">
        <f>C60/(1+C102)^C76</f>
        <v>13.313240826878136</v>
      </c>
      <c r="D104" s="116"/>
    </row>
    <row r="105" spans="2:8" ht="13.15">
      <c r="B105" s="110" t="s">
        <v>398</v>
      </c>
      <c r="C105" s="111">
        <f>C103+C104</f>
        <v>15.34365480626559</v>
      </c>
      <c r="D105" t="s">
        <v>396</v>
      </c>
      <c r="E105" s="146" t="s">
        <v>126</v>
      </c>
      <c r="F105" s="291">
        <f>(1-C105/C66)</f>
        <v>0.17160407431975944</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