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303390B-A353-4E27-B328-85E1C2AB588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C6" i="4"/>
  <c r="D6" i="4"/>
  <c r="E6" i="4"/>
  <c r="F6" i="4"/>
  <c r="G6" i="4"/>
  <c r="C7" i="4"/>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62" i="10" l="1"/>
  <c r="C61" i="10"/>
  <c r="B64" i="10"/>
  <c r="D61" i="10"/>
  <c r="D63" i="10"/>
  <c r="D65" i="10"/>
  <c r="B63" i="10"/>
  <c r="E63" i="10"/>
  <c r="F61" i="10"/>
  <c r="F63" i="10"/>
  <c r="F65" i="10"/>
  <c r="B65" i="10"/>
  <c r="D62" i="10"/>
  <c r="D64" i="10"/>
  <c r="B61" i="10"/>
  <c r="E66" i="10"/>
  <c r="F66" i="10"/>
  <c r="C63" i="10"/>
  <c r="B62" i="10"/>
  <c r="E61" i="10"/>
  <c r="E65" i="10"/>
  <c r="C62" i="10"/>
  <c r="C64" i="10"/>
  <c r="C66" i="10"/>
  <c r="B66" i="10"/>
  <c r="D66" i="10"/>
  <c r="E62" i="10"/>
  <c r="E64" i="10"/>
  <c r="F64" i="10"/>
  <c r="C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F70" i="8"/>
  <c r="E67" i="8"/>
  <c r="B70" i="8"/>
  <c r="C66" i="8"/>
  <c r="E70" i="8"/>
  <c r="F71" i="8"/>
  <c r="B68" i="8"/>
  <c r="D66" i="8"/>
  <c r="B66" i="8"/>
  <c r="G54" i="2"/>
  <c r="D69" i="8" l="1"/>
  <c r="E68" i="8"/>
  <c r="B67"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127" i="6"/>
  <c r="C26" i="6" s="1"/>
  <c r="C82" i="9"/>
  <c r="C83" i="9" s="1"/>
  <c r="F83" i="9" s="1"/>
  <c r="C98" i="9"/>
  <c r="F72" i="9"/>
  <c r="C72" i="9" s="1"/>
  <c r="C104" i="9"/>
  <c r="C105" i="9" s="1"/>
  <c r="C168" i="6" s="1"/>
  <c r="C99" i="9"/>
  <c r="C159" i="6"/>
  <c r="C87" i="9"/>
  <c r="H76" i="2"/>
  <c r="H120" i="2"/>
  <c r="H116" i="2" s="1"/>
  <c r="H13" i="2"/>
  <c r="C143" i="6" l="1"/>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<sst xmlns="http://schemas.openxmlformats.org/spreadsheetml/2006/main" count="681" uniqueCount="461">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</sst>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4" t="s">
        <v>354</v>
      </c>
      <c r="F1" s="280" t="s">
        <v>451</v>
      </c>
    </row>
    <row r="2" spans="1:10" ht="13.9">
      <c r="A2" s="246" t="s">
        <v>268</v>
      </c>
      <c r="B2" s="36"/>
      <c r="C2" s="36"/>
      <c r="D2" s="36"/>
      <c r="E2" s="36"/>
      <c r="F2" s="36"/>
      <c r="G2" s="22"/>
      <c r="H2" s="22"/>
      <c r="I2" s="22"/>
      <c r="J2" s="22"/>
    </row>
    <row r="4" spans="1:10">
      <c r="B4" s="45" t="s">
        <v>416</v>
      </c>
      <c r="C4" s="46"/>
      <c r="D4" s="5"/>
      <c r="E4" s="2"/>
      <c r="F4" s="2"/>
    </row>
    <row r="5" spans="1:10" ht="12.4">
      <c r="B5" s="4" t="s">
        <v>316</v>
      </c>
      <c r="C5" s="326" t="s">
        <v>452</v>
      </c>
    </row>
    <row r="6" spans="1:10">
      <c r="B6" s="4" t="s">
        <v>0</v>
      </c>
      <c r="C6" s="51">
        <v>1383064083</v>
      </c>
      <c r="E6" s="48"/>
    </row>
    <row r="7" spans="1:10">
      <c r="B7" s="2" t="s">
        <v>308</v>
      </c>
      <c r="C7" s="276">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13.98</v>
      </c>
      <c r="D12" s="50"/>
      <c r="E12" s="48"/>
    </row>
    <row r="13" spans="1:10">
      <c r="B13" s="1" t="s">
        <v>417</v>
      </c>
      <c r="C13" s="48" t="s">
        <v>397</v>
      </c>
      <c r="D13" s="48"/>
      <c r="E13" s="5"/>
    </row>
    <row r="14" spans="1:10">
      <c r="B14" s="4" t="s">
        <v>421</v>
      </c>
      <c r="C14" s="35">
        <f>Thesis!C12*Common_Shares/1000000</f>
        <v>19335.235880339998</v>
      </c>
      <c r="D14" s="35" t="str">
        <f>IF(D11="","",Thesis!D12*Common_Shares/1000000)</f>
        <v/>
      </c>
      <c r="E14" s="5"/>
    </row>
    <row r="15" spans="1:10">
      <c r="B15" s="4" t="s">
        <v>420</v>
      </c>
      <c r="C15" s="32" t="str">
        <f>IF(C25=C13,C13,C25&amp;"/"&amp;C13)</f>
        <v>USD/HKD</v>
      </c>
      <c r="D15" s="32" t="str">
        <f>IF(D11="","",IF(C25=D13,D13,C25&amp;"/"&amp;D13))</f>
        <v/>
      </c>
      <c r="E15" s="5"/>
    </row>
    <row r="16" spans="1:10">
      <c r="B16" s="4" t="s">
        <v>1</v>
      </c>
      <c r="C16" s="50">
        <v>7.8137999999999996</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High Growth </v>
      </c>
      <c r="D21" s="1" t="s">
        <v>440</v>
      </c>
      <c r="E21" s="342" t="s">
        <v>457</v>
      </c>
    </row>
    <row r="22" spans="2:6">
      <c r="B22" s="2" t="s">
        <v>56</v>
      </c>
      <c r="C22" s="48" t="s">
        <v>455</v>
      </c>
      <c r="D22" s="1" t="str">
        <f>IF(valuation_method="DDM","DDM Terminal Value","")</f>
        <v/>
      </c>
      <c r="E22" s="347"/>
    </row>
    <row r="23" spans="2:6">
      <c r="B23" s="1" t="s">
        <v>435</v>
      </c>
      <c r="C23" s="290" t="s">
        <v>451</v>
      </c>
    </row>
    <row r="24" spans="2:6">
      <c r="B24" s="1" t="s">
        <v>436</v>
      </c>
      <c r="C24" s="290" t="s">
        <v>451</v>
      </c>
    </row>
    <row r="25" spans="2:6">
      <c r="B25" s="4" t="s">
        <v>348</v>
      </c>
      <c r="C25" s="48" t="s">
        <v>456</v>
      </c>
      <c r="D25" s="32" t="str">
        <f>IF(D11="","",Market_currency&amp;"/"&amp;D13&amp;":")</f>
        <v/>
      </c>
      <c r="E25" s="333" t="str">
        <f>IF(D11="","",1/Exchange_Rate*D16)</f>
        <v/>
      </c>
    </row>
    <row r="26" spans="2:6">
      <c r="B26" s="1" t="str">
        <f>"Expected Equity Value ("&amp;C13&amp;") :"</f>
        <v>Expected Equity Value (HKD) :</v>
      </c>
      <c r="C26" s="338">
        <f>C127</f>
        <v>16.812326952049464</v>
      </c>
      <c r="D26" s="1" t="s">
        <v>400</v>
      </c>
      <c r="E26" s="335">
        <f ca="1">Scenarios!C87</f>
        <v>0.12006488109359492</v>
      </c>
    </row>
    <row r="27" spans="2:6">
      <c r="D27" s="5"/>
      <c r="E27" s="5"/>
    </row>
    <row r="28" spans="2:6">
      <c r="B28" s="45" t="s">
        <v>434</v>
      </c>
      <c r="C28" s="343" t="str">
        <f>C140&amp;" ("&amp;Market_currency&amp;")"</f>
        <v>1910.HK (HKD)</v>
      </c>
      <c r="D28" s="343" t="str">
        <f>IF(D11="","",D140&amp;" ("&amp;D13&amp;")")</f>
        <v/>
      </c>
      <c r="E28" s="339" t="s">
        <v>430</v>
      </c>
      <c r="F28" s="337">
        <v>3</v>
      </c>
    </row>
    <row r="29" spans="2:6">
      <c r="B29" s="1" t="s">
        <v>426</v>
      </c>
      <c r="C29" s="344">
        <f>C144</f>
        <v>7.4603674180938295</v>
      </c>
      <c r="D29" s="344" t="str">
        <f>D144</f>
        <v/>
      </c>
      <c r="E29" s="340" t="s">
        <v>425</v>
      </c>
      <c r="F29" s="336">
        <v>0.4</v>
      </c>
    </row>
    <row r="30" spans="2:6">
      <c r="B30" s="1" t="s">
        <v>427</v>
      </c>
      <c r="C30" s="345">
        <f>C152</f>
        <v>11.038812906388786</v>
      </c>
      <c r="D30" s="345" t="str">
        <f>D152</f>
        <v/>
      </c>
      <c r="E30" s="341" t="s">
        <v>438</v>
      </c>
      <c r="F30" s="346">
        <v>0.21740000000000001</v>
      </c>
    </row>
    <row r="31" spans="2:6">
      <c r="B31" s="1" t="s">
        <v>428</v>
      </c>
      <c r="C31" s="345">
        <f>C160</f>
        <v>15.508872436253256</v>
      </c>
      <c r="D31" s="345" t="str">
        <f>D160</f>
        <v/>
      </c>
      <c r="E31" s="341" t="s">
        <v>437</v>
      </c>
      <c r="F31" s="346">
        <v>0.08</v>
      </c>
    </row>
    <row r="32" spans="2:6">
      <c r="B32" s="1" t="s">
        <v>429</v>
      </c>
      <c r="C32" s="345">
        <f>C168</f>
        <v>14.075071731650674</v>
      </c>
      <c r="D32" s="345" t="str">
        <f>D168</f>
        <v/>
      </c>
      <c r="E32" s="341" t="s">
        <v>439</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1000000</v>
      </c>
    </row>
    <row r="40" spans="1:6" ht="24.4" customHeight="1">
      <c r="B40" s="353" t="s">
        <v>232</v>
      </c>
      <c r="C40" s="353"/>
      <c r="D40" s="353"/>
      <c r="E40" s="353"/>
      <c r="F40" s="353"/>
    </row>
    <row r="41" spans="1:6">
      <c r="B41" s="47" t="s">
        <v>233</v>
      </c>
      <c r="C41" s="188">
        <f>Normalized_FCF!C8</f>
        <v>553.11898834421322</v>
      </c>
      <c r="D41" s="1" t="str">
        <f>Reporting_currency</f>
        <v>USD</v>
      </c>
    </row>
    <row r="42" spans="1:6">
      <c r="B42" s="47"/>
      <c r="C42" s="76"/>
    </row>
    <row r="43" spans="1:6" ht="24.4" customHeight="1">
      <c r="B43" s="353" t="s">
        <v>234</v>
      </c>
      <c r="C43" s="353"/>
      <c r="D43" s="353"/>
      <c r="E43" s="353"/>
      <c r="F43" s="353"/>
    </row>
    <row r="44" spans="1:6">
      <c r="B44" s="47" t="s">
        <v>235</v>
      </c>
      <c r="C44" s="188">
        <f>Normalized_FCF!C9</f>
        <v>0</v>
      </c>
      <c r="D44" s="1" t="str">
        <f>Reporting_currency</f>
        <v>USD</v>
      </c>
    </row>
    <row r="45" spans="1:6">
      <c r="B45" s="52" t="s">
        <v>236</v>
      </c>
      <c r="C45" s="188">
        <f>Normalized_FCF!C10</f>
        <v>0</v>
      </c>
      <c r="D45" s="1" t="str">
        <f>Reporting_currency</f>
        <v>USD</v>
      </c>
    </row>
    <row r="47" spans="1:6">
      <c r="B47" s="353" t="s">
        <v>237</v>
      </c>
      <c r="C47" s="353"/>
      <c r="D47" s="353"/>
      <c r="E47" s="353"/>
      <c r="F47" s="353"/>
    </row>
    <row r="48" spans="1:6">
      <c r="B48" s="47" t="s">
        <v>238</v>
      </c>
      <c r="C48" s="188">
        <f>Normalized_FCF!C11</f>
        <v>0</v>
      </c>
      <c r="D48" s="1" t="str">
        <f>Reporting_currency</f>
        <v>USD</v>
      </c>
    </row>
    <row r="50" spans="2:6">
      <c r="B50" s="353" t="s">
        <v>241</v>
      </c>
      <c r="C50" s="353"/>
      <c r="D50" s="353"/>
      <c r="E50" s="353"/>
      <c r="F50" s="353"/>
    </row>
    <row r="51" spans="2:6">
      <c r="B51" s="47" t="s">
        <v>341</v>
      </c>
      <c r="C51" s="316">
        <f>Normalized_FCF!C48</f>
        <v>7.03184705776422</v>
      </c>
      <c r="D51" s="1" t="str">
        <f>Reporting_currency</f>
        <v>USD</v>
      </c>
      <c r="E51" s="315"/>
      <c r="F51" s="315"/>
    </row>
    <row r="52" spans="2:6">
      <c r="B52" s="47" t="s">
        <v>342</v>
      </c>
      <c r="C52" s="316">
        <f>Normalized_FCF!C47</f>
        <v>-152</v>
      </c>
      <c r="D52" s="1" t="str">
        <f>Reporting_currency</f>
        <v>USD</v>
      </c>
      <c r="E52" s="315"/>
      <c r="F52" s="315"/>
    </row>
    <row r="53" spans="2:6">
      <c r="B53" s="47" t="s">
        <v>239</v>
      </c>
      <c r="C53" s="188">
        <f>Normalized_FCF!C12</f>
        <v>-144.96815294223578</v>
      </c>
      <c r="D53" s="1" t="str">
        <f>Reporting_currency</f>
        <v>USD</v>
      </c>
    </row>
    <row r="55" spans="2:6">
      <c r="B55" s="1" t="s">
        <v>247</v>
      </c>
    </row>
    <row r="56" spans="2:6">
      <c r="B56" s="47" t="s">
        <v>266</v>
      </c>
      <c r="C56" s="188">
        <f>Normalized_FCF!C15</f>
        <v>-32.451765153160977</v>
      </c>
      <c r="D56" s="1" t="str">
        <f>Reporting_currency</f>
        <v>USD</v>
      </c>
    </row>
    <row r="58" spans="2:6">
      <c r="B58" s="353" t="s">
        <v>242</v>
      </c>
      <c r="C58" s="353"/>
      <c r="D58" s="353"/>
      <c r="E58" s="353"/>
      <c r="F58" s="353"/>
    </row>
    <row r="59" spans="2:6">
      <c r="B59" s="47" t="s">
        <v>240</v>
      </c>
      <c r="C59" s="188">
        <f>Normalized_FCF!C14</f>
        <v>-102.03770885049437</v>
      </c>
      <c r="D59" s="1" t="str">
        <f>Reporting_currency</f>
        <v>USD</v>
      </c>
    </row>
    <row r="61" spans="2:6">
      <c r="B61" s="353" t="s">
        <v>339</v>
      </c>
      <c r="C61" s="354"/>
      <c r="D61" s="354"/>
      <c r="E61" s="354"/>
      <c r="F61" s="354"/>
    </row>
    <row r="62" spans="2:6">
      <c r="B62" s="47" t="s">
        <v>243</v>
      </c>
      <c r="C62" s="1">
        <f>Normalized_FCF!C17</f>
        <v>0</v>
      </c>
      <c r="D62" s="1" t="str">
        <f>Reporting_currency</f>
        <v>USD</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342.23184705776413</v>
      </c>
      <c r="D67" s="1" t="str">
        <f>Reporting_currency</f>
        <v>USD</v>
      </c>
    </row>
    <row r="68" spans="1:6">
      <c r="B68" s="47" t="s">
        <v>249</v>
      </c>
      <c r="C68" s="188">
        <f>Normalized_FCF!C19</f>
        <v>273.66136139832213</v>
      </c>
      <c r="D68" s="1" t="str">
        <f>Reporting_currency</f>
        <v>USD</v>
      </c>
    </row>
    <row r="69" spans="1:6">
      <c r="B69" s="251" t="s">
        <v>391</v>
      </c>
      <c r="C69" s="92">
        <f>Normalized_FCF!C125</f>
        <v>0.11059265886011045</v>
      </c>
      <c r="F69" s="348"/>
    </row>
    <row r="70" spans="1:6">
      <c r="B70" s="251" t="s">
        <v>309</v>
      </c>
      <c r="C70" s="92">
        <f>Normalized_FCF!C93</f>
        <v>6.0028763948497849E-2</v>
      </c>
      <c r="E70" s="47" t="s">
        <v>449</v>
      </c>
      <c r="F70" s="349">
        <f>Normalized_FCF!C92</f>
        <v>4.2412648414039946</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432</v>
      </c>
      <c r="C78" s="92">
        <f>F31</f>
        <v>0.08</v>
      </c>
    </row>
    <row r="79" spans="1:6">
      <c r="B79" s="1" t="s">
        <v>431</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19.326067135804305</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2323</v>
      </c>
      <c r="D96" s="1" t="str">
        <f>Reporting_currency</f>
        <v>USD</v>
      </c>
    </row>
    <row r="97" spans="2:6">
      <c r="B97" s="47" t="s">
        <v>282</v>
      </c>
      <c r="C97" s="247">
        <f>C96*scaling_factor*Exchange_Rate/Common_Shares</f>
        <v>13.12408992693074</v>
      </c>
      <c r="D97" s="1" t="str">
        <f>Market_currency</f>
        <v>HKD</v>
      </c>
    </row>
    <row r="98" spans="2:6">
      <c r="B98" s="329" t="s">
        <v>405</v>
      </c>
      <c r="C98" s="330">
        <f>BS!G30/BS!G27</f>
        <v>2.2875080906148866</v>
      </c>
    </row>
    <row r="99" spans="2:6">
      <c r="B99" s="329" t="s">
        <v>406</v>
      </c>
      <c r="C99" s="330">
        <f>BS!G31/BS!G27</f>
        <v>1.5035598705501618</v>
      </c>
    </row>
    <row r="100" spans="2:6">
      <c r="B100" s="329" t="s">
        <v>408</v>
      </c>
      <c r="C100" s="331">
        <f>BS!C50</f>
        <v>4.1998196571663646</v>
      </c>
    </row>
    <row r="102" spans="2:6">
      <c r="B102" s="1" t="s">
        <v>255</v>
      </c>
    </row>
    <row r="103" spans="2:6">
      <c r="B103" s="47" t="s">
        <v>265</v>
      </c>
      <c r="C103" s="188">
        <f>BS!C66</f>
        <v>676.3</v>
      </c>
      <c r="D103" s="1" t="str">
        <f>Reporting_currency</f>
        <v>USD</v>
      </c>
    </row>
    <row r="104" spans="2:6">
      <c r="B104" s="47" t="s">
        <v>267</v>
      </c>
      <c r="C104" s="188">
        <f>DCF!C8</f>
        <v>326.62072314956305</v>
      </c>
      <c r="D104" s="1" t="str">
        <f>Reporting_currency</f>
        <v>USD</v>
      </c>
    </row>
    <row r="105" spans="2:6">
      <c r="B105" s="47" t="s">
        <v>283</v>
      </c>
      <c r="C105" s="247">
        <f>C104*scaling_factor*Exchange_Rate/Common_Shares</f>
        <v>1.8452861569582497</v>
      </c>
      <c r="D105" s="1" t="str">
        <f>Market_currency</f>
        <v>HKD</v>
      </c>
    </row>
    <row r="107" spans="2:6">
      <c r="B107" s="1" t="s">
        <v>257</v>
      </c>
    </row>
    <row r="108" spans="2:6">
      <c r="B108" s="47" t="s">
        <v>258</v>
      </c>
      <c r="C108" s="188">
        <f>DCF!C9</f>
        <v>0</v>
      </c>
      <c r="D108" s="1" t="str">
        <f>Reporting_currency</f>
        <v>USD</v>
      </c>
    </row>
    <row r="109" spans="2:6">
      <c r="B109" s="47" t="s">
        <v>284</v>
      </c>
      <c r="C109" s="247">
        <f>C108*scaling_factor*Exchange_Rate/Common_Shares</f>
        <v>0</v>
      </c>
      <c r="D109" s="1" t="str">
        <f>Market_currency</f>
        <v>HKD</v>
      </c>
    </row>
    <row r="111" spans="2:6" ht="24.4" customHeight="1">
      <c r="B111" s="352" t="s">
        <v>367</v>
      </c>
      <c r="C111" s="352"/>
      <c r="D111" s="352"/>
      <c r="E111" s="352"/>
      <c r="F111" s="352"/>
    </row>
    <row r="113" spans="1:6">
      <c r="B113" s="47" t="s">
        <v>450</v>
      </c>
      <c r="C113" s="247">
        <f>IF(valuation_method="DCF",DCF!C12,DDM!C7)</f>
        <v>8.0472633658318138</v>
      </c>
      <c r="D113" s="1" t="str">
        <f>Market_currency</f>
        <v>HKD</v>
      </c>
    </row>
    <row r="114" spans="1:6">
      <c r="B114" s="329" t="s">
        <v>407</v>
      </c>
      <c r="C114" s="247">
        <f>BS!D47</f>
        <v>-12.221505076854779</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0.25</v>
      </c>
      <c r="D121" s="254">
        <f>DCF!D74</f>
        <v>15</v>
      </c>
      <c r="E121" s="255" t="str">
        <f>ROUND(IF(valuation_method="DCF",DCF!E74,DDM!E69),2)&amp;" "&amp;Market_currency</f>
        <v>86.82 HKD</v>
      </c>
      <c r="F121" s="256">
        <f>DCF!F74</f>
        <v>0.05</v>
      </c>
    </row>
    <row r="122" spans="1:6">
      <c r="B122" s="242" t="str">
        <f>DCF!B75</f>
        <v>Optimistic</v>
      </c>
      <c r="C122" s="243">
        <f>DCF!C75</f>
        <v>0.15</v>
      </c>
      <c r="D122" s="244">
        <f>DCF!D75</f>
        <v>10</v>
      </c>
      <c r="E122" s="255" t="str">
        <f>ROUND(IF(valuation_method="DCF",DCF!E75,DDM!E70),2)&amp;" "&amp;Market_currency</f>
        <v>21.21 HKD</v>
      </c>
      <c r="F122" s="245">
        <f>DCF!F75</f>
        <v>0.18</v>
      </c>
    </row>
    <row r="123" spans="1:6">
      <c r="B123" s="242" t="str">
        <f>DCF!B76</f>
        <v>Base</v>
      </c>
      <c r="C123" s="243">
        <f>DCF!C76</f>
        <v>0.06</v>
      </c>
      <c r="D123" s="244">
        <f>DCF!D76</f>
        <v>10</v>
      </c>
      <c r="E123" s="255" t="str">
        <f>ROUND(IF(valuation_method="DCF",DCF!E76,DDM!E71),2)&amp;" "&amp;Market_currency</f>
        <v>12.18 HKD</v>
      </c>
      <c r="F123" s="245">
        <f>DCF!F76</f>
        <v>0.53999999999999992</v>
      </c>
    </row>
    <row r="124" spans="1:6">
      <c r="B124" s="242" t="str">
        <f>DCF!B77</f>
        <v>Pessimistic</v>
      </c>
      <c r="C124" s="243">
        <f>DCF!C77</f>
        <v>0.02</v>
      </c>
      <c r="D124" s="244">
        <f>DCF!D77</f>
        <v>10</v>
      </c>
      <c r="E124" s="255" t="str">
        <f>ROUND(IF(valuation_method="DCF",DCF!E77,DDM!E72),2)&amp;" "&amp;Market_currency</f>
        <v>9.29 HKD</v>
      </c>
      <c r="F124" s="245">
        <f>DCF!F77</f>
        <v>0.18</v>
      </c>
    </row>
    <row r="125" spans="1:6">
      <c r="B125" s="242" t="str">
        <f>DCF!B78</f>
        <v>Devil's advocate</v>
      </c>
      <c r="C125" s="243">
        <f>DCF!C78</f>
        <v>0</v>
      </c>
      <c r="D125" s="244">
        <f>DCF!D78</f>
        <v>15</v>
      </c>
      <c r="E125" s="255" t="str">
        <f>ROUND(IF(valuation_method="DCF",DCF!E78,DDM!E73),2)&amp;" "&amp;Market_currency</f>
        <v>8.05 HKD</v>
      </c>
      <c r="F125" s="245">
        <f>DCF!F78</f>
        <v>0.05</v>
      </c>
    </row>
    <row r="127" spans="1:6">
      <c r="B127" s="235" t="s">
        <v>259</v>
      </c>
      <c r="C127" s="241">
        <f>Scenarios!C60</f>
        <v>16.812326952049464</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0.83920211999999994</v>
      </c>
      <c r="D138" s="236" t="str">
        <f>Market_currency</f>
        <v>HKD</v>
      </c>
    </row>
    <row r="140" spans="1:6">
      <c r="B140" s="234" t="s">
        <v>410</v>
      </c>
      <c r="C140" s="267" t="str">
        <f>C11</f>
        <v>1910.HK</v>
      </c>
      <c r="D140" s="267" t="str">
        <f>IF(D11="","",D11)</f>
        <v/>
      </c>
    </row>
    <row r="141" spans="1:6">
      <c r="B141" s="1" t="s">
        <v>409</v>
      </c>
      <c r="C141" s="330">
        <f>F29</f>
        <v>0.4</v>
      </c>
    </row>
    <row r="142" spans="1:6">
      <c r="B142" s="236" t="str">
        <f>"PV("&amp;C136&amp;" yrs of Dividends)"</f>
        <v>PV(3 yrs of Dividends)</v>
      </c>
      <c r="C142" s="240">
        <f>Scenarios!C81</f>
        <v>1.3334261090379005</v>
      </c>
    </row>
    <row r="143" spans="1:6">
      <c r="B143" s="236" t="str">
        <f>"+ PV(Equity Value realized at year "&amp;C136&amp;")"</f>
        <v>+ PV(Equity Value realized at year 3)</v>
      </c>
      <c r="C143" s="240">
        <f>Scenarios!C82</f>
        <v>6.1269413090559288</v>
      </c>
    </row>
    <row r="144" spans="1:6">
      <c r="B144" s="80" t="s">
        <v>261</v>
      </c>
      <c r="C144" s="239">
        <f>Scenarios!C83</f>
        <v>7.4603674180938295</v>
      </c>
      <c r="D144" s="334" t="str">
        <f>IF($D$11="","",C144*$E$25)</f>
        <v/>
      </c>
    </row>
    <row r="145" spans="2:4">
      <c r="B145" s="285" t="s">
        <v>417</v>
      </c>
      <c r="C145" s="332" t="str">
        <f>Market_currency</f>
        <v>HKD</v>
      </c>
      <c r="D145" s="332" t="str">
        <f>IF($D$11="","",D$13)</f>
        <v/>
      </c>
    </row>
    <row r="146" spans="2:4">
      <c r="B146" s="238" t="s">
        <v>263</v>
      </c>
      <c r="C146" s="92">
        <f>Scenarios!F83</f>
        <v>0.55625610664296576</v>
      </c>
    </row>
    <row r="148" spans="2:4">
      <c r="B148" s="234" t="s">
        <v>413</v>
      </c>
    </row>
    <row r="149" spans="2:4">
      <c r="B149" s="1" t="s">
        <v>412</v>
      </c>
      <c r="C149" s="330">
        <f>Scenarios!C90</f>
        <v>0.21740000000000001</v>
      </c>
    </row>
    <row r="150" spans="2:4">
      <c r="B150" s="236" t="str">
        <f>"PV("&amp;C136&amp;" yrs of Dividends)"</f>
        <v>PV(3 yrs of Dividends)</v>
      </c>
      <c r="C150" s="240">
        <f>Scenarios!C91</f>
        <v>1.7207007182372014</v>
      </c>
    </row>
    <row r="151" spans="2:4">
      <c r="B151" s="236" t="str">
        <f>"+ PV(Equity Value realized at year "&amp;C136&amp;")"</f>
        <v>+ PV(Equity Value realized at year 3)</v>
      </c>
      <c r="C151" s="240">
        <f>Scenarios!C92</f>
        <v>9.3181121881515843</v>
      </c>
    </row>
    <row r="152" spans="2:4">
      <c r="B152" s="80" t="s">
        <v>261</v>
      </c>
      <c r="C152" s="239">
        <f>Scenarios!C93</f>
        <v>11.038812906388786</v>
      </c>
      <c r="D152" s="334" t="str">
        <f>IF($D$11="","",C152*$E$25)</f>
        <v/>
      </c>
    </row>
    <row r="153" spans="2:4">
      <c r="B153" s="285" t="s">
        <v>417</v>
      </c>
      <c r="C153" s="332" t="str">
        <f>Market_currency</f>
        <v>HKD</v>
      </c>
      <c r="D153" s="332" t="str">
        <f>IF($D$11="","",D$13)</f>
        <v/>
      </c>
    </row>
    <row r="154" spans="2:4">
      <c r="B154" s="238" t="s">
        <v>263</v>
      </c>
      <c r="C154" s="92">
        <f>Scenarios!F93</f>
        <v>0.34340957454178422</v>
      </c>
    </row>
    <row r="156" spans="2:4">
      <c r="B156" s="234" t="s">
        <v>401</v>
      </c>
    </row>
    <row r="157" spans="2:4">
      <c r="B157" s="1" t="s">
        <v>411</v>
      </c>
      <c r="C157" s="92">
        <f>Scenarios!C96</f>
        <v>0.08</v>
      </c>
    </row>
    <row r="158" spans="2:4">
      <c r="B158" s="236" t="str">
        <f>"PV("&amp;C136&amp;" yrs of Dividends)"</f>
        <v>PV(3 yrs of Dividends)</v>
      </c>
      <c r="C158" s="240">
        <f>Scenarios!C97</f>
        <v>2.1627052551440338</v>
      </c>
    </row>
    <row r="159" spans="2:4">
      <c r="B159" s="236" t="str">
        <f>"+ PV(Equity Value realized at year "&amp;C136&amp;")"</f>
        <v>+ PV(Equity Value realized at year 3)</v>
      </c>
      <c r="C159" s="240">
        <f>Scenarios!C98</f>
        <v>13.346167181109223</v>
      </c>
    </row>
    <row r="160" spans="2:4">
      <c r="B160" s="80" t="s">
        <v>402</v>
      </c>
      <c r="C160" s="239">
        <f>Scenarios!C99</f>
        <v>15.508872436253256</v>
      </c>
      <c r="D160" s="334" t="str">
        <f>IF($D$11="","",C160*$E$25)</f>
        <v/>
      </c>
    </row>
    <row r="161" spans="1:6">
      <c r="B161" s="285" t="s">
        <v>417</v>
      </c>
      <c r="C161" s="332" t="str">
        <f>Market_currency</f>
        <v>HKD</v>
      </c>
      <c r="D161" s="332" t="str">
        <f>IF($D$11="","",D$13)</f>
        <v/>
      </c>
    </row>
    <row r="162" spans="1:6">
      <c r="B162" s="238" t="s">
        <v>263</v>
      </c>
      <c r="C162" s="92">
        <f>Scenarios!F99</f>
        <v>7.7529691131620115E-2</v>
      </c>
    </row>
    <row r="164" spans="1:6">
      <c r="B164" s="234" t="s">
        <v>433</v>
      </c>
    </row>
    <row r="165" spans="1:6">
      <c r="B165" s="1" t="s">
        <v>424</v>
      </c>
      <c r="C165" s="92">
        <f>F32</f>
        <v>0.1174</v>
      </c>
    </row>
    <row r="166" spans="1:6">
      <c r="B166" s="236" t="str">
        <f>"PV("&amp;C136&amp;" yrs of Dividends)"</f>
        <v>PV(3 yrs of Dividends)</v>
      </c>
      <c r="C166" s="240">
        <f>Scenarios!C103</f>
        <v>2.024661658006341</v>
      </c>
    </row>
    <row r="167" spans="1:6">
      <c r="B167" s="236" t="str">
        <f>"+ PV(Equity Value realized at year "&amp;C136&amp;")"</f>
        <v>+ PV(Equity Value realized at year 3)</v>
      </c>
      <c r="C167" s="240">
        <f>Scenarios!C104</f>
        <v>12.050410073644333</v>
      </c>
    </row>
    <row r="168" spans="1:6">
      <c r="B168" s="80" t="s">
        <v>402</v>
      </c>
      <c r="C168" s="239">
        <f>Scenarios!C105</f>
        <v>14.075071731650674</v>
      </c>
      <c r="D168" s="334" t="str">
        <f>IF($D$11="","",C168*$E$25)</f>
        <v/>
      </c>
    </row>
    <row r="169" spans="1:6">
      <c r="B169" s="285" t="s">
        <v>417</v>
      </c>
      <c r="C169" s="332" t="str">
        <f>Market_currency</f>
        <v>HKD</v>
      </c>
      <c r="D169" s="332" t="str">
        <f>IF($D$11="","",D$13)</f>
        <v/>
      </c>
    </row>
    <row r="170" spans="1:6">
      <c r="B170" s="238" t="s">
        <v>263</v>
      </c>
      <c r="C170" s="92">
        <f>Scenarios!F105</f>
        <v>0.16282943513951242</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56480</v>
      </c>
      <c r="D22" s="181">
        <v>53420</v>
      </c>
      <c r="E22" s="181">
        <v>27770</v>
      </c>
      <c r="F22" s="181">
        <v>38710</v>
      </c>
      <c r="G22" s="181">
        <v>-11420</v>
      </c>
      <c r="H22" s="181"/>
      <c r="I22" s="181"/>
      <c r="J22" s="181"/>
      <c r="K22" s="181"/>
      <c r="L22" s="181"/>
      <c r="M22" s="181"/>
    </row>
    <row r="23" spans="2:13">
      <c r="B23" s="27" t="s">
        <v>374</v>
      </c>
      <c r="C23" s="181">
        <v>-11150</v>
      </c>
      <c r="D23" s="181">
        <v>-11010</v>
      </c>
      <c r="E23" s="181">
        <v>-6280</v>
      </c>
      <c r="F23" s="181">
        <v>940</v>
      </c>
      <c r="G23" s="181">
        <v>-2610</v>
      </c>
      <c r="H23" s="181"/>
      <c r="I23" s="181"/>
      <c r="J23" s="181"/>
      <c r="K23" s="181"/>
      <c r="L23" s="181"/>
      <c r="M23" s="181"/>
    </row>
    <row r="24" spans="2:13">
      <c r="B24" s="27" t="s">
        <v>373</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0.83920211999999994</v>
      </c>
      <c r="D25" s="39">
        <f>0.1026*Exchange_Rate</f>
        <v>0.80169587999999992</v>
      </c>
      <c r="E25" s="39">
        <v>0</v>
      </c>
      <c r="F25" s="39">
        <v>0</v>
      </c>
      <c r="G25" s="39">
        <v>0</v>
      </c>
      <c r="H25" s="39"/>
      <c r="I25" s="39"/>
      <c r="J25" s="39"/>
      <c r="K25" s="39"/>
      <c r="L25" s="39"/>
      <c r="M25" s="39"/>
    </row>
    <row r="27" spans="2:13">
      <c r="B27" s="16" t="s">
        <v>28</v>
      </c>
      <c r="C27" s="97" t="s">
        <v>458</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0.83920211999999994</v>
      </c>
      <c r="D65" s="73">
        <f t="shared" ref="D65:M65" si="33">IF(D$4="","",D25)</f>
        <v>0.80169587999999992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28"/>
      <c r="J77" s="328"/>
      <c r="K77" s="328"/>
      <c r="L77" s="328"/>
      <c r="M77" s="328"/>
    </row>
    <row r="78" spans="2:13">
      <c r="B78" s="93" t="s">
        <v>87</v>
      </c>
      <c r="C78" s="185">
        <f t="shared" si="40"/>
        <v>651.4</v>
      </c>
      <c r="D78" s="185">
        <f t="shared" si="40"/>
        <v>695.9</v>
      </c>
      <c r="E78" s="185">
        <f t="shared" si="40"/>
        <v>687.6</v>
      </c>
      <c r="F78" s="185">
        <f t="shared" si="40"/>
        <v>348.4</v>
      </c>
      <c r="G78" s="185">
        <f t="shared" si="40"/>
        <v>455.9</v>
      </c>
      <c r="H78" s="185" t="str">
        <f t="shared" si="40"/>
        <v/>
      </c>
      <c r="I78" s="328"/>
      <c r="J78" s="328"/>
      <c r="K78" s="328"/>
      <c r="L78" s="328"/>
      <c r="M78" s="328"/>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89">
        <v>0.6</v>
      </c>
      <c r="E4" s="25"/>
      <c r="F4" s="4" t="s">
        <v>78</v>
      </c>
      <c r="G4" s="19">
        <v>676.3</v>
      </c>
      <c r="H4" s="289">
        <v>0.9</v>
      </c>
    </row>
    <row r="5" spans="2:8" ht="15" customHeight="1">
      <c r="B5" s="1" t="s">
        <v>33</v>
      </c>
      <c r="C5" s="19">
        <v>0</v>
      </c>
      <c r="D5" s="289">
        <v>0.6</v>
      </c>
      <c r="E5" s="25"/>
      <c r="F5" s="1" t="s">
        <v>29</v>
      </c>
      <c r="G5" s="19">
        <v>0</v>
      </c>
      <c r="H5" s="289">
        <v>0.7</v>
      </c>
    </row>
    <row r="6" spans="2:8" ht="15" customHeight="1">
      <c r="B6" s="4" t="s">
        <v>10</v>
      </c>
      <c r="C6" s="19">
        <v>651.4</v>
      </c>
      <c r="D6" s="289">
        <v>0.5</v>
      </c>
      <c r="E6" s="25"/>
      <c r="F6" s="4" t="s">
        <v>178</v>
      </c>
      <c r="G6" s="19">
        <v>0</v>
      </c>
      <c r="H6" s="289">
        <v>0.6</v>
      </c>
    </row>
    <row r="7" spans="2:8" ht="15" customHeight="1">
      <c r="B7" s="1" t="s">
        <v>69</v>
      </c>
      <c r="C7" s="19">
        <v>0</v>
      </c>
      <c r="D7" s="289">
        <v>0.6</v>
      </c>
      <c r="E7" s="25"/>
      <c r="F7" s="4" t="s">
        <v>179</v>
      </c>
      <c r="G7" s="19">
        <v>0</v>
      </c>
      <c r="H7" s="289">
        <v>0.6</v>
      </c>
    </row>
    <row r="8" spans="2:8" ht="15" customHeight="1">
      <c r="B8" s="1" t="s">
        <v>174</v>
      </c>
      <c r="C8" s="19">
        <v>0</v>
      </c>
      <c r="D8" s="289">
        <v>0.6</v>
      </c>
      <c r="E8" s="25"/>
      <c r="F8" s="1" t="s">
        <v>180</v>
      </c>
      <c r="G8" s="19">
        <v>0</v>
      </c>
      <c r="H8" s="289">
        <v>0.6</v>
      </c>
    </row>
    <row r="9" spans="2:8" ht="15" customHeight="1">
      <c r="B9" s="4" t="s">
        <v>25</v>
      </c>
      <c r="C9" s="19">
        <v>89.6</v>
      </c>
      <c r="D9" s="289">
        <v>0.1</v>
      </c>
      <c r="E9" s="25"/>
      <c r="F9" s="4" t="s">
        <v>181</v>
      </c>
      <c r="G9" s="19">
        <v>0</v>
      </c>
      <c r="H9" s="289">
        <v>0.6</v>
      </c>
    </row>
    <row r="10" spans="2:8" ht="15" customHeight="1">
      <c r="B10" s="4" t="s">
        <v>11</v>
      </c>
      <c r="C10" s="19">
        <v>0</v>
      </c>
      <c r="D10" s="289">
        <v>0.9</v>
      </c>
      <c r="H10" s="290"/>
    </row>
    <row r="11" spans="2:8" ht="15" customHeight="1">
      <c r="B11" s="4" t="s">
        <v>12</v>
      </c>
      <c r="C11" s="19">
        <v>0</v>
      </c>
      <c r="D11" s="289">
        <v>0.05</v>
      </c>
      <c r="H11" s="290"/>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v>0</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v>0</v>
      </c>
      <c r="H17" s="289">
        <v>0.6</v>
      </c>
    </row>
    <row r="18" spans="2:8" ht="15" customHeight="1">
      <c r="B18" s="4" t="s">
        <v>174</v>
      </c>
      <c r="C18" s="19">
        <v>0</v>
      </c>
      <c r="D18" s="289">
        <v>0.6</v>
      </c>
      <c r="F18" s="4" t="s">
        <v>182</v>
      </c>
      <c r="G18" s="19">
        <v>0</v>
      </c>
      <c r="H18" s="289">
        <v>0.1</v>
      </c>
    </row>
    <row r="19" spans="2:8" ht="15" customHeight="1">
      <c r="B19" s="4" t="s">
        <v>26</v>
      </c>
      <c r="C19" s="19">
        <f>262.1+499.2</f>
        <v>761.3</v>
      </c>
      <c r="D19" s="289">
        <v>0.1</v>
      </c>
      <c r="F19" s="4" t="s">
        <v>183</v>
      </c>
      <c r="G19" s="19">
        <v>0</v>
      </c>
      <c r="H19" s="289">
        <v>0.1</v>
      </c>
    </row>
    <row r="20" spans="2:8" ht="15" customHeight="1">
      <c r="B20" s="4" t="s">
        <v>18</v>
      </c>
      <c r="C20" s="19">
        <v>0</v>
      </c>
      <c r="D20" s="289">
        <v>0.05</v>
      </c>
      <c r="F20" s="4" t="s">
        <v>180</v>
      </c>
      <c r="G20" s="19">
        <v>0</v>
      </c>
      <c r="H20" s="289">
        <v>0.2</v>
      </c>
    </row>
    <row r="21" spans="2:8" ht="15" customHeight="1">
      <c r="B21" s="4" t="s">
        <v>19</v>
      </c>
      <c r="C21" s="19">
        <v>1519.8</v>
      </c>
      <c r="D21" s="289">
        <v>0.05</v>
      </c>
      <c r="F21" s="1" t="s">
        <v>181</v>
      </c>
      <c r="G21" s="19">
        <v>0</v>
      </c>
      <c r="H21" s="289">
        <v>0.1</v>
      </c>
    </row>
    <row r="22" spans="2:8" ht="15" customHeight="1">
      <c r="B22" s="4" t="s">
        <v>20</v>
      </c>
      <c r="C22" s="19">
        <v>165.7</v>
      </c>
      <c r="D22" s="289">
        <v>0.9</v>
      </c>
      <c r="H22" s="290"/>
    </row>
    <row r="23" spans="2:8" ht="15" customHeight="1">
      <c r="B23" s="4" t="s">
        <v>21</v>
      </c>
      <c r="C23" s="19">
        <f>819.6+70.2</f>
        <v>889.80000000000007</v>
      </c>
      <c r="D23" s="289">
        <v>0</v>
      </c>
      <c r="H23" s="290"/>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1476.2</v>
      </c>
      <c r="D46" s="188">
        <f>H29</f>
        <v>-2163.2399999999998</v>
      </c>
      <c r="F46" s="279"/>
    </row>
    <row r="47" spans="2:8" ht="15" customHeight="1">
      <c r="B47" s="1" t="str">
        <f>"Equity per share ("&amp;Market_currency&amp;")"</f>
        <v>Equity per share (HKD)</v>
      </c>
      <c r="C47" s="148">
        <f>C46*H1/Common_Shares*Exchange_Rate</f>
        <v>8.3399834481856043</v>
      </c>
      <c r="D47" s="148">
        <f>D46*H1/Common_Shares*Exchange_Rate</f>
        <v>-12.221505076854779</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4.1998196571663646</v>
      </c>
      <c r="D50" s="95">
        <f>G31/Normalized_FCF!G8</f>
        <v>3.6733080328905765</v>
      </c>
      <c r="F50" s="279"/>
    </row>
    <row r="51" spans="2:8" ht="15" customHeight="1">
      <c r="B51" s="1" t="s">
        <v>177</v>
      </c>
      <c r="C51" s="202"/>
      <c r="D51" s="92">
        <f>G29/G32</f>
        <v>0.29063632068042211</v>
      </c>
      <c r="F51" s="279"/>
    </row>
    <row r="52" spans="2:8" ht="15" customHeight="1">
      <c r="F52" s="279"/>
    </row>
    <row r="53" spans="2:8" ht="15" customHeight="1">
      <c r="B53" s="158" t="s">
        <v>143</v>
      </c>
      <c r="C53" s="259" t="s">
        <v>57</v>
      </c>
      <c r="D53" s="218" t="s">
        <v>96</v>
      </c>
      <c r="F53" s="279"/>
    </row>
    <row r="54" spans="2:8" ht="15" customHeight="1">
      <c r="B54" s="1" t="s">
        <v>140</v>
      </c>
      <c r="C54" s="92">
        <f>Normalized_FCF!C8/G35</f>
        <v>0.12562606199191742</v>
      </c>
      <c r="D54" s="92">
        <f>Normalized_FCF!G8/G35</f>
        <v>0.14363260578255238</v>
      </c>
      <c r="F54" s="279"/>
    </row>
    <row r="55" spans="2:8" ht="15" customHeight="1">
      <c r="B55" s="1" t="s">
        <v>142</v>
      </c>
      <c r="C55" s="92">
        <f>Normalized_FCF!C11/G40</f>
        <v>0</v>
      </c>
      <c r="D55" s="92">
        <f>Normalized_FCF!G11/G40</f>
        <v>0</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v>
      </c>
      <c r="F58" s="5"/>
    </row>
    <row r="59" spans="2:8" ht="15" customHeight="1">
      <c r="B59" s="1" t="s">
        <v>93</v>
      </c>
      <c r="C59" s="98"/>
      <c r="D59" s="92">
        <f>G39/G32</f>
        <v>0.14988580878878563</v>
      </c>
      <c r="F59" s="279"/>
    </row>
    <row r="60" spans="2:8" ht="15" customHeight="1">
      <c r="F60" s="279"/>
    </row>
    <row r="61" spans="2:8" ht="15" customHeight="1">
      <c r="B61" s="158" t="s">
        <v>275</v>
      </c>
      <c r="C61" s="259" t="s">
        <v>138</v>
      </c>
      <c r="D61" s="218" t="s">
        <v>96</v>
      </c>
      <c r="F61" s="279"/>
    </row>
    <row r="62" spans="2:8" ht="15" customHeight="1">
      <c r="B62" s="1" t="s">
        <v>246</v>
      </c>
      <c r="C62" s="92">
        <f>IF(G28&lt;=0,0,G28/G29)</f>
        <v>4.6606150928058525E-2</v>
      </c>
      <c r="D62" s="92">
        <f>G28/G29</f>
        <v>4.6606150928058525E-2</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676.3</v>
      </c>
      <c r="D66" s="188">
        <f>C66-D75</f>
        <v>326.62072314956305</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676.3</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-343.07252587912132</v>
      </c>
      <c r="D73" s="188">
        <f>(Normalized_FCF!C25+Normalized_FCF!C35-Normalized_FCF!C91)/12</f>
        <v>-349.67927685043691</v>
      </c>
      <c r="F73" s="1" t="s">
        <v>352</v>
      </c>
    </row>
    <row r="74" spans="2:6" ht="15" customHeight="1">
      <c r="B74" s="283" t="s">
        <v>322</v>
      </c>
      <c r="C74" s="284">
        <f>-$C$66/C73</f>
        <v>1.9713032929902656</v>
      </c>
      <c r="D74" s="284">
        <f>-$C$66/D73</f>
        <v>1.9340579919160141</v>
      </c>
      <c r="F74" s="279" t="s">
        <v>320</v>
      </c>
    </row>
    <row r="75" spans="2:6" ht="15" customHeight="1">
      <c r="B75" s="80" t="s">
        <v>321</v>
      </c>
      <c r="C75" s="288"/>
      <c r="D75" s="287">
        <f>MAX(-D73*D76,G5)</f>
        <v>349.67927685043691</v>
      </c>
      <c r="F75" s="279" t="s">
        <v>353</v>
      </c>
    </row>
    <row r="76" spans="2:6" ht="15" customHeight="1">
      <c r="B76" s="285" t="s">
        <v>323</v>
      </c>
      <c r="C76" s="286"/>
      <c r="D76" s="321">
        <f>IF(D74&lt;=3,1,IF(D74&gt;18,6,2))</f>
        <v>1</v>
      </c>
      <c r="F76" s="279" t="s">
        <v>324</v>
      </c>
    </row>
    <row r="77" spans="2:6" ht="15" customHeight="1">
      <c r="F77" s="279"/>
    </row>
    <row r="78" spans="2:6" ht="15" customHeight="1">
      <c r="B78" s="16" t="s">
        <v>190</v>
      </c>
      <c r="C78" s="258" t="s">
        <v>137</v>
      </c>
      <c r="D78" s="204" t="s">
        <v>35</v>
      </c>
      <c r="F78" s="279"/>
    </row>
    <row r="79" spans="2:6" ht="15" customHeight="1">
      <c r="B79" s="105" t="s">
        <v>179</v>
      </c>
      <c r="C79" s="20">
        <f>G7+G17</f>
        <v>0</v>
      </c>
      <c r="D79" s="188">
        <f>G7*H7+G17*H17</f>
        <v>0</v>
      </c>
      <c r="F79" s="279"/>
    </row>
    <row r="80" spans="2:6" ht="15" customHeight="1">
      <c r="B80" s="105" t="s">
        <v>183</v>
      </c>
      <c r="C80" s="20">
        <f>G19</f>
        <v>0</v>
      </c>
      <c r="D80" s="188">
        <f>G19*H19</f>
        <v>0</v>
      </c>
      <c r="F80" s="279"/>
    </row>
    <row r="81" spans="2:8" ht="15" customHeight="1">
      <c r="B81" s="105" t="s">
        <v>181</v>
      </c>
      <c r="C81" s="20">
        <f>G9+G21</f>
        <v>0</v>
      </c>
      <c r="D81" s="188">
        <f>G9*H9+G21*H21</f>
        <v>0</v>
      </c>
      <c r="F81" s="279"/>
    </row>
    <row r="82" spans="2:8" ht="15" customHeight="1">
      <c r="B82" s="80" t="s">
        <v>190</v>
      </c>
      <c r="C82" s="81">
        <f>SUM(C79:C81)</f>
        <v>0</v>
      </c>
      <c r="D82" s="81">
        <f>SUM(D79:D81)</f>
        <v>0</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-18151.457399999999</v>
      </c>
      <c r="D86" s="247">
        <f>C86*scaling_factor/Common_Shares</f>
        <v>-13.12408992693074</v>
      </c>
      <c r="E86" s="266" t="str">
        <f>Market_currency</f>
        <v>HKD</v>
      </c>
    </row>
    <row r="87" spans="2:8" ht="15" customHeight="1">
      <c r="B87" s="264" t="s">
        <v>288</v>
      </c>
      <c r="C87" s="188">
        <f>DCF!C8*Exchange_Rate</f>
        <v>2552.1490065460557</v>
      </c>
      <c r="D87" s="247">
        <f>C87*scaling_factor/Common_Shares</f>
        <v>1.8452861569582497</v>
      </c>
      <c r="E87" s="266" t="str">
        <f>Market_currency</f>
        <v>HKD</v>
      </c>
    </row>
    <row r="88" spans="2:8" ht="15" customHeight="1">
      <c r="B88" s="265" t="s">
        <v>190</v>
      </c>
      <c r="C88" s="188">
        <f>DCF!C9*Exchange_Rate</f>
        <v>0</v>
      </c>
      <c r="D88" s="247">
        <f>C88*scaling_factor/Common_Shares</f>
        <v>0</v>
      </c>
      <c r="E88" s="266" t="str">
        <f>Market_currency</f>
        <v>HKD</v>
      </c>
    </row>
    <row r="89" spans="2:8" ht="15" customHeight="1">
      <c r="B89" s="80" t="s">
        <v>292</v>
      </c>
      <c r="C89" s="187">
        <f>SUM(C86:C88)</f>
        <v>-15599.308393453943</v>
      </c>
      <c r="D89" s="268">
        <f>SUM(D86:D88)</f>
        <v>-11.278803769972491</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7"/>
      <c r="F3" s="9"/>
      <c r="G3" s="9"/>
    </row>
    <row r="4" spans="1:17" ht="15.75" customHeight="1">
      <c r="A4" s="10"/>
      <c r="B4" s="26" t="s">
        <v>2</v>
      </c>
      <c r="C4" s="190">
        <f>G4</f>
        <v>3588.6</v>
      </c>
      <c r="D4" s="57"/>
      <c r="E4" s="295"/>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297"/>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297"/>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297"/>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3"/>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297"/>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297"/>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6"/>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-144.96815294223578</v>
      </c>
      <c r="E12" s="297"/>
      <c r="G12" s="191">
        <f>G50</f>
        <v>-144.96815294223578</v>
      </c>
      <c r="H12" s="191">
        <f t="shared" ref="H12:Q12" si="6">H50</f>
        <v>-165.60621963779204</v>
      </c>
      <c r="I12" s="191">
        <f t="shared" si="6"/>
        <v>-133.74998131556433</v>
      </c>
      <c r="J12" s="191">
        <f t="shared" si="6"/>
        <v>-167.1386287200036</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408.15083540197747</v>
      </c>
      <c r="E13" s="297"/>
      <c r="G13" s="184">
        <f>IF(G$4="","",SUM(G8:G12))</f>
        <v>487.43184705776412</v>
      </c>
      <c r="H13" s="184">
        <f t="shared" ref="H13:Q13" si="7">IF(H$4="","",SUM(H8:H12))</f>
        <v>497.89378036220819</v>
      </c>
      <c r="I13" s="184">
        <f t="shared" si="7"/>
        <v>286.45001868443546</v>
      </c>
      <c r="J13" s="184">
        <f t="shared" si="7"/>
        <v>-53.538628720003459</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-102.03770885049437</v>
      </c>
      <c r="E14" s="297"/>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4"/>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273.66136139832213</v>
      </c>
      <c r="D16" s="61"/>
      <c r="E16" s="305"/>
      <c r="F16" s="61"/>
      <c r="G16" s="184">
        <f>IF(G$4="","",SUM(G13:G15))</f>
        <v>342.23184705776413</v>
      </c>
      <c r="H16" s="184">
        <f t="shared" ref="H16:Q16" si="8">IF(H$4="","",SUM(H13:H15))</f>
        <v>329.99378036220816</v>
      </c>
      <c r="I16" s="184">
        <f t="shared" si="8"/>
        <v>236.55001868443546</v>
      </c>
      <c r="J16" s="184">
        <f t="shared" si="8"/>
        <v>-6.5386287200034552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273.66136139832213</v>
      </c>
      <c r="D19" s="27"/>
      <c r="E19" s="294"/>
      <c r="F19" s="27"/>
      <c r="G19" s="186">
        <f>IF(G$4="","",G16+G17)</f>
        <v>342.23184705776413</v>
      </c>
      <c r="H19" s="186">
        <f t="shared" ref="H19:Q19" si="9">IF(H$4="","",H16+H17)</f>
        <v>329.99378036220816</v>
      </c>
      <c r="I19" s="186">
        <f t="shared" si="9"/>
        <v>236.55001868443546</v>
      </c>
      <c r="J19" s="186">
        <f t="shared" si="9"/>
        <v>-6.5386287200034552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-1529.5625032102973</v>
      </c>
      <c r="D23" s="58"/>
      <c r="E23" s="296"/>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4"/>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2"/>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0.42622819573379517</v>
      </c>
      <c r="D28" s="26"/>
      <c r="E28" s="295" t="s">
        <v>334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95" t="s">
        <v>334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97"/>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AVERAGE(G33:J33)</f>
        <v>-227.20000000000005</v>
      </c>
      <c r="E33" s="295" t="s">
        <v>334</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5"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296"/>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6.331159783759685E-2</v>
      </c>
      <c r="D38" s="27"/>
      <c r="E38" s="294"/>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4"/>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97"/>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0.24270059643021358</v>
      </c>
      <c r="H43" s="6">
        <f t="shared" si="18"/>
        <v>0.27033878571867492</v>
      </c>
      <c r="I43" s="6">
        <f t="shared" si="18"/>
        <v>8.483155320289866E-2</v>
      </c>
      <c r="J43" s="6">
        <f t="shared" si="18"/>
        <v>1.049709365809778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-152</v>
      </c>
      <c r="E47" s="297"/>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346</v>
      </c>
      <c r="C48" s="191">
        <f>BS!D75*C53</f>
        <v>7.03184705776422</v>
      </c>
      <c r="E48" s="297"/>
      <c r="G48" s="322">
        <f>IFERROR(IF(G$4="","",($C$48/$C$49)*G49),0)</f>
        <v>7.03184705776422</v>
      </c>
      <c r="H48" s="322">
        <f t="shared" ref="H48:Q48" si="19">IFERROR(IF(H$4="","",($C$48/$C$49)*H49),0)</f>
        <v>7.3937803622079672</v>
      </c>
      <c r="I48" s="322">
        <f t="shared" si="19"/>
        <v>4.5500186844356723</v>
      </c>
      <c r="J48" s="322">
        <f t="shared" si="19"/>
        <v>1.8613712799964113</v>
      </c>
      <c r="K48" s="322">
        <f t="shared" si="19"/>
        <v>0</v>
      </c>
      <c r="L48" s="322" t="str">
        <f t="shared" si="19"/>
        <v/>
      </c>
      <c r="M48" s="322" t="str">
        <f t="shared" si="19"/>
        <v/>
      </c>
      <c r="N48" s="322" t="str">
        <f t="shared" si="19"/>
        <v/>
      </c>
      <c r="O48" s="322" t="str">
        <f t="shared" si="19"/>
        <v/>
      </c>
      <c r="P48" s="322" t="str">
        <f t="shared" si="19"/>
        <v/>
      </c>
      <c r="Q48" s="322" t="str">
        <f t="shared" si="19"/>
        <v/>
      </c>
    </row>
    <row r="49" spans="1:17" ht="15.75" customHeight="1">
      <c r="A49" s="10"/>
      <c r="B49" s="317" t="s">
        <v>343</v>
      </c>
      <c r="C49" s="318">
        <f>BS!$C$66*C53</f>
        <v>13.6</v>
      </c>
      <c r="D49" s="319"/>
      <c r="E49" s="320"/>
      <c r="F49" s="319"/>
      <c r="G49" s="318">
        <f>Data!C52</f>
        <v>13.6</v>
      </c>
      <c r="H49" s="318">
        <f>Data!D52</f>
        <v>14.3</v>
      </c>
      <c r="I49" s="318">
        <f>Data!E52</f>
        <v>8.8000000000000007</v>
      </c>
      <c r="J49" s="318">
        <f>Data!F52</f>
        <v>3.6</v>
      </c>
      <c r="K49" s="318">
        <f>Data!G52</f>
        <v>0</v>
      </c>
      <c r="L49" s="318" t="str">
        <f>Data!H52</f>
        <v/>
      </c>
      <c r="M49" s="318" t="str">
        <f>Data!I52</f>
        <v/>
      </c>
      <c r="N49" s="318" t="str">
        <f>Data!J52</f>
        <v/>
      </c>
      <c r="O49" s="318" t="str">
        <f>Data!K52</f>
        <v/>
      </c>
      <c r="P49" s="318" t="str">
        <f>Data!L52</f>
        <v/>
      </c>
      <c r="Q49" s="318" t="str">
        <f>Data!M52</f>
        <v/>
      </c>
    </row>
    <row r="50" spans="1:17" ht="15.75" customHeight="1">
      <c r="A50" s="10"/>
      <c r="B50" s="70" t="s">
        <v>68</v>
      </c>
      <c r="C50" s="184">
        <f>C47+C48</f>
        <v>-144.96815294223578</v>
      </c>
      <c r="E50" s="297"/>
      <c r="G50" s="184">
        <f>IF(G$4="","",(G47+G48))</f>
        <v>-144.96815294223578</v>
      </c>
      <c r="H50" s="184">
        <f t="shared" ref="H50:Q50" si="20">IF(H$4="","",(H47+H48))</f>
        <v>-165.60621963779204</v>
      </c>
      <c r="I50" s="184">
        <f t="shared" si="20"/>
        <v>-133.74998131556433</v>
      </c>
      <c r="J50" s="184">
        <f t="shared" si="20"/>
        <v>-167.1386287200036</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2.0109418896939228E-2</v>
      </c>
      <c r="E53" s="294" t="s">
        <v>336</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4" t="s">
        <v>337</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297"/>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7"/>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7"/>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2">
        <v>0</v>
      </c>
      <c r="E62" s="295" t="s">
        <v>338</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7"/>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0.78255615327865646</v>
      </c>
      <c r="D73" s="27"/>
      <c r="E73" s="294"/>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4"/>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4"/>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4"/>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4"/>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95" t="s">
        <v>460</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4"/>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4.0396854746206259E-2</v>
      </c>
      <c r="D80" s="27"/>
      <c r="E80" s="294"/>
      <c r="F80" s="27"/>
      <c r="G80" s="6">
        <f t="shared" ref="G80:Q80" si="31">IF(G$4="","",ABS(G12/G$4))</f>
        <v>4.0396854746206259E-2</v>
      </c>
      <c r="H80" s="6">
        <f t="shared" si="31"/>
        <v>4.4972360318757343E-2</v>
      </c>
      <c r="I80" s="6">
        <f t="shared" si="31"/>
        <v>4.6447416764677153E-2</v>
      </c>
      <c r="J80" s="6">
        <f t="shared" si="31"/>
        <v>8.2709139311165678E-2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0.1137353941375404</v>
      </c>
      <c r="D81" s="27"/>
      <c r="E81" s="294"/>
      <c r="F81" s="27"/>
      <c r="G81" s="65">
        <f t="shared" ref="G81:Q81" si="32">IF(G$4="","",G13/G$4)</f>
        <v>0.1358278568404849</v>
      </c>
      <c r="H81" s="65">
        <f t="shared" si="32"/>
        <v>0.1352090431137867</v>
      </c>
      <c r="I81" s="65">
        <f t="shared" si="32"/>
        <v>9.947562810266547E-2</v>
      </c>
      <c r="J81" s="65">
        <f t="shared" si="32"/>
        <v>-2.6493779057800603E-2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2.84338485343851E-2</v>
      </c>
      <c r="D82" s="27"/>
      <c r="E82" s="294"/>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3">
        <f>MIN(BS!C62,MAX(G83:K83))</f>
        <v>9.0430154247230065E-3</v>
      </c>
      <c r="D83" s="27"/>
      <c r="E83" s="294"/>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7.6258530178432302E-2</v>
      </c>
      <c r="D84" s="27"/>
      <c r="E84" s="294"/>
      <c r="F84" s="27"/>
      <c r="G84" s="65">
        <f t="shared" ref="G84:Q84" si="35">IF(G$4="","",ABS(G16/G$4))</f>
        <v>9.5366395546386928E-2</v>
      </c>
      <c r="H84" s="65">
        <f t="shared" si="35"/>
        <v>8.9613779155498632E-2</v>
      </c>
      <c r="I84" s="65">
        <f t="shared" si="35"/>
        <v>8.2146832436600731E-2</v>
      </c>
      <c r="J84" s="65">
        <f t="shared" si="35"/>
        <v>3.2356634600175451E-3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7.6258530178432302E-2</v>
      </c>
      <c r="D87" s="75"/>
      <c r="E87" s="294"/>
      <c r="F87" s="75"/>
      <c r="G87" s="65">
        <f t="shared" ref="G87:Q87" si="36">IF(G$4="","",ABS(G19/G$4))</f>
        <v>9.5366395546386928E-2</v>
      </c>
      <c r="H87" s="65">
        <f t="shared" si="36"/>
        <v>8.9613779155498632E-2</v>
      </c>
      <c r="I87" s="65">
        <f t="shared" si="36"/>
        <v>8.2146832436600731E-2</v>
      </c>
      <c r="J87" s="65">
        <f t="shared" si="36"/>
        <v>3.2356634600175451E-3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f>G90</f>
        <v>0.83920211999999994</v>
      </c>
      <c r="E90" s="297"/>
      <c r="G90" s="113">
        <f>Data!C65</f>
        <v>0.83920211999999994</v>
      </c>
      <c r="H90" s="113">
        <f>Data!D65</f>
        <v>0.80169587999999992</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1160.670310549456</v>
      </c>
      <c r="E91" s="297"/>
      <c r="G91" s="74">
        <f t="shared" ref="G91:Q91" si="37">IF(G$4="","",G90*Common_Shares/scaling_factor)</f>
        <v>1160.670310549456</v>
      </c>
      <c r="H91" s="74">
        <f t="shared" si="37"/>
        <v>1108.7967771170779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4.2412648414039946</v>
      </c>
      <c r="E92" s="297"/>
      <c r="G92" s="171">
        <f t="shared" ref="G92:Q92" si="38">IF(G$4="","",G90/(G19*scaling_factor/Common_Shares))</f>
        <v>3.3914737056997222</v>
      </c>
      <c r="H92" s="171">
        <f t="shared" si="38"/>
        <v>3.3600535619187708</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6.0028763948497849E-2</v>
      </c>
      <c r="E93" s="297"/>
      <c r="G93" s="23">
        <f t="shared" ref="G93:Q93" si="39">IF(G$4="","",G90/Market_Price)</f>
        <v>6.0028763948497849E-2</v>
      </c>
      <c r="H93" s="23">
        <f t="shared" si="39"/>
        <v>5.7345914163090123E-2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0</v>
      </c>
      <c r="D96" s="27"/>
      <c r="E96" s="294"/>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-0.16265045489814145</v>
      </c>
      <c r="D97" s="27"/>
      <c r="E97" s="294"/>
      <c r="F97" s="27"/>
      <c r="G97" s="6">
        <f t="shared" ref="G97:Q97" si="41">IF(H5="","",G13/H13-1)</f>
        <v>-2.1012379983604612E-2</v>
      </c>
      <c r="H97" s="6">
        <f t="shared" si="41"/>
        <v>0.73815237523411525</v>
      </c>
      <c r="I97" s="6">
        <f t="shared" si="41"/>
        <v>-6.3503428371786086</v>
      </c>
      <c r="J97" s="6">
        <f t="shared" si="41"/>
        <v>-0.82818155096276169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5079.2</v>
      </c>
      <c r="D101" s="26"/>
      <c r="E101" s="298"/>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299"/>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299"/>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298"/>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298"/>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98"/>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98"/>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151.5834675254965</v>
      </c>
      <c r="H113" s="327">
        <f>IF(H$4="","",Data!D$22/Data!D15)</f>
        <v>118.63202309571396</v>
      </c>
      <c r="I113" s="327">
        <f>IF(I$4="","",Data!E$22/Data!E15)</f>
        <v>82.086905113804306</v>
      </c>
      <c r="J113" s="327">
        <f>IF(J$4="","",Data!F$22/Data!F15)</f>
        <v>1647.2340425531916</v>
      </c>
      <c r="K113" s="327">
        <f>IF(K$4="","",Data!G$22/Data!G15)</f>
        <v>8.866459627329192</v>
      </c>
      <c r="L113" s="327" t="str">
        <f>IF(L$4="","",Data!H$22/Data!H15)</f>
        <v/>
      </c>
      <c r="M113" s="327" t="str">
        <f>IF(M$4="","",Data!I$22/Data!I15)</f>
        <v/>
      </c>
      <c r="N113" s="327" t="str">
        <f>IF(N$4="","",Data!J$22/Data!J15)</f>
        <v/>
      </c>
      <c r="O113" s="327" t="str">
        <f>IF(O$4="","",Data!K$22/Data!K15)</f>
        <v/>
      </c>
      <c r="P113" s="327" t="str">
        <f>IF(P$4="","",Data!L$22/Data!L15)</f>
        <v/>
      </c>
      <c r="Q113" s="327" t="str">
        <f>IF(Q$4="","",Data!M$22/Data!M15)</f>
        <v/>
      </c>
    </row>
    <row r="114" spans="1:17" ht="15.75" customHeight="1">
      <c r="A114" s="10"/>
      <c r="B114" s="2" t="s">
        <v>393</v>
      </c>
      <c r="C114" s="170"/>
      <c r="E114" s="297"/>
      <c r="G114" s="327">
        <f>IF(G$4="","",Data!C$22/G19)</f>
        <v>165.03431952803311</v>
      </c>
      <c r="H114" s="327">
        <f>IF(H$4="","",Data!D$22/H19)</f>
        <v>161.88183892849457</v>
      </c>
      <c r="I114" s="327">
        <f>IF(I$4="","",Data!E$22/I19)</f>
        <v>117.39589011424252</v>
      </c>
      <c r="J114" s="327">
        <f>IF(J$4="","",Data!F$22/J19)</f>
        <v>-5920.2015678876996</v>
      </c>
      <c r="K114" s="327">
        <f>IF(K$4="","",Data!G$22/K19)</f>
        <v>52.578268876611439</v>
      </c>
      <c r="L114" s="327" t="str">
        <f>IF(L$4="","",Data!H$22/L19)</f>
        <v/>
      </c>
      <c r="M114" s="327" t="str">
        <f>IF(M$4="","",Data!I$22/M19)</f>
        <v/>
      </c>
      <c r="N114" s="327" t="str">
        <f>IF(N$4="","",Data!J$22/N19)</f>
        <v/>
      </c>
      <c r="O114" s="327" t="str">
        <f>IF(O$4="","",Data!K$22/O19)</f>
        <v/>
      </c>
      <c r="P114" s="327" t="str">
        <f>IF(P$4="","",Data!L$22/P19)</f>
        <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0.1137353941375404</v>
      </c>
      <c r="E117" s="297"/>
      <c r="G117" s="23">
        <f t="shared" ref="G117:Q117" si="45">G81</f>
        <v>0.1358278568404849</v>
      </c>
      <c r="H117" s="23">
        <f t="shared" si="45"/>
        <v>0.1352090431137867</v>
      </c>
      <c r="I117" s="23">
        <f t="shared" si="45"/>
        <v>9.947562810266547E-2</v>
      </c>
      <c r="J117" s="23">
        <f t="shared" si="45"/>
        <v>-2.6493779057800603E-2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297"/>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1"/>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0"/>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1.5460853708643443</v>
      </c>
      <c r="D124" s="27"/>
      <c r="E124" s="294"/>
      <c r="F124" s="27"/>
      <c r="G124" s="178">
        <f t="shared" ref="G124:Q124" si="49">IF(G$4="","",G16*$C$3/Common_Shares*Exchange_Rate)</f>
        <v>1.9334832271397775</v>
      </c>
      <c r="H124" s="178">
        <f t="shared" si="49"/>
        <v>1.8643426813609343</v>
      </c>
      <c r="I124" s="178">
        <f t="shared" si="49"/>
        <v>1.336420024723064</v>
      </c>
      <c r="J124" s="178">
        <f t="shared" si="49"/>
        <v>-3.6940831390502527E-2</v>
      </c>
      <c r="K124" s="178">
        <f t="shared" si="49"/>
        <v>-1.2270995833531448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0.11059265886011045</v>
      </c>
      <c r="D125" s="27"/>
      <c r="E125" s="294"/>
      <c r="F125" s="27"/>
      <c r="G125" s="77">
        <f t="shared" ref="G125" si="50">IF(G$4="","",G124/Market_Price)</f>
        <v>0.13830352125463358</v>
      </c>
      <c r="H125" s="77">
        <f t="shared" ref="H125" si="51">IF(H$4="","",H124/Market_Price)</f>
        <v>0.13335784559091088</v>
      </c>
      <c r="I125" s="77">
        <f t="shared" ref="I125" si="52">IF(I$4="","",I124/Market_Price)</f>
        <v>9.5595137676900144E-2</v>
      </c>
      <c r="J125" s="77">
        <f t="shared" ref="J125" si="53">IF(J$4="","",J124/Market_Price)</f>
        <v>-2.6424056788628414E-3</v>
      </c>
      <c r="K125" s="77">
        <f t="shared" ref="K125" si="54">IF(K$4="","",K124/Market_Price)</f>
        <v>-8.7775363616104773E-2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1.9270517427659541E-2</v>
      </c>
      <c r="H126" s="23">
        <f>IF(H$4="","",(Data!D47*$C$3)/(Market_Price*Common_Shares))</f>
        <v>2.3289087487050698E-2</v>
      </c>
      <c r="I126" s="23">
        <f>IF(I$4="","",(Data!E47*$C$3)/(Market_Price*Common_Shares))</f>
        <v>1.7496554068108485E-2</v>
      </c>
      <c r="J126" s="23">
        <f>IF(J$4="","",(Data!F47*$C$3)/(Market_Price*Common_Shares))</f>
        <v>1.2153976370101963E-3</v>
      </c>
      <c r="K126" s="23">
        <f>IF(K$4="","",(Data!G47*$C$3)/(Market_Price*Common_Shares))</f>
        <v>-6.6614134317835444E-2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273.66136139832213</v>
      </c>
      <c r="D4" t="str">
        <f>Reporting_currency</f>
        <v>USD</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3420.7670174790264</v>
      </c>
      <c r="D6" t="str">
        <f>Reporting_currency</f>
        <v>USD</v>
      </c>
      <c r="E6" s="358" t="s">
        <v>250</v>
      </c>
      <c r="F6" s="358"/>
      <c r="H6" s="121"/>
    </row>
    <row r="7" spans="2:8">
      <c r="B7" s="149" t="s">
        <v>225</v>
      </c>
      <c r="C7" s="226">
        <f>BS!G31</f>
        <v>2323</v>
      </c>
      <c r="D7" t="str">
        <f>Reporting_currency</f>
        <v>USD</v>
      </c>
      <c r="E7" s="358"/>
      <c r="F7" s="358"/>
      <c r="H7" s="121"/>
    </row>
    <row r="8" spans="2:8">
      <c r="B8" s="149" t="s">
        <v>226</v>
      </c>
      <c r="C8" s="201">
        <f>BS!D66</f>
        <v>326.62072314956305</v>
      </c>
      <c r="D8" t="str">
        <f>Reporting_currency</f>
        <v>USD</v>
      </c>
      <c r="E8" s="358"/>
      <c r="F8" s="358"/>
      <c r="H8" s="121"/>
    </row>
    <row r="9" spans="2:8">
      <c r="B9" s="227" t="s">
        <v>191</v>
      </c>
      <c r="C9" s="229">
        <f>BS!H42</f>
        <v>0</v>
      </c>
      <c r="D9" t="str">
        <f>Reporting_currency</f>
        <v>USD</v>
      </c>
      <c r="E9" s="358"/>
      <c r="F9" s="358"/>
      <c r="H9" s="121"/>
    </row>
    <row r="10" spans="2:8" ht="13.15">
      <c r="B10" s="150" t="s">
        <v>228</v>
      </c>
      <c r="C10" s="232">
        <f>C6-C7+C8+C9</f>
        <v>1424.3877406285894</v>
      </c>
      <c r="D10" t="str">
        <f>Reporting_currency</f>
        <v>USD</v>
      </c>
      <c r="H10" s="121"/>
    </row>
    <row r="11" spans="2:8" ht="13.15" thickBot="1">
      <c r="B11" s="230" t="s">
        <v>167</v>
      </c>
      <c r="C11" s="231">
        <f>Exchange_Rate</f>
        <v>7.8137999999999996</v>
      </c>
      <c r="D11" t="str">
        <f>Thesis!C15</f>
        <v>USD/HKD</v>
      </c>
      <c r="H11" s="121"/>
    </row>
    <row r="12" spans="2:8" ht="13.5" thickTop="1">
      <c r="B12" s="150" t="s">
        <v>103</v>
      </c>
      <c r="C12" s="112">
        <f>(C10*scaling_factor)/Common_Shares*Exchange_Rate</f>
        <v>8.0472633658318138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0.111211776070739</v>
      </c>
      <c r="H16" s="121"/>
    </row>
    <row r="17" spans="2:8" ht="13.35" customHeight="1">
      <c r="B17" s="119" t="s">
        <v>135</v>
      </c>
      <c r="C17" s="163">
        <f>Scenarios!C64</f>
        <v>10</v>
      </c>
      <c r="H17" s="121"/>
    </row>
    <row r="18" spans="2:8" ht="13.35" customHeight="1">
      <c r="B18" s="154" t="s">
        <v>107</v>
      </c>
      <c r="C18" s="141">
        <f>(F52-C7+C8+C9)*Exchange_Rate/Common_Shares*scaling_factor</f>
        <v>16.812669153025286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304.09572744136591</v>
      </c>
      <c r="D21" s="139">
        <f>IF($C$17&lt;B21,0,DCF!$C$16)</f>
        <v>0.111211776070739</v>
      </c>
      <c r="E21" s="125">
        <f t="shared" ref="E21:E50" si="0">IF($C$17&lt;B21,0,1/(1+Equity_Cost)^B21)</f>
        <v>0.92592592592592582</v>
      </c>
      <c r="F21" s="126">
        <f t="shared" ref="F21:F51" si="1">C21*E21</f>
        <v>281.57011800126469</v>
      </c>
      <c r="H21" s="121"/>
    </row>
    <row r="22" spans="2:8">
      <c r="B22" s="123">
        <v>2</v>
      </c>
      <c r="C22" s="124">
        <f t="shared" ref="C22:C50" si="2">IF(ROW()-ROW($C$21)&lt;$C$17, $C$21*(1+D22)^(ROW()-ROW($C$21)), 0)</f>
        <v>337.91475338564356</v>
      </c>
      <c r="D22" s="139">
        <f>IF($C$17&lt;B22,0,DCF!$C$16)</f>
        <v>0.111211776070739</v>
      </c>
      <c r="E22" s="125">
        <f t="shared" si="0"/>
        <v>0.85733882030178321</v>
      </c>
      <c r="F22" s="126">
        <f t="shared" si="1"/>
        <v>289.70743603021566</v>
      </c>
      <c r="H22" s="121"/>
    </row>
    <row r="23" spans="2:8">
      <c r="B23" s="123">
        <v>3</v>
      </c>
      <c r="C23" s="124">
        <f t="shared" si="2"/>
        <v>375.49485327016674</v>
      </c>
      <c r="D23" s="139">
        <f>IF($C$17&lt;B23,0,DCF!$C$16)</f>
        <v>0.111211776070739</v>
      </c>
      <c r="E23" s="125">
        <f t="shared" si="0"/>
        <v>0.79383224102016958</v>
      </c>
      <c r="F23" s="126">
        <f t="shared" si="1"/>
        <v>298.07992086299623</v>
      </c>
      <c r="H23" s="121"/>
    </row>
    <row r="24" spans="2:8">
      <c r="B24" s="123">
        <v>4</v>
      </c>
      <c r="C24" s="124">
        <f t="shared" si="2"/>
        <v>417.25430280776351</v>
      </c>
      <c r="D24" s="139">
        <f>IF($C$17&lt;B24,0,DCF!$C$16)</f>
        <v>0.111211776070739</v>
      </c>
      <c r="E24" s="125">
        <f t="shared" si="0"/>
        <v>0.73502985279645328</v>
      </c>
      <c r="F24" s="126">
        <f t="shared" si="1"/>
        <v>306.69436877147717</v>
      </c>
      <c r="H24" s="121"/>
    </row>
    <row r="25" spans="2:8">
      <c r="B25" s="123">
        <v>5</v>
      </c>
      <c r="C25" s="124">
        <f t="shared" si="2"/>
        <v>463.65789489617288</v>
      </c>
      <c r="D25" s="139">
        <f>IF($C$17&lt;B25,0,DCF!$C$16)</f>
        <v>0.111211776070739</v>
      </c>
      <c r="E25" s="125">
        <f t="shared" si="0"/>
        <v>0.68058319703375303</v>
      </c>
      <c r="F25" s="126">
        <f t="shared" si="1"/>
        <v>315.55777243837719</v>
      </c>
      <c r="H25" s="121"/>
    </row>
    <row r="26" spans="2:8">
      <c r="B26" s="123">
        <v>6</v>
      </c>
      <c r="C26" s="124">
        <f t="shared" si="2"/>
        <v>515.22211287679625</v>
      </c>
      <c r="D26" s="139">
        <f>IF($C$17&lt;B26,0,DCF!$C$16)</f>
        <v>0.111211776070739</v>
      </c>
      <c r="E26" s="125">
        <f t="shared" si="0"/>
        <v>0.63016962688310452</v>
      </c>
      <c r="F26" s="126">
        <f t="shared" si="1"/>
        <v>324.67732663349545</v>
      </c>
      <c r="H26" s="121"/>
    </row>
    <row r="27" spans="2:8">
      <c r="B27" s="123">
        <v>7</v>
      </c>
      <c r="C27" s="124">
        <f t="shared" si="2"/>
        <v>572.52087912074353</v>
      </c>
      <c r="D27" s="139">
        <f>IF($C$17&lt;B27,0,DCF!$C$16)</f>
        <v>0.111211776070739</v>
      </c>
      <c r="E27" s="125">
        <f t="shared" si="0"/>
        <v>0.58349039526213387</v>
      </c>
      <c r="F27" s="126">
        <f t="shared" si="1"/>
        <v>334.06043405398702</v>
      </c>
      <c r="H27" s="121"/>
    </row>
    <row r="28" spans="2:8">
      <c r="B28" s="123">
        <v>8</v>
      </c>
      <c r="C28" s="124">
        <f t="shared" si="2"/>
        <v>636.19194292534223</v>
      </c>
      <c r="D28" s="139">
        <f>IF($C$17&lt;B28,0,DCF!$C$16)</f>
        <v>0.111211776070739</v>
      </c>
      <c r="E28" s="125">
        <f t="shared" si="0"/>
        <v>0.54026888450197574</v>
      </c>
      <c r="F28" s="126">
        <f t="shared" si="1"/>
        <v>343.71471133341925</v>
      </c>
      <c r="H28" s="121"/>
    </row>
    <row r="29" spans="2:8">
      <c r="B29" s="123">
        <v>9</v>
      </c>
      <c r="C29" s="124">
        <f t="shared" si="2"/>
        <v>706.94397881996383</v>
      </c>
      <c r="D29" s="139">
        <f>IF($C$17&lt;B29,0,DCF!$C$16)</f>
        <v>0.111211776070739</v>
      </c>
      <c r="E29" s="125">
        <f t="shared" si="0"/>
        <v>0.50024896713145905</v>
      </c>
      <c r="F29" s="126">
        <f t="shared" si="1"/>
        <v>353.64799522449096</v>
      </c>
      <c r="H29" s="121"/>
    </row>
    <row r="30" spans="2:8">
      <c r="B30" s="123">
        <v>10</v>
      </c>
      <c r="C30" s="124">
        <f t="shared" si="2"/>
        <v>785.56447428704689</v>
      </c>
      <c r="D30" s="139">
        <f>IF($C$17&lt;B30,0,DCF!$C$16)</f>
        <v>0.111211776070739</v>
      </c>
      <c r="E30" s="125">
        <f t="shared" si="0"/>
        <v>0.46319348808468425</v>
      </c>
      <c r="F30" s="126">
        <f t="shared" si="1"/>
        <v>363.86834896042848</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3801.1965930170736</v>
      </c>
      <c r="D51" s="140">
        <f>Terminal_Growth</f>
        <v>0</v>
      </c>
      <c r="E51" s="125">
        <f>1/(1+Equity_Cost)^C17</f>
        <v>0.46319348808468425</v>
      </c>
      <c r="F51" s="126">
        <f t="shared" si="1"/>
        <v>1760.6895088151962</v>
      </c>
      <c r="H51" s="121"/>
    </row>
    <row r="52" spans="1:8">
      <c r="C52" s="115"/>
      <c r="E52" s="128" t="s">
        <v>101</v>
      </c>
      <c r="F52" s="138">
        <f>SUM(F21:F51)</f>
        <v>4972.2679411253484</v>
      </c>
      <c r="H52" s="121"/>
    </row>
    <row r="53" spans="1:8">
      <c r="C53" s="115"/>
      <c r="H53" s="121"/>
    </row>
    <row r="54" spans="1:8" ht="13.15">
      <c r="B54" s="120" t="s">
        <v>130</v>
      </c>
      <c r="C54" s="137"/>
      <c r="D54" s="137"/>
      <c r="E54" s="118"/>
      <c r="F54" s="118"/>
      <c r="H54" s="121"/>
    </row>
    <row r="55" spans="1:8" ht="13.15">
      <c r="A55" s="134">
        <f>F52</f>
        <v>4972.2679411253484</v>
      </c>
      <c r="B55" s="132">
        <f>C78</f>
        <v>0</v>
      </c>
      <c r="C55" s="132">
        <f>C77</f>
        <v>0.02</v>
      </c>
      <c r="D55" s="132">
        <f>C76</f>
        <v>0.06</v>
      </c>
      <c r="E55" s="132">
        <f>C75</f>
        <v>0.15</v>
      </c>
      <c r="F55" s="132">
        <f>C74</f>
        <v>0.25</v>
      </c>
      <c r="H55" s="121"/>
    </row>
    <row r="56" spans="1:8" ht="13.15">
      <c r="A56" s="144">
        <v>5</v>
      </c>
      <c r="B56" s="124">
        <f t="dataTable" ref="B56:F61" dt2D="1" dtr="1" r1="C16" r2="C17"/>
        <v>3420.767017479026</v>
      </c>
      <c r="C56" s="124">
        <v>3531.1388682608413</v>
      </c>
      <c r="D56" s="124">
        <v>3761.9443960378781</v>
      </c>
      <c r="E56" s="124">
        <v>4335.8403064143258</v>
      </c>
      <c r="F56" s="124">
        <v>5077.2520805899876</v>
      </c>
      <c r="H56" s="121"/>
    </row>
    <row r="57" spans="1:8" ht="13.15">
      <c r="A57" s="144">
        <v>10</v>
      </c>
      <c r="B57" s="124">
        <v>3420.7670174790246</v>
      </c>
      <c r="C57" s="124">
        <v>3641.6123540757262</v>
      </c>
      <c r="D57" s="124">
        <v>4152.3561107419209</v>
      </c>
      <c r="E57" s="124">
        <v>5750.9772701861966</v>
      </c>
      <c r="F57" s="124">
        <v>8648.7286325483983</v>
      </c>
      <c r="H57" s="121"/>
    </row>
    <row r="58" spans="1:8" ht="13.15">
      <c r="A58" s="144">
        <v>15</v>
      </c>
      <c r="B58" s="124">
        <v>3420.7670174790246</v>
      </c>
      <c r="C58" s="124">
        <v>3778.3539241989047</v>
      </c>
      <c r="D58" s="124">
        <v>4689.3824868474294</v>
      </c>
      <c r="E58" s="124">
        <v>8276.7874973650887</v>
      </c>
      <c r="F58" s="124">
        <v>17364.61175140116</v>
      </c>
      <c r="H58" s="121"/>
    </row>
    <row r="59" spans="1:8" ht="13.15">
      <c r="A59" s="145">
        <v>20</v>
      </c>
      <c r="B59" s="124">
        <v>3420.7670174790246</v>
      </c>
      <c r="C59" s="124">
        <v>3917.6716552447242</v>
      </c>
      <c r="D59" s="124">
        <v>5301.9836106690627</v>
      </c>
      <c r="E59" s="124">
        <v>12134.973886504557</v>
      </c>
      <c r="F59" s="124">
        <v>36350.691260923042</v>
      </c>
      <c r="H59" s="121"/>
    </row>
    <row r="60" spans="1:8" ht="13.15">
      <c r="A60" s="145">
        <v>25</v>
      </c>
      <c r="B60" s="124">
        <v>3420.7670174790242</v>
      </c>
      <c r="C60" s="124">
        <v>4047.2448758595706</v>
      </c>
      <c r="D60" s="124">
        <v>5943.9709623595281</v>
      </c>
      <c r="E60" s="124">
        <v>17689.081349363056</v>
      </c>
      <c r="F60" s="124">
        <v>76385.537662634611</v>
      </c>
      <c r="H60" s="121"/>
    </row>
    <row r="61" spans="1:8" ht="13.15">
      <c r="A61" s="145">
        <v>30</v>
      </c>
      <c r="B61" s="124">
        <v>3420.7670174790242</v>
      </c>
      <c r="C61" s="124">
        <v>4161.5464811366892</v>
      </c>
      <c r="D61" s="124">
        <v>6585.8767300239133</v>
      </c>
      <c r="E61" s="124">
        <v>25477.638622667288</v>
      </c>
      <c r="F61" s="124">
        <v>159946.10486845206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8.0472633658318138</v>
      </c>
      <c r="C65" s="125">
        <f>C12</f>
        <v>8.0472633658318138</v>
      </c>
      <c r="D65" s="125">
        <f>C12</f>
        <v>8.0472633658318138</v>
      </c>
      <c r="E65" s="142">
        <f>C12</f>
        <v>8.0472633658318138</v>
      </c>
      <c r="F65" s="125">
        <f>C12</f>
        <v>8.0472633658318138</v>
      </c>
      <c r="H65" s="121"/>
    </row>
    <row r="66" spans="1:8" ht="13.15">
      <c r="A66" s="144">
        <f t="shared" ref="A66:A71" si="3">A56</f>
        <v>5</v>
      </c>
      <c r="B66" s="125">
        <f t="shared" ref="B66:F71" si="4">(B56-$C$7+$C$8+$C$9)/Common_Shares*$C$3*Exchange_Rate</f>
        <v>8.0472633658318102</v>
      </c>
      <c r="C66" s="125">
        <f t="shared" si="4"/>
        <v>8.670823458411375</v>
      </c>
      <c r="D66" s="125">
        <f t="shared" si="4"/>
        <v>9.9747892363616728</v>
      </c>
      <c r="E66" s="125">
        <f t="shared" si="4"/>
        <v>13.217088649395803</v>
      </c>
      <c r="F66" s="125">
        <f t="shared" si="4"/>
        <v>17.405790671421911</v>
      </c>
      <c r="H66" s="121"/>
    </row>
    <row r="67" spans="1:8" ht="13.15">
      <c r="A67" s="144">
        <f t="shared" si="3"/>
        <v>10</v>
      </c>
      <c r="B67" s="125">
        <f t="shared" si="4"/>
        <v>8.0472633658318049</v>
      </c>
      <c r="C67" s="125">
        <f t="shared" si="4"/>
        <v>9.2949577512981847</v>
      </c>
      <c r="D67" s="125">
        <f t="shared" si="4"/>
        <v>12.180470877473635</v>
      </c>
      <c r="E67" s="125">
        <f t="shared" si="4"/>
        <v>21.212088551016876</v>
      </c>
      <c r="F67" s="125">
        <f t="shared" si="4"/>
        <v>37.583310877976672</v>
      </c>
      <c r="H67" s="121"/>
    </row>
    <row r="68" spans="1:8" ht="13.15">
      <c r="A68" s="144">
        <f t="shared" si="3"/>
        <v>15</v>
      </c>
      <c r="B68" s="125">
        <f t="shared" si="4"/>
        <v>8.0472633658318049</v>
      </c>
      <c r="C68" s="125">
        <f t="shared" si="4"/>
        <v>10.067496994968566</v>
      </c>
      <c r="D68" s="125">
        <f t="shared" si="4"/>
        <v>15.214471072541402</v>
      </c>
      <c r="E68" s="125">
        <f t="shared" si="4"/>
        <v>35.481981172565369</v>
      </c>
      <c r="F68" s="125">
        <f t="shared" si="4"/>
        <v>86.824823510108047</v>
      </c>
      <c r="H68" s="121"/>
    </row>
    <row r="69" spans="1:8" ht="13.15">
      <c r="A69" s="145">
        <f t="shared" si="3"/>
        <v>20</v>
      </c>
      <c r="B69" s="125">
        <f t="shared" si="4"/>
        <v>8.0472633658318049</v>
      </c>
      <c r="C69" s="125">
        <f t="shared" si="4"/>
        <v>10.854590594047897</v>
      </c>
      <c r="D69" s="125">
        <f t="shared" si="4"/>
        <v>18.675440611230144</v>
      </c>
      <c r="E69" s="125">
        <f t="shared" si="4"/>
        <v>57.279305807058073</v>
      </c>
      <c r="F69" s="125">
        <f t="shared" si="4"/>
        <v>194.08914328747449</v>
      </c>
      <c r="H69" s="121"/>
    </row>
    <row r="70" spans="1:8" ht="13.15">
      <c r="A70" s="145">
        <f t="shared" si="3"/>
        <v>25</v>
      </c>
      <c r="B70" s="125">
        <f t="shared" si="4"/>
        <v>8.0472633658318014</v>
      </c>
      <c r="C70" s="125">
        <f t="shared" si="4"/>
        <v>11.58663131702305</v>
      </c>
      <c r="D70" s="125">
        <f t="shared" si="4"/>
        <v>22.302431457350583</v>
      </c>
      <c r="E70" s="125">
        <f t="shared" si="4"/>
        <v>88.657956606193707</v>
      </c>
      <c r="F70" s="125">
        <f t="shared" si="4"/>
        <v>420.27120285997648</v>
      </c>
    </row>
    <row r="71" spans="1:8" ht="13.15">
      <c r="A71" s="145">
        <f t="shared" si="3"/>
        <v>30</v>
      </c>
      <c r="B71" s="125">
        <f t="shared" si="4"/>
        <v>8.0472633658318014</v>
      </c>
      <c r="C71" s="125">
        <f t="shared" si="4"/>
        <v>12.232393067539387</v>
      </c>
      <c r="D71" s="125">
        <f t="shared" si="4"/>
        <v>25.928961383929529</v>
      </c>
      <c r="E71" s="125">
        <f t="shared" si="4"/>
        <v>132.66042154631219</v>
      </c>
      <c r="F71" s="125">
        <f t="shared" si="4"/>
        <v>892.35746990883047</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86.824823510108047</v>
      </c>
      <c r="F74" s="143">
        <f>Scenarios!C58</f>
        <v>0.05</v>
      </c>
    </row>
    <row r="75" spans="1:8">
      <c r="B75" s="128" t="str">
        <f>Scenarios!B36</f>
        <v>Optimistic</v>
      </c>
      <c r="C75" s="143">
        <f>Scenarios!C38</f>
        <v>0.15</v>
      </c>
      <c r="D75" s="146">
        <f>Scenarios!C37</f>
        <v>10</v>
      </c>
      <c r="E75" s="136">
        <f>INDEX(B$65:F$71, MATCH(D75, A$65:A$71, 0), MATCH(C75, B$64:F$64, 0))</f>
        <v>21.212088551016876</v>
      </c>
      <c r="F75" s="143">
        <f>Scenarios!C40*(1-F$74-F$78)</f>
        <v>0.18</v>
      </c>
      <c r="H75" s="121"/>
    </row>
    <row r="76" spans="1:8">
      <c r="B76" s="128" t="str">
        <f>Scenarios!B24</f>
        <v>Base</v>
      </c>
      <c r="C76" s="143">
        <f>Scenarios!C26</f>
        <v>0.06</v>
      </c>
      <c r="D76" s="146">
        <f>Scenarios!C25</f>
        <v>10</v>
      </c>
      <c r="E76" s="136">
        <f>INDEX(B$65:F$71, MATCH(D76, A$65:A$71, 0), MATCH(C76, B$64:F$64, 0))</f>
        <v>12.180470877473635</v>
      </c>
      <c r="F76" s="143">
        <f>Scenarios!C28*(1-F$74-F$78)</f>
        <v>0.53999999999999992</v>
      </c>
      <c r="H76" s="121"/>
    </row>
    <row r="77" spans="1:8">
      <c r="B77" s="128" t="str">
        <f>Scenarios!B30</f>
        <v>Pessimistic</v>
      </c>
      <c r="C77" s="143">
        <f>Scenarios!C32</f>
        <v>0.02</v>
      </c>
      <c r="D77" s="146">
        <f>Scenarios!C31</f>
        <v>10</v>
      </c>
      <c r="E77" s="136">
        <f>INDEX(B$65:F$71, MATCH(D77, A$65:A$71, 0), MATCH(C77, B$64:F$64, 0))</f>
        <v>9.2949577512981847</v>
      </c>
      <c r="F77" s="143">
        <f>Scenarios!C34*(1-F$74-F$78)</f>
        <v>0.18</v>
      </c>
      <c r="H77" s="121"/>
    </row>
    <row r="78" spans="1:8">
      <c r="B78" s="128" t="str">
        <f>Scenarios!B48</f>
        <v>Devil's advocate</v>
      </c>
      <c r="C78" s="143">
        <f>Scenarios!C50</f>
        <v>0</v>
      </c>
      <c r="D78" s="146">
        <f>Scenarios!C49</f>
        <v>15</v>
      </c>
      <c r="E78" s="136">
        <f>INDEX(B$65:F$71, MATCH(D78, A$65:A$71, 0), MATCH(C78, B$64:F$64, 0))</f>
        <v>8.0472633658318049</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1160.670310549456</v>
      </c>
      <c r="D4" t="str">
        <f>Market_currency</f>
        <v>HKD</v>
      </c>
      <c r="E4" s="100" t="s">
        <v>251</v>
      </c>
      <c r="F4" s="135">
        <f>Thesis!E22</f>
        <v>0</v>
      </c>
      <c r="H4" s="121"/>
    </row>
    <row r="5" spans="2:8">
      <c r="B5" s="227" t="s">
        <v>124</v>
      </c>
      <c r="C5" s="228">
        <f>Equity_Cost</f>
        <v>0.08</v>
      </c>
      <c r="E5" s="149"/>
      <c r="H5" s="121"/>
    </row>
    <row r="6" spans="2:8" ht="13.15" customHeight="1">
      <c r="B6" s="150" t="s">
        <v>442</v>
      </c>
      <c r="C6" s="232">
        <f>(C4*(1+Terminal_Growth))/(Equity_Cost-Terminal_Growth)</f>
        <v>14508.378881868199</v>
      </c>
      <c r="D6" t="str">
        <f>Reporting_currency</f>
        <v>USD</v>
      </c>
      <c r="E6" s="358"/>
      <c r="F6" s="358"/>
      <c r="H6" s="121"/>
    </row>
    <row r="7" spans="2:8" ht="13.15">
      <c r="B7" s="150" t="s">
        <v>445</v>
      </c>
      <c r="C7" s="112">
        <f>(C6*scaling_factor)/Common_Shares*Exchange_Rate</f>
        <v>81.966969065699985</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0.111211776070739</v>
      </c>
      <c r="H11" s="121"/>
    </row>
    <row r="12" spans="2:8" ht="13.35" customHeight="1">
      <c r="B12" s="119" t="s">
        <v>135</v>
      </c>
      <c r="C12" s="163">
        <f>Scenarios!C64</f>
        <v>10</v>
      </c>
      <c r="H12" s="121"/>
    </row>
    <row r="13" spans="2:8" ht="13.35" customHeight="1">
      <c r="B13" s="154" t="s">
        <v>107</v>
      </c>
      <c r="C13" s="141">
        <f>F47/Common_Shares*scaling_factor</f>
        <v>15.247814949392454</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1289.7505172182371</v>
      </c>
      <c r="D16" s="139">
        <f>IF($C$12&lt;B16,0,DDM!$C$11)</f>
        <v>0.111211776070739</v>
      </c>
      <c r="E16" s="125">
        <f t="shared" ref="E16:E45" si="0">IF($C$12&lt;B16,0,1/(1+Equity_Cost)^B16)</f>
        <v>0.92592592592592582</v>
      </c>
      <c r="F16" s="126">
        <f t="shared" ref="F16:F46" si="1">C16*E16</f>
        <v>1194.2134418687378</v>
      </c>
      <c r="H16" s="121"/>
    </row>
    <row r="17" spans="2:8">
      <c r="B17" s="123">
        <v>2</v>
      </c>
      <c r="C17" s="124">
        <f t="shared" ref="C17:C45" si="2">IF(ROW()-ROW($C$16)&lt;$C$12, $C$16*(1+D17)^(ROW()-ROW($C$16)), 0)</f>
        <v>1433.1859629262315</v>
      </c>
      <c r="D17" s="139">
        <f>IF($C$12&lt;B17,0,DDM!$C$11)</f>
        <v>0.111211776070739</v>
      </c>
      <c r="E17" s="125">
        <f t="shared" si="0"/>
        <v>0.85733882030178321</v>
      </c>
      <c r="F17" s="126">
        <f t="shared" si="1"/>
        <v>1228.7259627282506</v>
      </c>
      <c r="H17" s="121"/>
    </row>
    <row r="18" spans="2:8">
      <c r="B18" s="123">
        <v>3</v>
      </c>
      <c r="C18" s="124">
        <f t="shared" si="2"/>
        <v>1592.5731193029098</v>
      </c>
      <c r="D18" s="139">
        <f>IF($C$12&lt;B18,0,DDM!$C$11)</f>
        <v>0.111211776070739</v>
      </c>
      <c r="E18" s="125">
        <f t="shared" si="0"/>
        <v>0.79383224102016958</v>
      </c>
      <c r="F18" s="126">
        <f t="shared" si="1"/>
        <v>1264.2358882847109</v>
      </c>
      <c r="H18" s="121"/>
    </row>
    <row r="19" spans="2:8">
      <c r="B19" s="123">
        <v>4</v>
      </c>
      <c r="C19" s="124">
        <f t="shared" si="2"/>
        <v>1769.6860044231034</v>
      </c>
      <c r="D19" s="139">
        <f>IF($C$12&lt;B19,0,DDM!$C$11)</f>
        <v>0.111211776070739</v>
      </c>
      <c r="E19" s="125">
        <f t="shared" si="0"/>
        <v>0.73502985279645328</v>
      </c>
      <c r="F19" s="126">
        <f t="shared" si="1"/>
        <v>1300.7720433270572</v>
      </c>
      <c r="H19" s="121"/>
    </row>
    <row r="20" spans="2:8">
      <c r="B20" s="123">
        <v>5</v>
      </c>
      <c r="C20" s="124">
        <f t="shared" si="2"/>
        <v>1966.4959280625264</v>
      </c>
      <c r="D20" s="139">
        <f>IF($C$12&lt;B20,0,DDM!$C$11)</f>
        <v>0.111211776070739</v>
      </c>
      <c r="E20" s="125">
        <f t="shared" si="0"/>
        <v>0.68058319703375303</v>
      </c>
      <c r="F20" s="126">
        <f t="shared" si="1"/>
        <v>1338.3640856746515</v>
      </c>
      <c r="H20" s="121"/>
    </row>
    <row r="21" spans="2:8">
      <c r="B21" s="123">
        <v>6</v>
      </c>
      <c r="C21" s="124">
        <f t="shared" si="2"/>
        <v>2185.1934328582361</v>
      </c>
      <c r="D21" s="139">
        <f>IF($C$12&lt;B21,0,DDM!$C$11)</f>
        <v>0.111211776070739</v>
      </c>
      <c r="E21" s="125">
        <f t="shared" si="0"/>
        <v>0.63016962688310452</v>
      </c>
      <c r="F21" s="126">
        <f t="shared" si="1"/>
        <v>1377.0425302516849</v>
      </c>
      <c r="H21" s="121"/>
    </row>
    <row r="22" spans="2:8">
      <c r="B22" s="123">
        <v>7</v>
      </c>
      <c r="C22" s="124">
        <f t="shared" si="2"/>
        <v>2428.2126755845156</v>
      </c>
      <c r="D22" s="139">
        <f>IF($C$12&lt;B22,0,DDM!$C$11)</f>
        <v>0.111211776070739</v>
      </c>
      <c r="E22" s="125">
        <f t="shared" si="0"/>
        <v>0.58349039526213387</v>
      </c>
      <c r="F22" s="126">
        <f t="shared" si="1"/>
        <v>1416.8387738573326</v>
      </c>
      <c r="H22" s="121"/>
    </row>
    <row r="23" spans="2:8">
      <c r="B23" s="123">
        <v>8</v>
      </c>
      <c r="C23" s="124">
        <f t="shared" si="2"/>
        <v>2698.2585199137507</v>
      </c>
      <c r="D23" s="139">
        <f>IF($C$12&lt;B23,0,DDM!$C$11)</f>
        <v>0.111211776070739</v>
      </c>
      <c r="E23" s="125">
        <f t="shared" si="0"/>
        <v>0.54026888450197574</v>
      </c>
      <c r="F23" s="126">
        <f t="shared" si="1"/>
        <v>1457.7851206517541</v>
      </c>
      <c r="H23" s="121"/>
    </row>
    <row r="24" spans="2:8">
      <c r="B24" s="123">
        <v>9</v>
      </c>
      <c r="C24" s="124">
        <f t="shared" si="2"/>
        <v>2998.3366422113627</v>
      </c>
      <c r="D24" s="139">
        <f>IF($C$12&lt;B24,0,DDM!$C$11)</f>
        <v>0.111211776070739</v>
      </c>
      <c r="E24" s="125">
        <f t="shared" si="0"/>
        <v>0.50024896713145905</v>
      </c>
      <c r="F24" s="126">
        <f t="shared" si="1"/>
        <v>1499.9148083786413</v>
      </c>
      <c r="H24" s="121"/>
    </row>
    <row r="25" spans="2:8">
      <c r="B25" s="123">
        <v>10</v>
      </c>
      <c r="C25" s="124">
        <f t="shared" si="2"/>
        <v>3331.7869854496639</v>
      </c>
      <c r="D25" s="139">
        <f>IF($C$12&lt;B25,0,DDM!$C$11)</f>
        <v>0.111211776070739</v>
      </c>
      <c r="E25" s="125">
        <f t="shared" si="0"/>
        <v>0.46319348808468425</v>
      </c>
      <c r="F25" s="126">
        <f t="shared" si="1"/>
        <v>1543.262035345585</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16121.881465227963</v>
      </c>
      <c r="D46" s="140">
        <f>Terminal_Growth</f>
        <v>0</v>
      </c>
      <c r="E46" s="125">
        <f>1/(1+Equity_Cost)^C12</f>
        <v>0.46319348808468425</v>
      </c>
      <c r="F46" s="126">
        <f t="shared" si="1"/>
        <v>7467.5505103667601</v>
      </c>
      <c r="H46" s="121"/>
    </row>
    <row r="47" spans="2:8">
      <c r="C47" s="115"/>
      <c r="E47" s="128" t="s">
        <v>101</v>
      </c>
      <c r="F47" s="138">
        <f>SUM(F16:F46)</f>
        <v>21088.705200735167</v>
      </c>
      <c r="H47" s="121"/>
    </row>
    <row r="48" spans="2:8">
      <c r="C48" s="115"/>
      <c r="H48" s="121"/>
    </row>
    <row r="49" spans="1:8" ht="13.15">
      <c r="B49" s="120" t="s">
        <v>130</v>
      </c>
      <c r="C49" s="137"/>
      <c r="D49" s="137"/>
      <c r="E49" s="118"/>
      <c r="F49" s="118"/>
      <c r="H49" s="121"/>
    </row>
    <row r="50" spans="1:8" ht="13.15">
      <c r="A50" s="134">
        <f>F47</f>
        <v>21088.705200735167</v>
      </c>
      <c r="B50" s="132">
        <f>C73</f>
        <v>0</v>
      </c>
      <c r="C50" s="132">
        <f>C72</f>
        <v>0.02</v>
      </c>
      <c r="D50" s="132">
        <f>C71</f>
        <v>0.06</v>
      </c>
      <c r="E50" s="132">
        <f>C70</f>
        <v>0.15</v>
      </c>
      <c r="F50" s="132">
        <f>C69</f>
        <v>0.25</v>
      </c>
      <c r="H50" s="121"/>
    </row>
    <row r="51" spans="1:8" ht="13.15">
      <c r="A51" s="144">
        <v>5</v>
      </c>
      <c r="B51" s="124">
        <f t="dataTable" ref="B51:F56" dt2D="1" dtr="1" r1="C11" r2="C12"/>
        <v>14508.378881868197</v>
      </c>
      <c r="C51" s="124">
        <v>14976.495132069798</v>
      </c>
      <c r="D51" s="124">
        <v>15955.402502232235</v>
      </c>
      <c r="E51" s="124">
        <v>18389.447049537404</v>
      </c>
      <c r="F51" s="124">
        <v>21533.970740351589</v>
      </c>
      <c r="H51" s="121"/>
    </row>
    <row r="52" spans="1:8" ht="13.15">
      <c r="A52" s="144">
        <v>10</v>
      </c>
      <c r="B52" s="124">
        <v>14508.378881868193</v>
      </c>
      <c r="C52" s="124">
        <v>15445.042443363813</v>
      </c>
      <c r="D52" s="124">
        <v>17611.241981478743</v>
      </c>
      <c r="E52" s="124">
        <v>24391.417699754238</v>
      </c>
      <c r="F52" s="124">
        <v>36681.548672071571</v>
      </c>
      <c r="H52" s="121"/>
    </row>
    <row r="53" spans="1:8" ht="13.15">
      <c r="A53" s="144">
        <v>15</v>
      </c>
      <c r="B53" s="124">
        <v>14508.37888186819</v>
      </c>
      <c r="C53" s="124">
        <v>16024.999657085631</v>
      </c>
      <c r="D53" s="124">
        <v>19888.913069361632</v>
      </c>
      <c r="E53" s="124">
        <v>35104.047812346711</v>
      </c>
      <c r="F53" s="124">
        <v>73647.917305848387</v>
      </c>
      <c r="H53" s="121"/>
    </row>
    <row r="54" spans="1:8" ht="13.15">
      <c r="A54" s="145">
        <v>20</v>
      </c>
      <c r="B54" s="124">
        <v>14508.37888186819</v>
      </c>
      <c r="C54" s="124">
        <v>16615.88305155444</v>
      </c>
      <c r="D54" s="124">
        <v>22487.116677630904</v>
      </c>
      <c r="E54" s="124">
        <v>51467.638096187366</v>
      </c>
      <c r="F54" s="124">
        <v>154172.90880568433</v>
      </c>
      <c r="H54" s="121"/>
    </row>
    <row r="55" spans="1:8" ht="13.15">
      <c r="A55" s="145">
        <v>25</v>
      </c>
      <c r="B55" s="124">
        <v>14508.37888186819</v>
      </c>
      <c r="C55" s="124">
        <v>17165.437396535672</v>
      </c>
      <c r="D55" s="124">
        <v>25209.955060981727</v>
      </c>
      <c r="E55" s="124">
        <v>75024.078803788652</v>
      </c>
      <c r="F55" s="124">
        <v>323971.29528027284</v>
      </c>
      <c r="H55" s="121"/>
    </row>
    <row r="56" spans="1:8" ht="13.15">
      <c r="A56" s="145">
        <v>30</v>
      </c>
      <c r="B56" s="124">
        <v>14508.37888186819</v>
      </c>
      <c r="C56" s="124">
        <v>17650.220776313548</v>
      </c>
      <c r="D56" s="124">
        <v>27932.447424871119</v>
      </c>
      <c r="E56" s="124">
        <v>108057.41293231523</v>
      </c>
      <c r="F56" s="124">
        <v>678373.79109808197</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0.06</v>
      </c>
      <c r="E59" s="133">
        <f>E50</f>
        <v>0.15</v>
      </c>
      <c r="F59" s="133">
        <f>F50</f>
        <v>0.25</v>
      </c>
      <c r="H59" s="121"/>
    </row>
    <row r="60" spans="1:8" ht="13.15">
      <c r="A60" s="144">
        <v>0</v>
      </c>
      <c r="B60" s="125">
        <f>C7</f>
        <v>81.966969065699985</v>
      </c>
      <c r="C60" s="125">
        <f>C7</f>
        <v>81.966969065699985</v>
      </c>
      <c r="D60" s="125">
        <f>C7</f>
        <v>81.966969065699985</v>
      </c>
      <c r="E60" s="142">
        <f>C7</f>
        <v>81.966969065699985</v>
      </c>
      <c r="F60" s="125">
        <f>C7</f>
        <v>81.966969065699985</v>
      </c>
      <c r="H60" s="121"/>
    </row>
    <row r="61" spans="1:8" ht="13.15">
      <c r="A61" s="144">
        <f t="shared" ref="A61:A66" si="3">A51</f>
        <v>5</v>
      </c>
      <c r="B61" s="125">
        <f t="shared" ref="B61:F66" si="4">B51/Common_Shares*$C$3*Exchange_Rate</f>
        <v>81.966969065699985</v>
      </c>
      <c r="C61" s="125">
        <f t="shared" si="4"/>
        <v>84.6116525628603</v>
      </c>
      <c r="D61" s="125">
        <f t="shared" si="4"/>
        <v>90.1421167712749</v>
      </c>
      <c r="E61" s="125">
        <f t="shared" si="4"/>
        <v>103.89356727708137</v>
      </c>
      <c r="F61" s="125">
        <f t="shared" si="4"/>
        <v>121.65896189421849</v>
      </c>
      <c r="H61" s="121"/>
    </row>
    <row r="62" spans="1:8" ht="13.15">
      <c r="A62" s="144">
        <f t="shared" si="3"/>
        <v>10</v>
      </c>
      <c r="B62" s="125">
        <f t="shared" si="4"/>
        <v>81.966969065699956</v>
      </c>
      <c r="C62" s="125">
        <f t="shared" si="4"/>
        <v>87.258771395595673</v>
      </c>
      <c r="D62" s="125">
        <f t="shared" si="4"/>
        <v>99.496996767053346</v>
      </c>
      <c r="E62" s="125">
        <f t="shared" si="4"/>
        <v>137.80247926685524</v>
      </c>
      <c r="F62" s="125">
        <f t="shared" si="4"/>
        <v>207.23716893299792</v>
      </c>
      <c r="H62" s="121"/>
    </row>
    <row r="63" spans="1:8" ht="13.15">
      <c r="A63" s="144">
        <f t="shared" si="3"/>
        <v>15</v>
      </c>
      <c r="B63" s="125">
        <f t="shared" si="4"/>
        <v>81.966969065699942</v>
      </c>
      <c r="C63" s="125">
        <f t="shared" si="4"/>
        <v>90.535314928379719</v>
      </c>
      <c r="D63" s="125">
        <f t="shared" si="4"/>
        <v>112.36499512320711</v>
      </c>
      <c r="E63" s="125">
        <f t="shared" si="4"/>
        <v>198.32487313323912</v>
      </c>
      <c r="F63" s="125">
        <f t="shared" si="4"/>
        <v>416.08346519720737</v>
      </c>
      <c r="H63" s="121"/>
    </row>
    <row r="64" spans="1:8" ht="13.15">
      <c r="A64" s="145">
        <f t="shared" si="3"/>
        <v>20</v>
      </c>
      <c r="B64" s="125">
        <f t="shared" si="4"/>
        <v>81.966969065699942</v>
      </c>
      <c r="C64" s="125">
        <f t="shared" si="4"/>
        <v>93.873587337048988</v>
      </c>
      <c r="D64" s="125">
        <f t="shared" si="4"/>
        <v>127.04388354481789</v>
      </c>
      <c r="E64" s="125">
        <f t="shared" si="4"/>
        <v>290.77309974218224</v>
      </c>
      <c r="F64" s="125">
        <f t="shared" si="4"/>
        <v>871.01985340606677</v>
      </c>
      <c r="H64" s="121"/>
    </row>
    <row r="65" spans="1:8" ht="13.15">
      <c r="A65" s="145">
        <f t="shared" si="3"/>
        <v>25</v>
      </c>
      <c r="B65" s="125">
        <f t="shared" si="4"/>
        <v>81.966969065699942</v>
      </c>
      <c r="C65" s="125">
        <f t="shared" si="4"/>
        <v>96.978365917879458</v>
      </c>
      <c r="D65" s="125">
        <f t="shared" si="4"/>
        <v>142.42691230056261</v>
      </c>
      <c r="E65" s="125">
        <f t="shared" si="4"/>
        <v>423.85826814724948</v>
      </c>
      <c r="F65" s="125">
        <f t="shared" si="4"/>
        <v>1830.3178704272632</v>
      </c>
    </row>
    <row r="66" spans="1:8" ht="13.15">
      <c r="A66" s="145">
        <f t="shared" si="3"/>
        <v>30</v>
      </c>
      <c r="B66" s="125">
        <f t="shared" si="4"/>
        <v>81.966969065699942</v>
      </c>
      <c r="C66" s="125">
        <f t="shared" si="4"/>
        <v>99.717212526267886</v>
      </c>
      <c r="D66" s="125">
        <f t="shared" si="4"/>
        <v>157.80798617446126</v>
      </c>
      <c r="E66" s="125">
        <f t="shared" si="4"/>
        <v>610.48437563288576</v>
      </c>
      <c r="F66" s="125">
        <f t="shared" si="4"/>
        <v>3832.5607569712242</v>
      </c>
    </row>
    <row r="68" spans="1:8" ht="13.15">
      <c r="B68" s="172" t="s">
        <v>118</v>
      </c>
      <c r="C68" s="172" t="s">
        <v>133</v>
      </c>
      <c r="D68" s="172" t="s">
        <v>113</v>
      </c>
      <c r="E68" s="173" t="s">
        <v>114</v>
      </c>
      <c r="F68" s="173" t="s">
        <v>120</v>
      </c>
    </row>
    <row r="69" spans="1:8">
      <c r="B69" s="128" t="str">
        <f>Scenarios!B54</f>
        <v>Snowball Scenario</v>
      </c>
      <c r="C69" s="143">
        <f>Scenarios!C56</f>
        <v>0.25</v>
      </c>
      <c r="D69" s="146">
        <f>Scenarios!C55</f>
        <v>15</v>
      </c>
      <c r="E69" s="136">
        <f>INDEX(B$60:F$66, MATCH(D69, A$60:A$66, 0), MATCH(C69, B$59:F$59, 0))</f>
        <v>416.08346519720737</v>
      </c>
      <c r="F69" s="143">
        <f>Scenarios!C58</f>
        <v>0.05</v>
      </c>
    </row>
    <row r="70" spans="1:8">
      <c r="B70" s="128" t="str">
        <f>Scenarios!B36</f>
        <v>Optimistic</v>
      </c>
      <c r="C70" s="143">
        <f>Scenarios!C38</f>
        <v>0.15</v>
      </c>
      <c r="D70" s="146">
        <f>Scenarios!C37</f>
        <v>10</v>
      </c>
      <c r="E70" s="136">
        <f>INDEX(B$60:F$66, MATCH(D70, A$60:A$66, 0), MATCH(C70, B$59:F$59, 0))</f>
        <v>137.80247926685524</v>
      </c>
      <c r="F70" s="143">
        <f>Scenarios!C40*(1-F$69-F$73)</f>
        <v>0.18</v>
      </c>
      <c r="H70" s="121"/>
    </row>
    <row r="71" spans="1:8">
      <c r="B71" s="128" t="str">
        <f>Scenarios!B24</f>
        <v>Base</v>
      </c>
      <c r="C71" s="143">
        <f>Scenarios!C26</f>
        <v>0.06</v>
      </c>
      <c r="D71" s="146">
        <f>Scenarios!C25</f>
        <v>10</v>
      </c>
      <c r="E71" s="136">
        <f>INDEX(B$60:F$66, MATCH(D71, A$60:A$66, 0), MATCH(C71, B$59:F$59, 0))</f>
        <v>99.496996767053346</v>
      </c>
      <c r="F71" s="143">
        <f>Scenarios!C28*(1-F$69-F$73)</f>
        <v>0.53999999999999992</v>
      </c>
      <c r="H71" s="121"/>
    </row>
    <row r="72" spans="1:8">
      <c r="B72" s="128" t="str">
        <f>Scenarios!B30</f>
        <v>Pessimistic</v>
      </c>
      <c r="C72" s="143">
        <f>Scenarios!C32</f>
        <v>0.02</v>
      </c>
      <c r="D72" s="146">
        <f>Scenarios!C31</f>
        <v>10</v>
      </c>
      <c r="E72" s="136">
        <f>INDEX(B$60:F$66, MATCH(D72, A$60:A$66, 0), MATCH(C72, B$59:F$59, 0))</f>
        <v>87.258771395595673</v>
      </c>
      <c r="F72" s="143">
        <f>Scenarios!C34*(1-F$69-F$73)</f>
        <v>0.18</v>
      </c>
      <c r="H72" s="121"/>
    </row>
    <row r="73" spans="1:8">
      <c r="B73" s="128" t="str">
        <f>Scenarios!B48</f>
        <v>Devil's advocate</v>
      </c>
      <c r="C73" s="143">
        <f>Scenarios!C50</f>
        <v>0</v>
      </c>
      <c r="D73" s="146">
        <f>Scenarios!C49</f>
        <v>15</v>
      </c>
      <c r="E73" s="136">
        <f>INDEX(B$60:F$66, MATCH(D73, A$60:A$66, 0), MATCH(C73, B$59:F$59, 0))</f>
        <v>81.966969065699942</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-13.98</v>
      </c>
    </row>
    <row r="4" spans="2:9">
      <c r="B4" s="153" t="s">
        <v>147</v>
      </c>
      <c r="C4" s="121">
        <v>3</v>
      </c>
      <c r="D4" s="121"/>
      <c r="E4" s="156" t="s">
        <v>151</v>
      </c>
      <c r="F4" s="156"/>
      <c r="H4" s="273">
        <v>1</v>
      </c>
      <c r="I4" s="261">
        <f t="shared" ref="I4:I13" si="0">IF(ROW()-3 &lt; $C$76, $C$77, IF(ROW()-3 = $C$76, $C$77 + $C$60, ""))</f>
        <v>0.83920211999999994</v>
      </c>
    </row>
    <row r="5" spans="2:9">
      <c r="H5" s="273">
        <v>2</v>
      </c>
      <c r="I5" s="261">
        <f t="shared" si="0"/>
        <v>0.83920211999999994</v>
      </c>
    </row>
    <row r="6" spans="2:9" ht="13.15">
      <c r="B6" s="160" t="s">
        <v>96</v>
      </c>
      <c r="C6" s="107">
        <f>DCF!C3</f>
        <v>1000000</v>
      </c>
      <c r="E6" s="100" t="s">
        <v>280</v>
      </c>
      <c r="F6" s="100"/>
      <c r="H6" s="273">
        <v>3</v>
      </c>
      <c r="I6" s="261">
        <f t="shared" si="0"/>
        <v>17.651529072049463</v>
      </c>
    </row>
    <row r="7" spans="2:9" ht="12.75" customHeight="1">
      <c r="B7" s="100" t="s">
        <v>276</v>
      </c>
      <c r="C7" s="115">
        <f>Normalized_FCF!G8</f>
        <v>632.39999999999986</v>
      </c>
      <c r="D7" t="str">
        <f>Reporting_currency</f>
        <v>USD</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0"/>
      <c r="H7" s="273">
        <v>4</v>
      </c>
      <c r="I7" s="261" t="str">
        <f t="shared" si="0"/>
        <v/>
      </c>
    </row>
    <row r="8" spans="2:9">
      <c r="B8" s="100" t="s">
        <v>66</v>
      </c>
      <c r="C8" s="115">
        <f>Normalized_FCF!G19</f>
        <v>342.23184705776413</v>
      </c>
      <c r="D8" t="str">
        <f>Reporting_currency</f>
        <v>USD</v>
      </c>
      <c r="E8" s="360"/>
      <c r="F8" s="360"/>
      <c r="H8" s="273">
        <v>5</v>
      </c>
      <c r="I8" s="261" t="str">
        <f t="shared" si="0"/>
        <v/>
      </c>
    </row>
    <row r="9" spans="2:9">
      <c r="B9" s="100" t="s">
        <v>57</v>
      </c>
      <c r="C9" s="201">
        <f>Normalized_FCF!C19</f>
        <v>273.66136139832213</v>
      </c>
      <c r="D9" t="str">
        <f>Reporting_currency</f>
        <v>USD</v>
      </c>
      <c r="E9" s="360"/>
      <c r="F9" s="360"/>
      <c r="H9" s="273">
        <v>6</v>
      </c>
      <c r="I9" s="261" t="str">
        <f t="shared" si="0"/>
        <v/>
      </c>
    </row>
    <row r="10" spans="2:9">
      <c r="E10" s="360"/>
      <c r="F10" s="360"/>
      <c r="H10" s="273">
        <v>7</v>
      </c>
      <c r="I10" s="261" t="str">
        <f t="shared" si="0"/>
        <v/>
      </c>
    </row>
    <row r="11" spans="2:9" ht="13.15">
      <c r="B11" s="160" t="s">
        <v>448</v>
      </c>
      <c r="E11" s="360"/>
      <c r="F11" s="360"/>
      <c r="H11" s="273">
        <v>8</v>
      </c>
      <c r="I11" s="261" t="str">
        <f t="shared" si="0"/>
        <v/>
      </c>
    </row>
    <row r="12" spans="2:9">
      <c r="B12" s="119" t="s">
        <v>145</v>
      </c>
      <c r="C12" s="159">
        <f ca="1">(Normalized_FCF!G4/OFFSET(Normalized_FCF!G4, 0, $C$4))^(1/$C$4) - 1</f>
        <v>0.21097145624674352</v>
      </c>
      <c r="D12" s="159"/>
      <c r="E12" s="360"/>
      <c r="F12" s="360"/>
      <c r="H12" s="273">
        <v>9</v>
      </c>
      <c r="I12" s="261" t="str">
        <f t="shared" si="0"/>
        <v/>
      </c>
    </row>
    <row r="13" spans="2:9">
      <c r="B13" s="149" t="s">
        <v>153</v>
      </c>
      <c r="C13" s="159">
        <f ca="1">(Normalized_FCF!G8/OFFSET(Normalized_FCF!G8, 0, $C$4))^(1/$C$4) - 1</f>
        <v>0.77230247224880189</v>
      </c>
      <c r="E13" s="360"/>
      <c r="F13" s="360"/>
      <c r="H13" s="273">
        <v>10</v>
      </c>
      <c r="I13" s="261" t="str">
        <f t="shared" si="0"/>
        <v/>
      </c>
    </row>
    <row r="14" spans="2:9">
      <c r="B14" s="100" t="s">
        <v>66</v>
      </c>
      <c r="C14" s="159">
        <f ca="1">(Normalized_FCF!G19/OFFSET(Normalized_FCF!G19, 0, $C$4))^(1/$C$4) - 1</f>
        <v>-4.7406285234449079</v>
      </c>
      <c r="E14" s="360"/>
      <c r="F14" s="360"/>
    </row>
    <row r="16" spans="2:9" ht="13.9">
      <c r="B16" s="36" t="s">
        <v>163</v>
      </c>
      <c r="C16" s="37"/>
      <c r="D16" s="37"/>
      <c r="E16" s="37"/>
      <c r="F16" s="37"/>
    </row>
    <row r="17" spans="2:6" ht="13.15">
      <c r="B17" s="109" t="s">
        <v>152</v>
      </c>
      <c r="E17" s="160" t="s">
        <v>330</v>
      </c>
    </row>
    <row r="18" spans="2:6">
      <c r="B18" s="153" t="s">
        <v>134</v>
      </c>
      <c r="C18" s="151">
        <v>10</v>
      </c>
      <c r="E18" s="360" t="s">
        <v>331</v>
      </c>
      <c r="F18" s="361"/>
    </row>
    <row r="19" spans="2:6">
      <c r="E19" s="361"/>
      <c r="F19" s="361"/>
    </row>
    <row r="20" spans="2:6" ht="13.15">
      <c r="B20" s="160" t="s">
        <v>304</v>
      </c>
      <c r="E20" s="361"/>
      <c r="F20" s="361"/>
    </row>
    <row r="21" spans="2:6">
      <c r="B21" s="100" t="s">
        <v>278</v>
      </c>
      <c r="C21" s="161">
        <f>Market_Price</f>
        <v>13.98</v>
      </c>
      <c r="D21" t="str">
        <f>Market_currency</f>
        <v>HKD</v>
      </c>
      <c r="E21" s="361"/>
      <c r="F21" s="361"/>
    </row>
    <row r="22" spans="2:6">
      <c r="B22" s="100" t="s">
        <v>279</v>
      </c>
      <c r="C22" s="161">
        <f>IF(valuation_method="DCF",DCF!C12,DDM!C7)</f>
        <v>8.0472633658318138</v>
      </c>
      <c r="D22" t="str">
        <f>Market_currency</f>
        <v>HKD</v>
      </c>
      <c r="E22" s="361"/>
      <c r="F22" s="361"/>
    </row>
    <row r="24" spans="2:6" ht="13.15">
      <c r="B24" s="160" t="s">
        <v>116</v>
      </c>
      <c r="E24" s="160" t="s">
        <v>150</v>
      </c>
      <c r="F24" s="160"/>
    </row>
    <row r="25" spans="2:6">
      <c r="B25" s="153" t="s">
        <v>134</v>
      </c>
      <c r="C25" s="167">
        <f>C18</f>
        <v>10</v>
      </c>
      <c r="D25" s="164"/>
      <c r="E25" s="359"/>
      <c r="F25" s="359"/>
    </row>
    <row r="26" spans="2:6">
      <c r="B26" s="119" t="s">
        <v>135</v>
      </c>
      <c r="C26" s="165">
        <v>0.06</v>
      </c>
      <c r="D26" s="165"/>
      <c r="E26" s="359"/>
      <c r="F26" s="359"/>
    </row>
    <row r="27" spans="2:6">
      <c r="B27" s="100" t="s">
        <v>114</v>
      </c>
      <c r="C27" s="161">
        <f>IF(valuation_method="DCF",DCF!E76,DDM!E71)</f>
        <v>12.180470877473635</v>
      </c>
      <c r="D27" s="161" t="str">
        <f>Market_currency</f>
        <v>HKD</v>
      </c>
      <c r="E27" s="359"/>
      <c r="F27" s="359"/>
    </row>
    <row r="28" spans="2:6">
      <c r="B28" s="100" t="s">
        <v>148</v>
      </c>
      <c r="C28" s="166">
        <v>0.6</v>
      </c>
      <c r="D28" s="166"/>
      <c r="E28" s="359"/>
      <c r="F28" s="359"/>
    </row>
    <row r="30" spans="2:6" ht="13.15">
      <c r="B30" s="160" t="s">
        <v>117</v>
      </c>
      <c r="E30" s="160" t="s">
        <v>150</v>
      </c>
      <c r="F30" s="160"/>
    </row>
    <row r="31" spans="2:6">
      <c r="B31" s="153" t="s">
        <v>134</v>
      </c>
      <c r="C31" s="167">
        <f>C18</f>
        <v>10</v>
      </c>
      <c r="D31" s="164"/>
      <c r="E31" s="359"/>
      <c r="F31" s="359"/>
    </row>
    <row r="32" spans="2:6">
      <c r="B32" s="119" t="s">
        <v>135</v>
      </c>
      <c r="C32" s="165">
        <v>0.02</v>
      </c>
      <c r="D32" s="165"/>
      <c r="E32" s="359"/>
      <c r="F32" s="359"/>
    </row>
    <row r="33" spans="2:6">
      <c r="B33" s="100" t="s">
        <v>114</v>
      </c>
      <c r="C33" s="161">
        <f>IF(valuation_method="DCF",DCF!E77,DDM!E72)</f>
        <v>9.2949577512981847</v>
      </c>
      <c r="D33" t="str">
        <f>Market_currency</f>
        <v>HKD</v>
      </c>
      <c r="E33" s="359"/>
      <c r="F33" s="359"/>
    </row>
    <row r="34" spans="2:6">
      <c r="B34" s="100" t="s">
        <v>148</v>
      </c>
      <c r="C34" s="166">
        <v>0.2</v>
      </c>
      <c r="D34" s="166"/>
      <c r="E34" s="359"/>
      <c r="F34" s="359"/>
    </row>
    <row r="36" spans="2:6" ht="13.15">
      <c r="B36" s="160" t="s">
        <v>115</v>
      </c>
      <c r="E36" s="160" t="s">
        <v>150</v>
      </c>
      <c r="F36" s="160"/>
    </row>
    <row r="37" spans="2:6">
      <c r="B37" s="153" t="s">
        <v>134</v>
      </c>
      <c r="C37" s="167">
        <f>C18</f>
        <v>10</v>
      </c>
      <c r="D37" s="164"/>
      <c r="E37" s="359"/>
      <c r="F37" s="359"/>
    </row>
    <row r="38" spans="2:6">
      <c r="B38" s="119" t="s">
        <v>135</v>
      </c>
      <c r="C38" s="165">
        <v>0.15</v>
      </c>
      <c r="D38" s="165"/>
      <c r="E38" s="359"/>
      <c r="F38" s="359"/>
    </row>
    <row r="39" spans="2:6">
      <c r="B39" s="100" t="s">
        <v>114</v>
      </c>
      <c r="C39" s="161">
        <f>IF(valuation_method="DCF",DCF!E75,DDM!E70)</f>
        <v>21.212088551016876</v>
      </c>
      <c r="D39" t="str">
        <f>Market_currency</f>
        <v>HKD</v>
      </c>
      <c r="E39" s="359"/>
      <c r="F39" s="359"/>
    </row>
    <row r="40" spans="2:6">
      <c r="B40" s="100" t="s">
        <v>148</v>
      </c>
      <c r="C40" s="168">
        <f>1-C28-C34</f>
        <v>0.2</v>
      </c>
      <c r="D40" s="166"/>
      <c r="E40" s="359"/>
      <c r="F40" s="359"/>
    </row>
    <row r="42" spans="2:6" ht="13.15">
      <c r="B42" s="100" t="s">
        <v>121</v>
      </c>
      <c r="C42" s="155">
        <f>C27*C28+C33*C34+C39*C40</f>
        <v>13.409691786947192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9"/>
      <c r="F49" s="359"/>
    </row>
    <row r="50" spans="2:6">
      <c r="B50" s="119" t="s">
        <v>135</v>
      </c>
      <c r="C50" s="165">
        <v>0</v>
      </c>
      <c r="D50" s="165"/>
      <c r="E50" s="359"/>
      <c r="F50" s="359"/>
    </row>
    <row r="51" spans="2:6">
      <c r="B51" s="100" t="s">
        <v>114</v>
      </c>
      <c r="C51" s="161">
        <f>IF(valuation_method="DCF",DCF!E78,DDM!E73)</f>
        <v>8.0472633658318049</v>
      </c>
      <c r="D51" t="str">
        <f>Market_currency</f>
        <v>HKD</v>
      </c>
      <c r="E51" s="359"/>
      <c r="F51" s="359"/>
    </row>
    <row r="52" spans="2:6">
      <c r="B52" s="100" t="s">
        <v>148</v>
      </c>
      <c r="C52" s="166">
        <v>0.05</v>
      </c>
      <c r="D52" s="166"/>
      <c r="E52" s="359"/>
      <c r="F52" s="359"/>
    </row>
    <row r="54" spans="2:6" ht="13.15">
      <c r="B54" s="160" t="s">
        <v>317</v>
      </c>
      <c r="E54" s="160" t="s">
        <v>150</v>
      </c>
      <c r="F54" s="160"/>
    </row>
    <row r="55" spans="2:6">
      <c r="B55" s="153" t="s">
        <v>134</v>
      </c>
      <c r="C55" s="167">
        <f>C46</f>
        <v>15</v>
      </c>
      <c r="D55" s="164"/>
      <c r="E55" s="359"/>
      <c r="F55" s="359"/>
    </row>
    <row r="56" spans="2:6">
      <c r="B56" s="119" t="s">
        <v>135</v>
      </c>
      <c r="C56" s="165">
        <v>0.25</v>
      </c>
      <c r="D56" s="165"/>
      <c r="E56" s="359"/>
      <c r="F56" s="359"/>
    </row>
    <row r="57" spans="2:6">
      <c r="B57" s="100" t="s">
        <v>114</v>
      </c>
      <c r="C57" s="161">
        <f>IF(valuation_method="DCF",DCF!E74,DDM!E69)</f>
        <v>86.824823510108047</v>
      </c>
      <c r="D57" t="str">
        <f>Market_currency</f>
        <v>HKD</v>
      </c>
      <c r="E57" s="359"/>
      <c r="F57" s="359"/>
    </row>
    <row r="58" spans="2:6">
      <c r="B58" s="100" t="s">
        <v>148</v>
      </c>
      <c r="C58" s="166">
        <v>0.05</v>
      </c>
      <c r="D58" s="166"/>
      <c r="E58" s="359"/>
      <c r="F58" s="359"/>
    </row>
    <row r="60" spans="2:6" ht="13.15">
      <c r="B60" s="100" t="s">
        <v>121</v>
      </c>
      <c r="C60" s="155">
        <f>C51*C52+C57*C58+C42*(1-C52-C58)</f>
        <v>16.812326952049464</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10</v>
      </c>
      <c r="D64" s="151"/>
      <c r="E64" s="277" t="s">
        <v>396</v>
      </c>
    </row>
    <row r="65" spans="2:6">
      <c r="B65" s="119" t="s">
        <v>135</v>
      </c>
      <c r="C65" s="152">
        <v>0.111211776070739</v>
      </c>
      <c r="D65" s="152"/>
      <c r="E65" s="277" t="s">
        <v>313</v>
      </c>
    </row>
    <row r="66" spans="2:6">
      <c r="B66" s="100" t="s">
        <v>103</v>
      </c>
      <c r="C66" s="161">
        <f>IF(valuation_method="DCF",DCF!C18,DDM!C13)</f>
        <v>16.812669153025286</v>
      </c>
      <c r="D66" s="161" t="str">
        <f>Market_currency</f>
        <v>HKD</v>
      </c>
      <c r="E66" s="277" t="s">
        <v>314</v>
      </c>
    </row>
    <row r="68" spans="2:6" ht="13.15">
      <c r="B68" s="109" t="s">
        <v>351</v>
      </c>
      <c r="E68" s="278" t="s">
        <v>315</v>
      </c>
    </row>
    <row r="69" spans="2:6">
      <c r="B69" s="100" t="s">
        <v>306</v>
      </c>
      <c r="C69" s="270" t="str">
        <f>IF(C60&lt;C22,"Y","N")</f>
        <v>N</v>
      </c>
      <c r="E69" s="135"/>
    </row>
    <row r="70" spans="2:6">
      <c r="B70" s="100" t="s">
        <v>294</v>
      </c>
      <c r="C70" s="270" t="str">
        <f>IF(C69="Y","N",IF(C65&gt;8%,"N","Y"))</f>
        <v>N</v>
      </c>
      <c r="E70" s="277" t="s">
        <v>295</v>
      </c>
    </row>
    <row r="71" spans="2:6">
      <c r="B71" s="100" t="s">
        <v>293</v>
      </c>
      <c r="C71" s="270" t="str">
        <f>IF(C65&gt;8%,"Y","N")</f>
        <v>Y</v>
      </c>
      <c r="E71" s="277"/>
    </row>
    <row r="72" spans="2:6">
      <c r="B72" s="100" t="s">
        <v>285</v>
      </c>
      <c r="C72" s="269" t="str">
        <f>IF(F72&gt;50%,"Y","N")</f>
        <v>N</v>
      </c>
      <c r="E72" s="135" t="s">
        <v>347</v>
      </c>
      <c r="F72" s="323">
        <f>BS!D89/C60</f>
        <v>-0.67086512189186143</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0.83920211999999994</v>
      </c>
      <c r="D77" t="str">
        <f>Market_currency</f>
        <v>HKD</v>
      </c>
    </row>
    <row r="79" spans="2:6" ht="13.15">
      <c r="B79" s="109" t="s">
        <v>302</v>
      </c>
    </row>
    <row r="80" spans="2:6">
      <c r="B80" s="149" t="s">
        <v>300</v>
      </c>
      <c r="C80" s="168">
        <f>Thesis!F29</f>
        <v>0.4</v>
      </c>
    </row>
    <row r="81" spans="2:8">
      <c r="B81" s="100" t="s">
        <v>122</v>
      </c>
      <c r="C81" s="117">
        <f>PV(C80, C76, -C77, 0)</f>
        <v>1.3334261090379005</v>
      </c>
      <c r="D81" s="117"/>
      <c r="E81" s="100"/>
      <c r="F81" s="100"/>
    </row>
    <row r="82" spans="2:8">
      <c r="B82" s="100" t="s">
        <v>123</v>
      </c>
      <c r="C82" s="117">
        <f>C60/(1+C80)^C76</f>
        <v>6.1269413090559288</v>
      </c>
      <c r="D82" s="117"/>
    </row>
    <row r="83" spans="2:8" ht="13.15">
      <c r="B83" s="111" t="s">
        <v>102</v>
      </c>
      <c r="C83" s="112">
        <f>C81+C82</f>
        <v>7.4603674180938295</v>
      </c>
      <c r="D83" t="str">
        <f>Market_currency</f>
        <v>HKD</v>
      </c>
      <c r="E83" s="147" t="s">
        <v>127</v>
      </c>
      <c r="F83" s="323">
        <f>(1-C83/C60)</f>
        <v>0.55625610664296576</v>
      </c>
    </row>
    <row r="84" spans="2:8">
      <c r="E84" s="121"/>
    </row>
    <row r="85" spans="2:8" ht="13.15">
      <c r="B85" s="109" t="s">
        <v>303</v>
      </c>
    </row>
    <row r="86" spans="2:8">
      <c r="B86" s="149" t="s">
        <v>301</v>
      </c>
      <c r="C86" s="263">
        <f>Market_Price</f>
        <v>13.98</v>
      </c>
      <c r="D86" t="str">
        <f>Market_currency</f>
        <v>HKD</v>
      </c>
    </row>
    <row r="87" spans="2:8" ht="13.15">
      <c r="B87" s="100" t="s">
        <v>299</v>
      </c>
      <c r="C87" s="262">
        <f ca="1">IRR(OFFSET($I$3, 0, 0, $C$76 + 1, 1))</f>
        <v>0.12006488109359492</v>
      </c>
    </row>
    <row r="88" spans="2:8">
      <c r="B88" s="100"/>
    </row>
    <row r="89" spans="2:8" ht="13.15">
      <c r="B89" s="109" t="s">
        <v>414</v>
      </c>
    </row>
    <row r="90" spans="2:8">
      <c r="B90" s="149" t="s">
        <v>415</v>
      </c>
      <c r="C90" s="168">
        <f>Thesis!F30</f>
        <v>0.21740000000000001</v>
      </c>
    </row>
    <row r="91" spans="2:8">
      <c r="B91" s="100" t="s">
        <v>122</v>
      </c>
      <c r="C91" s="117">
        <f>PV(C90, C76, -C77, 0)</f>
        <v>1.7207007182372014</v>
      </c>
      <c r="D91" s="117"/>
      <c r="E91" s="100"/>
      <c r="F91" s="100"/>
    </row>
    <row r="92" spans="2:8">
      <c r="B92" s="100" t="s">
        <v>123</v>
      </c>
      <c r="C92" s="117">
        <f>C60/(1+C90)^C76</f>
        <v>9.3181121881515843</v>
      </c>
      <c r="D92" s="117"/>
    </row>
    <row r="93" spans="2:8" ht="13.15">
      <c r="B93" s="111" t="s">
        <v>102</v>
      </c>
      <c r="C93" s="112">
        <f>C91+C92</f>
        <v>11.038812906388786</v>
      </c>
      <c r="D93" t="str">
        <f>Market_currency</f>
        <v>HKD</v>
      </c>
      <c r="E93" s="147" t="s">
        <v>127</v>
      </c>
      <c r="F93" s="323">
        <f>(1-C93/C60)</f>
        <v>0.34340957454178422</v>
      </c>
    </row>
    <row r="95" spans="2:8" ht="13.15">
      <c r="B95" s="109" t="s">
        <v>398</v>
      </c>
      <c r="G95" s="2"/>
      <c r="H95" s="310"/>
    </row>
    <row r="96" spans="2:8">
      <c r="B96" s="149" t="s">
        <v>404</v>
      </c>
      <c r="C96" s="135">
        <f>Thesis!F31</f>
        <v>0.08</v>
      </c>
      <c r="G96" s="2"/>
      <c r="H96" s="310"/>
    </row>
    <row r="97" spans="2:8">
      <c r="B97" s="100" t="s">
        <v>122</v>
      </c>
      <c r="C97" s="117">
        <f>PV(C96, C76, -C77, 0)</f>
        <v>2.1627052551440338</v>
      </c>
      <c r="D97" s="117"/>
      <c r="G97" s="2"/>
      <c r="H97" s="310"/>
    </row>
    <row r="98" spans="2:8">
      <c r="B98" s="100" t="s">
        <v>123</v>
      </c>
      <c r="C98" s="117">
        <f>C60/(1+C96)^C76</f>
        <v>13.346167181109223</v>
      </c>
      <c r="D98" s="117"/>
      <c r="G98" s="2"/>
      <c r="H98" s="310"/>
    </row>
    <row r="99" spans="2:8" ht="13.15">
      <c r="B99" s="111" t="s">
        <v>399</v>
      </c>
      <c r="C99" s="112">
        <f>C97+C98</f>
        <v>15.508872436253256</v>
      </c>
      <c r="D99" t="s">
        <v>397</v>
      </c>
      <c r="E99" s="147" t="s">
        <v>127</v>
      </c>
      <c r="F99" s="323">
        <f>(1-C99/C60)</f>
        <v>7.7529691131620115E-2</v>
      </c>
    </row>
    <row r="100" spans="2:8">
      <c r="B100" s="100"/>
    </row>
    <row r="101" spans="2:8" ht="13.15">
      <c r="B101" s="109" t="s">
        <v>423</v>
      </c>
    </row>
    <row r="102" spans="2:8">
      <c r="B102" s="149" t="s">
        <v>422</v>
      </c>
      <c r="C102" s="135">
        <f>Thesis!F32</f>
        <v>0.1174</v>
      </c>
    </row>
    <row r="103" spans="2:8">
      <c r="B103" s="100" t="s">
        <v>122</v>
      </c>
      <c r="C103" s="117">
        <f>PV(C102, C76, -C77, 0)</f>
        <v>2.024661658006341</v>
      </c>
      <c r="D103" s="117"/>
    </row>
    <row r="104" spans="2:8">
      <c r="B104" s="100" t="s">
        <v>123</v>
      </c>
      <c r="C104" s="117">
        <f>C60/(1+C102)^C76</f>
        <v>12.050410073644333</v>
      </c>
      <c r="D104" s="117"/>
    </row>
    <row r="105" spans="2:8" ht="13.15">
      <c r="B105" s="111" t="s">
        <v>399</v>
      </c>
      <c r="C105" s="112">
        <f>C103+C104</f>
        <v>14.075071731650674</v>
      </c>
      <c r="D105" t="s">
        <v>397</v>
      </c>
      <c r="E105" s="147" t="s">
        <v>127</v>
      </c>
      <c r="F105" s="323">
        <f>(1-C105/C66)</f>
        <v>0.16282943513951242</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