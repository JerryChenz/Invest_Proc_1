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422E268-3834-4D65-AC17-045E7237BB5F}"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E69" i="4"/>
  <c r="F70" i="4"/>
  <c r="D70" i="4"/>
  <c r="F69"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<sst xmlns="http://schemas.openxmlformats.org/spreadsheetml/2006/main" count="589" uniqueCount="416">
  <si>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</si>
  <si>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</si>
  <si>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</si>
  <si>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</si>
  <si>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</si>
  <si>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</si>
  <si>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</si>
  <si>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</si>
  <si>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</si>
  <si>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</si>
  <si>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</si>
  <si>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</si>
  <si>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</si>
  <si>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</si>
  <si>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</si>
  <si>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</si>
  <si>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</si>
  <si>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</si>
  <si>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</si>
  <si>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</si>
  <si>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</si>
  <si>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</si>
  <si>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</si>
  <si>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</si>
  <si>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</si>
  <si>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</si>
  <si>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</si>
  <si>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</si>
  <si>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</si>
  <si>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</si>
  <si>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</si>
  <si>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</si>
  <si>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</si>
  <si>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</si>
  <si>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</si>
  <si>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</si>
  <si>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</si>
  <si>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</si>
  <si>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</si>
  <si>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</si>
  <si>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</si>
  <si>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</si>
  <si>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</si>
  <si>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</si>
  <si>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</si>
  <si>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</si>
  <si>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</si>
  <si>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</si>
  <si>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</si>
  <si>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</si>
  <si>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</si>
  <si>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</si>
  <si>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</si>
  <si>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</si>
  <si>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</si>
  <si>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</si>
  <si>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</si>
  <si>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</si>
  <si>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</si>
  <si>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</si>
  <si>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</si>
  <si>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</si>
  <si>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</si>
  <si>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</si>
  <si>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</si>
  <si>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</si>
  <si>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</si>
  <si>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</si>
  <si>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</si>
  <si>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</si>
  <si>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</si>
  <si>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</si>
  <si>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</si>
  <si>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</si>
  <si>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</si>
  <si>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</si>
  <si>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</si>
  <si>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</si>
  <si>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</si>
  <si>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</si>
  <si>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</si>
  <si>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</si>
  <si>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</si>
  <si>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</si>
  <si>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</si>
  <si>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</si>
  <si>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</si>
  <si>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</si>
  <si>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</si>
  <si>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</si>
  <si>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</si>
  <si>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</si>
  <si>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</si>
  <si>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</si>
  <si>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</si>
  <si>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</si>
  <si>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</si>
  <si>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</si>
  <si>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</si>
  <si>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</si>
  <si>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</si>
  <si>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</si>
  <si>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</si>
  <si>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</si>
  <si>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</si>
  <si>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</si>
  <si>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</si>
  <si>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</si>
  <si>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</si>
  <si>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</si>
  <si>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</si>
  <si>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</si>
  <si>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</si>
  <si>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</si>
  <si>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</si>
  <si>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</si>
  <si>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</si>
  <si>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</si>
  <si>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</si>
  <si>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</si>
  <si>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</si>
  <si>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</si>
  <si>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</si>
  <si>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</si>
  <si>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</si>
  <si>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</si>
  <si>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</si>
  <si>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</si>
  <si>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</si>
  <si>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</si>
  <si>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</si>
  <si>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</si>
  <si>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</si>
  <si>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</si>
  <si>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</si>
  <si>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</si>
  <si>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</si>
  <si>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</si>
  <si>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</si>
  <si>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</si>
  <si>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</si>
  <si>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</si>
  <si>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</si>
  <si>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</si>
  <si>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</si>
  <si>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</si>
  <si>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</si>
  <si>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</si>
  <si>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</si>
  <si>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</si>
  <si>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</si>
  <si>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</si>
  <si>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</si>
  <si>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</si>
  <si>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</si>
  <si>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</si>
  <si>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</si>
  <si>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</si>
  <si>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</si>
  <si>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</si>
  <si>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</si>
  <si>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</si>
  <si>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</si>
  <si>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</si>
  <si>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</si>
  <si>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</si>
  <si>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</si>
  <si>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</si>
  <si>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</si>
  <si>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</si>
  <si>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</si>
  <si>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</si>
  <si>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</si>
  <si>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</si>
  <si>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</si>
  <si>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</si>
  <si>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</si>
  <si>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</si>
  <si>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</si>
  <si>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</si>
  <si>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</si>
  <si>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</si>
  <si>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</si>
  <si>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</si>
  <si>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</si>
  <si>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</si>
  <si>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</si>
  <si>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</si>
  <si>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</si>
  <si>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</si>
  <si>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</si>
  <si>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</si>
  <si>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</si>
  <si>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</si>
  <si>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</si>
  <si>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</si>
  <si>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</si>
  <si>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</si>
  <si>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</si>
  <si>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</si>
  <si>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</si>
  <si>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</si>
  <si>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</si>
  <si>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</si>
  <si>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</si>
  <si>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</si>
  <si>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</si>
  <si>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</si>
  <si>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</si>
  <si>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</si>
  <si>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</si>
  <si>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</si>
  <si>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</si>
  <si>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</si>
  <si>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</si>
  <si>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</si>
  <si>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</si>
  <si>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</si>
  <si>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</si>
  <si>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</si>
  <si>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</si>
  <si>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</si>
  <si>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</si>
  <si>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</si>
  <si>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</si>
  <si>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</si>
  <si>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</si>
  <si>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</si>
  <si>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</si>
  <si>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</si>
  <si>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</si>
  <si>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</si>
  <si>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</si>
  <si>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</si>
  <si>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</si>
  <si>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</si>
  <si>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</si>
  <si>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</si>
  <si>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</si>
  <si>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</si>
  <si>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</si>
  <si>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</si>
  <si>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</si>
  <si>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</si>
  <si>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</si>
  <si>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</si>
  <si>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</si>
  <si>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</si>
  <si>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</si>
  <si>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</si>
  <si>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</si>
  <si>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</si>
  <si>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</si>
  <si>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</si>
  <si>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</si>
  <si>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</si>
  <si>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</si>
  <si>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</si>
  <si>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</si>
  <si>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</si>
  <si>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</si>
  <si>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</si>
  <si>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</si>
  <si>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</si>
  <si>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</si>
  <si>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</si>
  <si>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</si>
  <si>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</si>
  <si>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</si>
  <si>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</si>
  <si>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</si>
  <si>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</si>
  <si>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</si>
  <si>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</si>
  <si>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</si>
  <si>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</si>
  <si>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</si>
  <si>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</si>
  <si>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</si>
  <si>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</si>
  <si>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</si>
  <si>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</si>
  <si>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</si>
  <si>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</si>
  <si>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</si>
  <si>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</si>
  <si>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</si>
  <si>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</si>
  <si>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</si>
  <si>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</si>
  <si>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</si>
  <si>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</si>
  <si>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</si>
  <si>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</si>
  <si>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</si>
  <si>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</si>
  <si>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</si>
  <si>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</si>
  <si>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</si>
  <si>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</si>
  <si>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</si>
  <si>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</si>
  <si>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</si>
  <si>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</si>
  <si>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</si>
  <si>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</si>
  <si>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</si>
  <si>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</si>
  <si>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</si>
  <si>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</si>
  <si>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</si>
  <si>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</si>
  <si>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</si>
  <si>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</si>
  <si>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</si>
  <si>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</si>
  <si>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</si>
  <si>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</si>
  <si>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</si>
  <si>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</si>
  <si>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</si>
  <si>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</si>
  <si>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</si>
  <si>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</si>
  <si>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</si>
  <si>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</si>
  <si>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</si>
  <si>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</si>
  <si>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</si>
  <si>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</si>
  <si>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</si>
  <si>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</si>
  <si>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</si>
  <si>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</si>
  <si>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</si>
  <si>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</si>
  <si>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</si>
  <si>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</si>
  <si>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</si>
  <si>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</si>
  <si>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</si>
  <si>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</si>
  <si>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</si>
  <si>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</si>
  <si>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</si>
  <si>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</si>
  <si>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</si>
  <si>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</si>
  <si>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</si>
  <si>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</si>
  <si>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</si>
  <si>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</si>
  <si>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</si>
  <si>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</si>
  <si>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</si>
  <si>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</si>
  <si>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</si>
  <si>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</si>
  <si>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</si>
  <si>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</si>
  <si>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</si>
  <si>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</si>
  <si>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</si>
  <si>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</si>
  <si>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</si>
  <si>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</si>
  <si>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</si>
  <si>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</si>
  <si>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</si>
  <si>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</si>
  <si>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</si>
  <si>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</si>
  <si>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</si>
  <si>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</si>
  <si>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</si>
  <si>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</si>
  <si>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</si>
  <si>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</si>
  <si>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</si>
  <si>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</si>
  <si>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</si>
  <si>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</si>
  <si>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</si>
  <si>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</si>
  <si>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</si>
  <si>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</si>
  <si>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</si>
  <si>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</si>
  <si>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</si>
  <si>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</si>
  <si>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</si>
  <si>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</si>
  <si>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</si>
  <si>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</si>
  <si>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</si>
  <si>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</si>
  <si>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</si>
  <si>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</si>
  <si>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</si>
  <si>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</si>
  <si>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</si>
  <si>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</si>
  <si>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</si>
  <si>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</si>
  <si>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</si>
  <si>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</si>
  <si>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</si>
  <si>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</si>
  <si>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</si>
  <si>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</si>
  <si>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</si>
  <si>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新秀麗</t>
    <phoneticPr fontId="2" type="noConversion"/>
  </si>
  <si>
    <t>1910.HK</t>
    <phoneticPr fontId="2" type="noConversion"/>
  </si>
  <si>
    <t>USD</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</si>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</sst>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7" sqref="C17"/>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333</v>
      </c>
    </row>
    <row r="2" spans="1:10" ht="13.9" x14ac:dyDescent="0.45">
      <c r="A2" s="247" t="s">
        <v>270</v>
      </c>
      <c r="B2" s="36"/>
      <c r="C2" s="36"/>
      <c r="D2" s="36"/>
      <c r="E2" s="36"/>
      <c r="F2" s="36"/>
      <c r="G2" s="22"/>
      <c r="H2" s="22"/>
      <c r="I2" s="22"/>
      <c r="J2" s="22"/>
    </row>
    <row r="4" spans="1:10" x14ac:dyDescent="0.35">
      <c r="B4" s="45" t="str">
        <f>D5&amp;" Stock Information"</f>
        <v>1910.HK Stock Information</v>
      </c>
      <c r="C4" s="46"/>
      <c r="D4" s="5"/>
      <c r="E4" s="2"/>
      <c r="F4" s="2"/>
    </row>
    <row r="5" spans="1:10" ht="12.4" x14ac:dyDescent="0.4">
      <c r="B5" s="4" t="s">
        <v>327</v>
      </c>
      <c r="C5" s="333" t="s">
        <v>411</v>
      </c>
      <c r="D5" s="49" t="s">
        <v>412</v>
      </c>
    </row>
    <row r="6" spans="1:10" x14ac:dyDescent="0.35">
      <c r="B6" s="4" t="s">
        <v>96</v>
      </c>
      <c r="C6" s="50">
        <v>14.58</v>
      </c>
      <c r="D6" s="48" t="s">
        <v>41</v>
      </c>
      <c r="E6" s="48"/>
    </row>
    <row r="7" spans="1:10" x14ac:dyDescent="0.35">
      <c r="B7" s="4" t="s">
        <v>0</v>
      </c>
      <c r="C7" s="51">
        <v>1383064083</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20165.07433014</v>
      </c>
      <c r="D10" s="32"/>
      <c r="E10" s="5"/>
    </row>
    <row r="11" spans="1:10" x14ac:dyDescent="0.35">
      <c r="D11" s="5"/>
      <c r="E11" s="5"/>
    </row>
    <row r="12" spans="1:10" ht="24.4" customHeight="1" x14ac:dyDescent="0.35">
      <c r="B12" s="338" t="s">
        <v>375</v>
      </c>
      <c r="C12" s="338"/>
      <c r="D12" s="338"/>
      <c r="E12" s="338"/>
      <c r="F12" s="338"/>
    </row>
    <row r="14" spans="1:10" x14ac:dyDescent="0.35">
      <c r="B14" s="45" t="s">
        <v>316</v>
      </c>
      <c r="C14" s="46"/>
      <c r="D14" s="5"/>
    </row>
    <row r="15" spans="1:10" x14ac:dyDescent="0.35">
      <c r="B15" s="2" t="s">
        <v>361</v>
      </c>
      <c r="C15" s="32" t="str">
        <f>IF(Scenarios!C69="Y",Scenarios!B69,"")&amp;IF(Scenarios!C70="Y",Scenarios!B70,"")&amp;IF(Scenarios!C71="Y",Scenarios!B71,"")&amp;" "&amp;IF(Scenarios!C72="Y",Scenarios!B72,"")</f>
        <v xml:space="preserve">High Growth </v>
      </c>
      <c r="E15" s="5"/>
    </row>
    <row r="16" spans="1:10" x14ac:dyDescent="0.35">
      <c r="B16" s="4" t="s">
        <v>360</v>
      </c>
      <c r="C16" s="48" t="s">
        <v>413</v>
      </c>
      <c r="D16" s="32"/>
      <c r="E16" s="5"/>
    </row>
    <row r="17" spans="1:6" x14ac:dyDescent="0.35">
      <c r="B17" s="4" t="s">
        <v>1</v>
      </c>
      <c r="C17" s="50">
        <v>7.7605000000000004</v>
      </c>
      <c r="D17" s="32" t="str">
        <f>IF(C16=D6,D6,C16&amp;"/"&amp;D6)</f>
        <v>USD/HKD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10.177519059641918</v>
      </c>
      <c r="D20" s="1" t="s">
        <v>318</v>
      </c>
      <c r="E20" s="330">
        <v>3</v>
      </c>
    </row>
    <row r="21" spans="1:6" x14ac:dyDescent="0.35">
      <c r="B21" s="1" t="s">
        <v>374</v>
      </c>
      <c r="C21" s="280">
        <f ca="1">Scenarios!C87</f>
        <v>0.1010567723303204</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553.11898834421322</v>
      </c>
      <c r="D30" s="1" t="str">
        <f>Reporting_currency</f>
        <v>USD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39" t="s">
        <v>238</v>
      </c>
      <c r="C36" s="339"/>
      <c r="D36" s="339"/>
      <c r="E36" s="339"/>
      <c r="F36" s="339"/>
    </row>
    <row r="37" spans="2:6" x14ac:dyDescent="0.35">
      <c r="B37" s="47" t="s">
        <v>239</v>
      </c>
      <c r="C37" s="188">
        <f>Normalized_FCF!C11</f>
        <v>0</v>
      </c>
      <c r="D37" s="1" t="str">
        <f>Reporting_currency</f>
        <v>USD</v>
      </c>
    </row>
    <row r="39" spans="2:6" x14ac:dyDescent="0.35">
      <c r="B39" s="339" t="s">
        <v>242</v>
      </c>
      <c r="C39" s="339"/>
      <c r="D39" s="339"/>
      <c r="E39" s="339"/>
      <c r="F39" s="339"/>
    </row>
    <row r="40" spans="2:6" x14ac:dyDescent="0.35">
      <c r="B40" s="47" t="s">
        <v>353</v>
      </c>
      <c r="C40" s="322">
        <f>Normalized_FCF!C48</f>
        <v>7.0185794669646606</v>
      </c>
      <c r="D40" s="1" t="str">
        <f>Reporting_currency</f>
        <v>USD</v>
      </c>
      <c r="E40" s="321"/>
      <c r="F40" s="321"/>
    </row>
    <row r="41" spans="2:6" x14ac:dyDescent="0.35">
      <c r="B41" s="47" t="s">
        <v>354</v>
      </c>
      <c r="C41" s="322">
        <f>Normalized_FCF!C47</f>
        <v>-152</v>
      </c>
      <c r="D41" s="1" t="str">
        <f>Reporting_currency</f>
        <v>USD</v>
      </c>
      <c r="E41" s="321"/>
      <c r="F41" s="321"/>
    </row>
    <row r="42" spans="2:6" x14ac:dyDescent="0.35">
      <c r="B42" s="47" t="s">
        <v>240</v>
      </c>
      <c r="C42" s="188">
        <f>Normalized_FCF!C12</f>
        <v>-144.98142053303533</v>
      </c>
      <c r="D42" s="1" t="str">
        <f>Reporting_currency</f>
        <v>USD</v>
      </c>
    </row>
    <row r="44" spans="2:6" x14ac:dyDescent="0.35">
      <c r="B44" s="1" t="s">
        <v>248</v>
      </c>
    </row>
    <row r="45" spans="2:6" x14ac:dyDescent="0.35">
      <c r="B45" s="47" t="s">
        <v>268</v>
      </c>
      <c r="C45" s="188">
        <f>Normalized_FCF!C15</f>
        <v>-32.451765153160977</v>
      </c>
      <c r="D45" s="1" t="str">
        <f>Reporting_currency</f>
        <v>USD</v>
      </c>
    </row>
    <row r="47" spans="2:6" x14ac:dyDescent="0.35">
      <c r="B47" s="339" t="s">
        <v>243</v>
      </c>
      <c r="C47" s="339"/>
      <c r="D47" s="339"/>
      <c r="E47" s="339"/>
      <c r="F47" s="339"/>
    </row>
    <row r="48" spans="2:6" x14ac:dyDescent="0.35">
      <c r="B48" s="47" t="s">
        <v>241</v>
      </c>
      <c r="C48" s="188">
        <f>Normalized_FCF!C14</f>
        <v>-102.03439195279446</v>
      </c>
      <c r="D48" s="1" t="str">
        <f>Reporting_currency</f>
        <v>USD</v>
      </c>
    </row>
    <row r="50" spans="1:6" x14ac:dyDescent="0.35">
      <c r="B50" s="339" t="s">
        <v>351</v>
      </c>
      <c r="C50" s="340"/>
      <c r="D50" s="340"/>
      <c r="E50" s="340"/>
      <c r="F50" s="340"/>
    </row>
    <row r="51" spans="1:6" x14ac:dyDescent="0.35">
      <c r="B51" s="47" t="s">
        <v>244</v>
      </c>
      <c r="C51" s="1">
        <f>Normalized_FCF!C17</f>
        <v>0</v>
      </c>
      <c r="D51" s="1" t="str">
        <f>Reporting_currency</f>
        <v>USD</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342.21857946696451</v>
      </c>
      <c r="D56" s="1" t="str">
        <f>Reporting_currency</f>
        <v>USD</v>
      </c>
    </row>
    <row r="57" spans="1:6" x14ac:dyDescent="0.35">
      <c r="B57" s="47" t="s">
        <v>250</v>
      </c>
      <c r="C57" s="188">
        <f>Normalized_FCF!C19</f>
        <v>273.65141070522242</v>
      </c>
      <c r="D57" s="1" t="str">
        <f>Reporting_currency</f>
        <v>USD</v>
      </c>
    </row>
    <row r="58" spans="1:6" x14ac:dyDescent="0.35">
      <c r="B58" s="254" t="s">
        <v>406</v>
      </c>
      <c r="C58" s="92">
        <f>Normalized_FCF!C125</f>
        <v>0.10531435381835931</v>
      </c>
    </row>
    <row r="59" spans="1:6" x14ac:dyDescent="0.35">
      <c r="B59" s="254" t="s">
        <v>319</v>
      </c>
      <c r="C59" s="92">
        <f>Normalized_FCF!C93</f>
        <v>5.7165823045267489E-2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291</v>
      </c>
      <c r="C67" s="311">
        <v>0.08</v>
      </c>
    </row>
    <row r="68" spans="1:6" x14ac:dyDescent="0.35">
      <c r="B68" s="1" t="s">
        <v>293</v>
      </c>
      <c r="C68" s="263">
        <f>IF(D68="Y",1%,0)</f>
        <v>0</v>
      </c>
      <c r="D68" s="286" t="s">
        <v>333</v>
      </c>
    </row>
    <row r="69" spans="1:6" x14ac:dyDescent="0.35">
      <c r="B69" s="1" t="s">
        <v>292</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19.19354098339598</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2323</v>
      </c>
      <c r="D86" s="1" t="str">
        <f>Reporting_currency</f>
        <v>USD</v>
      </c>
    </row>
    <row r="87" spans="2:6" x14ac:dyDescent="0.35">
      <c r="B87" s="47" t="s">
        <v>288</v>
      </c>
      <c r="C87" s="248">
        <f>C86*C28*Exchange_Rate/Common_Shares</f>
        <v>13.034567032422894</v>
      </c>
      <c r="D87" s="1" t="str">
        <f>Market_currency</f>
        <v>HKD</v>
      </c>
    </row>
    <row r="89" spans="2:6" x14ac:dyDescent="0.35">
      <c r="B89" s="1" t="s">
        <v>256</v>
      </c>
    </row>
    <row r="90" spans="2:6" x14ac:dyDescent="0.35">
      <c r="B90" s="47" t="s">
        <v>267</v>
      </c>
      <c r="C90" s="188">
        <f>BS!C66</f>
        <v>676.3</v>
      </c>
      <c r="D90" s="1" t="str">
        <f>Reporting_currency</f>
        <v>USD</v>
      </c>
    </row>
    <row r="91" spans="2:6" x14ac:dyDescent="0.35">
      <c r="B91" s="47" t="s">
        <v>269</v>
      </c>
      <c r="C91" s="188">
        <f>Valuation_Model!C8</f>
        <v>327.28049312439703</v>
      </c>
      <c r="D91" s="1" t="str">
        <f>Reporting_currency</f>
        <v>USD</v>
      </c>
    </row>
    <row r="92" spans="2:6" x14ac:dyDescent="0.35">
      <c r="B92" s="47" t="s">
        <v>289</v>
      </c>
      <c r="C92" s="248">
        <f>C91*C28*Exchange_Rate/Common_Shares</f>
        <v>1.8364010013062304</v>
      </c>
      <c r="D92" s="1" t="str">
        <f>Market_currency</f>
        <v>HKD</v>
      </c>
    </row>
    <row r="94" spans="2:6" x14ac:dyDescent="0.35">
      <c r="B94" s="1" t="s">
        <v>258</v>
      </c>
    </row>
    <row r="95" spans="2:6" x14ac:dyDescent="0.35">
      <c r="B95" s="47" t="s">
        <v>259</v>
      </c>
      <c r="C95" s="188">
        <f>Valuation_Model!C9</f>
        <v>0</v>
      </c>
      <c r="D95" s="1" t="str">
        <f>Reporting_currency</f>
        <v>USD</v>
      </c>
    </row>
    <row r="96" spans="2:6" x14ac:dyDescent="0.35">
      <c r="B96" s="47" t="s">
        <v>290</v>
      </c>
      <c r="C96" s="248">
        <f>C95*C28*Exchange_Rate/Common_Shares</f>
        <v>0</v>
      </c>
      <c r="D96" s="1" t="str">
        <f>Market_currency</f>
        <v>HKD</v>
      </c>
    </row>
    <row r="98" spans="1:6" ht="24.4" customHeight="1" x14ac:dyDescent="0.35">
      <c r="B98" s="338" t="s">
        <v>382</v>
      </c>
      <c r="C98" s="338"/>
      <c r="D98" s="338"/>
      <c r="E98" s="338"/>
      <c r="F98" s="338"/>
    </row>
    <row r="100" spans="1:6" x14ac:dyDescent="0.35">
      <c r="B100" s="47" t="s">
        <v>286</v>
      </c>
      <c r="C100" s="248">
        <f>Valuation_Model!C12</f>
        <v>7.9953749522793185</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0.25</v>
      </c>
      <c r="D107" s="257">
        <f>Valuation_Model!D74</f>
        <v>15</v>
      </c>
      <c r="E107" s="258" t="str">
        <f>ROUND(Valuation_Model!E74,2)&amp;" "&amp;Market_currency</f>
        <v>86.23 HKD</v>
      </c>
      <c r="F107" s="259">
        <f>Valuation_Model!F74</f>
        <v>0.05</v>
      </c>
    </row>
    <row r="108" spans="1:6" x14ac:dyDescent="0.35">
      <c r="B108" s="242" t="str">
        <f>Valuation_Model!B75</f>
        <v>Optimistic</v>
      </c>
      <c r="C108" s="243">
        <f>Valuation_Model!C75</f>
        <v>0.15</v>
      </c>
      <c r="D108" s="244">
        <f>Valuation_Model!D75</f>
        <v>10</v>
      </c>
      <c r="E108" s="245" t="str">
        <f>ROUND(Valuation_Model!E75,2)&amp;" "&amp;Market_currency</f>
        <v>21.07 HKD</v>
      </c>
      <c r="F108" s="246">
        <f>Valuation_Model!F75</f>
        <v>0.18</v>
      </c>
    </row>
    <row r="109" spans="1:6" x14ac:dyDescent="0.35">
      <c r="B109" s="242" t="str">
        <f>Valuation_Model!B76</f>
        <v>Base</v>
      </c>
      <c r="C109" s="243">
        <f>Valuation_Model!C76</f>
        <v>0.06</v>
      </c>
      <c r="D109" s="244">
        <f>Valuation_Model!D76</f>
        <v>10</v>
      </c>
      <c r="E109" s="245" t="str">
        <f>ROUND(Valuation_Model!E76,2)&amp;" "&amp;Market_currency</f>
        <v>12.1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9.23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8 HKD</v>
      </c>
      <c r="F111" s="246">
        <f>Valuation_Model!F78</f>
        <v>0.05</v>
      </c>
    </row>
    <row r="113" spans="1:6" x14ac:dyDescent="0.35">
      <c r="B113" s="235" t="s">
        <v>260</v>
      </c>
      <c r="C113" s="241">
        <f>Scenarios!C60</f>
        <v>16.70033318211312</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0.83347769999999999</v>
      </c>
      <c r="D124" s="236" t="str">
        <f>Market_currency</f>
        <v>HKD</v>
      </c>
    </row>
    <row r="126" spans="1:6" x14ac:dyDescent="0.35">
      <c r="B126" s="234" t="s">
        <v>265</v>
      </c>
    </row>
    <row r="127" spans="1:6" x14ac:dyDescent="0.35">
      <c r="B127" s="236" t="str">
        <f>"PV("&amp;C122&amp;" yrs of Dividends)"</f>
        <v>PV(3 yrs of Dividends)</v>
      </c>
      <c r="C127" s="240">
        <f>Scenarios!C81</f>
        <v>1.6269484703999999</v>
      </c>
    </row>
    <row r="128" spans="1:6" x14ac:dyDescent="0.35">
      <c r="B128" s="236" t="str">
        <f>"+ PV(Equity Value realized at year "&amp;C122&amp;")"</f>
        <v>+ PV(Equity Value realized at year 3)</v>
      </c>
      <c r="C128" s="240">
        <f>Scenarios!C82</f>
        <v>8.5505705892419179</v>
      </c>
    </row>
    <row r="129" spans="1:6" x14ac:dyDescent="0.35">
      <c r="B129" s="80" t="s">
        <v>262</v>
      </c>
      <c r="C129" s="239">
        <f>Scenarios!C83</f>
        <v>10.177519059641918</v>
      </c>
      <c r="D129" s="47" t="str">
        <f>Reporting_currency</f>
        <v>USD</v>
      </c>
    </row>
    <row r="130" spans="1:6" x14ac:dyDescent="0.35">
      <c r="B130" s="238" t="s">
        <v>264</v>
      </c>
      <c r="C130" s="92">
        <f>Scenarios!F83</f>
        <v>0.39057987953542495</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9" sqref="C69"/>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3588.6</v>
      </c>
      <c r="D4" s="181">
        <v>3682.4</v>
      </c>
      <c r="E4" s="181">
        <v>2879.6</v>
      </c>
      <c r="F4" s="181">
        <v>2020.8</v>
      </c>
      <c r="G4" s="181">
        <v>1536.7</v>
      </c>
      <c r="H4" s="181"/>
      <c r="I4" s="181"/>
      <c r="J4" s="181"/>
      <c r="K4" s="181"/>
      <c r="L4" s="181"/>
      <c r="M4" s="181"/>
    </row>
    <row r="5" spans="2:13" x14ac:dyDescent="0.35">
      <c r="B5" s="40" t="s">
        <v>44</v>
      </c>
      <c r="C5" s="181">
        <v>1436.4</v>
      </c>
      <c r="D5" s="181">
        <v>1499.6</v>
      </c>
      <c r="E5" s="181">
        <v>1274.2</v>
      </c>
      <c r="F5" s="181">
        <v>919.3</v>
      </c>
      <c r="G5" s="181">
        <v>830.4</v>
      </c>
      <c r="H5" s="181"/>
      <c r="I5" s="181"/>
      <c r="J5" s="181"/>
      <c r="K5" s="181"/>
      <c r="L5" s="181"/>
      <c r="M5" s="181"/>
    </row>
    <row r="6" spans="2:13" x14ac:dyDescent="0.35">
      <c r="B6" s="40" t="s">
        <v>55</v>
      </c>
      <c r="C6" s="181">
        <f>230.7+C7</f>
        <v>1519.8</v>
      </c>
      <c r="D6" s="181">
        <f>250.2+D7</f>
        <v>1519.3</v>
      </c>
      <c r="E6" s="181">
        <f>221.9+E7</f>
        <v>1185.2</v>
      </c>
      <c r="F6" s="181">
        <f>206+F7</f>
        <v>987.9</v>
      </c>
      <c r="G6" s="181">
        <f>200+G7</f>
        <v>1017.9</v>
      </c>
      <c r="H6" s="181"/>
      <c r="I6" s="181"/>
      <c r="J6" s="181"/>
      <c r="K6" s="181"/>
      <c r="L6" s="181"/>
      <c r="M6" s="181"/>
    </row>
    <row r="7" spans="2:13" x14ac:dyDescent="0.35">
      <c r="B7" s="69" t="s">
        <v>62</v>
      </c>
      <c r="C7" s="189">
        <f>1062.1+227</f>
        <v>1289.0999999999999</v>
      </c>
      <c r="D7" s="189">
        <v>1269.0999999999999</v>
      </c>
      <c r="E7" s="189">
        <v>963.3</v>
      </c>
      <c r="F7" s="189">
        <v>781.9</v>
      </c>
      <c r="G7" s="189">
        <v>817.9</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152</v>
      </c>
      <c r="D12" s="181">
        <v>173</v>
      </c>
      <c r="E12" s="181">
        <v>138.30000000000001</v>
      </c>
      <c r="F12" s="181">
        <v>169</v>
      </c>
      <c r="G12" s="181">
        <v>0</v>
      </c>
      <c r="H12" s="181"/>
      <c r="I12" s="181"/>
      <c r="J12" s="181"/>
      <c r="K12" s="181"/>
      <c r="L12" s="181"/>
      <c r="M12" s="181"/>
    </row>
    <row r="13" spans="2:13" x14ac:dyDescent="0.35">
      <c r="B13" s="40" t="s">
        <v>68</v>
      </c>
      <c r="C13" s="181">
        <v>13.6</v>
      </c>
      <c r="D13" s="181">
        <v>14.3</v>
      </c>
      <c r="E13" s="181">
        <v>8.8000000000000007</v>
      </c>
      <c r="F13" s="181">
        <v>3.6</v>
      </c>
      <c r="G13" s="181">
        <v>0</v>
      </c>
      <c r="H13" s="181"/>
      <c r="I13" s="181"/>
      <c r="J13" s="181"/>
      <c r="K13" s="181"/>
      <c r="L13" s="181"/>
      <c r="M13" s="181"/>
    </row>
    <row r="14" spans="2:13" x14ac:dyDescent="0.35">
      <c r="B14" s="40" t="s">
        <v>51</v>
      </c>
      <c r="C14" s="181">
        <v>118.3</v>
      </c>
      <c r="D14" s="181">
        <v>134.6</v>
      </c>
      <c r="E14" s="181">
        <v>24.3</v>
      </c>
      <c r="F14" s="181">
        <v>-56.2</v>
      </c>
      <c r="G14" s="181">
        <v>-94.4</v>
      </c>
      <c r="H14" s="181"/>
      <c r="I14" s="181"/>
      <c r="J14" s="181"/>
      <c r="K14" s="181"/>
      <c r="L14" s="181"/>
      <c r="M14" s="181"/>
    </row>
    <row r="15" spans="2:13" x14ac:dyDescent="0.35">
      <c r="B15" s="43" t="s">
        <v>43</v>
      </c>
      <c r="C15" s="182">
        <v>372.6</v>
      </c>
      <c r="D15" s="182">
        <v>450.3</v>
      </c>
      <c r="E15" s="182">
        <v>338.3</v>
      </c>
      <c r="F15" s="182">
        <v>23.5</v>
      </c>
      <c r="G15" s="182">
        <v>-1288</v>
      </c>
      <c r="H15" s="182"/>
      <c r="I15" s="182"/>
      <c r="J15" s="182"/>
      <c r="K15" s="182"/>
      <c r="L15" s="182"/>
      <c r="M15" s="182"/>
    </row>
    <row r="16" spans="2:13" x14ac:dyDescent="0.35">
      <c r="B16" s="28" t="s">
        <v>45</v>
      </c>
      <c r="C16" s="181">
        <v>26.9</v>
      </c>
      <c r="D16" s="181">
        <v>33.299999999999997</v>
      </c>
      <c r="E16" s="181">
        <v>25.6</v>
      </c>
      <c r="F16" s="181">
        <v>9.1999999999999993</v>
      </c>
      <c r="G16" s="181">
        <v>-10.3</v>
      </c>
      <c r="H16" s="181"/>
      <c r="I16" s="181"/>
      <c r="J16" s="181"/>
      <c r="K16" s="181"/>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c r="D20" s="181"/>
      <c r="E20" s="181"/>
      <c r="F20" s="181"/>
      <c r="G20" s="181"/>
      <c r="H20" s="181"/>
      <c r="I20" s="181"/>
      <c r="J20" s="181"/>
      <c r="K20" s="181"/>
      <c r="L20" s="181"/>
      <c r="M20" s="181"/>
    </row>
    <row r="21" spans="2:13" x14ac:dyDescent="0.35">
      <c r="B21" s="27" t="s">
        <v>53</v>
      </c>
      <c r="C21" s="181"/>
      <c r="D21" s="181"/>
      <c r="E21" s="181"/>
      <c r="F21" s="181"/>
      <c r="G21" s="181"/>
      <c r="H21" s="181"/>
      <c r="I21" s="181"/>
      <c r="J21" s="181"/>
      <c r="K21" s="181"/>
      <c r="L21" s="181"/>
      <c r="M21" s="181"/>
    </row>
    <row r="22" spans="2:13" x14ac:dyDescent="0.35">
      <c r="B22" s="27" t="s">
        <v>387</v>
      </c>
      <c r="C22" s="181">
        <v>56480</v>
      </c>
      <c r="D22" s="181">
        <v>53420</v>
      </c>
      <c r="E22" s="181">
        <v>27770</v>
      </c>
      <c r="F22" s="181">
        <v>38710</v>
      </c>
      <c r="G22" s="181">
        <v>-11420</v>
      </c>
      <c r="H22" s="181"/>
      <c r="I22" s="181"/>
      <c r="J22" s="181"/>
      <c r="K22" s="181"/>
      <c r="L22" s="181"/>
      <c r="M22" s="181"/>
    </row>
    <row r="23" spans="2:13" x14ac:dyDescent="0.35">
      <c r="B23" s="27" t="s">
        <v>389</v>
      </c>
      <c r="C23" s="181">
        <v>-11150</v>
      </c>
      <c r="D23" s="181">
        <v>-11010</v>
      </c>
      <c r="E23" s="181">
        <v>-6280</v>
      </c>
      <c r="F23" s="181">
        <v>940</v>
      </c>
      <c r="G23" s="181">
        <v>-2610</v>
      </c>
      <c r="H23" s="181"/>
      <c r="I23" s="181"/>
      <c r="J23" s="181"/>
      <c r="K23" s="181"/>
      <c r="L23" s="181"/>
      <c r="M23" s="181"/>
    </row>
    <row r="24" spans="2:13" x14ac:dyDescent="0.35">
      <c r="B24" s="27" t="s">
        <v>388</v>
      </c>
      <c r="C24" s="181">
        <v>-45970</v>
      </c>
      <c r="D24" s="181">
        <v>-34780</v>
      </c>
      <c r="E24" s="181">
        <v>-88110</v>
      </c>
      <c r="F24" s="181">
        <v>-55120</v>
      </c>
      <c r="G24" s="181">
        <v>115840</v>
      </c>
      <c r="H24" s="181"/>
      <c r="I24" s="181"/>
      <c r="J24" s="181"/>
      <c r="K24" s="181"/>
      <c r="L24" s="181"/>
      <c r="M24" s="181"/>
    </row>
    <row r="25" spans="2:13" x14ac:dyDescent="0.35">
      <c r="B25" s="24" t="str">
        <f>"Dividend per share ("&amp;Market_currency&amp;")"</f>
        <v>Dividend per share (HKD)</v>
      </c>
      <c r="C25" s="39">
        <f>0.1074*Exchange_Rate</f>
        <v>0.83347769999999999</v>
      </c>
      <c r="D25" s="39">
        <f>0.1026*Exchange_Rate</f>
        <v>0.79622729999999997</v>
      </c>
      <c r="E25" s="39">
        <v>0</v>
      </c>
      <c r="F25" s="39">
        <v>0</v>
      </c>
      <c r="G25" s="39">
        <v>0</v>
      </c>
      <c r="H25" s="39"/>
      <c r="I25" s="39"/>
      <c r="J25" s="39"/>
      <c r="K25" s="39"/>
      <c r="L25" s="39"/>
      <c r="M25" s="39"/>
    </row>
    <row r="27" spans="2:13" x14ac:dyDescent="0.35">
      <c r="B27" s="16" t="s">
        <v>28</v>
      </c>
      <c r="C27" s="97" t="s">
        <v>415</v>
      </c>
    </row>
    <row r="28" spans="2:13" x14ac:dyDescent="0.35">
      <c r="B28" s="26" t="s">
        <v>24</v>
      </c>
      <c r="C28" s="183">
        <f>BS!C4</f>
        <v>325.3</v>
      </c>
      <c r="D28" s="181">
        <v>304.10000000000002</v>
      </c>
      <c r="E28" s="181">
        <v>281.7</v>
      </c>
      <c r="F28" s="181">
        <v>197.6</v>
      </c>
      <c r="G28" s="181">
        <v>129.80000000000001</v>
      </c>
      <c r="H28" s="181"/>
      <c r="I28" s="181"/>
      <c r="J28" s="181"/>
      <c r="K28" s="181"/>
      <c r="L28" s="181"/>
      <c r="M28" s="181"/>
    </row>
    <row r="29" spans="2:13" x14ac:dyDescent="0.35">
      <c r="B29" s="26" t="s">
        <v>32</v>
      </c>
      <c r="C29" s="183">
        <f>BS!C6</f>
        <v>651.4</v>
      </c>
      <c r="D29" s="181">
        <v>695.9</v>
      </c>
      <c r="E29" s="181">
        <v>687.6</v>
      </c>
      <c r="F29" s="181">
        <v>348.4</v>
      </c>
      <c r="G29" s="181">
        <v>455.9</v>
      </c>
      <c r="H29" s="181"/>
      <c r="I29" s="181"/>
      <c r="J29" s="181"/>
      <c r="K29" s="181"/>
      <c r="L29" s="181"/>
      <c r="M29" s="181"/>
    </row>
    <row r="30" spans="2:13" x14ac:dyDescent="0.35">
      <c r="B30" s="29" t="s">
        <v>40</v>
      </c>
      <c r="C30" s="186">
        <f>BS!C33+BS!C42</f>
        <v>3534.2</v>
      </c>
      <c r="D30" s="182">
        <v>3594.1</v>
      </c>
      <c r="E30" s="182">
        <v>3641.5</v>
      </c>
      <c r="F30" s="182">
        <v>4127.7</v>
      </c>
      <c r="G30" s="182">
        <v>4493.2</v>
      </c>
      <c r="H30" s="182"/>
      <c r="I30" s="182"/>
      <c r="J30" s="182"/>
      <c r="K30" s="182"/>
      <c r="L30" s="182"/>
      <c r="M30" s="182"/>
    </row>
    <row r="31" spans="2:13" x14ac:dyDescent="0.35">
      <c r="B31" s="29" t="s">
        <v>30</v>
      </c>
      <c r="C31" s="186">
        <f>BS!G27</f>
        <v>1545</v>
      </c>
      <c r="D31" s="182">
        <v>1517.7</v>
      </c>
      <c r="E31" s="182">
        <v>1079.5999999999999</v>
      </c>
      <c r="F31" s="182">
        <v>726.6</v>
      </c>
      <c r="G31" s="182">
        <v>669</v>
      </c>
      <c r="H31" s="182"/>
      <c r="I31" s="182"/>
      <c r="J31" s="182"/>
      <c r="K31" s="182"/>
      <c r="L31" s="182"/>
      <c r="M31" s="182"/>
    </row>
    <row r="32" spans="2:13" x14ac:dyDescent="0.35">
      <c r="B32" s="26" t="s">
        <v>174</v>
      </c>
      <c r="C32" s="183">
        <f>BS!G28</f>
        <v>68.8</v>
      </c>
      <c r="D32" s="181">
        <v>66.7</v>
      </c>
      <c r="E32" s="181">
        <v>47.8</v>
      </c>
      <c r="F32" s="181">
        <v>36.9</v>
      </c>
      <c r="G32" s="182">
        <v>34.9</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0.83347769999999999</v>
      </c>
      <c r="D65" s="73">
        <f t="shared" ref="D65:M65" si="33">IF(D$4="","",D25)</f>
        <v>0.79622729999999997</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x14ac:dyDescent="0.35">
      <c r="B78" s="93" t="s">
        <v>88</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x14ac:dyDescent="0.3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325.3</v>
      </c>
      <c r="D4" s="294">
        <v>0.6</v>
      </c>
      <c r="E4" s="25"/>
      <c r="F4" s="4" t="s">
        <v>79</v>
      </c>
      <c r="G4" s="19">
        <v>676.3</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651.4</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89.6</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0</v>
      </c>
      <c r="D11" s="294">
        <v>0.05</v>
      </c>
      <c r="H11" s="295"/>
    </row>
    <row r="12" spans="2:8" ht="15" customHeight="1" x14ac:dyDescent="0.35">
      <c r="B12" s="80" t="s">
        <v>73</v>
      </c>
      <c r="C12" s="81">
        <f>SUM(C4:C11)</f>
        <v>1066.3</v>
      </c>
      <c r="D12" s="20">
        <f>C4*D4+C5*D5+C9*D9+C6*D6+C8*D8+C7*D7+C10*D10+C11*D11</f>
        <v>529.84</v>
      </c>
      <c r="F12" s="80" t="s">
        <v>71</v>
      </c>
      <c r="G12" s="81">
        <f>SUM(G4:G9)</f>
        <v>676.3</v>
      </c>
      <c r="H12" s="20">
        <f>G4*H4+G5*H5+G6*H6+G7*H7+G8*H8+G9*H9</f>
        <v>608.66999999999996</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262.1+499.2</f>
        <v>761.3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1519.8</v>
      </c>
      <c r="D21" s="294">
        <v>0.05</v>
      </c>
      <c r="F21" s="1" t="s">
        <v>182</v>
      </c>
      <c r="G21" s="19">
        <v>0</v>
      </c>
      <c r="H21" s="294">
        <v>0.1</v>
      </c>
    </row>
    <row r="22" spans="2:8" ht="15" customHeight="1" x14ac:dyDescent="0.35">
      <c r="B22" s="4" t="s">
        <v>20</v>
      </c>
      <c r="C22" s="19">
        <v>165.7</v>
      </c>
      <c r="D22" s="294">
        <v>0.9</v>
      </c>
      <c r="H22" s="295"/>
    </row>
    <row r="23" spans="2:8" ht="15" customHeight="1" x14ac:dyDescent="0.35">
      <c r="B23" s="4" t="s">
        <v>21</v>
      </c>
      <c r="C23" s="19">
        <f>819.6+70.2</f>
        <v>889.80000000000007</v>
      </c>
      <c r="D23" s="294">
        <v>0</v>
      </c>
      <c r="H23" s="295"/>
    </row>
    <row r="24" spans="2:8" ht="15" customHeight="1" x14ac:dyDescent="0.35">
      <c r="B24" s="80" t="s">
        <v>75</v>
      </c>
      <c r="C24" s="81">
        <f>SUM(C15:C23)</f>
        <v>3336.6</v>
      </c>
      <c r="D24" s="20">
        <f>C15*D15+C16*D16+C18*D18+C17*D17+C19*D19+C20*D20+C21*D21+C22*D22+C23*D23</f>
        <v>301.25</v>
      </c>
      <c r="F24" s="80" t="s">
        <v>72</v>
      </c>
      <c r="G24" s="81">
        <f>SUM(G15:G21)</f>
        <v>0</v>
      </c>
      <c r="H24" s="20">
        <f>G15*H15+G16*H16+G17*H17+G18*H18+G19*H19+G20*H20+G21*H21</f>
        <v>0</v>
      </c>
    </row>
    <row r="26" spans="2:8" ht="15" customHeight="1" x14ac:dyDescent="0.35">
      <c r="B26" s="16" t="s">
        <v>202</v>
      </c>
      <c r="C26" s="203" t="s">
        <v>138</v>
      </c>
      <c r="F26" s="205" t="s">
        <v>198</v>
      </c>
      <c r="G26" s="206" t="s">
        <v>138</v>
      </c>
      <c r="H26" s="207" t="s">
        <v>35</v>
      </c>
    </row>
    <row r="27" spans="2:8" ht="15" customHeight="1" x14ac:dyDescent="0.35">
      <c r="B27" s="4" t="s">
        <v>5</v>
      </c>
      <c r="C27" s="19">
        <f>49+35</f>
        <v>84</v>
      </c>
      <c r="F27" s="208" t="s">
        <v>30</v>
      </c>
      <c r="G27" s="85">
        <f>G32-G30</f>
        <v>1545</v>
      </c>
      <c r="H27" s="209">
        <f>H32-G30</f>
        <v>-2094.4399999999996</v>
      </c>
    </row>
    <row r="28" spans="2:8" ht="15" customHeight="1" x14ac:dyDescent="0.35">
      <c r="B28" s="4" t="s">
        <v>6</v>
      </c>
      <c r="C28" s="19">
        <v>145.4</v>
      </c>
      <c r="F28" s="210" t="s">
        <v>246</v>
      </c>
      <c r="G28" s="181">
        <v>68.8</v>
      </c>
      <c r="H28" s="209"/>
    </row>
    <row r="29" spans="2:8" ht="15" customHeight="1" x14ac:dyDescent="0.35">
      <c r="B29" s="4" t="s">
        <v>7</v>
      </c>
      <c r="C29" s="19">
        <v>0</v>
      </c>
      <c r="F29" s="211" t="s">
        <v>77</v>
      </c>
      <c r="G29" s="14">
        <f>G27-G28</f>
        <v>1476.2</v>
      </c>
      <c r="H29" s="209">
        <f>H27-G28</f>
        <v>-2163.2399999999998</v>
      </c>
    </row>
    <row r="30" spans="2:8" ht="15" customHeight="1" x14ac:dyDescent="0.35">
      <c r="B30" s="2" t="s">
        <v>8</v>
      </c>
      <c r="C30" s="19">
        <v>0</v>
      </c>
      <c r="F30" s="208" t="s">
        <v>23</v>
      </c>
      <c r="G30" s="85">
        <f>C33+C42</f>
        <v>3534.2</v>
      </c>
      <c r="H30" s="209"/>
    </row>
    <row r="31" spans="2:8" ht="15" customHeight="1" x14ac:dyDescent="0.35">
      <c r="B31" s="80" t="s">
        <v>205</v>
      </c>
      <c r="C31" s="81">
        <f>SUM(C27:C30)</f>
        <v>229.4</v>
      </c>
      <c r="F31" s="211" t="s">
        <v>78</v>
      </c>
      <c r="G31" s="212">
        <f>C31+C40</f>
        <v>2323</v>
      </c>
      <c r="H31" s="209"/>
    </row>
    <row r="32" spans="2:8" ht="15" customHeight="1" x14ac:dyDescent="0.35">
      <c r="B32" s="4" t="s">
        <v>9</v>
      </c>
      <c r="C32" s="21">
        <f>C33-C31</f>
        <v>860.9</v>
      </c>
      <c r="F32" s="213" t="s">
        <v>76</v>
      </c>
      <c r="G32" s="214">
        <f>G35+G40</f>
        <v>5079.2</v>
      </c>
      <c r="H32" s="209">
        <f>H35+H40</f>
        <v>1439.76</v>
      </c>
    </row>
    <row r="33" spans="2:8" ht="15" customHeight="1" x14ac:dyDescent="0.35">
      <c r="B33" s="83" t="s">
        <v>4</v>
      </c>
      <c r="C33" s="84">
        <v>1090.3</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4402.8999999999996</v>
      </c>
      <c r="H35" s="221">
        <f>D12+D24</f>
        <v>831.09</v>
      </c>
    </row>
    <row r="36" spans="2:8" ht="15" customHeight="1" x14ac:dyDescent="0.35">
      <c r="B36" s="4" t="s">
        <v>13</v>
      </c>
      <c r="C36" s="19">
        <v>1687</v>
      </c>
      <c r="F36" s="211" t="s">
        <v>199</v>
      </c>
      <c r="G36" s="212">
        <f>C4+C15</f>
        <v>325.3</v>
      </c>
      <c r="H36" s="216"/>
    </row>
    <row r="37" spans="2:8" ht="15" customHeight="1" x14ac:dyDescent="0.35">
      <c r="B37" s="4" t="s">
        <v>14</v>
      </c>
      <c r="C37" s="19">
        <v>406.6</v>
      </c>
      <c r="F37" s="211" t="s">
        <v>200</v>
      </c>
      <c r="G37" s="212">
        <f>C6</f>
        <v>651.4</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761.3</v>
      </c>
      <c r="H39" s="209">
        <f>C7*D7+C17*D17+C19*D19+C20*D20</f>
        <v>76.13</v>
      </c>
    </row>
    <row r="40" spans="2:8" ht="15" customHeight="1" x14ac:dyDescent="0.35">
      <c r="B40" s="80" t="s">
        <v>206</v>
      </c>
      <c r="C40" s="81">
        <f>SUM(C36:C39)</f>
        <v>2093.6</v>
      </c>
      <c r="F40" s="220" t="s">
        <v>140</v>
      </c>
      <c r="G40" s="214">
        <f>G12+G24</f>
        <v>676.3</v>
      </c>
      <c r="H40" s="221">
        <f>H12+H24</f>
        <v>608.66999999999996</v>
      </c>
    </row>
    <row r="41" spans="2:8" ht="15" customHeight="1" x14ac:dyDescent="0.35">
      <c r="B41" s="4" t="s">
        <v>17</v>
      </c>
      <c r="C41" s="21">
        <f>C42-C40</f>
        <v>350.30000000000018</v>
      </c>
      <c r="F41" s="211" t="s">
        <v>193</v>
      </c>
      <c r="G41" s="212">
        <f>C70</f>
        <v>676.3</v>
      </c>
      <c r="H41" s="221">
        <f>H40-H42</f>
        <v>608.66999999999996</v>
      </c>
    </row>
    <row r="42" spans="2:8" ht="15" customHeight="1" x14ac:dyDescent="0.35">
      <c r="B42" s="83" t="s">
        <v>22</v>
      </c>
      <c r="C42" s="84">
        <v>2443.9</v>
      </c>
      <c r="F42" s="222" t="s">
        <v>194</v>
      </c>
      <c r="G42" s="223">
        <f>C82</f>
        <v>0</v>
      </c>
      <c r="H42" s="224">
        <f>D82</f>
        <v>0</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1476.2</v>
      </c>
      <c r="D46" s="188">
        <f>H29</f>
        <v>-2163.2399999999998</v>
      </c>
      <c r="F46" s="283"/>
    </row>
    <row r="47" spans="2:8" ht="15" customHeight="1" x14ac:dyDescent="0.35">
      <c r="B47" s="1" t="str">
        <f>"Equity per share ("&amp;Market_currency&amp;")"</f>
        <v>Equity per share (HKD)</v>
      </c>
      <c r="C47" s="148">
        <f>C46*H1/Common_Shares*Exchange_Rate</f>
        <v>8.2830942114776906</v>
      </c>
      <c r="D47" s="148">
        <f>D46*H1/Common_Shares*Exchange_Rate</f>
        <v>-12.138138952741498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4.1998196571663646</v>
      </c>
      <c r="D50" s="95">
        <f>G31/Normalized_FCF!G8</f>
        <v>3.6733080328905765</v>
      </c>
      <c r="F50" s="283"/>
    </row>
    <row r="51" spans="2:8" ht="15" customHeight="1" x14ac:dyDescent="0.35">
      <c r="B51" s="1" t="s">
        <v>178</v>
      </c>
      <c r="C51" s="202"/>
      <c r="D51" s="92">
        <f>G29/G32</f>
        <v>0.29063632068042211</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0.12562606199191742</v>
      </c>
      <c r="D54" s="92">
        <f>Normalized_FCF!G8/G35</f>
        <v>0.14363260578255238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0.14988580878878563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4.6606150928058525E-2</v>
      </c>
      <c r="D62" s="92">
        <f>G28/G29</f>
        <v>4.6606150928058525E-2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676.3</v>
      </c>
      <c r="D66" s="188">
        <f>C66-D75</f>
        <v>327.28049312439703</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676.3</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-342.41275590428739</v>
      </c>
      <c r="D73" s="188">
        <f>(Normalized_FCF!C25+Normalized_FCF!C35-Normalized_FCF!C91)/12</f>
        <v>-349.01950687560293</v>
      </c>
      <c r="F73" s="1" t="s">
        <v>364</v>
      </c>
    </row>
    <row r="74" spans="2:6" ht="15" customHeight="1" x14ac:dyDescent="0.35">
      <c r="B74" s="288" t="s">
        <v>334</v>
      </c>
      <c r="C74" s="289">
        <f>-$C$66/C73</f>
        <v>1.9751016524309686</v>
      </c>
      <c r="D74" s="289">
        <f>-$C$66/D73</f>
        <v>1.9377140437054308</v>
      </c>
      <c r="F74" s="283" t="s">
        <v>331</v>
      </c>
    </row>
    <row r="75" spans="2:6" ht="15" customHeight="1" x14ac:dyDescent="0.35">
      <c r="B75" s="80" t="s">
        <v>332</v>
      </c>
      <c r="C75" s="293"/>
      <c r="D75" s="292">
        <f>MAX(-D73*D76,G5)</f>
        <v>349.01950687560293</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0</v>
      </c>
      <c r="D82" s="81">
        <f>SUM(D79:D81)</f>
        <v>0</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-18027.641500000002</v>
      </c>
      <c r="D86" s="248">
        <f>C86*$H$1/Common_Shares</f>
        <v>-13.034567032422894</v>
      </c>
      <c r="E86" s="269" t="str">
        <f>Market_currency</f>
        <v>HKD</v>
      </c>
    </row>
    <row r="87" spans="2:8" ht="15" customHeight="1" x14ac:dyDescent="0.35">
      <c r="B87" s="267" t="s">
        <v>297</v>
      </c>
      <c r="C87" s="188">
        <f>Valuation_Model!C8*Exchange_Rate</f>
        <v>2539.8602668918834</v>
      </c>
      <c r="D87" s="248">
        <f>C87*$H$1/Common_Shares</f>
        <v>1.8364010013062304</v>
      </c>
      <c r="E87" s="269" t="str">
        <f>Market_currency</f>
        <v>HKD</v>
      </c>
    </row>
    <row r="88" spans="2:8" ht="15" customHeight="1" x14ac:dyDescent="0.35">
      <c r="B88" s="268" t="s">
        <v>191</v>
      </c>
      <c r="C88" s="188">
        <f>Valuation_Model!C9*Exchange_Rate</f>
        <v>0</v>
      </c>
      <c r="D88" s="248">
        <f>C88*$H$1/Common_Shares</f>
        <v>0</v>
      </c>
      <c r="E88" s="269" t="str">
        <f>Market_currency</f>
        <v>HKD</v>
      </c>
    </row>
    <row r="89" spans="2:8" ht="15" customHeight="1" x14ac:dyDescent="0.35">
      <c r="B89" s="80" t="s">
        <v>301</v>
      </c>
      <c r="C89" s="187">
        <f>SUM(C86:C88)</f>
        <v>-15487.781233108119</v>
      </c>
      <c r="D89" s="271">
        <f>SUM(D86:D88)</f>
        <v>-11.198166031116664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-144.98142053303533</v>
      </c>
      <c r="E12" s="302"/>
      <c r="G12" s="191">
        <f>G50</f>
        <v>-144.98142053303533</v>
      </c>
      <c r="H12" s="191">
        <f t="shared" ref="H12:Q12" si="6">H50</f>
        <v>-165.6201701192945</v>
      </c>
      <c r="I12" s="191">
        <f t="shared" si="6"/>
        <v>-133.75856622725817</v>
      </c>
      <c r="J12" s="191">
        <f t="shared" si="6"/>
        <v>-167.14214072933288</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408.13756781117786</v>
      </c>
      <c r="E13" s="302"/>
      <c r="G13" s="184">
        <f>IF(G$4="","",SUM(G8:G12))</f>
        <v>487.4185794669645</v>
      </c>
      <c r="H13" s="184">
        <f t="shared" ref="H13:Q13" si="7">IF(H$4="","",SUM(H8:H12))</f>
        <v>497.87982988070576</v>
      </c>
      <c r="I13" s="184">
        <f t="shared" si="7"/>
        <v>286.44143377274168</v>
      </c>
      <c r="J13" s="184">
        <f t="shared" si="7"/>
        <v>-53.542140729332743</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-102.03439195279446</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273.65141070522242</v>
      </c>
      <c r="D16" s="61"/>
      <c r="E16" s="310"/>
      <c r="F16" s="61"/>
      <c r="G16" s="184">
        <f>IF(G$4="","",SUM(G13:G15))</f>
        <v>342.21857946696451</v>
      </c>
      <c r="H16" s="184">
        <f t="shared" ref="H16:Q16" si="8">IF(H$4="","",SUM(H13:H15))</f>
        <v>329.97982988070572</v>
      </c>
      <c r="I16" s="184">
        <f t="shared" si="8"/>
        <v>236.54143377274167</v>
      </c>
      <c r="J16" s="184">
        <f t="shared" si="8"/>
        <v>-6.5421407293327398</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273.65141070522242</v>
      </c>
      <c r="D19" s="27"/>
      <c r="E19" s="299"/>
      <c r="F19" s="27"/>
      <c r="G19" s="186">
        <f>IF(G$4="","",G16+G17)</f>
        <v>342.21857946696451</v>
      </c>
      <c r="H19" s="186">
        <f t="shared" ref="H19:Q19" si="9">IF(H$4="","",H16+H17)</f>
        <v>329.97982988070572</v>
      </c>
      <c r="I19" s="186">
        <f t="shared" si="9"/>
        <v>236.54143377274167</v>
      </c>
      <c r="J19" s="186">
        <f t="shared" si="9"/>
        <v>-6.5421407293327398</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0.42622819573379517</v>
      </c>
      <c r="D28" s="26"/>
      <c r="E28" s="300" t="s">
        <v>346</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0.35632795754486124</v>
      </c>
      <c r="D29" s="26"/>
      <c r="E29" s="300" t="s">
        <v>346</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-227.20000000000005</v>
      </c>
      <c r="E33" s="300" t="s">
        <v>346</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0.24270720276886357</v>
      </c>
      <c r="H43" s="6">
        <f t="shared" si="18"/>
        <v>0.27034636055100036</v>
      </c>
      <c r="I43" s="6">
        <f t="shared" si="18"/>
        <v>8.4834095682118582E-2</v>
      </c>
      <c r="J43" s="6">
        <f t="shared" si="18"/>
        <v>1.0496405118372707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7.0185794669646606</v>
      </c>
      <c r="E48" s="302"/>
      <c r="G48" s="328">
        <f>IF(G$4="","",($C$48/$C$49)*G49)</f>
        <v>7.0185794669646606</v>
      </c>
      <c r="H48" s="328">
        <f t="shared" ref="H48:Q48" si="19">IF(H$4="","",($C$48/$C$49)*H49)</f>
        <v>7.379829880705489</v>
      </c>
      <c r="I48" s="328">
        <f t="shared" si="19"/>
        <v>4.5414337727418399</v>
      </c>
      <c r="J48" s="328">
        <f t="shared" si="19"/>
        <v>1.8578592706671162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-144.98142053303533</v>
      </c>
      <c r="E50" s="302"/>
      <c r="G50" s="184">
        <f>IF(G$4="","",(G47+G48))</f>
        <v>-144.98142053303533</v>
      </c>
      <c r="H50" s="184">
        <f t="shared" ref="H50:Q50" si="20">IF(H$4="","",(H47+H48))</f>
        <v>-165.6201701192945</v>
      </c>
      <c r="I50" s="184">
        <f t="shared" si="20"/>
        <v>-133.75856622725817</v>
      </c>
      <c r="J50" s="184">
        <f t="shared" si="20"/>
        <v>-167.14214072933288</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2.0109418896939228E-2</v>
      </c>
      <c r="E53" s="299" t="s">
        <v>348</v>
      </c>
      <c r="G53" s="6">
        <f>IF(Normalized_FCF!G4="","",Normalized_FCF!G49/BS!$C$66)</f>
        <v>2.0109418896939228E-2</v>
      </c>
      <c r="H53" s="170"/>
      <c r="I53" s="170"/>
      <c r="J53" s="170"/>
      <c r="K53" s="170"/>
      <c r="L53" s="170"/>
      <c r="M53" s="170"/>
      <c r="N53" s="170"/>
      <c r="O53" s="170"/>
      <c r="P53" s="170"/>
      <c r="Q53" s="170"/>
    </row>
    <row r="54" spans="1:17" ht="15.75" customHeight="1" x14ac:dyDescent="0.35">
      <c r="A54" s="10"/>
      <c r="B54" s="8" t="s">
        <v>89</v>
      </c>
      <c r="C54" s="82">
        <f>G54</f>
        <v>6.5432630219543694E-2</v>
      </c>
      <c r="E54" s="299" t="s">
        <v>349</v>
      </c>
      <c r="G54" s="23">
        <f>IFERROR(ABS(Normalized_FCF!G47/BS!$G$31),0)</f>
        <v>6.5432630219543694E-2</v>
      </c>
      <c r="H54" s="170"/>
      <c r="I54" s="170"/>
      <c r="J54" s="170"/>
      <c r="K54" s="170"/>
      <c r="L54" s="170"/>
      <c r="M54" s="170"/>
      <c r="N54" s="170"/>
      <c r="O54" s="170"/>
      <c r="P54" s="170"/>
      <c r="Q54" s="170"/>
    </row>
    <row r="55" spans="1:17" ht="15.75" customHeight="1" x14ac:dyDescent="0.35">
      <c r="A55" s="10"/>
      <c r="B55" s="26" t="s">
        <v>92</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0</v>
      </c>
      <c r="D78" s="27"/>
      <c r="E78" s="300" t="s">
        <v>367</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4.0400551895735201E-2</v>
      </c>
      <c r="D80" s="27"/>
      <c r="E80" s="299"/>
      <c r="F80" s="27"/>
      <c r="G80" s="6">
        <f t="shared" ref="G80:Q80" si="31">IF(G$4="","",ABS(G12/G$4))</f>
        <v>4.0400551895735201E-2</v>
      </c>
      <c r="H80" s="6">
        <f t="shared" si="31"/>
        <v>4.4976148739760614E-2</v>
      </c>
      <c r="I80" s="6">
        <f t="shared" si="31"/>
        <v>4.6450398050860597E-2</v>
      </c>
      <c r="J80" s="6">
        <f t="shared" si="31"/>
        <v>8.271087724135634E-2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0.11373169698801144</v>
      </c>
      <c r="D81" s="27"/>
      <c r="E81" s="299"/>
      <c r="F81" s="27"/>
      <c r="G81" s="65">
        <f t="shared" ref="G81:Q81" si="32">IF(G$4="","",G13/G$4)</f>
        <v>0.13582415969095596</v>
      </c>
      <c r="H81" s="65">
        <f t="shared" si="32"/>
        <v>0.13520525469278344</v>
      </c>
      <c r="I81" s="65">
        <f t="shared" si="32"/>
        <v>9.9472646816482047E-2</v>
      </c>
      <c r="J81" s="65">
        <f t="shared" si="32"/>
        <v>-2.6495516987991262E-2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2.8432924247002861E-2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7.6255757316285575E-2</v>
      </c>
      <c r="D84" s="27"/>
      <c r="E84" s="299"/>
      <c r="F84" s="27"/>
      <c r="G84" s="65">
        <f t="shared" ref="G84:Q84" si="35">IF(G$4="","",ABS(G16/G$4))</f>
        <v>9.5362698396857973E-2</v>
      </c>
      <c r="H84" s="65">
        <f t="shared" si="35"/>
        <v>8.9609990734495354E-2</v>
      </c>
      <c r="I84" s="65">
        <f t="shared" si="35"/>
        <v>8.2143851150417307E-2</v>
      </c>
      <c r="J84" s="65">
        <f t="shared" si="35"/>
        <v>3.2374013902082047E-3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7.6255757316285575E-2</v>
      </c>
      <c r="D87" s="75"/>
      <c r="E87" s="299"/>
      <c r="F87" s="75"/>
      <c r="G87" s="65">
        <f t="shared" ref="G87:Q87" si="36">IF(G$4="","",ABS(G19/G$4))</f>
        <v>9.5362698396857973E-2</v>
      </c>
      <c r="H87" s="65">
        <f t="shared" si="36"/>
        <v>8.9609990734495354E-2</v>
      </c>
      <c r="I87" s="65">
        <f t="shared" si="36"/>
        <v>8.2143851150417307E-2</v>
      </c>
      <c r="J87" s="65">
        <f t="shared" si="36"/>
        <v>3.2374013902082047E-3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0.83347769999999999</v>
      </c>
      <c r="E90" s="302"/>
      <c r="G90" s="113">
        <f>Data!C65</f>
        <v>0.83347769999999999</v>
      </c>
      <c r="H90" s="113">
        <f>Data!D65</f>
        <v>0.79622729999999997</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1152.7530708514489</v>
      </c>
      <c r="E91" s="302"/>
      <c r="G91" s="74">
        <f t="shared" ref="G91:Q91" si="37">IF(G$4="","",G90*Common_Shares/$C$3)</f>
        <v>1152.7530708514489</v>
      </c>
      <c r="H91" s="74">
        <f t="shared" si="37"/>
        <v>1101.2333805340659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4.2124872219028902</v>
      </c>
      <c r="E92" s="302"/>
      <c r="G92" s="171">
        <f t="shared" ref="G92:Q92" si="38">IF(G$4="","",G90/(G19*$C$3/Common_Shares))</f>
        <v>3.3684701533358097</v>
      </c>
      <c r="H92" s="171">
        <f t="shared" si="38"/>
        <v>3.3372748295924137</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5.7165823045267489E-2</v>
      </c>
      <c r="E93" s="302"/>
      <c r="G93" s="23">
        <f t="shared" ref="G93:Q93" si="39">IF(G$4="","",G90/Market_Price)</f>
        <v>5.7165823045267489E-2</v>
      </c>
      <c r="H93" s="23">
        <f t="shared" si="39"/>
        <v>5.4610925925925924E-2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-0.16265488226256675</v>
      </c>
      <c r="D97" s="27"/>
      <c r="E97" s="299"/>
      <c r="F97" s="27"/>
      <c r="G97" s="6">
        <f t="shared" ref="G97:Q97" si="41">IF(H5="","",G13/H13-1)</f>
        <v>-2.101159714834766E-2</v>
      </c>
      <c r="H97" s="6">
        <f t="shared" si="41"/>
        <v>0.73815576651426795</v>
      </c>
      <c r="I97" s="6">
        <f t="shared" si="41"/>
        <v>-6.3498315508295775</v>
      </c>
      <c r="J97" s="6">
        <f t="shared" si="41"/>
        <v>-0.82817028007274462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165.04071780080602</v>
      </c>
      <c r="H114" s="334">
        <f>IF(H$4="","",Data!D$22/H19)</f>
        <v>161.88868276982987</v>
      </c>
      <c r="I114" s="334">
        <f>IF(I$4="","",Data!E$22/I19)</f>
        <v>117.40015081958184</v>
      </c>
      <c r="J114" s="334">
        <f>IF(J$4="","",Data!F$22/J19)</f>
        <v>-5917.0234333904637</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0.11373169698801144</v>
      </c>
      <c r="E117" s="302"/>
      <c r="G117" s="23">
        <f t="shared" ref="G117:Q117" si="45">G81</f>
        <v>0.13582415969095596</v>
      </c>
      <c r="H117" s="23">
        <f t="shared" si="45"/>
        <v>0.13520525469278344</v>
      </c>
      <c r="I117" s="23">
        <f t="shared" si="45"/>
        <v>9.9472646816482047E-2</v>
      </c>
      <c r="J117" s="23">
        <f t="shared" si="45"/>
        <v>-2.6495516987991262E-2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1.5354832786716786</v>
      </c>
      <c r="D124" s="27"/>
      <c r="E124" s="299"/>
      <c r="F124" s="27"/>
      <c r="G124" s="178">
        <f t="shared" ref="G124:Q124" si="49">IF(G$4="","",G16*$C$3/Common_Shares*Exchange_Rate)</f>
        <v>1.9202199801130824</v>
      </c>
      <c r="H124" s="178">
        <f t="shared" si="49"/>
        <v>1.8515472285525447</v>
      </c>
      <c r="I124" s="178">
        <f t="shared" si="49"/>
        <v>1.3272557789307886</v>
      </c>
      <c r="J124" s="178">
        <f t="shared" si="49"/>
        <v>-3.670855440035798E-2</v>
      </c>
      <c r="K124" s="178">
        <f t="shared" si="49"/>
        <v>-1.218729211985472</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0.10531435381835931</v>
      </c>
      <c r="D125" s="27"/>
      <c r="E125" s="299"/>
      <c r="F125" s="27"/>
      <c r="G125" s="77">
        <f t="shared" ref="G125" si="50">IF(G$4="","",G124/Market_Price)</f>
        <v>0.13170233059760511</v>
      </c>
      <c r="H125" s="77">
        <f t="shared" ref="H125" si="51">IF(H$4="","",H124/Market_Price)</f>
        <v>0.12699226533282199</v>
      </c>
      <c r="I125" s="77">
        <f t="shared" ref="I125" si="52">IF(I$4="","",I124/Market_Price)</f>
        <v>9.1032632299779745E-2</v>
      </c>
      <c r="J125" s="77">
        <f t="shared" ref="J125" si="53">IF(J$4="","",J124/Market_Price)</f>
        <v>-2.5177334979669397E-3</v>
      </c>
      <c r="K125" s="77">
        <f t="shared" ref="K125" si="54">IF(K$4="","",K124/Market_Price)</f>
        <v>-8.3589109189675714E-2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1.8477492019113879E-2</v>
      </c>
      <c r="H126" s="23">
        <f>IF(H$4="","",(Data!D47*$C$3)/(Market_Price*Common_Shares))</f>
        <v>2.2330688825032152E-2</v>
      </c>
      <c r="I126" s="23">
        <f>IF(I$4="","",(Data!E47*$C$3)/(Market_Price*Common_Shares))</f>
        <v>1.677653126695176E-2</v>
      </c>
      <c r="J126" s="23">
        <f>IF(J$4="","",(Data!F47*$C$3)/(Market_Price*Common_Shares))</f>
        <v>1.1653812733472253E-3</v>
      </c>
      <c r="K126" s="23">
        <f>IF(K$4="","",(Data!G47*$C$3)/(Market_Price*Common_Shares))</f>
        <v>-6.3872811917924516E-2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273.65141070522242</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3420.6426338152801</v>
      </c>
      <c r="D6" t="str">
        <f>Reporting_currency</f>
        <v>USD</v>
      </c>
      <c r="E6" s="344" t="s">
        <v>251</v>
      </c>
      <c r="F6" s="344"/>
      <c r="H6" s="121"/>
    </row>
    <row r="7" spans="2:8" x14ac:dyDescent="0.35">
      <c r="B7" s="149" t="s">
        <v>226</v>
      </c>
      <c r="C7" s="226">
        <f>BS!G31</f>
        <v>2323</v>
      </c>
      <c r="D7" t="str">
        <f>Reporting_currency</f>
        <v>USD</v>
      </c>
      <c r="E7" s="344"/>
      <c r="F7" s="344"/>
      <c r="H7" s="121"/>
    </row>
    <row r="8" spans="2:8" x14ac:dyDescent="0.35">
      <c r="B8" s="149" t="s">
        <v>227</v>
      </c>
      <c r="C8" s="201">
        <f>BS!D66</f>
        <v>327.28049312439703</v>
      </c>
      <c r="D8" t="str">
        <f>Reporting_currency</f>
        <v>USD</v>
      </c>
      <c r="E8" s="344"/>
      <c r="F8" s="344"/>
      <c r="H8" s="121"/>
    </row>
    <row r="9" spans="2:8" x14ac:dyDescent="0.35">
      <c r="B9" s="227" t="s">
        <v>192</v>
      </c>
      <c r="C9" s="229">
        <f>BS!H42</f>
        <v>0</v>
      </c>
      <c r="D9" t="str">
        <f>Reporting_currency</f>
        <v>USD</v>
      </c>
      <c r="E9" s="344"/>
      <c r="F9" s="344"/>
      <c r="H9" s="121"/>
    </row>
    <row r="10" spans="2:8" ht="13.15" x14ac:dyDescent="0.4">
      <c r="B10" s="150" t="s">
        <v>229</v>
      </c>
      <c r="C10" s="232">
        <f>C6-C7+C8+C9</f>
        <v>1424.9231269396771</v>
      </c>
      <c r="D10" t="str">
        <f>Reporting_currency</f>
        <v>USD</v>
      </c>
      <c r="H10" s="121"/>
    </row>
    <row r="11" spans="2:8" ht="13.15" thickBot="1" x14ac:dyDescent="0.4">
      <c r="B11" s="230" t="s">
        <v>168</v>
      </c>
      <c r="C11" s="231">
        <f>Exchange_Rate</f>
        <v>7.7605000000000004</v>
      </c>
      <c r="D11" t="str">
        <f>Thesis!D17</f>
        <v>USD/HKD</v>
      </c>
      <c r="H11" s="121"/>
    </row>
    <row r="12" spans="2:8" ht="13.5" thickTop="1" x14ac:dyDescent="0.4">
      <c r="B12" s="150" t="s">
        <v>104</v>
      </c>
      <c r="C12" s="112">
        <f>(C10*C3)/Common_Shares*C11</f>
        <v>7.9953749522793185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0.111211776070739</v>
      </c>
      <c r="H16" s="121"/>
    </row>
    <row r="17" spans="2:8" ht="13.25" customHeight="1" x14ac:dyDescent="0.35">
      <c r="B17" s="119" t="s">
        <v>136</v>
      </c>
      <c r="C17" s="163">
        <f>Scenarios!C64</f>
        <v>10</v>
      </c>
      <c r="H17" s="121"/>
    </row>
    <row r="18" spans="2:8" ht="13.25" customHeight="1" x14ac:dyDescent="0.4">
      <c r="B18" s="154" t="s">
        <v>108</v>
      </c>
      <c r="C18" s="141">
        <f>(F52-C7+C8+C9)*Exchange_Rate/Common_Shares*C3</f>
        <v>16.700673036487409</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304.08467011401342</v>
      </c>
      <c r="D21" s="139">
        <f>IF($C$17&lt;B21,0,Valuation_Model!$C$16)</f>
        <v>0.111211776070739</v>
      </c>
      <c r="E21" s="125">
        <f t="shared" ref="E21:E50" si="0">IF($C$17&lt;B21,0,1/(1+Equity_Cost)^B21)</f>
        <v>0.92592592592592582</v>
      </c>
      <c r="F21" s="126">
        <f t="shared" ref="F21:F51" si="1">C21*E21</f>
        <v>281.55987973519757</v>
      </c>
      <c r="H21" s="121"/>
    </row>
    <row r="22" spans="2:8" x14ac:dyDescent="0.35">
      <c r="B22" s="123">
        <v>2</v>
      </c>
      <c r="C22" s="124">
        <f t="shared" ref="C22:C50" si="2">IF(ROW()-ROW($C$21)&lt;$C$17, $C$21*(1+D22)^(ROW()-ROW($C$21)), 0)</f>
        <v>337.90246635327759</v>
      </c>
      <c r="D22" s="139">
        <f>IF($C$17&lt;B22,0,Valuation_Model!$C$16)</f>
        <v>0.111211776070739</v>
      </c>
      <c r="E22" s="125">
        <f t="shared" si="0"/>
        <v>0.85733882030178321</v>
      </c>
      <c r="F22" s="126">
        <f t="shared" si="1"/>
        <v>289.69690188038203</v>
      </c>
      <c r="H22" s="121"/>
    </row>
    <row r="23" spans="2:8" x14ac:dyDescent="0.35">
      <c r="B23" s="123">
        <v>3</v>
      </c>
      <c r="C23" s="124">
        <f t="shared" si="2"/>
        <v>375.48119977510873</v>
      </c>
      <c r="D23" s="139">
        <f>IF($C$17&lt;B23,0,Valuation_Model!$C$16)</f>
        <v>0.111211776070739</v>
      </c>
      <c r="E23" s="125">
        <f t="shared" si="0"/>
        <v>0.79383224102016958</v>
      </c>
      <c r="F23" s="126">
        <f t="shared" si="1"/>
        <v>298.06908227841654</v>
      </c>
      <c r="H23" s="121"/>
    </row>
    <row r="24" spans="2:8" x14ac:dyDescent="0.35">
      <c r="B24" s="123">
        <v>4</v>
      </c>
      <c r="C24" s="124">
        <f t="shared" si="2"/>
        <v>417.23913088327055</v>
      </c>
      <c r="D24" s="139">
        <f>IF($C$17&lt;B24,0,Valuation_Model!$C$16)</f>
        <v>0.111211776070739</v>
      </c>
      <c r="E24" s="125">
        <f t="shared" si="0"/>
        <v>0.73502985279645328</v>
      </c>
      <c r="F24" s="126">
        <f t="shared" si="1"/>
        <v>306.68321695405047</v>
      </c>
      <c r="H24" s="121"/>
    </row>
    <row r="25" spans="2:8" x14ac:dyDescent="0.35">
      <c r="B25" s="123">
        <v>5</v>
      </c>
      <c r="C25" s="124">
        <f t="shared" si="2"/>
        <v>463.64103567501058</v>
      </c>
      <c r="D25" s="139">
        <f>IF($C$17&lt;B25,0,Valuation_Model!$C$16)</f>
        <v>0.111211776070739</v>
      </c>
      <c r="E25" s="125">
        <f t="shared" si="0"/>
        <v>0.68058319703375303</v>
      </c>
      <c r="F25" s="126">
        <f t="shared" si="1"/>
        <v>315.54629833573904</v>
      </c>
      <c r="H25" s="121"/>
    </row>
    <row r="26" spans="2:8" x14ac:dyDescent="0.35">
      <c r="B26" s="123">
        <v>6</v>
      </c>
      <c r="C26" s="124">
        <f t="shared" si="2"/>
        <v>515.20337871170534</v>
      </c>
      <c r="D26" s="139">
        <f>IF($C$17&lt;B26,0,Valuation_Model!$C$16)</f>
        <v>0.111211776070739</v>
      </c>
      <c r="E26" s="125">
        <f t="shared" si="0"/>
        <v>0.63016962688310452</v>
      </c>
      <c r="F26" s="126">
        <f t="shared" si="1"/>
        <v>324.66552093167013</v>
      </c>
      <c r="H26" s="121"/>
    </row>
    <row r="27" spans="2:8" x14ac:dyDescent="0.35">
      <c r="B27" s="123">
        <v>7</v>
      </c>
      <c r="C27" s="124">
        <f t="shared" si="2"/>
        <v>572.50006149587966</v>
      </c>
      <c r="D27" s="139">
        <f>IF($C$17&lt;B27,0,Valuation_Model!$C$16)</f>
        <v>0.111211776070739</v>
      </c>
      <c r="E27" s="125">
        <f t="shared" si="0"/>
        <v>0.58349039526213387</v>
      </c>
      <c r="F27" s="126">
        <f t="shared" si="1"/>
        <v>334.04828716982678</v>
      </c>
      <c r="H27" s="121"/>
    </row>
    <row r="28" spans="2:8" x14ac:dyDescent="0.35">
      <c r="B28" s="123">
        <v>8</v>
      </c>
      <c r="C28" s="124">
        <f t="shared" si="2"/>
        <v>636.16881013544378</v>
      </c>
      <c r="D28" s="139">
        <f>IF($C$17&lt;B28,0,Valuation_Model!$C$16)</f>
        <v>0.111211776070739</v>
      </c>
      <c r="E28" s="125">
        <f t="shared" si="0"/>
        <v>0.54026888450197574</v>
      </c>
      <c r="F28" s="126">
        <f t="shared" si="1"/>
        <v>343.70221340682542</v>
      </c>
      <c r="H28" s="121"/>
    </row>
    <row r="29" spans="2:8" x14ac:dyDescent="0.35">
      <c r="B29" s="123">
        <v>9</v>
      </c>
      <c r="C29" s="124">
        <f t="shared" si="2"/>
        <v>706.91827339141525</v>
      </c>
      <c r="D29" s="139">
        <f>IF($C$17&lt;B29,0,Valuation_Model!$C$16)</f>
        <v>0.111211776070739</v>
      </c>
      <c r="E29" s="125">
        <f t="shared" si="0"/>
        <v>0.50024896713145905</v>
      </c>
      <c r="F29" s="126">
        <f t="shared" si="1"/>
        <v>353.63513611040986</v>
      </c>
      <c r="H29" s="121"/>
    </row>
    <row r="30" spans="2:8" x14ac:dyDescent="0.35">
      <c r="B30" s="123">
        <v>10</v>
      </c>
      <c r="C30" s="124">
        <f t="shared" si="2"/>
        <v>785.53591011213473</v>
      </c>
      <c r="D30" s="139">
        <f>IF($C$17&lt;B30,0,Valuation_Model!$C$16)</f>
        <v>0.111211776070739</v>
      </c>
      <c r="E30" s="125">
        <f t="shared" si="0"/>
        <v>0.46319348808468425</v>
      </c>
      <c r="F30" s="126">
        <f t="shared" si="1"/>
        <v>363.85511822061665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3801.0583764251678</v>
      </c>
      <c r="D51" s="140">
        <f>Terminal_Growth</f>
        <v>0</v>
      </c>
      <c r="E51" s="125">
        <f>1/(1+Equity_Cost)^C17</f>
        <v>0.46319348808468425</v>
      </c>
      <c r="F51" s="126">
        <f t="shared" si="1"/>
        <v>1760.6254877898803</v>
      </c>
      <c r="H51" s="121"/>
    </row>
    <row r="52" spans="1:8" x14ac:dyDescent="0.35">
      <c r="C52" s="115"/>
      <c r="E52" s="128" t="s">
        <v>102</v>
      </c>
      <c r="F52" s="138">
        <f>SUM(F21:F51)</f>
        <v>4972.087142813014</v>
      </c>
      <c r="H52" s="121"/>
    </row>
    <row r="53" spans="1:8" x14ac:dyDescent="0.35">
      <c r="C53" s="115"/>
      <c r="H53" s="121"/>
    </row>
    <row r="54" spans="1:8" ht="13.15" x14ac:dyDescent="0.35">
      <c r="B54" s="120" t="s">
        <v>131</v>
      </c>
      <c r="C54" s="137"/>
      <c r="D54" s="137"/>
      <c r="E54" s="118"/>
      <c r="F54" s="118"/>
      <c r="H54" s="121"/>
    </row>
    <row r="55" spans="1:8" ht="13.15" x14ac:dyDescent="0.4">
      <c r="A55" s="134">
        <f>F52</f>
        <v>4972.087142813014</v>
      </c>
      <c r="B55" s="132">
        <f>C78</f>
        <v>0</v>
      </c>
      <c r="C55" s="132">
        <f>C77</f>
        <v>0.02</v>
      </c>
      <c r="D55" s="132">
        <f>C76</f>
        <v>0.06</v>
      </c>
      <c r="E55" s="132">
        <f>C75</f>
        <v>0.15</v>
      </c>
      <c r="F55" s="132">
        <f>C74</f>
        <v>0.25</v>
      </c>
      <c r="H55" s="121"/>
    </row>
    <row r="56" spans="1:8" ht="13.15" x14ac:dyDescent="0.4">
      <c r="A56" s="144">
        <v>5</v>
      </c>
      <c r="B56" s="124">
        <f t="dataTable" ref="B56:F61" dt2D="1" dtr="1" r1="C16" r2="C17"/>
        <v>3420.6426338152796</v>
      </c>
      <c r="C56" s="124">
        <v>3531.0104713289875</v>
      </c>
      <c r="D56" s="124">
        <v>3761.8076067083507</v>
      </c>
      <c r="E56" s="124">
        <v>4335.68264946196</v>
      </c>
      <c r="F56" s="124">
        <v>5077.0674649139346</v>
      </c>
      <c r="H56" s="121"/>
    </row>
    <row r="57" spans="1:8" ht="13.15" x14ac:dyDescent="0.4">
      <c r="A57" s="144">
        <v>10</v>
      </c>
      <c r="B57" s="124">
        <v>3420.6426338152787</v>
      </c>
      <c r="C57" s="124">
        <v>3641.4799401801788</v>
      </c>
      <c r="D57" s="124">
        <v>4152.2051255203041</v>
      </c>
      <c r="E57" s="124">
        <v>5750.7681569611996</v>
      </c>
      <c r="F57" s="124">
        <v>8648.414153208365</v>
      </c>
      <c r="H57" s="121"/>
    </row>
    <row r="58" spans="1:8" ht="13.15" x14ac:dyDescent="0.4">
      <c r="A58" s="144">
        <v>15</v>
      </c>
      <c r="B58" s="124">
        <v>3420.6426338152778</v>
      </c>
      <c r="C58" s="124">
        <v>3778.2165381969876</v>
      </c>
      <c r="D58" s="124">
        <v>4689.2119746285489</v>
      </c>
      <c r="E58" s="124">
        <v>8276.4865423021729</v>
      </c>
      <c r="F58" s="124">
        <v>17363.980350894159</v>
      </c>
      <c r="H58" s="121"/>
    </row>
    <row r="59" spans="1:8" ht="13.15" x14ac:dyDescent="0.4">
      <c r="A59" s="145">
        <v>20</v>
      </c>
      <c r="B59" s="124">
        <v>3420.6426338152773</v>
      </c>
      <c r="C59" s="124">
        <v>3917.5292034637805</v>
      </c>
      <c r="D59" s="124">
        <v>5301.7908234540182</v>
      </c>
      <c r="E59" s="124">
        <v>12134.532642624526</v>
      </c>
      <c r="F59" s="124">
        <v>36349.369501172769</v>
      </c>
      <c r="H59" s="121"/>
    </row>
    <row r="60" spans="1:8" ht="13.15" x14ac:dyDescent="0.4">
      <c r="A60" s="145">
        <v>25</v>
      </c>
      <c r="B60" s="124">
        <v>3420.6426338152773</v>
      </c>
      <c r="C60" s="124">
        <v>4047.0977126230318</v>
      </c>
      <c r="D60" s="124">
        <v>5943.7548316257707</v>
      </c>
      <c r="E60" s="124">
        <v>17688.43815070752</v>
      </c>
      <c r="F60" s="124">
        <v>76382.760182325903</v>
      </c>
      <c r="H60" s="121"/>
    </row>
    <row r="61" spans="1:8" ht="13.15" x14ac:dyDescent="0.4">
      <c r="A61" s="145">
        <v>30</v>
      </c>
      <c r="B61" s="124">
        <v>3420.6426338152778</v>
      </c>
      <c r="C61" s="124">
        <v>4161.395161740912</v>
      </c>
      <c r="D61" s="124">
        <v>6585.6372587379474</v>
      </c>
      <c r="E61" s="124">
        <v>25476.712221652746</v>
      </c>
      <c r="F61" s="124">
        <v>159940.28901416445</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0.06</v>
      </c>
      <c r="E64" s="133">
        <f>E55</f>
        <v>0.15</v>
      </c>
      <c r="F64" s="133">
        <f>F55</f>
        <v>0.25</v>
      </c>
      <c r="H64" s="121"/>
    </row>
    <row r="65" spans="1:8" ht="13.15" x14ac:dyDescent="0.4">
      <c r="A65" s="144">
        <v>0</v>
      </c>
      <c r="B65" s="125">
        <f>C12</f>
        <v>7.9953749522793185</v>
      </c>
      <c r="C65" s="125">
        <f>C12</f>
        <v>7.9953749522793185</v>
      </c>
      <c r="D65" s="125">
        <f>C12</f>
        <v>7.9953749522793185</v>
      </c>
      <c r="E65" s="142">
        <f>C12</f>
        <v>7.9953749522793185</v>
      </c>
      <c r="F65" s="125">
        <f>C12</f>
        <v>7.9953749522793185</v>
      </c>
      <c r="H65" s="121"/>
    </row>
    <row r="66" spans="1:8" ht="13.15" x14ac:dyDescent="0.4">
      <c r="A66" s="144">
        <f t="shared" ref="A66:A71" si="3">A56</f>
        <v>5</v>
      </c>
      <c r="B66" s="125">
        <f t="shared" ref="B66:F71" si="4">(B56-$C$7+$C$8+$C$9)/Common_Shares*$C$3*Exchange_Rate</f>
        <v>7.9953749522793167</v>
      </c>
      <c r="C66" s="125">
        <f t="shared" si="4"/>
        <v>8.6146590574433208</v>
      </c>
      <c r="D66" s="125">
        <f t="shared" si="4"/>
        <v>9.9096830488309635</v>
      </c>
      <c r="E66" s="125">
        <f t="shared" si="4"/>
        <v>13.129748788394664</v>
      </c>
      <c r="F66" s="125">
        <f t="shared" si="4"/>
        <v>17.289727296284994</v>
      </c>
      <c r="H66" s="121"/>
    </row>
    <row r="67" spans="1:8" ht="13.15" x14ac:dyDescent="0.4">
      <c r="A67" s="144">
        <f t="shared" si="3"/>
        <v>10</v>
      </c>
      <c r="B67" s="125">
        <f t="shared" si="4"/>
        <v>7.9953749522793114</v>
      </c>
      <c r="C67" s="125">
        <f t="shared" si="4"/>
        <v>9.2345134254058721</v>
      </c>
      <c r="D67" s="125">
        <f t="shared" si="4"/>
        <v>12.100239496633797</v>
      </c>
      <c r="E67" s="125">
        <f t="shared" si="4"/>
        <v>21.069923951592688</v>
      </c>
      <c r="F67" s="125">
        <f t="shared" si="4"/>
        <v>37.328882614664366</v>
      </c>
      <c r="H67" s="121"/>
    </row>
    <row r="68" spans="1:8" ht="13.15" x14ac:dyDescent="0.4">
      <c r="A68" s="144">
        <f t="shared" si="3"/>
        <v>15</v>
      </c>
      <c r="B68" s="125">
        <f t="shared" si="4"/>
        <v>7.9953749522793061</v>
      </c>
      <c r="C68" s="125">
        <f t="shared" si="4"/>
        <v>10.001755075270511</v>
      </c>
      <c r="D68" s="125">
        <f t="shared" si="4"/>
        <v>15.113434404757612</v>
      </c>
      <c r="E68" s="125">
        <f t="shared" si="4"/>
        <v>35.241962521868125</v>
      </c>
      <c r="F68" s="125">
        <f t="shared" si="4"/>
        <v>86.232727569143293</v>
      </c>
      <c r="H68" s="121"/>
    </row>
    <row r="69" spans="1:8" ht="13.15" x14ac:dyDescent="0.4">
      <c r="A69" s="145">
        <f t="shared" si="3"/>
        <v>20</v>
      </c>
      <c r="B69" s="125">
        <f t="shared" si="4"/>
        <v>7.9953749522793025</v>
      </c>
      <c r="C69" s="125">
        <f t="shared" si="4"/>
        <v>10.783451275823893</v>
      </c>
      <c r="D69" s="125">
        <f t="shared" si="4"/>
        <v>18.55067076621264</v>
      </c>
      <c r="E69" s="125">
        <f t="shared" si="4"/>
        <v>56.88981465653427</v>
      </c>
      <c r="F69" s="125">
        <f t="shared" si="4"/>
        <v>192.76149533321598</v>
      </c>
      <c r="H69" s="121"/>
    </row>
    <row r="70" spans="1:8" ht="13.15" x14ac:dyDescent="0.4">
      <c r="A70" s="145">
        <f t="shared" si="3"/>
        <v>25</v>
      </c>
      <c r="B70" s="125">
        <f t="shared" si="4"/>
        <v>7.9953749522793025</v>
      </c>
      <c r="C70" s="125">
        <f t="shared" si="4"/>
        <v>11.510472118668217</v>
      </c>
      <c r="D70" s="125">
        <f t="shared" si="4"/>
        <v>22.152789964196963</v>
      </c>
      <c r="E70" s="125">
        <f t="shared" si="4"/>
        <v>88.053290178209039</v>
      </c>
      <c r="F70" s="125">
        <f t="shared" si="4"/>
        <v>417.39253897017886</v>
      </c>
    </row>
    <row r="71" spans="1:8" ht="13.15" x14ac:dyDescent="0.4">
      <c r="A71" s="145">
        <f t="shared" si="3"/>
        <v>30</v>
      </c>
      <c r="B71" s="125">
        <f t="shared" si="4"/>
        <v>7.9953749522793061</v>
      </c>
      <c r="C71" s="125">
        <f t="shared" si="4"/>
        <v>12.151805636602765</v>
      </c>
      <c r="D71" s="125">
        <f t="shared" si="4"/>
        <v>25.754451403339441</v>
      </c>
      <c r="E71" s="125">
        <f t="shared" si="4"/>
        <v>131.75401357236171</v>
      </c>
      <c r="F71" s="125">
        <f t="shared" si="4"/>
        <v>886.2415319199024</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0.25</v>
      </c>
      <c r="D74" s="146">
        <f>Scenarios!C55</f>
        <v>15</v>
      </c>
      <c r="E74" s="136">
        <f>INDEX(B$65:F$71, MATCH(D74, A$65:A$71, 0), MATCH(C74, B$64:F$64, 0))</f>
        <v>86.232727569143293</v>
      </c>
      <c r="F74" s="143">
        <f>Scenarios!C58</f>
        <v>0.05</v>
      </c>
    </row>
    <row r="75" spans="1:8" x14ac:dyDescent="0.35">
      <c r="B75" s="128" t="str">
        <f>Scenarios!B36</f>
        <v>Optimistic</v>
      </c>
      <c r="C75" s="143">
        <f>Scenarios!C38</f>
        <v>0.15</v>
      </c>
      <c r="D75" s="146">
        <f>Scenarios!C37</f>
        <v>10</v>
      </c>
      <c r="E75" s="136">
        <f>INDEX(B$65:F$71, MATCH(D75, A$65:A$71, 0), MATCH(C75, B$64:F$64, 0))</f>
        <v>21.069923951592688</v>
      </c>
      <c r="F75" s="143">
        <f>Scenarios!C40*(1-F$74-F$78)</f>
        <v>0.18</v>
      </c>
      <c r="H75" s="121"/>
    </row>
    <row r="76" spans="1:8" x14ac:dyDescent="0.35">
      <c r="B76" s="128" t="str">
        <f>Scenarios!B24</f>
        <v>Base</v>
      </c>
      <c r="C76" s="143">
        <f>Scenarios!C26</f>
        <v>0.06</v>
      </c>
      <c r="D76" s="146">
        <f>Scenarios!C25</f>
        <v>10</v>
      </c>
      <c r="E76" s="136">
        <f>INDEX(B$65:F$71, MATCH(D76, A$65:A$71, 0), MATCH(C76, B$64:F$64, 0))</f>
        <v>12.100239496633797</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9.2345134254058721</v>
      </c>
      <c r="F77" s="143">
        <f>Scenarios!C34*(1-F$74-F$78)</f>
        <v>0.18</v>
      </c>
      <c r="H77" s="121"/>
    </row>
    <row r="78" spans="1:8" x14ac:dyDescent="0.35">
      <c r="B78" s="128" t="str">
        <f>Scenarios!B48</f>
        <v>Devil's advocate</v>
      </c>
      <c r="C78" s="143">
        <f>Scenarios!C50</f>
        <v>0</v>
      </c>
      <c r="D78" s="146">
        <f>Scenarios!C49</f>
        <v>15</v>
      </c>
      <c r="E78" s="136">
        <f>INDEX(B$65:F$71, MATCH(D78, A$65:A$71, 0), MATCH(C78, B$64:F$64, 0))</f>
        <v>7.9953749522793061</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6"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-14.58</v>
      </c>
    </row>
    <row r="4" spans="2:9" x14ac:dyDescent="0.35">
      <c r="B4" s="153" t="s">
        <v>148</v>
      </c>
      <c r="C4" s="121">
        <v>3</v>
      </c>
      <c r="D4" s="121"/>
      <c r="E4" s="156" t="s">
        <v>152</v>
      </c>
      <c r="F4" s="156"/>
      <c r="H4" s="276">
        <v>1</v>
      </c>
      <c r="I4" s="264">
        <f t="shared" ref="I4:I13" si="0">IF(ROW()-3 &lt; $C$76, $C$77, IF(ROW()-3 = $C$76, $C$77 + $C$60, ""))</f>
        <v>0.83347769999999999</v>
      </c>
    </row>
    <row r="5" spans="2:9" x14ac:dyDescent="0.35">
      <c r="H5" s="276">
        <v>2</v>
      </c>
      <c r="I5" s="264">
        <f t="shared" si="0"/>
        <v>0.83347769999999999</v>
      </c>
    </row>
    <row r="6" spans="2:9" ht="13.15" x14ac:dyDescent="0.4">
      <c r="B6" s="160" t="s">
        <v>97</v>
      </c>
      <c r="C6" s="107">
        <f>Valuation_Model!C3</f>
        <v>1000000</v>
      </c>
      <c r="E6" s="100" t="s">
        <v>285</v>
      </c>
      <c r="F6" s="100"/>
      <c r="H6" s="276">
        <v>3</v>
      </c>
      <c r="I6" s="264">
        <f t="shared" si="0"/>
        <v>17.533810882113119</v>
      </c>
    </row>
    <row r="7" spans="2:9" ht="12.75" customHeight="1" x14ac:dyDescent="0.35">
      <c r="B7" s="100" t="s">
        <v>279</v>
      </c>
      <c r="C7" s="115">
        <f>Normalized_FCF!G8</f>
        <v>632.39999999999986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46"/>
      <c r="H7" s="276">
        <v>4</v>
      </c>
      <c r="I7" s="264" t="str">
        <f t="shared" si="0"/>
        <v/>
      </c>
    </row>
    <row r="8" spans="2:9" x14ac:dyDescent="0.35">
      <c r="B8" s="100" t="s">
        <v>67</v>
      </c>
      <c r="C8" s="115">
        <f>Normalized_FCF!G19</f>
        <v>342.21857946696451</v>
      </c>
      <c r="D8" t="str">
        <f>Reporting_currency</f>
        <v>USD</v>
      </c>
      <c r="E8" s="346"/>
      <c r="F8" s="346"/>
      <c r="H8" s="276">
        <v>5</v>
      </c>
      <c r="I8" s="264" t="str">
        <f t="shared" si="0"/>
        <v/>
      </c>
    </row>
    <row r="9" spans="2:9" x14ac:dyDescent="0.35">
      <c r="B9" s="100" t="s">
        <v>58</v>
      </c>
      <c r="C9" s="201">
        <f>Normalized_FCF!C19</f>
        <v>273.65141070522242</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0.21097145624674352</v>
      </c>
      <c r="D12" s="159"/>
      <c r="E12" s="346"/>
      <c r="F12" s="346"/>
      <c r="H12" s="276">
        <v>9</v>
      </c>
      <c r="I12" s="264" t="str">
        <f t="shared" si="0"/>
        <v/>
      </c>
    </row>
    <row r="13" spans="2:9" x14ac:dyDescent="0.35">
      <c r="B13" s="149" t="s">
        <v>154</v>
      </c>
      <c r="C13" s="159">
        <f ca="1">(Normalized_FCF!G8/OFFSET(Normalized_FCF!G8, 0, $C$4))^(1/$C$4) - 1</f>
        <v>0.77230247224880189</v>
      </c>
      <c r="E13" s="346"/>
      <c r="F13" s="346"/>
      <c r="H13" s="276">
        <v>10</v>
      </c>
      <c r="I13" s="264" t="str">
        <f t="shared" si="0"/>
        <v/>
      </c>
    </row>
    <row r="14" spans="2:9" x14ac:dyDescent="0.35">
      <c r="B14" s="100" t="s">
        <v>67</v>
      </c>
      <c r="C14" s="159">
        <f ca="1">(Normalized_FCF!G19/OFFSET(Normalized_FCF!G19, 0, $C$4))^(1/$C$4) - 1</f>
        <v>-4.7399107139611019</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313</v>
      </c>
      <c r="E20" s="347"/>
      <c r="F20" s="347"/>
    </row>
    <row r="21" spans="2:6" x14ac:dyDescent="0.35">
      <c r="B21" s="100" t="s">
        <v>283</v>
      </c>
      <c r="C21" s="161">
        <f>Market_Price</f>
        <v>14.58</v>
      </c>
      <c r="D21" t="str">
        <f>Market_currency</f>
        <v>HKD</v>
      </c>
      <c r="E21" s="347"/>
      <c r="F21" s="347"/>
    </row>
    <row r="22" spans="2:6" x14ac:dyDescent="0.35">
      <c r="B22" s="100" t="s">
        <v>284</v>
      </c>
      <c r="C22" s="161">
        <f>Valuation_Model!C12</f>
        <v>7.9953749522793185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0.06</v>
      </c>
      <c r="D26" s="165"/>
      <c r="E26" s="345"/>
      <c r="F26" s="345"/>
    </row>
    <row r="27" spans="2:6" x14ac:dyDescent="0.35">
      <c r="B27" s="100" t="s">
        <v>115</v>
      </c>
      <c r="C27" s="161">
        <f>Valuation_Model!E76</f>
        <v>12.100239496633797</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9.2345134254058721</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0.15</v>
      </c>
      <c r="D38" s="165"/>
      <c r="E38" s="345"/>
      <c r="F38" s="345"/>
    </row>
    <row r="39" spans="2:6" x14ac:dyDescent="0.35">
      <c r="B39" s="100" t="s">
        <v>115</v>
      </c>
      <c r="C39" s="161">
        <f>Valuation_Model!E75</f>
        <v>21.069923951592688</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13.321031173379991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7.9953749522793061</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0.25</v>
      </c>
      <c r="D56" s="165"/>
      <c r="E56" s="345"/>
      <c r="F56" s="345"/>
    </row>
    <row r="57" spans="2:6" x14ac:dyDescent="0.35">
      <c r="B57" s="100" t="s">
        <v>115</v>
      </c>
      <c r="C57" s="161">
        <f>Valuation_Model!E74</f>
        <v>86.232727569143293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16.70033318211312</v>
      </c>
      <c r="D60" t="str">
        <f>Market_currency</f>
        <v>HKD</v>
      </c>
      <c r="E60" s="100" t="s">
        <v>306</v>
      </c>
      <c r="F60" s="312">
        <f>Thesis!E20</f>
        <v>3</v>
      </c>
    </row>
    <row r="62" spans="2:6" ht="13.9" x14ac:dyDescent="0.45">
      <c r="B62" s="36" t="s">
        <v>362</v>
      </c>
      <c r="C62" s="37"/>
      <c r="D62" s="37"/>
      <c r="E62" s="37"/>
      <c r="F62" s="37"/>
    </row>
    <row r="63" spans="2:6" ht="13.15" x14ac:dyDescent="0.4">
      <c r="B63" s="109" t="s">
        <v>314</v>
      </c>
      <c r="E63" s="282" t="s">
        <v>322</v>
      </c>
    </row>
    <row r="64" spans="2:6" x14ac:dyDescent="0.35">
      <c r="B64" s="153" t="s">
        <v>135</v>
      </c>
      <c r="C64" s="167">
        <v>10</v>
      </c>
      <c r="D64" s="151"/>
      <c r="E64" s="281" t="s">
        <v>323</v>
      </c>
    </row>
    <row r="65" spans="2:6" x14ac:dyDescent="0.35">
      <c r="B65" s="119" t="s">
        <v>136</v>
      </c>
      <c r="C65" s="152">
        <v>0.111211776070739</v>
      </c>
      <c r="D65" s="152"/>
      <c r="E65" s="281" t="s">
        <v>324</v>
      </c>
    </row>
    <row r="66" spans="2:6" x14ac:dyDescent="0.35">
      <c r="B66" s="100" t="s">
        <v>104</v>
      </c>
      <c r="C66" s="161">
        <f>Valuation_Model!C18</f>
        <v>16.700673036487409</v>
      </c>
      <c r="D66" s="161" t="str">
        <f>Market_currency</f>
        <v>HKD</v>
      </c>
      <c r="E66" s="281" t="s">
        <v>325</v>
      </c>
    </row>
    <row r="68" spans="2:6" ht="13.15" x14ac:dyDescent="0.4">
      <c r="B68" s="109" t="s">
        <v>363</v>
      </c>
      <c r="E68" s="282" t="s">
        <v>326</v>
      </c>
    </row>
    <row r="69" spans="2:6" x14ac:dyDescent="0.35">
      <c r="B69" s="100" t="s">
        <v>315</v>
      </c>
      <c r="C69" s="273" t="str">
        <f>IF(C60&lt;C22,"Y","N")</f>
        <v>N</v>
      </c>
      <c r="E69" s="135"/>
    </row>
    <row r="70" spans="2:6" x14ac:dyDescent="0.35">
      <c r="B70" s="100" t="s">
        <v>303</v>
      </c>
      <c r="C70" s="273" t="str">
        <f>IF(C69="Y","N",IF(C65&gt;8%,"N","Y"))</f>
        <v>N</v>
      </c>
      <c r="E70" s="281" t="s">
        <v>304</v>
      </c>
    </row>
    <row r="71" spans="2:6" x14ac:dyDescent="0.35">
      <c r="B71" s="100" t="s">
        <v>302</v>
      </c>
      <c r="C71" s="273" t="str">
        <f>IF(C65&gt;8%,"Y","N")</f>
        <v>Y</v>
      </c>
      <c r="E71" s="281"/>
    </row>
    <row r="72" spans="2:6" x14ac:dyDescent="0.35">
      <c r="B72" s="100" t="s">
        <v>294</v>
      </c>
      <c r="C72" s="272" t="str">
        <f>IF(F72&gt;50%,"Y","N")</f>
        <v>N</v>
      </c>
      <c r="E72" s="135" t="s">
        <v>359</v>
      </c>
      <c r="F72" s="329">
        <f>BS!D89/C60</f>
        <v>-0.67053548626864834</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0.83347769999999999</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1.6269484703999999</v>
      </c>
      <c r="D81" s="117"/>
      <c r="E81" s="100"/>
      <c r="F81" s="100"/>
    </row>
    <row r="82" spans="2:8" x14ac:dyDescent="0.35">
      <c r="B82" s="100" t="s">
        <v>124</v>
      </c>
      <c r="C82" s="117">
        <f>C60/(1+C80)^C76</f>
        <v>8.5505705892419179</v>
      </c>
      <c r="D82" s="117"/>
    </row>
    <row r="83" spans="2:8" ht="13.15" x14ac:dyDescent="0.4">
      <c r="B83" s="111" t="s">
        <v>103</v>
      </c>
      <c r="C83" s="112">
        <f>C81+C82</f>
        <v>10.177519059641918</v>
      </c>
      <c r="D83" t="str">
        <f>Market_currency</f>
        <v>HKD</v>
      </c>
      <c r="E83" s="147" t="s">
        <v>128</v>
      </c>
      <c r="F83" s="329">
        <f>(1-C83/C60)</f>
        <v>0.39057987953542495</v>
      </c>
    </row>
    <row r="84" spans="2:8" x14ac:dyDescent="0.35">
      <c r="E84" s="121"/>
    </row>
    <row r="85" spans="2:8" ht="13.15" x14ac:dyDescent="0.4">
      <c r="B85" s="109" t="s">
        <v>312</v>
      </c>
    </row>
    <row r="86" spans="2:8" x14ac:dyDescent="0.35">
      <c r="B86" s="149" t="s">
        <v>310</v>
      </c>
      <c r="C86" s="266">
        <f>Market_Price</f>
        <v>14.58</v>
      </c>
      <c r="D86" t="str">
        <f>Market_currency</f>
        <v>HKD</v>
      </c>
    </row>
    <row r="87" spans="2:8" ht="13.15" x14ac:dyDescent="0.4">
      <c r="B87" s="100" t="s">
        <v>308</v>
      </c>
      <c r="C87" s="265">
        <f ca="1">IRR(OFFSET($I$3, 0, 0, $C$76 + 1, 1))</f>
        <v>0.1010567723303204</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2025-04-10T02:10:51Z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