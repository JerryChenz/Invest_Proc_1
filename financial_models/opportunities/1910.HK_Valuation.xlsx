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49A7063-219A-4B5F-B4CE-18CF4FB4081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C6" i="4"/>
  <c r="D6" i="4"/>
  <c r="E6" i="4"/>
  <c r="F6" i="4"/>
  <c r="G6" i="4"/>
  <c r="C7" i="4"/>
  <c r="C25" i="4"/>
  <c r="D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F68" i="8"/>
  <c r="D67" i="8"/>
  <c r="F67" i="8"/>
  <c r="C70" i="8"/>
  <c r="E66" i="8"/>
  <c r="D71" i="8"/>
  <c r="D70" i="8"/>
  <c r="D68" i="8"/>
  <c r="C68" i="8"/>
  <c r="F70" i="8"/>
  <c r="E67" i="8"/>
  <c r="B70" i="8"/>
  <c r="C66" i="8"/>
  <c r="E70" i="8"/>
  <c r="F71" i="8"/>
  <c r="E69" i="8"/>
  <c r="C69" i="8"/>
  <c r="B68" i="8"/>
  <c r="B67" i="8"/>
  <c r="D66" i="8"/>
  <c r="B66" i="8"/>
  <c r="G54" i="2"/>
  <c r="F69" i="8" l="1"/>
  <c r="C67" i="8"/>
  <c r="C71" i="8"/>
  <c r="B69"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<sst xmlns="http://schemas.openxmlformats.org/spreadsheetml/2006/main" count="626" uniqueCount="439">
  <si>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</si>
  <si>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</si>
  <si>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</si>
  <si>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</si>
  <si>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</si>
  <si>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</si>
  <si>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</si>
  <si>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</si>
  <si>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</si>
  <si>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</si>
  <si>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</si>
  <si>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</si>
  <si>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</si>
  <si>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</si>
  <si>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</si>
  <si>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</si>
  <si>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</si>
  <si>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</si>
  <si>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</si>
  <si>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</si>
  <si>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</si>
  <si>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</si>
  <si>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</si>
  <si>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</si>
  <si>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</si>
  <si>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</si>
  <si>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</si>
  <si>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</si>
  <si>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</si>
  <si>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</si>
  <si>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</si>
  <si>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</si>
  <si>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</si>
  <si>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</si>
  <si>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</si>
  <si>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</si>
  <si>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</si>
  <si>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</si>
  <si>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</si>
  <si>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</si>
  <si>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</si>
  <si>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</si>
  <si>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</si>
  <si>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</si>
  <si>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</si>
  <si>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</si>
  <si>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</si>
  <si>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</si>
  <si>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</si>
  <si>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</si>
  <si>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</si>
  <si>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</si>
  <si>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</si>
  <si>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</si>
  <si>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</si>
  <si>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</si>
  <si>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</si>
  <si>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</si>
  <si>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</si>
  <si>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</si>
  <si>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</si>
  <si>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</si>
  <si>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</si>
  <si>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</si>
  <si>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</si>
  <si>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</si>
  <si>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</si>
  <si>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</si>
  <si>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</si>
  <si>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</si>
  <si>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</si>
  <si>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</si>
  <si>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</si>
  <si>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</si>
  <si>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</si>
  <si>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</si>
  <si>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</si>
  <si>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</si>
  <si>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</si>
  <si>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</si>
  <si>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</si>
  <si>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</si>
  <si>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</si>
  <si>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</si>
  <si>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</si>
  <si>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</si>
  <si>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</si>
  <si>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</si>
  <si>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</si>
  <si>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</si>
  <si>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</si>
  <si>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</si>
  <si>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</si>
  <si>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</si>
  <si>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</si>
  <si>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</si>
  <si>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</si>
  <si>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</si>
  <si>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</si>
  <si>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</si>
  <si>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</si>
  <si>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</si>
  <si>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</si>
  <si>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</si>
  <si>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</si>
  <si>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</si>
  <si>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</si>
  <si>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</si>
  <si>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</si>
  <si>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</si>
  <si>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</si>
  <si>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</si>
  <si>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</si>
  <si>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</si>
  <si>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</si>
  <si>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</si>
  <si>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</si>
  <si>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</si>
  <si>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</si>
  <si>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</si>
  <si>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</si>
  <si>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</si>
  <si>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</si>
  <si>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</si>
  <si>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</si>
  <si>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</si>
  <si>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</si>
  <si>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</si>
  <si>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</si>
  <si>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</si>
  <si>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</si>
  <si>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</si>
  <si>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</si>
  <si>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</si>
  <si>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</si>
  <si>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</si>
  <si>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</si>
  <si>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</si>
  <si>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</si>
  <si>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</si>
  <si>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</si>
  <si>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</si>
  <si>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</si>
  <si>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</si>
  <si>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</si>
  <si>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</si>
  <si>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</si>
  <si>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</si>
  <si>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</si>
  <si>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</si>
  <si>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</si>
  <si>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</si>
  <si>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</si>
  <si>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</si>
  <si>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</si>
  <si>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</si>
  <si>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</si>
  <si>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</si>
  <si>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</si>
  <si>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</si>
  <si>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</si>
  <si>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</si>
  <si>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</si>
  <si>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</si>
  <si>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</si>
  <si>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</si>
  <si>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</si>
  <si>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</si>
  <si>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</si>
  <si>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</si>
  <si>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</si>
  <si>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</si>
  <si>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</si>
  <si>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</si>
  <si>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</si>
  <si>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</si>
  <si>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</si>
  <si>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</si>
  <si>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</si>
  <si>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</si>
  <si>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</si>
  <si>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</si>
  <si>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</si>
  <si>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</si>
  <si>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</si>
  <si>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</si>
  <si>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</si>
  <si>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</si>
  <si>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</si>
  <si>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</si>
  <si>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</si>
  <si>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</si>
  <si>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</si>
  <si>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</si>
  <si>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</si>
  <si>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</si>
  <si>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</si>
  <si>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</si>
  <si>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</si>
  <si>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</si>
  <si>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</si>
  <si>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</si>
  <si>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</si>
  <si>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</si>
  <si>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</si>
  <si>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</si>
  <si>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</si>
  <si>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</si>
  <si>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</si>
  <si>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</si>
  <si>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</si>
  <si>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</si>
  <si>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</si>
  <si>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</si>
  <si>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</si>
  <si>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</si>
  <si>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</si>
  <si>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</si>
  <si>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</si>
  <si>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</si>
  <si>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</si>
  <si>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</si>
  <si>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</si>
  <si>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</si>
  <si>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</si>
  <si>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</si>
  <si>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</si>
  <si>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</si>
  <si>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</si>
  <si>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</si>
  <si>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</si>
  <si>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</si>
  <si>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</si>
  <si>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</si>
  <si>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</si>
  <si>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</si>
  <si>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</si>
  <si>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</si>
  <si>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</si>
  <si>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</si>
  <si>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</si>
  <si>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</si>
  <si>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</si>
  <si>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</si>
  <si>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</si>
  <si>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</si>
  <si>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</si>
  <si>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</si>
  <si>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</si>
  <si>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</si>
  <si>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</si>
  <si>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</si>
  <si>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</si>
  <si>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</si>
  <si>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</si>
  <si>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</si>
  <si>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</si>
  <si>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</si>
  <si>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</si>
  <si>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</si>
  <si>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</si>
  <si>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</si>
  <si>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</si>
  <si>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</si>
  <si>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</si>
  <si>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</si>
  <si>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</si>
  <si>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</si>
  <si>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</si>
  <si>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</si>
  <si>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</si>
  <si>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</si>
  <si>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</si>
  <si>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</si>
  <si>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</si>
  <si>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</si>
  <si>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</si>
  <si>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</si>
  <si>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</si>
  <si>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</si>
  <si>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</si>
  <si>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</si>
  <si>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</si>
  <si>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</si>
  <si>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</si>
  <si>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</si>
  <si>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</si>
  <si>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</si>
  <si>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</si>
  <si>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</si>
  <si>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</si>
  <si>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</si>
  <si>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</si>
  <si>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</si>
  <si>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</si>
  <si>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</si>
  <si>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</si>
  <si>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</si>
  <si>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</si>
  <si>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</si>
  <si>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</si>
  <si>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</si>
  <si>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</si>
  <si>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</si>
  <si>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</si>
  <si>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</si>
  <si>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</si>
  <si>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</si>
  <si>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</si>
  <si>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</si>
  <si>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</si>
  <si>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</si>
  <si>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</si>
  <si>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</si>
  <si>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</si>
  <si>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</si>
  <si>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</si>
  <si>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</si>
  <si>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</si>
  <si>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</si>
  <si>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</si>
  <si>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</si>
  <si>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</si>
  <si>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</si>
  <si>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</si>
  <si>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</si>
  <si>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</si>
  <si>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</si>
  <si>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</si>
  <si>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</si>
  <si>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</si>
  <si>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</si>
  <si>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</si>
  <si>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</si>
  <si>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</si>
  <si>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</si>
  <si>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</si>
  <si>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</si>
  <si>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</si>
  <si>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</si>
  <si>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</si>
  <si>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</si>
  <si>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</si>
  <si>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</si>
  <si>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</si>
  <si>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</si>
  <si>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</si>
  <si>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</si>
  <si>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</si>
  <si>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</si>
  <si>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</si>
  <si>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</si>
  <si>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</si>
  <si>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</si>
  <si>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</si>
  <si>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</si>
  <si>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</si>
  <si>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</si>
  <si>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</si>
  <si>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</si>
  <si>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</si>
  <si>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</si>
  <si>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</si>
  <si>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</si>
  <si>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</si>
  <si>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</si>
  <si>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</si>
  <si>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</si>
  <si>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</si>
  <si>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</si>
  <si>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</si>
  <si>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</si>
  <si>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</si>
  <si>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</si>
  <si>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</si>
  <si>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</si>
  <si>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</si>
  <si>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</si>
  <si>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</si>
  <si>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</si>
  <si>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</si>
  <si>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</si>
  <si>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</si>
  <si>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</si>
  <si>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</si>
  <si>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</si>
  <si>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</si>
  <si>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</si>
  <si>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</si>
  <si>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</si>
  <si>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</si>
  <si>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</si>
  <si>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</si>
  <si>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</si>
  <si>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</si>
  <si>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</si>
  <si>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</si>
  <si>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</si>
  <si>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</si>
  <si>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</si>
  <si>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</si>
  <si>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</si>
  <si>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</si>
  <si>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</si>
  <si>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</si>
  <si>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</si>
  <si>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</si>
  <si>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</si>
  <si>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</si>
  <si>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</si>
  <si>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</si>
  <si>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</si>
  <si>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</si>
  <si>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</si>
  <si>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</si>
  <si>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</si>
  <si>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</si>
  <si>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</si>
  <si>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</si>
  <si>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</si>
  <si>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</si>
  <si>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</si>
  <si>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</si>
  <si>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</si>
  <si>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</si>
  <si>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</si>
  <si>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</si>
  <si>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</si>
  <si>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</si>
  <si>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</si>
  <si>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</si>
  <si>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新秀麗</t>
  </si>
  <si>
    <t>1910.HK</t>
  </si>
  <si>
    <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</si>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</sst>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1383064083</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14.62</v>
      </c>
      <c r="D12" s="50"/>
      <c r="E12" s="48"/>
    </row>
    <row r="13" spans="1:10">
      <c r="B13" s="1" t="s">
        <v>425</v>
      </c>
      <c r="C13" s="48" t="s">
        <v>404</v>
      </c>
      <c r="D13" s="48"/>
      <c r="E13" s="5"/>
    </row>
    <row r="14" spans="1:10">
      <c r="B14" s="4" t="s">
        <v>429</v>
      </c>
      <c r="C14" s="35">
        <f>Thesis!C12*Common_Shares/1000000</f>
        <v>20220.396893459998</v>
      </c>
      <c r="D14" s="35" t="str">
        <f>IF(D11="","",Thesis!D12*Common_Shares/1000000)</f>
        <v/>
      </c>
      <c r="E14" s="5"/>
    </row>
    <row r="15" spans="1:10">
      <c r="B15" s="4" t="s">
        <v>428</v>
      </c>
      <c r="C15" s="32" t="str">
        <f>IF(C22=C13,C13,C22&amp;"/"&amp;C13)</f>
        <v>USD/HKD</v>
      </c>
      <c r="D15" s="32" t="str">
        <f>IF(D11="","",IF(C22=D13,D13,C22&amp;"/"&amp;D13))</f>
        <v/>
      </c>
      <c r="E15" s="5"/>
    </row>
    <row r="16" spans="1:10">
      <c r="B16" s="4" t="s">
        <v>1</v>
      </c>
      <c r="C16" s="50">
        <v>7.7786</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High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(HKD):</v>
      </c>
      <c r="C25" s="252">
        <f>C139</f>
        <v>9.1359587259076722</v>
      </c>
      <c r="D25" s="1" t="s">
        <v>315</v>
      </c>
      <c r="E25" s="330">
        <v>3</v>
      </c>
    </row>
    <row r="26" spans="1:6">
      <c r="B26" s="1" t="s">
        <v>407</v>
      </c>
      <c r="C26" s="280">
        <f ca="1">Scenarios!C87</f>
        <v>0.10088016442395631</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553.11898834421322</v>
      </c>
      <c r="D35" s="1" t="str">
        <f>Reporting_currency</f>
        <v>USD</v>
      </c>
    </row>
    <row r="36" spans="2:6">
      <c r="B36" s="47"/>
      <c r="C36" s="76"/>
    </row>
    <row r="37" spans="2:6" ht="24.4" customHeight="1">
      <c r="B37" s="344" t="s">
        <v>234</v>
      </c>
      <c r="C37" s="344"/>
      <c r="D37" s="344"/>
      <c r="E37" s="344"/>
      <c r="F37" s="344"/>
    </row>
    <row r="38" spans="2:6">
      <c r="B38" s="47" t="s">
        <v>235</v>
      </c>
      <c r="C38" s="188">
        <f>Normalized_FCF!C9</f>
        <v>0</v>
      </c>
      <c r="D38" s="1" t="str">
        <f>Reporting_currency</f>
        <v>USD</v>
      </c>
    </row>
    <row r="39" spans="2:6">
      <c r="B39" s="52" t="s">
        <v>236</v>
      </c>
      <c r="C39" s="188">
        <f>Normalized_FCF!C10</f>
        <v>0</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7.0230849715326169</v>
      </c>
      <c r="D45" s="1" t="str">
        <f>Reporting_currency</f>
        <v>USD</v>
      </c>
      <c r="E45" s="321"/>
      <c r="F45" s="321"/>
    </row>
    <row r="46" spans="2:6">
      <c r="B46" s="47" t="s">
        <v>349</v>
      </c>
      <c r="C46" s="322">
        <f>Normalized_FCF!C47</f>
        <v>-152</v>
      </c>
      <c r="D46" s="1" t="str">
        <f>Reporting_currency</f>
        <v>USD</v>
      </c>
      <c r="E46" s="321"/>
      <c r="F46" s="321"/>
    </row>
    <row r="47" spans="2:6">
      <c r="B47" s="47" t="s">
        <v>239</v>
      </c>
      <c r="C47" s="188">
        <f>Normalized_FCF!C12</f>
        <v>-144.97691502846737</v>
      </c>
      <c r="D47" s="1" t="str">
        <f>Reporting_currency</f>
        <v>USD</v>
      </c>
    </row>
    <row r="49" spans="2:6">
      <c r="B49" s="1" t="s">
        <v>247</v>
      </c>
    </row>
    <row r="50" spans="2:6">
      <c r="B50" s="47" t="s">
        <v>266</v>
      </c>
      <c r="C50" s="188">
        <f>Normalized_FCF!C15</f>
        <v>-32.451765153160977</v>
      </c>
      <c r="D50" s="1" t="str">
        <f>Reporting_currency</f>
        <v>USD</v>
      </c>
    </row>
    <row r="52" spans="2:6">
      <c r="B52" s="344" t="s">
        <v>242</v>
      </c>
      <c r="C52" s="344"/>
      <c r="D52" s="344"/>
      <c r="E52" s="344"/>
      <c r="F52" s="344"/>
    </row>
    <row r="53" spans="2:6">
      <c r="B53" s="47" t="s">
        <v>240</v>
      </c>
      <c r="C53" s="188">
        <f>Normalized_FCF!C14</f>
        <v>-102.03551832893646</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342.2230849715325</v>
      </c>
      <c r="D61" s="1" t="str">
        <f>Reporting_currency</f>
        <v>USD</v>
      </c>
    </row>
    <row r="62" spans="2:6">
      <c r="B62" s="47" t="s">
        <v>249</v>
      </c>
      <c r="C62" s="188">
        <f>Normalized_FCF!C19</f>
        <v>273.65478983364841</v>
      </c>
      <c r="D62" s="1" t="str">
        <f>Reporting_currency</f>
        <v>USD</v>
      </c>
    </row>
    <row r="63" spans="2:6">
      <c r="B63" s="254" t="s">
        <v>398</v>
      </c>
      <c r="C63" s="92">
        <f>Normalized_FCF!C125</f>
        <v>0.10527247112980752</v>
      </c>
    </row>
    <row r="64" spans="2:6">
      <c r="B64" s="254" t="s">
        <v>316</v>
      </c>
      <c r="C64" s="92">
        <f>Normalized_FCF!C93</f>
        <v>5.7142383036935702E-2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19.238544098972323</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2323</v>
      </c>
      <c r="D91" s="1" t="str">
        <f>Reporting_currency</f>
        <v>USD</v>
      </c>
    </row>
    <row r="92" spans="1:6">
      <c r="B92" s="47" t="s">
        <v>285</v>
      </c>
      <c r="C92" s="248">
        <f>C91*scaling_factor*Exchange_Rate/Common_Shares</f>
        <v>13.064967865267022</v>
      </c>
      <c r="D92" s="1" t="str">
        <f>Market_currency</f>
        <v>HKD</v>
      </c>
    </row>
    <row r="93" spans="1:6">
      <c r="B93" s="336" t="s">
        <v>412</v>
      </c>
      <c r="C93" s="337">
        <f>BS!G30/BS!G27</f>
        <v>2.2875080906148866</v>
      </c>
    </row>
    <row r="94" spans="1:6">
      <c r="B94" s="336" t="s">
        <v>413</v>
      </c>
      <c r="C94" s="337">
        <f>BS!G31/BS!G27</f>
        <v>1.5035598705501618</v>
      </c>
    </row>
    <row r="95" spans="1:6">
      <c r="B95" s="336" t="s">
        <v>415</v>
      </c>
      <c r="C95" s="338">
        <f>BS!C50</f>
        <v>4.1998196571663646</v>
      </c>
    </row>
    <row r="97" spans="1:6">
      <c r="B97" s="1" t="s">
        <v>255</v>
      </c>
    </row>
    <row r="98" spans="1:6">
      <c r="B98" s="47" t="s">
        <v>265</v>
      </c>
      <c r="C98" s="188">
        <f>BS!C66</f>
        <v>676.3</v>
      </c>
      <c r="D98" s="1" t="str">
        <f>Reporting_currency</f>
        <v>USD</v>
      </c>
    </row>
    <row r="99" spans="1:6">
      <c r="B99" s="47" t="s">
        <v>267</v>
      </c>
      <c r="C99" s="188">
        <f>Valuation_Model!C8</f>
        <v>327.05644365827135</v>
      </c>
      <c r="D99" s="1" t="str">
        <f>Reporting_currency</f>
        <v>USD</v>
      </c>
    </row>
    <row r="100" spans="1:6">
      <c r="B100" s="47" t="s">
        <v>286</v>
      </c>
      <c r="C100" s="248">
        <f>C99*scaling_factor*Exchange_Rate/Common_Shares</f>
        <v>1.8394239890330735</v>
      </c>
      <c r="D100" s="1" t="str">
        <f>Market_currency</f>
        <v>HKD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HKD</v>
      </c>
    </row>
    <row r="106" spans="1:6" ht="24.4" customHeight="1">
      <c r="B106" s="343" t="s">
        <v>374</v>
      </c>
      <c r="C106" s="343"/>
      <c r="D106" s="343"/>
      <c r="E106" s="343"/>
      <c r="F106" s="343"/>
    </row>
    <row r="108" spans="1:6">
      <c r="B108" s="47" t="s">
        <v>283</v>
      </c>
      <c r="C108" s="248">
        <f>Valuation_Model!C12</f>
        <v>8.0130002227383752</v>
      </c>
      <c r="D108" s="1" t="str">
        <f>Market_currency</f>
        <v>HKD</v>
      </c>
    </row>
    <row r="109" spans="1:6">
      <c r="B109" s="336" t="s">
        <v>414</v>
      </c>
      <c r="C109" s="248">
        <f>BS!D47</f>
        <v>-12.166449024907546</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0.25</v>
      </c>
      <c r="D116" s="257">
        <f>Valuation_Model!D74</f>
        <v>15</v>
      </c>
      <c r="E116" s="258" t="str">
        <f>ROUND(Valuation_Model!E74,2)&amp;" "&amp;Market_currency</f>
        <v>86.43 HKD</v>
      </c>
      <c r="F116" s="259">
        <f>Valuation_Model!F74</f>
        <v>0.05</v>
      </c>
    </row>
    <row r="117" spans="1:6">
      <c r="B117" s="242" t="str">
        <f>Valuation_Model!B75</f>
        <v>Optimistic</v>
      </c>
      <c r="C117" s="243">
        <f>Valuation_Model!C75</f>
        <v>0.15</v>
      </c>
      <c r="D117" s="244">
        <f>Valuation_Model!D75</f>
        <v>10</v>
      </c>
      <c r="E117" s="245" t="str">
        <f>ROUND(Valuation_Model!E75,2)&amp;" "&amp;Market_currency</f>
        <v>21.12 HKD</v>
      </c>
      <c r="F117" s="246">
        <f>Valuation_Model!F75</f>
        <v>0.18</v>
      </c>
    </row>
    <row r="118" spans="1:6">
      <c r="B118" s="242" t="str">
        <f>Valuation_Model!B76</f>
        <v>Base</v>
      </c>
      <c r="C118" s="243">
        <f>Valuation_Model!C76</f>
        <v>0.06</v>
      </c>
      <c r="D118" s="244">
        <f>Valuation_Model!D76</f>
        <v>10</v>
      </c>
      <c r="E118" s="245" t="str">
        <f>ROUND(Valuation_Model!E76,2)&amp;" "&amp;Market_currency</f>
        <v>12.13 HKD</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9.26 HKD</v>
      </c>
      <c r="F119" s="246">
        <f>Valuation_Model!F77</f>
        <v>0.18</v>
      </c>
    </row>
    <row r="120" spans="1:6">
      <c r="B120" s="242" t="str">
        <f>Valuation_Model!B78</f>
        <v>Devil's advocate</v>
      </c>
      <c r="C120" s="243">
        <f>Valuation_Model!C78</f>
        <v>0</v>
      </c>
      <c r="D120" s="244">
        <f>Valuation_Model!D78</f>
        <v>15</v>
      </c>
      <c r="E120" s="245" t="str">
        <f>ROUND(Valuation_Model!E78,2)&amp;" "&amp;Market_currency</f>
        <v>8.01 HKD</v>
      </c>
      <c r="F120" s="246">
        <f>Valuation_Model!F78</f>
        <v>0.05</v>
      </c>
    </row>
    <row r="122" spans="1:6">
      <c r="B122" s="235" t="s">
        <v>259</v>
      </c>
      <c r="C122" s="241">
        <f>Scenarios!C60</f>
        <v>16.73836897721916</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0.83542163999999997</v>
      </c>
      <c r="D133" s="236" t="str">
        <f>Market_currency</f>
        <v>HKD</v>
      </c>
    </row>
    <row r="135" spans="2:6">
      <c r="B135" s="234" t="s">
        <v>418</v>
      </c>
      <c r="C135" s="270" t="str">
        <f>C11</f>
        <v>1910.HK</v>
      </c>
      <c r="D135" s="270" t="str">
        <f>IF(D11="","",D11)</f>
        <v/>
      </c>
    </row>
    <row r="136" spans="2:6">
      <c r="B136" s="1" t="s">
        <v>416</v>
      </c>
      <c r="C136" s="337">
        <f>C24</f>
        <v>0.3</v>
      </c>
    </row>
    <row r="137" spans="2:6">
      <c r="B137" s="236" t="str">
        <f>"PV("&amp;C131&amp;" yrs of Dividends)"</f>
        <v>PV(3 yrs of Dividends)</v>
      </c>
      <c r="C137" s="240">
        <f>Scenarios!C81</f>
        <v>1.5172200016385984</v>
      </c>
    </row>
    <row r="138" spans="2:6">
      <c r="B138" s="236" t="str">
        <f>"+ PV(Equity Value realized at year "&amp;C131&amp;")"</f>
        <v>+ PV(Equity Value realized at year 3)</v>
      </c>
      <c r="C138" s="240">
        <f>Scenarios!C82</f>
        <v>7.6187387242690745</v>
      </c>
    </row>
    <row r="139" spans="2:6">
      <c r="B139" s="80" t="s">
        <v>261</v>
      </c>
      <c r="C139" s="239">
        <f>Scenarios!C83</f>
        <v>9.1359587259076722</v>
      </c>
      <c r="D139" s="342" t="str">
        <f>IF($D$11="","",C139*$E$22)</f>
        <v/>
      </c>
    </row>
    <row r="140" spans="2:6">
      <c r="B140" s="290" t="s">
        <v>425</v>
      </c>
      <c r="C140" s="340" t="str">
        <f>Market_currency</f>
        <v>HKD</v>
      </c>
      <c r="D140" s="340" t="str">
        <f>IF($D$11="","",D$13)</f>
        <v/>
      </c>
    </row>
    <row r="141" spans="2:6">
      <c r="B141" s="238" t="s">
        <v>263</v>
      </c>
      <c r="C141" s="92">
        <f>Scenarios!F83</f>
        <v>0.45419062404815735</v>
      </c>
    </row>
    <row r="143" spans="2:6">
      <c r="B143" s="234" t="s">
        <v>421</v>
      </c>
    </row>
    <row r="144" spans="2:6">
      <c r="B144" s="1" t="s">
        <v>420</v>
      </c>
      <c r="C144" s="337">
        <f>Scenarios!C90</f>
        <v>0.2</v>
      </c>
    </row>
    <row r="145" spans="1:6">
      <c r="B145" s="236" t="str">
        <f>"PV("&amp;C131&amp;" yrs of Dividends)"</f>
        <v>PV(3 yrs of Dividends)</v>
      </c>
      <c r="C145" s="240">
        <f>Scenarios!C91</f>
        <v>1.7598002138888889</v>
      </c>
    </row>
    <row r="146" spans="1:6">
      <c r="B146" s="236" t="str">
        <f>"+ PV(Equity Value realized at year "&amp;C131&amp;")"</f>
        <v>+ PV(Equity Value realized at year 3)</v>
      </c>
      <c r="C146" s="240">
        <f>Scenarios!C92</f>
        <v>9.6865561210759026</v>
      </c>
    </row>
    <row r="147" spans="1:6">
      <c r="B147" s="80" t="s">
        <v>261</v>
      </c>
      <c r="C147" s="239">
        <f>Scenarios!C93</f>
        <v>11.446356334964792</v>
      </c>
      <c r="D147" s="342" t="str">
        <f>IF($D$11="","",C147*$E$22)</f>
        <v/>
      </c>
    </row>
    <row r="148" spans="1:6">
      <c r="B148" s="290" t="s">
        <v>425</v>
      </c>
      <c r="C148" s="340" t="str">
        <f>Market_currency</f>
        <v>HKD</v>
      </c>
      <c r="D148" s="340" t="str">
        <f>IF($D$11="","",D$13)</f>
        <v/>
      </c>
    </row>
    <row r="149" spans="1:6">
      <c r="B149" s="238" t="s">
        <v>263</v>
      </c>
      <c r="C149" s="92">
        <f>Scenarios!F93</f>
        <v>0.31616059183883283</v>
      </c>
    </row>
    <row r="151" spans="1:6">
      <c r="B151" s="234" t="s">
        <v>408</v>
      </c>
    </row>
    <row r="152" spans="1:6">
      <c r="B152" s="1" t="s">
        <v>419</v>
      </c>
      <c r="C152" s="92">
        <f>Scenarios!C96</f>
        <v>0.08</v>
      </c>
    </row>
    <row r="153" spans="1:6">
      <c r="B153" s="236" t="str">
        <f>"PV("&amp;C131&amp;" yrs of Dividends)"</f>
        <v>PV(3 yrs of Dividends)</v>
      </c>
      <c r="C153" s="240">
        <f>Scenarios!C97</f>
        <v>2.1529625915256831</v>
      </c>
    </row>
    <row r="154" spans="1:6">
      <c r="B154" s="236" t="str">
        <f>"+ PV(Equity Value realized at year "&amp;C131&amp;")"</f>
        <v>+ PV(Equity Value realized at year 3)</v>
      </c>
      <c r="C154" s="240">
        <f>Scenarios!C98</f>
        <v>13.28745695620837</v>
      </c>
    </row>
    <row r="155" spans="1:6">
      <c r="B155" s="80" t="s">
        <v>409</v>
      </c>
      <c r="C155" s="239">
        <f>Scenarios!C99</f>
        <v>15.440419547734052</v>
      </c>
      <c r="D155" s="342" t="str">
        <f>IF($D$11="","",C155*$E$22)</f>
        <v/>
      </c>
    </row>
    <row r="156" spans="1:6">
      <c r="B156" s="290" t="s">
        <v>425</v>
      </c>
      <c r="C156" s="340" t="str">
        <f>Market_currency</f>
        <v>HKD</v>
      </c>
      <c r="D156" s="340" t="str">
        <f>IF($D$11="","",D$13)</f>
        <v/>
      </c>
    </row>
    <row r="157" spans="1:6">
      <c r="B157" s="238" t="s">
        <v>263</v>
      </c>
      <c r="C157" s="92">
        <f>Scenarios!F99</f>
        <v>7.7543363469380511E-2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0.83542163999999997</v>
      </c>
      <c r="D25" s="39">
        <f>0.1026*Exchange_Rate</f>
        <v>0.79808435999999994</v>
      </c>
      <c r="E25" s="39">
        <v>0</v>
      </c>
      <c r="F25" s="39">
        <v>0</v>
      </c>
      <c r="G25" s="39">
        <v>0</v>
      </c>
      <c r="H25" s="39"/>
      <c r="I25" s="39"/>
      <c r="J25" s="39"/>
      <c r="K25" s="39"/>
      <c r="L25" s="39"/>
      <c r="M25" s="39"/>
    </row>
    <row r="27" spans="2:13">
      <c r="B27" s="16" t="s">
        <v>28</v>
      </c>
      <c r="C27" s="97" t="s">
        <v>436</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0.83542163999999997</v>
      </c>
      <c r="D65" s="73">
        <f t="shared" ref="D65:M65" si="33">IF(D$4="","",D25)</f>
        <v>0.79808435999999994</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81">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8.3024130704723103</v>
      </c>
      <c r="D47" s="148">
        <f>D46*H1/Common_Shares*Exchange_Rate</f>
        <v>-12.166449024907546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327.05644365827135</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-342.63680537041301</v>
      </c>
      <c r="D73" s="188">
        <f>(Normalized_FCF!C25+Normalized_FCF!C35-Normalized_FCF!C91)/12</f>
        <v>-349.24355634172861</v>
      </c>
      <c r="F73" s="1" t="s">
        <v>359</v>
      </c>
    </row>
    <row r="74" spans="2:6" ht="15" customHeight="1">
      <c r="B74" s="288" t="s">
        <v>329</v>
      </c>
      <c r="C74" s="289">
        <f>-$C$66/C73</f>
        <v>1.9738101377313362</v>
      </c>
      <c r="D74" s="289">
        <f>-$C$66/D73</f>
        <v>1.936470946190493</v>
      </c>
      <c r="F74" s="283" t="s">
        <v>327</v>
      </c>
    </row>
    <row r="75" spans="2:6" ht="15" customHeight="1">
      <c r="B75" s="80" t="s">
        <v>328</v>
      </c>
      <c r="C75" s="293"/>
      <c r="D75" s="292">
        <f>MAX(-D73*D76,G5)</f>
        <v>349.24355634172861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-18069.6878</v>
      </c>
      <c r="D86" s="248">
        <f>C86*scaling_factor/Common_Shares</f>
        <v>-13.064967865267022</v>
      </c>
      <c r="E86" s="269" t="str">
        <f>Market_currency</f>
        <v>HKD</v>
      </c>
    </row>
    <row r="87" spans="2:8" ht="15" customHeight="1">
      <c r="B87" s="267" t="s">
        <v>294</v>
      </c>
      <c r="C87" s="188">
        <f>Valuation_Model!C8*Exchange_Rate</f>
        <v>2544.0412526402297</v>
      </c>
      <c r="D87" s="248">
        <f>C87*scaling_factor/Common_Shares</f>
        <v>1.8394239890330735</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-15525.646547359771</v>
      </c>
      <c r="D89" s="271">
        <f>SUM(D86:D88)</f>
        <v>-11.225543876233948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-144.97691502846737</v>
      </c>
      <c r="E12" s="302"/>
      <c r="G12" s="191">
        <f>G50</f>
        <v>-144.97691502846737</v>
      </c>
      <c r="H12" s="191">
        <f t="shared" ref="H12:Q12" si="6">H50</f>
        <v>-165.61543271375615</v>
      </c>
      <c r="I12" s="191">
        <f t="shared" si="6"/>
        <v>-133.75565090077302</v>
      </c>
      <c r="J12" s="191">
        <f t="shared" si="6"/>
        <v>-167.14094809577077</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408.14207331574585</v>
      </c>
      <c r="E13" s="302"/>
      <c r="G13" s="184">
        <f>IF(G$4="","",SUM(G8:G12))</f>
        <v>487.42308497153249</v>
      </c>
      <c r="H13" s="184">
        <f t="shared" ref="H13:Q13" si="7">IF(H$4="","",SUM(H8:H12))</f>
        <v>497.88456728624408</v>
      </c>
      <c r="I13" s="184">
        <f t="shared" si="7"/>
        <v>286.44434909922677</v>
      </c>
      <c r="J13" s="184">
        <f t="shared" si="7"/>
        <v>-53.540948095770631</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-102.03551832893646</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273.65478983364841</v>
      </c>
      <c r="D16" s="61"/>
      <c r="E16" s="310"/>
      <c r="F16" s="61"/>
      <c r="G16" s="184">
        <f>IF(G$4="","",SUM(G13:G15))</f>
        <v>342.2230849715325</v>
      </c>
      <c r="H16" s="184">
        <f t="shared" ref="H16:Q16" si="8">IF(H$4="","",SUM(H13:H15))</f>
        <v>329.98456728624404</v>
      </c>
      <c r="I16" s="184">
        <f t="shared" si="8"/>
        <v>236.54434909922676</v>
      </c>
      <c r="J16" s="184">
        <f t="shared" si="8"/>
        <v>-6.5409480957706272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273.65478983364841</v>
      </c>
      <c r="D19" s="27"/>
      <c r="E19" s="299"/>
      <c r="F19" s="27"/>
      <c r="G19" s="186">
        <f>IF(G$4="","",G16+G17)</f>
        <v>342.2230849715325</v>
      </c>
      <c r="H19" s="186">
        <f t="shared" ref="H19:Q19" si="9">IF(H$4="","",H16+H17)</f>
        <v>329.98456728624404</v>
      </c>
      <c r="I19" s="186">
        <f t="shared" si="9"/>
        <v>236.54434909922676</v>
      </c>
      <c r="J19" s="186">
        <f t="shared" si="9"/>
        <v>-6.5409480957706272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0.24270495930021288</v>
      </c>
      <c r="H43" s="6">
        <f t="shared" si="18"/>
        <v>0.2703437881869829</v>
      </c>
      <c r="I43" s="6">
        <f t="shared" si="18"/>
        <v>8.4833232271523271E-2</v>
      </c>
      <c r="J43" s="6">
        <f t="shared" si="18"/>
        <v>1.0496638927549999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7.0230849715326169</v>
      </c>
      <c r="E48" s="302"/>
      <c r="G48" s="328">
        <f>IFERROR(IF(G$4="","",($C$48/$C$49)*G49),0)</f>
        <v>7.0230849715326169</v>
      </c>
      <c r="H48" s="328">
        <f t="shared" ref="H48:Q48" si="19">IFERROR(IF(H$4="","",($C$48/$C$49)*H49),0)</f>
        <v>7.3845672862438558</v>
      </c>
      <c r="I48" s="328">
        <f t="shared" si="19"/>
        <v>4.5443490992269879</v>
      </c>
      <c r="J48" s="328">
        <f t="shared" si="19"/>
        <v>1.8590519042292224</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-144.97691502846737</v>
      </c>
      <c r="E50" s="302"/>
      <c r="G50" s="184">
        <f>IF(G$4="","",(G47+G48))</f>
        <v>-144.97691502846737</v>
      </c>
      <c r="H50" s="184">
        <f t="shared" ref="H50:Q50" si="20">IF(H$4="","",(H47+H48))</f>
        <v>-165.61543271375615</v>
      </c>
      <c r="I50" s="184">
        <f t="shared" si="20"/>
        <v>-133.75565090077302</v>
      </c>
      <c r="J50" s="184">
        <f t="shared" si="20"/>
        <v>-167.14094809577077</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4.0399296390923309E-2</v>
      </c>
      <c r="D80" s="27"/>
      <c r="E80" s="299"/>
      <c r="F80" s="27"/>
      <c r="G80" s="6">
        <f t="shared" ref="G80:Q80" si="31">IF(G$4="","",ABS(G12/G$4))</f>
        <v>4.0399296390923309E-2</v>
      </c>
      <c r="H80" s="6">
        <f t="shared" si="31"/>
        <v>4.4974862240320483E-2</v>
      </c>
      <c r="I80" s="6">
        <f t="shared" si="31"/>
        <v>4.6449385644107874E-2</v>
      </c>
      <c r="J80" s="6">
        <f t="shared" si="31"/>
        <v>8.271028706243605E-2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0.11373295249282335</v>
      </c>
      <c r="D81" s="27"/>
      <c r="E81" s="299"/>
      <c r="F81" s="27"/>
      <c r="G81" s="65">
        <f t="shared" ref="G81:Q81" si="32">IF(G$4="","",G13/G$4)</f>
        <v>0.13582541519576785</v>
      </c>
      <c r="H81" s="65">
        <f t="shared" si="32"/>
        <v>0.13520654119222356</v>
      </c>
      <c r="I81" s="65">
        <f t="shared" si="32"/>
        <v>9.9473659223234742E-2</v>
      </c>
      <c r="J81" s="65">
        <f t="shared" si="32"/>
        <v>-2.6494926809070979E-2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2.8433238123205837E-2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7.6256698944894508E-2</v>
      </c>
      <c r="D84" s="27"/>
      <c r="E84" s="299"/>
      <c r="F84" s="27"/>
      <c r="G84" s="65">
        <f t="shared" ref="G84:Q84" si="35">IF(G$4="","",ABS(G16/G$4))</f>
        <v>9.5363953901669879E-2</v>
      </c>
      <c r="H84" s="65">
        <f t="shared" si="35"/>
        <v>8.9611277233935485E-2</v>
      </c>
      <c r="I84" s="65">
        <f t="shared" si="35"/>
        <v>8.2144863557170017E-2</v>
      </c>
      <c r="J84" s="65">
        <f t="shared" si="35"/>
        <v>3.2368112112879195E-3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7.6256698944894508E-2</v>
      </c>
      <c r="D87" s="75"/>
      <c r="E87" s="299"/>
      <c r="F87" s="75"/>
      <c r="G87" s="65">
        <f t="shared" ref="G87:Q87" si="36">IF(G$4="","",ABS(G19/G$4))</f>
        <v>9.5363953901669879E-2</v>
      </c>
      <c r="H87" s="65">
        <f t="shared" si="36"/>
        <v>8.9611277233935485E-2</v>
      </c>
      <c r="I87" s="65">
        <f t="shared" si="36"/>
        <v>8.2144863557170017E-2</v>
      </c>
      <c r="J87" s="65">
        <f t="shared" si="36"/>
        <v>3.2368112112879195E-3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0.83542163999999997</v>
      </c>
      <c r="E90" s="302"/>
      <c r="G90" s="113">
        <f>Data!C65</f>
        <v>0.83542163999999997</v>
      </c>
      <c r="H90" s="113">
        <f>Data!D65</f>
        <v>0.79808435999999994</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1155.4416644449561</v>
      </c>
      <c r="E91" s="302"/>
      <c r="G91" s="74">
        <f t="shared" ref="G91:Q91" si="37">IF(G$4="","",G90*Common_Shares/scaling_factor)</f>
        <v>1155.4416644449561</v>
      </c>
      <c r="H91" s="74">
        <f t="shared" si="37"/>
        <v>1103.8018135200416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4.2222599690191274</v>
      </c>
      <c r="E92" s="302"/>
      <c r="G92" s="171">
        <f t="shared" ref="G92:Q92" si="38">IF(G$4="","",G90/(G19*scaling_factor/Common_Shares))</f>
        <v>3.3762820662465547</v>
      </c>
      <c r="H92" s="171">
        <f t="shared" si="38"/>
        <v>3.3450104124492359</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5.7142383036935702E-2</v>
      </c>
      <c r="E93" s="302"/>
      <c r="G93" s="23">
        <f t="shared" ref="G93:Q93" si="39">IF(G$4="","",G90/Market_Price)</f>
        <v>5.7142383036935702E-2</v>
      </c>
      <c r="H93" s="23">
        <f t="shared" si="39"/>
        <v>5.4588533515731875E-2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-0.16265337875906505</v>
      </c>
      <c r="D97" s="27"/>
      <c r="E97" s="299"/>
      <c r="F97" s="27"/>
      <c r="G97" s="6">
        <f t="shared" ref="G97:Q97" si="41">IF(H5="","",G13/H13-1)</f>
        <v>-2.1011862994132713E-2</v>
      </c>
      <c r="H97" s="6">
        <f t="shared" si="41"/>
        <v>0.73815461485599987</v>
      </c>
      <c r="I97" s="6">
        <f t="shared" si="41"/>
        <v>-6.3500051696292976</v>
      </c>
      <c r="J97" s="6">
        <f t="shared" si="41"/>
        <v>-0.82817410752320075</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165.0385449733709</v>
      </c>
      <c r="H114" s="334">
        <f>IF(H$4="","",Data!D$22/H19)</f>
        <v>161.88635862373829</v>
      </c>
      <c r="I114" s="334">
        <f>IF(I$4="","",Data!E$22/I19)</f>
        <v>117.3987039037272</v>
      </c>
      <c r="J114" s="334">
        <f>IF(J$4="","",Data!F$22/J19)</f>
        <v>-5918.1023046230657</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0.11373295249282335</v>
      </c>
      <c r="E117" s="302"/>
      <c r="G117" s="23">
        <f t="shared" ref="G117:Q117" si="45">G81</f>
        <v>0.13582541519576785</v>
      </c>
      <c r="H117" s="23">
        <f t="shared" si="45"/>
        <v>0.13520654119222356</v>
      </c>
      <c r="I117" s="23">
        <f t="shared" si="45"/>
        <v>9.9473659223234742E-2</v>
      </c>
      <c r="J117" s="23">
        <f t="shared" si="45"/>
        <v>-2.6494926809070979E-2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1.5390835279177857</v>
      </c>
      <c r="D124" s="27"/>
      <c r="E124" s="299"/>
      <c r="F124" s="27"/>
      <c r="G124" s="178">
        <f t="shared" ref="G124:Q124" si="49">IF(G$4="","",G16*$C$3/Common_Shares*Exchange_Rate)</f>
        <v>1.9247238949227798</v>
      </c>
      <c r="H124" s="178">
        <f t="shared" si="49"/>
        <v>1.8558922805117612</v>
      </c>
      <c r="I124" s="178">
        <f t="shared" si="49"/>
        <v>1.3303677656874309</v>
      </c>
      <c r="J124" s="178">
        <f t="shared" si="49"/>
        <v>-3.67874630562302E-2</v>
      </c>
      <c r="K124" s="178">
        <f t="shared" si="49"/>
        <v>-1.2215716833129557</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0.10527247112980752</v>
      </c>
      <c r="D125" s="27"/>
      <c r="E125" s="299"/>
      <c r="F125" s="27"/>
      <c r="G125" s="77">
        <f t="shared" ref="G125" si="50">IF(G$4="","",G124/Market_Price)</f>
        <v>0.13165006121222844</v>
      </c>
      <c r="H125" s="77">
        <f t="shared" ref="H125" si="51">IF(H$4="","",H124/Market_Price)</f>
        <v>0.12694201645087286</v>
      </c>
      <c r="I125" s="77">
        <f t="shared" ref="I125" si="52">IF(I$4="","",I124/Market_Price)</f>
        <v>9.099642720160267E-2</v>
      </c>
      <c r="J125" s="77">
        <f t="shared" ref="J125" si="53">IF(J$4="","",J124/Market_Price)</f>
        <v>-2.5162423431074011E-3</v>
      </c>
      <c r="K125" s="77">
        <f t="shared" ref="K125" si="54">IF(K$4="","",K124/Market_Price)</f>
        <v>-8.3554834699928582E-2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1.8426938005381695E-2</v>
      </c>
      <c r="H126" s="23">
        <f>IF(H$4="","",(Data!D47*$C$3)/(Market_Price*Common_Shares))</f>
        <v>2.2269592549177073E-2</v>
      </c>
      <c r="I126" s="23">
        <f>IF(I$4="","",(Data!E47*$C$3)/(Market_Price*Common_Shares))</f>
        <v>1.6730631044607158E-2</v>
      </c>
      <c r="J126" s="23">
        <f>IF(J$4="","",(Data!F47*$C$3)/(Market_Price*Common_Shares))</f>
        <v>1.1621928156910087E-3</v>
      </c>
      <c r="K126" s="23">
        <f>IF(K$4="","",(Data!G47*$C$3)/(Market_Price*Common_Shares))</f>
        <v>-6.3698057302553998E-2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273.65478983364841</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3420.6848729206049</v>
      </c>
      <c r="D6" t="str">
        <f>Reporting_currency</f>
        <v>USD</v>
      </c>
      <c r="E6" s="351" t="s">
        <v>250</v>
      </c>
      <c r="F6" s="351"/>
      <c r="H6" s="121"/>
    </row>
    <row r="7" spans="2:8">
      <c r="B7" s="149" t="s">
        <v>225</v>
      </c>
      <c r="C7" s="226">
        <f>BS!G31</f>
        <v>2323</v>
      </c>
      <c r="D7" t="str">
        <f>Reporting_currency</f>
        <v>USD</v>
      </c>
      <c r="E7" s="351"/>
      <c r="F7" s="351"/>
      <c r="H7" s="121"/>
    </row>
    <row r="8" spans="2:8">
      <c r="B8" s="149" t="s">
        <v>226</v>
      </c>
      <c r="C8" s="201">
        <f>BS!D66</f>
        <v>327.05644365827135</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1424.7413165788762</v>
      </c>
      <c r="D10" t="str">
        <f>Reporting_currency</f>
        <v>USD</v>
      </c>
      <c r="H10" s="121"/>
    </row>
    <row r="11" spans="2:8" ht="13.15" thickBot="1">
      <c r="B11" s="230" t="s">
        <v>167</v>
      </c>
      <c r="C11" s="231">
        <f>Exchange_Rate</f>
        <v>7.7786</v>
      </c>
      <c r="D11" t="str">
        <f>Thesis!C15</f>
        <v>USD/HKD</v>
      </c>
      <c r="H11" s="121"/>
    </row>
    <row r="12" spans="2:8" ht="13.5" thickTop="1">
      <c r="B12" s="150" t="s">
        <v>103</v>
      </c>
      <c r="C12" s="112">
        <f>(C10*scaling_factor)/Common_Shares*Exchange_Rate</f>
        <v>8.0130002227383752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16.738709628450355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304.08842504131326</v>
      </c>
      <c r="D21" s="139">
        <f>IF($C$17&lt;B21,0,Valuation_Model!$C$16)</f>
        <v>0.111211776070739</v>
      </c>
      <c r="E21" s="125">
        <f t="shared" ref="E21:E50" si="0">IF($C$17&lt;B21,0,1/(1+Equity_Cost)^B21)</f>
        <v>0.92592592592592582</v>
      </c>
      <c r="F21" s="126">
        <f t="shared" ref="F21:F51" si="1">C21*E21</f>
        <v>281.56335651973444</v>
      </c>
      <c r="H21" s="121"/>
    </row>
    <row r="22" spans="2:8">
      <c r="B22" s="123">
        <v>2</v>
      </c>
      <c r="C22" s="124">
        <f t="shared" ref="C22:C50" si="2">IF(ROW()-ROW($C$21)&lt;$C$17, $C$21*(1+D22)^(ROW()-ROW($C$21)), 0)</f>
        <v>337.90663887271148</v>
      </c>
      <c r="D22" s="139">
        <f>IF($C$17&lt;B22,0,Valuation_Model!$C$16)</f>
        <v>0.111211776070739</v>
      </c>
      <c r="E22" s="125">
        <f t="shared" si="0"/>
        <v>0.85733882030178321</v>
      </c>
      <c r="F22" s="126">
        <f t="shared" si="1"/>
        <v>289.70047914327114</v>
      </c>
      <c r="H22" s="121"/>
    </row>
    <row r="23" spans="2:8">
      <c r="B23" s="123">
        <v>3</v>
      </c>
      <c r="C23" s="124">
        <f t="shared" si="2"/>
        <v>375.48583632783954</v>
      </c>
      <c r="D23" s="139">
        <f>IF($C$17&lt;B23,0,Valuation_Model!$C$16)</f>
        <v>0.111211776070739</v>
      </c>
      <c r="E23" s="125">
        <f t="shared" si="0"/>
        <v>0.79383224102016958</v>
      </c>
      <c r="F23" s="126">
        <f t="shared" si="1"/>
        <v>298.07276292346148</v>
      </c>
      <c r="H23" s="121"/>
    </row>
    <row r="24" spans="2:8">
      <c r="B24" s="123">
        <v>4</v>
      </c>
      <c r="C24" s="124">
        <f t="shared" si="2"/>
        <v>417.24428307526534</v>
      </c>
      <c r="D24" s="139">
        <f>IF($C$17&lt;B24,0,Valuation_Model!$C$16)</f>
        <v>0.111211776070739</v>
      </c>
      <c r="E24" s="125">
        <f t="shared" si="0"/>
        <v>0.73502985279645328</v>
      </c>
      <c r="F24" s="126">
        <f t="shared" si="1"/>
        <v>306.68700396897395</v>
      </c>
      <c r="H24" s="121"/>
    </row>
    <row r="25" spans="2:8">
      <c r="B25" s="123">
        <v>5</v>
      </c>
      <c r="C25" s="124">
        <f t="shared" si="2"/>
        <v>463.64676085142781</v>
      </c>
      <c r="D25" s="139">
        <f>IF($C$17&lt;B25,0,Valuation_Model!$C$16)</f>
        <v>0.111211776070739</v>
      </c>
      <c r="E25" s="125">
        <f t="shared" si="0"/>
        <v>0.68058319703375303</v>
      </c>
      <c r="F25" s="126">
        <f t="shared" si="1"/>
        <v>315.55019479460867</v>
      </c>
      <c r="H25" s="121"/>
    </row>
    <row r="26" spans="2:8">
      <c r="B26" s="123">
        <v>6</v>
      </c>
      <c r="C26" s="124">
        <f t="shared" si="2"/>
        <v>515.20974059516027</v>
      </c>
      <c r="D26" s="139">
        <f>IF($C$17&lt;B26,0,Valuation_Model!$C$16)</f>
        <v>0.111211776070739</v>
      </c>
      <c r="E26" s="125">
        <f t="shared" si="0"/>
        <v>0.63016962688310452</v>
      </c>
      <c r="F26" s="126">
        <f t="shared" si="1"/>
        <v>324.66952999739323</v>
      </c>
      <c r="H26" s="121"/>
    </row>
    <row r="27" spans="2:8">
      <c r="B27" s="123">
        <v>7</v>
      </c>
      <c r="C27" s="124">
        <f t="shared" si="2"/>
        <v>572.50713089569285</v>
      </c>
      <c r="D27" s="139">
        <f>IF($C$17&lt;B27,0,Valuation_Model!$C$16)</f>
        <v>0.111211776070739</v>
      </c>
      <c r="E27" s="125">
        <f t="shared" si="0"/>
        <v>0.58349039526213387</v>
      </c>
      <c r="F27" s="126">
        <f t="shared" si="1"/>
        <v>334.05241209671806</v>
      </c>
      <c r="H27" s="121"/>
    </row>
    <row r="28" spans="2:8">
      <c r="B28" s="123">
        <v>8</v>
      </c>
      <c r="C28" s="124">
        <f t="shared" si="2"/>
        <v>636.17666573576582</v>
      </c>
      <c r="D28" s="139">
        <f>IF($C$17&lt;B28,0,Valuation_Model!$C$16)</f>
        <v>0.111211776070739</v>
      </c>
      <c r="E28" s="125">
        <f t="shared" si="0"/>
        <v>0.54026888450197574</v>
      </c>
      <c r="F28" s="126">
        <f t="shared" si="1"/>
        <v>343.70645754324852</v>
      </c>
      <c r="H28" s="121"/>
    </row>
    <row r="29" spans="2:8">
      <c r="B29" s="123">
        <v>9</v>
      </c>
      <c r="C29" s="124">
        <f t="shared" si="2"/>
        <v>706.92700262700123</v>
      </c>
      <c r="D29" s="139">
        <f>IF($C$17&lt;B29,0,Valuation_Model!$C$16)</f>
        <v>0.111211776070739</v>
      </c>
      <c r="E29" s="125">
        <f t="shared" si="0"/>
        <v>0.50024896713145905</v>
      </c>
      <c r="F29" s="126">
        <f t="shared" si="1"/>
        <v>353.63950290149563</v>
      </c>
      <c r="H29" s="121"/>
    </row>
    <row r="30" spans="2:8">
      <c r="B30" s="123">
        <v>10</v>
      </c>
      <c r="C30" s="124">
        <f t="shared" si="2"/>
        <v>785.54561014151386</v>
      </c>
      <c r="D30" s="139">
        <f>IF($C$17&lt;B30,0,Valuation_Model!$C$16)</f>
        <v>0.111211776070739</v>
      </c>
      <c r="E30" s="125">
        <f t="shared" si="0"/>
        <v>0.46319348808468425</v>
      </c>
      <c r="F30" s="126">
        <f t="shared" si="1"/>
        <v>363.8596112110593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3801.1053130164155</v>
      </c>
      <c r="D51" s="140">
        <f>Terminal_Growth</f>
        <v>0</v>
      </c>
      <c r="E51" s="125">
        <f>1/(1+Equity_Cost)^C17</f>
        <v>0.46319348808468425</v>
      </c>
      <c r="F51" s="126">
        <f t="shared" si="1"/>
        <v>1760.6472285132991</v>
      </c>
      <c r="H51" s="121"/>
    </row>
    <row r="52" spans="1:8">
      <c r="C52" s="115"/>
      <c r="E52" s="128" t="s">
        <v>101</v>
      </c>
      <c r="F52" s="138">
        <f>SUM(F21:F51)</f>
        <v>4972.1485396132639</v>
      </c>
      <c r="H52" s="121"/>
    </row>
    <row r="53" spans="1:8">
      <c r="C53" s="115"/>
      <c r="H53" s="121"/>
    </row>
    <row r="54" spans="1:8" ht="13.15">
      <c r="B54" s="120" t="s">
        <v>130</v>
      </c>
      <c r="C54" s="137"/>
      <c r="D54" s="137"/>
      <c r="E54" s="118"/>
      <c r="F54" s="118"/>
      <c r="H54" s="121"/>
    </row>
    <row r="55" spans="1:8" ht="13.15">
      <c r="A55" s="134">
        <f>F52</f>
        <v>4972.1485396132639</v>
      </c>
      <c r="B55" s="132">
        <f>C78</f>
        <v>0</v>
      </c>
      <c r="C55" s="132">
        <f>C77</f>
        <v>0.02</v>
      </c>
      <c r="D55" s="132">
        <f>C76</f>
        <v>0.06</v>
      </c>
      <c r="E55" s="132">
        <f>C75</f>
        <v>0.15</v>
      </c>
      <c r="F55" s="132">
        <f>C74</f>
        <v>0.25</v>
      </c>
      <c r="H55" s="121"/>
    </row>
    <row r="56" spans="1:8" ht="13.15">
      <c r="A56" s="144">
        <v>5</v>
      </c>
      <c r="B56" s="124">
        <f t="dataTable" ref="B56:F61" dt2D="1" dtr="1" r1="C16" r2="C17"/>
        <v>3420.684872920604</v>
      </c>
      <c r="C56" s="124">
        <v>3531.0540732889604</v>
      </c>
      <c r="D56" s="124">
        <v>3761.8540586195036</v>
      </c>
      <c r="E56" s="124">
        <v>4335.7361877516005</v>
      </c>
      <c r="F56" s="124">
        <v>5077.1301580422005</v>
      </c>
      <c r="H56" s="121"/>
    </row>
    <row r="57" spans="1:8" ht="13.15">
      <c r="A57" s="144">
        <v>10</v>
      </c>
      <c r="B57" s="124">
        <v>3420.684872920604</v>
      </c>
      <c r="C57" s="124">
        <v>3641.5249062497737</v>
      </c>
      <c r="D57" s="124">
        <v>4152.2563981753001</v>
      </c>
      <c r="E57" s="124">
        <v>5750.8391691445477</v>
      </c>
      <c r="F57" s="124">
        <v>8648.520946380122</v>
      </c>
      <c r="H57" s="121"/>
    </row>
    <row r="58" spans="1:8" ht="13.15">
      <c r="A58" s="144">
        <v>15</v>
      </c>
      <c r="B58" s="124">
        <v>3420.6848729206031</v>
      </c>
      <c r="C58" s="124">
        <v>3778.2631927304719</v>
      </c>
      <c r="D58" s="124">
        <v>4689.2698784026907</v>
      </c>
      <c r="E58" s="124">
        <v>8276.5887428019614</v>
      </c>
      <c r="F58" s="124">
        <v>17364.194766450946</v>
      </c>
      <c r="H58" s="121"/>
    </row>
    <row r="59" spans="1:8" ht="13.15">
      <c r="A59" s="145">
        <v>20</v>
      </c>
      <c r="B59" s="124">
        <v>3420.6848729206031</v>
      </c>
      <c r="C59" s="124">
        <v>3917.5775782711926</v>
      </c>
      <c r="D59" s="124">
        <v>5301.8562915326738</v>
      </c>
      <c r="E59" s="124">
        <v>12134.682483416807</v>
      </c>
      <c r="F59" s="124">
        <v>36349.818353920993</v>
      </c>
      <c r="H59" s="121"/>
    </row>
    <row r="60" spans="1:8" ht="13.15">
      <c r="A60" s="145">
        <v>25</v>
      </c>
      <c r="B60" s="124">
        <v>3420.6848729206031</v>
      </c>
      <c r="C60" s="124">
        <v>4047.1476873806555</v>
      </c>
      <c r="D60" s="124">
        <v>5943.8282268655648</v>
      </c>
      <c r="E60" s="124">
        <v>17688.656572765027</v>
      </c>
      <c r="F60" s="124">
        <v>76383.703379203725</v>
      </c>
      <c r="H60" s="121"/>
    </row>
    <row r="61" spans="1:8" ht="13.15">
      <c r="A61" s="145">
        <v>30</v>
      </c>
      <c r="B61" s="124">
        <v>3420.6848729206026</v>
      </c>
      <c r="C61" s="124">
        <v>4161.4465478771899</v>
      </c>
      <c r="D61" s="124">
        <v>6585.7185801314936</v>
      </c>
      <c r="E61" s="124">
        <v>25477.026815618279</v>
      </c>
      <c r="F61" s="124">
        <v>159942.26400408198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8.0130002227383752</v>
      </c>
      <c r="C65" s="125">
        <f>C12</f>
        <v>8.0130002227383752</v>
      </c>
      <c r="D65" s="125">
        <f>C12</f>
        <v>8.0130002227383752</v>
      </c>
      <c r="E65" s="142">
        <f>C12</f>
        <v>8.0130002227383752</v>
      </c>
      <c r="F65" s="125">
        <f>C12</f>
        <v>8.0130002227383752</v>
      </c>
      <c r="H65" s="121"/>
    </row>
    <row r="66" spans="1:8" ht="13.15">
      <c r="A66" s="144">
        <f t="shared" ref="A66:A71" si="3">A56</f>
        <v>5</v>
      </c>
      <c r="B66" s="125">
        <f t="shared" ref="B66:F71" si="4">(B56-$C$7+$C$8+$C$9)/Common_Shares*$C$3*Exchange_Rate</f>
        <v>8.0130002227383699</v>
      </c>
      <c r="C66" s="125">
        <f t="shared" si="4"/>
        <v>8.6337363639901099</v>
      </c>
      <c r="D66" s="125">
        <f t="shared" si="4"/>
        <v>9.9317967994819938</v>
      </c>
      <c r="E66" s="125">
        <f t="shared" si="4"/>
        <v>13.159412630546077</v>
      </c>
      <c r="F66" s="125">
        <f t="shared" si="4"/>
        <v>17.329145044385694</v>
      </c>
      <c r="H66" s="121"/>
    </row>
    <row r="67" spans="1:8" ht="13.15">
      <c r="A67" s="144">
        <f t="shared" si="3"/>
        <v>10</v>
      </c>
      <c r="B67" s="125">
        <f t="shared" si="4"/>
        <v>8.0130002227383699</v>
      </c>
      <c r="C67" s="125">
        <f t="shared" si="4"/>
        <v>9.2550441051361751</v>
      </c>
      <c r="D67" s="125">
        <f t="shared" si="4"/>
        <v>12.127489447274309</v>
      </c>
      <c r="E67" s="125">
        <f t="shared" si="4"/>
        <v>21.118205130736524</v>
      </c>
      <c r="F67" s="125">
        <f t="shared" si="4"/>
        <v>37.415286191155218</v>
      </c>
      <c r="H67" s="121"/>
    </row>
    <row r="68" spans="1:8" ht="13.15">
      <c r="A68" s="144">
        <f t="shared" si="3"/>
        <v>15</v>
      </c>
      <c r="B68" s="125">
        <f t="shared" si="4"/>
        <v>8.0130002227383663</v>
      </c>
      <c r="C68" s="125">
        <f t="shared" si="4"/>
        <v>10.024084707298035</v>
      </c>
      <c r="D68" s="125">
        <f t="shared" si="4"/>
        <v>15.147749396644116</v>
      </c>
      <c r="E68" s="125">
        <f t="shared" si="4"/>
        <v>35.323472894639238</v>
      </c>
      <c r="F68" s="125">
        <f t="shared" si="4"/>
        <v>86.433796041940568</v>
      </c>
      <c r="H68" s="121"/>
    </row>
    <row r="69" spans="1:8" ht="13.15">
      <c r="A69" s="145">
        <f t="shared" si="3"/>
        <v>20</v>
      </c>
      <c r="B69" s="125">
        <f t="shared" si="4"/>
        <v>8.0130002227383663</v>
      </c>
      <c r="C69" s="125">
        <f t="shared" si="4"/>
        <v>10.807613751748717</v>
      </c>
      <c r="D69" s="125">
        <f t="shared" si="4"/>
        <v>18.593045049783342</v>
      </c>
      <c r="E69" s="125">
        <f t="shared" si="4"/>
        <v>57.02208277079972</v>
      </c>
      <c r="F69" s="125">
        <f t="shared" si="4"/>
        <v>193.21234191897534</v>
      </c>
      <c r="H69" s="121"/>
    </row>
    <row r="70" spans="1:8" ht="13.15">
      <c r="A70" s="145">
        <f t="shared" si="3"/>
        <v>25</v>
      </c>
      <c r="B70" s="125">
        <f t="shared" si="4"/>
        <v>8.0130002227383663</v>
      </c>
      <c r="C70" s="125">
        <f t="shared" si="4"/>
        <v>11.536339241122057</v>
      </c>
      <c r="D70" s="125">
        <f t="shared" si="4"/>
        <v>22.203610140410763</v>
      </c>
      <c r="E70" s="125">
        <f t="shared" si="4"/>
        <v>88.25862732605593</v>
      </c>
      <c r="F70" s="125">
        <f t="shared" si="4"/>
        <v>418.3700781984042</v>
      </c>
    </row>
    <row r="71" spans="1:8" ht="13.15">
      <c r="A71" s="145">
        <f t="shared" si="3"/>
        <v>30</v>
      </c>
      <c r="B71" s="125">
        <f t="shared" si="4"/>
        <v>8.0130002227383628</v>
      </c>
      <c r="C71" s="125">
        <f t="shared" si="4"/>
        <v>12.179176494425485</v>
      </c>
      <c r="D71" s="125">
        <f t="shared" si="4"/>
        <v>25.813716398888705</v>
      </c>
      <c r="E71" s="125">
        <f t="shared" si="4"/>
        <v>132.06181585196194</v>
      </c>
      <c r="F71" s="125">
        <f t="shared" si="4"/>
        <v>888.3183818712414</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86.433796041940568</v>
      </c>
      <c r="F74" s="143">
        <f>Scenarios!C58</f>
        <v>0.05</v>
      </c>
    </row>
    <row r="75" spans="1:8">
      <c r="B75" s="128" t="str">
        <f>Scenarios!B36</f>
        <v>Optimistic</v>
      </c>
      <c r="C75" s="143">
        <f>Scenarios!C38</f>
        <v>0.15</v>
      </c>
      <c r="D75" s="146">
        <f>Scenarios!C37</f>
        <v>10</v>
      </c>
      <c r="E75" s="136">
        <f>INDEX(B$65:F$71, MATCH(D75, A$65:A$71, 0), MATCH(C75, B$64:F$64, 0))</f>
        <v>21.118205130736524</v>
      </c>
      <c r="F75" s="143">
        <f>Scenarios!C40*(1-F$74-F$78)</f>
        <v>0.18</v>
      </c>
      <c r="H75" s="121"/>
    </row>
    <row r="76" spans="1:8">
      <c r="B76" s="128" t="str">
        <f>Scenarios!B24</f>
        <v>Base</v>
      </c>
      <c r="C76" s="143">
        <f>Scenarios!C26</f>
        <v>0.06</v>
      </c>
      <c r="D76" s="146">
        <f>Scenarios!C25</f>
        <v>10</v>
      </c>
      <c r="E76" s="136">
        <f>INDEX(B$65:F$71, MATCH(D76, A$65:A$71, 0), MATCH(C76, B$64:F$64, 0))</f>
        <v>12.127489447274309</v>
      </c>
      <c r="F76" s="143">
        <f>Scenarios!C28*(1-F$74-F$78)</f>
        <v>0.53999999999999992</v>
      </c>
      <c r="H76" s="121"/>
    </row>
    <row r="77" spans="1:8">
      <c r="B77" s="128" t="str">
        <f>Scenarios!B30</f>
        <v>Pessimistic</v>
      </c>
      <c r="C77" s="143">
        <f>Scenarios!C32</f>
        <v>0.02</v>
      </c>
      <c r="D77" s="146">
        <f>Scenarios!C31</f>
        <v>10</v>
      </c>
      <c r="E77" s="136">
        <f>INDEX(B$65:F$71, MATCH(D77, A$65:A$71, 0), MATCH(C77, B$64:F$64, 0))</f>
        <v>9.2550441051361751</v>
      </c>
      <c r="F77" s="143">
        <f>Scenarios!C34*(1-F$74-F$78)</f>
        <v>0.18</v>
      </c>
      <c r="H77" s="121"/>
    </row>
    <row r="78" spans="1:8">
      <c r="B78" s="128" t="str">
        <f>Scenarios!B48</f>
        <v>Devil's advocate</v>
      </c>
      <c r="C78" s="143">
        <f>Scenarios!C50</f>
        <v>0</v>
      </c>
      <c r="D78" s="146">
        <f>Scenarios!C49</f>
        <v>15</v>
      </c>
      <c r="E78" s="136">
        <f>INDEX(B$65:F$71, MATCH(D78, A$65:A$71, 0), MATCH(C78, B$64:F$64, 0))</f>
        <v>8.0130002227383663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-14.62</v>
      </c>
    </row>
    <row r="4" spans="2:9">
      <c r="B4" s="153" t="s">
        <v>147</v>
      </c>
      <c r="C4" s="121">
        <v>3</v>
      </c>
      <c r="D4" s="121"/>
      <c r="E4" s="156" t="s">
        <v>151</v>
      </c>
      <c r="F4" s="156"/>
      <c r="H4" s="276">
        <v>1</v>
      </c>
      <c r="I4" s="264">
        <f t="shared" ref="I4:I13" si="0">IF(ROW()-3 &lt; $C$76, $C$77, IF(ROW()-3 = $C$76, $C$77 + $C$60, ""))</f>
        <v>0.83542163999999997</v>
      </c>
    </row>
    <row r="5" spans="2:9">
      <c r="H5" s="276">
        <v>2</v>
      </c>
      <c r="I5" s="264">
        <f t="shared" si="0"/>
        <v>0.83542163999999997</v>
      </c>
    </row>
    <row r="6" spans="2:9" ht="13.15">
      <c r="B6" s="160" t="s">
        <v>96</v>
      </c>
      <c r="C6" s="107">
        <f>Valuation_Model!C3</f>
        <v>1000000</v>
      </c>
      <c r="E6" s="100" t="s">
        <v>282</v>
      </c>
      <c r="F6" s="100"/>
      <c r="H6" s="276">
        <v>3</v>
      </c>
      <c r="I6" s="264">
        <f t="shared" si="0"/>
        <v>17.57379061721916</v>
      </c>
    </row>
    <row r="7" spans="2:9" ht="12.75" customHeight="1">
      <c r="B7" s="100" t="s">
        <v>276</v>
      </c>
      <c r="C7" s="115">
        <f>Normalized_FCF!G8</f>
        <v>632.39999999999986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3"/>
      <c r="H7" s="276">
        <v>4</v>
      </c>
      <c r="I7" s="264" t="str">
        <f t="shared" si="0"/>
        <v/>
      </c>
    </row>
    <row r="8" spans="2:9">
      <c r="B8" s="100" t="s">
        <v>66</v>
      </c>
      <c r="C8" s="115">
        <f>Normalized_FCF!G19</f>
        <v>342.2230849715325</v>
      </c>
      <c r="D8" t="str">
        <f>Reporting_currency</f>
        <v>USD</v>
      </c>
      <c r="E8" s="353"/>
      <c r="F8" s="353"/>
      <c r="H8" s="276">
        <v>5</v>
      </c>
      <c r="I8" s="264" t="str">
        <f t="shared" si="0"/>
        <v/>
      </c>
    </row>
    <row r="9" spans="2:9">
      <c r="B9" s="100" t="s">
        <v>57</v>
      </c>
      <c r="C9" s="201">
        <f>Normalized_FCF!C19</f>
        <v>273.65478983364841</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0.21097145624674352</v>
      </c>
      <c r="D12" s="159"/>
      <c r="E12" s="353"/>
      <c r="F12" s="353"/>
      <c r="H12" s="276">
        <v>9</v>
      </c>
      <c r="I12" s="264" t="str">
        <f t="shared" si="0"/>
        <v/>
      </c>
    </row>
    <row r="13" spans="2:9">
      <c r="B13" s="149" t="s">
        <v>153</v>
      </c>
      <c r="C13" s="159">
        <f ca="1">(Normalized_FCF!G8/OFFSET(Normalized_FCF!G8, 0, $C$4))^(1/$C$4) - 1</f>
        <v>0.77230247224880189</v>
      </c>
      <c r="E13" s="353"/>
      <c r="F13" s="353"/>
      <c r="H13" s="276">
        <v>10</v>
      </c>
      <c r="I13" s="264" t="str">
        <f t="shared" si="0"/>
        <v/>
      </c>
    </row>
    <row r="14" spans="2:9">
      <c r="B14" s="100" t="s">
        <v>66</v>
      </c>
      <c r="C14" s="159">
        <f ca="1">(Normalized_FCF!G19/OFFSET(Normalized_FCF!G19, 0, $C$4))^(1/$C$4) - 1</f>
        <v>-4.7401544173595855</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14.62</v>
      </c>
      <c r="D21" t="str">
        <f>Market_currency</f>
        <v>HKD</v>
      </c>
      <c r="E21" s="354"/>
      <c r="F21" s="354"/>
    </row>
    <row r="22" spans="2:6">
      <c r="B22" s="100" t="s">
        <v>281</v>
      </c>
      <c r="C22" s="161">
        <f>Valuation_Model!C12</f>
        <v>8.0130002227383752</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0.06</v>
      </c>
      <c r="D26" s="165"/>
      <c r="E26" s="352"/>
      <c r="F26" s="352"/>
    </row>
    <row r="27" spans="2:6">
      <c r="B27" s="100" t="s">
        <v>114</v>
      </c>
      <c r="C27" s="161">
        <f>Valuation_Model!E76</f>
        <v>12.127489447274309</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9.2550441051361751</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0.15</v>
      </c>
      <c r="D38" s="165"/>
      <c r="E38" s="352"/>
      <c r="F38" s="352"/>
    </row>
    <row r="39" spans="2:6">
      <c r="B39" s="100" t="s">
        <v>114</v>
      </c>
      <c r="C39" s="161">
        <f>Valuation_Model!E75</f>
        <v>21.118205130736524</v>
      </c>
      <c r="D39" t="str">
        <f>Market_currency</f>
        <v>HKD</v>
      </c>
      <c r="E39" s="352"/>
      <c r="F39" s="352"/>
    </row>
    <row r="40" spans="2:6">
      <c r="B40" s="100" t="s">
        <v>148</v>
      </c>
      <c r="C40" s="168">
        <f>1-C28-C34</f>
        <v>0.2</v>
      </c>
      <c r="D40" s="166"/>
      <c r="E40" s="352"/>
      <c r="F40" s="352"/>
    </row>
    <row r="42" spans="2:6" ht="13.15">
      <c r="B42" s="100" t="s">
        <v>121</v>
      </c>
      <c r="C42" s="155">
        <f>C27*C28+C33*C34+C39*C40</f>
        <v>13.351143515539125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8.0130002227383663</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0.25</v>
      </c>
      <c r="D56" s="165"/>
      <c r="E56" s="352"/>
      <c r="F56" s="352"/>
    </row>
    <row r="57" spans="2:6">
      <c r="B57" s="100" t="s">
        <v>114</v>
      </c>
      <c r="C57" s="161">
        <f>Valuation_Model!E74</f>
        <v>86.433796041940568</v>
      </c>
      <c r="D57" t="str">
        <f>Market_currency</f>
        <v>HKD</v>
      </c>
      <c r="E57" s="352"/>
      <c r="F57" s="352"/>
    </row>
    <row r="58" spans="2:6">
      <c r="B58" s="100" t="s">
        <v>148</v>
      </c>
      <c r="C58" s="166">
        <v>0.05</v>
      </c>
      <c r="D58" s="166"/>
      <c r="E58" s="352"/>
      <c r="F58" s="352"/>
    </row>
    <row r="60" spans="2:6" ht="13.15">
      <c r="B60" s="100" t="s">
        <v>121</v>
      </c>
      <c r="C60" s="155">
        <f>C51*C52+C57*C58+C42*(1-C52-C58)</f>
        <v>16.73836897721916</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16.738709628450355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-0.67064741442322484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0.83542163999999997</v>
      </c>
      <c r="D77" t="str">
        <f>Market_currency</f>
        <v>HKD</v>
      </c>
    </row>
    <row r="79" spans="2:6" ht="13.15">
      <c r="B79" s="109" t="s">
        <v>308</v>
      </c>
    </row>
    <row r="80" spans="2:6">
      <c r="B80" s="149" t="s">
        <v>306</v>
      </c>
      <c r="C80" s="168">
        <f>Thesis!C132</f>
        <v>0.3</v>
      </c>
    </row>
    <row r="81" spans="2:8">
      <c r="B81" s="100" t="s">
        <v>122</v>
      </c>
      <c r="C81" s="117">
        <f>PV(C80, C76, -C77, 0)</f>
        <v>1.5172200016385984</v>
      </c>
      <c r="D81" s="117"/>
      <c r="E81" s="100"/>
      <c r="F81" s="100"/>
    </row>
    <row r="82" spans="2:8">
      <c r="B82" s="100" t="s">
        <v>123</v>
      </c>
      <c r="C82" s="117">
        <f>C60/(1+C80)^C76</f>
        <v>7.6187387242690745</v>
      </c>
      <c r="D82" s="117"/>
    </row>
    <row r="83" spans="2:8" ht="13.15">
      <c r="B83" s="111" t="s">
        <v>102</v>
      </c>
      <c r="C83" s="112">
        <f>C81+C82</f>
        <v>9.1359587259076722</v>
      </c>
      <c r="D83" t="str">
        <f>Market_currency</f>
        <v>HKD</v>
      </c>
      <c r="E83" s="147" t="s">
        <v>127</v>
      </c>
      <c r="F83" s="329">
        <f>(1-C83/C60)</f>
        <v>0.45419062404815735</v>
      </c>
    </row>
    <row r="84" spans="2:8">
      <c r="E84" s="121"/>
    </row>
    <row r="85" spans="2:8" ht="13.15">
      <c r="B85" s="109" t="s">
        <v>309</v>
      </c>
    </row>
    <row r="86" spans="2:8">
      <c r="B86" s="149" t="s">
        <v>307</v>
      </c>
      <c r="C86" s="266">
        <f>Market_Price</f>
        <v>14.62</v>
      </c>
      <c r="D86" t="str">
        <f>Market_currency</f>
        <v>HKD</v>
      </c>
    </row>
    <row r="87" spans="2:8" ht="13.15">
      <c r="B87" s="100" t="s">
        <v>305</v>
      </c>
      <c r="C87" s="265">
        <f ca="1">IRR(OFFSET($I$3, 0, 0, $C$76 + 1, 1))</f>
        <v>0.10088016442395631</v>
      </c>
    </row>
    <row r="88" spans="2:8">
      <c r="B88" s="100"/>
    </row>
    <row r="89" spans="2:8" ht="13.15">
      <c r="B89" s="109" t="s">
        <v>422</v>
      </c>
    </row>
    <row r="90" spans="2:8">
      <c r="B90" s="149" t="s">
        <v>423</v>
      </c>
      <c r="C90" s="168">
        <f>Thesis!E24</f>
        <v>0.2</v>
      </c>
    </row>
    <row r="91" spans="2:8">
      <c r="B91" s="100" t="s">
        <v>122</v>
      </c>
      <c r="C91" s="117">
        <f>PV(C90, C76, -C77, 0)</f>
        <v>1.7598002138888889</v>
      </c>
      <c r="D91" s="117"/>
      <c r="E91" s="100"/>
      <c r="F91" s="100"/>
    </row>
    <row r="92" spans="2:8">
      <c r="B92" s="100" t="s">
        <v>123</v>
      </c>
      <c r="C92" s="117">
        <f>C60/(1+C90)^C76</f>
        <v>9.6865561210759026</v>
      </c>
      <c r="D92" s="117"/>
    </row>
    <row r="93" spans="2:8" ht="13.15">
      <c r="B93" s="111" t="s">
        <v>102</v>
      </c>
      <c r="C93" s="112">
        <f>C91+C92</f>
        <v>11.446356334964792</v>
      </c>
      <c r="D93" t="str">
        <f>Market_currency</f>
        <v>HKD</v>
      </c>
      <c r="E93" s="147" t="s">
        <v>127</v>
      </c>
      <c r="F93" s="329">
        <f>(1-C93/C60)</f>
        <v>0.31616059183883283</v>
      </c>
    </row>
    <row r="95" spans="2:8" ht="13.15">
      <c r="B95" s="109" t="s">
        <v>405</v>
      </c>
      <c r="G95" s="2"/>
      <c r="H95" s="316"/>
    </row>
    <row r="96" spans="2:8">
      <c r="B96" s="149" t="s">
        <v>411</v>
      </c>
      <c r="C96" s="135">
        <f>Thesis!C72</f>
        <v>0.08</v>
      </c>
      <c r="G96" s="2"/>
      <c r="H96" s="316"/>
    </row>
    <row r="97" spans="2:8">
      <c r="B97" s="100" t="s">
        <v>122</v>
      </c>
      <c r="C97" s="117">
        <f>PV(C96, C76, -C77, 0)</f>
        <v>2.1529625915256831</v>
      </c>
      <c r="D97" s="117"/>
      <c r="G97" s="2"/>
      <c r="H97" s="316"/>
    </row>
    <row r="98" spans="2:8">
      <c r="B98" s="100" t="s">
        <v>123</v>
      </c>
      <c r="C98" s="117">
        <f>C60/(1+C96)^C76</f>
        <v>13.28745695620837</v>
      </c>
      <c r="D98" s="117"/>
      <c r="G98" s="2"/>
      <c r="H98" s="316"/>
    </row>
    <row r="99" spans="2:8" ht="13.15">
      <c r="B99" s="111" t="s">
        <v>406</v>
      </c>
      <c r="C99" s="112">
        <f>C97+C98</f>
        <v>15.440419547734052</v>
      </c>
      <c r="D99" t="s">
        <v>404</v>
      </c>
      <c r="E99" s="147" t="s">
        <v>127</v>
      </c>
      <c r="F99" s="329">
        <f>(1-C99/C60)</f>
        <v>7.7543363469380511E-2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