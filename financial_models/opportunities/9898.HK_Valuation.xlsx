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7715A1B-DBDE-4F86-A713-39C50F52DAD6}" xr6:coauthVersionLast="47" xr6:coauthVersionMax="47" xr10:uidLastSave="{00000000-0000-0000-0000-000000000000}"/>
  <bookViews>
    <workbookView xWindow="368" yWindow="368" windowWidth="12689"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88" i="2"/>
  <c r="C79" i="2"/>
  <c r="C64" i="2"/>
  <c r="C65" i="2"/>
  <c r="C66" i="2"/>
  <c r="C35" i="2"/>
  <c r="C29" i="2"/>
  <c r="C30" i="2"/>
  <c r="C31" i="2"/>
  <c r="C42" i="3"/>
  <c r="C30" i="4" s="1"/>
  <c r="C36" i="3"/>
  <c r="C23" i="3"/>
  <c r="C4" i="3"/>
  <c r="C28" i="4" s="1"/>
  <c r="C6" i="4"/>
  <c r="D6" i="4"/>
  <c r="E6" i="4"/>
  <c r="C16" i="4"/>
  <c r="D16" i="4"/>
  <c r="C25" i="4"/>
  <c r="D25" i="4"/>
  <c r="E25" i="4"/>
  <c r="D28" i="4"/>
  <c r="C29"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<sst xmlns="http://schemas.openxmlformats.org/spreadsheetml/2006/main" count="768" uniqueCount="558">
  <si>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</si>
  <si>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</si>
  <si>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</si>
  <si>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</si>
  <si>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</si>
  <si>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</si>
  <si>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</si>
  <si>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</si>
  <si>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</si>
  <si>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</si>
  <si>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</si>
  <si>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</si>
  <si>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</si>
  <si>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</si>
  <si>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</si>
  <si>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</si>
  <si>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</si>
  <si>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</si>
  <si>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</si>
  <si>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</si>
  <si>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</si>
  <si>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</si>
  <si>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</si>
  <si>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</si>
  <si>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</si>
  <si>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</si>
  <si>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</si>
  <si>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</si>
  <si>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</si>
  <si>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</si>
  <si>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</si>
  <si>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</si>
  <si>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</si>
  <si>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</si>
  <si>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</si>
  <si>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</si>
  <si>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</si>
  <si>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</si>
  <si>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</si>
  <si>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</si>
  <si>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</si>
  <si>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</si>
  <si>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</si>
  <si>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</si>
  <si>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</si>
  <si>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</si>
  <si>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</si>
  <si>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</si>
  <si>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</si>
  <si>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</si>
  <si>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</si>
  <si>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</si>
  <si>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</si>
  <si>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</si>
  <si>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</si>
  <si>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</si>
  <si>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</si>
  <si>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</si>
  <si>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</si>
  <si>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</si>
  <si>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</si>
  <si>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</si>
  <si>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</si>
  <si>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</si>
  <si>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</si>
  <si>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</si>
  <si>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</si>
  <si>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</si>
  <si>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</si>
  <si>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</si>
  <si>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</si>
  <si>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</si>
  <si>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</si>
  <si>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</si>
  <si>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</si>
  <si>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</si>
  <si>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</si>
  <si>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</si>
  <si>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</si>
  <si>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</si>
  <si>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</si>
  <si>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</si>
  <si>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</si>
  <si>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</si>
  <si>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</si>
  <si>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</si>
  <si>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</si>
  <si>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</si>
  <si>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</si>
  <si>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</si>
  <si>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</si>
  <si>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</si>
  <si>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</si>
  <si>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</si>
  <si>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</si>
  <si>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</si>
  <si>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</si>
  <si>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</si>
  <si>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</si>
  <si>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</si>
  <si>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</si>
  <si>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</si>
  <si>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</si>
  <si>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</si>
  <si>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</si>
  <si>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</si>
  <si>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</si>
  <si>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</si>
  <si>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</si>
  <si>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</si>
  <si>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</si>
  <si>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</si>
  <si>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</si>
  <si>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</si>
  <si>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</si>
  <si>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</si>
  <si>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</si>
  <si>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</si>
  <si>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</si>
  <si>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</si>
  <si>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</si>
  <si>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</si>
  <si>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</si>
  <si>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</si>
  <si>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</si>
  <si>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</si>
  <si>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</si>
  <si>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</si>
  <si>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</si>
  <si>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</si>
  <si>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</si>
  <si>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</si>
  <si>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</si>
  <si>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</si>
  <si>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</si>
  <si>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</si>
  <si>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</si>
  <si>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</si>
  <si>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</si>
  <si>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</si>
  <si>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</si>
  <si>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</si>
  <si>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</si>
  <si>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</si>
  <si>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</si>
  <si>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</si>
  <si>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</si>
  <si>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</si>
  <si>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</si>
  <si>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</si>
  <si>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</si>
  <si>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</si>
  <si>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</si>
  <si>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</si>
  <si>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</si>
  <si>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</si>
  <si>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</si>
  <si>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</si>
  <si>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</si>
  <si>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</si>
  <si>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</si>
  <si>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</si>
  <si>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</si>
  <si>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</si>
  <si>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</si>
  <si>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</si>
  <si>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</si>
  <si>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</si>
  <si>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</si>
  <si>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</si>
  <si>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</si>
  <si>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</si>
  <si>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</si>
  <si>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</si>
  <si>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</si>
  <si>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</si>
  <si>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</si>
  <si>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</si>
  <si>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</si>
  <si>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</si>
  <si>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</si>
  <si>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</si>
  <si>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</si>
  <si>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</si>
  <si>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</si>
  <si>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</si>
  <si>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</si>
  <si>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</si>
  <si>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</si>
  <si>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</si>
  <si>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</si>
  <si>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</si>
  <si>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</si>
  <si>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</si>
  <si>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</si>
  <si>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</si>
  <si>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</si>
  <si>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</si>
  <si>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</si>
  <si>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</si>
  <si>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</si>
  <si>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</si>
  <si>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</si>
  <si>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</si>
  <si>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</si>
  <si>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</si>
  <si>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</si>
  <si>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</si>
  <si>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</si>
  <si>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</si>
  <si>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</si>
  <si>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</si>
  <si>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</si>
  <si>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</si>
  <si>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</si>
  <si>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</si>
  <si>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</si>
  <si>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</si>
  <si>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</si>
  <si>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</si>
  <si>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</si>
  <si>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</si>
  <si>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</si>
  <si>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</si>
  <si>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</si>
  <si>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</si>
  <si>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</si>
  <si>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</si>
  <si>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</si>
  <si>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</si>
  <si>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</si>
  <si>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</si>
  <si>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</si>
  <si>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</si>
  <si>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</si>
  <si>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</si>
  <si>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</si>
  <si>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</si>
  <si>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</si>
  <si>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</si>
  <si>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</si>
  <si>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</si>
  <si>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</si>
  <si>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</si>
  <si>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</si>
  <si>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</si>
  <si>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</si>
  <si>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</si>
  <si>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</si>
  <si>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</si>
  <si>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</si>
  <si>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</si>
  <si>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</si>
  <si>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</si>
  <si>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</si>
  <si>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</si>
  <si>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</si>
  <si>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</si>
  <si>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</si>
  <si>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</si>
  <si>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</si>
  <si>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</si>
  <si>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</si>
  <si>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</si>
  <si>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</si>
  <si>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</si>
  <si>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</si>
  <si>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</si>
  <si>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</si>
  <si>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</si>
  <si>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</si>
  <si>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</si>
  <si>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</si>
  <si>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</si>
  <si>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</si>
  <si>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</si>
  <si>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</si>
  <si>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</si>
  <si>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</si>
  <si>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</si>
  <si>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</si>
  <si>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</si>
  <si>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</si>
  <si>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</si>
  <si>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</si>
  <si>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</si>
  <si>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</si>
  <si>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</si>
  <si>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</si>
  <si>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</si>
  <si>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</si>
  <si>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</si>
  <si>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</si>
  <si>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</si>
  <si>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</si>
  <si>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</si>
  <si>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</si>
  <si>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</si>
  <si>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</si>
  <si>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</si>
  <si>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</si>
  <si>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</si>
  <si>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</si>
  <si>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</si>
  <si>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</si>
  <si>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</si>
  <si>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</si>
  <si>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</si>
  <si>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</si>
  <si>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</si>
  <si>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</si>
  <si>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</si>
  <si>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</si>
  <si>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</si>
  <si>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</si>
  <si>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</si>
  <si>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</si>
  <si>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</si>
  <si>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</si>
  <si>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</si>
  <si>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</si>
  <si>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</si>
  <si>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</si>
  <si>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</si>
  <si>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</si>
  <si>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</si>
  <si>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</si>
  <si>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</si>
  <si>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</si>
  <si>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</si>
  <si>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</si>
  <si>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</si>
  <si>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</si>
  <si>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</si>
  <si>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</si>
  <si>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</si>
  <si>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</si>
  <si>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</si>
  <si>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</si>
  <si>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</si>
  <si>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</si>
  <si>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</si>
  <si>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</si>
  <si>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</si>
  <si>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</si>
  <si>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</si>
  <si>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</si>
  <si>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</si>
  <si>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</si>
  <si>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</si>
  <si>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</si>
  <si>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</si>
  <si>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</si>
  <si>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</si>
  <si>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</si>
  <si>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</si>
  <si>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</si>
  <si>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</si>
  <si>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</si>
  <si>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</si>
  <si>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</si>
  <si>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</si>
  <si>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</si>
  <si>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</si>
  <si>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</si>
  <si>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</si>
  <si>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</si>
  <si>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</si>
  <si>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</si>
  <si>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</si>
  <si>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</si>
  <si>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</si>
  <si>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</si>
  <si>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</si>
  <si>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</si>
  <si>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</si>
  <si>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</si>
  <si>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</si>
  <si>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</si>
  <si>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</si>
  <si>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</si>
  <si>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</si>
  <si>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</si>
  <si>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</si>
  <si>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</si>
  <si>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</si>
  <si>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</si>
  <si>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</si>
  <si>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</si>
  <si>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</si>
  <si>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</si>
  <si>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</si>
  <si>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</si>
  <si>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</si>
  <si>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</si>
  <si>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</si>
  <si>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</si>
  <si>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</si>
  <si>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</si>
  <si>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</si>
  <si>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</si>
  <si>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</si>
  <si>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</si>
  <si>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</si>
  <si>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</si>
  <si>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</si>
  <si>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</si>
  <si>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</si>
  <si>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</si>
  <si>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</si>
  <si>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</si>
  <si>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</si>
  <si>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</si>
  <si>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</si>
  <si>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</si>
  <si>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</si>
  <si>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</si>
  <si>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</si>
  <si>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</si>
  <si>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</si>
  <si>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</si>
  <si>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</si>
  <si>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</si>
  <si>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</si>
  <si>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</si>
  <si>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</si>
  <si>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</si>
  <si>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</si>
  <si>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</si>
  <si>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</si>
  <si>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</si>
  <si>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</si>
  <si>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</si>
  <si>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</si>
  <si>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</si>
  <si>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</si>
  <si>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</si>
  <si>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</si>
  <si>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</si>
  <si>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</si>
  <si>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</si>
  <si>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</si>
  <si>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</si>
  <si>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</si>
  <si>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</si>
  <si>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</si>
  <si>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</si>
  <si>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</si>
  <si>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</si>
  <si>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</si>
  <si>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</si>
  <si>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</si>
  <si>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</si>
  <si>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</si>
  <si>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</si>
  <si>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</si>
  <si>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</si>
  <si>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</si>
  <si>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</si>
  <si>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</si>
  <si>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</si>
  <si>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</si>
  <si>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</si>
  <si>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</si>
  <si>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</si>
  <si>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</si>
  <si>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</si>
  <si>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</si>
  <si>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</si>
  <si>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</si>
  <si>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</si>
  <si>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</si>
  <si>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</si>
  <si>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</si>
  <si>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</si>
  <si>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</si>
  <si>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</si>
  <si>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</si>
  <si>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</si>
  <si>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</si>
  <si>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</si>
  <si>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</si>
  <si>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</si>
  <si>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</si>
  <si>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</si>
  <si>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</si>
  <si>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</si>
  <si>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</si>
  <si>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</si>
  <si>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</si>
  <si>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</si>
  <si>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</si>
  <si>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</si>
  <si>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</si>
  <si>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</si>
  <si>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</si>
  <si>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</si>
  <si>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</si>
  <si>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</si>
  <si>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</si>
  <si>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</si>
  <si>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</si>
  <si>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</si>
  <si>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</si>
  <si>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</si>
  <si>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</si>
  <si>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</si>
  <si>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</si>
  <si>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</si>
  <si>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</si>
  <si>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</si>
  <si>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</si>
  <si>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</si>
  <si>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</si>
  <si>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</si>
  <si>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</si>
  <si>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</si>
  <si>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</si>
  <si>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</si>
  <si>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</si>
  <si>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</si>
  <si>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</si>
  <si>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</si>
  <si>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</si>
  <si>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</si>
  <si>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</si>
  <si>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</si>
  <si>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</si>
  <si>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</si>
  <si>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</si>
  <si>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</si>
  <si>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</si>
  <si>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</si>
  <si>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</si>
  <si>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</si>
  <si>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</si>
  <si>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</si>
  <si>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</si>
  <si>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</si>
  <si>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</si>
  <si>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</si>
  <si>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</si>
  <si>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</si>
  <si>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</si>
  <si>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</si>
  <si>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</si>
  <si>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</si>
  <si>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</si>
  <si>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</si>
  <si>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</si>
  <si>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</si>
  <si>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</si>
  <si>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</si>
  <si>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</si>
  <si>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</si>
  <si>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微博</t>
  </si>
  <si>
    <t>9898.HK</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</si>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</sst>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46057</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68.3</v>
      </c>
      <c r="E8" s="32"/>
    </row>
    <row r="9" spans="1:9">
      <c r="B9" s="4" t="s">
        <v>345</v>
      </c>
      <c r="C9" s="48">
        <v>244825280</v>
      </c>
    </row>
    <row r="10" spans="1:9">
      <c r="B10" s="4" t="s">
        <v>351</v>
      </c>
      <c r="C10" s="33">
        <f>Thesis!C8*Common_Shares/1000000</f>
        <v>16721.566623999999</v>
      </c>
      <c r="D10" s="1" t="s">
        <v>526</v>
      </c>
      <c r="E10" s="303">
        <f>Scenarios!F34</f>
        <v>0.24781999027360122</v>
      </c>
    </row>
    <row r="11" spans="1:9">
      <c r="D11" s="5"/>
      <c r="E11" s="5"/>
    </row>
    <row r="12" spans="1:9" ht="24.5" customHeight="1">
      <c r="B12" s="460" t="s">
        <v>354</v>
      </c>
      <c r="C12" s="460"/>
      <c r="D12" s="460"/>
      <c r="E12" s="460"/>
      <c r="F12" s="460"/>
    </row>
    <row r="14" spans="1:9">
      <c r="B14" s="42" t="str">
        <f>Scenarios!B39&amp;" Valuation Conclusion"</f>
        <v>2-stage DCF Valuation Conclusion</v>
      </c>
      <c r="C14" s="43"/>
    </row>
    <row r="15" spans="1:9">
      <c r="B15" s="1" t="s">
        <v>318</v>
      </c>
      <c r="C15" s="417" t="s">
        <v>544</v>
      </c>
      <c r="D15" s="4" t="s">
        <v>352</v>
      </c>
      <c r="E15" s="253" t="str">
        <f>IF(E17=C7,C7,E17&amp;"/"&amp;C7)</f>
        <v>USD/HKD</v>
      </c>
    </row>
    <row r="16" spans="1:9">
      <c r="B16" s="1" t="s">
        <v>319</v>
      </c>
      <c r="C16" s="417" t="s">
        <v>544</v>
      </c>
      <c r="D16" s="4" t="s">
        <v>353</v>
      </c>
      <c r="E16" s="416">
        <v>7.830444</v>
      </c>
    </row>
    <row r="17" spans="1:6">
      <c r="B17" s="1" t="s">
        <v>530</v>
      </c>
      <c r="C17" s="456">
        <v>-0.02</v>
      </c>
      <c r="D17" s="4" t="s">
        <v>273</v>
      </c>
      <c r="E17" s="224" t="s">
        <v>557</v>
      </c>
    </row>
    <row r="18" spans="1:6">
      <c r="B18" s="1" t="str">
        <f>"Expected Equity Value ("&amp;C7&amp;") :"</f>
        <v>Expected Equity Value (HKD) :</v>
      </c>
      <c r="C18" s="252">
        <f>C125</f>
        <v>108.42813151922616</v>
      </c>
      <c r="D18" s="2" t="s">
        <v>346</v>
      </c>
      <c r="E18" s="418">
        <v>6</v>
      </c>
    </row>
    <row r="19" spans="1:6">
      <c r="B19" s="2" t="s">
        <v>274</v>
      </c>
      <c r="C19" s="31" t="str">
        <f>IF(Terminal_Growth&lt;2%, "Lower than Inflation rate", IF(Terminal_Growth&lt;5%, "Low growth", IF(Terminal_Growth&lt;8%, "Medium growth", "High growth")))</f>
        <v>Lower than Inflation rate</v>
      </c>
      <c r="D19" s="1" t="s">
        <v>347</v>
      </c>
      <c r="E19" s="419">
        <f>EOMONTH(EDATE(BS!C1,E18+2),0)</f>
        <v>46081</v>
      </c>
    </row>
    <row r="20" spans="1:6">
      <c r="D20" s="5"/>
      <c r="E20" s="5"/>
    </row>
    <row r="21" spans="1:6">
      <c r="B21" s="42" t="s">
        <v>403</v>
      </c>
      <c r="C21" s="254" t="str">
        <f>C138&amp;" ("&amp;Market_currency&amp;")"</f>
        <v xml:space="preserve"> (HKD)</v>
      </c>
      <c r="D21" s="31" t="s">
        <v>315</v>
      </c>
      <c r="E21" s="442">
        <v>3</v>
      </c>
    </row>
    <row r="22" spans="1:6">
      <c r="B22" s="1" t="s">
        <v>311</v>
      </c>
      <c r="C22" s="255">
        <f>E140</f>
        <v>60.938887355132522</v>
      </c>
      <c r="D22" s="38" t="s">
        <v>405</v>
      </c>
      <c r="E22" s="79">
        <v>0.3</v>
      </c>
    </row>
    <row r="23" spans="1:6">
      <c r="B23" s="1" t="s">
        <v>312</v>
      </c>
      <c r="C23" s="256">
        <f>E141</f>
        <v>76.186270555107725</v>
      </c>
      <c r="D23" s="38" t="s">
        <v>406</v>
      </c>
      <c r="E23" s="443">
        <v>0.2</v>
      </c>
    </row>
    <row r="24" spans="1:6">
      <c r="B24" s="1" t="s">
        <v>314</v>
      </c>
      <c r="C24" s="256">
        <f>E144</f>
        <v>93.108433063819461</v>
      </c>
      <c r="D24" s="38" t="s">
        <v>407</v>
      </c>
      <c r="E24" s="443">
        <v>0.1174</v>
      </c>
    </row>
    <row r="25" spans="1:6">
      <c r="B25" s="1" t="s">
        <v>313</v>
      </c>
      <c r="C25" s="256">
        <f>E145</f>
        <v>104.55805557706154</v>
      </c>
      <c r="D25" s="38" t="s">
        <v>408</v>
      </c>
      <c r="E25" s="444">
        <v>7.2499999999999995E-2</v>
      </c>
    </row>
    <row r="26" spans="1:6">
      <c r="D26" s="5"/>
      <c r="E26" s="5"/>
    </row>
    <row r="27" spans="1:6" ht="13.9">
      <c r="A27" s="200" t="s">
        <v>279</v>
      </c>
      <c r="B27" s="34"/>
      <c r="C27" s="34"/>
      <c r="D27" s="34"/>
      <c r="E27" s="34"/>
      <c r="F27" s="34"/>
    </row>
    <row r="29" spans="1:6">
      <c r="B29" s="460" t="s">
        <v>355</v>
      </c>
      <c r="C29" s="460"/>
      <c r="D29" s="460"/>
      <c r="E29" s="460"/>
      <c r="F29" s="460"/>
    </row>
    <row r="30" spans="1:6" ht="24.5" customHeight="1">
      <c r="B30" s="462" t="s">
        <v>265</v>
      </c>
      <c r="C30" s="462"/>
      <c r="D30" s="462"/>
      <c r="E30" s="462"/>
      <c r="F30" s="462"/>
    </row>
    <row r="32" spans="1:6">
      <c r="B32" s="192" t="s">
        <v>194</v>
      </c>
      <c r="C32" s="105">
        <f>scaling_factor</f>
        <v>1000</v>
      </c>
    </row>
    <row r="33" spans="2:6" ht="24.5" customHeight="1">
      <c r="B33" s="461" t="s">
        <v>195</v>
      </c>
      <c r="C33" s="461"/>
      <c r="D33" s="461"/>
      <c r="E33" s="461"/>
      <c r="F33" s="461"/>
    </row>
    <row r="34" spans="2:6">
      <c r="B34" s="44" t="s">
        <v>196</v>
      </c>
      <c r="C34" s="285">
        <f>Normalized_FCF!C8</f>
        <v>459406.2830244787</v>
      </c>
      <c r="D34" s="1" t="str">
        <f>Reporting_currency</f>
        <v>USD</v>
      </c>
    </row>
    <row r="35" spans="2:6">
      <c r="B35" s="44"/>
      <c r="C35" s="73"/>
    </row>
    <row r="36" spans="2:6" ht="24.5" customHeight="1">
      <c r="B36" s="461" t="s">
        <v>197</v>
      </c>
      <c r="C36" s="461"/>
      <c r="D36" s="461"/>
      <c r="E36" s="461"/>
      <c r="F36" s="461"/>
    </row>
    <row r="37" spans="2:6">
      <c r="B37" s="44" t="s">
        <v>198</v>
      </c>
      <c r="C37" s="285">
        <f>Normalized_FCF!C15</f>
        <v>0</v>
      </c>
      <c r="D37" s="1" t="str">
        <f>Reporting_currency</f>
        <v>USD</v>
      </c>
    </row>
    <row r="38" spans="2:6">
      <c r="B38" s="49" t="s">
        <v>199</v>
      </c>
      <c r="C38" s="285">
        <f>Normalized_FCF!C16</f>
        <v>0</v>
      </c>
      <c r="D38" s="1" t="str">
        <f>Reporting_currency</f>
        <v>USD</v>
      </c>
    </row>
    <row r="40" spans="2:6">
      <c r="B40" s="461" t="s">
        <v>200</v>
      </c>
      <c r="C40" s="461"/>
      <c r="D40" s="461"/>
      <c r="E40" s="461"/>
      <c r="F40" s="461"/>
    </row>
    <row r="41" spans="2:6">
      <c r="B41" s="44" t="s">
        <v>201</v>
      </c>
      <c r="C41" s="285">
        <f>Normalized_FCF!C9</f>
        <v>0</v>
      </c>
      <c r="D41" s="1" t="str">
        <f>Reporting_currency</f>
        <v>USD</v>
      </c>
    </row>
    <row r="43" spans="2:6">
      <c r="B43" s="461" t="s">
        <v>204</v>
      </c>
      <c r="C43" s="461"/>
      <c r="D43" s="461"/>
      <c r="E43" s="461"/>
      <c r="F43" s="461"/>
    </row>
    <row r="44" spans="2:6">
      <c r="B44" s="44" t="s">
        <v>266</v>
      </c>
      <c r="C44" s="286">
        <f>Normalized_FCF!C46</f>
        <v>2857.1580732635211</v>
      </c>
      <c r="D44" s="1" t="str">
        <f>Reporting_currency</f>
        <v>USD</v>
      </c>
      <c r="E44" s="244"/>
      <c r="F44" s="244"/>
    </row>
    <row r="45" spans="2:6">
      <c r="B45" s="44" t="s">
        <v>267</v>
      </c>
      <c r="C45" s="286">
        <f>Normalized_FCF!C45</f>
        <v>-64051.199999999997</v>
      </c>
      <c r="D45" s="1" t="str">
        <f>Reporting_currency</f>
        <v>USD</v>
      </c>
      <c r="E45" s="244"/>
      <c r="F45" s="244"/>
    </row>
    <row r="46" spans="2:6">
      <c r="B46" s="44" t="s">
        <v>202</v>
      </c>
      <c r="C46" s="285">
        <f>Normalized_FCF!C10</f>
        <v>-61194.041926736478</v>
      </c>
      <c r="D46" s="1" t="str">
        <f>Reporting_currency</f>
        <v>USD</v>
      </c>
    </row>
    <row r="48" spans="2:6">
      <c r="B48" s="1" t="s">
        <v>210</v>
      </c>
    </row>
    <row r="49" spans="2:6">
      <c r="B49" s="44" t="s">
        <v>222</v>
      </c>
      <c r="C49" s="285">
        <f>Normalized_FCF!C13</f>
        <v>-14953.035947099615</v>
      </c>
      <c r="D49" s="1" t="str">
        <f>Reporting_currency</f>
        <v>USD</v>
      </c>
    </row>
    <row r="51" spans="2:6">
      <c r="B51" s="461" t="s">
        <v>205</v>
      </c>
      <c r="C51" s="461"/>
      <c r="D51" s="461"/>
      <c r="E51" s="461"/>
      <c r="F51" s="461"/>
    </row>
    <row r="52" spans="2:6">
      <c r="B52" s="44" t="s">
        <v>203</v>
      </c>
      <c r="C52" s="285">
        <f>Normalized_FCF!C12</f>
        <v>-99553.060274435556</v>
      </c>
      <c r="D52" s="1" t="str">
        <f>Reporting_currency</f>
        <v>USD</v>
      </c>
    </row>
    <row r="54" spans="2:6">
      <c r="B54" s="461" t="s">
        <v>264</v>
      </c>
      <c r="C54" s="464"/>
      <c r="D54" s="464"/>
      <c r="E54" s="464"/>
      <c r="F54" s="464"/>
    </row>
    <row r="55" spans="2:6">
      <c r="B55" s="44" t="s">
        <v>206</v>
      </c>
      <c r="C55" s="285">
        <f>Normalized_FCF!C17</f>
        <v>0</v>
      </c>
      <c r="D55" s="1" t="str">
        <f>Reporting_currency</f>
        <v>USD</v>
      </c>
    </row>
    <row r="57" spans="2:6" ht="24.5" customHeight="1">
      <c r="B57" s="460" t="s">
        <v>269</v>
      </c>
      <c r="C57" s="460"/>
      <c r="D57" s="460"/>
      <c r="E57" s="460"/>
      <c r="F57" s="460"/>
    </row>
    <row r="58" spans="2:6" ht="24.5" customHeight="1">
      <c r="B58" s="460" t="s">
        <v>281</v>
      </c>
      <c r="C58" s="460"/>
      <c r="D58" s="460"/>
      <c r="E58" s="460"/>
      <c r="F58" s="460"/>
    </row>
    <row r="60" spans="2:6">
      <c r="B60" s="44" t="s">
        <v>226</v>
      </c>
      <c r="C60" s="285">
        <f>Normalized_FCF!G19</f>
        <v>318966.17452166486</v>
      </c>
      <c r="D60" s="1" t="str">
        <f>Reporting_currency</f>
        <v>USD</v>
      </c>
    </row>
    <row r="61" spans="2:6">
      <c r="B61" s="44" t="s">
        <v>212</v>
      </c>
      <c r="C61" s="285">
        <f>Normalized_FCF!C19</f>
        <v>283706.14487620705</v>
      </c>
      <c r="D61" s="1" t="str">
        <f>Reporting_currency</f>
        <v>USD</v>
      </c>
    </row>
    <row r="62" spans="2:6">
      <c r="B62" s="204" t="s">
        <v>301</v>
      </c>
      <c r="C62" s="89">
        <f>Normalized_FCF!C124</f>
        <v>0.13285508049948527</v>
      </c>
      <c r="F62" s="257"/>
    </row>
    <row r="63" spans="2:6">
      <c r="B63" s="204" t="s">
        <v>331</v>
      </c>
      <c r="C63" s="89">
        <f>Normalized_FCF!C92</f>
        <v>9.340556368960469E-2</v>
      </c>
      <c r="E63" s="44" t="s">
        <v>321</v>
      </c>
      <c r="F63" s="258">
        <f>Normalized_FCF!C90</f>
        <v>5.5052997070948786</v>
      </c>
    </row>
    <row r="65" spans="1:6">
      <c r="B65" s="192" t="s">
        <v>324</v>
      </c>
      <c r="C65" s="264" t="s">
        <v>326</v>
      </c>
      <c r="D65" s="264" t="s">
        <v>327</v>
      </c>
    </row>
    <row r="66" spans="1:6">
      <c r="B66" s="44" t="s">
        <v>325</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476</v>
      </c>
      <c r="B71" s="34"/>
      <c r="C71" s="34"/>
      <c r="D71" s="34"/>
      <c r="E71" s="34"/>
      <c r="F71" s="34"/>
    </row>
    <row r="72" spans="1:6">
      <c r="A72" s="191"/>
    </row>
    <row r="73" spans="1:6">
      <c r="A73" s="191"/>
      <c r="B73" s="460" t="s">
        <v>477</v>
      </c>
      <c r="C73" s="460"/>
      <c r="D73" s="460"/>
      <c r="E73" s="460"/>
      <c r="F73" s="460"/>
    </row>
    <row r="74" spans="1:6">
      <c r="A74" s="191"/>
      <c r="B74" s="1" t="s">
        <v>464</v>
      </c>
    </row>
    <row r="75" spans="1:6">
      <c r="A75" s="191"/>
    </row>
    <row r="76" spans="1:6">
      <c r="A76" s="191"/>
      <c r="B76" s="192" t="s">
        <v>194</v>
      </c>
    </row>
    <row r="77" spans="1:6">
      <c r="A77" s="191"/>
      <c r="B77" s="460" t="s">
        <v>270</v>
      </c>
      <c r="C77" s="460"/>
      <c r="D77" s="460"/>
      <c r="E77" s="460"/>
      <c r="F77" s="460"/>
    </row>
    <row r="78" spans="1:6">
      <c r="A78" s="191"/>
      <c r="B78" s="1" t="s">
        <v>214</v>
      </c>
      <c r="C78" s="285">
        <f>DCF!F4</f>
        <v>-1067520</v>
      </c>
      <c r="D78" s="1" t="str">
        <f>Reporting_currency</f>
        <v>USD</v>
      </c>
    </row>
    <row r="79" spans="1:6">
      <c r="A79" s="191"/>
      <c r="B79" s="44" t="s">
        <v>233</v>
      </c>
      <c r="C79" s="201">
        <f>C78*scaling_factor*Exchange_Rate/Common_Shares</f>
        <v>-34.143351449980983</v>
      </c>
      <c r="D79" s="1" t="str">
        <f>Market_currency</f>
        <v>HKD</v>
      </c>
    </row>
    <row r="80" spans="1:6">
      <c r="A80" s="191"/>
      <c r="B80" s="229" t="s">
        <v>308</v>
      </c>
      <c r="C80" s="337">
        <f>IF(BS!G31/BS!G27&gt;300%,"nm",BS!G31/BS!G27)</f>
        <v>0.29042568125650897</v>
      </c>
    </row>
    <row r="81" spans="1:6">
      <c r="A81" s="191"/>
      <c r="B81" s="229" t="s">
        <v>310</v>
      </c>
      <c r="C81" s="338">
        <f>IF(BS!C50&gt;30,"nm",BS!C50)</f>
        <v>2.3236948196964886</v>
      </c>
    </row>
    <row r="82" spans="1:6">
      <c r="A82" s="191"/>
    </row>
    <row r="83" spans="1:6">
      <c r="A83" s="191"/>
      <c r="B83" s="1" t="s">
        <v>465</v>
      </c>
    </row>
    <row r="84" spans="1:6">
      <c r="A84" s="191"/>
      <c r="B84" s="1" t="s">
        <v>223</v>
      </c>
      <c r="C84" s="285">
        <f>DCF!F5</f>
        <v>680098.98778941319</v>
      </c>
      <c r="D84" s="1" t="str">
        <f>Reporting_currency</f>
        <v>USD</v>
      </c>
    </row>
    <row r="85" spans="1:6">
      <c r="A85" s="191"/>
      <c r="B85" s="229" t="s">
        <v>221</v>
      </c>
      <c r="C85" s="291">
        <f>BS!C66</f>
        <v>1156292</v>
      </c>
      <c r="D85" s="339" t="str">
        <f>Reporting_currency</f>
        <v>USD</v>
      </c>
    </row>
    <row r="86" spans="1:6">
      <c r="A86" s="191"/>
      <c r="B86" s="44" t="s">
        <v>234</v>
      </c>
      <c r="C86" s="201">
        <f>C84*scaling_factor*Exchange_Rate/Common_Shares</f>
        <v>21.752153365623371</v>
      </c>
      <c r="D86" s="1" t="str">
        <f>Market_currency</f>
        <v>HKD</v>
      </c>
    </row>
    <row r="87" spans="1:6">
      <c r="A87" s="191"/>
    </row>
    <row r="88" spans="1:6">
      <c r="A88" s="191"/>
      <c r="B88" s="1" t="s">
        <v>215</v>
      </c>
    </row>
    <row r="89" spans="1:6">
      <c r="A89" s="191"/>
      <c r="B89" s="1" t="s">
        <v>216</v>
      </c>
      <c r="C89" s="285">
        <f>DCF!F6</f>
        <v>713666.7</v>
      </c>
      <c r="D89" s="1" t="str">
        <f>Reporting_currency</f>
        <v>USD</v>
      </c>
    </row>
    <row r="90" spans="1:6">
      <c r="A90" s="191"/>
      <c r="B90" s="44" t="s">
        <v>235</v>
      </c>
      <c r="C90" s="201">
        <f>C89*scaling_factor*Exchange_Rate/Common_Shares</f>
        <v>22.825776525262423</v>
      </c>
      <c r="D90" s="1" t="str">
        <f>Market_currency</f>
        <v>HKD</v>
      </c>
    </row>
    <row r="91" spans="1:6">
      <c r="A91" s="191"/>
    </row>
    <row r="92" spans="1:6">
      <c r="A92" s="191"/>
      <c r="B92" s="44" t="s">
        <v>468</v>
      </c>
      <c r="C92" s="216">
        <f>DCF!F8</f>
        <v>10.43457844090481</v>
      </c>
      <c r="D92" s="44" t="str">
        <f>Market_currency</f>
        <v>HKD</v>
      </c>
    </row>
    <row r="94" spans="1:6" ht="13.9">
      <c r="A94" s="200" t="s">
        <v>469</v>
      </c>
      <c r="B94" s="34"/>
      <c r="C94" s="34"/>
      <c r="D94" s="34"/>
      <c r="E94" s="34"/>
      <c r="F94" s="34"/>
    </row>
    <row r="95" spans="1:6">
      <c r="A95" s="191"/>
    </row>
    <row r="96" spans="1:6" ht="11.75" customHeight="1">
      <c r="B96" s="460" t="s">
        <v>484</v>
      </c>
      <c r="C96" s="460"/>
      <c r="D96" s="460"/>
      <c r="E96" s="460"/>
      <c r="F96" s="460"/>
    </row>
    <row r="97" spans="2:6">
      <c r="B97" s="462" t="s">
        <v>483</v>
      </c>
      <c r="C97" s="462"/>
      <c r="D97" s="462"/>
      <c r="E97" s="462"/>
      <c r="F97" s="462"/>
    </row>
    <row r="98" spans="2:6">
      <c r="B98" s="462" t="s">
        <v>482</v>
      </c>
      <c r="C98" s="462"/>
      <c r="D98" s="462"/>
      <c r="E98" s="462"/>
      <c r="F98" s="462"/>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0" t="s">
        <v>282</v>
      </c>
      <c r="C107" s="460"/>
      <c r="D107" s="460"/>
      <c r="E107" s="460"/>
      <c r="F107" s="460"/>
    </row>
    <row r="108" spans="2:6">
      <c r="B108" s="460" t="s">
        <v>283</v>
      </c>
      <c r="C108" s="460"/>
      <c r="D108" s="460"/>
      <c r="E108" s="460"/>
      <c r="F108" s="460"/>
    </row>
    <row r="110" spans="2:6">
      <c r="B110" s="192" t="s">
        <v>486</v>
      </c>
    </row>
    <row r="111" spans="2:6">
      <c r="B111" s="49" t="s">
        <v>467</v>
      </c>
      <c r="C111" s="216">
        <f>BS!D47</f>
        <v>-19.259985270349524</v>
      </c>
      <c r="D111" s="1" t="str">
        <f>Market_currency</f>
        <v>HKD</v>
      </c>
    </row>
    <row r="112" spans="2:6">
      <c r="B112" s="44" t="s">
        <v>322</v>
      </c>
      <c r="C112" s="216">
        <f>DCF!C11</f>
        <v>106.5699509614729</v>
      </c>
      <c r="D112" s="1" t="str">
        <f>Market_currency</f>
        <v>HKD</v>
      </c>
    </row>
    <row r="114" spans="2:6" ht="24.5" customHeight="1">
      <c r="B114" s="460" t="s">
        <v>490</v>
      </c>
      <c r="C114" s="460"/>
      <c r="D114" s="460"/>
      <c r="E114" s="460"/>
      <c r="F114" s="460"/>
    </row>
    <row r="116" spans="2:6">
      <c r="B116" s="192" t="s">
        <v>487</v>
      </c>
    </row>
    <row r="117" spans="2:6" ht="12.4">
      <c r="B117" s="342" t="s">
        <v>100</v>
      </c>
      <c r="C117" s="342" t="s">
        <v>109</v>
      </c>
      <c r="D117" s="342" t="s">
        <v>218</v>
      </c>
      <c r="E117" s="342" t="s">
        <v>123</v>
      </c>
      <c r="F117" s="342" t="s">
        <v>543</v>
      </c>
    </row>
    <row r="118" spans="2:6">
      <c r="B118" s="205" t="str">
        <f>DCF!B90&amp;" ("&amp;DCF!D90&amp;"yrs)"</f>
        <v>Snowball Scenario (5yrs)</v>
      </c>
      <c r="C118" s="206">
        <f>DCF!C90</f>
        <v>0.03</v>
      </c>
      <c r="D118" s="207" t="str">
        <f>ROUND(DCF!E90,2)&amp;" "&amp;Market_currency</f>
        <v>116.92 HKD</v>
      </c>
      <c r="E118" s="208">
        <f>DCF!F90</f>
        <v>0.15</v>
      </c>
      <c r="F118" s="208">
        <f>RATE(Holding_Period,Scenarios!C$58,-DCF!E90,C$18)</f>
        <v>3.1085879358130095E-2</v>
      </c>
    </row>
    <row r="119" spans="2:6">
      <c r="B119" s="205" t="str">
        <f>DCF!B91&amp;" ("&amp;DCF!D91&amp;"yrs)"</f>
        <v>Optimistic (5yrs)</v>
      </c>
      <c r="C119" s="198">
        <f>DCF!C91</f>
        <v>0.02</v>
      </c>
      <c r="D119" s="207" t="str">
        <f>ROUND(DCF!E91,2)&amp;" "&amp;Market_currency</f>
        <v>112.58 HKD</v>
      </c>
      <c r="E119" s="199">
        <f>DCF!F91</f>
        <v>0.15999999999999995</v>
      </c>
      <c r="F119" s="208">
        <f>RATE(Holding_Period,Scenarios!C$58,-DCF!E91,C$18)</f>
        <v>4.490874849559566E-2</v>
      </c>
    </row>
    <row r="120" spans="2:6">
      <c r="B120" s="205" t="str">
        <f>DCF!B92&amp;" ("&amp;DCF!D92&amp;"yrs)"</f>
        <v>Base (5yrs)</v>
      </c>
      <c r="C120" s="198">
        <f>DCF!C92</f>
        <v>0.01</v>
      </c>
      <c r="D120" s="207" t="str">
        <f>ROUND(DCF!E92,2)&amp;" "&amp;Market_currency</f>
        <v>108.39 HKD</v>
      </c>
      <c r="E120" s="199">
        <f>DCF!F92</f>
        <v>0.44</v>
      </c>
      <c r="F120" s="208">
        <f>RATE(Holding_Period,Scenarios!C$58,-DCF!E92,C$18)</f>
        <v>5.8958392889514495E-2</v>
      </c>
    </row>
    <row r="121" spans="2:6">
      <c r="B121" s="205" t="str">
        <f>DCF!B93&amp;" ("&amp;DCF!D93&amp;"yrs)"</f>
        <v>Pessimistic (5yrs)</v>
      </c>
      <c r="C121" s="198">
        <f>DCF!C93</f>
        <v>0</v>
      </c>
      <c r="D121" s="207" t="str">
        <f>ROUND(DCF!E93,2)&amp;" "&amp;Market_currency</f>
        <v>104.35 HKD</v>
      </c>
      <c r="E121" s="199">
        <f>DCF!F93</f>
        <v>0.19999999999999998</v>
      </c>
      <c r="F121" s="208">
        <f>RATE(Holding_Period,Scenarios!C$58,-DCF!E93,C$18)</f>
        <v>7.3236354780418608E-2</v>
      </c>
    </row>
    <row r="122" spans="2:6">
      <c r="B122" s="205" t="str">
        <f>DCF!B94&amp;" ("&amp;DCF!D94&amp;"yrs)"</f>
        <v>Devil's advocate (5yrs)</v>
      </c>
      <c r="C122" s="198">
        <f>DCF!C94</f>
        <v>-0.05</v>
      </c>
      <c r="D122" s="207" t="str">
        <f>ROUND(DCF!E94,2)&amp;" "&amp;Market_currency</f>
        <v>86.26 HKD</v>
      </c>
      <c r="E122" s="199">
        <f>DCF!F94</f>
        <v>0.05</v>
      </c>
      <c r="F122" s="208">
        <f>RATE(Holding_Period,Scenarios!C$58,-DCF!E94,C$18)</f>
        <v>0.14808676295018783</v>
      </c>
    </row>
    <row r="124" spans="2:6">
      <c r="B124" s="461" t="s">
        <v>356</v>
      </c>
      <c r="C124" s="461"/>
      <c r="D124" s="461"/>
      <c r="E124" s="461"/>
      <c r="F124" s="461"/>
    </row>
    <row r="125" spans="2:6">
      <c r="B125" s="193" t="s">
        <v>217</v>
      </c>
      <c r="C125" s="197">
        <f>Scenarios!C36</f>
        <v>108.42813151922616</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3" t="s">
        <v>284</v>
      </c>
      <c r="C131" s="463"/>
      <c r="D131" s="463"/>
      <c r="E131" s="463"/>
      <c r="F131" s="463"/>
    </row>
    <row r="132" spans="1:6">
      <c r="B132" s="460" t="s">
        <v>358</v>
      </c>
      <c r="C132" s="460"/>
      <c r="D132" s="460"/>
      <c r="E132" s="460"/>
      <c r="F132" s="460"/>
    </row>
    <row r="134" spans="1:6">
      <c r="B134" s="192" t="s">
        <v>194</v>
      </c>
    </row>
    <row r="135" spans="1:6">
      <c r="B135" s="1" t="s">
        <v>220</v>
      </c>
      <c r="C135" s="202">
        <f>E21</f>
        <v>3</v>
      </c>
    </row>
    <row r="136" spans="1:6">
      <c r="B136" s="194" t="s">
        <v>219</v>
      </c>
      <c r="C136" s="195">
        <f>Scenarios!C58</f>
        <v>6.3795999999999999</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11.586073736913978</v>
      </c>
      <c r="D140" s="333">
        <f>Scenarios!D62</f>
        <v>49.352813618218541</v>
      </c>
      <c r="E140" s="334">
        <f>Scenarios!E62</f>
        <v>60.938887355132522</v>
      </c>
      <c r="F140" s="335">
        <f>E22</f>
        <v>0.3</v>
      </c>
    </row>
    <row r="141" spans="1:6">
      <c r="B141" s="336" t="s">
        <v>312</v>
      </c>
      <c r="C141" s="333">
        <f>Scenarios!C63</f>
        <v>13.438509259259257</v>
      </c>
      <c r="D141" s="333">
        <f>Scenarios!D63</f>
        <v>62.74776129584847</v>
      </c>
      <c r="E141" s="334">
        <f>Scenarios!E63</f>
        <v>76.186270555107725</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15.391442902238206</v>
      </c>
      <c r="D144" s="333">
        <f>Scenarios!D66</f>
        <v>77.716990161581251</v>
      </c>
      <c r="E144" s="334">
        <f>Scenarios!E66</f>
        <v>93.108433063819461</v>
      </c>
      <c r="F144" s="335">
        <f>E24</f>
        <v>0.1174</v>
      </c>
    </row>
    <row r="145" spans="1:6">
      <c r="B145" s="336" t="s">
        <v>313</v>
      </c>
      <c r="C145" s="333">
        <f>Scenarios!C67</f>
        <v>16.665908999272972</v>
      </c>
      <c r="D145" s="333">
        <f>Scenarios!D67</f>
        <v>87.892146577788566</v>
      </c>
      <c r="E145" s="334">
        <f>Scenarios!E67</f>
        <v>104.55805557706154</v>
      </c>
      <c r="F145" s="335">
        <f>Scenarios!F67</f>
        <v>7.2499999999999995E-2</v>
      </c>
    </row>
    <row r="147" spans="1:6" ht="13.9">
      <c r="A147" s="200" t="s">
        <v>474</v>
      </c>
      <c r="B147" s="34"/>
      <c r="C147" s="34"/>
      <c r="D147" s="34"/>
      <c r="E147" s="34"/>
      <c r="F147" s="34"/>
    </row>
    <row r="149" spans="1:6">
      <c r="B149" s="467" t="s">
        <v>359</v>
      </c>
      <c r="C149" s="460"/>
      <c r="D149" s="460"/>
      <c r="E149" s="460"/>
      <c r="F149" s="460"/>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1" t="s">
        <v>437</v>
      </c>
      <c r="C158" s="461"/>
      <c r="D158" s="461"/>
      <c r="E158" s="461"/>
      <c r="F158" s="461"/>
    </row>
    <row r="160" spans="1:6">
      <c r="B160" s="1" t="s">
        <v>296</v>
      </c>
    </row>
    <row r="161" spans="2:6" ht="24.5" customHeight="1">
      <c r="B161" s="466" t="s">
        <v>293</v>
      </c>
      <c r="C161" s="466"/>
      <c r="D161" s="466"/>
      <c r="E161" s="466"/>
      <c r="F161" s="466"/>
    </row>
    <row r="162" spans="2:6" ht="24.5" customHeight="1">
      <c r="B162" s="466" t="s">
        <v>294</v>
      </c>
      <c r="C162" s="466"/>
      <c r="D162" s="466"/>
      <c r="E162" s="466"/>
      <c r="F162" s="466"/>
    </row>
    <row r="164" spans="2:6">
      <c r="B164" s="1" t="s">
        <v>300</v>
      </c>
    </row>
    <row r="165" spans="2:6">
      <c r="B165" s="196" t="s">
        <v>297</v>
      </c>
    </row>
    <row r="166" spans="2:6">
      <c r="B166" s="196" t="s">
        <v>298</v>
      </c>
    </row>
    <row r="167" spans="2:6">
      <c r="B167" s="196" t="s">
        <v>299</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92</v>
      </c>
      <c r="C2" s="35"/>
      <c r="D2" s="35"/>
      <c r="E2" s="35"/>
      <c r="F2" s="35"/>
      <c r="G2" s="35"/>
      <c r="H2" s="35"/>
      <c r="I2" s="35"/>
      <c r="J2" s="35"/>
      <c r="K2" s="35"/>
      <c r="L2" s="35"/>
      <c r="M2" s="35"/>
    </row>
    <row r="3" spans="2:13">
      <c r="B3" s="16" t="s">
        <v>24</v>
      </c>
      <c r="C3" s="103">
        <v>1000</v>
      </c>
    </row>
    <row r="4" spans="2:13">
      <c r="B4" s="31" t="s">
        <v>0</v>
      </c>
      <c r="C4" s="287">
        <v>1754677</v>
      </c>
      <c r="D4" s="287">
        <v>1759836</v>
      </c>
      <c r="E4" s="287">
        <v>1754677</v>
      </c>
      <c r="F4" s="287"/>
      <c r="G4" s="287"/>
      <c r="H4" s="287"/>
      <c r="I4" s="287"/>
      <c r="J4" s="287"/>
      <c r="K4" s="287"/>
      <c r="L4" s="287"/>
      <c r="M4" s="287"/>
    </row>
    <row r="5" spans="2:13">
      <c r="B5" s="38" t="s">
        <v>39</v>
      </c>
      <c r="C5" s="287">
        <v>369521</v>
      </c>
      <c r="D5" s="287">
        <v>374279</v>
      </c>
      <c r="E5" s="287">
        <v>400585</v>
      </c>
      <c r="F5" s="287"/>
      <c r="G5" s="287"/>
      <c r="H5" s="287"/>
      <c r="I5" s="287"/>
      <c r="J5" s="287"/>
      <c r="K5" s="287"/>
      <c r="L5" s="287"/>
      <c r="M5" s="287"/>
    </row>
    <row r="6" spans="2:13">
      <c r="B6" s="38" t="s">
        <v>50</v>
      </c>
      <c r="C6" s="287">
        <f>101294+C7</f>
        <v>582085</v>
      </c>
      <c r="D6" s="287">
        <f>117574+D7</f>
        <v>578995</v>
      </c>
      <c r="E6" s="287">
        <f>52806+E7</f>
        <v>529913</v>
      </c>
      <c r="F6" s="287"/>
      <c r="G6" s="287"/>
      <c r="H6" s="287"/>
      <c r="I6" s="287"/>
      <c r="J6" s="287"/>
      <c r="K6" s="287"/>
      <c r="L6" s="287"/>
      <c r="M6" s="287"/>
    </row>
    <row r="7" spans="2:13">
      <c r="B7" s="66" t="s">
        <v>57</v>
      </c>
      <c r="C7" s="288">
        <v>480791</v>
      </c>
      <c r="D7" s="288">
        <v>461421</v>
      </c>
      <c r="E7" s="288">
        <v>477107</v>
      </c>
      <c r="F7" s="288"/>
      <c r="G7" s="288"/>
      <c r="H7" s="288"/>
      <c r="I7" s="288"/>
      <c r="J7" s="288"/>
      <c r="K7" s="288"/>
      <c r="L7" s="288"/>
      <c r="M7" s="288"/>
    </row>
    <row r="8" spans="2:13">
      <c r="B8" s="38" t="s">
        <v>45</v>
      </c>
      <c r="C8" s="287">
        <v>308747</v>
      </c>
      <c r="D8" s="287">
        <v>333628</v>
      </c>
      <c r="E8" s="287">
        <v>415190</v>
      </c>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105397</v>
      </c>
      <c r="D12" s="287">
        <v>120070</v>
      </c>
      <c r="E12" s="287">
        <v>71598</v>
      </c>
      <c r="F12" s="287"/>
      <c r="G12" s="287"/>
      <c r="H12" s="287"/>
      <c r="I12" s="287"/>
      <c r="J12" s="287"/>
      <c r="K12" s="287"/>
      <c r="L12" s="287"/>
      <c r="M12" s="287"/>
    </row>
    <row r="13" spans="2:13">
      <c r="B13" s="38" t="s">
        <v>63</v>
      </c>
      <c r="C13" s="287">
        <v>123336</v>
      </c>
      <c r="D13" s="287">
        <v>118209</v>
      </c>
      <c r="E13" s="287">
        <v>105434</v>
      </c>
      <c r="F13" s="287"/>
      <c r="G13" s="287"/>
      <c r="H13" s="287"/>
      <c r="I13" s="287"/>
      <c r="J13" s="287"/>
      <c r="K13" s="287"/>
      <c r="L13" s="287"/>
      <c r="M13" s="287"/>
    </row>
    <row r="14" spans="2:13">
      <c r="B14" s="38" t="s">
        <v>46</v>
      </c>
      <c r="C14" s="287">
        <v>110550</v>
      </c>
      <c r="D14" s="287">
        <v>145287</v>
      </c>
      <c r="E14" s="287">
        <v>30277</v>
      </c>
      <c r="F14" s="287"/>
      <c r="G14" s="287"/>
      <c r="H14" s="287"/>
      <c r="I14" s="287"/>
      <c r="J14" s="287"/>
      <c r="K14" s="287"/>
      <c r="L14" s="287"/>
      <c r="M14" s="287"/>
    </row>
    <row r="15" spans="2:13">
      <c r="B15" s="41" t="s">
        <v>38</v>
      </c>
      <c r="C15" s="289">
        <v>310105</v>
      </c>
      <c r="D15" s="289">
        <v>357495</v>
      </c>
      <c r="E15" s="289">
        <v>97809</v>
      </c>
      <c r="F15" s="289"/>
      <c r="G15" s="289"/>
      <c r="H15" s="289"/>
      <c r="I15" s="289"/>
      <c r="J15" s="289"/>
      <c r="K15" s="289"/>
      <c r="L15" s="289"/>
      <c r="M15" s="289"/>
    </row>
    <row r="16" spans="2:13">
      <c r="B16" s="27" t="s">
        <v>40</v>
      </c>
      <c r="C16" s="287">
        <f>2556+7648</f>
        <v>10204</v>
      </c>
      <c r="D16" s="287">
        <f>2095+12902</f>
        <v>14997</v>
      </c>
      <c r="E16" s="287">
        <v>12254</v>
      </c>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639898</v>
      </c>
      <c r="D22" s="287">
        <v>672820</v>
      </c>
      <c r="E22" s="287">
        <v>564104</v>
      </c>
      <c r="F22" s="287"/>
      <c r="G22" s="287"/>
      <c r="H22" s="287"/>
      <c r="I22" s="287"/>
      <c r="J22" s="287"/>
      <c r="K22" s="287"/>
      <c r="L22" s="287"/>
      <c r="M22" s="287"/>
    </row>
    <row r="23" spans="2:13">
      <c r="B23" s="26" t="s">
        <v>287</v>
      </c>
      <c r="C23" s="287">
        <v>-246900</v>
      </c>
      <c r="D23" s="287">
        <v>-736846</v>
      </c>
      <c r="E23" s="287">
        <v>-33014</v>
      </c>
      <c r="F23" s="287"/>
      <c r="G23" s="287"/>
      <c r="H23" s="287"/>
      <c r="I23" s="287"/>
      <c r="J23" s="287"/>
      <c r="K23" s="287"/>
      <c r="L23" s="287"/>
      <c r="M23" s="287"/>
    </row>
    <row r="24" spans="2:13">
      <c r="B24" s="26" t="s">
        <v>286</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25</v>
      </c>
      <c r="C27" s="94" t="s">
        <v>545</v>
      </c>
    </row>
    <row r="28" spans="2:13">
      <c r="B28" s="25" t="s">
        <v>21</v>
      </c>
      <c r="C28" s="270">
        <f>BS!C4</f>
        <v>829493</v>
      </c>
      <c r="D28" s="287">
        <f>341486+61094+38188+486397</f>
        <v>927165</v>
      </c>
      <c r="E28" s="287"/>
      <c r="F28" s="287"/>
      <c r="G28" s="287"/>
      <c r="H28" s="287"/>
      <c r="I28" s="287"/>
      <c r="J28" s="287"/>
      <c r="K28" s="287"/>
      <c r="L28" s="287"/>
      <c r="M28" s="287"/>
    </row>
    <row r="29" spans="2:13">
      <c r="B29" s="25" t="s">
        <v>29</v>
      </c>
      <c r="C29" s="270">
        <f>BS!C6</f>
        <v>0</v>
      </c>
      <c r="D29" s="287">
        <v>554546</v>
      </c>
      <c r="E29" s="287"/>
      <c r="F29" s="287"/>
      <c r="G29" s="287"/>
      <c r="H29" s="287"/>
      <c r="I29" s="287"/>
      <c r="J29" s="287"/>
      <c r="K29" s="287"/>
      <c r="L29" s="287"/>
      <c r="M29" s="287"/>
    </row>
    <row r="30" spans="2:13">
      <c r="B30" s="28" t="s">
        <v>37</v>
      </c>
      <c r="C30" s="271">
        <f>BS!C33+BS!C42</f>
        <v>2863437</v>
      </c>
      <c r="D30" s="289">
        <v>3762742</v>
      </c>
      <c r="E30" s="289"/>
      <c r="F30" s="289"/>
      <c r="G30" s="289"/>
      <c r="H30" s="289"/>
      <c r="I30" s="289"/>
      <c r="J30" s="289"/>
      <c r="K30" s="289"/>
      <c r="L30" s="289"/>
      <c r="M30" s="289"/>
    </row>
    <row r="31" spans="2:13">
      <c r="B31" s="28" t="s">
        <v>27</v>
      </c>
      <c r="C31" s="271">
        <f>BS!G27</f>
        <v>3675708</v>
      </c>
      <c r="D31" s="289">
        <v>3448888</v>
      </c>
      <c r="E31" s="289"/>
      <c r="F31" s="289"/>
      <c r="G31" s="289"/>
      <c r="H31" s="289"/>
      <c r="I31" s="289"/>
      <c r="J31" s="289"/>
      <c r="K31" s="289"/>
      <c r="L31" s="289"/>
      <c r="M31" s="289"/>
    </row>
    <row r="32" spans="2:13">
      <c r="B32" s="25" t="s">
        <v>142</v>
      </c>
      <c r="C32" s="270">
        <f>BS!G28</f>
        <v>52770</v>
      </c>
      <c r="D32" s="287">
        <v>50153</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82</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37</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45838</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376540+452953</f>
        <v>829493</v>
      </c>
      <c r="D4" s="231">
        <v>0.6</v>
      </c>
      <c r="E4" s="24"/>
      <c r="F4" s="4" t="s">
        <v>73</v>
      </c>
      <c r="G4" s="18">
        <v>1156292</v>
      </c>
      <c r="H4" s="231">
        <v>0.9</v>
      </c>
    </row>
    <row r="5" spans="2:8" ht="15" customHeight="1">
      <c r="B5" s="1" t="s">
        <v>30</v>
      </c>
      <c r="C5" s="18">
        <v>0</v>
      </c>
      <c r="D5" s="231">
        <v>0.6</v>
      </c>
      <c r="E5" s="24"/>
      <c r="F5" s="1" t="s">
        <v>26</v>
      </c>
      <c r="G5" s="18">
        <v>0</v>
      </c>
      <c r="H5" s="231">
        <v>0.7</v>
      </c>
    </row>
    <row r="6" spans="2:8" ht="15" customHeight="1">
      <c r="B6" s="4" t="s">
        <v>8</v>
      </c>
      <c r="C6" s="18">
        <v>0</v>
      </c>
      <c r="D6" s="231">
        <v>0.5</v>
      </c>
      <c r="E6" s="24"/>
      <c r="F6" s="4" t="s">
        <v>146</v>
      </c>
      <c r="G6" s="18">
        <v>0</v>
      </c>
      <c r="H6" s="231">
        <v>0.6</v>
      </c>
    </row>
    <row r="7" spans="2:8" ht="15" customHeight="1">
      <c r="B7" s="1" t="s">
        <v>65</v>
      </c>
      <c r="C7" s="18">
        <v>0</v>
      </c>
      <c r="D7" s="231">
        <v>0.6</v>
      </c>
      <c r="E7" s="24"/>
      <c r="F7" s="4" t="s">
        <v>147</v>
      </c>
      <c r="G7" s="18">
        <v>952876</v>
      </c>
      <c r="H7" s="231">
        <v>0.6</v>
      </c>
    </row>
    <row r="8" spans="2:8" ht="15" customHeight="1">
      <c r="B8" s="1" t="s">
        <v>143</v>
      </c>
      <c r="C8" s="18">
        <v>0</v>
      </c>
      <c r="D8" s="231">
        <v>0.6</v>
      </c>
      <c r="E8" s="24"/>
      <c r="F8" s="1" t="s">
        <v>148</v>
      </c>
      <c r="G8" s="18">
        <v>0</v>
      </c>
      <c r="H8" s="231">
        <v>0.6</v>
      </c>
    </row>
    <row r="9" spans="2:8" ht="15" customHeight="1">
      <c r="B9" s="4" t="s">
        <v>22</v>
      </c>
      <c r="C9" s="18">
        <v>339402</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1168895</v>
      </c>
      <c r="D12" s="19">
        <f>C4*D4+C5*D5+C9*D9+C6*D6+C8*D8+C7*D7+C10*D10+C11*D11</f>
        <v>531636</v>
      </c>
      <c r="F12" s="77" t="s">
        <v>66</v>
      </c>
      <c r="G12" s="78">
        <f>SUM(G4:G10)</f>
        <v>2109168</v>
      </c>
      <c r="H12" s="19">
        <f>G4*H4+G5*H5+G6*H6+G7*H7+G8*H8+G9*H9+G10*H10</f>
        <v>1612388.4</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0</v>
      </c>
      <c r="H17" s="231">
        <v>0.6</v>
      </c>
    </row>
    <row r="18" spans="2:8" ht="15" customHeight="1">
      <c r="B18" s="4" t="s">
        <v>143</v>
      </c>
      <c r="C18" s="18">
        <v>0</v>
      </c>
      <c r="D18" s="231">
        <v>0.6</v>
      </c>
      <c r="F18" s="4" t="s">
        <v>150</v>
      </c>
      <c r="G18" s="18">
        <v>0</v>
      </c>
      <c r="H18" s="231">
        <v>0.1</v>
      </c>
    </row>
    <row r="19" spans="2:8" ht="15" customHeight="1">
      <c r="B19" s="4" t="s">
        <v>23</v>
      </c>
      <c r="C19" s="18">
        <v>280622</v>
      </c>
      <c r="D19" s="231">
        <v>0.1</v>
      </c>
      <c r="F19" s="4" t="s">
        <v>151</v>
      </c>
      <c r="G19" s="18">
        <v>1419411</v>
      </c>
      <c r="H19" s="231">
        <v>0.1</v>
      </c>
    </row>
    <row r="20" spans="2:8" ht="15" customHeight="1">
      <c r="B20" s="4" t="s">
        <v>554</v>
      </c>
      <c r="C20" s="18">
        <v>0</v>
      </c>
      <c r="D20" s="231">
        <v>0.05</v>
      </c>
      <c r="F20" s="4" t="s">
        <v>148</v>
      </c>
      <c r="G20" s="18">
        <v>0</v>
      </c>
      <c r="H20" s="231">
        <v>0.2</v>
      </c>
    </row>
    <row r="21" spans="2:8" ht="15" customHeight="1">
      <c r="B21" s="4" t="s">
        <v>16</v>
      </c>
      <c r="C21" s="18">
        <v>0</v>
      </c>
      <c r="D21" s="231">
        <v>0.05</v>
      </c>
      <c r="F21" s="1" t="s">
        <v>149</v>
      </c>
      <c r="G21" s="18">
        <v>0</v>
      </c>
      <c r="H21" s="231">
        <v>0.1</v>
      </c>
    </row>
    <row r="22" spans="2:8" ht="15" customHeight="1">
      <c r="B22" s="4" t="s">
        <v>17</v>
      </c>
      <c r="C22" s="18">
        <v>0</v>
      </c>
      <c r="D22" s="231">
        <v>0.9</v>
      </c>
      <c r="H22" s="232"/>
    </row>
    <row r="23" spans="2:8" ht="15" customHeight="1">
      <c r="B23" s="4" t="s">
        <v>18</v>
      </c>
      <c r="C23" s="18">
        <f>268159+1292890</f>
        <v>1561049</v>
      </c>
      <c r="D23" s="231">
        <v>0</v>
      </c>
      <c r="H23" s="232"/>
    </row>
    <row r="24" spans="2:8" ht="15" customHeight="1">
      <c r="B24" s="77" t="s">
        <v>69</v>
      </c>
      <c r="C24" s="78">
        <f>SUM(C15:C23)</f>
        <v>1841671</v>
      </c>
      <c r="D24" s="19">
        <f>C15*D15+C16*D16+C18*D18+C17*D17+C19*D19+C20*D20+C21*D21+C22*D22+C23*D23</f>
        <v>28062.2</v>
      </c>
      <c r="F24" s="77" t="s">
        <v>67</v>
      </c>
      <c r="G24" s="78">
        <f>SUM(G15:G21)</f>
        <v>1419411</v>
      </c>
      <c r="H24" s="19">
        <f>G15*H15+G16*H16+G17*H17+G18*H18+G19*H19+G20*H20+G21*H21</f>
        <v>141941.1</v>
      </c>
    </row>
    <row r="26" spans="2:8" ht="15" customHeight="1">
      <c r="B26" s="16" t="s">
        <v>168</v>
      </c>
      <c r="C26" s="164" t="s">
        <v>112</v>
      </c>
      <c r="F26" s="166" t="s">
        <v>164</v>
      </c>
      <c r="G26" s="167" t="s">
        <v>112</v>
      </c>
      <c r="H26" s="168" t="s">
        <v>32</v>
      </c>
    </row>
    <row r="27" spans="2:8" ht="15" customHeight="1">
      <c r="B27" s="4" t="s">
        <v>3</v>
      </c>
      <c r="C27" s="18">
        <v>0</v>
      </c>
      <c r="F27" s="169" t="s">
        <v>27</v>
      </c>
      <c r="G27" s="82">
        <f>G32-G30</f>
        <v>3675708</v>
      </c>
      <c r="H27" s="170">
        <f>H32-G30</f>
        <v>-549409.29999999981</v>
      </c>
    </row>
    <row r="28" spans="2:8" ht="15" customHeight="1">
      <c r="B28" s="4" t="s">
        <v>4</v>
      </c>
      <c r="C28" s="18">
        <v>0</v>
      </c>
      <c r="F28" s="171" t="s">
        <v>208</v>
      </c>
      <c r="G28" s="287">
        <v>52770</v>
      </c>
      <c r="H28" s="170"/>
    </row>
    <row r="29" spans="2:8" ht="15" customHeight="1">
      <c r="B29" s="4" t="s">
        <v>5</v>
      </c>
      <c r="C29" s="18">
        <v>0</v>
      </c>
      <c r="F29" s="172" t="s">
        <v>71</v>
      </c>
      <c r="G29" s="14">
        <f>G27-G28</f>
        <v>3622938</v>
      </c>
      <c r="H29" s="170">
        <f>H27-G28</f>
        <v>-602179.29999999981</v>
      </c>
    </row>
    <row r="30" spans="2:8" ht="15" customHeight="1">
      <c r="B30" s="2" t="s">
        <v>6</v>
      </c>
      <c r="C30" s="18">
        <v>0</v>
      </c>
      <c r="F30" s="169" t="s">
        <v>20</v>
      </c>
      <c r="G30" s="82">
        <f>C33+C42</f>
        <v>2863437</v>
      </c>
      <c r="H30" s="170"/>
    </row>
    <row r="31" spans="2:8" ht="15" customHeight="1">
      <c r="B31" s="77" t="s">
        <v>171</v>
      </c>
      <c r="C31" s="78">
        <f>SUM(C27:C30)</f>
        <v>0</v>
      </c>
      <c r="F31" s="172" t="s">
        <v>72</v>
      </c>
      <c r="G31" s="173">
        <f>C31+C40</f>
        <v>1067520</v>
      </c>
      <c r="H31" s="170"/>
    </row>
    <row r="32" spans="2:8" ht="15" customHeight="1">
      <c r="B32" s="4" t="s">
        <v>7</v>
      </c>
      <c r="C32" s="20">
        <f>C33-C31</f>
        <v>896878</v>
      </c>
      <c r="F32" s="174" t="s">
        <v>70</v>
      </c>
      <c r="G32" s="175">
        <f>G35+G40</f>
        <v>6539145</v>
      </c>
      <c r="H32" s="170">
        <f>H35+H40</f>
        <v>2314027.7000000002</v>
      </c>
    </row>
    <row r="33" spans="2:8" ht="15" customHeight="1">
      <c r="B33" s="80" t="s">
        <v>2</v>
      </c>
      <c r="C33" s="81">
        <v>896878</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3010566</v>
      </c>
      <c r="H35" s="182">
        <f>D12+D24</f>
        <v>559698.19999999995</v>
      </c>
    </row>
    <row r="36" spans="2:8" ht="15" customHeight="1">
      <c r="B36" s="4" t="s">
        <v>11</v>
      </c>
      <c r="C36" s="18">
        <f>322374+745146</f>
        <v>1067520</v>
      </c>
      <c r="F36" s="172" t="s">
        <v>165</v>
      </c>
      <c r="G36" s="173">
        <f>C4+C15</f>
        <v>829493</v>
      </c>
      <c r="H36" s="177"/>
    </row>
    <row r="37" spans="2:8" ht="15" customHeight="1">
      <c r="B37" s="4" t="s">
        <v>12</v>
      </c>
      <c r="C37" s="18">
        <v>0</v>
      </c>
      <c r="F37" s="172" t="s">
        <v>166</v>
      </c>
      <c r="G37" s="173">
        <f>C6</f>
        <v>0</v>
      </c>
      <c r="H37" s="177"/>
    </row>
    <row r="38" spans="2:8" ht="15" customHeight="1">
      <c r="B38" s="4" t="s">
        <v>13</v>
      </c>
      <c r="C38" s="18">
        <v>0</v>
      </c>
      <c r="F38" s="172" t="s">
        <v>167</v>
      </c>
      <c r="G38" s="173">
        <f>C7+C17</f>
        <v>0</v>
      </c>
      <c r="H38" s="177"/>
    </row>
    <row r="39" spans="2:8" ht="15" customHeight="1">
      <c r="B39" s="2" t="s">
        <v>14</v>
      </c>
      <c r="C39" s="18">
        <v>0</v>
      </c>
      <c r="F39" s="172" t="s">
        <v>75</v>
      </c>
      <c r="G39" s="173">
        <f>C7+C17+C19+C20</f>
        <v>280622</v>
      </c>
      <c r="H39" s="170">
        <f>C7*D7+C17*D17+C19*D19+C20*D20</f>
        <v>28062.2</v>
      </c>
    </row>
    <row r="40" spans="2:8" ht="15" customHeight="1">
      <c r="B40" s="77" t="s">
        <v>172</v>
      </c>
      <c r="C40" s="78">
        <f>SUM(C36:C39)</f>
        <v>1067520</v>
      </c>
      <c r="F40" s="181" t="s">
        <v>114</v>
      </c>
      <c r="G40" s="175">
        <f>G12+G24</f>
        <v>3528579</v>
      </c>
      <c r="H40" s="182">
        <f>H12+H24</f>
        <v>1754329.5</v>
      </c>
    </row>
    <row r="41" spans="2:8" ht="15" customHeight="1">
      <c r="B41" s="4" t="s">
        <v>15</v>
      </c>
      <c r="C41" s="20">
        <f>C42-C40</f>
        <v>899039</v>
      </c>
      <c r="F41" s="172" t="s">
        <v>159</v>
      </c>
      <c r="G41" s="173">
        <f>C70</f>
        <v>1156292</v>
      </c>
      <c r="H41" s="182">
        <f>H40-H42</f>
        <v>1040662.8</v>
      </c>
    </row>
    <row r="42" spans="2:8" ht="15" customHeight="1">
      <c r="B42" s="80" t="s">
        <v>19</v>
      </c>
      <c r="C42" s="81">
        <f>2863437-896878</f>
        <v>1966559</v>
      </c>
      <c r="F42" s="183" t="s">
        <v>160</v>
      </c>
      <c r="G42" s="184">
        <f>C82</f>
        <v>2372287</v>
      </c>
      <c r="H42" s="185">
        <f>D82</f>
        <v>713666.7</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3622938</v>
      </c>
      <c r="D46" s="73">
        <f>H29</f>
        <v>-602179.29999999981</v>
      </c>
      <c r="F46" s="223"/>
    </row>
    <row r="47" spans="2:8" ht="15" customHeight="1">
      <c r="B47" s="1" t="str">
        <f>"Equity per share ("&amp;Market_currency&amp;")"</f>
        <v>Equity per share (HKD)</v>
      </c>
      <c r="C47" s="134">
        <f>C46*H1/Common_Shares*Exchange_Rate</f>
        <v>115.87534230318046</v>
      </c>
      <c r="D47" s="134">
        <f>D46*H1/Common_Shares*Exchange_Rate</f>
        <v>-19.259985270349524</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2.3236948196964886</v>
      </c>
      <c r="D50" s="92">
        <f>G31/Normalized_FCF!G8</f>
        <v>2.1595552714414028</v>
      </c>
      <c r="F50" s="223"/>
    </row>
    <row r="51" spans="2:8" ht="15" customHeight="1">
      <c r="B51" s="1" t="s">
        <v>145</v>
      </c>
      <c r="C51" s="163"/>
      <c r="D51" s="89">
        <f>G29/G32</f>
        <v>0.55403848668289202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0.15259797759772703</v>
      </c>
      <c r="D54" s="89">
        <f>Normalized_FCF!G8/G35</f>
        <v>0.16419636706187474</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4.2914173030266192E-2</v>
      </c>
      <c r="F59" s="223"/>
    </row>
    <row r="60" spans="2:8" ht="15" customHeight="1">
      <c r="F60" s="223"/>
    </row>
    <row r="61" spans="2:8" ht="15" customHeight="1">
      <c r="B61" s="143" t="s">
        <v>230</v>
      </c>
      <c r="C61" s="210" t="s">
        <v>113</v>
      </c>
      <c r="D61" s="179" t="s">
        <v>90</v>
      </c>
      <c r="F61" s="223"/>
    </row>
    <row r="62" spans="2:8" ht="15" customHeight="1">
      <c r="B62" s="1" t="s">
        <v>209</v>
      </c>
      <c r="C62" s="89">
        <f>IF(G28&lt;=0,0,G28/G29)</f>
        <v>1.456552665267802E-2</v>
      </c>
      <c r="D62" s="89">
        <f>G28/G29</f>
        <v>1.456552665267802E-2</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1156292</v>
      </c>
      <c r="D66" s="73">
        <f>C66-D75</f>
        <v>680098.98778941319</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1156292</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-235186.69635733333</v>
      </c>
      <c r="D73" s="285">
        <f>(Normalized_FCF!C26+Normalized_FCF!C35-Normalized_FCF!C89)/12</f>
        <v>-238096.50610529343</v>
      </c>
      <c r="F73" s="1" t="s">
        <v>277</v>
      </c>
    </row>
    <row r="74" spans="2:6" ht="15" customHeight="1">
      <c r="B74" s="227" t="s">
        <v>258</v>
      </c>
      <c r="C74" s="228">
        <f>-$C$66/C73</f>
        <v>4.9164855746907374</v>
      </c>
      <c r="D74" s="228">
        <f>-$C$66/D73</f>
        <v>4.8564005365482048</v>
      </c>
      <c r="F74" s="223" t="s">
        <v>256</v>
      </c>
    </row>
    <row r="75" spans="2:6" ht="15" customHeight="1">
      <c r="B75" s="77" t="s">
        <v>257</v>
      </c>
      <c r="C75" s="261"/>
      <c r="D75" s="262">
        <f>MAX(-D73*D76,G5)</f>
        <v>476193.01221058686</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952876</v>
      </c>
      <c r="D79" s="73">
        <f>G7*H7+G17*H17</f>
        <v>571725.6</v>
      </c>
      <c r="F79" s="223"/>
    </row>
    <row r="80" spans="2:6" ht="15" customHeight="1">
      <c r="B80" s="102" t="s">
        <v>151</v>
      </c>
      <c r="C80" s="19">
        <f>G19</f>
        <v>1419411</v>
      </c>
      <c r="D80" s="73">
        <f>G19*H19</f>
        <v>141941.1</v>
      </c>
      <c r="F80" s="223"/>
    </row>
    <row r="81" spans="2:8" ht="15" customHeight="1">
      <c r="B81" s="102" t="s">
        <v>149</v>
      </c>
      <c r="C81" s="19">
        <f>G9+G21</f>
        <v>0</v>
      </c>
      <c r="D81" s="73">
        <f>G9*H9+G21*H21</f>
        <v>0</v>
      </c>
      <c r="F81" s="223"/>
    </row>
    <row r="82" spans="2:8" ht="15" customHeight="1">
      <c r="B82" s="77" t="s">
        <v>158</v>
      </c>
      <c r="C82" s="78">
        <f>SUM(C79:C81)</f>
        <v>2372287</v>
      </c>
      <c r="D82" s="78">
        <f>SUM(D79:D81)</f>
        <v>713666.7</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-8359155.5788799999</v>
      </c>
      <c r="D86" s="201">
        <f>C86*scaling_factor/Common_Shares</f>
        <v>-34.143351449980983</v>
      </c>
      <c r="E86" s="214" t="str">
        <f>Market_currency</f>
        <v>HKD</v>
      </c>
    </row>
    <row r="87" spans="2:8" ht="15" customHeight="1">
      <c r="B87" s="212" t="s">
        <v>239</v>
      </c>
      <c r="C87" s="73">
        <f>DCF!F5*Exchange_Rate</f>
        <v>5325477.0383416833</v>
      </c>
      <c r="D87" s="201">
        <f>C87*scaling_factor/Common_Shares</f>
        <v>21.752153365623368</v>
      </c>
      <c r="E87" s="214" t="str">
        <f>Market_currency</f>
        <v>HKD</v>
      </c>
    </row>
    <row r="88" spans="2:8" ht="15" customHeight="1">
      <c r="B88" s="213" t="s">
        <v>158</v>
      </c>
      <c r="C88" s="73">
        <f>DCF!F6*Exchange_Rate</f>
        <v>5588327.1290147994</v>
      </c>
      <c r="D88" s="201">
        <f>C88*scaling_factor/Common_Shares</f>
        <v>22.82577652526242</v>
      </c>
      <c r="E88" s="214" t="str">
        <f>Market_currency</f>
        <v>HKD</v>
      </c>
    </row>
    <row r="89" spans="2:8" ht="15" customHeight="1">
      <c r="B89" s="77" t="s">
        <v>243</v>
      </c>
      <c r="C89" s="162">
        <f>SUM(C86:C88)</f>
        <v>2554648.5884764828</v>
      </c>
      <c r="D89" s="216">
        <f>SUM(D86:D88)</f>
        <v>10.434578440904804</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53</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83</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86</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546</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9.340556368960469E-2</v>
      </c>
      <c r="E92" s="237"/>
      <c r="G92" s="22">
        <f t="shared" ref="G92:Q92" si="38">IF(G$4="","",(G88*(1-dividend_tax_rate))/Market_Price)</f>
        <v>9.340556368960469E-2</v>
      </c>
      <c r="H92" s="22">
        <f t="shared" si="38"/>
        <v>9.340556368960469E-2</v>
      </c>
      <c r="I92" s="22">
        <f t="shared" si="38"/>
        <v>9.682284040995609E-2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9.074001998114845</v>
      </c>
      <c r="D123" s="26"/>
      <c r="E123" s="234"/>
      <c r="F123" s="26"/>
      <c r="G123" s="159">
        <f t="shared" ref="G123:Q123" si="48">IF(G$4="","",G14*$C$3/Common_Shares*Exchange_Rate)</f>
        <v>10.201751908488058</v>
      </c>
      <c r="H123" s="159">
        <f t="shared" si="48"/>
        <v>7.7164682456506055</v>
      </c>
      <c r="I123" s="159">
        <f t="shared" si="48"/>
        <v>10.819501877153053</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0.13285508049948527</v>
      </c>
      <c r="D124" s="26"/>
      <c r="E124" s="234"/>
      <c r="F124" s="26"/>
      <c r="G124" s="74">
        <f t="shared" ref="G124" si="49">IF(G$4="","",G123/Market_Price)</f>
        <v>0.14936679221798035</v>
      </c>
      <c r="H124" s="74">
        <f t="shared" ref="H124" si="50">IF(H$4="","",H123/Market_Price)</f>
        <v>0.11297903727160477</v>
      </c>
      <c r="I124" s="74">
        <f t="shared" ref="I124" si="51">IF(I$4="","",I123/Market_Price)</f>
        <v>0.15841144768891732</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1.8545212118756559E-2</v>
      </c>
      <c r="H125" s="22">
        <f>IF(H$4="","",(Data!D47*$C$3)/(Market_Price*Common_Shares))</f>
        <v>2.1379276717224411E-2</v>
      </c>
      <c r="I125" s="22">
        <f>IF(I$4="","",(Data!E47*$C$3)/(Market_Price*Common_Shares))</f>
        <v>5.8492725113218434E-3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283706.14487620705</v>
      </c>
      <c r="D4" t="str">
        <f>Reporting_currency</f>
        <v>USD</v>
      </c>
      <c r="E4" s="135" t="s">
        <v>430</v>
      </c>
      <c r="F4" s="275">
        <f>-BS!G31</f>
        <v>-1067520</v>
      </c>
      <c r="G4" t="str">
        <f>Reporting_currency</f>
        <v>USD</v>
      </c>
      <c r="H4" s="308" t="s">
        <v>393</v>
      </c>
      <c r="I4" s="305">
        <f>Normalized_FCF!C4</f>
        <v>1754677</v>
      </c>
      <c r="J4" s="305"/>
    </row>
    <row r="5" spans="2:15">
      <c r="B5" s="187" t="s">
        <v>104</v>
      </c>
      <c r="C5" s="188">
        <f>Equity_Cost</f>
        <v>7.2499999999999995E-2</v>
      </c>
      <c r="E5" s="135" t="s">
        <v>431</v>
      </c>
      <c r="F5" s="275">
        <f>BS!D66</f>
        <v>680098.98778941319</v>
      </c>
      <c r="G5" t="str">
        <f>Reporting_currency</f>
        <v>USD</v>
      </c>
      <c r="H5" s="308" t="s">
        <v>394</v>
      </c>
      <c r="I5" s="305">
        <f>Normalized_FCF!C7</f>
        <v>-101294</v>
      </c>
      <c r="J5" s="305"/>
    </row>
    <row r="6" spans="2:15" ht="13.25" customHeight="1">
      <c r="B6" s="136" t="s">
        <v>193</v>
      </c>
      <c r="C6" s="283">
        <f>(C4*(1+Terminal_Growth))/(Equity_Cost-Terminal_Growth)</f>
        <v>3005751.5889587342</v>
      </c>
      <c r="D6" t="str">
        <f>Reporting_currency</f>
        <v>USD</v>
      </c>
      <c r="E6" s="187" t="s">
        <v>432</v>
      </c>
      <c r="F6" s="284">
        <f>BS!H42</f>
        <v>713666.7</v>
      </c>
      <c r="G6" t="str">
        <f>Reporting_currency</f>
        <v>USD</v>
      </c>
      <c r="H6" s="308" t="s">
        <v>415</v>
      </c>
      <c r="I6" s="305">
        <f>I7+I8</f>
        <v>-61194.041926736478</v>
      </c>
      <c r="J6" s="305"/>
      <c r="N6" s="135"/>
    </row>
    <row r="7" spans="2:15" ht="12.75" customHeight="1">
      <c r="B7" s="318" t="s">
        <v>429</v>
      </c>
      <c r="C7" s="275">
        <f>F7</f>
        <v>326245.68778941315</v>
      </c>
      <c r="E7" s="140" t="s">
        <v>423</v>
      </c>
      <c r="F7" s="283">
        <f>SUM(F4:F6)</f>
        <v>326245.68778941315</v>
      </c>
      <c r="G7" t="str">
        <f>Reporting_currency</f>
        <v>USD</v>
      </c>
      <c r="H7" s="312" t="s">
        <v>416</v>
      </c>
      <c r="I7" s="313">
        <f>Normalized_FCF!C9</f>
        <v>0</v>
      </c>
      <c r="J7" s="313"/>
      <c r="N7" s="304"/>
      <c r="O7" s="304"/>
    </row>
    <row r="8" spans="2:15" ht="13.15">
      <c r="B8" s="136" t="s">
        <v>425</v>
      </c>
      <c r="C8" s="283">
        <f>C6+C7</f>
        <v>3331997.2767481473</v>
      </c>
      <c r="D8" t="str">
        <f>Reporting_currency</f>
        <v>USD</v>
      </c>
      <c r="E8" s="140" t="s">
        <v>463</v>
      </c>
      <c r="F8" s="108">
        <f>FV_adjustments*scaling_factor/Common_Shares*Exchange_Rate</f>
        <v>10.43457844090481</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7.830444</v>
      </c>
      <c r="D9" t="str">
        <f>Thesis!E15</f>
        <v>USD/HKD</v>
      </c>
      <c r="F9" s="322"/>
      <c r="H9" s="308" t="str">
        <f>Normalized_FCF!B79</f>
        <v>NCI’s Share of Profits</v>
      </c>
      <c r="I9" s="144">
        <f>Normalized_FCF!C79</f>
        <v>8.5218168056568899E-3</v>
      </c>
      <c r="J9" s="306"/>
      <c r="N9" s="304"/>
      <c r="O9" s="304"/>
    </row>
    <row r="10" spans="2:15" ht="13.5" thickTop="1">
      <c r="B10" s="107" t="s">
        <v>426</v>
      </c>
      <c r="C10" s="283">
        <f>C8*Exchange_Rate</f>
        <v>26091018.083728869</v>
      </c>
      <c r="D10" t="str">
        <f>Market_currency</f>
        <v>HKD</v>
      </c>
      <c r="H10" s="308" t="s">
        <v>396</v>
      </c>
      <c r="I10" s="306">
        <f>Normalized_FCF!C41</f>
        <v>0.25</v>
      </c>
      <c r="N10" s="304"/>
      <c r="O10" s="304"/>
    </row>
    <row r="11" spans="2:15" ht="13.15">
      <c r="B11" s="136" t="s">
        <v>424</v>
      </c>
      <c r="C11" s="108">
        <f>(C10*scaling_factor)/Common_Shares</f>
        <v>106.5699509614729</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II</v>
      </c>
      <c r="H14" s="106" t="s">
        <v>412</v>
      </c>
    </row>
    <row r="15" spans="2:15">
      <c r="B15" s="139" t="s">
        <v>420</v>
      </c>
      <c r="C15" s="148">
        <f>Scenarios!C45</f>
        <v>5</v>
      </c>
      <c r="E15" s="308" t="str">
        <f>IF(F14="II","Change year","Terminal Year")</f>
        <v>Change year</v>
      </c>
      <c r="F15" s="310">
        <f>IF(F14="II",_xlfn.CEILING.MATH(C15/2),C15+1)</f>
        <v>3</v>
      </c>
      <c r="H15" s="97" t="s">
        <v>428</v>
      </c>
      <c r="I15" s="126">
        <f>Terminal_Growth</f>
        <v>-0.02</v>
      </c>
      <c r="J15" s="126"/>
    </row>
    <row r="16" spans="2:15" ht="13.25" customHeight="1">
      <c r="B16" s="114" t="s">
        <v>421</v>
      </c>
      <c r="C16" s="147">
        <f>Scenarios!C46</f>
        <v>1.00859353690582E-2</v>
      </c>
      <c r="E16" s="308" t="s">
        <v>399</v>
      </c>
      <c r="F16" s="311">
        <f>Scenarios!C41</f>
        <v>1.00859353690582E-2</v>
      </c>
    </row>
    <row r="17" spans="1:21" ht="13.25" customHeight="1">
      <c r="B17" s="308" t="s">
        <v>548</v>
      </c>
      <c r="C17" s="306">
        <f>Normalized_FCF!C77</f>
        <v>0.2269433297967331</v>
      </c>
      <c r="E17" s="308" t="s">
        <v>549</v>
      </c>
      <c r="F17" s="311">
        <f>Scenarios!C40</f>
        <v>0.16758448420991445</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108.42826023614894</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1772374.5588155729</v>
      </c>
      <c r="D21" s="299">
        <f t="shared" ref="D21:D50" si="1">IF(A21="",0,IF(A21="I",$C$16,$F$16))</f>
        <v>1.00859353690582E-2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1.00859353690582E-2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1.00859353690582E-2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1.00859353690582E-2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1.00859353690582E-2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419</v>
      </c>
      <c r="K52" s="468"/>
      <c r="L52" s="317">
        <f>SUM(L21:L51)</f>
        <v>3063853.1587418988</v>
      </c>
    </row>
    <row r="53" spans="1:21">
      <c r="C53" s="111"/>
    </row>
    <row r="54" spans="1:21" ht="13.15">
      <c r="B54" s="115" t="s">
        <v>107</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106.5699509614729</v>
      </c>
      <c r="C73" s="119">
        <f>C11</f>
        <v>106.5699509614729</v>
      </c>
      <c r="D73" s="119">
        <f>C11</f>
        <v>106.5699509614729</v>
      </c>
      <c r="E73" s="119">
        <f>C11</f>
        <v>106.5699509614729</v>
      </c>
      <c r="F73" s="119">
        <f>C11</f>
        <v>106.5699509614729</v>
      </c>
      <c r="G73" s="296"/>
      <c r="H73" s="296"/>
      <c r="I73" s="296"/>
      <c r="J73" s="296"/>
      <c r="K73" s="296"/>
      <c r="L73" s="296"/>
    </row>
    <row r="74" spans="1:21" ht="13.15">
      <c r="A74" s="131">
        <v>1</v>
      </c>
      <c r="B74" s="119">
        <f t="shared" ref="B74:F87" si="11">(B56+FV_adjustments)/Common_Shares*scaling_factor*Exchange_Rate</f>
        <v>97.203073698111794</v>
      </c>
      <c r="C74" s="119">
        <f t="shared" si="11"/>
        <v>101.76983660638584</v>
      </c>
      <c r="D74" s="119">
        <f t="shared" si="11"/>
        <v>102.68318918804063</v>
      </c>
      <c r="E74" s="119">
        <f t="shared" si="11"/>
        <v>103.59654176969543</v>
      </c>
      <c r="F74" s="119">
        <f t="shared" si="11"/>
        <v>104.50989435135028</v>
      </c>
      <c r="G74" s="296"/>
      <c r="H74" s="296"/>
      <c r="I74" s="296"/>
      <c r="J74" s="296"/>
      <c r="K74" s="296"/>
      <c r="L74" s="296"/>
    </row>
    <row r="75" spans="1:21" ht="13.15">
      <c r="A75" s="131">
        <v>2</v>
      </c>
      <c r="B75" s="119">
        <f t="shared" si="11"/>
        <v>93.369712093222006</v>
      </c>
      <c r="C75" s="119">
        <f t="shared" si="11"/>
        <v>101.88416822034391</v>
      </c>
      <c r="D75" s="119">
        <f t="shared" si="11"/>
        <v>103.63685283488179</v>
      </c>
      <c r="E75" s="119">
        <f t="shared" si="11"/>
        <v>105.40613524579082</v>
      </c>
      <c r="F75" s="119">
        <f t="shared" si="11"/>
        <v>107.19201545307098</v>
      </c>
      <c r="G75" s="296"/>
      <c r="H75" s="296"/>
      <c r="I75" s="296"/>
      <c r="J75" s="296"/>
      <c r="K75" s="296"/>
      <c r="L75" s="296"/>
    </row>
    <row r="76" spans="1:21" ht="13.15">
      <c r="A76" s="131">
        <v>3</v>
      </c>
      <c r="B76" s="119">
        <f t="shared" si="11"/>
        <v>89.974193655324299</v>
      </c>
      <c r="C76" s="119">
        <f t="shared" si="11"/>
        <v>101.99077112380135</v>
      </c>
      <c r="D76" s="119">
        <f t="shared" si="11"/>
        <v>104.53494167712846</v>
      </c>
      <c r="E76" s="119">
        <f t="shared" si="11"/>
        <v>107.12714722305631</v>
      </c>
      <c r="F76" s="119">
        <f t="shared" si="11"/>
        <v>109.76785203560931</v>
      </c>
      <c r="G76" s="296"/>
      <c r="H76" s="296"/>
      <c r="I76" s="296"/>
      <c r="J76" s="296"/>
      <c r="K76" s="296"/>
      <c r="L76" s="296"/>
    </row>
    <row r="77" spans="1:21" ht="13.15">
      <c r="A77" s="131">
        <v>4</v>
      </c>
      <c r="B77" s="119">
        <f t="shared" si="11"/>
        <v>86.966508325717911</v>
      </c>
      <c r="C77" s="119">
        <f t="shared" si="11"/>
        <v>102.0901677703817</v>
      </c>
      <c r="D77" s="119">
        <f t="shared" si="11"/>
        <v>105.38069433975701</v>
      </c>
      <c r="E77" s="119">
        <f t="shared" si="11"/>
        <v>108.76391385877733</v>
      </c>
      <c r="F77" s="119">
        <f t="shared" si="11"/>
        <v>112.24161583981859</v>
      </c>
      <c r="G77" s="296"/>
      <c r="H77" s="296"/>
      <c r="I77" s="296"/>
      <c r="J77" s="296"/>
      <c r="K77" s="296"/>
      <c r="L77" s="296"/>
    </row>
    <row r="78" spans="1:21" ht="13.15">
      <c r="A78" s="131">
        <v>5</v>
      </c>
      <c r="B78" s="119">
        <f t="shared" si="11"/>
        <v>86.262676612262894</v>
      </c>
      <c r="C78" s="119">
        <f t="shared" si="11"/>
        <v>104.35494331511622</v>
      </c>
      <c r="D78" s="119">
        <f t="shared" si="11"/>
        <v>108.39291790564769</v>
      </c>
      <c r="E78" s="119">
        <f t="shared" si="11"/>
        <v>112.58040982953618</v>
      </c>
      <c r="F78" s="119">
        <f t="shared" si="11"/>
        <v>116.92173049586003</v>
      </c>
      <c r="G78" s="296"/>
      <c r="H78" s="296"/>
      <c r="I78" s="296"/>
      <c r="J78" s="296"/>
      <c r="K78" s="296"/>
      <c r="L78" s="296"/>
    </row>
    <row r="79" spans="1:21" ht="13.15">
      <c r="A79" s="131">
        <v>6</v>
      </c>
      <c r="B79" s="119">
        <f t="shared" si="11"/>
        <v>83.902823310035899</v>
      </c>
      <c r="C79" s="119">
        <f t="shared" si="11"/>
        <v>104.44135592672373</v>
      </c>
      <c r="D79" s="119">
        <f t="shared" si="11"/>
        <v>109.14297015804571</v>
      </c>
      <c r="E79" s="119">
        <f t="shared" si="11"/>
        <v>114.0608556065569</v>
      </c>
      <c r="F79" s="119">
        <f t="shared" si="11"/>
        <v>119.20332298439085</v>
      </c>
      <c r="G79" s="296"/>
      <c r="H79" s="296"/>
      <c r="I79" s="296"/>
      <c r="J79" s="296"/>
      <c r="K79" s="296"/>
      <c r="L79" s="296"/>
    </row>
    <row r="80" spans="1:21" ht="13.15">
      <c r="A80" s="131">
        <f t="shared" ref="A80" si="12">A62</f>
        <v>7</v>
      </c>
      <c r="B80" s="119">
        <f t="shared" si="11"/>
        <v>83.54892298531847</v>
      </c>
      <c r="C80" s="119">
        <f t="shared" si="11"/>
        <v>106.54719334433956</v>
      </c>
      <c r="D80" s="119">
        <f t="shared" si="11"/>
        <v>111.93594688137875</v>
      </c>
      <c r="E80" s="119">
        <f t="shared" si="11"/>
        <v>117.61806072252932</v>
      </c>
      <c r="F80" s="119">
        <f t="shared" si="11"/>
        <v>123.6075657955425</v>
      </c>
      <c r="G80" s="296"/>
      <c r="H80" s="296"/>
      <c r="I80" s="296"/>
      <c r="J80" s="296"/>
      <c r="K80" s="296"/>
      <c r="L80" s="296"/>
    </row>
    <row r="81" spans="1:12" ht="13.15">
      <c r="A81" s="131">
        <v>8</v>
      </c>
      <c r="B81" s="119">
        <f t="shared" si="11"/>
        <v>81.697363730361246</v>
      </c>
      <c r="C81" s="119">
        <f t="shared" si="11"/>
        <v>106.62231800600298</v>
      </c>
      <c r="D81" s="119">
        <f t="shared" si="11"/>
        <v>112.60112762060206</v>
      </c>
      <c r="E81" s="119">
        <f t="shared" si="11"/>
        <v>118.95711520400884</v>
      </c>
      <c r="F81" s="119">
        <f t="shared" si="11"/>
        <v>125.71191556202484</v>
      </c>
      <c r="G81" s="296"/>
      <c r="H81" s="296"/>
      <c r="I81" s="296"/>
      <c r="J81" s="296"/>
      <c r="K81" s="296"/>
      <c r="L81" s="296"/>
    </row>
    <row r="82" spans="1:12" ht="13.15">
      <c r="A82" s="131">
        <f t="shared" ref="A82" si="13">A64</f>
        <v>9</v>
      </c>
      <c r="B82" s="119">
        <f t="shared" si="11"/>
        <v>81.595369045280322</v>
      </c>
      <c r="C82" s="119">
        <f t="shared" si="11"/>
        <v>108.58072442059061</v>
      </c>
      <c r="D82" s="119">
        <f t="shared" si="11"/>
        <v>115.19258001628029</v>
      </c>
      <c r="E82" s="119">
        <f t="shared" si="11"/>
        <v>122.27464327674932</v>
      </c>
      <c r="F82" s="119">
        <f t="shared" si="11"/>
        <v>129.85824211718634</v>
      </c>
      <c r="G82" s="296"/>
      <c r="H82" s="296"/>
      <c r="I82" s="296"/>
      <c r="J82" s="296"/>
      <c r="K82" s="296"/>
      <c r="L82" s="296"/>
    </row>
    <row r="83" spans="1:12" ht="13.15">
      <c r="A83" s="131">
        <f t="shared" ref="A83:A87" si="14">A65</f>
        <v>10</v>
      </c>
      <c r="B83" s="119">
        <f t="shared" si="11"/>
        <v>80.142621253126265</v>
      </c>
      <c r="C83" s="119">
        <f t="shared" si="11"/>
        <v>108.64603566029344</v>
      </c>
      <c r="D83" s="119">
        <f t="shared" si="11"/>
        <v>115.78249280491471</v>
      </c>
      <c r="E83" s="119">
        <f t="shared" si="11"/>
        <v>123.48581016458961</v>
      </c>
      <c r="F83" s="119">
        <f t="shared" si="11"/>
        <v>131.79911804571194</v>
      </c>
      <c r="G83" s="296"/>
      <c r="H83" s="296"/>
      <c r="I83" s="296"/>
      <c r="J83" s="296"/>
      <c r="K83" s="296"/>
      <c r="L83" s="296"/>
    </row>
    <row r="84" spans="1:12" ht="13.15">
      <c r="A84" s="131">
        <f t="shared" si="14"/>
        <v>15</v>
      </c>
      <c r="B84" s="119">
        <f t="shared" si="11"/>
        <v>78.657965650799696</v>
      </c>
      <c r="C84" s="119">
        <f t="shared" si="11"/>
        <v>113.8451467837553</v>
      </c>
      <c r="D84" s="119">
        <f t="shared" si="11"/>
        <v>123.48908875655532</v>
      </c>
      <c r="E84" s="119">
        <f t="shared" si="11"/>
        <v>134.25935566466484</v>
      </c>
      <c r="F84" s="119">
        <f t="shared" si="11"/>
        <v>146.29298600764906</v>
      </c>
      <c r="G84" s="296"/>
      <c r="H84" s="296"/>
      <c r="I84" s="296"/>
      <c r="J84" s="296"/>
      <c r="K84" s="296"/>
      <c r="L84" s="296"/>
    </row>
    <row r="85" spans="1:12" ht="13.15">
      <c r="A85" s="132">
        <f t="shared" si="14"/>
        <v>20</v>
      </c>
      <c r="B85" s="119">
        <f t="shared" si="11"/>
        <v>77.650093074409241</v>
      </c>
      <c r="C85" s="119">
        <f t="shared" si="11"/>
        <v>116.79059621088615</v>
      </c>
      <c r="D85" s="119">
        <f t="shared" si="11"/>
        <v>128.32111970388559</v>
      </c>
      <c r="E85" s="119">
        <f t="shared" si="11"/>
        <v>141.58537289956413</v>
      </c>
      <c r="F85" s="119">
        <f t="shared" si="11"/>
        <v>156.87121145524071</v>
      </c>
      <c r="G85" s="296"/>
      <c r="H85" s="296"/>
      <c r="I85" s="296"/>
      <c r="J85" s="296"/>
      <c r="K85" s="296"/>
      <c r="L85" s="296"/>
    </row>
    <row r="86" spans="1:12" ht="13.15">
      <c r="A86" s="132">
        <f t="shared" si="14"/>
        <v>25</v>
      </c>
      <c r="B86" s="119">
        <f t="shared" si="11"/>
        <v>78.110707835574829</v>
      </c>
      <c r="C86" s="119">
        <f t="shared" si="11"/>
        <v>120.39913398556648</v>
      </c>
      <c r="D86" s="119">
        <f t="shared" si="11"/>
        <v>133.55423053454425</v>
      </c>
      <c r="E86" s="119">
        <f t="shared" si="11"/>
        <v>149.06603873831097</v>
      </c>
      <c r="F86" s="119">
        <f t="shared" si="11"/>
        <v>167.42458702473951</v>
      </c>
      <c r="G86" s="296"/>
      <c r="H86" s="296"/>
      <c r="I86" s="296"/>
      <c r="J86" s="296"/>
      <c r="K86" s="296"/>
      <c r="L86" s="296"/>
    </row>
    <row r="87" spans="1:12" ht="13.15">
      <c r="A87" s="132">
        <f t="shared" si="14"/>
        <v>30</v>
      </c>
      <c r="B87" s="119">
        <f t="shared" si="11"/>
        <v>78.253748244667776</v>
      </c>
      <c r="C87" s="119">
        <f t="shared" si="11"/>
        <v>122.43582773587691</v>
      </c>
      <c r="D87" s="119">
        <f t="shared" si="11"/>
        <v>136.78141194555789</v>
      </c>
      <c r="E87" s="119">
        <f t="shared" si="11"/>
        <v>154.06446155869136</v>
      </c>
      <c r="F87" s="119">
        <f t="shared" si="11"/>
        <v>175.01471528698622</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116.92173049586003</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112.58040982953618</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108.39291790564769</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104.35494331511622</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86.262676612262894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USD</v>
      </c>
      <c r="D6" s="469"/>
      <c r="E6" s="469"/>
      <c r="F6" s="469"/>
      <c r="G6" s="469"/>
    </row>
    <row r="7" spans="2:7" ht="12.75" customHeight="1">
      <c r="B7" s="97" t="s">
        <v>231</v>
      </c>
      <c r="C7" s="447">
        <f>Normalized_FCF!G8</f>
        <v>494324</v>
      </c>
      <c r="D7" s="469"/>
      <c r="E7" s="469"/>
      <c r="F7" s="469"/>
      <c r="G7" s="469"/>
    </row>
    <row r="8" spans="2:7">
      <c r="B8" s="97" t="s">
        <v>62</v>
      </c>
      <c r="C8" s="447">
        <f>Normalized_FCF!G19</f>
        <v>318966.17452166486</v>
      </c>
      <c r="D8" s="469"/>
      <c r="E8" s="469"/>
      <c r="F8" s="469"/>
      <c r="G8" s="469"/>
    </row>
    <row r="9" spans="2:7">
      <c r="B9" s="97" t="s">
        <v>53</v>
      </c>
      <c r="C9" s="447">
        <f>Normalized_FCF!C19</f>
        <v>283706.14487620705</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f ca="1">(Normalized_FCF!G4/OFFSET(Normalized_FCF!G4, 0, $C$4))^(1/$C$4) - 1</f>
        <v>0</v>
      </c>
      <c r="D12" s="469"/>
      <c r="E12" s="469"/>
      <c r="F12" s="469"/>
      <c r="G12" s="469"/>
    </row>
    <row r="13" spans="2:7">
      <c r="B13" s="135" t="s">
        <v>126</v>
      </c>
      <c r="C13" s="249">
        <f ca="1">(Normalized_FCF!G8/OFFSET(Normalized_FCF!G8, 0, $C$4))^(1/$C$4) - 1</f>
        <v>9.9385575383835301E-2</v>
      </c>
      <c r="D13" s="469"/>
      <c r="E13" s="469"/>
      <c r="F13" s="469"/>
      <c r="G13" s="469"/>
    </row>
    <row r="14" spans="2:7">
      <c r="B14" s="97" t="s">
        <v>62</v>
      </c>
      <c r="C14" s="249">
        <f ca="1">(Normalized_FCF!G19/OFFSET(Normalized_FCF!G19, 0, $C$4))^(1/$C$4) - 1</f>
        <v>-2.8967544981438609E-2</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0.02</v>
      </c>
      <c r="D22" s="325">
        <f>C18</f>
        <v>5</v>
      </c>
      <c r="E22" s="326">
        <f>DCF!E91</f>
        <v>112.58040982953618</v>
      </c>
      <c r="F22" s="328">
        <f>1-F23-F24</f>
        <v>0.19999999999999996</v>
      </c>
      <c r="G22" s="328">
        <f>F22*(1-F$29-F$30)</f>
        <v>0.15999999999999995</v>
      </c>
    </row>
    <row r="23" spans="2:7">
      <c r="B23" s="302" t="s">
        <v>436</v>
      </c>
      <c r="C23" s="324">
        <v>0.01</v>
      </c>
      <c r="D23" s="325">
        <f>C18</f>
        <v>5</v>
      </c>
      <c r="E23" s="326">
        <f>DCF!E92</f>
        <v>108.39291790564769</v>
      </c>
      <c r="F23" s="327">
        <v>0.55000000000000004</v>
      </c>
      <c r="G23" s="328">
        <f t="shared" ref="G23:G24" si="0">F23*(1-F$29-F$30)</f>
        <v>0.44</v>
      </c>
    </row>
    <row r="24" spans="2:7">
      <c r="B24" s="302" t="s">
        <v>445</v>
      </c>
      <c r="C24" s="324">
        <v>0</v>
      </c>
      <c r="D24" s="325">
        <f>C18</f>
        <v>5</v>
      </c>
      <c r="E24" s="326">
        <f>DCF!E93</f>
        <v>104.35494331511622</v>
      </c>
      <c r="F24" s="327">
        <v>0.25</v>
      </c>
      <c r="G24" s="328">
        <f t="shared" si="0"/>
        <v>0.19999999999999998</v>
      </c>
    </row>
    <row r="25" spans="2:7">
      <c r="B25" s="141" t="s">
        <v>450</v>
      </c>
      <c r="C25" s="441">
        <f>E23*F23+E24*F24+E22*F22</f>
        <v>108.22092264279252</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0.03</v>
      </c>
      <c r="D29" s="325">
        <f>C18</f>
        <v>5</v>
      </c>
      <c r="E29" s="326">
        <f>DCF!E90</f>
        <v>116.92173049586003</v>
      </c>
      <c r="F29" s="327">
        <v>0.15</v>
      </c>
      <c r="G29" s="328">
        <f>F29</f>
        <v>0.15</v>
      </c>
    </row>
    <row r="30" spans="2:7">
      <c r="B30" s="315" t="s">
        <v>446</v>
      </c>
      <c r="C30" s="324">
        <v>-0.05</v>
      </c>
      <c r="D30" s="325">
        <f>C18</f>
        <v>5</v>
      </c>
      <c r="E30" s="326">
        <f>DCF!E94</f>
        <v>86.262676612262894</v>
      </c>
      <c r="F30" s="327">
        <v>0.05</v>
      </c>
      <c r="G30" s="328">
        <f>F30</f>
        <v>0.05</v>
      </c>
    </row>
    <row r="31" spans="2:7">
      <c r="E31" s="329"/>
      <c r="F31" s="329"/>
    </row>
    <row r="32" spans="2:7" ht="13.15">
      <c r="B32" s="145" t="s">
        <v>455</v>
      </c>
    </row>
    <row r="33" spans="2:7">
      <c r="B33" s="97" t="s">
        <v>457</v>
      </c>
      <c r="C33" s="155">
        <f>Normalized_FCF!C88*(1-dividend_tax_rate)</f>
        <v>6.3795999999999999</v>
      </c>
      <c r="D33" t="str">
        <f>Market_currency</f>
        <v>HKD</v>
      </c>
      <c r="E33" s="97" t="s">
        <v>454</v>
      </c>
      <c r="F33" s="219">
        <f>Holding_Period</f>
        <v>3</v>
      </c>
    </row>
    <row r="34" spans="2:7">
      <c r="B34" s="97" t="s">
        <v>232</v>
      </c>
      <c r="C34" s="146">
        <f>Market_Price</f>
        <v>68.3</v>
      </c>
      <c r="D34" t="str">
        <f>Market_currency</f>
        <v>HKD</v>
      </c>
      <c r="E34" s="97" t="s">
        <v>453</v>
      </c>
      <c r="F34" s="330">
        <f>RATE(Holding_Period,$C$33,-C34,$C$36)</f>
        <v>0.24781999027360122</v>
      </c>
    </row>
    <row r="35" spans="2:7">
      <c r="B35" s="97" t="s">
        <v>433</v>
      </c>
      <c r="C35" s="320">
        <f>DCF!C11</f>
        <v>106.5699509614729</v>
      </c>
      <c r="D35" s="97" t="str">
        <f>Market_currency</f>
        <v>HKD</v>
      </c>
      <c r="E35" s="97" t="s">
        <v>453</v>
      </c>
      <c r="F35" s="330">
        <f>RATE(Holding_Period,$C$33,-C35,$C$36)</f>
        <v>6.5311516476310005E-2</v>
      </c>
    </row>
    <row r="36" spans="2:7">
      <c r="B36" s="97" t="s">
        <v>434</v>
      </c>
      <c r="C36" s="321">
        <f>E22*G22+E23*G23+E24*G24+E30*G30+E29*G29</f>
        <v>108.42813151922616</v>
      </c>
      <c r="D36" t="str">
        <f>Market_currency</f>
        <v>HKD</v>
      </c>
      <c r="E36" s="97" t="s">
        <v>459</v>
      </c>
      <c r="F36" s="331" t="s">
        <v>458</v>
      </c>
    </row>
    <row r="38" spans="2:7" ht="13.9">
      <c r="B38" s="34" t="s">
        <v>410</v>
      </c>
      <c r="C38" s="35"/>
      <c r="D38" s="35"/>
      <c r="E38" s="35"/>
      <c r="F38" s="35"/>
      <c r="G38" s="35"/>
    </row>
    <row r="39" spans="2:7" ht="13.15">
      <c r="B39" s="414" t="str">
        <f>IF(DCF!F14="II","2","1")&amp;"-stage DCF"</f>
        <v>2-stage DCF</v>
      </c>
      <c r="E39" s="222" t="s">
        <v>250</v>
      </c>
    </row>
    <row r="40" spans="2:7">
      <c r="B40" t="s">
        <v>549</v>
      </c>
      <c r="C40" s="126">
        <f>Normalized_FCF!E116</f>
        <v>0.16758448420991445</v>
      </c>
      <c r="E40" s="97" t="s">
        <v>400</v>
      </c>
    </row>
    <row r="41" spans="2:7">
      <c r="B41" s="97" t="s">
        <v>399</v>
      </c>
      <c r="C41" s="455">
        <f>DCF!C16</f>
        <v>1.00859353690582E-2</v>
      </c>
      <c r="E41" s="97"/>
    </row>
    <row r="43" spans="2:7" ht="13.9">
      <c r="B43" s="34" t="s">
        <v>275</v>
      </c>
      <c r="C43" s="35"/>
      <c r="D43" s="35"/>
      <c r="E43" s="35"/>
      <c r="F43" s="35"/>
      <c r="G43" s="35"/>
    </row>
    <row r="44" spans="2:7" ht="13.15">
      <c r="B44" s="106" t="s">
        <v>248</v>
      </c>
      <c r="E44" s="222" t="s">
        <v>250</v>
      </c>
    </row>
    <row r="45" spans="2:7">
      <c r="B45" s="139" t="s">
        <v>110</v>
      </c>
      <c r="C45" s="150">
        <f>C18</f>
        <v>5</v>
      </c>
      <c r="D45" s="137"/>
      <c r="E45" s="221" t="s">
        <v>306</v>
      </c>
    </row>
    <row r="46" spans="2:7">
      <c r="B46" s="114" t="s">
        <v>111</v>
      </c>
      <c r="C46" s="138">
        <v>1.00859353690582E-2</v>
      </c>
      <c r="D46" s="138"/>
      <c r="E46" s="221" t="s">
        <v>251</v>
      </c>
    </row>
    <row r="47" spans="2:7">
      <c r="B47" s="97" t="s">
        <v>95</v>
      </c>
      <c r="C47" s="146">
        <f>DCF!I18</f>
        <v>108.42826023614894</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9.623497421473666E-2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6.3795999999999999</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11.586073736913978</v>
      </c>
      <c r="D62" s="119">
        <f>C36/(1+F62)^Holding_Period</f>
        <v>49.352813618218541</v>
      </c>
      <c r="E62" s="332">
        <f>C62+D62</f>
        <v>60.938887355132522</v>
      </c>
      <c r="F62" s="301">
        <f>Thesis!E22</f>
        <v>0.3</v>
      </c>
      <c r="G62" s="440">
        <f>(1-E62/C36)</f>
        <v>0.4379789958445699</v>
      </c>
    </row>
    <row r="63" spans="2:7" ht="13.15">
      <c r="B63" s="302" t="s">
        <v>312</v>
      </c>
      <c r="C63" s="119">
        <f>PV(F63, Holding_Period, -C58, 0)</f>
        <v>13.438509259259257</v>
      </c>
      <c r="D63" s="119">
        <f>C36/(1+F63)^Holding_Period</f>
        <v>62.74776129584847</v>
      </c>
      <c r="E63" s="332">
        <f>C63+D63</f>
        <v>76.186270555107725</v>
      </c>
      <c r="F63" s="301">
        <f>Thesis!E23</f>
        <v>0.2</v>
      </c>
      <c r="G63" s="440">
        <f>(1-E63/C36)</f>
        <v>0.29735697288485874</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15.391442902238206</v>
      </c>
      <c r="D66" s="119">
        <f>C36/(1+F66)^Holding_Period</f>
        <v>77.716990161581251</v>
      </c>
      <c r="E66" s="332">
        <f>C66+D66</f>
        <v>93.108433063819461</v>
      </c>
      <c r="F66" s="301">
        <f>Thesis!E24</f>
        <v>0.1174</v>
      </c>
      <c r="G66" s="440">
        <f>(1-E66/C36)</f>
        <v>0.14128896478023556</v>
      </c>
    </row>
    <row r="67" spans="2:7" ht="13.15">
      <c r="B67" s="302" t="s">
        <v>313</v>
      </c>
      <c r="C67" s="119">
        <f>PV(F67, Holding_Period, -C58, 0)</f>
        <v>16.665908999272972</v>
      </c>
      <c r="D67" s="119">
        <f>C36/(1+F67)^Holding_Period</f>
        <v>87.892146577788566</v>
      </c>
      <c r="E67" s="332">
        <f>C67+D67</f>
        <v>104.55805557706154</v>
      </c>
      <c r="F67" s="301">
        <f>Thesis!E25</f>
        <v>7.2499999999999995E-2</v>
      </c>
      <c r="G67" s="440">
        <f>(1-E67/C36)</f>
        <v>3.5692544803083592E-2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46057</v>
      </c>
    </row>
    <row r="4" spans="1:10">
      <c r="B4" s="422" t="s">
        <v>532</v>
      </c>
      <c r="C4" s="423" t="str">
        <f>Thesis!C4</f>
        <v>微博</v>
      </c>
      <c r="D4" s="349"/>
      <c r="E4" s="434" t="s">
        <v>538</v>
      </c>
      <c r="F4" s="437" t="str">
        <f>Thesis!F4</f>
        <v>INT</v>
      </c>
    </row>
    <row r="5" spans="1:10">
      <c r="B5" s="343" t="s">
        <v>363</v>
      </c>
      <c r="C5" s="355" t="str">
        <f>Thesis!C5</f>
        <v>9898.HK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68.3</v>
      </c>
    </row>
    <row r="9" spans="1:10">
      <c r="B9" s="351" t="s">
        <v>360</v>
      </c>
      <c r="C9" s="353">
        <f>Common_Shares</f>
        <v>244825280</v>
      </c>
    </row>
    <row r="10" spans="1:10">
      <c r="B10" s="351" t="s">
        <v>366</v>
      </c>
      <c r="C10" s="357">
        <f>投资主题!C8*Common_Shares/1000000</f>
        <v>16721.566623999999</v>
      </c>
      <c r="D10" s="343" t="s">
        <v>527</v>
      </c>
      <c r="E10" s="360">
        <f>Scenarios!F34</f>
        <v>0.24781999027360122</v>
      </c>
    </row>
    <row r="11" spans="1:10">
      <c r="D11" s="349"/>
      <c r="E11" s="349"/>
    </row>
    <row r="12" spans="1:10" ht="24.5" customHeight="1">
      <c r="B12" s="471" t="s">
        <v>496</v>
      </c>
      <c r="C12" s="471"/>
      <c r="D12" s="471"/>
      <c r="E12" s="471"/>
      <c r="F12" s="471"/>
    </row>
    <row r="14" spans="1:10">
      <c r="B14" s="347" t="s">
        <v>369</v>
      </c>
      <c r="C14" s="348"/>
      <c r="D14" s="349"/>
    </row>
    <row r="15" spans="1:10">
      <c r="B15" s="343" t="s">
        <v>336</v>
      </c>
      <c r="C15" s="358" t="str">
        <f>Thesis!C15</f>
        <v>N</v>
      </c>
      <c r="D15" s="351" t="s">
        <v>367</v>
      </c>
      <c r="E15" s="344" t="str">
        <f>IF(E17=C7,C7,E17&amp;"/"&amp;C7)</f>
        <v>USD/HKD</v>
      </c>
    </row>
    <row r="16" spans="1:10">
      <c r="B16" s="343" t="s">
        <v>337</v>
      </c>
      <c r="C16" s="358" t="str">
        <f>Thesis!C16</f>
        <v>N</v>
      </c>
      <c r="D16" s="351" t="s">
        <v>368</v>
      </c>
      <c r="E16" s="425">
        <f>Exchange_Rate</f>
        <v>7.830444</v>
      </c>
    </row>
    <row r="17" spans="1:6">
      <c r="B17" s="343" t="s">
        <v>533</v>
      </c>
      <c r="C17" s="424">
        <f>Terminal_Growth</f>
        <v>-0.02</v>
      </c>
      <c r="D17" s="351" t="s">
        <v>338</v>
      </c>
      <c r="E17" s="344" t="str">
        <f>Reporting_currency</f>
        <v>USD</v>
      </c>
    </row>
    <row r="18" spans="1:6">
      <c r="B18" s="343" t="str">
        <f>"预期股权价值 ("&amp;C7&amp;") :"</f>
        <v>预期股权价值 (HKD) :</v>
      </c>
      <c r="C18" s="359">
        <f>C125</f>
        <v>108.42813151922616</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46081</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60.938887355132522</v>
      </c>
      <c r="D22" s="365" t="s">
        <v>439</v>
      </c>
      <c r="E22" s="366">
        <f>Thesis!E22</f>
        <v>0.3</v>
      </c>
    </row>
    <row r="23" spans="1:6">
      <c r="B23" s="343" t="s">
        <v>340</v>
      </c>
      <c r="C23" s="367">
        <f>E141</f>
        <v>76.186270555107725</v>
      </c>
      <c r="D23" s="365" t="s">
        <v>440</v>
      </c>
      <c r="E23" s="368">
        <f>Thesis!E23</f>
        <v>0.2</v>
      </c>
    </row>
    <row r="24" spans="1:6">
      <c r="B24" s="343" t="s">
        <v>342</v>
      </c>
      <c r="C24" s="367">
        <f>E144</f>
        <v>93.108433063819461</v>
      </c>
      <c r="D24" s="365" t="s">
        <v>442</v>
      </c>
      <c r="E24" s="368">
        <f>Thesis!E24</f>
        <v>0.1174</v>
      </c>
    </row>
    <row r="25" spans="1:6">
      <c r="B25" s="343" t="s">
        <v>341</v>
      </c>
      <c r="C25" s="367">
        <f>E145</f>
        <v>104.55805557706154</v>
      </c>
      <c r="D25" s="365" t="s">
        <v>441</v>
      </c>
      <c r="E25" s="368">
        <f>Thesis!E25</f>
        <v>7.2499999999999995E-2</v>
      </c>
    </row>
    <row r="27" spans="1:6" ht="13.9">
      <c r="A27" s="345" t="s">
        <v>344</v>
      </c>
      <c r="B27" s="345"/>
      <c r="C27" s="345"/>
      <c r="D27" s="345"/>
      <c r="E27" s="345"/>
      <c r="F27" s="345"/>
    </row>
    <row r="29" spans="1:6">
      <c r="B29" s="471" t="s">
        <v>497</v>
      </c>
      <c r="C29" s="471"/>
      <c r="D29" s="471"/>
      <c r="E29" s="471"/>
      <c r="F29" s="471"/>
    </row>
    <row r="30" spans="1:6" ht="24.5" customHeight="1">
      <c r="B30" s="472" t="s">
        <v>498</v>
      </c>
      <c r="C30" s="472"/>
      <c r="D30" s="472"/>
      <c r="E30" s="472"/>
      <c r="F30" s="472"/>
    </row>
    <row r="32" spans="1:6">
      <c r="B32" s="369" t="s">
        <v>370</v>
      </c>
      <c r="C32" s="370">
        <f>scaling_factor</f>
        <v>1000</v>
      </c>
    </row>
    <row r="33" spans="2:6">
      <c r="B33" s="470" t="s">
        <v>499</v>
      </c>
      <c r="C33" s="470"/>
      <c r="D33" s="470"/>
      <c r="E33" s="470"/>
      <c r="F33" s="470"/>
    </row>
    <row r="34" spans="2:6">
      <c r="B34" s="372" t="s">
        <v>196</v>
      </c>
      <c r="C34" s="373">
        <f>Normalized_FCF!C8</f>
        <v>459406.2830244787</v>
      </c>
      <c r="D34" s="343" t="str">
        <f>Reporting_currency</f>
        <v>USD</v>
      </c>
    </row>
    <row r="35" spans="2:6">
      <c r="B35" s="372"/>
      <c r="C35" s="374"/>
    </row>
    <row r="36" spans="2:6" ht="24.5" customHeight="1">
      <c r="B36" s="470" t="s">
        <v>500</v>
      </c>
      <c r="C36" s="470"/>
      <c r="D36" s="470"/>
      <c r="E36" s="470"/>
      <c r="F36" s="470"/>
    </row>
    <row r="37" spans="2:6">
      <c r="B37" s="372" t="s">
        <v>198</v>
      </c>
      <c r="C37" s="373">
        <f>Normalized_FCF!C15</f>
        <v>0</v>
      </c>
      <c r="D37" s="343" t="str">
        <f>Reporting_currency</f>
        <v>USD</v>
      </c>
    </row>
    <row r="38" spans="2:6">
      <c r="B38" s="375" t="s">
        <v>199</v>
      </c>
      <c r="C38" s="373">
        <f>Normalized_FCF!C16</f>
        <v>0</v>
      </c>
      <c r="D38" s="343" t="str">
        <f>Reporting_currency</f>
        <v>USD</v>
      </c>
    </row>
    <row r="40" spans="2:6">
      <c r="B40" s="470" t="s">
        <v>501</v>
      </c>
      <c r="C40" s="470"/>
      <c r="D40" s="470"/>
      <c r="E40" s="470"/>
      <c r="F40" s="470"/>
    </row>
    <row r="41" spans="2:6">
      <c r="B41" s="372" t="s">
        <v>201</v>
      </c>
      <c r="C41" s="373">
        <f>Normalized_FCF!C9</f>
        <v>0</v>
      </c>
      <c r="D41" s="343" t="str">
        <f>Reporting_currency</f>
        <v>USD</v>
      </c>
    </row>
    <row r="43" spans="2:6">
      <c r="B43" s="470" t="s">
        <v>502</v>
      </c>
      <c r="C43" s="470"/>
      <c r="D43" s="470"/>
      <c r="E43" s="470"/>
      <c r="F43" s="470"/>
    </row>
    <row r="44" spans="2:6">
      <c r="B44" s="372" t="s">
        <v>266</v>
      </c>
      <c r="C44" s="376">
        <f>Normalized_FCF!C46</f>
        <v>2857.1580732635211</v>
      </c>
      <c r="D44" s="343" t="str">
        <f>Reporting_currency</f>
        <v>USD</v>
      </c>
      <c r="E44" s="371"/>
      <c r="F44" s="371"/>
    </row>
    <row r="45" spans="2:6">
      <c r="B45" s="372" t="s">
        <v>267</v>
      </c>
      <c r="C45" s="376">
        <f>Normalized_FCF!C45</f>
        <v>-64051.199999999997</v>
      </c>
      <c r="D45" s="343" t="str">
        <f>Reporting_currency</f>
        <v>USD</v>
      </c>
      <c r="E45" s="371"/>
      <c r="F45" s="371"/>
    </row>
    <row r="46" spans="2:6">
      <c r="B46" s="372" t="s">
        <v>202</v>
      </c>
      <c r="C46" s="373">
        <f>Normalized_FCF!C10</f>
        <v>-61194.041926736478</v>
      </c>
      <c r="D46" s="343" t="str">
        <f>Reporting_currency</f>
        <v>USD</v>
      </c>
    </row>
    <row r="48" spans="2:6">
      <c r="B48" s="343" t="s">
        <v>503</v>
      </c>
    </row>
    <row r="49" spans="2:6">
      <c r="B49" s="372" t="s">
        <v>222</v>
      </c>
      <c r="C49" s="373">
        <f>Normalized_FCF!C13</f>
        <v>-14953.035947099615</v>
      </c>
      <c r="D49" s="343" t="str">
        <f>Reporting_currency</f>
        <v>USD</v>
      </c>
    </row>
    <row r="51" spans="2:6">
      <c r="B51" s="470" t="s">
        <v>504</v>
      </c>
      <c r="C51" s="470"/>
      <c r="D51" s="470"/>
      <c r="E51" s="470"/>
      <c r="F51" s="470"/>
    </row>
    <row r="52" spans="2:6">
      <c r="B52" s="372" t="s">
        <v>495</v>
      </c>
      <c r="C52" s="373">
        <f>Normalized_FCF!C12</f>
        <v>-99553.060274435556</v>
      </c>
      <c r="D52" s="343" t="str">
        <f>Reporting_currency</f>
        <v>USD</v>
      </c>
    </row>
    <row r="54" spans="2:6">
      <c r="B54" s="470" t="s">
        <v>505</v>
      </c>
      <c r="C54" s="473"/>
      <c r="D54" s="473"/>
      <c r="E54" s="473"/>
      <c r="F54" s="473"/>
    </row>
    <row r="55" spans="2:6">
      <c r="B55" s="372" t="s">
        <v>206</v>
      </c>
      <c r="C55" s="373">
        <f>Normalized_FCF!C17</f>
        <v>0</v>
      </c>
      <c r="D55" s="343" t="str">
        <f>Reporting_currency</f>
        <v>USD</v>
      </c>
    </row>
    <row r="57" spans="2:6">
      <c r="B57" s="471" t="s">
        <v>506</v>
      </c>
      <c r="C57" s="471"/>
      <c r="D57" s="471"/>
      <c r="E57" s="471"/>
      <c r="F57" s="471"/>
    </row>
    <row r="58" spans="2:6">
      <c r="B58" s="471" t="s">
        <v>507</v>
      </c>
      <c r="C58" s="471"/>
      <c r="D58" s="471"/>
      <c r="E58" s="471"/>
      <c r="F58" s="471"/>
    </row>
    <row r="60" spans="2:6">
      <c r="B60" s="372" t="s">
        <v>371</v>
      </c>
      <c r="C60" s="373">
        <f>Normalized_FCF!G19</f>
        <v>318966.17452166486</v>
      </c>
      <c r="D60" s="343" t="str">
        <f>Reporting_currency</f>
        <v>USD</v>
      </c>
    </row>
    <row r="61" spans="2:6">
      <c r="B61" s="372" t="s">
        <v>212</v>
      </c>
      <c r="C61" s="373">
        <f>Normalized_FCF!C19</f>
        <v>283706.14487620705</v>
      </c>
      <c r="D61" s="343" t="str">
        <f>Reporting_currency</f>
        <v>USD</v>
      </c>
    </row>
    <row r="62" spans="2:6">
      <c r="B62" s="377" t="s">
        <v>301</v>
      </c>
      <c r="C62" s="378">
        <f>Normalized_FCF!C124</f>
        <v>0.13285508049948527</v>
      </c>
      <c r="F62" s="379"/>
    </row>
    <row r="63" spans="2:6">
      <c r="B63" s="377" t="s">
        <v>331</v>
      </c>
      <c r="C63" s="378">
        <f>Normalized_FCF!C92</f>
        <v>9.340556368960469E-2</v>
      </c>
      <c r="E63" s="372" t="s">
        <v>372</v>
      </c>
      <c r="F63" s="380">
        <f>Normalized_FCF!C90</f>
        <v>5.5052997070948786</v>
      </c>
    </row>
    <row r="65" spans="1:6">
      <c r="B65" s="369" t="s">
        <v>375</v>
      </c>
      <c r="C65" s="381" t="s">
        <v>326</v>
      </c>
      <c r="D65" s="381" t="s">
        <v>373</v>
      </c>
    </row>
    <row r="66" spans="1:6">
      <c r="B66" s="372" t="s">
        <v>325</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475</v>
      </c>
      <c r="B71" s="345"/>
      <c r="C71" s="345"/>
      <c r="D71" s="345"/>
      <c r="E71" s="345"/>
      <c r="F71" s="345"/>
    </row>
    <row r="72" spans="1:6">
      <c r="A72" s="385"/>
    </row>
    <row r="73" spans="1:6">
      <c r="A73" s="386"/>
      <c r="B73" s="471" t="s">
        <v>508</v>
      </c>
      <c r="C73" s="471"/>
      <c r="D73" s="471"/>
      <c r="E73" s="471"/>
      <c r="F73" s="471"/>
    </row>
    <row r="74" spans="1:6">
      <c r="B74" s="472" t="s">
        <v>478</v>
      </c>
      <c r="C74" s="472"/>
      <c r="D74" s="472"/>
      <c r="E74" s="472"/>
      <c r="F74" s="472"/>
    </row>
    <row r="76" spans="1:6">
      <c r="B76" s="369" t="s">
        <v>370</v>
      </c>
    </row>
    <row r="77" spans="1:6">
      <c r="B77" s="471" t="s">
        <v>509</v>
      </c>
      <c r="C77" s="471"/>
      <c r="D77" s="471"/>
      <c r="E77" s="471"/>
      <c r="F77" s="471"/>
    </row>
    <row r="78" spans="1:6">
      <c r="B78" s="343" t="s">
        <v>214</v>
      </c>
      <c r="C78" s="373">
        <f>DCF!F4</f>
        <v>-1067520</v>
      </c>
      <c r="D78" s="343" t="str">
        <f>Reporting_currency</f>
        <v>USD</v>
      </c>
    </row>
    <row r="79" spans="1:6">
      <c r="B79" s="372" t="s">
        <v>233</v>
      </c>
      <c r="C79" s="387">
        <f>C78*scaling_factor*Exchange_Rate/Common_Shares</f>
        <v>-34.143351449980983</v>
      </c>
      <c r="D79" s="343" t="str">
        <f>Market_currency</f>
        <v>HKD</v>
      </c>
    </row>
    <row r="80" spans="1:6">
      <c r="B80" s="382" t="s">
        <v>308</v>
      </c>
      <c r="C80" s="388">
        <f>IF(BS!G31/BS!G27&gt;300%,"nm",BS!G31/BS!G27)</f>
        <v>0.29042568125650897</v>
      </c>
    </row>
    <row r="81" spans="1:6">
      <c r="B81" s="382" t="s">
        <v>310</v>
      </c>
      <c r="C81" s="389">
        <f>IF(BS!C50&gt;30,"nm",BS!C50)</f>
        <v>2.3236948196964886</v>
      </c>
    </row>
    <row r="83" spans="1:6">
      <c r="B83" s="343" t="s">
        <v>510</v>
      </c>
    </row>
    <row r="84" spans="1:6">
      <c r="B84" s="343" t="s">
        <v>223</v>
      </c>
      <c r="C84" s="373">
        <f>DCF!F5</f>
        <v>680098.98778941319</v>
      </c>
      <c r="D84" s="343" t="str">
        <f>Reporting_currency</f>
        <v>USD</v>
      </c>
    </row>
    <row r="85" spans="1:6">
      <c r="B85" s="382" t="s">
        <v>480</v>
      </c>
      <c r="C85" s="390">
        <f>BS!C66</f>
        <v>1156292</v>
      </c>
      <c r="D85" s="391" t="str">
        <f>Reporting_currency</f>
        <v>USD</v>
      </c>
    </row>
    <row r="86" spans="1:6">
      <c r="B86" s="372" t="s">
        <v>234</v>
      </c>
      <c r="C86" s="387">
        <f>C84*scaling_factor*Exchange_Rate/Common_Shares</f>
        <v>21.752153365623371</v>
      </c>
      <c r="D86" s="343" t="str">
        <f>Market_currency</f>
        <v>HKD</v>
      </c>
    </row>
    <row r="88" spans="1:6">
      <c r="B88" s="343" t="s">
        <v>511</v>
      </c>
    </row>
    <row r="89" spans="1:6">
      <c r="B89" s="343" t="s">
        <v>216</v>
      </c>
      <c r="C89" s="373">
        <f>DCF!F6</f>
        <v>713666.7</v>
      </c>
      <c r="D89" s="343" t="str">
        <f>Reporting_currency</f>
        <v>USD</v>
      </c>
    </row>
    <row r="90" spans="1:6">
      <c r="B90" s="372" t="s">
        <v>235</v>
      </c>
      <c r="C90" s="387">
        <f>C89*scaling_factor*Exchange_Rate/Common_Shares</f>
        <v>22.825776525262423</v>
      </c>
      <c r="D90" s="343" t="str">
        <f>Market_currency</f>
        <v>HKD</v>
      </c>
    </row>
    <row r="92" spans="1:6">
      <c r="B92" s="372" t="s">
        <v>479</v>
      </c>
      <c r="C92" s="387">
        <f>DCF!F8</f>
        <v>10.43457844090481</v>
      </c>
      <c r="D92" s="343" t="str">
        <f>Market_currency</f>
        <v>HKD</v>
      </c>
    </row>
    <row r="94" spans="1:6" ht="13.9">
      <c r="A94" s="345" t="s">
        <v>481</v>
      </c>
      <c r="B94" s="345"/>
      <c r="C94" s="345"/>
      <c r="D94" s="345"/>
      <c r="E94" s="345"/>
      <c r="F94" s="345"/>
    </row>
    <row r="95" spans="1:6">
      <c r="A95" s="385"/>
    </row>
    <row r="96" spans="1:6">
      <c r="A96" s="385"/>
      <c r="B96" s="471" t="s">
        <v>512</v>
      </c>
      <c r="C96" s="471"/>
      <c r="D96" s="471"/>
      <c r="E96" s="471"/>
      <c r="F96" s="471"/>
    </row>
    <row r="97" spans="1:6">
      <c r="A97" s="385"/>
      <c r="B97" s="472" t="s">
        <v>513</v>
      </c>
      <c r="C97" s="472"/>
      <c r="D97" s="472"/>
      <c r="E97" s="472"/>
      <c r="F97" s="472"/>
    </row>
    <row r="98" spans="1:6">
      <c r="A98" s="385"/>
      <c r="B98" s="472" t="s">
        <v>514</v>
      </c>
      <c r="C98" s="472"/>
      <c r="D98" s="472"/>
      <c r="E98" s="472"/>
      <c r="F98" s="472"/>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1" t="s">
        <v>515</v>
      </c>
      <c r="C107" s="471"/>
      <c r="D107" s="471"/>
      <c r="E107" s="471"/>
      <c r="F107" s="471"/>
    </row>
    <row r="108" spans="1:6">
      <c r="A108" s="385"/>
      <c r="B108" s="471" t="s">
        <v>534</v>
      </c>
      <c r="C108" s="471"/>
      <c r="D108" s="471"/>
      <c r="E108" s="471"/>
      <c r="F108" s="471"/>
    </row>
    <row r="109" spans="1:6">
      <c r="A109" s="385"/>
    </row>
    <row r="110" spans="1:6">
      <c r="A110" s="385"/>
      <c r="B110" s="369" t="s">
        <v>488</v>
      </c>
    </row>
    <row r="111" spans="1:6">
      <c r="A111" s="385"/>
      <c r="B111" s="375" t="s">
        <v>485</v>
      </c>
      <c r="C111" s="394">
        <f>BS!D47</f>
        <v>-19.259985270349524</v>
      </c>
      <c r="D111" s="343" t="str">
        <f>Market_currency</f>
        <v>HKD</v>
      </c>
    </row>
    <row r="112" spans="1:6">
      <c r="A112" s="385"/>
      <c r="B112" s="372" t="s">
        <v>376</v>
      </c>
      <c r="C112" s="394">
        <f>DCF!C11</f>
        <v>106.5699509614729</v>
      </c>
      <c r="D112" s="343" t="str">
        <f>Market_currency</f>
        <v>HKD</v>
      </c>
    </row>
    <row r="113" spans="1:6">
      <c r="A113" s="385"/>
    </row>
    <row r="114" spans="1:6">
      <c r="A114" s="385"/>
      <c r="B114" s="471" t="s">
        <v>516</v>
      </c>
      <c r="C114" s="471"/>
      <c r="D114" s="471"/>
      <c r="E114" s="471"/>
      <c r="F114" s="471"/>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0.03</v>
      </c>
      <c r="D118" s="397">
        <f>DCF!D90</f>
        <v>5</v>
      </c>
      <c r="E118" s="398" t="str">
        <f>ROUND(DCF!E90,2)&amp;" "&amp;Market_currency</f>
        <v>116.92 HKD</v>
      </c>
      <c r="F118" s="399">
        <f>DCF!F90</f>
        <v>0.15</v>
      </c>
    </row>
    <row r="119" spans="1:6">
      <c r="A119" s="385"/>
      <c r="B119" s="400" t="str">
        <f>DCF!B91</f>
        <v>Optimistic</v>
      </c>
      <c r="C119" s="401">
        <f>DCF!C91</f>
        <v>0.02</v>
      </c>
      <c r="D119" s="402">
        <f>DCF!D91</f>
        <v>5</v>
      </c>
      <c r="E119" s="398" t="str">
        <f>ROUND(DCF!E91,2)&amp;" "&amp;Market_currency</f>
        <v>112.58 HKD</v>
      </c>
      <c r="F119" s="403">
        <f>DCF!F91</f>
        <v>0.15999999999999995</v>
      </c>
    </row>
    <row r="120" spans="1:6">
      <c r="B120" s="400" t="str">
        <f>DCF!B92</f>
        <v>Base</v>
      </c>
      <c r="C120" s="401">
        <f>DCF!C92</f>
        <v>0.01</v>
      </c>
      <c r="D120" s="402">
        <f>DCF!D92</f>
        <v>5</v>
      </c>
      <c r="E120" s="398" t="str">
        <f>ROUND(DCF!E92,2)&amp;" "&amp;Market_currency</f>
        <v>108.39 HKD</v>
      </c>
      <c r="F120" s="403">
        <f>DCF!F92</f>
        <v>0.44</v>
      </c>
    </row>
    <row r="121" spans="1:6">
      <c r="B121" s="400" t="str">
        <f>DCF!B93</f>
        <v>Pessimistic</v>
      </c>
      <c r="C121" s="401">
        <f>DCF!C93</f>
        <v>0</v>
      </c>
      <c r="D121" s="402">
        <f>DCF!D93</f>
        <v>5</v>
      </c>
      <c r="E121" s="398" t="str">
        <f>ROUND(DCF!E93,2)&amp;" "&amp;Market_currency</f>
        <v>104.35 HKD</v>
      </c>
      <c r="F121" s="403">
        <f>DCF!F93</f>
        <v>0.19999999999999998</v>
      </c>
    </row>
    <row r="122" spans="1:6">
      <c r="B122" s="400" t="str">
        <f>DCF!B94</f>
        <v>Devil's advocate</v>
      </c>
      <c r="C122" s="401">
        <f>DCF!C94</f>
        <v>-0.05</v>
      </c>
      <c r="D122" s="402">
        <f>DCF!D94</f>
        <v>5</v>
      </c>
      <c r="E122" s="398" t="str">
        <f>ROUND(DCF!E94,2)&amp;" "&amp;Market_currency</f>
        <v>86.26 HKD</v>
      </c>
      <c r="F122" s="403">
        <f>DCF!F94</f>
        <v>0.05</v>
      </c>
    </row>
    <row r="124" spans="1:6">
      <c r="B124" s="470" t="s">
        <v>517</v>
      </c>
      <c r="C124" s="470"/>
      <c r="D124" s="470"/>
      <c r="E124" s="470"/>
      <c r="F124" s="470"/>
    </row>
    <row r="125" spans="1:6">
      <c r="B125" s="372" t="s">
        <v>217</v>
      </c>
      <c r="C125" s="404">
        <f>Scenarios!C36</f>
        <v>108.42813151922616</v>
      </c>
      <c r="D125" s="343" t="str">
        <f>Market_currency</f>
        <v>HKD</v>
      </c>
    </row>
    <row r="127" spans="1:6">
      <c r="B127" s="475" t="s">
        <v>518</v>
      </c>
      <c r="C127" s="475"/>
      <c r="D127" s="475"/>
      <c r="E127" s="475"/>
      <c r="F127" s="475"/>
    </row>
    <row r="129" spans="1:6" ht="13.9">
      <c r="A129" s="345" t="s">
        <v>491</v>
      </c>
      <c r="B129" s="345"/>
      <c r="C129" s="345"/>
      <c r="D129" s="345"/>
      <c r="E129" s="345"/>
      <c r="F129" s="345"/>
    </row>
    <row r="131" spans="1:6">
      <c r="B131" s="476" t="s">
        <v>519</v>
      </c>
      <c r="C131" s="476"/>
      <c r="D131" s="476"/>
      <c r="E131" s="476"/>
      <c r="F131" s="476"/>
    </row>
    <row r="132" spans="1:6" ht="24.5" customHeight="1">
      <c r="B132" s="471" t="s">
        <v>520</v>
      </c>
      <c r="C132" s="471"/>
      <c r="D132" s="471"/>
      <c r="E132" s="471"/>
      <c r="F132" s="471"/>
    </row>
    <row r="134" spans="1:6">
      <c r="B134" s="369" t="s">
        <v>370</v>
      </c>
    </row>
    <row r="135" spans="1:6">
      <c r="B135" s="343" t="s">
        <v>381</v>
      </c>
      <c r="C135" s="405">
        <f>E21</f>
        <v>3</v>
      </c>
    </row>
    <row r="136" spans="1:6">
      <c r="B136" s="343" t="s">
        <v>382</v>
      </c>
      <c r="C136" s="406">
        <f>Scenarios!C58</f>
        <v>6.3795999999999999</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11.586073736913978</v>
      </c>
      <c r="D140" s="409">
        <f>Scenarios!D62</f>
        <v>49.352813618218541</v>
      </c>
      <c r="E140" s="410">
        <f>Scenarios!E62</f>
        <v>60.938887355132522</v>
      </c>
      <c r="F140" s="411">
        <f>E22</f>
        <v>0.3</v>
      </c>
    </row>
    <row r="141" spans="1:6">
      <c r="B141" s="408" t="s">
        <v>312</v>
      </c>
      <c r="C141" s="409">
        <f>Scenarios!C63</f>
        <v>13.438509259259257</v>
      </c>
      <c r="D141" s="409">
        <f>Scenarios!D63</f>
        <v>62.74776129584847</v>
      </c>
      <c r="E141" s="410">
        <f>Scenarios!E63</f>
        <v>76.186270555107725</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15.391442902238206</v>
      </c>
      <c r="D144" s="409">
        <f>Scenarios!D66</f>
        <v>77.716990161581251</v>
      </c>
      <c r="E144" s="410">
        <f>Scenarios!E66</f>
        <v>93.108433063819461</v>
      </c>
      <c r="F144" s="411">
        <f>E24</f>
        <v>0.1174</v>
      </c>
    </row>
    <row r="145" spans="1:6">
      <c r="B145" s="408" t="s">
        <v>313</v>
      </c>
      <c r="C145" s="409">
        <f>Scenarios!C67</f>
        <v>16.665908999272972</v>
      </c>
      <c r="D145" s="409">
        <f>Scenarios!D67</f>
        <v>87.892146577788566</v>
      </c>
      <c r="E145" s="410">
        <f>Scenarios!E67</f>
        <v>104.55805557706154</v>
      </c>
      <c r="F145" s="411">
        <f>Scenarios!F67</f>
        <v>7.2499999999999995E-2</v>
      </c>
    </row>
    <row r="147" spans="1:6" ht="13.9">
      <c r="A147" s="345" t="s">
        <v>474</v>
      </c>
      <c r="B147" s="345"/>
      <c r="C147" s="345"/>
      <c r="D147" s="345"/>
      <c r="E147" s="345"/>
      <c r="F147" s="345"/>
    </row>
    <row r="149" spans="1:6">
      <c r="B149" s="477" t="s">
        <v>521</v>
      </c>
      <c r="C149" s="471"/>
      <c r="D149" s="471"/>
      <c r="E149" s="471"/>
      <c r="F149" s="471"/>
    </row>
    <row r="151" spans="1:6">
      <c r="B151" s="369" t="s">
        <v>383</v>
      </c>
    </row>
    <row r="152" spans="1:6">
      <c r="B152" s="473" t="s">
        <v>522</v>
      </c>
      <c r="C152" s="473"/>
      <c r="D152" s="473"/>
      <c r="E152" s="473"/>
      <c r="F152" s="473"/>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4" t="s">
        <v>387</v>
      </c>
      <c r="C161" s="474"/>
      <c r="D161" s="474"/>
      <c r="E161" s="474"/>
      <c r="F161" s="474"/>
    </row>
    <row r="162" spans="2:6">
      <c r="B162" s="474" t="s">
        <v>388</v>
      </c>
      <c r="C162" s="474"/>
      <c r="D162" s="474"/>
      <c r="E162" s="474"/>
      <c r="F162" s="474"/>
    </row>
    <row r="164" spans="2:6">
      <c r="B164" s="343" t="s">
        <v>525</v>
      </c>
    </row>
    <row r="165" spans="2:6">
      <c r="B165" s="412" t="s">
        <v>389</v>
      </c>
    </row>
    <row r="166" spans="2:6">
      <c r="B166" s="412" t="s">
        <v>390</v>
      </c>
    </row>
    <row r="167" spans="2:6">
      <c r="B167" s="412" t="s">
        <v>391</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2026-04-18T03:52:36Z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