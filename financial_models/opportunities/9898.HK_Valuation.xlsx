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56E800F-A6D3-4C8B-9932-FF8E260B46C0}" xr6:coauthVersionLast="47" xr6:coauthVersionMax="47" xr10:uidLastSave="{00000000-0000-0000-0000-000000000000}"/>
  <bookViews>
    <workbookView xWindow="1470" yWindow="1470" windowWidth="12690"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4" i="3"/>
  <c r="C42" i="3"/>
  <c r="C30" i="4" s="1"/>
  <c r="C36" i="3"/>
  <c r="E25" i="4"/>
  <c r="D25" i="4"/>
  <c r="C25" i="4"/>
  <c r="D28" i="4"/>
  <c r="D16" i="4"/>
  <c r="C16" i="4"/>
  <c r="E6" i="4"/>
  <c r="D6" i="4"/>
  <c r="C6" i="4"/>
  <c r="E83" i="2"/>
  <c r="E84" i="2"/>
  <c r="C28" i="4"/>
  <c r="C29"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1"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<sst xmlns="http://schemas.openxmlformats.org/spreadsheetml/2006/main" count="768" uniqueCount="559">
  <si>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</si>
  <si>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</si>
  <si>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</si>
  <si>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</si>
  <si>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</si>
  <si>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</si>
  <si>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</si>
  <si>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</si>
  <si>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</si>
  <si>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</si>
  <si>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</si>
  <si>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</si>
  <si>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</si>
  <si>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</si>
  <si>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</si>
  <si>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</si>
  <si>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</si>
  <si>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</si>
  <si>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</si>
  <si>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</si>
  <si>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</si>
  <si>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</si>
  <si>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</si>
  <si>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</si>
  <si>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</si>
  <si>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</si>
  <si>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</si>
  <si>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</si>
  <si>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</si>
  <si>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</si>
  <si>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</si>
  <si>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</si>
  <si>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</si>
  <si>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</si>
  <si>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</si>
  <si>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</si>
  <si>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</si>
  <si>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</si>
  <si>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</si>
  <si>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</si>
  <si>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</si>
  <si>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</si>
  <si>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</si>
  <si>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</si>
  <si>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</si>
  <si>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</si>
  <si>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</si>
  <si>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</si>
  <si>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</si>
  <si>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</si>
  <si>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</si>
  <si>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</si>
  <si>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</si>
  <si>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</si>
  <si>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</si>
  <si>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</si>
  <si>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</si>
  <si>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</si>
  <si>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</si>
  <si>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</si>
  <si>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</si>
  <si>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</si>
  <si>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</si>
  <si>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</si>
  <si>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</si>
  <si>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</si>
  <si>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</si>
  <si>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</si>
  <si>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</si>
  <si>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</si>
  <si>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</si>
  <si>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</si>
  <si>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</si>
  <si>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</si>
  <si>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</si>
  <si>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</si>
  <si>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</si>
  <si>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</si>
  <si>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</si>
  <si>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</si>
  <si>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</si>
  <si>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</si>
  <si>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</si>
  <si>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</si>
  <si>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</si>
  <si>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</si>
  <si>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</si>
  <si>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</si>
  <si>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</si>
  <si>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</si>
  <si>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</si>
  <si>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</si>
  <si>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</si>
  <si>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</si>
  <si>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</si>
  <si>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</si>
  <si>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</si>
  <si>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</si>
  <si>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</si>
  <si>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</si>
  <si>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</si>
  <si>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</si>
  <si>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</si>
  <si>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</si>
  <si>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</si>
  <si>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</si>
  <si>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</si>
  <si>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</si>
  <si>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</si>
  <si>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</si>
  <si>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</si>
  <si>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</si>
  <si>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</si>
  <si>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</si>
  <si>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</si>
  <si>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</si>
  <si>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</si>
  <si>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</si>
  <si>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</si>
  <si>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</si>
  <si>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</si>
  <si>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</si>
  <si>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</si>
  <si>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</si>
  <si>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</si>
  <si>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</si>
  <si>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</si>
  <si>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</si>
  <si>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</si>
  <si>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</si>
  <si>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</si>
  <si>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</si>
  <si>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</si>
  <si>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</si>
  <si>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</si>
  <si>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</si>
  <si>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</si>
  <si>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</si>
  <si>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</si>
  <si>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</si>
  <si>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</si>
  <si>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</si>
  <si>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</si>
  <si>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</si>
  <si>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</si>
  <si>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</si>
  <si>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</si>
  <si>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</si>
  <si>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</si>
  <si>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</si>
  <si>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</si>
  <si>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</si>
  <si>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</si>
  <si>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</si>
  <si>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</si>
  <si>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</si>
  <si>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</si>
  <si>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</si>
  <si>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</si>
  <si>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</si>
  <si>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</si>
  <si>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</si>
  <si>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</si>
  <si>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</si>
  <si>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</si>
  <si>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</si>
  <si>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</si>
  <si>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</si>
  <si>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</si>
  <si>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</si>
  <si>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</si>
  <si>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</si>
  <si>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</si>
  <si>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</si>
  <si>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</si>
  <si>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</si>
  <si>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</si>
  <si>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</si>
  <si>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</si>
  <si>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</si>
  <si>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</si>
  <si>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</si>
  <si>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</si>
  <si>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</si>
  <si>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</si>
  <si>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</si>
  <si>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</si>
  <si>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</si>
  <si>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</si>
  <si>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</si>
  <si>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</si>
  <si>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</si>
  <si>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</si>
  <si>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</si>
  <si>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</si>
  <si>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</si>
  <si>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</si>
  <si>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</si>
  <si>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</si>
  <si>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</si>
  <si>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</si>
  <si>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</si>
  <si>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</si>
  <si>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</si>
  <si>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</si>
  <si>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</si>
  <si>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</si>
  <si>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</si>
  <si>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</si>
  <si>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</si>
  <si>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</si>
  <si>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</si>
  <si>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</si>
  <si>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</si>
  <si>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</si>
  <si>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</si>
  <si>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</si>
  <si>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</si>
  <si>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</si>
  <si>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</si>
  <si>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</si>
  <si>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</si>
  <si>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</si>
  <si>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</si>
  <si>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</si>
  <si>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</si>
  <si>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</si>
  <si>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</si>
  <si>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</si>
  <si>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</si>
  <si>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</si>
  <si>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</si>
  <si>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</si>
  <si>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</si>
  <si>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</si>
  <si>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</si>
  <si>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</si>
  <si>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</si>
  <si>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</si>
  <si>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</si>
  <si>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</si>
  <si>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</si>
  <si>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</si>
  <si>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</si>
  <si>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</si>
  <si>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</si>
  <si>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</si>
  <si>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</si>
  <si>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</si>
  <si>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</si>
  <si>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</si>
  <si>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</si>
  <si>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</si>
  <si>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</si>
  <si>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</si>
  <si>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</si>
  <si>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</si>
  <si>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</si>
  <si>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</si>
  <si>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</si>
  <si>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</si>
  <si>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</si>
  <si>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</si>
  <si>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</si>
  <si>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</si>
  <si>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</si>
  <si>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</si>
  <si>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</si>
  <si>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</si>
  <si>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</si>
  <si>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</si>
  <si>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</si>
  <si>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</si>
  <si>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</si>
  <si>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</si>
  <si>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</si>
  <si>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</si>
  <si>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</si>
  <si>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</si>
  <si>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</si>
  <si>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</si>
  <si>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</si>
  <si>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</si>
  <si>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</si>
  <si>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</si>
  <si>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</si>
  <si>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</si>
  <si>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</si>
  <si>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</si>
  <si>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</si>
  <si>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</si>
  <si>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</si>
  <si>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</si>
  <si>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</si>
  <si>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</si>
  <si>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</si>
  <si>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</si>
  <si>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</si>
  <si>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</si>
  <si>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</si>
  <si>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</si>
  <si>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</si>
  <si>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</si>
  <si>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</si>
  <si>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</si>
  <si>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</si>
  <si>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</si>
  <si>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</si>
  <si>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</si>
  <si>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</si>
  <si>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</si>
  <si>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</si>
  <si>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</si>
  <si>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</si>
  <si>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</si>
  <si>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</si>
  <si>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</si>
  <si>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</si>
  <si>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</si>
  <si>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</si>
  <si>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</si>
  <si>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</si>
  <si>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</si>
  <si>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</si>
  <si>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</si>
  <si>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</si>
  <si>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</si>
  <si>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</si>
  <si>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</si>
  <si>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</si>
  <si>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</si>
  <si>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</si>
  <si>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</si>
  <si>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</si>
  <si>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</si>
  <si>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</si>
  <si>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</si>
  <si>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</si>
  <si>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</si>
  <si>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</si>
  <si>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</si>
  <si>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</si>
  <si>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</si>
  <si>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</si>
  <si>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</si>
  <si>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</si>
  <si>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</si>
  <si>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</si>
  <si>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</si>
  <si>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</si>
  <si>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</si>
  <si>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</si>
  <si>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</si>
  <si>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</si>
  <si>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</si>
  <si>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</si>
  <si>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</si>
  <si>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</si>
  <si>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</si>
  <si>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</si>
  <si>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</si>
  <si>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</si>
  <si>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</si>
  <si>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</si>
  <si>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</si>
  <si>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</si>
  <si>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</si>
  <si>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</si>
  <si>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</si>
  <si>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</si>
  <si>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</si>
  <si>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</si>
  <si>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</si>
  <si>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</si>
  <si>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</si>
  <si>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</si>
  <si>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</si>
  <si>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</si>
  <si>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</si>
  <si>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</si>
  <si>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</si>
  <si>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</si>
  <si>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</si>
  <si>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</si>
  <si>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</si>
  <si>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</si>
  <si>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</si>
  <si>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</si>
  <si>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</si>
  <si>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</si>
  <si>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</si>
  <si>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</si>
  <si>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</si>
  <si>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</si>
  <si>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</si>
  <si>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</si>
  <si>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</si>
  <si>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</si>
  <si>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</si>
  <si>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</si>
  <si>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</si>
  <si>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</si>
  <si>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</si>
  <si>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</si>
  <si>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</si>
  <si>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</si>
  <si>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</si>
  <si>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</si>
  <si>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</si>
  <si>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</si>
  <si>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</si>
  <si>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</si>
  <si>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</si>
  <si>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</si>
  <si>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</si>
  <si>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</si>
  <si>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</si>
  <si>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</si>
  <si>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</si>
  <si>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</si>
  <si>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</si>
  <si>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</si>
  <si>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</si>
  <si>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</si>
  <si>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</si>
  <si>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</si>
  <si>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</si>
  <si>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</si>
  <si>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</si>
  <si>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</si>
  <si>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</si>
  <si>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</si>
  <si>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</si>
  <si>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</si>
  <si>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</si>
  <si>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</si>
  <si>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</si>
  <si>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</si>
  <si>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</si>
  <si>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</si>
  <si>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</si>
  <si>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</si>
  <si>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</si>
  <si>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</si>
  <si>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</si>
  <si>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</si>
  <si>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</si>
  <si>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</si>
  <si>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</si>
  <si>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</si>
  <si>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</si>
  <si>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</si>
  <si>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</si>
  <si>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</si>
  <si>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</si>
  <si>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</si>
  <si>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</si>
  <si>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</si>
  <si>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</si>
  <si>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</si>
  <si>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</si>
  <si>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</si>
  <si>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</si>
  <si>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</si>
  <si>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</si>
  <si>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</si>
  <si>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</si>
  <si>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</si>
  <si>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</si>
  <si>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</si>
  <si>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</si>
  <si>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</si>
  <si>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</si>
  <si>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</si>
  <si>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</si>
  <si>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</si>
  <si>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</si>
  <si>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</si>
  <si>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</si>
  <si>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</si>
  <si>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</si>
  <si>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</si>
  <si>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</si>
  <si>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</si>
  <si>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</si>
  <si>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</si>
  <si>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</si>
  <si>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</si>
  <si>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</si>
  <si>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</si>
  <si>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</si>
  <si>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</si>
  <si>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</si>
  <si>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</si>
  <si>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</si>
  <si>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</si>
  <si>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</si>
  <si>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</si>
  <si>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</si>
  <si>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</si>
  <si>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</si>
  <si>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</si>
  <si>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</si>
  <si>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</si>
  <si>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</si>
  <si>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</si>
  <si>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</si>
  <si>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</si>
  <si>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</si>
  <si>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</si>
  <si>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</si>
  <si>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</si>
  <si>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</si>
  <si>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</si>
  <si>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</si>
  <si>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</si>
  <si>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</si>
  <si>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</si>
  <si>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</si>
  <si>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</si>
  <si>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</si>
  <si>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</si>
  <si>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</si>
  <si>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</si>
  <si>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</si>
  <si>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</si>
  <si>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</si>
  <si>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</si>
  <si>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</si>
  <si>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</si>
  <si>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</si>
  <si>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</si>
  <si>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</si>
  <si>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</si>
  <si>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</si>
  <si>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</si>
  <si>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</si>
  <si>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</si>
  <si>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</si>
  <si>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</si>
  <si>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</si>
  <si>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</si>
  <si>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</si>
  <si>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</si>
  <si>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</si>
  <si>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</si>
  <si>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</si>
  <si>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</si>
  <si>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</si>
  <si>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</si>
  <si>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</si>
  <si>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</si>
  <si>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</si>
  <si>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</si>
  <si>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</si>
  <si>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</si>
  <si>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9898.HK</t>
  </si>
  <si>
    <t>微博</t>
  </si>
  <si>
    <t>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</si>
</sst>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18" sqref="C1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46057</v>
      </c>
    </row>
    <row r="4" spans="1:9" ht="12.4">
      <c r="B4" s="421" t="s">
        <v>533</v>
      </c>
      <c r="C4" s="420" t="s">
        <v>557</v>
      </c>
      <c r="E4" s="430" t="s">
        <v>537</v>
      </c>
      <c r="F4" s="431" t="s">
        <v>324</v>
      </c>
    </row>
    <row r="5" spans="1:9">
      <c r="B5" s="1" t="s">
        <v>349</v>
      </c>
      <c r="C5" s="46" t="s">
        <v>556</v>
      </c>
      <c r="E5" s="433" t="s">
        <v>539</v>
      </c>
      <c r="F5" s="432" t="s">
        <v>497</v>
      </c>
    </row>
    <row r="6" spans="1:9">
      <c r="B6" s="2" t="s">
        <v>53</v>
      </c>
      <c r="C6" s="45" t="s">
        <v>549</v>
      </c>
      <c r="D6" s="45"/>
      <c r="E6" s="45"/>
    </row>
    <row r="7" spans="1:9">
      <c r="B7" s="1" t="s">
        <v>351</v>
      </c>
      <c r="C7" s="45" t="s">
        <v>308</v>
      </c>
      <c r="D7" s="45"/>
      <c r="E7" s="45"/>
    </row>
    <row r="8" spans="1:9">
      <c r="B8" s="4" t="s">
        <v>350</v>
      </c>
      <c r="C8" s="47">
        <v>77.7</v>
      </c>
      <c r="E8" s="32"/>
    </row>
    <row r="9" spans="1:9">
      <c r="B9" s="4" t="s">
        <v>346</v>
      </c>
      <c r="C9" s="48">
        <v>244825280</v>
      </c>
    </row>
    <row r="10" spans="1:9">
      <c r="B10" s="4" t="s">
        <v>352</v>
      </c>
      <c r="C10" s="33">
        <f>Thesis!C8*Common_Shares/1000000</f>
        <v>19022.924255999998</v>
      </c>
      <c r="D10" s="1" t="s">
        <v>528</v>
      </c>
      <c r="E10" s="303">
        <f>Scenarios!F34</f>
        <v>0.19168637716804129</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USD/HKD</v>
      </c>
    </row>
    <row r="16" spans="1:9">
      <c r="B16" s="1" t="s">
        <v>320</v>
      </c>
      <c r="C16" s="417" t="s">
        <v>546</v>
      </c>
      <c r="D16" s="4" t="s">
        <v>354</v>
      </c>
      <c r="E16" s="416">
        <v>7.8322000503540039</v>
      </c>
    </row>
    <row r="17" spans="1:6">
      <c r="B17" s="1" t="s">
        <v>532</v>
      </c>
      <c r="C17" s="456">
        <v>-0.02</v>
      </c>
      <c r="D17" s="4" t="s">
        <v>274</v>
      </c>
      <c r="E17" s="224" t="s">
        <v>558</v>
      </c>
    </row>
    <row r="18" spans="1:6">
      <c r="B18" s="1" t="str">
        <f>"Expected Equity Value ("&amp;C7&amp;") :"</f>
        <v>Expected Equity Value (HKD) :</v>
      </c>
      <c r="C18" s="252">
        <f>C125</f>
        <v>108.45244754252425</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60.949955185491234</v>
      </c>
      <c r="D22" s="38" t="s">
        <v>406</v>
      </c>
      <c r="E22" s="79">
        <v>0.3</v>
      </c>
    </row>
    <row r="23" spans="1:6">
      <c r="B23" s="1" t="s">
        <v>313</v>
      </c>
      <c r="C23" s="256">
        <f>E141</f>
        <v>76.200342327849683</v>
      </c>
      <c r="D23" s="38" t="s">
        <v>407</v>
      </c>
      <c r="E23" s="443">
        <v>0.2</v>
      </c>
    </row>
    <row r="24" spans="1:6">
      <c r="B24" s="1" t="s">
        <v>315</v>
      </c>
      <c r="C24" s="256">
        <f>E144</f>
        <v>93.125861826235152</v>
      </c>
      <c r="D24" s="38" t="s">
        <v>408</v>
      </c>
      <c r="E24" s="443">
        <v>0.1174</v>
      </c>
    </row>
    <row r="25" spans="1:6">
      <c r="B25" s="1" t="s">
        <v>314</v>
      </c>
      <c r="C25" s="256">
        <f>E145</f>
        <v>104.5777662135353</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459406.2830244787</v>
      </c>
      <c r="D34" s="1" t="str">
        <f>Reporting_currency</f>
        <v>USD</v>
      </c>
    </row>
    <row r="35" spans="2:6">
      <c r="B35" s="44"/>
      <c r="C35" s="73"/>
    </row>
    <row r="36" spans="2:6" ht="24.5" customHeight="1">
      <c r="B36" s="461" t="s">
        <v>198</v>
      </c>
      <c r="C36" s="461"/>
      <c r="D36" s="461"/>
      <c r="E36" s="461"/>
      <c r="F36" s="461"/>
    </row>
    <row r="37" spans="2:6">
      <c r="B37" s="44" t="s">
        <v>199</v>
      </c>
      <c r="C37" s="285">
        <f>Normalized_FCF!C15</f>
        <v>0</v>
      </c>
      <c r="D37" s="1" t="str">
        <f>Reporting_currency</f>
        <v>USD</v>
      </c>
    </row>
    <row r="38" spans="2:6">
      <c r="B38" s="49" t="s">
        <v>200</v>
      </c>
      <c r="C38" s="285">
        <f>Normalized_FCF!C16</f>
        <v>0</v>
      </c>
      <c r="D38" s="1" t="str">
        <f>Reporting_currency</f>
        <v>USD</v>
      </c>
    </row>
    <row r="40" spans="2:6">
      <c r="B40" s="461" t="s">
        <v>201</v>
      </c>
      <c r="C40" s="461"/>
      <c r="D40" s="461"/>
      <c r="E40" s="461"/>
      <c r="F40" s="461"/>
    </row>
    <row r="41" spans="2:6">
      <c r="B41" s="44" t="s">
        <v>202</v>
      </c>
      <c r="C41" s="285">
        <f>Normalized_FCF!C9</f>
        <v>0</v>
      </c>
      <c r="D41" s="1" t="str">
        <f>Reporting_currency</f>
        <v>USD</v>
      </c>
    </row>
    <row r="43" spans="2:6">
      <c r="B43" s="461" t="s">
        <v>205</v>
      </c>
      <c r="C43" s="461"/>
      <c r="D43" s="461"/>
      <c r="E43" s="461"/>
      <c r="F43" s="461"/>
    </row>
    <row r="44" spans="2:6">
      <c r="B44" s="44" t="s">
        <v>267</v>
      </c>
      <c r="C44" s="286">
        <f>Normalized_FCF!C46</f>
        <v>2857.1580732635211</v>
      </c>
      <c r="D44" s="1" t="str">
        <f>Reporting_currency</f>
        <v>USD</v>
      </c>
      <c r="E44" s="244"/>
      <c r="F44" s="244"/>
    </row>
    <row r="45" spans="2:6">
      <c r="B45" s="44" t="s">
        <v>268</v>
      </c>
      <c r="C45" s="286">
        <f>Normalized_FCF!C45</f>
        <v>-64051.199999999997</v>
      </c>
      <c r="D45" s="1" t="str">
        <f>Reporting_currency</f>
        <v>USD</v>
      </c>
      <c r="E45" s="244"/>
      <c r="F45" s="244"/>
    </row>
    <row r="46" spans="2:6">
      <c r="B46" s="44" t="s">
        <v>203</v>
      </c>
      <c r="C46" s="285">
        <f>Normalized_FCF!C10</f>
        <v>-61194.041926736478</v>
      </c>
      <c r="D46" s="1" t="str">
        <f>Reporting_currency</f>
        <v>USD</v>
      </c>
    </row>
    <row r="48" spans="2:6">
      <c r="B48" s="1" t="s">
        <v>211</v>
      </c>
    </row>
    <row r="49" spans="2:6">
      <c r="B49" s="44" t="s">
        <v>223</v>
      </c>
      <c r="C49" s="285">
        <f>Normalized_FCF!C13</f>
        <v>-14953.035947099615</v>
      </c>
      <c r="D49" s="1" t="str">
        <f>Reporting_currency</f>
        <v>USD</v>
      </c>
    </row>
    <row r="51" spans="2:6">
      <c r="B51" s="461" t="s">
        <v>206</v>
      </c>
      <c r="C51" s="461"/>
      <c r="D51" s="461"/>
      <c r="E51" s="461"/>
      <c r="F51" s="461"/>
    </row>
    <row r="52" spans="2:6">
      <c r="B52" s="44" t="s">
        <v>204</v>
      </c>
      <c r="C52" s="285">
        <f>Normalized_FCF!C12</f>
        <v>-99553.060274435556</v>
      </c>
      <c r="D52" s="1" t="str">
        <f>Reporting_currency</f>
        <v>USD</v>
      </c>
    </row>
    <row r="54" spans="2:6">
      <c r="B54" s="461" t="s">
        <v>265</v>
      </c>
      <c r="C54" s="464"/>
      <c r="D54" s="464"/>
      <c r="E54" s="464"/>
      <c r="F54" s="464"/>
    </row>
    <row r="55" spans="2:6">
      <c r="B55" s="44" t="s">
        <v>207</v>
      </c>
      <c r="C55" s="285">
        <f>Normalized_FCF!C17</f>
        <v>0</v>
      </c>
      <c r="D55" s="1" t="str">
        <f>Reporting_currency</f>
        <v>USD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318966.17452166486</v>
      </c>
      <c r="D60" s="1" t="str">
        <f>Reporting_currency</f>
        <v>USD</v>
      </c>
    </row>
    <row r="61" spans="2:6">
      <c r="B61" s="44" t="s">
        <v>213</v>
      </c>
      <c r="C61" s="285">
        <f>Normalized_FCF!C19</f>
        <v>283706.14487620705</v>
      </c>
      <c r="D61" s="1" t="str">
        <f>Reporting_currency</f>
        <v>USD</v>
      </c>
    </row>
    <row r="62" spans="2:6">
      <c r="B62" s="204" t="s">
        <v>302</v>
      </c>
      <c r="C62" s="89">
        <f>Normalized_FCF!C124</f>
        <v>0.11680871207192643</v>
      </c>
      <c r="F62" s="257"/>
    </row>
    <row r="63" spans="2:6">
      <c r="B63" s="204" t="s">
        <v>332</v>
      </c>
      <c r="C63" s="89">
        <f>Normalized_FCF!C92</f>
        <v>8.2105534105534103E-2</v>
      </c>
      <c r="E63" s="44" t="s">
        <v>322</v>
      </c>
      <c r="F63" s="258">
        <f>Normalized_FCF!C90</f>
        <v>5.5052997070948786</v>
      </c>
    </row>
    <row r="65" spans="1:6">
      <c r="B65" s="192" t="s">
        <v>325</v>
      </c>
      <c r="C65" s="264" t="s">
        <v>327</v>
      </c>
      <c r="D65" s="264" t="s">
        <v>328</v>
      </c>
    </row>
    <row r="66" spans="1:6">
      <c r="B66" s="44" t="s">
        <v>326</v>
      </c>
      <c r="C66" s="89">
        <f>Normalized_FCF!E119</f>
        <v>0.08</v>
      </c>
      <c r="D66" s="89">
        <f>Normalized_FCF!G119</f>
        <v>0.11962870133363827</v>
      </c>
    </row>
    <row r="67" spans="1:6">
      <c r="B67" s="229" t="str">
        <f>Normalized_FCF!B116</f>
        <v>Pre-tax Profit/Sales</v>
      </c>
      <c r="C67" s="263">
        <f>Normalized_FCF!E116</f>
        <v>0.16758448420991445</v>
      </c>
      <c r="D67" s="263">
        <f>Normalized_FCF!G116</f>
        <v>0.25059892762124586</v>
      </c>
    </row>
    <row r="68" spans="1:6">
      <c r="B68" s="229" t="str">
        <f>Normalized_FCF!B117</f>
        <v>Sales/Total Assets</v>
      </c>
      <c r="C68" s="265">
        <f>Normalized_FCF!E117</f>
        <v>0.26833431587768736</v>
      </c>
      <c r="D68" s="265">
        <f>Normalized_FCF!G117</f>
        <v>0.26833431587768736</v>
      </c>
    </row>
    <row r="69" spans="1:6">
      <c r="B69" s="229" t="str">
        <f>Normalized_FCF!B118</f>
        <v>Total Assets/Equity</v>
      </c>
      <c r="C69" s="265">
        <f>Normalized_FCF!E118</f>
        <v>1.7790164507082717</v>
      </c>
      <c r="D69" s="265">
        <f>Normalized_FCF!G118</f>
        <v>1.7790164507082717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-1067520</v>
      </c>
      <c r="D78" s="1" t="str">
        <f>Reporting_currency</f>
        <v>USD</v>
      </c>
    </row>
    <row r="79" spans="1:6">
      <c r="A79" s="191"/>
      <c r="B79" s="44" t="s">
        <v>234</v>
      </c>
      <c r="C79" s="201">
        <f>C78*scaling_factor*Exchange_Rate/Common_Shares</f>
        <v>-34.151008416099458</v>
      </c>
      <c r="D79" s="1" t="str">
        <f>Market_currency</f>
        <v>HKD</v>
      </c>
    </row>
    <row r="80" spans="1:6">
      <c r="A80" s="191"/>
      <c r="B80" s="229" t="s">
        <v>309</v>
      </c>
      <c r="C80" s="337">
        <f>IF(BS!G31/BS!G27&gt;300%,"nm",BS!G31/BS!G27)</f>
        <v>0.29042568125650897</v>
      </c>
    </row>
    <row r="81" spans="1:6">
      <c r="A81" s="191"/>
      <c r="B81" s="229" t="s">
        <v>311</v>
      </c>
      <c r="C81" s="338">
        <f>IF(BS!C50&gt;30,"nm",BS!C50)</f>
        <v>2.3236948196964886</v>
      </c>
    </row>
    <row r="82" spans="1:6">
      <c r="A82" s="191"/>
    </row>
    <row r="83" spans="1:6">
      <c r="A83" s="191"/>
      <c r="B83" s="1" t="s">
        <v>466</v>
      </c>
    </row>
    <row r="84" spans="1:6">
      <c r="A84" s="191"/>
      <c r="B84" s="1" t="s">
        <v>224</v>
      </c>
      <c r="C84" s="285">
        <f>DCF!F5</f>
        <v>680098.98778941319</v>
      </c>
      <c r="D84" s="1" t="str">
        <f>Reporting_currency</f>
        <v>USD</v>
      </c>
    </row>
    <row r="85" spans="1:6">
      <c r="A85" s="191"/>
      <c r="B85" s="229" t="s">
        <v>222</v>
      </c>
      <c r="C85" s="291">
        <f>BS!C66</f>
        <v>1156292</v>
      </c>
      <c r="D85" s="339" t="str">
        <f>Reporting_currency</f>
        <v>USD</v>
      </c>
    </row>
    <row r="86" spans="1:6">
      <c r="A86" s="191"/>
      <c r="B86" s="44" t="s">
        <v>235</v>
      </c>
      <c r="C86" s="201">
        <f>C84*scaling_factor*Exchange_Rate/Common_Shares</f>
        <v>21.757031489599232</v>
      </c>
      <c r="D86" s="1" t="str">
        <f>Market_currency</f>
        <v>HKD</v>
      </c>
    </row>
    <row r="87" spans="1:6">
      <c r="A87" s="191"/>
    </row>
    <row r="88" spans="1:6">
      <c r="A88" s="191"/>
      <c r="B88" s="1" t="s">
        <v>216</v>
      </c>
    </row>
    <row r="89" spans="1:6">
      <c r="A89" s="191"/>
      <c r="B89" s="1" t="s">
        <v>217</v>
      </c>
      <c r="C89" s="285">
        <f>DCF!F6</f>
        <v>713666.7</v>
      </c>
      <c r="D89" s="1" t="str">
        <f>Reporting_currency</f>
        <v>USD</v>
      </c>
    </row>
    <row r="90" spans="1:6">
      <c r="A90" s="191"/>
      <c r="B90" s="44" t="s">
        <v>236</v>
      </c>
      <c r="C90" s="201">
        <f>C89*scaling_factor*Exchange_Rate/Common_Shares</f>
        <v>22.830895419280132</v>
      </c>
      <c r="D90" s="1" t="str">
        <f>Market_currency</f>
        <v>HKD</v>
      </c>
    </row>
    <row r="91" spans="1:6">
      <c r="A91" s="191"/>
    </row>
    <row r="92" spans="1:6">
      <c r="A92" s="191"/>
      <c r="B92" s="44" t="s">
        <v>469</v>
      </c>
      <c r="C92" s="216">
        <f>DCF!F8</f>
        <v>10.436918492779906</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-19.264304502305222</v>
      </c>
      <c r="D111" s="1" t="str">
        <f>Market_currency</f>
        <v>HKD</v>
      </c>
    </row>
    <row r="112" spans="2:6">
      <c r="B112" s="44" t="s">
        <v>323</v>
      </c>
      <c r="C112" s="216">
        <f>DCF!C11</f>
        <v>106.59385027038974</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0.03</v>
      </c>
      <c r="D118" s="207" t="str">
        <f>ROUND(DCF!E90,2)&amp;" "&amp;Market_currency</f>
        <v>116.95 HKD</v>
      </c>
      <c r="E118" s="208">
        <f>DCF!F90</f>
        <v>0.15</v>
      </c>
      <c r="F118" s="208">
        <f>RATE(Holding_Period,Scenarios!C$58,-DCF!E90,C$18)</f>
        <v>3.1073354842866559E-2</v>
      </c>
    </row>
    <row r="119" spans="2:6">
      <c r="B119" s="205" t="str">
        <f>DCF!B91&amp;" ("&amp;DCF!D91&amp;"yrs)"</f>
        <v>Optimistic (5yrs)</v>
      </c>
      <c r="C119" s="198">
        <f>DCF!C91</f>
        <v>0.02</v>
      </c>
      <c r="D119" s="207" t="str">
        <f>ROUND(DCF!E91,2)&amp;" "&amp;Market_currency</f>
        <v>112.61 HKD</v>
      </c>
      <c r="E119" s="199">
        <f>DCF!F91</f>
        <v>0.15999999999999995</v>
      </c>
      <c r="F119" s="208">
        <f>RATE(Holding_Period,Scenarios!C$58,-DCF!E91,C$18)</f>
        <v>4.4895894344789591E-2</v>
      </c>
    </row>
    <row r="120" spans="2:6">
      <c r="B120" s="205" t="str">
        <f>DCF!B92&amp;" ("&amp;DCF!D92&amp;"yrs)"</f>
        <v>Base (5yrs)</v>
      </c>
      <c r="C120" s="198">
        <f>DCF!C92</f>
        <v>0.01</v>
      </c>
      <c r="D120" s="207" t="str">
        <f>ROUND(DCF!E92,2)&amp;" "&amp;Market_currency</f>
        <v>108.42 HKD</v>
      </c>
      <c r="E120" s="199">
        <f>DCF!F92</f>
        <v>0.44</v>
      </c>
      <c r="F120" s="208">
        <f>RATE(Holding_Period,Scenarios!C$58,-DCF!E92,C$18)</f>
        <v>5.8945198106734702E-2</v>
      </c>
    </row>
    <row r="121" spans="2:6">
      <c r="B121" s="205" t="str">
        <f>DCF!B93&amp;" ("&amp;DCF!D93&amp;"yrs)"</f>
        <v>Pessimistic (5yrs)</v>
      </c>
      <c r="C121" s="198">
        <f>DCF!C93</f>
        <v>0</v>
      </c>
      <c r="D121" s="207" t="str">
        <f>ROUND(DCF!E93,2)&amp;" "&amp;Market_currency</f>
        <v>104.38 HKD</v>
      </c>
      <c r="E121" s="199">
        <f>DCF!F93</f>
        <v>0.19999999999999998</v>
      </c>
      <c r="F121" s="208">
        <f>RATE(Holding_Period,Scenarios!C$58,-DCF!E93,C$18)</f>
        <v>7.3222808016017257E-2</v>
      </c>
    </row>
    <row r="122" spans="2:6">
      <c r="B122" s="205" t="str">
        <f>DCF!B94&amp;" ("&amp;DCF!D94&amp;"yrs)"</f>
        <v>Devil's advocate (5yrs)</v>
      </c>
      <c r="C122" s="198">
        <f>DCF!C94</f>
        <v>-0.05</v>
      </c>
      <c r="D122" s="207" t="str">
        <f>ROUND(DCF!E94,2)&amp;" "&amp;Market_currency</f>
        <v>86.28 HKD</v>
      </c>
      <c r="E122" s="199">
        <f>DCF!F94</f>
        <v>0.05</v>
      </c>
      <c r="F122" s="208">
        <f>RATE(Holding_Period,Scenarios!C$58,-DCF!E94,C$18)</f>
        <v>0.1480712734025792</v>
      </c>
    </row>
    <row r="124" spans="2:6">
      <c r="B124" s="461" t="s">
        <v>357</v>
      </c>
      <c r="C124" s="461"/>
      <c r="D124" s="461"/>
      <c r="E124" s="461"/>
      <c r="F124" s="461"/>
    </row>
    <row r="125" spans="2:6">
      <c r="B125" s="193" t="s">
        <v>218</v>
      </c>
      <c r="C125" s="197">
        <f>Scenarios!C36</f>
        <v>108.45244754252425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6.3795999999999999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11.586073736913978</v>
      </c>
      <c r="D140" s="333">
        <f>Scenarios!D62</f>
        <v>49.363881448577253</v>
      </c>
      <c r="E140" s="334">
        <f>Scenarios!E62</f>
        <v>60.949955185491234</v>
      </c>
      <c r="F140" s="335">
        <f>E22</f>
        <v>0.3</v>
      </c>
    </row>
    <row r="141" spans="1:6">
      <c r="B141" s="336" t="s">
        <v>313</v>
      </c>
      <c r="C141" s="333">
        <f>Scenarios!C63</f>
        <v>13.438509259259257</v>
      </c>
      <c r="D141" s="333">
        <f>Scenarios!D63</f>
        <v>62.761833068590427</v>
      </c>
      <c r="E141" s="334">
        <f>Scenarios!E63</f>
        <v>76.200342327849683</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15.391442902238206</v>
      </c>
      <c r="D144" s="333">
        <f>Scenarios!D66</f>
        <v>77.734418923996941</v>
      </c>
      <c r="E144" s="334">
        <f>Scenarios!E66</f>
        <v>93.125861826235152</v>
      </c>
      <c r="F144" s="335">
        <f>E24</f>
        <v>0.1174</v>
      </c>
    </row>
    <row r="145" spans="1:6">
      <c r="B145" s="336" t="s">
        <v>314</v>
      </c>
      <c r="C145" s="333">
        <f>Scenarios!C67</f>
        <v>16.665908999272972</v>
      </c>
      <c r="D145" s="333">
        <f>Scenarios!D67</f>
        <v>87.911857214262326</v>
      </c>
      <c r="E145" s="334">
        <f>Scenarios!E67</f>
        <v>104.5777662135353</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 activePane="bottomRight" state="frozen"/>
      <selection pane="topRight" activeCell="C1" sqref="C1"/>
      <selection pane="bottomLeft" activeCell="A2" sqref="A2"/>
      <selection pane="bottomRight" activeCell="E26" sqref="E2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USD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1754677</v>
      </c>
      <c r="D4" s="287">
        <v>1759836</v>
      </c>
      <c r="E4" s="287">
        <v>1754677</v>
      </c>
      <c r="F4" s="287"/>
      <c r="G4" s="287"/>
      <c r="H4" s="287"/>
      <c r="I4" s="287"/>
      <c r="J4" s="287"/>
      <c r="K4" s="287"/>
      <c r="L4" s="287"/>
      <c r="M4" s="287"/>
    </row>
    <row r="5" spans="2:13">
      <c r="B5" s="38" t="s">
        <v>40</v>
      </c>
      <c r="C5" s="287">
        <v>369521</v>
      </c>
      <c r="D5" s="287">
        <v>374279</v>
      </c>
      <c r="E5" s="287">
        <v>400585</v>
      </c>
      <c r="F5" s="287"/>
      <c r="G5" s="287"/>
      <c r="H5" s="287"/>
      <c r="I5" s="287"/>
      <c r="J5" s="287"/>
      <c r="K5" s="287"/>
      <c r="L5" s="287"/>
      <c r="M5" s="287"/>
    </row>
    <row r="6" spans="2:13">
      <c r="B6" s="38" t="s">
        <v>51</v>
      </c>
      <c r="C6" s="287">
        <f>101294+C7</f>
        <v>582085</v>
      </c>
      <c r="D6" s="287">
        <f>117574+D7</f>
        <v>578995</v>
      </c>
      <c r="E6" s="287">
        <f>52806+E7</f>
        <v>529913</v>
      </c>
      <c r="F6" s="287"/>
      <c r="G6" s="287"/>
      <c r="H6" s="287"/>
      <c r="I6" s="287"/>
      <c r="J6" s="287"/>
      <c r="K6" s="287"/>
      <c r="L6" s="287"/>
      <c r="M6" s="287"/>
    </row>
    <row r="7" spans="2:13">
      <c r="B7" s="66" t="s">
        <v>58</v>
      </c>
      <c r="C7" s="288">
        <v>480791</v>
      </c>
      <c r="D7" s="288">
        <v>461421</v>
      </c>
      <c r="E7" s="288">
        <v>477107</v>
      </c>
      <c r="F7" s="288"/>
      <c r="G7" s="288"/>
      <c r="H7" s="288"/>
      <c r="I7" s="288"/>
      <c r="J7" s="288"/>
      <c r="K7" s="288"/>
      <c r="L7" s="288"/>
      <c r="M7" s="288"/>
    </row>
    <row r="8" spans="2:13">
      <c r="B8" s="38" t="s">
        <v>46</v>
      </c>
      <c r="C8" s="287">
        <v>308747</v>
      </c>
      <c r="D8" s="287">
        <v>333628</v>
      </c>
      <c r="E8" s="287">
        <v>415190</v>
      </c>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105397</v>
      </c>
      <c r="D12" s="287">
        <v>120070</v>
      </c>
      <c r="E12" s="287">
        <v>71598</v>
      </c>
      <c r="F12" s="287"/>
      <c r="G12" s="287"/>
      <c r="H12" s="287"/>
      <c r="I12" s="287"/>
      <c r="J12" s="287"/>
      <c r="K12" s="287"/>
      <c r="L12" s="287"/>
      <c r="M12" s="287"/>
    </row>
    <row r="13" spans="2:13">
      <c r="B13" s="38" t="s">
        <v>64</v>
      </c>
      <c r="C13" s="287">
        <v>123336</v>
      </c>
      <c r="D13" s="287">
        <v>118209</v>
      </c>
      <c r="E13" s="287">
        <v>105434</v>
      </c>
      <c r="F13" s="287"/>
      <c r="G13" s="287"/>
      <c r="H13" s="287"/>
      <c r="I13" s="287"/>
      <c r="J13" s="287"/>
      <c r="K13" s="287"/>
      <c r="L13" s="287"/>
      <c r="M13" s="287"/>
    </row>
    <row r="14" spans="2:13">
      <c r="B14" s="38" t="s">
        <v>47</v>
      </c>
      <c r="C14" s="287">
        <v>110550</v>
      </c>
      <c r="D14" s="287">
        <v>145287</v>
      </c>
      <c r="E14" s="287">
        <v>30277</v>
      </c>
      <c r="F14" s="287"/>
      <c r="G14" s="287"/>
      <c r="H14" s="287"/>
      <c r="I14" s="287"/>
      <c r="J14" s="287"/>
      <c r="K14" s="287"/>
      <c r="L14" s="287"/>
      <c r="M14" s="287"/>
    </row>
    <row r="15" spans="2:13">
      <c r="B15" s="41" t="s">
        <v>39</v>
      </c>
      <c r="C15" s="289">
        <v>310105</v>
      </c>
      <c r="D15" s="289">
        <v>357495</v>
      </c>
      <c r="E15" s="289">
        <v>97809</v>
      </c>
      <c r="F15" s="289"/>
      <c r="G15" s="289"/>
      <c r="H15" s="289"/>
      <c r="I15" s="289"/>
      <c r="J15" s="289"/>
      <c r="K15" s="289"/>
      <c r="L15" s="289"/>
      <c r="M15" s="289"/>
    </row>
    <row r="16" spans="2:13">
      <c r="B16" s="27" t="s">
        <v>41</v>
      </c>
      <c r="C16" s="287">
        <f>2556+7648</f>
        <v>10204</v>
      </c>
      <c r="D16" s="287">
        <f>2095+12902</f>
        <v>14997</v>
      </c>
      <c r="E16" s="287">
        <v>12254</v>
      </c>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639898</v>
      </c>
      <c r="D22" s="287">
        <v>672820</v>
      </c>
      <c r="E22" s="287">
        <v>564104</v>
      </c>
      <c r="F22" s="287"/>
      <c r="G22" s="287"/>
      <c r="H22" s="287"/>
      <c r="I22" s="287"/>
      <c r="J22" s="287"/>
      <c r="K22" s="287"/>
      <c r="L22" s="287"/>
      <c r="M22" s="287"/>
    </row>
    <row r="23" spans="2:13">
      <c r="B23" s="26" t="s">
        <v>288</v>
      </c>
      <c r="C23" s="287">
        <v>-246900</v>
      </c>
      <c r="D23" s="287">
        <v>-736846</v>
      </c>
      <c r="E23" s="287">
        <v>-33014</v>
      </c>
      <c r="F23" s="287"/>
      <c r="G23" s="287"/>
      <c r="H23" s="287"/>
      <c r="I23" s="287"/>
      <c r="J23" s="287"/>
      <c r="K23" s="287"/>
      <c r="L23" s="287"/>
      <c r="M23" s="287"/>
    </row>
    <row r="24" spans="2:13">
      <c r="B24" s="26" t="s">
        <v>287</v>
      </c>
      <c r="C24" s="287">
        <v>-1029439</v>
      </c>
      <c r="D24" s="287">
        <v>21690</v>
      </c>
      <c r="E24" s="287">
        <v>-91141</v>
      </c>
      <c r="F24" s="287"/>
      <c r="G24" s="287"/>
      <c r="H24" s="287"/>
      <c r="I24" s="287"/>
      <c r="J24" s="287"/>
      <c r="K24" s="287"/>
      <c r="L24" s="287"/>
      <c r="M24" s="287"/>
    </row>
    <row r="25" spans="2:13">
      <c r="B25" s="23" t="str">
        <f>"Dividend per share ("&amp;Market_currency&amp;")"</f>
        <v>Dividend per share (HKD)</v>
      </c>
      <c r="C25" s="37">
        <f>0.82*7.78</f>
        <v>6.3795999999999999</v>
      </c>
      <c r="D25" s="37">
        <f>0.82*7.78</f>
        <v>6.3795999999999999</v>
      </c>
      <c r="E25" s="37">
        <f>0.85*7.78</f>
        <v>6.6130000000000004</v>
      </c>
      <c r="F25" s="37"/>
      <c r="G25" s="37"/>
      <c r="H25" s="37"/>
      <c r="I25" s="37"/>
      <c r="J25" s="37"/>
      <c r="K25" s="37"/>
      <c r="L25" s="37"/>
      <c r="M25" s="37"/>
    </row>
    <row r="27" spans="2:13">
      <c r="B27" s="16" t="s">
        <v>26</v>
      </c>
      <c r="C27" s="94" t="s">
        <v>547</v>
      </c>
    </row>
    <row r="28" spans="2:13">
      <c r="B28" s="25" t="s">
        <v>22</v>
      </c>
      <c r="C28" s="270">
        <f>BS!C4</f>
        <v>829493</v>
      </c>
      <c r="D28" s="287">
        <f>341486+61094+38188+486397</f>
        <v>927165</v>
      </c>
      <c r="E28" s="287"/>
      <c r="F28" s="287"/>
      <c r="G28" s="287"/>
      <c r="H28" s="287"/>
      <c r="I28" s="287"/>
      <c r="J28" s="287"/>
      <c r="K28" s="287"/>
      <c r="L28" s="287"/>
      <c r="M28" s="287"/>
    </row>
    <row r="29" spans="2:13">
      <c r="B29" s="25" t="s">
        <v>30</v>
      </c>
      <c r="C29" s="270">
        <f>BS!C6</f>
        <v>0</v>
      </c>
      <c r="D29" s="287">
        <v>554546</v>
      </c>
      <c r="E29" s="287"/>
      <c r="F29" s="287"/>
      <c r="G29" s="287"/>
      <c r="H29" s="287"/>
      <c r="I29" s="287"/>
      <c r="J29" s="287"/>
      <c r="K29" s="287"/>
      <c r="L29" s="287"/>
      <c r="M29" s="287"/>
    </row>
    <row r="30" spans="2:13">
      <c r="B30" s="28" t="s">
        <v>38</v>
      </c>
      <c r="C30" s="271">
        <f>BS!C33+BS!C42</f>
        <v>2863437</v>
      </c>
      <c r="D30" s="289">
        <v>3762742</v>
      </c>
      <c r="E30" s="289"/>
      <c r="F30" s="289"/>
      <c r="G30" s="289"/>
      <c r="H30" s="289"/>
      <c r="I30" s="289"/>
      <c r="J30" s="289"/>
      <c r="K30" s="289"/>
      <c r="L30" s="289"/>
      <c r="M30" s="289"/>
    </row>
    <row r="31" spans="2:13">
      <c r="B31" s="28" t="s">
        <v>28</v>
      </c>
      <c r="C31" s="271">
        <f>BS!G27</f>
        <v>3675708</v>
      </c>
      <c r="D31" s="289">
        <v>3448888</v>
      </c>
      <c r="E31" s="289"/>
      <c r="F31" s="289"/>
      <c r="G31" s="289"/>
      <c r="H31" s="289"/>
      <c r="I31" s="289"/>
      <c r="J31" s="289"/>
      <c r="K31" s="289"/>
      <c r="L31" s="289"/>
      <c r="M31" s="289"/>
    </row>
    <row r="32" spans="2:13">
      <c r="B32" s="25" t="s">
        <v>143</v>
      </c>
      <c r="C32" s="270">
        <f>BS!G28</f>
        <v>52770</v>
      </c>
      <c r="D32" s="287">
        <v>50153</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1754677</v>
      </c>
      <c r="D36" s="270">
        <f t="shared" si="1"/>
        <v>1759836</v>
      </c>
      <c r="E36" s="270">
        <f t="shared" si="1"/>
        <v>1754677</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-369521</v>
      </c>
      <c r="D37" s="270">
        <f t="shared" si="2"/>
        <v>-374279</v>
      </c>
      <c r="E37" s="270">
        <f t="shared" si="2"/>
        <v>-400585</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1385156</v>
      </c>
      <c r="D38" s="267">
        <f t="shared" ref="D38" si="3">IF(D36="","",D36+D37)</f>
        <v>1385557</v>
      </c>
      <c r="E38" s="267">
        <f t="shared" ref="E38" si="4">IF(E36="","",E36+E37)</f>
        <v>1354092</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-582085</v>
      </c>
      <c r="D39" s="270">
        <f t="shared" si="13"/>
        <v>-578995</v>
      </c>
      <c r="E39" s="270">
        <f t="shared" si="13"/>
        <v>-529913</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-480791</v>
      </c>
      <c r="D40" s="282">
        <f t="shared" si="14"/>
        <v>-461421</v>
      </c>
      <c r="E40" s="282">
        <f t="shared" si="14"/>
        <v>-477107</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-101294</v>
      </c>
      <c r="D41" s="282">
        <f t="shared" ref="D41:M41" si="15">IF(D$4="","",D39-D40)</f>
        <v>-117574</v>
      </c>
      <c r="E41" s="282">
        <f t="shared" si="15"/>
        <v>-52806</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-308747</v>
      </c>
      <c r="D42" s="270">
        <f t="shared" si="16"/>
        <v>-333628</v>
      </c>
      <c r="E42" s="270">
        <f t="shared" si="16"/>
        <v>-415190</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494324</v>
      </c>
      <c r="D43" s="271">
        <f t="shared" ref="D43:M43" si="17">IF(D$4="","",D38+D39+D42)</f>
        <v>472934</v>
      </c>
      <c r="E43" s="271">
        <f t="shared" si="17"/>
        <v>408989</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-91608</v>
      </c>
      <c r="D44" s="290">
        <f t="shared" si="18"/>
        <v>31709</v>
      </c>
      <c r="E44" s="290">
        <f t="shared" si="18"/>
        <v>-314739</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17939</v>
      </c>
      <c r="D45" s="285">
        <f t="shared" si="19"/>
        <v>-1861</v>
      </c>
      <c r="E45" s="285">
        <f t="shared" si="19"/>
        <v>33836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-110550</v>
      </c>
      <c r="D46" s="270">
        <f t="shared" ref="D46:M46" si="20">IF(D$4="","",-D14)</f>
        <v>-145287</v>
      </c>
      <c r="E46" s="270">
        <f t="shared" si="20"/>
        <v>-30277</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310105</v>
      </c>
      <c r="D47" s="271">
        <f t="shared" si="21"/>
        <v>357495</v>
      </c>
      <c r="E47" s="271">
        <f t="shared" si="21"/>
        <v>97809</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-10204</v>
      </c>
      <c r="D48" s="270">
        <f t="shared" si="22"/>
        <v>-14997</v>
      </c>
      <c r="E48" s="270">
        <f t="shared" si="22"/>
        <v>-12254</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-105397</v>
      </c>
      <c r="D51" s="270">
        <f t="shared" si="23"/>
        <v>-120070</v>
      </c>
      <c r="E51" s="270">
        <f t="shared" si="23"/>
        <v>-71598</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123336</v>
      </c>
      <c r="D52" s="270">
        <f t="shared" ref="D52:M52" si="24">IF(D$4="","",D13)</f>
        <v>118209</v>
      </c>
      <c r="E52" s="270">
        <f t="shared" si="24"/>
        <v>105434</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f t="shared" si="25"/>
        <v>0</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-91608</v>
      </c>
      <c r="D58" s="285">
        <f t="shared" ref="D58:M58" si="28">IF(D$4="","",D44-D55-D56-D57)</f>
        <v>31709</v>
      </c>
      <c r="E58" s="285">
        <f t="shared" si="28"/>
        <v>-314739</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f t="shared" si="30"/>
        <v>0</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-636441</v>
      </c>
      <c r="D64" s="270">
        <f t="shared" ref="D64:M64" si="32">IF(D$4="","",D22+D23+D24)</f>
        <v>-42336</v>
      </c>
      <c r="E64" s="270">
        <f t="shared" si="32"/>
        <v>439949</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6.3795999999999999</v>
      </c>
      <c r="D65" s="70">
        <f t="shared" ref="D65:M65" si="33">IF(D$4="","",D25)</f>
        <v>6.3795999999999999</v>
      </c>
      <c r="E65" s="70">
        <f t="shared" si="33"/>
        <v>6.6130000000000004</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-2.9315231646585005E-3</v>
      </c>
      <c r="D68" s="89">
        <f t="shared" si="34"/>
        <v>2.9401422598005489E-3</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-2.8941429331308388E-4</v>
      </c>
      <c r="D69" s="89">
        <f t="shared" ref="D69:M69" si="35">IF(E$36="","",D38/E38-1)</f>
        <v>2.3236973558665053E-2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4.5228298240346465E-2</v>
      </c>
      <c r="D70" s="98">
        <f t="shared" ref="D70:M70" si="36">IF(E$36="","",D43/E43-1)</f>
        <v>0.15634894826022205</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-3.8890220442145762</v>
      </c>
      <c r="D71" s="98">
        <f t="shared" ref="D71:M71" si="37">IF(E$36="","",D44/E44-1)</f>
        <v>-1.1007469681227937</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-0.13256129456356036</v>
      </c>
      <c r="D72" s="98">
        <f t="shared" ref="D72:M72" si="38">IF(E$36="","",D47/E47-1)</f>
        <v>2.6550317455448886</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6539145</v>
      </c>
      <c r="D76" s="285">
        <f t="shared" ref="D76:M76" si="39">IF(D$4="","",D79+D80)</f>
        <v>7211630</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829493</v>
      </c>
      <c r="D77" s="282">
        <f t="shared" si="40"/>
        <v>927165</v>
      </c>
      <c r="E77" s="282">
        <f t="shared" si="40"/>
        <v>0</v>
      </c>
      <c r="F77" s="282" t="str">
        <f t="shared" si="40"/>
        <v/>
      </c>
      <c r="G77" s="282" t="str">
        <f t="shared" si="40"/>
        <v/>
      </c>
      <c r="H77" s="282" t="str">
        <f t="shared" si="40"/>
        <v/>
      </c>
      <c r="I77" s="291"/>
      <c r="J77" s="291"/>
      <c r="K77" s="291"/>
      <c r="L77" s="291"/>
      <c r="M77" s="291"/>
    </row>
    <row r="78" spans="2:13">
      <c r="B78" s="90" t="s">
        <v>83</v>
      </c>
      <c r="C78" s="260">
        <f t="shared" si="40"/>
        <v>0</v>
      </c>
      <c r="D78" s="282">
        <f t="shared" si="40"/>
        <v>554546</v>
      </c>
      <c r="E78" s="282">
        <f t="shared" si="40"/>
        <v>0</v>
      </c>
      <c r="F78" s="282" t="str">
        <f t="shared" si="40"/>
        <v/>
      </c>
      <c r="G78" s="282" t="str">
        <f t="shared" si="40"/>
        <v/>
      </c>
      <c r="H78" s="282" t="str">
        <f t="shared" si="40"/>
        <v/>
      </c>
      <c r="I78" s="291"/>
      <c r="J78" s="291"/>
      <c r="K78" s="291"/>
      <c r="L78" s="291"/>
      <c r="M78" s="291"/>
    </row>
    <row r="79" spans="2:13">
      <c r="B79" s="25" t="s">
        <v>38</v>
      </c>
      <c r="C79" s="259">
        <f t="shared" ref="C79:M79" si="41">IF(C$4="","",C30)</f>
        <v>2863437</v>
      </c>
      <c r="D79" s="270">
        <f t="shared" si="41"/>
        <v>3762742</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3675708</v>
      </c>
      <c r="D80" s="270">
        <f t="shared" si="42"/>
        <v>3448888</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2" sqref="G3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376540+452953</f>
        <v>829493</v>
      </c>
      <c r="D4" s="231">
        <v>0.6</v>
      </c>
      <c r="E4" s="24"/>
      <c r="F4" s="4" t="s">
        <v>74</v>
      </c>
      <c r="G4" s="18">
        <v>1156292</v>
      </c>
      <c r="H4" s="231">
        <v>0.9</v>
      </c>
    </row>
    <row r="5" spans="2:8" ht="15" customHeight="1">
      <c r="B5" s="1" t="s">
        <v>31</v>
      </c>
      <c r="C5" s="18">
        <v>0</v>
      </c>
      <c r="D5" s="231">
        <v>0.6</v>
      </c>
      <c r="E5" s="24"/>
      <c r="F5" s="1" t="s">
        <v>27</v>
      </c>
      <c r="G5" s="18">
        <v>0</v>
      </c>
      <c r="H5" s="231">
        <v>0.7</v>
      </c>
    </row>
    <row r="6" spans="2:8" ht="15" customHeight="1">
      <c r="B6" s="4" t="s">
        <v>8</v>
      </c>
      <c r="C6" s="18">
        <v>0</v>
      </c>
      <c r="D6" s="231">
        <v>0.5</v>
      </c>
      <c r="E6" s="24"/>
      <c r="F6" s="4" t="s">
        <v>147</v>
      </c>
      <c r="G6" s="18">
        <v>0</v>
      </c>
      <c r="H6" s="231">
        <v>0.6</v>
      </c>
    </row>
    <row r="7" spans="2:8" ht="15" customHeight="1">
      <c r="B7" s="1" t="s">
        <v>66</v>
      </c>
      <c r="C7" s="18">
        <v>0</v>
      </c>
      <c r="D7" s="231">
        <v>0.6</v>
      </c>
      <c r="E7" s="24"/>
      <c r="F7" s="4" t="s">
        <v>148</v>
      </c>
      <c r="G7" s="18">
        <v>952876</v>
      </c>
      <c r="H7" s="231">
        <v>0.6</v>
      </c>
    </row>
    <row r="8" spans="2:8" ht="15" customHeight="1">
      <c r="B8" s="1" t="s">
        <v>144</v>
      </c>
      <c r="C8" s="18">
        <v>0</v>
      </c>
      <c r="D8" s="231">
        <v>0.6</v>
      </c>
      <c r="E8" s="24"/>
      <c r="F8" s="1" t="s">
        <v>149</v>
      </c>
      <c r="G8" s="18">
        <v>0</v>
      </c>
      <c r="H8" s="231">
        <v>0.6</v>
      </c>
    </row>
    <row r="9" spans="2:8" ht="15" customHeight="1">
      <c r="B9" s="4" t="s">
        <v>23</v>
      </c>
      <c r="C9" s="18">
        <v>339402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1168895</v>
      </c>
      <c r="D12" s="19">
        <f>C4*D4+C5*D5+C9*D9+C6*D6+C8*D8+C7*D7+C10*D10+C11*D11</f>
        <v>531636</v>
      </c>
      <c r="F12" s="77" t="s">
        <v>67</v>
      </c>
      <c r="G12" s="78">
        <f>SUM(G4:G10)</f>
        <v>2109168</v>
      </c>
      <c r="H12" s="19">
        <f>G4*H4+G5*H5+G6*H6+G7*H7+G8*H8+G9*H9+G10*H10</f>
        <v>1612388.4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v>280622</v>
      </c>
      <c r="D19" s="231">
        <v>0.1</v>
      </c>
      <c r="F19" s="4" t="s">
        <v>152</v>
      </c>
      <c r="G19" s="18">
        <v>1419411</v>
      </c>
      <c r="H19" s="231">
        <v>0.1</v>
      </c>
    </row>
    <row r="20" spans="2:8" ht="15" customHeight="1">
      <c r="B20" s="4" t="s">
        <v>16</v>
      </c>
      <c r="C20" s="18">
        <v>0</v>
      </c>
      <c r="D20" s="231">
        <v>0.05</v>
      </c>
      <c r="F20" s="4" t="s">
        <v>149</v>
      </c>
      <c r="G20" s="18">
        <v>0</v>
      </c>
      <c r="H20" s="231">
        <v>0.2</v>
      </c>
    </row>
    <row r="21" spans="2:8" ht="15" customHeight="1">
      <c r="B21" s="4" t="s">
        <v>17</v>
      </c>
      <c r="C21" s="18">
        <v>0</v>
      </c>
      <c r="D21" s="231">
        <v>0.05</v>
      </c>
      <c r="F21" s="1" t="s">
        <v>150</v>
      </c>
      <c r="G21" s="18">
        <v>0</v>
      </c>
      <c r="H21" s="231">
        <v>0.1</v>
      </c>
    </row>
    <row r="22" spans="2:8" ht="15" customHeight="1">
      <c r="B22" s="4" t="s">
        <v>18</v>
      </c>
      <c r="C22" s="18">
        <v>0</v>
      </c>
      <c r="D22" s="231">
        <v>0.9</v>
      </c>
      <c r="H22" s="232"/>
    </row>
    <row r="23" spans="2:8" ht="15" customHeight="1">
      <c r="B23" s="4" t="s">
        <v>19</v>
      </c>
      <c r="C23" s="18">
        <f>268159+1292890</f>
        <v>1561049</v>
      </c>
      <c r="D23" s="231">
        <v>0</v>
      </c>
      <c r="H23" s="232"/>
    </row>
    <row r="24" spans="2:8" ht="15" customHeight="1">
      <c r="B24" s="77" t="s">
        <v>70</v>
      </c>
      <c r="C24" s="78">
        <f>SUM(C15:C23)</f>
        <v>1841671</v>
      </c>
      <c r="D24" s="19">
        <f>C15*D15+C16*D16+C18*D18+C17*D17+C19*D19+C20*D20+C21*D21+C22*D22+C23*D23</f>
        <v>28062.2</v>
      </c>
      <c r="F24" s="77" t="s">
        <v>68</v>
      </c>
      <c r="G24" s="78">
        <f>SUM(G15:G21)</f>
        <v>1419411</v>
      </c>
      <c r="H24" s="19">
        <f>G15*H15+G16*H16+G17*H17+G18*H18+G19*H19+G20*H20+G21*H21</f>
        <v>141941.1</v>
      </c>
    </row>
    <row r="26" spans="2:8" ht="15" customHeight="1">
      <c r="B26" s="16" t="s">
        <v>169</v>
      </c>
      <c r="C26" s="164" t="s">
        <v>113</v>
      </c>
      <c r="F26" s="166" t="s">
        <v>165</v>
      </c>
      <c r="G26" s="167" t="s">
        <v>113</v>
      </c>
      <c r="H26" s="168" t="s">
        <v>33</v>
      </c>
    </row>
    <row r="27" spans="2:8" ht="15" customHeight="1">
      <c r="B27" s="4" t="s">
        <v>3</v>
      </c>
      <c r="C27" s="18">
        <v>0</v>
      </c>
      <c r="F27" s="169" t="s">
        <v>28</v>
      </c>
      <c r="G27" s="82">
        <f>G32-G30</f>
        <v>3675708</v>
      </c>
      <c r="H27" s="170">
        <f>H32-G30</f>
        <v>-549409.29999999981</v>
      </c>
    </row>
    <row r="28" spans="2:8" ht="15" customHeight="1">
      <c r="B28" s="4" t="s">
        <v>4</v>
      </c>
      <c r="C28" s="18">
        <v>0</v>
      </c>
      <c r="F28" s="171" t="s">
        <v>209</v>
      </c>
      <c r="G28" s="287">
        <v>52770</v>
      </c>
      <c r="H28" s="170"/>
    </row>
    <row r="29" spans="2:8" ht="15" customHeight="1">
      <c r="B29" s="4" t="s">
        <v>5</v>
      </c>
      <c r="C29" s="18">
        <v>0</v>
      </c>
      <c r="F29" s="172" t="s">
        <v>72</v>
      </c>
      <c r="G29" s="14">
        <f>G27-G28</f>
        <v>3622938</v>
      </c>
      <c r="H29" s="170">
        <f>H27-G28</f>
        <v>-602179.29999999981</v>
      </c>
    </row>
    <row r="30" spans="2:8" ht="15" customHeight="1">
      <c r="B30" s="2" t="s">
        <v>6</v>
      </c>
      <c r="C30" s="18">
        <v>0</v>
      </c>
      <c r="F30" s="169" t="s">
        <v>21</v>
      </c>
      <c r="G30" s="82">
        <f>C33+C42</f>
        <v>2863437</v>
      </c>
      <c r="H30" s="170"/>
    </row>
    <row r="31" spans="2:8" ht="15" customHeight="1">
      <c r="B31" s="77" t="s">
        <v>172</v>
      </c>
      <c r="C31" s="78">
        <f>SUM(C27:C30)</f>
        <v>0</v>
      </c>
      <c r="F31" s="172" t="s">
        <v>73</v>
      </c>
      <c r="G31" s="173">
        <f>C31+C40</f>
        <v>1067520</v>
      </c>
      <c r="H31" s="170"/>
    </row>
    <row r="32" spans="2:8" ht="15" customHeight="1">
      <c r="B32" s="4" t="s">
        <v>7</v>
      </c>
      <c r="C32" s="20">
        <f>C33-C31</f>
        <v>896878</v>
      </c>
      <c r="F32" s="174" t="s">
        <v>71</v>
      </c>
      <c r="G32" s="175">
        <f>G35+G40</f>
        <v>6539145</v>
      </c>
      <c r="H32" s="170">
        <f>H35+H40</f>
        <v>2314027.7000000002</v>
      </c>
    </row>
    <row r="33" spans="2:8" ht="15" customHeight="1">
      <c r="B33" s="80" t="s">
        <v>2</v>
      </c>
      <c r="C33" s="81">
        <v>896878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3010566</v>
      </c>
      <c r="H35" s="182">
        <f>D12+D24</f>
        <v>559698.19999999995</v>
      </c>
    </row>
    <row r="36" spans="2:8" ht="15" customHeight="1">
      <c r="B36" s="4" t="s">
        <v>11</v>
      </c>
      <c r="C36" s="18">
        <f>322374+745146</f>
        <v>1067520</v>
      </c>
      <c r="F36" s="172" t="s">
        <v>166</v>
      </c>
      <c r="G36" s="173">
        <f>C4+C15</f>
        <v>829493</v>
      </c>
      <c r="H36" s="177"/>
    </row>
    <row r="37" spans="2:8" ht="15" customHeight="1">
      <c r="B37" s="4" t="s">
        <v>12</v>
      </c>
      <c r="C37" s="18">
        <v>0</v>
      </c>
      <c r="F37" s="172" t="s">
        <v>167</v>
      </c>
      <c r="G37" s="173">
        <f>C6</f>
        <v>0</v>
      </c>
      <c r="H37" s="177"/>
    </row>
    <row r="38" spans="2:8" ht="15" customHeight="1">
      <c r="B38" s="4" t="s">
        <v>13</v>
      </c>
      <c r="C38" s="18">
        <v>0</v>
      </c>
      <c r="F38" s="172" t="s">
        <v>168</v>
      </c>
      <c r="G38" s="173">
        <f>C7+C17</f>
        <v>0</v>
      </c>
      <c r="H38" s="177"/>
    </row>
    <row r="39" spans="2:8" ht="15" customHeight="1">
      <c r="B39" s="2" t="s">
        <v>14</v>
      </c>
      <c r="C39" s="18">
        <v>0</v>
      </c>
      <c r="F39" s="172" t="s">
        <v>76</v>
      </c>
      <c r="G39" s="173">
        <f>C7+C17+C19+C20</f>
        <v>280622</v>
      </c>
      <c r="H39" s="170">
        <f>C7*D7+C17*D17+C19*D19+C20*D20</f>
        <v>28062.2</v>
      </c>
    </row>
    <row r="40" spans="2:8" ht="15" customHeight="1">
      <c r="B40" s="77" t="s">
        <v>173</v>
      </c>
      <c r="C40" s="78">
        <f>SUM(C36:C39)</f>
        <v>1067520</v>
      </c>
      <c r="F40" s="181" t="s">
        <v>115</v>
      </c>
      <c r="G40" s="175">
        <f>G12+G24</f>
        <v>3528579</v>
      </c>
      <c r="H40" s="182">
        <f>H12+H24</f>
        <v>1754329.5</v>
      </c>
    </row>
    <row r="41" spans="2:8" ht="15" customHeight="1">
      <c r="B41" s="4" t="s">
        <v>15</v>
      </c>
      <c r="C41" s="20">
        <f>C42-C40</f>
        <v>899039</v>
      </c>
      <c r="F41" s="172" t="s">
        <v>160</v>
      </c>
      <c r="G41" s="173">
        <f>C70</f>
        <v>1156292</v>
      </c>
      <c r="H41" s="182">
        <f>H40-H42</f>
        <v>1040662.8</v>
      </c>
    </row>
    <row r="42" spans="2:8" ht="15" customHeight="1">
      <c r="B42" s="80" t="s">
        <v>20</v>
      </c>
      <c r="C42" s="81">
        <f>2863437-896878</f>
        <v>1966559</v>
      </c>
      <c r="F42" s="183" t="s">
        <v>161</v>
      </c>
      <c r="G42" s="184">
        <f>C82</f>
        <v>2372287</v>
      </c>
      <c r="H42" s="185">
        <f>D82</f>
        <v>713666.7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3622938</v>
      </c>
      <c r="D46" s="73">
        <f>H29</f>
        <v>-602179.29999999981</v>
      </c>
      <c r="F46" s="223"/>
    </row>
    <row r="47" spans="2:8" ht="15" customHeight="1">
      <c r="B47" s="1" t="str">
        <f>"Equity per share ("&amp;Market_currency&amp;")"</f>
        <v>Equity per share (HKD)</v>
      </c>
      <c r="C47" s="134">
        <f>C46*H1/Common_Shares*Exchange_Rate</f>
        <v>115.90132843319708</v>
      </c>
      <c r="D47" s="134">
        <f>D46*H1/Common_Shares*Exchange_Rate</f>
        <v>-19.264304502305222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2.3236948196964886</v>
      </c>
      <c r="D50" s="92">
        <f>G31/Normalized_FCF!G8</f>
        <v>2.1595552714414028</v>
      </c>
      <c r="F50" s="223"/>
    </row>
    <row r="51" spans="2:8" ht="15" customHeight="1">
      <c r="B51" s="1" t="s">
        <v>146</v>
      </c>
      <c r="C51" s="163"/>
      <c r="D51" s="89">
        <f>G29/G32</f>
        <v>0.55403848668289202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0.15259797759772703</v>
      </c>
      <c r="D54" s="89">
        <f>Normalized_FCF!G8/G35</f>
        <v>0.16419636706187474</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4.2914173030266192E-2</v>
      </c>
      <c r="F59" s="223"/>
    </row>
    <row r="60" spans="2:8" ht="15" customHeight="1">
      <c r="F60" s="223"/>
    </row>
    <row r="61" spans="2:8" ht="15" customHeight="1">
      <c r="B61" s="143" t="s">
        <v>231</v>
      </c>
      <c r="C61" s="210" t="s">
        <v>114</v>
      </c>
      <c r="D61" s="179" t="s">
        <v>91</v>
      </c>
      <c r="F61" s="223"/>
    </row>
    <row r="62" spans="2:8" ht="15" customHeight="1">
      <c r="B62" s="1" t="s">
        <v>210</v>
      </c>
      <c r="C62" s="89">
        <f>IF(G28&lt;=0,0,G28/G29)</f>
        <v>1.456552665267802E-2</v>
      </c>
      <c r="D62" s="89">
        <f>G28/G29</f>
        <v>1.456552665267802E-2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1156292</v>
      </c>
      <c r="D66" s="73">
        <f>C66-D75</f>
        <v>680098.98778941319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1156292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-235186.69635733333</v>
      </c>
      <c r="D73" s="285">
        <f>(Normalized_FCF!C26+Normalized_FCF!C35-Normalized_FCF!C89)/12</f>
        <v>-238096.50610529343</v>
      </c>
      <c r="F73" s="1" t="s">
        <v>278</v>
      </c>
    </row>
    <row r="74" spans="2:6" ht="15" customHeight="1">
      <c r="B74" s="227" t="s">
        <v>259</v>
      </c>
      <c r="C74" s="228">
        <f>-$C$66/C73</f>
        <v>4.9164855746907374</v>
      </c>
      <c r="D74" s="228">
        <f>-$C$66/D73</f>
        <v>4.8564005365482048</v>
      </c>
      <c r="F74" s="223" t="s">
        <v>257</v>
      </c>
    </row>
    <row r="75" spans="2:6" ht="15" customHeight="1">
      <c r="B75" s="77" t="s">
        <v>258</v>
      </c>
      <c r="C75" s="261"/>
      <c r="D75" s="262">
        <f>MAX(-D73*D76,G5)</f>
        <v>476193.01221058686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952876</v>
      </c>
      <c r="D79" s="73">
        <f>G7*H7+G17*H17</f>
        <v>571725.6</v>
      </c>
      <c r="F79" s="223"/>
    </row>
    <row r="80" spans="2:6" ht="15" customHeight="1">
      <c r="B80" s="102" t="s">
        <v>152</v>
      </c>
      <c r="C80" s="19">
        <f>G19</f>
        <v>1419411</v>
      </c>
      <c r="D80" s="73">
        <f>G19*H19</f>
        <v>141941.1</v>
      </c>
      <c r="F80" s="223"/>
    </row>
    <row r="81" spans="2:8" ht="15" customHeight="1">
      <c r="B81" s="102" t="s">
        <v>150</v>
      </c>
      <c r="C81" s="19">
        <f>G9+G21</f>
        <v>0</v>
      </c>
      <c r="D81" s="73">
        <f>G9*H9+G21*H21</f>
        <v>0</v>
      </c>
      <c r="F81" s="223"/>
    </row>
    <row r="82" spans="2:8" ht="15" customHeight="1">
      <c r="B82" s="77" t="s">
        <v>159</v>
      </c>
      <c r="C82" s="78">
        <f>SUM(C79:C81)</f>
        <v>2372287</v>
      </c>
      <c r="D82" s="78">
        <f>SUM(D79:D81)</f>
        <v>713666.7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-8361030.1977539063</v>
      </c>
      <c r="D86" s="201">
        <f>C86*scaling_factor/Common_Shares</f>
        <v>-34.151008416099458</v>
      </c>
      <c r="E86" s="214" t="str">
        <f>Market_currency</f>
        <v>HKD</v>
      </c>
    </row>
    <row r="87" spans="2:8" ht="15" customHeight="1">
      <c r="B87" s="212" t="s">
        <v>240</v>
      </c>
      <c r="C87" s="73">
        <f>DCF!F5*Exchange_Rate</f>
        <v>5326671.326409949</v>
      </c>
      <c r="D87" s="201">
        <f>C87*scaling_factor/Common_Shares</f>
        <v>21.757031489599232</v>
      </c>
      <c r="E87" s="214" t="str">
        <f>Market_currency</f>
        <v>HKD</v>
      </c>
    </row>
    <row r="88" spans="2:8" ht="15" customHeight="1">
      <c r="B88" s="213" t="s">
        <v>159</v>
      </c>
      <c r="C88" s="73">
        <f>DCF!F6*Exchange_Rate</f>
        <v>5589580.3636759752</v>
      </c>
      <c r="D88" s="201">
        <f>C88*scaling_factor/Common_Shares</f>
        <v>22.830895419280129</v>
      </c>
      <c r="E88" s="214" t="str">
        <f>Market_currency</f>
        <v>HKD</v>
      </c>
    </row>
    <row r="89" spans="2:8" ht="15" customHeight="1">
      <c r="B89" s="77" t="s">
        <v>244</v>
      </c>
      <c r="C89" s="162">
        <f>SUM(C86:C88)</f>
        <v>2555221.492332018</v>
      </c>
      <c r="D89" s="216">
        <f>SUM(D86:D88)</f>
        <v>10.436918492779903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G120" sqref="G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USD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1754677</v>
      </c>
      <c r="D4" s="54"/>
      <c r="E4" s="235"/>
      <c r="F4" s="54"/>
      <c r="G4" s="270">
        <f>Data!C36</f>
        <v>1754677</v>
      </c>
      <c r="H4" s="270">
        <f>Data!D36</f>
        <v>1759836</v>
      </c>
      <c r="I4" s="270">
        <f>Data!E36</f>
        <v>1754677</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-1193976.7169755213</v>
      </c>
      <c r="E5" s="237"/>
      <c r="G5" s="270">
        <f t="shared" ref="G5:Q5" si="1">G26</f>
        <v>-1159059</v>
      </c>
      <c r="H5" s="270">
        <f t="shared" si="1"/>
        <v>-1169328</v>
      </c>
      <c r="I5" s="270">
        <f t="shared" si="1"/>
        <v>-1292882</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560700.2830244787</v>
      </c>
      <c r="E6" s="237"/>
      <c r="G6" s="267">
        <f>IF(G4="","",G4+G5)</f>
        <v>595618</v>
      </c>
      <c r="H6" s="267">
        <f t="shared" ref="H6:Q6" si="2">IF(H4="","",H4+H5)</f>
        <v>590508</v>
      </c>
      <c r="I6" s="267">
        <f t="shared" si="2"/>
        <v>461795</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-101294</v>
      </c>
      <c r="E7" s="237"/>
      <c r="G7" s="266">
        <f t="shared" ref="G7:Q7" si="3">G35</f>
        <v>-101294</v>
      </c>
      <c r="H7" s="266">
        <f t="shared" si="3"/>
        <v>-117574</v>
      </c>
      <c r="I7" s="266">
        <f t="shared" si="3"/>
        <v>-52806</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459406.2830244787</v>
      </c>
      <c r="D8" s="56"/>
      <c r="E8" s="241"/>
      <c r="F8" s="56"/>
      <c r="G8" s="267">
        <f>IF(G$4="","",G6+G7)</f>
        <v>494324</v>
      </c>
      <c r="H8" s="267">
        <f t="shared" ref="H8:Q8" si="4">IF(H$4="","",H6+H7)</f>
        <v>472934</v>
      </c>
      <c r="I8" s="267">
        <f t="shared" si="4"/>
        <v>408989</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0</v>
      </c>
      <c r="H9" s="270">
        <f t="shared" ref="H9:Q9" si="5">H59</f>
        <v>0</v>
      </c>
      <c r="I9" s="270">
        <f t="shared" si="5"/>
        <v>0</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-61194.041926736478</v>
      </c>
      <c r="E10" s="237"/>
      <c r="G10" s="266">
        <f>G48</f>
        <v>-54603.825478335115</v>
      </c>
      <c r="H10" s="266">
        <f t="shared" ref="H10:Q10" si="6">H48</f>
        <v>-71388.265818321612</v>
      </c>
      <c r="I10" s="266">
        <f t="shared" si="6"/>
        <v>-28177.363993341642</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398212.24109774223</v>
      </c>
      <c r="E11" s="237"/>
      <c r="G11" s="267">
        <f t="shared" ref="G11:Q11" si="7">IF(G$4="","",SUM(G8:G10))</f>
        <v>439720.17452166486</v>
      </c>
      <c r="H11" s="267">
        <f t="shared" si="7"/>
        <v>401545.73418167839</v>
      </c>
      <c r="I11" s="267">
        <f t="shared" si="7"/>
        <v>380811.63600665837</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-99553.060274435556</v>
      </c>
      <c r="E12" s="237"/>
      <c r="G12" s="266">
        <f>Data!C46</f>
        <v>-110550</v>
      </c>
      <c r="H12" s="266">
        <f>Data!D46</f>
        <v>-145287</v>
      </c>
      <c r="I12" s="266">
        <f>Data!E46</f>
        <v>-30277</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-14953.035947099615</v>
      </c>
      <c r="D13" s="57"/>
      <c r="E13" s="242"/>
      <c r="F13" s="57"/>
      <c r="G13" s="270">
        <f>Data!C48</f>
        <v>-10204</v>
      </c>
      <c r="H13" s="270">
        <f>Data!D48</f>
        <v>-14997</v>
      </c>
      <c r="I13" s="270">
        <f>Data!E48</f>
        <v>-12254</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283706.14487620705</v>
      </c>
      <c r="D14" s="58"/>
      <c r="E14" s="243"/>
      <c r="F14" s="58"/>
      <c r="G14" s="267">
        <f t="shared" ref="G14:Q14" si="8">IF(G$4="","",SUM(G11:G13))</f>
        <v>318966.17452166486</v>
      </c>
      <c r="H14" s="267">
        <f t="shared" si="8"/>
        <v>241261.73418167839</v>
      </c>
      <c r="I14" s="267">
        <f t="shared" si="8"/>
        <v>338280.63600665837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283706.14487620705</v>
      </c>
      <c r="D19" s="26"/>
      <c r="E19" s="234"/>
      <c r="F19" s="26"/>
      <c r="G19" s="271">
        <f t="shared" ref="G19:Q19" si="9">IF(G$4="","",G14+G17)</f>
        <v>318966.17452166486</v>
      </c>
      <c r="H19" s="271">
        <f t="shared" si="9"/>
        <v>241261.73418167839</v>
      </c>
      <c r="I19" s="271">
        <f t="shared" si="9"/>
        <v>338280.63600665837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-371351.39622072742</v>
      </c>
      <c r="D23" s="55"/>
      <c r="E23" s="236"/>
      <c r="F23" s="55"/>
      <c r="G23" s="270">
        <f>Data!C37</f>
        <v>-369521</v>
      </c>
      <c r="H23" s="270">
        <f>Data!D37</f>
        <v>-374279</v>
      </c>
      <c r="I23" s="270">
        <f>Data!E37</f>
        <v>-400585</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-470429.66682491999</v>
      </c>
      <c r="D24" s="26"/>
      <c r="E24" s="234"/>
      <c r="F24" s="26"/>
      <c r="G24" s="270">
        <f>Data!C40</f>
        <v>-480791</v>
      </c>
      <c r="H24" s="270">
        <f>Data!D40</f>
        <v>-461421</v>
      </c>
      <c r="I24" s="270">
        <f>Data!E40</f>
        <v>-477107</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-352195.65392987378</v>
      </c>
      <c r="D25" s="55"/>
      <c r="E25" s="235"/>
      <c r="F25" s="55"/>
      <c r="G25" s="270">
        <f>Data!C42</f>
        <v>-308747</v>
      </c>
      <c r="H25" s="270">
        <f>Data!D42</f>
        <v>-333628</v>
      </c>
      <c r="I25" s="270">
        <f>Data!E42</f>
        <v>-415190</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-1193976.7169755213</v>
      </c>
      <c r="D26" s="9"/>
      <c r="E26" s="240"/>
      <c r="F26" s="9"/>
      <c r="G26" s="267">
        <f>IF(G$4="","",SUM(G23:G25))</f>
        <v>-1159059</v>
      </c>
      <c r="H26" s="267">
        <f t="shared" ref="H26:Q26" si="10">IF(H$4="","",SUM(H23:H25))</f>
        <v>-1169328</v>
      </c>
      <c r="I26" s="267">
        <f t="shared" si="10"/>
        <v>-1292882</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0.21163518768452963</v>
      </c>
      <c r="D29" s="25"/>
      <c r="E29" s="235"/>
      <c r="F29" s="25"/>
      <c r="G29" s="13">
        <f t="shared" ref="G29:Q29" si="11">IF(G$4="","",ABS(G23/G$4))</f>
        <v>0.21059203488733255</v>
      </c>
      <c r="H29" s="13">
        <f t="shared" si="11"/>
        <v>0.21267834048172671</v>
      </c>
      <c r="I29" s="13">
        <f t="shared" si="11"/>
        <v>0.22829557804655787</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0.26810043490905733</v>
      </c>
      <c r="D30" s="25"/>
      <c r="E30" s="235"/>
      <c r="F30" s="25"/>
      <c r="G30" s="13">
        <f t="shared" ref="G30:Q30" si="12">IF(G$4="","",ABS(G24/G$4))</f>
        <v>0.27400541524166555</v>
      </c>
      <c r="H30" s="13">
        <f t="shared" si="12"/>
        <v>0.26219545457644916</v>
      </c>
      <c r="I30" s="13">
        <f t="shared" si="12"/>
        <v>0.27190588353298073</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0.20071822559358435</v>
      </c>
      <c r="D31" s="26"/>
      <c r="E31" s="234"/>
      <c r="F31" s="26"/>
      <c r="G31" s="13">
        <f t="shared" ref="G31:Q31" si="13">IF(G$4="","",ABS(G25/G$4))</f>
        <v>0.17595660055953319</v>
      </c>
      <c r="H31" s="13">
        <f t="shared" si="13"/>
        <v>0.18957902895497081</v>
      </c>
      <c r="I31" s="13">
        <f t="shared" si="13"/>
        <v>0.23661904726624899</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0.68045384818717136</v>
      </c>
      <c r="E32" s="237"/>
      <c r="G32" s="29">
        <f t="shared" ref="G32:Q32" si="14">IF(G$4="","",ABS(G26/G$4))</f>
        <v>0.66055405068853124</v>
      </c>
      <c r="H32" s="29">
        <f t="shared" si="14"/>
        <v>0.66445282401314665</v>
      </c>
      <c r="I32" s="29">
        <f t="shared" si="14"/>
        <v>0.73682050884578754</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-101294</v>
      </c>
      <c r="D35" s="55"/>
      <c r="E35" s="236"/>
      <c r="F35" s="55"/>
      <c r="G35" s="267">
        <f>IF(G4="","",Data!C41)</f>
        <v>-101294</v>
      </c>
      <c r="H35" s="267">
        <f>IF(H4="","",Data!D41)</f>
        <v>-117574</v>
      </c>
      <c r="I35" s="267">
        <f>IF(I4="","",Data!E41)</f>
        <v>-52806</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5.7728003501499134E-2</v>
      </c>
      <c r="E38" s="237"/>
      <c r="G38" s="29">
        <f t="shared" ref="G38:Q38" si="15">IF(G$4="","",ABS(G35/G$4))</f>
        <v>5.7728003501499134E-2</v>
      </c>
      <c r="H38" s="29">
        <f t="shared" si="15"/>
        <v>6.6809634534127041E-2</v>
      </c>
      <c r="I38" s="29">
        <f t="shared" si="15"/>
        <v>3.0094427635399563E-2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0.25140988839153944</v>
      </c>
      <c r="H41" s="6">
        <f t="shared" si="16"/>
        <v>0.36181930881692609</v>
      </c>
      <c r="I41" s="6">
        <f t="shared" si="16"/>
        <v>7.9506499111993034E-2</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-64051.199999999997</v>
      </c>
      <c r="E45" s="237"/>
      <c r="G45" s="266">
        <f>Data!C51</f>
        <v>-105397</v>
      </c>
      <c r="H45" s="266">
        <f>Data!D51</f>
        <v>-120070</v>
      </c>
      <c r="I45" s="266">
        <f>Data!E51</f>
        <v>-71598</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2857.1580732635211</v>
      </c>
      <c r="E46" s="237"/>
      <c r="G46" s="274">
        <f t="shared" ref="G46:Q46" si="17">IFERROR(IF(G$4="","",($C$46/$C$47)*G47),0)</f>
        <v>50793.174521664885</v>
      </c>
      <c r="H46" s="274">
        <f t="shared" si="17"/>
        <v>48681.734181678381</v>
      </c>
      <c r="I46" s="274">
        <f t="shared" si="17"/>
        <v>43420.636006658358</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6937.7520000000004</v>
      </c>
      <c r="D47" s="246"/>
      <c r="E47" s="247"/>
      <c r="F47" s="246"/>
      <c r="G47" s="278">
        <f>Data!C52</f>
        <v>123336</v>
      </c>
      <c r="H47" s="278">
        <f>Data!D52</f>
        <v>118209</v>
      </c>
      <c r="I47" s="278">
        <f>Data!E52</f>
        <v>105434</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-61194.041926736478</v>
      </c>
      <c r="E48" s="237"/>
      <c r="G48" s="267">
        <f>IF(G$4="","",(G45+G46))</f>
        <v>-54603.825478335115</v>
      </c>
      <c r="H48" s="267">
        <f t="shared" ref="H48:Q48" si="18">IF(H$4="","",(H45+H46))</f>
        <v>-71388.265818321612</v>
      </c>
      <c r="I48" s="267">
        <f t="shared" si="18"/>
        <v>-28177.363993341642</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0.10666509843534332</v>
      </c>
      <c r="H51" s="151"/>
      <c r="I51" s="151"/>
      <c r="J51" s="151"/>
      <c r="K51" s="151"/>
      <c r="L51" s="151"/>
      <c r="M51" s="151"/>
      <c r="N51" s="151"/>
      <c r="O51" s="151"/>
      <c r="P51" s="151"/>
      <c r="Q51" s="151"/>
    </row>
    <row r="52" spans="1:17" ht="15.75" customHeight="1">
      <c r="A52" s="10"/>
      <c r="B52" s="8" t="s">
        <v>84</v>
      </c>
      <c r="C52" s="79">
        <v>0.06</v>
      </c>
      <c r="E52" s="234"/>
      <c r="G52" s="22">
        <f>IFERROR(ABS(Normalized_FCF!G45/BS!$G$31),0)</f>
        <v>9.8730702937649878E-2</v>
      </c>
      <c r="H52" s="151"/>
      <c r="I52" s="151"/>
      <c r="J52" s="151"/>
      <c r="K52" s="151"/>
      <c r="L52" s="151"/>
      <c r="M52" s="151"/>
      <c r="N52" s="151"/>
      <c r="O52" s="151"/>
      <c r="P52" s="151"/>
      <c r="Q52" s="151"/>
    </row>
    <row r="53" spans="1:17" ht="15.75" customHeight="1">
      <c r="A53" s="10"/>
      <c r="B53" s="25" t="s">
        <v>87</v>
      </c>
      <c r="C53" s="40">
        <f>-C8/C45</f>
        <v>7.172485184110192</v>
      </c>
      <c r="E53" s="237"/>
      <c r="G53" s="40">
        <f t="shared" ref="G53:Q53" si="19">IF(G4="","",-G8/G45)</f>
        <v>4.6901145193885974</v>
      </c>
      <c r="H53" s="40">
        <f t="shared" si="19"/>
        <v>3.9388190222370283</v>
      </c>
      <c r="I53" s="40">
        <f t="shared" si="19"/>
        <v>5.7122964328612529</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f>Data!E55</f>
        <v>0</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-91608</v>
      </c>
      <c r="H60" s="266">
        <f>Data!D58</f>
        <v>31709</v>
      </c>
      <c r="I60" s="266">
        <f>Data!E58</f>
        <v>-314739</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-91608</v>
      </c>
      <c r="H61" s="267">
        <f t="shared" si="21"/>
        <v>31709</v>
      </c>
      <c r="I61" s="267">
        <f t="shared" si="21"/>
        <v>-314739</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0.68045384818717136</v>
      </c>
      <c r="D71" s="26"/>
      <c r="E71" s="234"/>
      <c r="F71" s="26"/>
      <c r="G71" s="6">
        <f t="shared" ref="G71:Q71" si="23">IF(G$4="","",ABS(G5/G$4))</f>
        <v>0.66055405068853124</v>
      </c>
      <c r="H71" s="6">
        <f t="shared" si="23"/>
        <v>0.66445282401314665</v>
      </c>
      <c r="I71" s="6">
        <f t="shared" si="23"/>
        <v>0.73682050884578754</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0.31954615181282864</v>
      </c>
      <c r="D72" s="26"/>
      <c r="E72" s="234"/>
      <c r="F72" s="26"/>
      <c r="G72" s="62">
        <f t="shared" ref="G72:Q72" si="24">IF(G$4="","",ABS(G6/G$4))</f>
        <v>0.33944594931146871</v>
      </c>
      <c r="H72" s="62">
        <f t="shared" si="24"/>
        <v>0.3355471759868533</v>
      </c>
      <c r="I72" s="62">
        <f t="shared" si="24"/>
        <v>0.26317949115421241</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5.7728003501499134E-2</v>
      </c>
      <c r="D73" s="26"/>
      <c r="E73" s="234"/>
      <c r="F73" s="26"/>
      <c r="G73" s="6">
        <f t="shared" ref="G73:Q73" si="25">IF(G$4="","",ABS(G7/G$4))</f>
        <v>5.7728003501499134E-2</v>
      </c>
      <c r="H73" s="6">
        <f t="shared" si="25"/>
        <v>6.6809634534127041E-2</v>
      </c>
      <c r="I73" s="6">
        <f t="shared" si="25"/>
        <v>3.0094427635399563E-2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0.26181814831132949</v>
      </c>
      <c r="D74" s="26"/>
      <c r="E74" s="234"/>
      <c r="F74" s="26"/>
      <c r="G74" s="62">
        <f t="shared" ref="G74:Q74" si="26">IF(G$4="","",ABS(G8/G$4))</f>
        <v>0.28171794580996956</v>
      </c>
      <c r="H74" s="62">
        <f t="shared" si="26"/>
        <v>0.26873754145272627</v>
      </c>
      <c r="I74" s="62">
        <f t="shared" si="26"/>
        <v>0.23308506351881286</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3.4874818514596409E-2</v>
      </c>
      <c r="D76" s="26"/>
      <c r="E76" s="234"/>
      <c r="F76" s="26"/>
      <c r="G76" s="6">
        <f t="shared" ref="G76:Q76" si="28">IF(G$4="","",ABS(G10/G$4))</f>
        <v>3.1119018188723688E-2</v>
      </c>
      <c r="H76" s="6">
        <f t="shared" si="28"/>
        <v>4.0565294617408446E-2</v>
      </c>
      <c r="I76" s="6">
        <f t="shared" si="28"/>
        <v>1.6058433542664344E-2</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0.2269433297967331</v>
      </c>
      <c r="D77" s="26"/>
      <c r="E77" s="234"/>
      <c r="F77" s="26"/>
      <c r="G77" s="62">
        <f t="shared" ref="G77:Q77" si="29">IF(G$4="","",G11/G$4)</f>
        <v>0.25059892762124586</v>
      </c>
      <c r="H77" s="62">
        <f t="shared" si="29"/>
        <v>0.22817224683531784</v>
      </c>
      <c r="I77" s="62">
        <f t="shared" si="29"/>
        <v>0.21702662997614852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5.6735832449183274E-2</v>
      </c>
      <c r="D78" s="26"/>
      <c r="E78" s="234"/>
      <c r="F78" s="26"/>
      <c r="G78" s="6">
        <f t="shared" ref="G78:Q78" si="30">IF(G$4="","",ABS(G12/G$4))</f>
        <v>6.3003048424296895E-2</v>
      </c>
      <c r="H78" s="6">
        <f t="shared" si="30"/>
        <v>8.2557124641159746E-2</v>
      </c>
      <c r="I78" s="6">
        <f t="shared" si="30"/>
        <v>1.7255027563477493E-2</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8.5218168056568899E-3</v>
      </c>
      <c r="D79" s="26"/>
      <c r="E79" s="234"/>
      <c r="F79" s="26"/>
      <c r="G79" s="6">
        <f t="shared" ref="G79:Q79" si="31">IF(G$4="","",-G13/G$4)</f>
        <v>5.8153152973453234E-3</v>
      </c>
      <c r="H79" s="6">
        <f t="shared" si="31"/>
        <v>8.5218168056568899E-3</v>
      </c>
      <c r="I79" s="6">
        <f t="shared" si="31"/>
        <v>6.9836214870315164E-3</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0.16168568054189292</v>
      </c>
      <c r="D80" s="26"/>
      <c r="E80" s="234"/>
      <c r="F80" s="26"/>
      <c r="G80" s="62">
        <f t="shared" ref="G80:Q80" si="32">IF(G$4="","",ABS(G14/G$4))</f>
        <v>0.18178056389960368</v>
      </c>
      <c r="H80" s="62">
        <f t="shared" si="32"/>
        <v>0.1370933053885012</v>
      </c>
      <c r="I80" s="62">
        <f t="shared" si="32"/>
        <v>0.19278798092563951</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0.16168568054189292</v>
      </c>
      <c r="D85" s="72"/>
      <c r="E85" s="234"/>
      <c r="F85" s="72"/>
      <c r="G85" s="62">
        <f t="shared" ref="G85:Q85" si="35">IF(G$4="","",ABS(G19/G$4))</f>
        <v>0.18178056389960368</v>
      </c>
      <c r="H85" s="62">
        <f t="shared" si="35"/>
        <v>0.1370933053885012</v>
      </c>
      <c r="I85" s="62">
        <f t="shared" si="35"/>
        <v>0.19278798092563951</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6.3795999999999999</v>
      </c>
      <c r="E88" s="237"/>
      <c r="G88" s="109">
        <f>Data!C65</f>
        <v>6.3795999999999999</v>
      </c>
      <c r="H88" s="109">
        <f>Data!D65</f>
        <v>6.3795999999999999</v>
      </c>
      <c r="I88" s="109">
        <f>Data!E65</f>
        <v>6.6130000000000004</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1561887.3562879998</v>
      </c>
      <c r="E89" s="237"/>
      <c r="G89" s="71">
        <f t="shared" ref="G89:Q89" si="36">IF(G$4="","",G88*Common_Shares/scaling_factor)</f>
        <v>1561887.3562879998</v>
      </c>
      <c r="H89" s="71">
        <f t="shared" si="36"/>
        <v>1561887.3562879998</v>
      </c>
      <c r="I89" s="71">
        <f t="shared" si="36"/>
        <v>1619029.5766400001</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5.5052997070948786</v>
      </c>
      <c r="E90" s="237"/>
      <c r="G90" s="152">
        <f t="shared" ref="G90:Q90" si="37">IF(G$4="","",G88/(G19*scaling_factor/Common_Shares))</f>
        <v>4.8967178373389348</v>
      </c>
      <c r="H90" s="152">
        <f t="shared" si="37"/>
        <v>6.4738296008095721</v>
      </c>
      <c r="I90" s="152">
        <f t="shared" si="37"/>
        <v>4.7860545485321033</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8.2105534105534103E-2</v>
      </c>
      <c r="E92" s="237"/>
      <c r="G92" s="22">
        <f t="shared" ref="G92:Q92" si="38">IF(G$4="","",(G88*(1-dividend_tax_rate))/Market_Price)</f>
        <v>8.2105534105534103E-2</v>
      </c>
      <c r="H92" s="22">
        <f t="shared" si="38"/>
        <v>8.2105534105534103E-2</v>
      </c>
      <c r="I92" s="22">
        <f t="shared" si="38"/>
        <v>8.5109395109395108E-2</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-2.9315231646585005E-3</v>
      </c>
      <c r="H95" s="6">
        <f t="shared" si="39"/>
        <v>2.9401422598005489E-3</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-9.4396245223625885E-2</v>
      </c>
      <c r="D96" s="26"/>
      <c r="E96" s="234"/>
      <c r="F96" s="26"/>
      <c r="G96" s="6">
        <f t="shared" ref="G96:Q96" si="40">IF(H5="","",G11/H11-1)</f>
        <v>9.5068723411501965E-2</v>
      </c>
      <c r="H96" s="6">
        <f t="shared" si="40"/>
        <v>5.4447123497711303E-2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6539145</v>
      </c>
      <c r="D100" s="25"/>
      <c r="E100" s="238"/>
      <c r="F100" s="25"/>
      <c r="G100" s="270">
        <f t="shared" ref="G100:Q100" si="41">IF(G$4="","",G104+G103)</f>
        <v>6539145</v>
      </c>
      <c r="H100" s="270">
        <f t="shared" si="41"/>
        <v>7211630</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829493</v>
      </c>
      <c r="D101" s="86"/>
      <c r="E101" s="239"/>
      <c r="F101" s="86"/>
      <c r="G101" s="282">
        <f>IF(G$4="","",Data!D77)</f>
        <v>927165</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0</v>
      </c>
      <c r="D102" s="86"/>
      <c r="E102" s="239"/>
      <c r="F102" s="86"/>
      <c r="G102" s="282">
        <f>IF(G$4="","",Data!D78)</f>
        <v>554546</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2863437</v>
      </c>
      <c r="D103" s="25"/>
      <c r="E103" s="238"/>
      <c r="F103" s="25"/>
      <c r="G103" s="270">
        <f>Data!C79</f>
        <v>2863437</v>
      </c>
      <c r="H103" s="270">
        <f>Data!D79</f>
        <v>3762742</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3675708</v>
      </c>
      <c r="D104" s="25"/>
      <c r="E104" s="238"/>
      <c r="F104" s="25"/>
      <c r="G104" s="270">
        <f>Data!C80</f>
        <v>3675708</v>
      </c>
      <c r="H104" s="270">
        <f>Data!D80</f>
        <v>3448888</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0.47273258839091181</v>
      </c>
      <c r="D107" s="25"/>
      <c r="E107" s="238"/>
      <c r="F107" s="25"/>
      <c r="G107" s="91">
        <f t="shared" ref="G107:Q107" si="42">IF(G$4="","",G101/G$4)</f>
        <v>0.52839639432214591</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v>
      </c>
      <c r="D108" s="25"/>
      <c r="E108" s="238"/>
      <c r="F108" s="25"/>
      <c r="G108" s="91">
        <f t="shared" ref="G108:Q108" si="43">IF(G$4="","",G102/G$4)</f>
        <v>0.31603879232474125</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2.0634881733606361</v>
      </c>
      <c r="H112" s="251">
        <f>IF(H$4="","",Data!D$22/Data!D15)</f>
        <v>1.8820403082560595</v>
      </c>
      <c r="I112" s="251">
        <f>IF(I$4="","",Data!E$22/Data!E15)</f>
        <v>5.7674038176445928</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2.0061625686786946</v>
      </c>
      <c r="H113" s="251">
        <f>IF(H$4="","",Data!D$22/H19)</f>
        <v>2.7887555491636458</v>
      </c>
      <c r="I113" s="251">
        <f>IF(I$4="","",Data!E$22/I19)</f>
        <v>1.6675621952800654</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0.2269433297967331</v>
      </c>
      <c r="E116" s="22">
        <f>E119/E117/E118</f>
        <v>0.16758448420991445</v>
      </c>
      <c r="G116" s="22">
        <f t="shared" ref="G116:Q116" si="44">IF(G4="","",G77)</f>
        <v>0.25059892762124586</v>
      </c>
      <c r="H116" s="22">
        <f t="shared" si="44"/>
        <v>0.22817224683531784</v>
      </c>
      <c r="I116" s="22">
        <f t="shared" si="44"/>
        <v>0.21702662997614852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0.26833431587768736</v>
      </c>
      <c r="E117" s="452">
        <f>C117</f>
        <v>0.26833431587768736</v>
      </c>
      <c r="G117" s="40">
        <f t="shared" ref="G117:Q117" si="45">IF(G4="","",G4/G100)</f>
        <v>0.26833431587768736</v>
      </c>
      <c r="H117" s="40">
        <f t="shared" si="45"/>
        <v>0.24402749447767011</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1.7790164507082717</v>
      </c>
      <c r="D118" s="11"/>
      <c r="E118" s="15">
        <f>C100/C104</f>
        <v>1.7790164507082717</v>
      </c>
      <c r="F118" s="11"/>
      <c r="G118" s="15">
        <f t="shared" ref="G118:Q118" si="46">IF(G$4="","",G100/G104)</f>
        <v>1.7790164507082717</v>
      </c>
      <c r="H118" s="15">
        <f t="shared" si="46"/>
        <v>2.0910015054127591</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0.10833620110676426</v>
      </c>
      <c r="D119" s="100"/>
      <c r="E119" s="453">
        <v>0.08</v>
      </c>
      <c r="F119" s="100"/>
      <c r="G119" s="99">
        <f t="shared" ref="G119:Q119" si="47">IF(G$4="","",G11/G104)</f>
        <v>0.11962870133363827</v>
      </c>
      <c r="H119" s="99">
        <f t="shared" si="47"/>
        <v>0.11642759468607806</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9.0760369279886834</v>
      </c>
      <c r="D123" s="26"/>
      <c r="E123" s="234"/>
      <c r="F123" s="26"/>
      <c r="G123" s="159">
        <f t="shared" ref="G123:Q123" si="48">IF(G$4="","",G14*$C$3/Common_Shares*Exchange_Rate)</f>
        <v>10.20403974683418</v>
      </c>
      <c r="H123" s="159">
        <f t="shared" si="48"/>
        <v>7.71819873587497</v>
      </c>
      <c r="I123" s="159">
        <f t="shared" si="48"/>
        <v>10.821928251711318</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0.11680871207192643</v>
      </c>
      <c r="D124" s="26"/>
      <c r="E124" s="234"/>
      <c r="F124" s="26"/>
      <c r="G124" s="74">
        <f t="shared" ref="G124" si="49">IF(G$4="","",G123/Market_Price)</f>
        <v>0.13132612286787876</v>
      </c>
      <c r="H124" s="74">
        <f t="shared" ref="H124" si="50">IF(H$4="","",H123/Market_Price)</f>
        <v>9.9333317064027926E-2</v>
      </c>
      <c r="I124" s="74">
        <f t="shared" ref="I124" si="51">IF(I$4="","",I123/Market_Price)</f>
        <v>0.13927835587788054</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1.6301647203488711E-2</v>
      </c>
      <c r="H125" s="22">
        <f>IF(H$4="","",(Data!D47*$C$3)/(Market_Price*Common_Shares))</f>
        <v>1.8792851992103312E-2</v>
      </c>
      <c r="I125" s="22">
        <f>IF(I$4="","",(Data!E47*$C$3)/(Market_Price*Common_Shares))</f>
        <v>5.1416385138131522E-3</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283706.14487620705</v>
      </c>
      <c r="D4" t="str">
        <f>Reporting_currency</f>
        <v>USD</v>
      </c>
      <c r="E4" s="135" t="s">
        <v>431</v>
      </c>
      <c r="F4" s="275">
        <f>-BS!G31</f>
        <v>-1067520</v>
      </c>
      <c r="G4" t="str">
        <f>Reporting_currency</f>
        <v>USD</v>
      </c>
      <c r="H4" s="308" t="s">
        <v>394</v>
      </c>
      <c r="I4" s="305">
        <f>Normalized_FCF!C4</f>
        <v>1754677</v>
      </c>
      <c r="J4" s="305"/>
    </row>
    <row r="5" spans="2:15">
      <c r="B5" s="187" t="s">
        <v>105</v>
      </c>
      <c r="C5" s="188">
        <f>Equity_Cost</f>
        <v>7.2499999999999995E-2</v>
      </c>
      <c r="E5" s="135" t="s">
        <v>432</v>
      </c>
      <c r="F5" s="275">
        <f>BS!D66</f>
        <v>680098.98778941319</v>
      </c>
      <c r="G5" t="str">
        <f>Reporting_currency</f>
        <v>USD</v>
      </c>
      <c r="H5" s="308" t="s">
        <v>395</v>
      </c>
      <c r="I5" s="305">
        <f>Normalized_FCF!C7</f>
        <v>-101294</v>
      </c>
      <c r="J5" s="305"/>
    </row>
    <row r="6" spans="2:15" ht="13.25" customHeight="1">
      <c r="B6" s="136" t="s">
        <v>194</v>
      </c>
      <c r="C6" s="283">
        <f>(C4*(1+Terminal_Growth))/(Equity_Cost-Terminal_Growth)</f>
        <v>3005751.5889587342</v>
      </c>
      <c r="D6" t="str">
        <f>Reporting_currency</f>
        <v>USD</v>
      </c>
      <c r="E6" s="187" t="s">
        <v>433</v>
      </c>
      <c r="F6" s="284">
        <f>BS!H42</f>
        <v>713666.7</v>
      </c>
      <c r="G6" t="str">
        <f>Reporting_currency</f>
        <v>USD</v>
      </c>
      <c r="H6" s="308" t="s">
        <v>416</v>
      </c>
      <c r="I6" s="305">
        <f>I7+I8</f>
        <v>-61194.041926736478</v>
      </c>
      <c r="J6" s="305"/>
      <c r="N6" s="135"/>
    </row>
    <row r="7" spans="2:15" ht="12.75" customHeight="1">
      <c r="B7" s="318" t="s">
        <v>430</v>
      </c>
      <c r="C7" s="275">
        <f>F7</f>
        <v>326245.68778941315</v>
      </c>
      <c r="E7" s="140" t="s">
        <v>424</v>
      </c>
      <c r="F7" s="283">
        <f>SUM(F4:F6)</f>
        <v>326245.68778941315</v>
      </c>
      <c r="G7" t="str">
        <f>Reporting_currency</f>
        <v>USD</v>
      </c>
      <c r="H7" s="312" t="s">
        <v>417</v>
      </c>
      <c r="I7" s="313">
        <f>Normalized_FCF!C9</f>
        <v>0</v>
      </c>
      <c r="J7" s="313"/>
      <c r="N7" s="304"/>
      <c r="O7" s="304"/>
    </row>
    <row r="8" spans="2:15" ht="13.15">
      <c r="B8" s="136" t="s">
        <v>426</v>
      </c>
      <c r="C8" s="283">
        <f>C6+C7</f>
        <v>3331997.2767481473</v>
      </c>
      <c r="D8" t="str">
        <f>Reporting_currency</f>
        <v>USD</v>
      </c>
      <c r="E8" s="140" t="s">
        <v>464</v>
      </c>
      <c r="F8" s="108">
        <f>FV_adjustments*scaling_factor/Common_Shares*Exchange_Rate</f>
        <v>10.436918492779906</v>
      </c>
      <c r="G8" s="294" t="str">
        <f>Market_currency</f>
        <v>HKD</v>
      </c>
      <c r="H8" s="314" t="str">
        <f>Normalized_FCF!B10</f>
        <v>Net Interest Income</v>
      </c>
      <c r="I8" s="313">
        <f>Normalized_FCF!C10</f>
        <v>-61194.041926736478</v>
      </c>
      <c r="J8" s="313"/>
      <c r="N8" s="304"/>
      <c r="O8" s="304"/>
    </row>
    <row r="9" spans="2:15" ht="13.15" thickBot="1">
      <c r="B9" s="189" t="str">
        <f>"*"&amp;Thesis!E15</f>
        <v>*USD/HKD</v>
      </c>
      <c r="C9" s="190">
        <f>Exchange_Rate</f>
        <v>7.8322000503540039</v>
      </c>
      <c r="D9" t="str">
        <f>Thesis!E15</f>
        <v>USD/HKD</v>
      </c>
      <c r="F9" s="322"/>
      <c r="H9" s="308" t="str">
        <f>Normalized_FCF!B79</f>
        <v>NCI’s Share of Profits</v>
      </c>
      <c r="I9" s="144">
        <f>Normalized_FCF!C79</f>
        <v>8.5218168056568899E-3</v>
      </c>
      <c r="J9" s="306"/>
      <c r="N9" s="304"/>
      <c r="O9" s="304"/>
    </row>
    <row r="10" spans="2:15" ht="13.5" thickTop="1">
      <c r="B10" s="107" t="s">
        <v>427</v>
      </c>
      <c r="C10" s="283">
        <f>C8*Exchange_Rate</f>
        <v>26096869.238726243</v>
      </c>
      <c r="D10" t="str">
        <f>Market_currency</f>
        <v>HKD</v>
      </c>
      <c r="H10" s="308" t="s">
        <v>397</v>
      </c>
      <c r="I10" s="306">
        <f>Normalized_FCF!C41</f>
        <v>0.25</v>
      </c>
      <c r="N10" s="304"/>
      <c r="O10" s="304"/>
    </row>
    <row r="11" spans="2:15" ht="13.15">
      <c r="B11" s="136" t="s">
        <v>425</v>
      </c>
      <c r="C11" s="108">
        <f>(C10*scaling_factor)/Common_Shares</f>
        <v>106.59385027038974</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5</v>
      </c>
      <c r="E15" s="308" t="str">
        <f>IF(F14="II","Change year","Terminal Year")</f>
        <v>Change year</v>
      </c>
      <c r="F15" s="310">
        <f>IF(F14="II",_xlfn.CEILING.MATH(C15/2),C15+1)</f>
        <v>3</v>
      </c>
      <c r="H15" s="97" t="s">
        <v>429</v>
      </c>
      <c r="I15" s="126">
        <f>Terminal_Growth</f>
        <v>-0.02</v>
      </c>
      <c r="J15" s="126"/>
    </row>
    <row r="16" spans="2:15" ht="13.25" customHeight="1">
      <c r="B16" s="114" t="s">
        <v>422</v>
      </c>
      <c r="C16" s="147">
        <f>Scenarios!C46</f>
        <v>1.0085935369058155E-2</v>
      </c>
      <c r="E16" s="308" t="s">
        <v>400</v>
      </c>
      <c r="F16" s="311">
        <f>Scenarios!C41</f>
        <v>1.0085935369058155E-2</v>
      </c>
    </row>
    <row r="17" spans="1:21" ht="13.25" customHeight="1">
      <c r="B17" s="308" t="s">
        <v>550</v>
      </c>
      <c r="C17" s="306">
        <f>Normalized_FCF!C77</f>
        <v>0.2269433297967331</v>
      </c>
      <c r="E17" s="308" t="s">
        <v>551</v>
      </c>
      <c r="F17" s="311">
        <f>Scenarios!C40</f>
        <v>0.16758448420991445</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108.45257628831301</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1772374.5588155729</v>
      </c>
      <c r="D21" s="299">
        <f t="shared" ref="D21:D50" si="1">IF(A21="",0,IF(A21="I",$C$16,$F$16))</f>
        <v>1.0085935369058155E-2</v>
      </c>
      <c r="E21" s="299">
        <f>$C$17</f>
        <v>0.2269433297967331</v>
      </c>
      <c r="F21" s="277">
        <f>C21*E21</f>
        <v>402228.58402462187</v>
      </c>
      <c r="G21" s="299">
        <f t="shared" ref="G21:G50" si="2">IF(A21="",0%,IF(A21="I",$C$18,$F$18))</f>
        <v>0</v>
      </c>
      <c r="H21" s="277">
        <f>(F21*(1-$I$10)+C21*(G21-$I$9))</f>
        <v>286567.58671723312</v>
      </c>
      <c r="I21" s="299">
        <f>H21/C4-1</f>
        <v>1.0085935369058108E-2</v>
      </c>
      <c r="J21" s="299">
        <f>H21/C21</f>
        <v>0.16168568054189292</v>
      </c>
      <c r="K21" s="119">
        <f t="shared" ref="K21:K50" si="3">IF($C$15&lt;B21,0,1/(1+Equity_Cost)^B21)</f>
        <v>0.93240093240093236</v>
      </c>
      <c r="L21" s="277">
        <f t="shared" ref="L21:L51" si="4">H21*K21</f>
        <v>267195.88505103323</v>
      </c>
    </row>
    <row r="22" spans="1:21">
      <c r="A22" s="302" t="str">
        <f t="shared" si="0"/>
        <v>I</v>
      </c>
      <c r="B22" s="117">
        <v>2</v>
      </c>
      <c r="C22" s="277">
        <f t="shared" ref="C22:C50" si="5">IF(A22="",0,C21*(1+D22))</f>
        <v>1790250.6140655496</v>
      </c>
      <c r="D22" s="299">
        <f t="shared" si="1"/>
        <v>1.0085935369058155E-2</v>
      </c>
      <c r="E22" s="299">
        <f t="shared" ref="E22:E50" si="6">IF($C$15&lt;B22,0,IF(B22&gt;=$F$15,$F$17,$C$17))</f>
        <v>0.2269433297967331</v>
      </c>
      <c r="F22" s="277">
        <f t="shared" ref="F22:F50" si="7">IF(A22="", 0,C22*E22)</f>
        <v>406285.43552668195</v>
      </c>
      <c r="G22" s="299">
        <f t="shared" si="2"/>
        <v>0</v>
      </c>
      <c r="H22" s="277">
        <f t="shared" ref="H22:H50" si="8">IF(A22="", 0,F22*(1-$I$10)+C22*(G22-$I$9))</f>
        <v>289457.88887573004</v>
      </c>
      <c r="I22" s="299">
        <f t="shared" ref="I22:I50" si="9">IF(A22="", 0,H22/H21-1)</f>
        <v>1.0085935369057886E-2</v>
      </c>
      <c r="J22" s="299">
        <f>IF(A22="", 0,H22/C22)</f>
        <v>0.16168568054189289</v>
      </c>
      <c r="K22" s="119">
        <f t="shared" si="3"/>
        <v>0.86937149874212816</v>
      </c>
      <c r="L22" s="277">
        <f t="shared" si="4"/>
        <v>251646.43867462582</v>
      </c>
    </row>
    <row r="23" spans="1:21">
      <c r="A23" s="302" t="str">
        <f t="shared" si="0"/>
        <v>II</v>
      </c>
      <c r="B23" s="117">
        <v>3</v>
      </c>
      <c r="C23" s="277">
        <f t="shared" si="5"/>
        <v>1808306.9660534314</v>
      </c>
      <c r="D23" s="299">
        <f t="shared" si="1"/>
        <v>1.0085935369058155E-2</v>
      </c>
      <c r="E23" s="299">
        <f t="shared" si="6"/>
        <v>0.16758448420991445</v>
      </c>
      <c r="F23" s="277">
        <f t="shared" si="7"/>
        <v>303044.19019925961</v>
      </c>
      <c r="G23" s="299">
        <f t="shared" si="2"/>
        <v>0</v>
      </c>
      <c r="H23" s="277">
        <f t="shared" si="8"/>
        <v>211873.08195634413</v>
      </c>
      <c r="I23" s="299">
        <f t="shared" si="9"/>
        <v>-0.26803486759586848</v>
      </c>
      <c r="J23" s="299">
        <f t="shared" ref="J23:J50" si="10">IF(A23="", 0,H23/C23)</f>
        <v>0.11716654635177895</v>
      </c>
      <c r="K23" s="119">
        <f t="shared" si="3"/>
        <v>0.81060279602995633</v>
      </c>
      <c r="L23" s="277">
        <f t="shared" si="4"/>
        <v>171744.91263729666</v>
      </c>
      <c r="N23" s="275"/>
      <c r="O23" s="275"/>
      <c r="P23" s="275"/>
      <c r="Q23" s="275"/>
      <c r="R23" s="275"/>
      <c r="S23" s="275"/>
      <c r="T23" s="275"/>
      <c r="U23" s="275"/>
    </row>
    <row r="24" spans="1:21">
      <c r="A24" s="302" t="str">
        <f t="shared" si="0"/>
        <v>II</v>
      </c>
      <c r="B24" s="117">
        <v>4</v>
      </c>
      <c r="C24" s="277">
        <f t="shared" si="5"/>
        <v>1826545.433240464</v>
      </c>
      <c r="D24" s="299">
        <f t="shared" si="1"/>
        <v>1.0085935369058155E-2</v>
      </c>
      <c r="E24" s="299">
        <f t="shared" si="6"/>
        <v>0.16758448420991445</v>
      </c>
      <c r="F24" s="277">
        <f t="shared" si="7"/>
        <v>306100.6743155779</v>
      </c>
      <c r="G24" s="299">
        <f t="shared" si="2"/>
        <v>0</v>
      </c>
      <c r="H24" s="277">
        <f t="shared" si="8"/>
        <v>214010.02016739899</v>
      </c>
      <c r="I24" s="299">
        <f t="shared" si="9"/>
        <v>1.0085935369058108E-2</v>
      </c>
      <c r="J24" s="299">
        <f t="shared" si="10"/>
        <v>0.11716654635177895</v>
      </c>
      <c r="K24" s="119">
        <f t="shared" si="3"/>
        <v>0.75580680282513402</v>
      </c>
      <c r="L24" s="277">
        <f t="shared" si="4"/>
        <v>161750.22911526429</v>
      </c>
      <c r="N24" s="275"/>
      <c r="O24" s="275"/>
      <c r="P24" s="275"/>
      <c r="Q24" s="275"/>
      <c r="R24" s="275"/>
      <c r="S24" s="275"/>
      <c r="T24" s="275"/>
      <c r="U24" s="275"/>
    </row>
    <row r="25" spans="1:21">
      <c r="A25" s="302" t="str">
        <f t="shared" si="0"/>
        <v>II</v>
      </c>
      <c r="B25" s="117">
        <v>5</v>
      </c>
      <c r="C25" s="277">
        <f t="shared" si="5"/>
        <v>1844967.8524287755</v>
      </c>
      <c r="D25" s="299">
        <f t="shared" si="1"/>
        <v>1.0085935369058155E-2</v>
      </c>
      <c r="E25" s="299">
        <f t="shared" si="6"/>
        <v>0.16758448420991445</v>
      </c>
      <c r="F25" s="277">
        <f t="shared" si="7"/>
        <v>309187.98593314993</v>
      </c>
      <c r="G25" s="299">
        <f t="shared" si="2"/>
        <v>0</v>
      </c>
      <c r="H25" s="277">
        <f t="shared" si="8"/>
        <v>216168.51139913819</v>
      </c>
      <c r="I25" s="299">
        <f t="shared" si="9"/>
        <v>1.0085935369058108E-2</v>
      </c>
      <c r="J25" s="299">
        <f t="shared" si="10"/>
        <v>0.11716654635177895</v>
      </c>
      <c r="K25" s="119">
        <f t="shared" si="3"/>
        <v>0.70471496766912267</v>
      </c>
      <c r="L25" s="277">
        <f t="shared" si="4"/>
        <v>152337.18552172606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1808068.4953802</v>
      </c>
      <c r="D51" s="301">
        <f>Terminal_Growth</f>
        <v>-0.02</v>
      </c>
      <c r="E51" s="301">
        <f>F17</f>
        <v>0.16758448420991445</v>
      </c>
      <c r="F51" s="277">
        <f>C51*E51</f>
        <v>303004.22621448693</v>
      </c>
      <c r="G51" s="299">
        <f>F18</f>
        <v>0</v>
      </c>
      <c r="H51" s="277">
        <f>(F51*(1-$I$10)+C51*(G51-$I$9))/Equity_Cost</f>
        <v>2922001.9471883513</v>
      </c>
      <c r="I51" s="415">
        <f>(F51*(1-$I$10)+C51*(G51-$I$9))/VLOOKUP(C15,B21:H50,COLUMN(H20)-1,FALSE)-1</f>
        <v>-1.9999999999999796E-2</v>
      </c>
      <c r="J51" s="454"/>
      <c r="K51" s="119">
        <f>1/(1+Equity_Cost)^C15</f>
        <v>0.70471496766912267</v>
      </c>
      <c r="L51" s="277">
        <f t="shared" si="4"/>
        <v>2059178.5077419525</v>
      </c>
    </row>
    <row r="52" spans="1:21" ht="13.15">
      <c r="G52" s="111"/>
      <c r="H52" s="111"/>
      <c r="I52" s="111"/>
      <c r="J52" s="468" t="s">
        <v>420</v>
      </c>
      <c r="K52" s="468"/>
      <c r="L52" s="317">
        <f>SUM(L21:L51)</f>
        <v>3063853.1587418988</v>
      </c>
    </row>
    <row r="53" spans="1:21">
      <c r="C53" s="111"/>
    </row>
    <row r="54" spans="1:21" ht="13.15">
      <c r="B54" s="115" t="s">
        <v>108</v>
      </c>
      <c r="C54" s="128"/>
      <c r="D54" s="128"/>
      <c r="E54" s="113"/>
      <c r="F54" s="113"/>
      <c r="G54" s="113"/>
      <c r="H54" s="113"/>
      <c r="I54" s="113"/>
      <c r="J54" s="113"/>
      <c r="K54" s="113"/>
      <c r="L54" s="113"/>
    </row>
    <row r="55" spans="1:21" ht="13.15">
      <c r="A55" s="125">
        <f>L52</f>
        <v>3063853.1587418988</v>
      </c>
      <c r="B55" s="123">
        <f>C94</f>
        <v>-0.05</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2712888.4577329676</v>
      </c>
      <c r="C56" s="118">
        <v>2855672.0607715445</v>
      </c>
      <c r="D56" s="118">
        <v>2884228.7813792597</v>
      </c>
      <c r="E56" s="118">
        <v>2912785.5019869753</v>
      </c>
      <c r="F56" s="118">
        <v>2941342.2225946919</v>
      </c>
      <c r="G56" s="295"/>
      <c r="H56" s="295"/>
      <c r="I56" s="295"/>
      <c r="J56" s="295"/>
      <c r="K56" s="295"/>
      <c r="L56" s="295"/>
    </row>
    <row r="57" spans="1:21" ht="13.15">
      <c r="A57" s="131">
        <v>2</v>
      </c>
      <c r="B57" s="118">
        <v>2593035.2503978037</v>
      </c>
      <c r="C57" s="118">
        <v>2859246.732833581</v>
      </c>
      <c r="D57" s="118">
        <v>2914045.8606360313</v>
      </c>
      <c r="E57" s="118">
        <v>2969363.9322102456</v>
      </c>
      <c r="F57" s="118">
        <v>3025200.9475562237</v>
      </c>
      <c r="G57" s="295"/>
      <c r="H57" s="295"/>
      <c r="I57" s="295"/>
      <c r="J57" s="295"/>
      <c r="K57" s="295"/>
      <c r="L57" s="295"/>
    </row>
    <row r="58" spans="1:21" ht="13.15">
      <c r="A58" s="131">
        <v>3</v>
      </c>
      <c r="B58" s="118">
        <v>2486871.5702407821</v>
      </c>
      <c r="C58" s="118">
        <v>2862579.7603972517</v>
      </c>
      <c r="D58" s="118">
        <v>2942125.3478615209</v>
      </c>
      <c r="E58" s="118">
        <v>3023172.7889260817</v>
      </c>
      <c r="F58" s="118">
        <v>3105736.5995006328</v>
      </c>
      <c r="G58" s="295"/>
      <c r="H58" s="295"/>
      <c r="I58" s="295"/>
      <c r="J58" s="295"/>
      <c r="K58" s="295"/>
      <c r="L58" s="295"/>
    </row>
    <row r="59" spans="1:21" ht="13.15">
      <c r="A59" s="131">
        <v>4</v>
      </c>
      <c r="B59" s="118">
        <v>2392833.8115935363</v>
      </c>
      <c r="C59" s="118">
        <v>2865687.4784053359</v>
      </c>
      <c r="D59" s="118">
        <v>2968568.5013326118</v>
      </c>
      <c r="E59" s="118">
        <v>3074347.6456628204</v>
      </c>
      <c r="F59" s="118">
        <v>3183080.8619740512</v>
      </c>
      <c r="G59" s="295"/>
      <c r="H59" s="295"/>
      <c r="I59" s="295"/>
      <c r="J59" s="295"/>
      <c r="K59" s="295"/>
      <c r="L59" s="295"/>
    </row>
    <row r="60" spans="1:21" ht="13.15">
      <c r="A60" s="131">
        <v>5</v>
      </c>
      <c r="B60" s="118">
        <v>2370827.9334697025</v>
      </c>
      <c r="C60" s="118">
        <v>2936497.5508452617</v>
      </c>
      <c r="D60" s="118">
        <v>3062748.1516745063</v>
      </c>
      <c r="E60" s="118">
        <v>3193673.535058097</v>
      </c>
      <c r="F60" s="118">
        <v>3329408.500751297</v>
      </c>
      <c r="G60" s="295"/>
      <c r="H60" s="295"/>
      <c r="I60" s="295"/>
      <c r="J60" s="295"/>
      <c r="K60" s="295"/>
      <c r="L60" s="295"/>
    </row>
    <row r="61" spans="1:21" ht="13.15">
      <c r="A61" s="131">
        <v>6</v>
      </c>
      <c r="B61" s="118">
        <v>2297045.1766456133</v>
      </c>
      <c r="C61" s="118">
        <v>2939199.3123076176</v>
      </c>
      <c r="D61" s="118">
        <v>3086199.1530108256</v>
      </c>
      <c r="E61" s="118">
        <v>3239960.891417955</v>
      </c>
      <c r="F61" s="118">
        <v>3400744.3687877012</v>
      </c>
      <c r="G61" s="295"/>
      <c r="H61" s="295"/>
      <c r="I61" s="295"/>
      <c r="J61" s="295"/>
      <c r="K61" s="295"/>
      <c r="L61" s="295"/>
    </row>
    <row r="62" spans="1:21" ht="13.15">
      <c r="A62" s="131">
        <v>7</v>
      </c>
      <c r="B62" s="118">
        <v>2285980.1915577902</v>
      </c>
      <c r="C62" s="118">
        <v>3005040.0533182519</v>
      </c>
      <c r="D62" s="118">
        <v>3173523.8702712385</v>
      </c>
      <c r="E62" s="118">
        <v>3351179.8387133293</v>
      </c>
      <c r="F62" s="118">
        <v>3538446.6471550828</v>
      </c>
      <c r="G62" s="295"/>
      <c r="H62" s="295"/>
      <c r="I62" s="295"/>
      <c r="J62" s="295"/>
      <c r="K62" s="295"/>
      <c r="L62" s="295"/>
    </row>
    <row r="63" spans="1:21" ht="13.15">
      <c r="A63" s="131">
        <v>8</v>
      </c>
      <c r="B63" s="118">
        <v>2228089.6666997499</v>
      </c>
      <c r="C63" s="118">
        <v>3007388.8877300238</v>
      </c>
      <c r="D63" s="118">
        <v>3194321.2938567912</v>
      </c>
      <c r="E63" s="118">
        <v>3393046.4797829138</v>
      </c>
      <c r="F63" s="118">
        <v>3604240.8755279528</v>
      </c>
      <c r="G63" s="295"/>
      <c r="H63" s="295"/>
      <c r="I63" s="295"/>
      <c r="J63" s="295"/>
      <c r="K63" s="295"/>
      <c r="L63" s="295"/>
    </row>
    <row r="64" spans="1:21" ht="13.15">
      <c r="A64" s="131">
        <v>9</v>
      </c>
      <c r="B64" s="118">
        <v>2224900.7188784699</v>
      </c>
      <c r="C64" s="118">
        <v>3068620.0770221269</v>
      </c>
      <c r="D64" s="118">
        <v>3275345.187058581</v>
      </c>
      <c r="E64" s="118">
        <v>3496771.7269485341</v>
      </c>
      <c r="F64" s="118">
        <v>3733879.1897587739</v>
      </c>
      <c r="G64" s="295"/>
      <c r="H64" s="295"/>
      <c r="I64" s="295"/>
      <c r="J64" s="295"/>
      <c r="K64" s="295"/>
      <c r="L64" s="295"/>
    </row>
    <row r="65" spans="1:21" ht="13.15">
      <c r="A65" s="131">
        <v>10</v>
      </c>
      <c r="B65" s="118">
        <v>2179479.3628246505</v>
      </c>
      <c r="C65" s="118">
        <v>3070662.0867149862</v>
      </c>
      <c r="D65" s="118">
        <v>3293789.29618611</v>
      </c>
      <c r="E65" s="118">
        <v>3534639.8570880545</v>
      </c>
      <c r="F65" s="118">
        <v>3794562.2739678607</v>
      </c>
      <c r="G65" s="295"/>
      <c r="H65" s="295"/>
      <c r="I65" s="295"/>
      <c r="J65" s="295"/>
      <c r="K65" s="295"/>
      <c r="L65" s="295"/>
    </row>
    <row r="66" spans="1:21" ht="13.15">
      <c r="A66" s="131">
        <v>15</v>
      </c>
      <c r="B66" s="118">
        <v>2133060.3828098294</v>
      </c>
      <c r="C66" s="277">
        <v>3233216.5774376919</v>
      </c>
      <c r="D66" s="118">
        <v>3534742.3649657704</v>
      </c>
      <c r="E66" s="118">
        <v>3871483.6291204775</v>
      </c>
      <c r="F66" s="118">
        <v>4247724.9914413895</v>
      </c>
      <c r="G66" s="295"/>
      <c r="H66" s="295"/>
      <c r="I66" s="295"/>
      <c r="J66" s="295"/>
      <c r="K66" s="295"/>
      <c r="L66" s="295"/>
      <c r="M66" s="275"/>
      <c r="N66" s="275"/>
      <c r="O66" s="275"/>
      <c r="P66" s="275"/>
      <c r="Q66" s="275"/>
      <c r="R66" s="275"/>
      <c r="S66" s="275"/>
      <c r="T66" s="275"/>
      <c r="U66" s="275"/>
    </row>
    <row r="67" spans="1:21" ht="13.15">
      <c r="A67" s="132">
        <v>20</v>
      </c>
      <c r="B67" s="118">
        <v>2101548.4167298586</v>
      </c>
      <c r="C67" s="277">
        <v>3325308.479343018</v>
      </c>
      <c r="D67" s="118">
        <v>3685819.7916926327</v>
      </c>
      <c r="E67" s="118">
        <v>4100537.5909161377</v>
      </c>
      <c r="F67" s="118">
        <v>4578461.921187615</v>
      </c>
      <c r="G67" s="295"/>
      <c r="H67" s="295"/>
      <c r="I67" s="295"/>
      <c r="J67" s="295"/>
      <c r="K67" s="295"/>
      <c r="L67" s="295"/>
      <c r="M67" s="275"/>
      <c r="N67" s="275"/>
      <c r="O67" s="275"/>
      <c r="P67" s="275"/>
      <c r="Q67" s="275"/>
      <c r="R67" s="275"/>
      <c r="S67" s="275"/>
      <c r="T67" s="275"/>
      <c r="U67" s="275"/>
    </row>
    <row r="68" spans="1:21" ht="13.15">
      <c r="A68" s="132">
        <v>25</v>
      </c>
      <c r="B68" s="118">
        <v>2115949.9165521543</v>
      </c>
      <c r="C68" s="277">
        <v>3438132.3844851386</v>
      </c>
      <c r="D68" s="118">
        <v>3849437.3112594713</v>
      </c>
      <c r="E68" s="118">
        <v>4334426.7686636094</v>
      </c>
      <c r="F68" s="118">
        <v>4908421.8990314901</v>
      </c>
      <c r="G68" s="295"/>
      <c r="H68" s="295"/>
      <c r="I68" s="295"/>
      <c r="J68" s="295"/>
      <c r="K68" s="295"/>
      <c r="L68" s="295"/>
      <c r="M68" s="275"/>
      <c r="N68" s="275"/>
      <c r="O68" s="275"/>
      <c r="P68" s="275"/>
      <c r="Q68" s="275"/>
      <c r="R68" s="275"/>
      <c r="S68" s="275"/>
      <c r="T68" s="275"/>
      <c r="U68" s="275"/>
    </row>
    <row r="69" spans="1:21" ht="13.15">
      <c r="A69" s="132">
        <v>30</v>
      </c>
      <c r="B69" s="118">
        <v>2120422.1927356627</v>
      </c>
      <c r="C69" s="277">
        <v>3501811.2917979294</v>
      </c>
      <c r="D69" s="118">
        <v>3950337.7956460794</v>
      </c>
      <c r="E69" s="118">
        <v>4490706.5743244402</v>
      </c>
      <c r="F69" s="118">
        <v>5145733.5095915627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v>
      </c>
      <c r="D72" s="124">
        <f>D55</f>
        <v>0.01</v>
      </c>
      <c r="E72" s="124">
        <f>E55</f>
        <v>0.02</v>
      </c>
      <c r="F72" s="124">
        <f>F55</f>
        <v>0.03</v>
      </c>
      <c r="G72" s="124"/>
      <c r="H72" s="124"/>
      <c r="I72" s="124"/>
      <c r="J72" s="124"/>
      <c r="K72" s="124"/>
      <c r="L72" s="124"/>
    </row>
    <row r="73" spans="1:21" ht="13.15">
      <c r="A73" s="131">
        <v>0</v>
      </c>
      <c r="B73" s="119">
        <f>C11</f>
        <v>106.59385027038974</v>
      </c>
      <c r="C73" s="119">
        <f>C11</f>
        <v>106.59385027038974</v>
      </c>
      <c r="D73" s="119">
        <f>C11</f>
        <v>106.59385027038974</v>
      </c>
      <c r="E73" s="119">
        <f>C11</f>
        <v>106.59385027038974</v>
      </c>
      <c r="F73" s="119">
        <f>C11</f>
        <v>106.59385027038974</v>
      </c>
      <c r="G73" s="296"/>
      <c r="H73" s="296"/>
      <c r="I73" s="296"/>
      <c r="J73" s="296"/>
      <c r="K73" s="296"/>
      <c r="L73" s="296"/>
    </row>
    <row r="74" spans="1:21" ht="13.15">
      <c r="A74" s="131">
        <v>1</v>
      </c>
      <c r="B74" s="119">
        <f t="shared" ref="B74:F87" si="11">(B56+FV_adjustments)/Common_Shares*scaling_factor*Exchange_Rate</f>
        <v>97.224872397135485</v>
      </c>
      <c r="C74" s="119">
        <f t="shared" si="11"/>
        <v>101.79265944473313</v>
      </c>
      <c r="D74" s="119">
        <f t="shared" si="11"/>
        <v>102.70621685425265</v>
      </c>
      <c r="E74" s="119">
        <f t="shared" si="11"/>
        <v>103.61977426377217</v>
      </c>
      <c r="F74" s="119">
        <f t="shared" si="11"/>
        <v>104.53333167329174</v>
      </c>
      <c r="G74" s="296"/>
      <c r="H74" s="296"/>
      <c r="I74" s="296"/>
      <c r="J74" s="296"/>
      <c r="K74" s="296"/>
      <c r="L74" s="296"/>
    </row>
    <row r="75" spans="1:21" ht="13.15">
      <c r="A75" s="131">
        <v>2</v>
      </c>
      <c r="B75" s="119">
        <f t="shared" si="11"/>
        <v>93.390651125028441</v>
      </c>
      <c r="C75" s="119">
        <f t="shared" si="11"/>
        <v>101.9070166986257</v>
      </c>
      <c r="D75" s="119">
        <f t="shared" si="11"/>
        <v>103.66009436909218</v>
      </c>
      <c r="E75" s="119">
        <f t="shared" si="11"/>
        <v>105.42977355814101</v>
      </c>
      <c r="F75" s="119">
        <f t="shared" si="11"/>
        <v>107.21605426577212</v>
      </c>
      <c r="G75" s="296"/>
      <c r="H75" s="296"/>
      <c r="I75" s="296"/>
      <c r="J75" s="296"/>
      <c r="K75" s="296"/>
      <c r="L75" s="296"/>
    </row>
    <row r="76" spans="1:21" ht="13.15">
      <c r="A76" s="131">
        <v>3</v>
      </c>
      <c r="B76" s="119">
        <f t="shared" si="11"/>
        <v>89.994371210341569</v>
      </c>
      <c r="C76" s="119">
        <f t="shared" si="11"/>
        <v>102.01364350878197</v>
      </c>
      <c r="D76" s="119">
        <f t="shared" si="11"/>
        <v>104.55838461616715</v>
      </c>
      <c r="E76" s="119">
        <f t="shared" si="11"/>
        <v>107.15117148844976</v>
      </c>
      <c r="F76" s="119">
        <f t="shared" si="11"/>
        <v>109.79246850377196</v>
      </c>
      <c r="G76" s="296"/>
      <c r="H76" s="296"/>
      <c r="I76" s="296"/>
      <c r="J76" s="296"/>
      <c r="K76" s="296"/>
      <c r="L76" s="296"/>
    </row>
    <row r="77" spans="1:21" ht="13.15">
      <c r="A77" s="131">
        <v>4</v>
      </c>
      <c r="B77" s="119">
        <f t="shared" si="11"/>
        <v>86.986011379150355</v>
      </c>
      <c r="C77" s="119">
        <f t="shared" si="11"/>
        <v>102.11306244599058</v>
      </c>
      <c r="D77" s="119">
        <f t="shared" si="11"/>
        <v>105.4043269467459</v>
      </c>
      <c r="E77" s="119">
        <f t="shared" si="11"/>
        <v>108.78830518440772</v>
      </c>
      <c r="F77" s="119">
        <f t="shared" si="11"/>
        <v>112.26678707266687</v>
      </c>
      <c r="G77" s="296"/>
      <c r="H77" s="296"/>
      <c r="I77" s="296"/>
      <c r="J77" s="296"/>
      <c r="K77" s="296"/>
      <c r="L77" s="296"/>
    </row>
    <row r="78" spans="1:21" ht="13.15">
      <c r="A78" s="131">
        <v>5</v>
      </c>
      <c r="B78" s="119">
        <f t="shared" si="11"/>
        <v>86.282021824846282</v>
      </c>
      <c r="C78" s="119">
        <f t="shared" si="11"/>
        <v>104.37834588783758</v>
      </c>
      <c r="D78" s="119">
        <f t="shared" si="11"/>
        <v>108.41722603196335</v>
      </c>
      <c r="E78" s="119">
        <f t="shared" si="11"/>
        <v>112.60565704010752</v>
      </c>
      <c r="F78" s="119">
        <f t="shared" si="11"/>
        <v>116.94795128822226</v>
      </c>
      <c r="G78" s="296"/>
      <c r="H78" s="296"/>
      <c r="I78" s="296"/>
      <c r="J78" s="296"/>
      <c r="K78" s="296"/>
      <c r="L78" s="296"/>
    </row>
    <row r="79" spans="1:21" ht="13.15">
      <c r="A79" s="131">
        <v>6</v>
      </c>
      <c r="B79" s="119">
        <f t="shared" si="11"/>
        <v>83.921639303429828</v>
      </c>
      <c r="C79" s="119">
        <f t="shared" si="11"/>
        <v>104.46477787828199</v>
      </c>
      <c r="D79" s="119">
        <f t="shared" si="11"/>
        <v>109.16744649059889</v>
      </c>
      <c r="E79" s="119">
        <f t="shared" si="11"/>
        <v>114.08643482094958</v>
      </c>
      <c r="F79" s="119">
        <f t="shared" si="11"/>
        <v>119.2300554452226</v>
      </c>
      <c r="G79" s="296"/>
      <c r="H79" s="296"/>
      <c r="I79" s="296"/>
      <c r="J79" s="296"/>
      <c r="K79" s="296"/>
      <c r="L79" s="296"/>
    </row>
    <row r="80" spans="1:21" ht="13.15">
      <c r="A80" s="131">
        <f t="shared" ref="A80" si="12">A62</f>
        <v>7</v>
      </c>
      <c r="B80" s="119">
        <f t="shared" si="11"/>
        <v>83.567659613252346</v>
      </c>
      <c r="C80" s="119">
        <f t="shared" si="11"/>
        <v>106.57108754964777</v>
      </c>
      <c r="D80" s="119">
        <f t="shared" si="11"/>
        <v>111.96104956510229</v>
      </c>
      <c r="E80" s="119">
        <f t="shared" si="11"/>
        <v>117.64443767346199</v>
      </c>
      <c r="F80" s="119">
        <f t="shared" si="11"/>
        <v>123.63528594904501</v>
      </c>
      <c r="G80" s="296"/>
      <c r="H80" s="296"/>
      <c r="I80" s="296"/>
      <c r="J80" s="296"/>
      <c r="K80" s="296"/>
      <c r="L80" s="296"/>
    </row>
    <row r="81" spans="1:12" ht="13.15">
      <c r="A81" s="131">
        <v>8</v>
      </c>
      <c r="B81" s="119">
        <f t="shared" si="11"/>
        <v>81.715685128803003</v>
      </c>
      <c r="C81" s="119">
        <f t="shared" si="11"/>
        <v>106.64622905871968</v>
      </c>
      <c r="D81" s="119">
        <f t="shared" si="11"/>
        <v>112.62637947733194</v>
      </c>
      <c r="E81" s="119">
        <f t="shared" si="11"/>
        <v>118.98379245044151</v>
      </c>
      <c r="F81" s="119">
        <f t="shared" si="11"/>
        <v>125.74010763565761</v>
      </c>
      <c r="G81" s="296"/>
      <c r="H81" s="296"/>
      <c r="I81" s="296"/>
      <c r="J81" s="296"/>
      <c r="K81" s="296"/>
      <c r="L81" s="296"/>
    </row>
    <row r="82" spans="1:12" ht="13.15">
      <c r="A82" s="131">
        <f t="shared" ref="A82" si="13">A64</f>
        <v>9</v>
      </c>
      <c r="B82" s="119">
        <f t="shared" si="11"/>
        <v>81.613667570459356</v>
      </c>
      <c r="C82" s="119">
        <f t="shared" si="11"/>
        <v>108.60507466427498</v>
      </c>
      <c r="D82" s="119">
        <f t="shared" si="11"/>
        <v>115.21841303046394</v>
      </c>
      <c r="E82" s="119">
        <f t="shared" si="11"/>
        <v>122.30206450990185</v>
      </c>
      <c r="F82" s="119">
        <f t="shared" si="11"/>
        <v>129.88736404335555</v>
      </c>
      <c r="G82" s="296"/>
      <c r="H82" s="296"/>
      <c r="I82" s="296"/>
      <c r="J82" s="296"/>
      <c r="K82" s="296"/>
      <c r="L82" s="296"/>
    </row>
    <row r="83" spans="1:12" ht="13.15">
      <c r="A83" s="131">
        <f t="shared" ref="A83:A87" si="14">A65</f>
        <v>10</v>
      </c>
      <c r="B83" s="119">
        <f t="shared" si="11"/>
        <v>80.160593986016309</v>
      </c>
      <c r="C83" s="119">
        <f t="shared" si="11"/>
        <v>108.67040055063457</v>
      </c>
      <c r="D83" s="119">
        <f t="shared" si="11"/>
        <v>115.80845811256235</v>
      </c>
      <c r="E83" s="119">
        <f t="shared" si="11"/>
        <v>123.51350301325235</v>
      </c>
      <c r="F83" s="119">
        <f t="shared" si="11"/>
        <v>131.82867523147326</v>
      </c>
      <c r="G83" s="296"/>
      <c r="H83" s="296"/>
      <c r="I83" s="296"/>
      <c r="J83" s="296"/>
      <c r="K83" s="296"/>
      <c r="L83" s="296"/>
    </row>
    <row r="84" spans="1:12" ht="13.15">
      <c r="A84" s="131">
        <f t="shared" si="14"/>
        <v>15</v>
      </c>
      <c r="B84" s="119">
        <f t="shared" si="11"/>
        <v>78.675605435775651</v>
      </c>
      <c r="C84" s="119">
        <f t="shared" si="11"/>
        <v>113.87067762342561</v>
      </c>
      <c r="D84" s="119">
        <f t="shared" si="11"/>
        <v>123.51678234047299</v>
      </c>
      <c r="E84" s="119">
        <f t="shared" si="11"/>
        <v>134.28946458173814</v>
      </c>
      <c r="F84" s="119">
        <f t="shared" si="11"/>
        <v>146.32579357895244</v>
      </c>
      <c r="G84" s="296"/>
      <c r="H84" s="296"/>
      <c r="I84" s="296"/>
      <c r="J84" s="296"/>
      <c r="K84" s="296"/>
      <c r="L84" s="296"/>
    </row>
    <row r="85" spans="1:12" ht="13.15">
      <c r="A85" s="132">
        <f t="shared" si="14"/>
        <v>20</v>
      </c>
      <c r="B85" s="119">
        <f t="shared" si="11"/>
        <v>77.667506834527032</v>
      </c>
      <c r="C85" s="119">
        <f t="shared" si="11"/>
        <v>116.81678759515765</v>
      </c>
      <c r="D85" s="119">
        <f t="shared" si="11"/>
        <v>128.34989691596732</v>
      </c>
      <c r="E85" s="119">
        <f t="shared" si="11"/>
        <v>141.61712474456834</v>
      </c>
      <c r="F85" s="119">
        <f t="shared" si="11"/>
        <v>156.90639129260484</v>
      </c>
      <c r="G85" s="296"/>
      <c r="H85" s="296"/>
      <c r="I85" s="296"/>
      <c r="J85" s="296"/>
      <c r="K85" s="296"/>
      <c r="L85" s="296"/>
    </row>
    <row r="86" spans="1:12" ht="13.15">
      <c r="A86" s="132">
        <f t="shared" si="14"/>
        <v>25</v>
      </c>
      <c r="B86" s="119">
        <f t="shared" si="11"/>
        <v>78.128224892863798</v>
      </c>
      <c r="C86" s="119">
        <f t="shared" si="11"/>
        <v>120.42613461820713</v>
      </c>
      <c r="D86" s="119">
        <f t="shared" si="11"/>
        <v>133.5841813207077</v>
      </c>
      <c r="E86" s="119">
        <f t="shared" si="11"/>
        <v>149.09946819264286</v>
      </c>
      <c r="F86" s="119">
        <f t="shared" si="11"/>
        <v>167.46213355534667</v>
      </c>
      <c r="G86" s="296"/>
      <c r="H86" s="296"/>
      <c r="I86" s="296"/>
      <c r="J86" s="296"/>
      <c r="K86" s="296"/>
      <c r="L86" s="296"/>
    </row>
    <row r="87" spans="1:12" ht="13.15">
      <c r="A87" s="132">
        <f t="shared" si="14"/>
        <v>30</v>
      </c>
      <c r="B87" s="119">
        <f t="shared" si="11"/>
        <v>78.271297380107242</v>
      </c>
      <c r="C87" s="119">
        <f t="shared" si="11"/>
        <v>122.46328511615297</v>
      </c>
      <c r="D87" s="119">
        <f t="shared" si="11"/>
        <v>136.81208645735671</v>
      </c>
      <c r="E87" s="119">
        <f t="shared" si="11"/>
        <v>154.09901195612215</v>
      </c>
      <c r="F87" s="119">
        <f t="shared" si="11"/>
        <v>175.05396397489403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0.03</v>
      </c>
      <c r="D90" s="133">
        <f>Scenarios!D29</f>
        <v>5</v>
      </c>
      <c r="E90" s="127">
        <f>INDEX(B$73:F$87, MATCH(D90, A$73:A$87, 0), MATCH(C90, B$72:F$72, 0))</f>
        <v>116.94795128822226</v>
      </c>
      <c r="F90" s="130">
        <f>Scenarios!F29</f>
        <v>0.15</v>
      </c>
      <c r="G90" s="297"/>
      <c r="H90" s="297"/>
      <c r="I90" s="297"/>
      <c r="J90" s="297"/>
      <c r="K90" s="297"/>
      <c r="L90" s="297"/>
    </row>
    <row r="91" spans="1:12">
      <c r="B91" s="120" t="str">
        <f>Scenarios!B22</f>
        <v>Optimistic</v>
      </c>
      <c r="C91" s="130">
        <f>Scenarios!C22</f>
        <v>0.02</v>
      </c>
      <c r="D91" s="133">
        <f>Scenarios!D22</f>
        <v>5</v>
      </c>
      <c r="E91" s="127">
        <f>INDEX(B$73:F$87, MATCH(D91, A$73:A$87, 0), MATCH(C91, B$72:F$72, 0))</f>
        <v>112.60565704010752</v>
      </c>
      <c r="F91" s="130">
        <f>Scenarios!F22*(1-F$90-F$94)</f>
        <v>0.15999999999999995</v>
      </c>
      <c r="G91" s="297"/>
      <c r="H91" s="297"/>
      <c r="I91" s="297"/>
      <c r="J91" s="297"/>
      <c r="K91" s="297"/>
      <c r="L91" s="297"/>
    </row>
    <row r="92" spans="1:12">
      <c r="B92" s="120" t="str">
        <f>Scenarios!B23</f>
        <v>Base</v>
      </c>
      <c r="C92" s="130">
        <f>Scenarios!C23</f>
        <v>0.01</v>
      </c>
      <c r="D92" s="133">
        <f>Scenarios!D23</f>
        <v>5</v>
      </c>
      <c r="E92" s="127">
        <f>INDEX(B$73:F$87, MATCH(D92, A$73:A$87, 0), MATCH(C92, B$72:F$72, 0))</f>
        <v>108.41722603196335</v>
      </c>
      <c r="F92" s="130">
        <f>Scenarios!F23*(1-F$90-F$94)</f>
        <v>0.44</v>
      </c>
      <c r="G92" s="297"/>
      <c r="H92" s="297"/>
      <c r="I92" s="297"/>
      <c r="J92" s="297"/>
      <c r="K92" s="297"/>
      <c r="L92" s="297"/>
    </row>
    <row r="93" spans="1:12">
      <c r="B93" s="120" t="str">
        <f>Scenarios!B24</f>
        <v>Pessimistic</v>
      </c>
      <c r="C93" s="130">
        <f>Scenarios!C24</f>
        <v>0</v>
      </c>
      <c r="D93" s="133">
        <f>Scenarios!D24</f>
        <v>5</v>
      </c>
      <c r="E93" s="127">
        <f>INDEX(B$73:F$87, MATCH(D93, A$73:A$87, 0), MATCH(C93, B$72:F$72, 0))</f>
        <v>104.37834588783758</v>
      </c>
      <c r="F93" s="130">
        <f>Scenarios!F24*(1-F$90-F$94)</f>
        <v>0.19999999999999998</v>
      </c>
      <c r="G93" s="297"/>
      <c r="H93" s="297"/>
      <c r="I93" s="297"/>
      <c r="J93" s="297"/>
      <c r="K93" s="297"/>
      <c r="L93" s="297"/>
    </row>
    <row r="94" spans="1:12">
      <c r="B94" s="120" t="str">
        <f>Scenarios!B30</f>
        <v>Devil's advocate</v>
      </c>
      <c r="C94" s="130">
        <f>Scenarios!C30</f>
        <v>-0.05</v>
      </c>
      <c r="D94" s="133">
        <f>Scenarios!D30</f>
        <v>5</v>
      </c>
      <c r="E94" s="127">
        <f>INDEX(B$73:F$87, MATCH(D94, A$73:A$87, 0), MATCH(C94, B$72:F$72, 0))</f>
        <v>86.282021824846282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8"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9898.HK – 微博: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USD</v>
      </c>
      <c r="D6" s="469"/>
      <c r="E6" s="469"/>
      <c r="F6" s="469"/>
      <c r="G6" s="469"/>
    </row>
    <row r="7" spans="2:7" ht="12.75" customHeight="1">
      <c r="B7" s="97" t="s">
        <v>232</v>
      </c>
      <c r="C7" s="447">
        <f>Normalized_FCF!G8</f>
        <v>494324</v>
      </c>
      <c r="D7" s="469"/>
      <c r="E7" s="469"/>
      <c r="F7" s="469"/>
      <c r="G7" s="469"/>
    </row>
    <row r="8" spans="2:7">
      <c r="B8" s="97" t="s">
        <v>63</v>
      </c>
      <c r="C8" s="447">
        <f>Normalized_FCF!G19</f>
        <v>318966.17452166486</v>
      </c>
      <c r="D8" s="469"/>
      <c r="E8" s="469"/>
      <c r="F8" s="469"/>
      <c r="G8" s="469"/>
    </row>
    <row r="9" spans="2:7">
      <c r="B9" s="97" t="s">
        <v>54</v>
      </c>
      <c r="C9" s="447">
        <f>Normalized_FCF!C19</f>
        <v>283706.14487620705</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v>
      </c>
      <c r="D12" s="469"/>
      <c r="E12" s="469"/>
      <c r="F12" s="469"/>
      <c r="G12" s="469"/>
    </row>
    <row r="13" spans="2:7">
      <c r="B13" s="135" t="s">
        <v>127</v>
      </c>
      <c r="C13" s="249">
        <f ca="1">(Normalized_FCF!G8/OFFSET(Normalized_FCF!G8, 0, $C$4))^(1/$C$4) - 1</f>
        <v>9.9385575383835301E-2</v>
      </c>
      <c r="D13" s="469"/>
      <c r="E13" s="469"/>
      <c r="F13" s="469"/>
      <c r="G13" s="469"/>
    </row>
    <row r="14" spans="2:7">
      <c r="B14" s="97" t="s">
        <v>63</v>
      </c>
      <c r="C14" s="249">
        <f ca="1">(Normalized_FCF!G19/OFFSET(Normalized_FCF!G19, 0, $C$4))^(1/$C$4) - 1</f>
        <v>-2.8967544981438609E-2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112.60565704010752</v>
      </c>
      <c r="F22" s="328">
        <f>1-F23-F24</f>
        <v>0.19999999999999996</v>
      </c>
      <c r="G22" s="328">
        <f>F22*(1-F$29-F$30)</f>
        <v>0.15999999999999995</v>
      </c>
    </row>
    <row r="23" spans="2:7">
      <c r="B23" s="302" t="s">
        <v>437</v>
      </c>
      <c r="C23" s="324">
        <v>0.01</v>
      </c>
      <c r="D23" s="325">
        <f>C18</f>
        <v>5</v>
      </c>
      <c r="E23" s="326">
        <f>DCF!E92</f>
        <v>108.41722603196335</v>
      </c>
      <c r="F23" s="327">
        <v>0.55000000000000004</v>
      </c>
      <c r="G23" s="328">
        <f t="shared" ref="G23:G24" si="0">F23*(1-F$29-F$30)</f>
        <v>0.44</v>
      </c>
    </row>
    <row r="24" spans="2:7">
      <c r="B24" s="302" t="s">
        <v>446</v>
      </c>
      <c r="C24" s="324">
        <v>0</v>
      </c>
      <c r="D24" s="325">
        <f>C18</f>
        <v>5</v>
      </c>
      <c r="E24" s="326">
        <f>DCF!E93</f>
        <v>104.37834588783758</v>
      </c>
      <c r="F24" s="327">
        <v>0.25</v>
      </c>
      <c r="G24" s="328">
        <f t="shared" si="0"/>
        <v>0.19999999999999998</v>
      </c>
    </row>
    <row r="25" spans="2:7">
      <c r="B25" s="141" t="s">
        <v>451</v>
      </c>
      <c r="C25" s="441">
        <f>E23*F23+E24*F24+E22*F22</f>
        <v>108.24519219756074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0.03</v>
      </c>
      <c r="D29" s="325">
        <f>C18</f>
        <v>5</v>
      </c>
      <c r="E29" s="326">
        <f>DCF!E90</f>
        <v>116.94795128822226</v>
      </c>
      <c r="F29" s="327">
        <v>0.15</v>
      </c>
      <c r="G29" s="328">
        <f>F29</f>
        <v>0.15</v>
      </c>
    </row>
    <row r="30" spans="2:7">
      <c r="B30" s="315" t="s">
        <v>447</v>
      </c>
      <c r="C30" s="324">
        <v>-0.05</v>
      </c>
      <c r="D30" s="325">
        <f>C18</f>
        <v>5</v>
      </c>
      <c r="E30" s="326">
        <f>DCF!E94</f>
        <v>86.282021824846282</v>
      </c>
      <c r="F30" s="327">
        <v>0.05</v>
      </c>
      <c r="G30" s="328">
        <f>F30</f>
        <v>0.05</v>
      </c>
    </row>
    <row r="31" spans="2:7">
      <c r="E31" s="329"/>
      <c r="F31" s="329"/>
    </row>
    <row r="32" spans="2:7" ht="13.15">
      <c r="B32" s="145" t="s">
        <v>456</v>
      </c>
    </row>
    <row r="33" spans="2:7">
      <c r="B33" s="97" t="s">
        <v>458</v>
      </c>
      <c r="C33" s="155">
        <f>Normalized_FCF!C88*(1-dividend_tax_rate)</f>
        <v>6.3795999999999999</v>
      </c>
      <c r="D33" t="str">
        <f>Market_currency</f>
        <v>HKD</v>
      </c>
      <c r="E33" s="97" t="s">
        <v>455</v>
      </c>
      <c r="F33" s="219">
        <f>Holding_Period</f>
        <v>3</v>
      </c>
    </row>
    <row r="34" spans="2:7">
      <c r="B34" s="97" t="s">
        <v>233</v>
      </c>
      <c r="C34" s="146">
        <f>Market_Price</f>
        <v>77.7</v>
      </c>
      <c r="D34" t="str">
        <f>Market_currency</f>
        <v>HKD</v>
      </c>
      <c r="E34" s="97" t="s">
        <v>454</v>
      </c>
      <c r="F34" s="330">
        <f>RATE(Holding_Period,$C$33,-C34,$C$36)</f>
        <v>0.19168637716804129</v>
      </c>
    </row>
    <row r="35" spans="2:7">
      <c r="B35" s="97" t="s">
        <v>434</v>
      </c>
      <c r="C35" s="320">
        <f>DCF!C11</f>
        <v>106.59385027038974</v>
      </c>
      <c r="D35" s="97" t="str">
        <f>Market_currency</f>
        <v>HKD</v>
      </c>
      <c r="E35" s="97" t="s">
        <v>454</v>
      </c>
      <c r="F35" s="330">
        <f>RATE(Holding_Period,$C$33,-C35,$C$36)</f>
        <v>6.5298165802016514E-2</v>
      </c>
    </row>
    <row r="36" spans="2:7">
      <c r="B36" s="97" t="s">
        <v>435</v>
      </c>
      <c r="C36" s="321">
        <f>E22*G22+E23*G23+E24*G24+E30*G30+E29*G29</f>
        <v>108.45244754252425</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0.16758448420991445</v>
      </c>
      <c r="E40" s="97" t="s">
        <v>401</v>
      </c>
    </row>
    <row r="41" spans="2:7">
      <c r="B41" s="97" t="s">
        <v>400</v>
      </c>
      <c r="C41" s="455">
        <f>DCF!C16</f>
        <v>1.0085935369058155E-2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1.0085935369058155E-2</v>
      </c>
      <c r="D46" s="138"/>
      <c r="E46" s="221" t="s">
        <v>252</v>
      </c>
    </row>
    <row r="47" spans="2:7">
      <c r="B47" s="97" t="s">
        <v>96</v>
      </c>
      <c r="C47" s="146">
        <f>DCF!I18</f>
        <v>108.45257628831301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9.623497421473666E-2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6.3795999999999999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11.586073736913978</v>
      </c>
      <c r="D62" s="119">
        <f>C36/(1+F62)^Holding_Period</f>
        <v>49.363881448577253</v>
      </c>
      <c r="E62" s="332">
        <f>C62+D62</f>
        <v>60.949955185491234</v>
      </c>
      <c r="F62" s="301">
        <f>Thesis!E22</f>
        <v>0.3</v>
      </c>
      <c r="G62" s="440">
        <f>(1-E62/C36)</f>
        <v>0.43800295367614706</v>
      </c>
    </row>
    <row r="63" spans="2:7" ht="13.15">
      <c r="B63" s="302" t="s">
        <v>313</v>
      </c>
      <c r="C63" s="119">
        <f>PV(F63, Holding_Period, -C58, 0)</f>
        <v>13.438509259259257</v>
      </c>
      <c r="D63" s="119">
        <f>C36/(1+F63)^Holding_Period</f>
        <v>62.761833068590427</v>
      </c>
      <c r="E63" s="332">
        <f>C63+D63</f>
        <v>76.200342327849683</v>
      </c>
      <c r="F63" s="301">
        <f>Thesis!E23</f>
        <v>0.2</v>
      </c>
      <c r="G63" s="440">
        <f>(1-E63/C36)</f>
        <v>0.29738476120632051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15.391442902238206</v>
      </c>
      <c r="D66" s="119">
        <f>C36/(1+F66)^Holding_Period</f>
        <v>77.734418923996941</v>
      </c>
      <c r="E66" s="332">
        <f>C66+D66</f>
        <v>93.125861826235152</v>
      </c>
      <c r="F66" s="301">
        <f>Thesis!E24</f>
        <v>0.1174</v>
      </c>
      <c r="G66" s="440">
        <f>(1-E66/C36)</f>
        <v>0.14132079140288223</v>
      </c>
    </row>
    <row r="67" spans="2:7" ht="13.15">
      <c r="B67" s="302" t="s">
        <v>314</v>
      </c>
      <c r="C67" s="119">
        <f>PV(F67, Holding_Period, -C58, 0)</f>
        <v>16.665908999272972</v>
      </c>
      <c r="D67" s="119">
        <f>C36/(1+F67)^Holding_Period</f>
        <v>87.911857214262326</v>
      </c>
      <c r="E67" s="332">
        <f>C67+D67</f>
        <v>104.5777662135353</v>
      </c>
      <c r="F67" s="301">
        <f>Thesis!E25</f>
        <v>7.2499999999999995E-2</v>
      </c>
      <c r="G67" s="440">
        <f>(1-E67/C36)</f>
        <v>3.5727006783039084E-2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46057</v>
      </c>
    </row>
    <row r="4" spans="1:10">
      <c r="B4" s="422" t="s">
        <v>534</v>
      </c>
      <c r="C4" s="423" t="str">
        <f>Thesis!C4</f>
        <v>微博</v>
      </c>
      <c r="D4" s="349"/>
      <c r="E4" s="434" t="s">
        <v>540</v>
      </c>
      <c r="F4" s="437" t="str">
        <f>Thesis!F4</f>
        <v>INT</v>
      </c>
    </row>
    <row r="5" spans="1:10">
      <c r="B5" s="343" t="s">
        <v>364</v>
      </c>
      <c r="C5" s="355" t="str">
        <f>Thesis!C5</f>
        <v>9898.HK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77.7</v>
      </c>
    </row>
    <row r="9" spans="1:10">
      <c r="B9" s="351" t="s">
        <v>361</v>
      </c>
      <c r="C9" s="353">
        <f>Common_Shares</f>
        <v>244825280</v>
      </c>
    </row>
    <row r="10" spans="1:10">
      <c r="B10" s="351" t="s">
        <v>367</v>
      </c>
      <c r="C10" s="357">
        <f>投资主题!C8*Common_Shares/1000000</f>
        <v>19022.924255999998</v>
      </c>
      <c r="D10" s="343" t="s">
        <v>529</v>
      </c>
      <c r="E10" s="360">
        <f>Scenarios!F34</f>
        <v>0.19168637716804129</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USD/HKD</v>
      </c>
    </row>
    <row r="16" spans="1:10">
      <c r="B16" s="343" t="s">
        <v>338</v>
      </c>
      <c r="C16" s="358" t="str">
        <f>Thesis!C16</f>
        <v>N</v>
      </c>
      <c r="D16" s="351" t="s">
        <v>369</v>
      </c>
      <c r="E16" s="425">
        <f>Exchange_Rate</f>
        <v>7.8322000503540039</v>
      </c>
    </row>
    <row r="17" spans="1:6">
      <c r="B17" s="343" t="s">
        <v>535</v>
      </c>
      <c r="C17" s="424">
        <f>Terminal_Growth</f>
        <v>-0.02</v>
      </c>
      <c r="D17" s="351" t="s">
        <v>339</v>
      </c>
      <c r="E17" s="344" t="str">
        <f>Reporting_currency</f>
        <v>USD</v>
      </c>
    </row>
    <row r="18" spans="1:6">
      <c r="B18" s="343" t="str">
        <f>"预期股权价值 ("&amp;C7&amp;") :"</f>
        <v>预期股权价值 (HKD) :</v>
      </c>
      <c r="C18" s="359">
        <f>C125</f>
        <v>108.45244754252425</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60.949955185491234</v>
      </c>
      <c r="D22" s="365" t="s">
        <v>440</v>
      </c>
      <c r="E22" s="366">
        <f>Thesis!E22</f>
        <v>0.3</v>
      </c>
    </row>
    <row r="23" spans="1:6">
      <c r="B23" s="343" t="s">
        <v>341</v>
      </c>
      <c r="C23" s="367">
        <f>E141</f>
        <v>76.200342327849683</v>
      </c>
      <c r="D23" s="365" t="s">
        <v>441</v>
      </c>
      <c r="E23" s="368">
        <f>Thesis!E23</f>
        <v>0.2</v>
      </c>
    </row>
    <row r="24" spans="1:6">
      <c r="B24" s="343" t="s">
        <v>343</v>
      </c>
      <c r="C24" s="367">
        <f>E144</f>
        <v>93.125861826235152</v>
      </c>
      <c r="D24" s="365" t="s">
        <v>443</v>
      </c>
      <c r="E24" s="368">
        <f>Thesis!E24</f>
        <v>0.1174</v>
      </c>
    </row>
    <row r="25" spans="1:6">
      <c r="B25" s="343" t="s">
        <v>342</v>
      </c>
      <c r="C25" s="367">
        <f>E145</f>
        <v>104.5777662135353</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459406.2830244787</v>
      </c>
      <c r="D34" s="343" t="str">
        <f>Reporting_currency</f>
        <v>USD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USD</v>
      </c>
    </row>
    <row r="38" spans="2:6">
      <c r="B38" s="375" t="s">
        <v>200</v>
      </c>
      <c r="C38" s="373">
        <f>Normalized_FCF!C16</f>
        <v>0</v>
      </c>
      <c r="D38" s="343" t="str">
        <f>Reporting_currency</f>
        <v>USD</v>
      </c>
    </row>
    <row r="40" spans="2:6">
      <c r="B40" s="470" t="s">
        <v>503</v>
      </c>
      <c r="C40" s="470"/>
      <c r="D40" s="470"/>
      <c r="E40" s="470"/>
      <c r="F40" s="470"/>
    </row>
    <row r="41" spans="2:6">
      <c r="B41" s="372" t="s">
        <v>202</v>
      </c>
      <c r="C41" s="373">
        <f>Normalized_FCF!C9</f>
        <v>0</v>
      </c>
      <c r="D41" s="343" t="str">
        <f>Reporting_currency</f>
        <v>USD</v>
      </c>
    </row>
    <row r="43" spans="2:6">
      <c r="B43" s="470" t="s">
        <v>504</v>
      </c>
      <c r="C43" s="470"/>
      <c r="D43" s="470"/>
      <c r="E43" s="470"/>
      <c r="F43" s="470"/>
    </row>
    <row r="44" spans="2:6">
      <c r="B44" s="372" t="s">
        <v>267</v>
      </c>
      <c r="C44" s="376">
        <f>Normalized_FCF!C46</f>
        <v>2857.1580732635211</v>
      </c>
      <c r="D44" s="343" t="str">
        <f>Reporting_currency</f>
        <v>USD</v>
      </c>
      <c r="E44" s="371"/>
      <c r="F44" s="371"/>
    </row>
    <row r="45" spans="2:6">
      <c r="B45" s="372" t="s">
        <v>268</v>
      </c>
      <c r="C45" s="376">
        <f>Normalized_FCF!C45</f>
        <v>-64051.199999999997</v>
      </c>
      <c r="D45" s="343" t="str">
        <f>Reporting_currency</f>
        <v>USD</v>
      </c>
      <c r="E45" s="371"/>
      <c r="F45" s="371"/>
    </row>
    <row r="46" spans="2:6">
      <c r="B46" s="372" t="s">
        <v>203</v>
      </c>
      <c r="C46" s="373">
        <f>Normalized_FCF!C10</f>
        <v>-61194.041926736478</v>
      </c>
      <c r="D46" s="343" t="str">
        <f>Reporting_currency</f>
        <v>USD</v>
      </c>
    </row>
    <row r="48" spans="2:6">
      <c r="B48" s="343" t="s">
        <v>505</v>
      </c>
    </row>
    <row r="49" spans="2:6">
      <c r="B49" s="372" t="s">
        <v>223</v>
      </c>
      <c r="C49" s="373">
        <f>Normalized_FCF!C13</f>
        <v>-14953.035947099615</v>
      </c>
      <c r="D49" s="343" t="str">
        <f>Reporting_currency</f>
        <v>USD</v>
      </c>
    </row>
    <row r="51" spans="2:6">
      <c r="B51" s="470" t="s">
        <v>506</v>
      </c>
      <c r="C51" s="470"/>
      <c r="D51" s="470"/>
      <c r="E51" s="470"/>
      <c r="F51" s="470"/>
    </row>
    <row r="52" spans="2:6">
      <c r="B52" s="372" t="s">
        <v>496</v>
      </c>
      <c r="C52" s="373">
        <f>Normalized_FCF!C12</f>
        <v>-99553.060274435556</v>
      </c>
      <c r="D52" s="343" t="str">
        <f>Reporting_currency</f>
        <v>USD</v>
      </c>
    </row>
    <row r="54" spans="2:6">
      <c r="B54" s="470" t="s">
        <v>507</v>
      </c>
      <c r="C54" s="473"/>
      <c r="D54" s="473"/>
      <c r="E54" s="473"/>
      <c r="F54" s="473"/>
    </row>
    <row r="55" spans="2:6">
      <c r="B55" s="372" t="s">
        <v>207</v>
      </c>
      <c r="C55" s="373">
        <f>Normalized_FCF!C17</f>
        <v>0</v>
      </c>
      <c r="D55" s="343" t="str">
        <f>Reporting_currency</f>
        <v>USD</v>
      </c>
    </row>
    <row r="57" spans="2:6">
      <c r="B57" s="471" t="s">
        <v>508</v>
      </c>
      <c r="C57" s="471"/>
      <c r="D57" s="471"/>
      <c r="E57" s="471"/>
      <c r="F57" s="471"/>
    </row>
    <row r="58" spans="2:6">
      <c r="B58" s="471" t="s">
        <v>509</v>
      </c>
      <c r="C58" s="471"/>
      <c r="D58" s="471"/>
      <c r="E58" s="471"/>
      <c r="F58" s="471"/>
    </row>
    <row r="60" spans="2:6">
      <c r="B60" s="372" t="s">
        <v>372</v>
      </c>
      <c r="C60" s="373">
        <f>Normalized_FCF!G19</f>
        <v>318966.17452166486</v>
      </c>
      <c r="D60" s="343" t="str">
        <f>Reporting_currency</f>
        <v>USD</v>
      </c>
    </row>
    <row r="61" spans="2:6">
      <c r="B61" s="372" t="s">
        <v>213</v>
      </c>
      <c r="C61" s="373">
        <f>Normalized_FCF!C19</f>
        <v>283706.14487620705</v>
      </c>
      <c r="D61" s="343" t="str">
        <f>Reporting_currency</f>
        <v>USD</v>
      </c>
    </row>
    <row r="62" spans="2:6">
      <c r="B62" s="377" t="s">
        <v>302</v>
      </c>
      <c r="C62" s="378">
        <f>Normalized_FCF!C124</f>
        <v>0.11680871207192643</v>
      </c>
      <c r="F62" s="379"/>
    </row>
    <row r="63" spans="2:6">
      <c r="B63" s="377" t="s">
        <v>332</v>
      </c>
      <c r="C63" s="378">
        <f>Normalized_FCF!C92</f>
        <v>8.2105534105534103E-2</v>
      </c>
      <c r="E63" s="372" t="s">
        <v>373</v>
      </c>
      <c r="F63" s="380">
        <f>Normalized_FCF!C90</f>
        <v>5.5052997070948786</v>
      </c>
    </row>
    <row r="65" spans="1:6">
      <c r="B65" s="369" t="s">
        <v>376</v>
      </c>
      <c r="C65" s="381" t="s">
        <v>327</v>
      </c>
      <c r="D65" s="381" t="s">
        <v>374</v>
      </c>
    </row>
    <row r="66" spans="1:6">
      <c r="B66" s="372" t="s">
        <v>326</v>
      </c>
      <c r="C66" s="378">
        <f>Normalized_FCF!E119</f>
        <v>0.08</v>
      </c>
      <c r="D66" s="378">
        <f>Normalized_FCF!G119</f>
        <v>0.11962870133363827</v>
      </c>
    </row>
    <row r="67" spans="1:6">
      <c r="B67" s="382" t="str">
        <f>Normalized_FCF!B116</f>
        <v>Pre-tax Profit/Sales</v>
      </c>
      <c r="C67" s="383">
        <f>Normalized_FCF!E116</f>
        <v>0.16758448420991445</v>
      </c>
      <c r="D67" s="383">
        <f>Normalized_FCF!G116</f>
        <v>0.25059892762124586</v>
      </c>
    </row>
    <row r="68" spans="1:6">
      <c r="B68" s="382" t="str">
        <f>Normalized_FCF!B117</f>
        <v>Sales/Total Assets</v>
      </c>
      <c r="C68" s="384">
        <f>Normalized_FCF!E117</f>
        <v>0.26833431587768736</v>
      </c>
      <c r="D68" s="384">
        <f>Normalized_FCF!G117</f>
        <v>0.26833431587768736</v>
      </c>
    </row>
    <row r="69" spans="1:6">
      <c r="B69" s="382" t="str">
        <f>Normalized_FCF!B118</f>
        <v>Total Assets/Equity</v>
      </c>
      <c r="C69" s="384">
        <f>Normalized_FCF!E118</f>
        <v>1.7790164507082717</v>
      </c>
      <c r="D69" s="384">
        <f>Normalized_FCF!G118</f>
        <v>1.7790164507082717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-1067520</v>
      </c>
      <c r="D78" s="343" t="str">
        <f>Reporting_currency</f>
        <v>USD</v>
      </c>
    </row>
    <row r="79" spans="1:6">
      <c r="B79" s="372" t="s">
        <v>234</v>
      </c>
      <c r="C79" s="387">
        <f>C78*scaling_factor*Exchange_Rate/Common_Shares</f>
        <v>-34.151008416099458</v>
      </c>
      <c r="D79" s="343" t="str">
        <f>Market_currency</f>
        <v>HKD</v>
      </c>
    </row>
    <row r="80" spans="1:6">
      <c r="B80" s="382" t="s">
        <v>309</v>
      </c>
      <c r="C80" s="388">
        <f>IF(BS!G31/BS!G27&gt;300%,"nm",BS!G31/BS!G27)</f>
        <v>0.29042568125650897</v>
      </c>
    </row>
    <row r="81" spans="1:6">
      <c r="B81" s="382" t="s">
        <v>311</v>
      </c>
      <c r="C81" s="389">
        <f>IF(BS!C50&gt;30,"nm",BS!C50)</f>
        <v>2.3236948196964886</v>
      </c>
    </row>
    <row r="83" spans="1:6">
      <c r="B83" s="343" t="s">
        <v>512</v>
      </c>
    </row>
    <row r="84" spans="1:6">
      <c r="B84" s="343" t="s">
        <v>224</v>
      </c>
      <c r="C84" s="373">
        <f>DCF!F5</f>
        <v>680098.98778941319</v>
      </c>
      <c r="D84" s="343" t="str">
        <f>Reporting_currency</f>
        <v>USD</v>
      </c>
    </row>
    <row r="85" spans="1:6">
      <c r="B85" s="382" t="s">
        <v>481</v>
      </c>
      <c r="C85" s="390">
        <f>BS!C66</f>
        <v>1156292</v>
      </c>
      <c r="D85" s="391" t="str">
        <f>Reporting_currency</f>
        <v>USD</v>
      </c>
    </row>
    <row r="86" spans="1:6">
      <c r="B86" s="372" t="s">
        <v>235</v>
      </c>
      <c r="C86" s="387">
        <f>C84*scaling_factor*Exchange_Rate/Common_Shares</f>
        <v>21.757031489599232</v>
      </c>
      <c r="D86" s="343" t="str">
        <f>Market_currency</f>
        <v>HKD</v>
      </c>
    </row>
    <row r="88" spans="1:6">
      <c r="B88" s="343" t="s">
        <v>513</v>
      </c>
    </row>
    <row r="89" spans="1:6">
      <c r="B89" s="343" t="s">
        <v>217</v>
      </c>
      <c r="C89" s="373">
        <f>DCF!F6</f>
        <v>713666.7</v>
      </c>
      <c r="D89" s="343" t="str">
        <f>Reporting_currency</f>
        <v>USD</v>
      </c>
    </row>
    <row r="90" spans="1:6">
      <c r="B90" s="372" t="s">
        <v>236</v>
      </c>
      <c r="C90" s="387">
        <f>C89*scaling_factor*Exchange_Rate/Common_Shares</f>
        <v>22.830895419280132</v>
      </c>
      <c r="D90" s="343" t="str">
        <f>Market_currency</f>
        <v>HKD</v>
      </c>
    </row>
    <row r="92" spans="1:6">
      <c r="B92" s="372" t="s">
        <v>480</v>
      </c>
      <c r="C92" s="387">
        <f>DCF!F8</f>
        <v>10.436918492779906</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-19.264304502305222</v>
      </c>
      <c r="D111" s="343" t="str">
        <f>Market_currency</f>
        <v>HKD</v>
      </c>
    </row>
    <row r="112" spans="1:6">
      <c r="A112" s="385"/>
      <c r="B112" s="372" t="s">
        <v>377</v>
      </c>
      <c r="C112" s="394">
        <f>DCF!C11</f>
        <v>106.59385027038974</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0.03</v>
      </c>
      <c r="D118" s="397">
        <f>DCF!D90</f>
        <v>5</v>
      </c>
      <c r="E118" s="398" t="str">
        <f>ROUND(DCF!E90,2)&amp;" "&amp;Market_currency</f>
        <v>116.95 HKD</v>
      </c>
      <c r="F118" s="399">
        <f>DCF!F90</f>
        <v>0.15</v>
      </c>
    </row>
    <row r="119" spans="1:6">
      <c r="A119" s="385"/>
      <c r="B119" s="400" t="str">
        <f>DCF!B91</f>
        <v>Optimistic</v>
      </c>
      <c r="C119" s="401">
        <f>DCF!C91</f>
        <v>0.02</v>
      </c>
      <c r="D119" s="402">
        <f>DCF!D91</f>
        <v>5</v>
      </c>
      <c r="E119" s="398" t="str">
        <f>ROUND(DCF!E91,2)&amp;" "&amp;Market_currency</f>
        <v>112.61 HKD</v>
      </c>
      <c r="F119" s="403">
        <f>DCF!F91</f>
        <v>0.15999999999999995</v>
      </c>
    </row>
    <row r="120" spans="1:6">
      <c r="B120" s="400" t="str">
        <f>DCF!B92</f>
        <v>Base</v>
      </c>
      <c r="C120" s="401">
        <f>DCF!C92</f>
        <v>0.01</v>
      </c>
      <c r="D120" s="402">
        <f>DCF!D92</f>
        <v>5</v>
      </c>
      <c r="E120" s="398" t="str">
        <f>ROUND(DCF!E92,2)&amp;" "&amp;Market_currency</f>
        <v>108.42 HKD</v>
      </c>
      <c r="F120" s="403">
        <f>DCF!F92</f>
        <v>0.44</v>
      </c>
    </row>
    <row r="121" spans="1:6">
      <c r="B121" s="400" t="str">
        <f>DCF!B93</f>
        <v>Pessimistic</v>
      </c>
      <c r="C121" s="401">
        <f>DCF!C93</f>
        <v>0</v>
      </c>
      <c r="D121" s="402">
        <f>DCF!D93</f>
        <v>5</v>
      </c>
      <c r="E121" s="398" t="str">
        <f>ROUND(DCF!E93,2)&amp;" "&amp;Market_currency</f>
        <v>104.38 HKD</v>
      </c>
      <c r="F121" s="403">
        <f>DCF!F93</f>
        <v>0.19999999999999998</v>
      </c>
    </row>
    <row r="122" spans="1:6">
      <c r="B122" s="400" t="str">
        <f>DCF!B94</f>
        <v>Devil's advocate</v>
      </c>
      <c r="C122" s="401">
        <f>DCF!C94</f>
        <v>-0.05</v>
      </c>
      <c r="D122" s="402">
        <f>DCF!D94</f>
        <v>5</v>
      </c>
      <c r="E122" s="398" t="str">
        <f>ROUND(DCF!E94,2)&amp;" "&amp;Market_currency</f>
        <v>86.28 HKD</v>
      </c>
      <c r="F122" s="403">
        <f>DCF!F94</f>
        <v>0.05</v>
      </c>
    </row>
    <row r="124" spans="1:6">
      <c r="B124" s="470" t="s">
        <v>519</v>
      </c>
      <c r="C124" s="470"/>
      <c r="D124" s="470"/>
      <c r="E124" s="470"/>
      <c r="F124" s="470"/>
    </row>
    <row r="125" spans="1:6">
      <c r="B125" s="372" t="s">
        <v>218</v>
      </c>
      <c r="C125" s="404">
        <f>Scenarios!C36</f>
        <v>108.45244754252425</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6.3795999999999999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11.586073736913978</v>
      </c>
      <c r="D140" s="409">
        <f>Scenarios!D62</f>
        <v>49.363881448577253</v>
      </c>
      <c r="E140" s="410">
        <f>Scenarios!E62</f>
        <v>60.949955185491234</v>
      </c>
      <c r="F140" s="411">
        <f>E22</f>
        <v>0.3</v>
      </c>
    </row>
    <row r="141" spans="1:6">
      <c r="B141" s="408" t="s">
        <v>313</v>
      </c>
      <c r="C141" s="409">
        <f>Scenarios!C63</f>
        <v>13.438509259259257</v>
      </c>
      <c r="D141" s="409">
        <f>Scenarios!D63</f>
        <v>62.761833068590427</v>
      </c>
      <c r="E141" s="410">
        <f>Scenarios!E63</f>
        <v>76.200342327849683</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15.391442902238206</v>
      </c>
      <c r="D144" s="409">
        <f>Scenarios!D66</f>
        <v>77.734418923996941</v>
      </c>
      <c r="E144" s="410">
        <f>Scenarios!E66</f>
        <v>93.125861826235152</v>
      </c>
      <c r="F144" s="411">
        <f>E24</f>
        <v>0.1174</v>
      </c>
    </row>
    <row r="145" spans="1:6">
      <c r="B145" s="408" t="s">
        <v>314</v>
      </c>
      <c r="C145" s="409">
        <f>Scenarios!C67</f>
        <v>16.665908999272972</v>
      </c>
      <c r="D145" s="409">
        <f>Scenarios!D67</f>
        <v>87.911857214262326</v>
      </c>
      <c r="E145" s="410">
        <f>Scenarios!E67</f>
        <v>104.5777662135353</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2026-03-17T02:27:29Z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