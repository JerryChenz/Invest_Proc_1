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FAE5E3-E623-4BCC-9E85-6F5A260520F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<sst xmlns="http://schemas.openxmlformats.org/spreadsheetml/2006/main" count="768" uniqueCount="558">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</sst>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46057</v>
      </c>
    </row>
    <row r="4" spans="1:9" ht="12.4">
      <c r="B4" s="421" t="s">
        <v>532</v>
      </c>
      <c r="C4" s="420" t="s">
        <v>556</v>
      </c>
      <c r="E4" s="430" t="s">
        <v>536</v>
      </c>
      <c r="F4" s="431" t="s">
        <v>324</v>
      </c>
    </row>
    <row r="5" spans="1:9">
      <c r="B5" s="1" t="s">
        <v>349</v>
      </c>
      <c r="C5" s="46" t="s">
        <v>555</v>
      </c>
      <c r="E5" s="433" t="s">
        <v>538</v>
      </c>
      <c r="F5" s="432" t="s">
        <v>545</v>
      </c>
    </row>
    <row r="6" spans="1:9">
      <c r="B6" s="2" t="s">
        <v>53</v>
      </c>
      <c r="C6" s="45" t="s">
        <v>548</v>
      </c>
      <c r="D6" s="45"/>
      <c r="E6" s="45"/>
    </row>
    <row r="7" spans="1:9">
      <c r="B7" s="1" t="s">
        <v>351</v>
      </c>
      <c r="C7" s="45" t="s">
        <v>308</v>
      </c>
      <c r="D7" s="45"/>
      <c r="E7" s="45"/>
    </row>
    <row r="8" spans="1:9">
      <c r="B8" s="4" t="s">
        <v>350</v>
      </c>
      <c r="C8" s="47">
        <v>68.55</v>
      </c>
      <c r="E8" s="32"/>
    </row>
    <row r="9" spans="1:9">
      <c r="B9" s="4" t="s">
        <v>346</v>
      </c>
      <c r="C9" s="48">
        <v>244825280</v>
      </c>
    </row>
    <row r="10" spans="1:9">
      <c r="B10" s="4" t="s">
        <v>352</v>
      </c>
      <c r="C10" s="33">
        <f>Thesis!C8*Common_Shares/1000000</f>
        <v>16782.772944</v>
      </c>
      <c r="D10" s="1" t="s">
        <v>527</v>
      </c>
      <c r="E10" s="303">
        <f>Scenarios!F34</f>
        <v>0.24632545477758799</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USD/HKD</v>
      </c>
    </row>
    <row r="16" spans="1:9">
      <c r="B16" s="1" t="s">
        <v>320</v>
      </c>
      <c r="C16" s="417" t="s">
        <v>545</v>
      </c>
      <c r="D16" s="4" t="s">
        <v>354</v>
      </c>
      <c r="E16" s="416">
        <v>7.8334089999999996</v>
      </c>
    </row>
    <row r="17" spans="1:6">
      <c r="B17" s="1" t="s">
        <v>531</v>
      </c>
      <c r="C17" s="456">
        <v>-0.02</v>
      </c>
      <c r="D17" s="4" t="s">
        <v>274</v>
      </c>
      <c r="E17" s="224" t="s">
        <v>557</v>
      </c>
    </row>
    <row r="18" spans="1:6">
      <c r="B18" s="1" t="str">
        <f>"Expected Equity Value ("&amp;C7&amp;") :"</f>
        <v>Expected Equity Value (HKD) :</v>
      </c>
      <c r="C18" s="252">
        <f>C125</f>
        <v>108.46918786417346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60.957574813005664</v>
      </c>
      <c r="D22" s="38" t="s">
        <v>406</v>
      </c>
      <c r="E22" s="79">
        <v>0.3</v>
      </c>
    </row>
    <row r="23" spans="1:6">
      <c r="B23" s="1" t="s">
        <v>313</v>
      </c>
      <c r="C23" s="256">
        <f>E141</f>
        <v>76.210030013989268</v>
      </c>
      <c r="D23" s="38" t="s">
        <v>407</v>
      </c>
      <c r="E23" s="443">
        <v>0.2</v>
      </c>
    </row>
    <row r="24" spans="1:6">
      <c r="B24" s="1" t="s">
        <v>315</v>
      </c>
      <c r="C24" s="256">
        <f>E144</f>
        <v>93.137860625759643</v>
      </c>
      <c r="D24" s="38" t="s">
        <v>408</v>
      </c>
      <c r="E24" s="443">
        <v>0.1174</v>
      </c>
    </row>
    <row r="25" spans="1:6">
      <c r="B25" s="1" t="s">
        <v>314</v>
      </c>
      <c r="C25" s="256">
        <f>E145</f>
        <v>104.59133596507058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0.13242068375971852</v>
      </c>
      <c r="F62" s="257"/>
    </row>
    <row r="63" spans="2:6">
      <c r="B63" s="204" t="s">
        <v>332</v>
      </c>
      <c r="C63" s="89">
        <f>Normalized_FCF!C92</f>
        <v>9.3064916119620714E-2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-34.156279840382496</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21.760389825104983</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22.834419512479677</v>
      </c>
      <c r="D90" s="1" t="str">
        <f>Market_currency</f>
        <v>HKD</v>
      </c>
    </row>
    <row r="91" spans="1:6">
      <c r="A91" s="191"/>
    </row>
    <row r="92" spans="1:6">
      <c r="A92" s="191"/>
      <c r="B92" s="44" t="s">
        <v>469</v>
      </c>
      <c r="C92" s="216">
        <f>DCF!F8</f>
        <v>10.438529497202163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-19.267278069624581</v>
      </c>
      <c r="D111" s="1" t="str">
        <f>Market_currency</f>
        <v>HKD</v>
      </c>
    </row>
    <row r="112" spans="2:6">
      <c r="B112" s="44" t="s">
        <v>323</v>
      </c>
      <c r="C112" s="216">
        <f>DCF!C11</f>
        <v>106.61030370578736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0.03</v>
      </c>
      <c r="D118" s="207" t="str">
        <f>ROUND(DCF!E90,2)&amp;" "&amp;Market_currency</f>
        <v>116.97 HKD</v>
      </c>
      <c r="E118" s="208">
        <f>DCF!F90</f>
        <v>0.15</v>
      </c>
      <c r="F118" s="208">
        <f>RATE(Holding_Period,Scenarios!C$58,-DCF!E90,C$18)</f>
        <v>3.1064735624094647E-2</v>
      </c>
    </row>
    <row r="119" spans="2:6">
      <c r="B119" s="205" t="str">
        <f>DCF!B91&amp;" ("&amp;DCF!D91&amp;"yrs)"</f>
        <v>Optimistic (5yrs)</v>
      </c>
      <c r="C119" s="198">
        <f>DCF!C91</f>
        <v>0.02</v>
      </c>
      <c r="D119" s="207" t="str">
        <f>ROUND(DCF!E91,2)&amp;" "&amp;Market_currency</f>
        <v>112.62 HKD</v>
      </c>
      <c r="E119" s="199">
        <f>DCF!F91</f>
        <v>0.15999999999999995</v>
      </c>
      <c r="F119" s="208">
        <f>RATE(Holding_Period,Scenarios!C$58,-DCF!E91,C$18)</f>
        <v>4.4887048276317093E-2</v>
      </c>
    </row>
    <row r="120" spans="2:6">
      <c r="B120" s="205" t="str">
        <f>DCF!B92&amp;" ("&amp;DCF!D92&amp;"yrs)"</f>
        <v>Base (5yrs)</v>
      </c>
      <c r="C120" s="198">
        <f>DCF!C92</f>
        <v>0.01</v>
      </c>
      <c r="D120" s="207" t="str">
        <f>ROUND(DCF!E92,2)&amp;" "&amp;Market_currency</f>
        <v>108.43 HKD</v>
      </c>
      <c r="E120" s="199">
        <f>DCF!F92</f>
        <v>0.44</v>
      </c>
      <c r="F120" s="208">
        <f>RATE(Holding_Period,Scenarios!C$58,-DCF!E92,C$18)</f>
        <v>5.8936117621068339E-2</v>
      </c>
    </row>
    <row r="121" spans="2:6">
      <c r="B121" s="205" t="str">
        <f>DCF!B93&amp;" ("&amp;DCF!D93&amp;"yrs)"</f>
        <v>Pessimistic (5yrs)</v>
      </c>
      <c r="C121" s="198">
        <f>DCF!C93</f>
        <v>0</v>
      </c>
      <c r="D121" s="207" t="str">
        <f>ROUND(DCF!E93,2)&amp;" "&amp;Market_currency</f>
        <v>104.39 HKD</v>
      </c>
      <c r="E121" s="199">
        <f>DCF!F93</f>
        <v>0.19999999999999998</v>
      </c>
      <c r="F121" s="208">
        <f>RATE(Holding_Period,Scenarios!C$58,-DCF!E93,C$18)</f>
        <v>7.3213485302592557E-2</v>
      </c>
    </row>
    <row r="122" spans="2:6">
      <c r="B122" s="205" t="str">
        <f>DCF!B94&amp;" ("&amp;DCF!D94&amp;"yrs)"</f>
        <v>Devil's advocate (5yrs)</v>
      </c>
      <c r="C122" s="198">
        <f>DCF!C94</f>
        <v>-0.05</v>
      </c>
      <c r="D122" s="207" t="str">
        <f>ROUND(DCF!E94,2)&amp;" "&amp;Market_currency</f>
        <v>86.3 HKD</v>
      </c>
      <c r="E122" s="199">
        <f>DCF!F94</f>
        <v>0.05</v>
      </c>
      <c r="F122" s="208">
        <f>RATE(Holding_Period,Scenarios!C$58,-DCF!E94,C$18)</f>
        <v>0.14806061370012349</v>
      </c>
    </row>
    <row r="124" spans="2:6">
      <c r="B124" s="463" t="s">
        <v>357</v>
      </c>
      <c r="C124" s="463"/>
      <c r="D124" s="463"/>
      <c r="E124" s="463"/>
      <c r="F124" s="463"/>
    </row>
    <row r="125" spans="2:6">
      <c r="B125" s="193" t="s">
        <v>218</v>
      </c>
      <c r="C125" s="197">
        <f>Scenarios!C36</f>
        <v>108.46918786417346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11.586073736913978</v>
      </c>
      <c r="D140" s="333">
        <f>Scenarios!D62</f>
        <v>49.37150107609169</v>
      </c>
      <c r="E140" s="334">
        <f>Scenarios!E62</f>
        <v>60.957574813005664</v>
      </c>
      <c r="F140" s="335">
        <f>E22</f>
        <v>0.3</v>
      </c>
    </row>
    <row r="141" spans="1:6">
      <c r="B141" s="336" t="s">
        <v>313</v>
      </c>
      <c r="C141" s="333">
        <f>Scenarios!C63</f>
        <v>13.438509259259257</v>
      </c>
      <c r="D141" s="333">
        <f>Scenarios!D63</f>
        <v>62.771520754730012</v>
      </c>
      <c r="E141" s="334">
        <f>Scenarios!E63</f>
        <v>76.210030013989268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77.746417723521432</v>
      </c>
      <c r="E144" s="334">
        <f>Scenarios!E66</f>
        <v>93.137860625759643</v>
      </c>
      <c r="F144" s="335">
        <f>E24</f>
        <v>0.1174</v>
      </c>
    </row>
    <row r="145" spans="1:6">
      <c r="B145" s="336" t="s">
        <v>314</v>
      </c>
      <c r="C145" s="333">
        <f>Scenarios!C67</f>
        <v>16.665908999272972</v>
      </c>
      <c r="D145" s="333">
        <f>Scenarios!D67</f>
        <v>87.925426965797612</v>
      </c>
      <c r="E145" s="334">
        <f>Scenarios!E67</f>
        <v>104.59133596507058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546</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115.91921853675404</v>
      </c>
      <c r="D47" s="134">
        <f>D46*H1/Common_Shares*Exchange_Rate</f>
        <v>-19.267278069624581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-8362320.77568</v>
      </c>
      <c r="D86" s="201">
        <f>C86*scaling_factor/Common_Shares</f>
        <v>-34.156279840382496</v>
      </c>
      <c r="E86" s="214" t="str">
        <f>Market_currency</f>
        <v>HKD</v>
      </c>
    </row>
    <row r="87" spans="2:8" ht="15" customHeight="1">
      <c r="B87" s="212" t="s">
        <v>240</v>
      </c>
      <c r="C87" s="73">
        <f>DCF!F5*Exchange_Rate</f>
        <v>5327493.531840479</v>
      </c>
      <c r="D87" s="201">
        <f>C87*scaling_factor/Common_Shares</f>
        <v>21.760389825104983</v>
      </c>
      <c r="E87" s="214" t="str">
        <f>Market_currency</f>
        <v>HKD</v>
      </c>
    </row>
    <row r="88" spans="2:8" ht="15" customHeight="1">
      <c r="B88" s="213" t="s">
        <v>159</v>
      </c>
      <c r="C88" s="73">
        <f>DCF!F6*Exchange_Rate</f>
        <v>5590443.1507802997</v>
      </c>
      <c r="D88" s="201">
        <f>C88*scaling_factor/Common_Shares</f>
        <v>22.834419512479677</v>
      </c>
      <c r="E88" s="214" t="str">
        <f>Market_currency</f>
        <v>HKD</v>
      </c>
    </row>
    <row r="89" spans="2:8" ht="15" customHeight="1">
      <c r="B89" s="77" t="s">
        <v>244</v>
      </c>
      <c r="C89" s="162">
        <f>SUM(C86:C88)</f>
        <v>2555615.9069407787</v>
      </c>
      <c r="D89" s="216">
        <f>SUM(D86:D88)</f>
        <v>10.438529497202165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9.3064916119620714E-2</v>
      </c>
      <c r="E92" s="237"/>
      <c r="G92" s="22">
        <f t="shared" ref="G92:Q92" si="38">IF(G$4="","",(G88*(1-dividend_tax_rate))/Market_Price)</f>
        <v>9.3064916119620714E-2</v>
      </c>
      <c r="H92" s="22">
        <f t="shared" si="38"/>
        <v>9.3064916119620714E-2</v>
      </c>
      <c r="I92" s="22">
        <f t="shared" si="38"/>
        <v>9.6469730123997094E-2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9.077437871728705</v>
      </c>
      <c r="D123" s="26"/>
      <c r="E123" s="234"/>
      <c r="F123" s="26"/>
      <c r="G123" s="159">
        <f t="shared" ref="G123:Q123" si="48">IF(G$4="","",G14*$C$3/Common_Shares*Exchange_Rate)</f>
        <v>10.205614804948166</v>
      </c>
      <c r="H123" s="159">
        <f t="shared" si="48"/>
        <v>7.7193900886965876</v>
      </c>
      <c r="I123" s="159">
        <f t="shared" si="48"/>
        <v>10.823598684826507</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0.13242068375971852</v>
      </c>
      <c r="D124" s="26"/>
      <c r="E124" s="234"/>
      <c r="F124" s="26"/>
      <c r="G124" s="74">
        <f t="shared" ref="G124" si="49">IF(G$4="","",G123/Market_Price)</f>
        <v>0.1488784070743715</v>
      </c>
      <c r="H124" s="74">
        <f t="shared" ref="H124" si="50">IF(H$4="","",H123/Market_Price)</f>
        <v>0.11260962930264899</v>
      </c>
      <c r="I124" s="74">
        <f t="shared" ref="I124" si="51">IF(I$4="","",I123/Market_Price)</f>
        <v>0.15789348920242899</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1.8477578230650226E-2</v>
      </c>
      <c r="H125" s="22">
        <f>IF(H$4="","",(Data!D47*$C$3)/(Market_Price*Common_Shares))</f>
        <v>2.1301307072012068E-2</v>
      </c>
      <c r="I125" s="22">
        <f>IF(I$4="","",(Data!E47*$C$3)/(Market_Price*Common_Shares))</f>
        <v>5.8279403723308816E-3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10.438529497202163</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7.8334089999999996</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26100897.455654427</v>
      </c>
      <c r="D10" t="str">
        <f>Market_currency</f>
        <v>HKD</v>
      </c>
      <c r="H10" s="308" t="s">
        <v>397</v>
      </c>
      <c r="I10" s="306">
        <f>Normalized_FCF!C41</f>
        <v>0.25</v>
      </c>
      <c r="N10" s="304"/>
      <c r="O10" s="304"/>
    </row>
    <row r="11" spans="2:15" ht="13.15">
      <c r="B11" s="136" t="s">
        <v>425</v>
      </c>
      <c r="C11" s="108">
        <f>(C10*scaling_factor)/Common_Shares</f>
        <v>106.61030370578736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549</v>
      </c>
      <c r="C17" s="306">
        <f>Normalized_FCF!C77</f>
        <v>0.2269433297967331</v>
      </c>
      <c r="E17" s="308" t="s">
        <v>550</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108.46931662983495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106.61030370578736</v>
      </c>
      <c r="C73" s="119">
        <f>C11</f>
        <v>106.61030370578736</v>
      </c>
      <c r="D73" s="119">
        <f>C11</f>
        <v>106.61030370578736</v>
      </c>
      <c r="E73" s="119">
        <f>C11</f>
        <v>106.61030370578736</v>
      </c>
      <c r="F73" s="119">
        <f>C11</f>
        <v>106.61030370578736</v>
      </c>
      <c r="G73" s="296"/>
      <c r="H73" s="296"/>
      <c r="I73" s="296"/>
      <c r="J73" s="296"/>
      <c r="K73" s="296"/>
      <c r="L73" s="296"/>
    </row>
    <row r="74" spans="1:21" ht="13.15">
      <c r="A74" s="131">
        <v>1</v>
      </c>
      <c r="B74" s="119">
        <f t="shared" ref="B74:F87" si="11">(B56+FV_adjustments)/Common_Shares*scaling_factor*Exchange_Rate</f>
        <v>97.239879671504212</v>
      </c>
      <c r="C74" s="119">
        <f t="shared" si="11"/>
        <v>101.80837178594115</v>
      </c>
      <c r="D74" s="119">
        <f t="shared" si="11"/>
        <v>102.72207020882853</v>
      </c>
      <c r="E74" s="119">
        <f t="shared" si="11"/>
        <v>103.63576863171592</v>
      </c>
      <c r="F74" s="119">
        <f t="shared" si="11"/>
        <v>104.54946705460334</v>
      </c>
      <c r="G74" s="296"/>
      <c r="H74" s="296"/>
      <c r="I74" s="296"/>
      <c r="J74" s="296"/>
      <c r="K74" s="296"/>
      <c r="L74" s="296"/>
    </row>
    <row r="75" spans="1:21" ht="13.15">
      <c r="A75" s="131">
        <v>2</v>
      </c>
      <c r="B75" s="119">
        <f t="shared" si="11"/>
        <v>93.405066563077909</v>
      </c>
      <c r="C75" s="119">
        <f t="shared" si="11"/>
        <v>101.9227466915996</v>
      </c>
      <c r="D75" s="119">
        <f t="shared" si="11"/>
        <v>103.67609496069936</v>
      </c>
      <c r="E75" s="119">
        <f t="shared" si="11"/>
        <v>105.44604731093091</v>
      </c>
      <c r="F75" s="119">
        <f t="shared" si="11"/>
        <v>107.23260374229422</v>
      </c>
      <c r="G75" s="296"/>
      <c r="H75" s="296"/>
      <c r="I75" s="296"/>
      <c r="J75" s="296"/>
      <c r="K75" s="296"/>
      <c r="L75" s="296"/>
    </row>
    <row r="76" spans="1:21" ht="13.15">
      <c r="A76" s="131">
        <v>3</v>
      </c>
      <c r="B76" s="119">
        <f t="shared" si="11"/>
        <v>90.00826241109192</v>
      </c>
      <c r="C76" s="119">
        <f t="shared" si="11"/>
        <v>102.02938996027883</v>
      </c>
      <c r="D76" s="119">
        <f t="shared" si="11"/>
        <v>104.57452386455903</v>
      </c>
      <c r="E76" s="119">
        <f t="shared" si="11"/>
        <v>107.16771094990455</v>
      </c>
      <c r="F76" s="119">
        <f t="shared" si="11"/>
        <v>109.80941566613723</v>
      </c>
      <c r="G76" s="296"/>
      <c r="H76" s="296"/>
      <c r="I76" s="296"/>
      <c r="J76" s="296"/>
      <c r="K76" s="296"/>
      <c r="L76" s="296"/>
    </row>
    <row r="77" spans="1:21" ht="13.15">
      <c r="A77" s="131">
        <v>4</v>
      </c>
      <c r="B77" s="119">
        <f t="shared" si="11"/>
        <v>86.99943822052154</v>
      </c>
      <c r="C77" s="119">
        <f t="shared" si="11"/>
        <v>102.12882424342961</v>
      </c>
      <c r="D77" s="119">
        <f t="shared" si="11"/>
        <v>105.42059677169028</v>
      </c>
      <c r="E77" s="119">
        <f t="shared" si="11"/>
        <v>108.80509734780952</v>
      </c>
      <c r="F77" s="119">
        <f t="shared" si="11"/>
        <v>112.28411616176267</v>
      </c>
      <c r="G77" s="296"/>
      <c r="H77" s="296"/>
      <c r="I77" s="296"/>
      <c r="J77" s="296"/>
      <c r="K77" s="296"/>
      <c r="L77" s="296"/>
    </row>
    <row r="78" spans="1:21" ht="13.15">
      <c r="A78" s="131">
        <v>5</v>
      </c>
      <c r="B78" s="119">
        <f t="shared" si="11"/>
        <v>86.295340000974363</v>
      </c>
      <c r="C78" s="119">
        <f t="shared" si="11"/>
        <v>104.39445734611233</v>
      </c>
      <c r="D78" s="119">
        <f t="shared" si="11"/>
        <v>108.4339609169495</v>
      </c>
      <c r="E78" s="119">
        <f t="shared" si="11"/>
        <v>112.62303843592741</v>
      </c>
      <c r="F78" s="119">
        <f t="shared" si="11"/>
        <v>116.96600294464073</v>
      </c>
      <c r="G78" s="296"/>
      <c r="H78" s="296"/>
      <c r="I78" s="296"/>
      <c r="J78" s="296"/>
      <c r="K78" s="296"/>
      <c r="L78" s="296"/>
    </row>
    <row r="79" spans="1:21" ht="13.15">
      <c r="A79" s="131">
        <v>6</v>
      </c>
      <c r="B79" s="119">
        <f t="shared" si="11"/>
        <v>83.934593139577402</v>
      </c>
      <c r="C79" s="119">
        <f t="shared" si="11"/>
        <v>104.48090267788147</v>
      </c>
      <c r="D79" s="119">
        <f t="shared" si="11"/>
        <v>109.18429717686081</v>
      </c>
      <c r="E79" s="119">
        <f t="shared" si="11"/>
        <v>114.10404478419144</v>
      </c>
      <c r="F79" s="119">
        <f t="shared" si="11"/>
        <v>119.24845935886064</v>
      </c>
      <c r="G79" s="296"/>
      <c r="H79" s="296"/>
      <c r="I79" s="296"/>
      <c r="J79" s="296"/>
      <c r="K79" s="296"/>
      <c r="L79" s="296"/>
    </row>
    <row r="80" spans="1:21" ht="13.15">
      <c r="A80" s="131">
        <f t="shared" ref="A80" si="12">A62</f>
        <v>7</v>
      </c>
      <c r="B80" s="119">
        <f t="shared" si="11"/>
        <v>83.580558810394479</v>
      </c>
      <c r="C80" s="119">
        <f t="shared" si="11"/>
        <v>106.58753747147539</v>
      </c>
      <c r="D80" s="119">
        <f t="shared" si="11"/>
        <v>111.97833146167883</v>
      </c>
      <c r="E80" s="119">
        <f t="shared" si="11"/>
        <v>117.66259683696194</v>
      </c>
      <c r="F80" s="119">
        <f t="shared" si="11"/>
        <v>123.65436983789102</v>
      </c>
      <c r="G80" s="296"/>
      <c r="H80" s="296"/>
      <c r="I80" s="296"/>
      <c r="J80" s="296"/>
      <c r="K80" s="296"/>
      <c r="L80" s="296"/>
    </row>
    <row r="81" spans="1:12" ht="13.15">
      <c r="A81" s="131">
        <v>8</v>
      </c>
      <c r="B81" s="119">
        <f t="shared" si="11"/>
        <v>81.728298461962737</v>
      </c>
      <c r="C81" s="119">
        <f t="shared" si="11"/>
        <v>106.66269057911477</v>
      </c>
      <c r="D81" s="119">
        <f t="shared" si="11"/>
        <v>112.64376407179117</v>
      </c>
      <c r="E81" s="119">
        <f t="shared" si="11"/>
        <v>119.00215835182777</v>
      </c>
      <c r="F81" s="119">
        <f t="shared" si="11"/>
        <v>125.75951641705188</v>
      </c>
      <c r="G81" s="296"/>
      <c r="H81" s="296"/>
      <c r="I81" s="296"/>
      <c r="J81" s="296"/>
      <c r="K81" s="296"/>
      <c r="L81" s="296"/>
    </row>
    <row r="82" spans="1:12" ht="13.15">
      <c r="A82" s="131">
        <f t="shared" ref="A82" si="13">A64</f>
        <v>9</v>
      </c>
      <c r="B82" s="119">
        <f t="shared" si="11"/>
        <v>81.626265156563306</v>
      </c>
      <c r="C82" s="119">
        <f t="shared" si="11"/>
        <v>108.62183854488637</v>
      </c>
      <c r="D82" s="119">
        <f t="shared" si="11"/>
        <v>115.23619772170647</v>
      </c>
      <c r="E82" s="119">
        <f t="shared" si="11"/>
        <v>122.32094260758107</v>
      </c>
      <c r="F82" s="119">
        <f t="shared" si="11"/>
        <v>129.90741298002339</v>
      </c>
      <c r="G82" s="296"/>
      <c r="H82" s="296"/>
      <c r="I82" s="296"/>
      <c r="J82" s="296"/>
      <c r="K82" s="296"/>
      <c r="L82" s="296"/>
    </row>
    <row r="83" spans="1:12" ht="13.15">
      <c r="A83" s="131">
        <f t="shared" ref="A83:A87" si="14">A65</f>
        <v>10</v>
      </c>
      <c r="B83" s="119">
        <f t="shared" si="11"/>
        <v>80.172967281016327</v>
      </c>
      <c r="C83" s="119">
        <f t="shared" si="11"/>
        <v>108.68717451470997</v>
      </c>
      <c r="D83" s="119">
        <f t="shared" si="11"/>
        <v>115.82633388099757</v>
      </c>
      <c r="E83" s="119">
        <f t="shared" si="11"/>
        <v>123.53256810413149</v>
      </c>
      <c r="F83" s="119">
        <f t="shared" si="11"/>
        <v>131.84902382180911</v>
      </c>
      <c r="G83" s="296"/>
      <c r="H83" s="296"/>
      <c r="I83" s="296"/>
      <c r="J83" s="296"/>
      <c r="K83" s="296"/>
      <c r="L83" s="296"/>
    </row>
    <row r="84" spans="1:12" ht="13.15">
      <c r="A84" s="131">
        <f t="shared" si="14"/>
        <v>15</v>
      </c>
      <c r="B84" s="119">
        <f t="shared" si="11"/>
        <v>78.687749513394792</v>
      </c>
      <c r="C84" s="119">
        <f t="shared" si="11"/>
        <v>113.88825428317855</v>
      </c>
      <c r="D84" s="119">
        <f t="shared" si="11"/>
        <v>123.53584793753703</v>
      </c>
      <c r="E84" s="119">
        <f t="shared" si="11"/>
        <v>134.310193010484</v>
      </c>
      <c r="F84" s="119">
        <f t="shared" si="11"/>
        <v>146.34837989125421</v>
      </c>
      <c r="G84" s="296"/>
      <c r="H84" s="296"/>
      <c r="I84" s="296"/>
      <c r="J84" s="296"/>
      <c r="K84" s="296"/>
      <c r="L84" s="296"/>
    </row>
    <row r="85" spans="1:12" ht="13.15">
      <c r="A85" s="132">
        <f t="shared" si="14"/>
        <v>20</v>
      </c>
      <c r="B85" s="119">
        <f t="shared" si="11"/>
        <v>77.679495305747039</v>
      </c>
      <c r="C85" s="119">
        <f t="shared" si="11"/>
        <v>116.83481900563</v>
      </c>
      <c r="D85" s="119">
        <f t="shared" si="11"/>
        <v>128.3697085348538</v>
      </c>
      <c r="E85" s="119">
        <f t="shared" si="11"/>
        <v>141.63898424403544</v>
      </c>
      <c r="F85" s="119">
        <f t="shared" si="11"/>
        <v>156.93061078712594</v>
      </c>
      <c r="G85" s="296"/>
      <c r="H85" s="296"/>
      <c r="I85" s="296"/>
      <c r="J85" s="296"/>
      <c r="K85" s="296"/>
      <c r="L85" s="296"/>
    </row>
    <row r="86" spans="1:12" ht="13.15">
      <c r="A86" s="132">
        <f t="shared" si="14"/>
        <v>25</v>
      </c>
      <c r="B86" s="119">
        <f t="shared" si="11"/>
        <v>78.140284478831887</v>
      </c>
      <c r="C86" s="119">
        <f t="shared" si="11"/>
        <v>120.44472315423523</v>
      </c>
      <c r="D86" s="119">
        <f t="shared" si="11"/>
        <v>133.60480088451865</v>
      </c>
      <c r="E86" s="119">
        <f t="shared" si="11"/>
        <v>149.12248263917522</v>
      </c>
      <c r="F86" s="119">
        <f t="shared" si="11"/>
        <v>167.48798239549092</v>
      </c>
      <c r="G86" s="296"/>
      <c r="H86" s="296"/>
      <c r="I86" s="296"/>
      <c r="J86" s="296"/>
      <c r="K86" s="296"/>
      <c r="L86" s="296"/>
    </row>
    <row r="87" spans="1:12" ht="13.15">
      <c r="A87" s="132">
        <f t="shared" si="14"/>
        <v>30</v>
      </c>
      <c r="B87" s="119">
        <f t="shared" si="11"/>
        <v>78.28337905021921</v>
      </c>
      <c r="C87" s="119">
        <f t="shared" si="11"/>
        <v>122.48218809925309</v>
      </c>
      <c r="D87" s="119">
        <f t="shared" si="11"/>
        <v>136.83320426875417</v>
      </c>
      <c r="E87" s="119">
        <f t="shared" si="11"/>
        <v>154.1227981138754</v>
      </c>
      <c r="F87" s="119">
        <f t="shared" si="11"/>
        <v>175.08098466211052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116.96600294464073</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112.62303843592741</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108.4339609169495</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104.39445734611233</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86.295340000974363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112.62303843592741</v>
      </c>
      <c r="F22" s="328">
        <f>1-F23-F24</f>
        <v>0.19999999999999996</v>
      </c>
      <c r="G22" s="328">
        <f>F22*(1-F$29-F$30)</f>
        <v>0.15999999999999995</v>
      </c>
    </row>
    <row r="23" spans="2:7">
      <c r="B23" s="302" t="s">
        <v>437</v>
      </c>
      <c r="C23" s="324">
        <v>0.01</v>
      </c>
      <c r="D23" s="325">
        <f>C18</f>
        <v>5</v>
      </c>
      <c r="E23" s="326">
        <f>DCF!E92</f>
        <v>108.4339609169495</v>
      </c>
      <c r="F23" s="327">
        <v>0.55000000000000004</v>
      </c>
      <c r="G23" s="328">
        <f t="shared" ref="G23:G24" si="0">F23*(1-F$29-F$30)</f>
        <v>0.44</v>
      </c>
    </row>
    <row r="24" spans="2:7">
      <c r="B24" s="302" t="s">
        <v>446</v>
      </c>
      <c r="C24" s="324">
        <v>0</v>
      </c>
      <c r="D24" s="325">
        <f>C18</f>
        <v>5</v>
      </c>
      <c r="E24" s="326">
        <f>DCF!E93</f>
        <v>104.39445734611233</v>
      </c>
      <c r="F24" s="327">
        <v>0.25</v>
      </c>
      <c r="G24" s="328">
        <f t="shared" si="0"/>
        <v>0.19999999999999998</v>
      </c>
    </row>
    <row r="25" spans="2:7">
      <c r="B25" s="141" t="s">
        <v>451</v>
      </c>
      <c r="C25" s="441">
        <f>E23*F23+E24*F24+E22*F22</f>
        <v>108.2619005280358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116.96600294464073</v>
      </c>
      <c r="F29" s="327">
        <v>0.15</v>
      </c>
      <c r="G29" s="328">
        <f>F29</f>
        <v>0.15</v>
      </c>
    </row>
    <row r="30" spans="2:7">
      <c r="B30" s="315" t="s">
        <v>447</v>
      </c>
      <c r="C30" s="324">
        <v>-0.05</v>
      </c>
      <c r="D30" s="325">
        <f>C18</f>
        <v>5</v>
      </c>
      <c r="E30" s="326">
        <f>DCF!E94</f>
        <v>86.295340000974363</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68.55</v>
      </c>
      <c r="D34" t="str">
        <f>Market_currency</f>
        <v>HKD</v>
      </c>
      <c r="E34" s="97" t="s">
        <v>454</v>
      </c>
      <c r="F34" s="330">
        <f>RATE(Holding_Period,$C$33,-C34,$C$36)</f>
        <v>0.24632545477758799</v>
      </c>
    </row>
    <row r="35" spans="2:7">
      <c r="B35" s="97" t="s">
        <v>434</v>
      </c>
      <c r="C35" s="320">
        <f>DCF!C11</f>
        <v>106.61030370578736</v>
      </c>
      <c r="D35" s="97" t="str">
        <f>Market_currency</f>
        <v>HKD</v>
      </c>
      <c r="E35" s="97" t="s">
        <v>454</v>
      </c>
      <c r="F35" s="330">
        <f>RATE(Holding_Period,$C$33,-C35,$C$36)</f>
        <v>6.528897803445588E-2</v>
      </c>
    </row>
    <row r="36" spans="2:7">
      <c r="B36" s="97" t="s">
        <v>435</v>
      </c>
      <c r="C36" s="321">
        <f>E22*G22+E23*G23+E24*G24+E30*G30+E29*G29</f>
        <v>108.46918786417346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108.46931662983495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9.6234974214736702E-2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11.586073736913978</v>
      </c>
      <c r="D62" s="119">
        <f>C36/(1+F62)^Holding_Period</f>
        <v>49.37150107609169</v>
      </c>
      <c r="E62" s="332">
        <f>C62+D62</f>
        <v>60.957574813005664</v>
      </c>
      <c r="F62" s="301">
        <f>Thesis!E22</f>
        <v>0.3</v>
      </c>
      <c r="G62" s="440">
        <f>(1-E62/C36)</f>
        <v>0.43801944115837266</v>
      </c>
    </row>
    <row r="63" spans="2:7" ht="13.15">
      <c r="B63" s="302" t="s">
        <v>313</v>
      </c>
      <c r="C63" s="119">
        <f>PV(F63, Holding_Period, -C58, 0)</f>
        <v>13.438509259259257</v>
      </c>
      <c r="D63" s="119">
        <f>C36/(1+F63)^Holding_Period</f>
        <v>62.771520754730012</v>
      </c>
      <c r="E63" s="332">
        <f>C63+D63</f>
        <v>76.210030013989268</v>
      </c>
      <c r="F63" s="301">
        <f>Thesis!E23</f>
        <v>0.2</v>
      </c>
      <c r="G63" s="440">
        <f>(1-E63/C36)</f>
        <v>0.29740388478412449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77.746417723521432</v>
      </c>
      <c r="E66" s="332">
        <f>C66+D66</f>
        <v>93.137860625759643</v>
      </c>
      <c r="F66" s="301">
        <f>Thesis!E24</f>
        <v>0.1174</v>
      </c>
      <c r="G66" s="440">
        <f>(1-E66/C36)</f>
        <v>0.14134269408942113</v>
      </c>
    </row>
    <row r="67" spans="2:7" ht="13.15">
      <c r="B67" s="302" t="s">
        <v>314</v>
      </c>
      <c r="C67" s="119">
        <f>PV(F67, Holding_Period, -C58, 0)</f>
        <v>16.665908999272972</v>
      </c>
      <c r="D67" s="119">
        <f>C36/(1+F67)^Holding_Period</f>
        <v>87.925426965797612</v>
      </c>
      <c r="E67" s="332">
        <f>C67+D67</f>
        <v>104.59133596507058</v>
      </c>
      <c r="F67" s="301">
        <f>Thesis!E25</f>
        <v>7.2499999999999995E-2</v>
      </c>
      <c r="G67" s="440">
        <f>(1-E67/C36)</f>
        <v>3.5750723089756797E-2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46057</v>
      </c>
    </row>
    <row r="4" spans="1:10">
      <c r="B4" s="422" t="s">
        <v>533</v>
      </c>
      <c r="C4" s="423" t="str">
        <f>Thesis!C4</f>
        <v>微博</v>
      </c>
      <c r="D4" s="349"/>
      <c r="E4" s="434" t="s">
        <v>539</v>
      </c>
      <c r="F4" s="437" t="str">
        <f>Thesis!F4</f>
        <v>INT</v>
      </c>
    </row>
    <row r="5" spans="1:10">
      <c r="B5" s="343" t="s">
        <v>364</v>
      </c>
      <c r="C5" s="355" t="str">
        <f>Thesis!C5</f>
        <v>9898.HK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68.55</v>
      </c>
    </row>
    <row r="9" spans="1:10">
      <c r="B9" s="351" t="s">
        <v>361</v>
      </c>
      <c r="C9" s="353">
        <f>Common_Shares</f>
        <v>244825280</v>
      </c>
    </row>
    <row r="10" spans="1:10">
      <c r="B10" s="351" t="s">
        <v>367</v>
      </c>
      <c r="C10" s="357">
        <f>投资主题!C8*Common_Shares/1000000</f>
        <v>16782.772944</v>
      </c>
      <c r="D10" s="343" t="s">
        <v>528</v>
      </c>
      <c r="E10" s="360">
        <f>Scenarios!F34</f>
        <v>0.24632545477758799</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7.8334089999999996</v>
      </c>
    </row>
    <row r="17" spans="1:6">
      <c r="B17" s="343" t="s">
        <v>534</v>
      </c>
      <c r="C17" s="424">
        <f>Terminal_Growth</f>
        <v>-0.02</v>
      </c>
      <c r="D17" s="351" t="s">
        <v>339</v>
      </c>
      <c r="E17" s="344" t="str">
        <f>Reporting_currency</f>
        <v>USD</v>
      </c>
    </row>
    <row r="18" spans="1:6">
      <c r="B18" s="343" t="str">
        <f>"预期股权价值 ("&amp;C7&amp;") :"</f>
        <v>预期股权价值 (HKD) :</v>
      </c>
      <c r="C18" s="359">
        <f>C125</f>
        <v>108.46918786417346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60.957574813005664</v>
      </c>
      <c r="D22" s="365" t="s">
        <v>440</v>
      </c>
      <c r="E22" s="366">
        <f>Thesis!E22</f>
        <v>0.3</v>
      </c>
    </row>
    <row r="23" spans="1:6">
      <c r="B23" s="343" t="s">
        <v>341</v>
      </c>
      <c r="C23" s="367">
        <f>E141</f>
        <v>76.210030013989268</v>
      </c>
      <c r="D23" s="365" t="s">
        <v>441</v>
      </c>
      <c r="E23" s="368">
        <f>Thesis!E23</f>
        <v>0.2</v>
      </c>
    </row>
    <row r="24" spans="1:6">
      <c r="B24" s="343" t="s">
        <v>343</v>
      </c>
      <c r="C24" s="367">
        <f>E144</f>
        <v>93.137860625759643</v>
      </c>
      <c r="D24" s="365" t="s">
        <v>443</v>
      </c>
      <c r="E24" s="368">
        <f>Thesis!E24</f>
        <v>0.1174</v>
      </c>
    </row>
    <row r="25" spans="1:6">
      <c r="B25" s="343" t="s">
        <v>342</v>
      </c>
      <c r="C25" s="367">
        <f>E145</f>
        <v>104.59133596507058</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501</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502</v>
      </c>
      <c r="C40" s="470"/>
      <c r="D40" s="470"/>
      <c r="E40" s="470"/>
      <c r="F40" s="470"/>
    </row>
    <row r="41" spans="2:6">
      <c r="B41" s="372" t="s">
        <v>202</v>
      </c>
      <c r="C41" s="373">
        <f>Normalized_FCF!C9</f>
        <v>0</v>
      </c>
      <c r="D41" s="343" t="str">
        <f>Reporting_currency</f>
        <v>USD</v>
      </c>
    </row>
    <row r="43" spans="2:6">
      <c r="B43" s="470" t="s">
        <v>503</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504</v>
      </c>
    </row>
    <row r="49" spans="2:6">
      <c r="B49" s="372" t="s">
        <v>223</v>
      </c>
      <c r="C49" s="373">
        <f>Normalized_FCF!C13</f>
        <v>-14953.035947099615</v>
      </c>
      <c r="D49" s="343" t="str">
        <f>Reporting_currency</f>
        <v>USD</v>
      </c>
    </row>
    <row r="51" spans="2:6">
      <c r="B51" s="470" t="s">
        <v>505</v>
      </c>
      <c r="C51" s="470"/>
      <c r="D51" s="470"/>
      <c r="E51" s="470"/>
      <c r="F51" s="470"/>
    </row>
    <row r="52" spans="2:6">
      <c r="B52" s="372" t="s">
        <v>496</v>
      </c>
      <c r="C52" s="373">
        <f>Normalized_FCF!C12</f>
        <v>-99553.060274435556</v>
      </c>
      <c r="D52" s="343" t="str">
        <f>Reporting_currency</f>
        <v>USD</v>
      </c>
    </row>
    <row r="54" spans="2:6">
      <c r="B54" s="470" t="s">
        <v>506</v>
      </c>
      <c r="C54" s="476"/>
      <c r="D54" s="476"/>
      <c r="E54" s="476"/>
      <c r="F54" s="476"/>
    </row>
    <row r="55" spans="2:6">
      <c r="B55" s="372" t="s">
        <v>207</v>
      </c>
      <c r="C55" s="373">
        <f>Normalized_FCF!C17</f>
        <v>0</v>
      </c>
      <c r="D55" s="343" t="str">
        <f>Reporting_currency</f>
        <v>USD</v>
      </c>
    </row>
    <row r="57" spans="2:6">
      <c r="B57" s="474" t="s">
        <v>507</v>
      </c>
      <c r="C57" s="474"/>
      <c r="D57" s="474"/>
      <c r="E57" s="474"/>
      <c r="F57" s="474"/>
    </row>
    <row r="58" spans="2:6">
      <c r="B58" s="474" t="s">
        <v>508</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0.13242068375971852</v>
      </c>
      <c r="F62" s="379"/>
    </row>
    <row r="63" spans="2:6">
      <c r="B63" s="377" t="s">
        <v>332</v>
      </c>
      <c r="C63" s="378">
        <f>Normalized_FCF!C92</f>
        <v>9.3064916119620714E-2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-1067520</v>
      </c>
      <c r="D78" s="343" t="str">
        <f>Reporting_currency</f>
        <v>USD</v>
      </c>
    </row>
    <row r="79" spans="1:6">
      <c r="B79" s="372" t="s">
        <v>234</v>
      </c>
      <c r="C79" s="387">
        <f>C78*scaling_factor*Exchange_Rate/Common_Shares</f>
        <v>-34.156279840382496</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511</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21.760389825104983</v>
      </c>
      <c r="D86" s="343" t="str">
        <f>Market_currency</f>
        <v>HKD</v>
      </c>
    </row>
    <row r="88" spans="1:6">
      <c r="B88" s="343" t="s">
        <v>512</v>
      </c>
    </row>
    <row r="89" spans="1:6">
      <c r="B89" s="343" t="s">
        <v>217</v>
      </c>
      <c r="C89" s="373">
        <f>DCF!F6</f>
        <v>713666.7</v>
      </c>
      <c r="D89" s="343" t="str">
        <f>Reporting_currency</f>
        <v>USD</v>
      </c>
    </row>
    <row r="90" spans="1:6">
      <c r="B90" s="372" t="s">
        <v>236</v>
      </c>
      <c r="C90" s="387">
        <f>C89*scaling_factor*Exchange_Rate/Common_Shares</f>
        <v>22.834419512479677</v>
      </c>
      <c r="D90" s="343" t="str">
        <f>Market_currency</f>
        <v>HKD</v>
      </c>
    </row>
    <row r="92" spans="1:6">
      <c r="B92" s="372" t="s">
        <v>480</v>
      </c>
      <c r="C92" s="387">
        <f>DCF!F8</f>
        <v>10.438529497202163</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-19.267278069624581</v>
      </c>
      <c r="D111" s="343" t="str">
        <f>Market_currency</f>
        <v>HKD</v>
      </c>
    </row>
    <row r="112" spans="1:6">
      <c r="A112" s="385"/>
      <c r="B112" s="372" t="s">
        <v>377</v>
      </c>
      <c r="C112" s="394">
        <f>DCF!C11</f>
        <v>106.61030370578736</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116.97 HKD</v>
      </c>
      <c r="F118" s="399">
        <f>DCF!F90</f>
        <v>0.15</v>
      </c>
    </row>
    <row r="119" spans="1:6">
      <c r="A119" s="385"/>
      <c r="B119" s="400" t="str">
        <f>DCF!B91</f>
        <v>Optimistic</v>
      </c>
      <c r="C119" s="401">
        <f>DCF!C91</f>
        <v>0.02</v>
      </c>
      <c r="D119" s="402">
        <f>DCF!D91</f>
        <v>5</v>
      </c>
      <c r="E119" s="398" t="str">
        <f>ROUND(DCF!E91,2)&amp;" "&amp;Market_currency</f>
        <v>112.62 HKD</v>
      </c>
      <c r="F119" s="403">
        <f>DCF!F91</f>
        <v>0.15999999999999995</v>
      </c>
    </row>
    <row r="120" spans="1:6">
      <c r="B120" s="400" t="str">
        <f>DCF!B92</f>
        <v>Base</v>
      </c>
      <c r="C120" s="401">
        <f>DCF!C92</f>
        <v>0.01</v>
      </c>
      <c r="D120" s="402">
        <f>DCF!D92</f>
        <v>5</v>
      </c>
      <c r="E120" s="398" t="str">
        <f>ROUND(DCF!E92,2)&amp;" "&amp;Market_currency</f>
        <v>108.43 HKD</v>
      </c>
      <c r="F120" s="403">
        <f>DCF!F92</f>
        <v>0.44</v>
      </c>
    </row>
    <row r="121" spans="1:6">
      <c r="B121" s="400" t="str">
        <f>DCF!B93</f>
        <v>Pessimistic</v>
      </c>
      <c r="C121" s="401">
        <f>DCF!C93</f>
        <v>0</v>
      </c>
      <c r="D121" s="402">
        <f>DCF!D93</f>
        <v>5</v>
      </c>
      <c r="E121" s="398" t="str">
        <f>ROUND(DCF!E93,2)&amp;" "&amp;Market_currency</f>
        <v>104.39 HKD</v>
      </c>
      <c r="F121" s="403">
        <f>DCF!F93</f>
        <v>0.19999999999999998</v>
      </c>
    </row>
    <row r="122" spans="1:6">
      <c r="B122" s="400" t="str">
        <f>DCF!B94</f>
        <v>Devil's advocate</v>
      </c>
      <c r="C122" s="401">
        <f>DCF!C94</f>
        <v>-0.05</v>
      </c>
      <c r="D122" s="402">
        <f>DCF!D94</f>
        <v>5</v>
      </c>
      <c r="E122" s="398" t="str">
        <f>ROUND(DCF!E94,2)&amp;" "&amp;Market_currency</f>
        <v>86.3 HKD</v>
      </c>
      <c r="F122" s="403">
        <f>DCF!F94</f>
        <v>0.05</v>
      </c>
    </row>
    <row r="124" spans="1:6">
      <c r="B124" s="470" t="s">
        <v>518</v>
      </c>
      <c r="C124" s="470"/>
      <c r="D124" s="470"/>
      <c r="E124" s="470"/>
      <c r="F124" s="470"/>
    </row>
    <row r="125" spans="1:6">
      <c r="B125" s="372" t="s">
        <v>218</v>
      </c>
      <c r="C125" s="404">
        <f>Scenarios!C36</f>
        <v>108.46918786417346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11.586073736913978</v>
      </c>
      <c r="D140" s="409">
        <f>Scenarios!D62</f>
        <v>49.37150107609169</v>
      </c>
      <c r="E140" s="410">
        <f>Scenarios!E62</f>
        <v>60.957574813005664</v>
      </c>
      <c r="F140" s="411">
        <f>E22</f>
        <v>0.3</v>
      </c>
    </row>
    <row r="141" spans="1:6">
      <c r="B141" s="408" t="s">
        <v>313</v>
      </c>
      <c r="C141" s="409">
        <f>Scenarios!C63</f>
        <v>13.438509259259257</v>
      </c>
      <c r="D141" s="409">
        <f>Scenarios!D63</f>
        <v>62.771520754730012</v>
      </c>
      <c r="E141" s="410">
        <f>Scenarios!E63</f>
        <v>76.210030013989268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77.746417723521432</v>
      </c>
      <c r="E144" s="410">
        <f>Scenarios!E66</f>
        <v>93.137860625759643</v>
      </c>
      <c r="F144" s="411">
        <f>E24</f>
        <v>0.1174</v>
      </c>
    </row>
    <row r="145" spans="1:6">
      <c r="B145" s="408" t="s">
        <v>314</v>
      </c>
      <c r="C145" s="409">
        <f>Scenarios!C67</f>
        <v>16.665908999272972</v>
      </c>
      <c r="D145" s="409">
        <f>Scenarios!D67</f>
        <v>87.925426965797612</v>
      </c>
      <c r="E145" s="410">
        <f>Scenarios!E67</f>
        <v>104.59133596507058</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