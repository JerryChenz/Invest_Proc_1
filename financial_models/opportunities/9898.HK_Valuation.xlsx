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9274B8-2B45-4AEF-974C-50D033600F8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<sst xmlns="http://schemas.openxmlformats.org/spreadsheetml/2006/main" count="768" uniqueCount="559">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</sst>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76.849999999999994</v>
      </c>
      <c r="E8" s="32"/>
    </row>
    <row r="9" spans="1:9">
      <c r="B9" s="4" t="s">
        <v>346</v>
      </c>
      <c r="C9" s="48">
        <v>244825280</v>
      </c>
    </row>
    <row r="10" spans="1:9">
      <c r="B10" s="4" t="s">
        <v>352</v>
      </c>
      <c r="C10" s="33">
        <f>Thesis!C8*Common_Shares/1000000</f>
        <v>18814.822768000002</v>
      </c>
      <c r="D10" s="1" t="s">
        <v>528</v>
      </c>
      <c r="E10" s="303">
        <f>Scenarios!F34</f>
        <v>0.19611470151787844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7.8264999389648438</v>
      </c>
    </row>
    <row r="17" spans="1:6">
      <c r="B17" s="1" t="s">
        <v>532</v>
      </c>
      <c r="C17" s="456">
        <v>-0.02</v>
      </c>
      <c r="D17" s="4" t="s">
        <v>274</v>
      </c>
      <c r="E17" s="224" t="s">
        <v>558</v>
      </c>
    </row>
    <row r="18" spans="1:6">
      <c r="B18" s="1" t="str">
        <f>"Expected Equity Value ("&amp;C7&amp;") :"</f>
        <v>Expected Equity Value (HKD) :</v>
      </c>
      <c r="C18" s="252">
        <f>C125</f>
        <v>108.3735181194445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61.615434534050976</v>
      </c>
      <c r="D22" s="38" t="s">
        <v>406</v>
      </c>
      <c r="E22" s="79">
        <v>0.29465259038036606</v>
      </c>
    </row>
    <row r="23" spans="1:6">
      <c r="B23" s="1" t="s">
        <v>313</v>
      </c>
      <c r="C23" s="256">
        <f>E141</f>
        <v>76.021125600449537</v>
      </c>
      <c r="D23" s="38" t="s">
        <v>407</v>
      </c>
      <c r="E23" s="443">
        <v>0.20075184365903009</v>
      </c>
    </row>
    <row r="24" spans="1:6">
      <c r="B24" s="1" t="s">
        <v>315</v>
      </c>
      <c r="C24" s="256">
        <f>E144</f>
        <v>93.069288341928086</v>
      </c>
      <c r="D24" s="38" t="s">
        <v>408</v>
      </c>
      <c r="E24" s="443">
        <v>0.1174</v>
      </c>
    </row>
    <row r="25" spans="1:6">
      <c r="B25" s="1" t="s">
        <v>314</v>
      </c>
      <c r="C25" s="256">
        <f>E145</f>
        <v>104.51378580249782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0.11801472450402546</v>
      </c>
      <c r="F62" s="257"/>
    </row>
    <row r="63" spans="2:6">
      <c r="B63" s="204" t="s">
        <v>332</v>
      </c>
      <c r="C63" s="89">
        <f>Normalized_FCF!C92</f>
        <v>8.3013662979830843E-2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-34.126154026429582</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21.741197177121148</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22.814279571093483</v>
      </c>
      <c r="D90" s="1" t="str">
        <f>Market_currency</f>
        <v>HKD</v>
      </c>
    </row>
    <row r="91" spans="1:6">
      <c r="A91" s="191"/>
    </row>
    <row r="92" spans="1:6">
      <c r="A92" s="191"/>
      <c r="B92" s="44" t="s">
        <v>469</v>
      </c>
      <c r="C92" s="216">
        <f>DCF!F8</f>
        <v>10.429322721785043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-19.250284344394053</v>
      </c>
      <c r="D111" s="1" t="str">
        <f>Market_currency</f>
        <v>HKD</v>
      </c>
    </row>
    <row r="112" spans="2:6">
      <c r="B112" s="44" t="s">
        <v>323</v>
      </c>
      <c r="C112" s="216">
        <f>DCF!C11</f>
        <v>106.51627349553281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116.86 HKD</v>
      </c>
      <c r="E118" s="208">
        <f>DCF!F90</f>
        <v>0.15</v>
      </c>
      <c r="F118" s="208">
        <f>RATE(Holding_Period,Scenarios!C$58,-DCF!E90,C$18)</f>
        <v>3.1114029688458507E-2</v>
      </c>
    </row>
    <row r="119" spans="2:6">
      <c r="B119" s="205" t="str">
        <f>DCF!B91&amp;" ("&amp;DCF!D91&amp;"yrs)"</f>
        <v>Optimistic (5yrs)</v>
      </c>
      <c r="C119" s="198">
        <f>DCF!C91</f>
        <v>0.02</v>
      </c>
      <c r="D119" s="207" t="str">
        <f>ROUND(DCF!E91,2)&amp;" "&amp;Market_currency</f>
        <v>112.52 HKD</v>
      </c>
      <c r="E119" s="199">
        <f>DCF!F91</f>
        <v>0.15999999999999995</v>
      </c>
      <c r="F119" s="208">
        <f>RATE(Holding_Period,Scenarios!C$58,-DCF!E91,C$18)</f>
        <v>4.4937639730005072E-2</v>
      </c>
    </row>
    <row r="120" spans="2:6">
      <c r="B120" s="205" t="str">
        <f>DCF!B92&amp;" ("&amp;DCF!D92&amp;"yrs)"</f>
        <v>Base (5yrs)</v>
      </c>
      <c r="C120" s="198">
        <f>DCF!C92</f>
        <v>0.01</v>
      </c>
      <c r="D120" s="207" t="str">
        <f>ROUND(DCF!E92,2)&amp;" "&amp;Market_currency</f>
        <v>108.34 HKD</v>
      </c>
      <c r="E120" s="199">
        <f>DCF!F92</f>
        <v>0.44</v>
      </c>
      <c r="F120" s="208">
        <f>RATE(Holding_Period,Scenarios!C$58,-DCF!E92,C$18)</f>
        <v>5.8988049744521182E-2</v>
      </c>
    </row>
    <row r="121" spans="2:6">
      <c r="B121" s="205" t="str">
        <f>DCF!B93&amp;" ("&amp;DCF!D93&amp;"yrs)"</f>
        <v>Pessimistic (5yrs)</v>
      </c>
      <c r="C121" s="198">
        <f>DCF!C93</f>
        <v>0</v>
      </c>
      <c r="D121" s="207" t="str">
        <f>ROUND(DCF!E93,2)&amp;" "&amp;Market_currency</f>
        <v>104.3 HKD</v>
      </c>
      <c r="E121" s="199">
        <f>DCF!F93</f>
        <v>0.19999999999999998</v>
      </c>
      <c r="F121" s="208">
        <f>RATE(Holding_Period,Scenarios!C$58,-DCF!E93,C$18)</f>
        <v>7.326680276648341E-2</v>
      </c>
    </row>
    <row r="122" spans="2:6">
      <c r="B122" s="205" t="str">
        <f>DCF!B94&amp;" ("&amp;DCF!D94&amp;"yrs)"</f>
        <v>Devil's advocate (5yrs)</v>
      </c>
      <c r="C122" s="198">
        <f>DCF!C94</f>
        <v>-0.05</v>
      </c>
      <c r="D122" s="207" t="str">
        <f>ROUND(DCF!E94,2)&amp;" "&amp;Market_currency</f>
        <v>86.22 HKD</v>
      </c>
      <c r="E122" s="199">
        <f>DCF!F94</f>
        <v>0.05</v>
      </c>
      <c r="F122" s="208">
        <f>RATE(Holding_Period,Scenarios!C$58,-DCF!E94,C$18)</f>
        <v>0.14812157763864028</v>
      </c>
    </row>
    <row r="124" spans="2:6">
      <c r="B124" s="463" t="s">
        <v>357</v>
      </c>
      <c r="C124" s="463"/>
      <c r="D124" s="463"/>
      <c r="E124" s="463"/>
      <c r="F124" s="463"/>
    </row>
    <row r="125" spans="2:6">
      <c r="B125" s="193" t="s">
        <v>218</v>
      </c>
      <c r="C125" s="197">
        <f>Scenarios!C36</f>
        <v>108.3735181194445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49.941713419098861</v>
      </c>
      <c r="E140" s="334">
        <f>Scenarios!E62</f>
        <v>61.615434534050976</v>
      </c>
      <c r="F140" s="335">
        <f>E22</f>
        <v>0.29465259038036606</v>
      </c>
    </row>
    <row r="141" spans="1:6">
      <c r="B141" s="336" t="s">
        <v>313</v>
      </c>
      <c r="C141" s="333">
        <f>Scenarios!C63</f>
        <v>13.42270358199781</v>
      </c>
      <c r="D141" s="333">
        <f>Scenarios!D63</f>
        <v>62.598422018451721</v>
      </c>
      <c r="E141" s="334">
        <f>Scenarios!E63</f>
        <v>76.021125600449537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77.677845439689875</v>
      </c>
      <c r="E144" s="334">
        <f>Scenarios!E66</f>
        <v>93.069288341928086</v>
      </c>
      <c r="F144" s="335">
        <f>E24</f>
        <v>0.1174</v>
      </c>
    </row>
    <row r="145" spans="1:6">
      <c r="B145" s="336" t="s">
        <v>314</v>
      </c>
      <c r="C145" s="333">
        <f>Scenarios!C67</f>
        <v>16.665908999272972</v>
      </c>
      <c r="D145" s="333">
        <f>Scenarios!D67</f>
        <v>87.84787680322485</v>
      </c>
      <c r="E145" s="334">
        <f>Scenarios!E67</f>
        <v>104.51378580249782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115.81697787039563</v>
      </c>
      <c r="D47" s="134">
        <f>D46*H1/Common_Shares*Exchange_Rate</f>
        <v>-19.250284344394053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-8354945.21484375</v>
      </c>
      <c r="D86" s="201">
        <f>C86*scaling_factor/Common_Shares</f>
        <v>-34.126154026429582</v>
      </c>
      <c r="E86" s="214" t="str">
        <f>Market_currency</f>
        <v>HKD</v>
      </c>
    </row>
    <row r="87" spans="2:8" ht="15" customHeight="1">
      <c r="B87" s="212" t="s">
        <v>240</v>
      </c>
      <c r="C87" s="73">
        <f>DCF!F5*Exchange_Rate</f>
        <v>5322794.686423894</v>
      </c>
      <c r="D87" s="201">
        <f>C87*scaling_factor/Common_Shares</f>
        <v>21.741197177121144</v>
      </c>
      <c r="E87" s="214" t="str">
        <f>Market_currency</f>
        <v>HKD</v>
      </c>
    </row>
    <row r="88" spans="2:8" ht="15" customHeight="1">
      <c r="B88" s="213" t="s">
        <v>159</v>
      </c>
      <c r="C88" s="73">
        <f>DCF!F6*Exchange_Rate</f>
        <v>5585512.3839912415</v>
      </c>
      <c r="D88" s="201">
        <f>C88*scaling_factor/Common_Shares</f>
        <v>22.814279571093483</v>
      </c>
      <c r="E88" s="214" t="str">
        <f>Market_currency</f>
        <v>HKD</v>
      </c>
    </row>
    <row r="89" spans="2:8" ht="15" customHeight="1">
      <c r="B89" s="77" t="s">
        <v>244</v>
      </c>
      <c r="C89" s="162">
        <f>SUM(C86:C88)</f>
        <v>2553361.8555713855</v>
      </c>
      <c r="D89" s="216">
        <f>SUM(D86:D88)</f>
        <v>10.429322721785045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8.3013662979830843E-2</v>
      </c>
      <c r="E92" s="237"/>
      <c r="G92" s="22">
        <f t="shared" ref="G92:Q92" si="38">IF(G$4="","",(G88*(1-dividend_tax_rate))/Market_Price)</f>
        <v>8.3013662979830843E-2</v>
      </c>
      <c r="H92" s="22">
        <f t="shared" si="38"/>
        <v>8.3013662979830843E-2</v>
      </c>
      <c r="I92" s="22">
        <f t="shared" si="38"/>
        <v>8.6050748210800276E-2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9.0694315781343562</v>
      </c>
      <c r="D123" s="26"/>
      <c r="E123" s="234"/>
      <c r="F123" s="26"/>
      <c r="G123" s="159">
        <f t="shared" ref="G123:Q123" si="48">IF(G$4="","",G14*$C$3/Common_Shares*Exchange_Rate)</f>
        <v>10.196613460120048</v>
      </c>
      <c r="H123" s="159">
        <f t="shared" si="48"/>
        <v>7.7125815922581937</v>
      </c>
      <c r="I123" s="159">
        <f t="shared" si="48"/>
        <v>10.814052278666241</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0.11801472450402546</v>
      </c>
      <c r="D124" s="26"/>
      <c r="E124" s="234"/>
      <c r="F124" s="26"/>
      <c r="G124" s="74">
        <f t="shared" ref="G124" si="49">IF(G$4="","",G123/Market_Price)</f>
        <v>0.13268202290331879</v>
      </c>
      <c r="H124" s="74">
        <f t="shared" ref="H124" si="50">IF(H$4="","",H123/Market_Price)</f>
        <v>0.10035890165592966</v>
      </c>
      <c r="I124" s="74">
        <f t="shared" ref="I124" si="51">IF(I$4="","",I123/Market_Price)</f>
        <v>0.14071636016481773</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1.6481951694353583E-2</v>
      </c>
      <c r="H125" s="22">
        <f>IF(H$4="","",(Data!D47*$C$3)/(Market_Price*Common_Shares))</f>
        <v>1.9000710472172118E-2</v>
      </c>
      <c r="I125" s="22">
        <f>IF(I$4="","",(Data!E47*$C$3)/(Market_Price*Common_Shares))</f>
        <v>5.1985076450654774E-3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10.429322721785043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7.8264999389648438</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26077876.483100399</v>
      </c>
      <c r="D10" t="str">
        <f>Market_currency</f>
        <v>HKD</v>
      </c>
      <c r="H10" s="308" t="s">
        <v>397</v>
      </c>
      <c r="I10" s="306">
        <f>Normalized_FCF!C41</f>
        <v>0.25</v>
      </c>
      <c r="N10" s="304"/>
      <c r="O10" s="304"/>
    </row>
    <row r="11" spans="2:15" ht="13.15">
      <c r="B11" s="136" t="s">
        <v>425</v>
      </c>
      <c r="C11" s="108">
        <f>(C10*scaling_factor)/Common_Shares</f>
        <v>106.51627349553281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108.37364677153478</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106.51627349553281</v>
      </c>
      <c r="C73" s="119">
        <f>C11</f>
        <v>106.51627349553281</v>
      </c>
      <c r="D73" s="119">
        <f>C11</f>
        <v>106.51627349553281</v>
      </c>
      <c r="E73" s="119">
        <f>C11</f>
        <v>106.51627349553281</v>
      </c>
      <c r="F73" s="119">
        <f>C11</f>
        <v>106.51627349553281</v>
      </c>
      <c r="G73" s="296"/>
      <c r="H73" s="296"/>
      <c r="I73" s="296"/>
      <c r="J73" s="296"/>
      <c r="K73" s="296"/>
      <c r="L73" s="296"/>
    </row>
    <row r="74" spans="1:21" ht="13.15">
      <c r="A74" s="131">
        <v>1</v>
      </c>
      <c r="B74" s="119">
        <f t="shared" ref="B74:F87" si="11">(B56+FV_adjustments)/Common_Shares*scaling_factor*Exchange_Rate</f>
        <v>97.154114168426105</v>
      </c>
      <c r="C74" s="119">
        <f t="shared" si="11"/>
        <v>101.71857687614404</v>
      </c>
      <c r="D74" s="119">
        <f t="shared" si="11"/>
        <v>102.63146941768761</v>
      </c>
      <c r="E74" s="119">
        <f t="shared" si="11"/>
        <v>103.5443619592312</v>
      </c>
      <c r="F74" s="119">
        <f t="shared" si="11"/>
        <v>104.45725450077482</v>
      </c>
      <c r="G74" s="296"/>
      <c r="H74" s="296"/>
      <c r="I74" s="296"/>
      <c r="J74" s="296"/>
      <c r="K74" s="296"/>
      <c r="L74" s="296"/>
    </row>
    <row r="75" spans="1:21" ht="13.15">
      <c r="A75" s="131">
        <v>2</v>
      </c>
      <c r="B75" s="119">
        <f t="shared" si="11"/>
        <v>93.322683362369631</v>
      </c>
      <c r="C75" s="119">
        <f t="shared" si="11"/>
        <v>101.83285090321895</v>
      </c>
      <c r="D75" s="119">
        <f t="shared" si="11"/>
        <v>103.58465272042183</v>
      </c>
      <c r="E75" s="119">
        <f t="shared" si="11"/>
        <v>105.35304397396904</v>
      </c>
      <c r="F75" s="119">
        <f t="shared" si="11"/>
        <v>107.13802466386052</v>
      </c>
      <c r="G75" s="296"/>
      <c r="H75" s="296"/>
      <c r="I75" s="296"/>
      <c r="J75" s="296"/>
      <c r="K75" s="296"/>
      <c r="L75" s="296"/>
    </row>
    <row r="76" spans="1:21" ht="13.15">
      <c r="A76" s="131">
        <v>3</v>
      </c>
      <c r="B76" s="119">
        <f t="shared" si="11"/>
        <v>89.928875189172757</v>
      </c>
      <c r="C76" s="119">
        <f t="shared" si="11"/>
        <v>101.93940011261286</v>
      </c>
      <c r="D76" s="119">
        <f t="shared" si="11"/>
        <v>104.48228921064238</v>
      </c>
      <c r="E76" s="119">
        <f t="shared" si="11"/>
        <v>107.07318910686649</v>
      </c>
      <c r="F76" s="119">
        <f t="shared" si="11"/>
        <v>109.71256384146265</v>
      </c>
      <c r="G76" s="296"/>
      <c r="H76" s="296"/>
      <c r="I76" s="296"/>
      <c r="J76" s="296"/>
      <c r="K76" s="296"/>
      <c r="L76" s="296"/>
    </row>
    <row r="77" spans="1:21" ht="13.15">
      <c r="A77" s="131">
        <v>4</v>
      </c>
      <c r="B77" s="119">
        <f t="shared" si="11"/>
        <v>86.922704779347981</v>
      </c>
      <c r="C77" s="119">
        <f t="shared" si="11"/>
        <v>102.03874669479828</v>
      </c>
      <c r="D77" s="119">
        <f t="shared" si="11"/>
        <v>105.3276158820855</v>
      </c>
      <c r="E77" s="119">
        <f t="shared" si="11"/>
        <v>108.70913133116056</v>
      </c>
      <c r="F77" s="119">
        <f t="shared" si="11"/>
        <v>112.18508165305258</v>
      </c>
      <c r="G77" s="296"/>
      <c r="H77" s="296"/>
      <c r="I77" s="296"/>
      <c r="J77" s="296"/>
      <c r="K77" s="296"/>
      <c r="L77" s="296"/>
    </row>
    <row r="78" spans="1:21" ht="13.15">
      <c r="A78" s="131">
        <v>5</v>
      </c>
      <c r="B78" s="119">
        <f t="shared" si="11"/>
        <v>86.219227573917848</v>
      </c>
      <c r="C78" s="119">
        <f t="shared" si="11"/>
        <v>104.30238151073385</v>
      </c>
      <c r="D78" s="119">
        <f t="shared" si="11"/>
        <v>108.33832224236238</v>
      </c>
      <c r="E78" s="119">
        <f t="shared" si="11"/>
        <v>112.52370499801825</v>
      </c>
      <c r="F78" s="119">
        <f t="shared" si="11"/>
        <v>116.86283901519664</v>
      </c>
      <c r="G78" s="296"/>
      <c r="H78" s="296"/>
      <c r="I78" s="296"/>
      <c r="J78" s="296"/>
      <c r="K78" s="296"/>
      <c r="L78" s="296"/>
    </row>
    <row r="79" spans="1:21" ht="13.15">
      <c r="A79" s="131">
        <v>6</v>
      </c>
      <c r="B79" s="119">
        <f t="shared" si="11"/>
        <v>83.860562889533981</v>
      </c>
      <c r="C79" s="119">
        <f t="shared" si="11"/>
        <v>104.38875059778331</v>
      </c>
      <c r="D79" s="119">
        <f t="shared" si="11"/>
        <v>109.0879967062387</v>
      </c>
      <c r="E79" s="119">
        <f t="shared" si="11"/>
        <v>114.00340509976132</v>
      </c>
      <c r="F79" s="119">
        <f t="shared" si="11"/>
        <v>119.14328230452087</v>
      </c>
      <c r="G79" s="296"/>
      <c r="H79" s="296"/>
      <c r="I79" s="296"/>
      <c r="J79" s="296"/>
      <c r="K79" s="296"/>
      <c r="L79" s="296"/>
    </row>
    <row r="80" spans="1:21" ht="13.15">
      <c r="A80" s="131">
        <f t="shared" ref="A80" si="12">A62</f>
        <v>7</v>
      </c>
      <c r="B80" s="119">
        <f t="shared" si="11"/>
        <v>83.506840818371657</v>
      </c>
      <c r="C80" s="119">
        <f t="shared" si="11"/>
        <v>106.49352734102294</v>
      </c>
      <c r="D80" s="119">
        <f t="shared" si="11"/>
        <v>111.87956665485162</v>
      </c>
      <c r="E80" s="119">
        <f t="shared" si="11"/>
        <v>117.55881851221196</v>
      </c>
      <c r="F80" s="119">
        <f t="shared" si="11"/>
        <v>123.54530677371632</v>
      </c>
      <c r="G80" s="296"/>
      <c r="H80" s="296"/>
      <c r="I80" s="296"/>
      <c r="J80" s="296"/>
      <c r="K80" s="296"/>
      <c r="L80" s="296"/>
    </row>
    <row r="81" spans="1:12" ht="13.15">
      <c r="A81" s="131">
        <v>8</v>
      </c>
      <c r="B81" s="119">
        <f t="shared" si="11"/>
        <v>81.65621416221876</v>
      </c>
      <c r="C81" s="119">
        <f t="shared" si="11"/>
        <v>106.56861416367609</v>
      </c>
      <c r="D81" s="119">
        <f t="shared" si="11"/>
        <v>112.54441235388627</v>
      </c>
      <c r="E81" s="119">
        <f t="shared" si="11"/>
        <v>118.89719853479689</v>
      </c>
      <c r="F81" s="119">
        <f t="shared" si="11"/>
        <v>125.64859661512695</v>
      </c>
      <c r="G81" s="296"/>
      <c r="H81" s="296"/>
      <c r="I81" s="296"/>
      <c r="J81" s="296"/>
      <c r="K81" s="296"/>
      <c r="L81" s="296"/>
    </row>
    <row r="82" spans="1:12" ht="13.15">
      <c r="A82" s="131">
        <f t="shared" ref="A82" si="13">A64</f>
        <v>9</v>
      </c>
      <c r="B82" s="119">
        <f t="shared" si="11"/>
        <v>81.554270850120417</v>
      </c>
      <c r="C82" s="119">
        <f t="shared" si="11"/>
        <v>108.52603416236818</v>
      </c>
      <c r="D82" s="119">
        <f t="shared" si="11"/>
        <v>115.13455947920968</v>
      </c>
      <c r="E82" s="119">
        <f t="shared" si="11"/>
        <v>122.21305562525275</v>
      </c>
      <c r="F82" s="119">
        <f t="shared" si="11"/>
        <v>129.79283473634965</v>
      </c>
      <c r="G82" s="296"/>
      <c r="H82" s="296"/>
      <c r="I82" s="296"/>
      <c r="J82" s="296"/>
      <c r="K82" s="296"/>
      <c r="L82" s="296"/>
    </row>
    <row r="83" spans="1:12" ht="13.15">
      <c r="A83" s="131">
        <f t="shared" ref="A83:A87" si="14">A65</f>
        <v>10</v>
      </c>
      <c r="B83" s="119">
        <f t="shared" si="11"/>
        <v>80.102254782241644</v>
      </c>
      <c r="C83" s="119">
        <f t="shared" si="11"/>
        <v>108.59131250591395</v>
      </c>
      <c r="D83" s="119">
        <f t="shared" si="11"/>
        <v>115.72417513883791</v>
      </c>
      <c r="E83" s="119">
        <f t="shared" si="11"/>
        <v>123.42361246899728</v>
      </c>
      <c r="F83" s="119">
        <f t="shared" si="11"/>
        <v>131.73273307878642</v>
      </c>
      <c r="G83" s="296"/>
      <c r="H83" s="296"/>
      <c r="I83" s="296"/>
      <c r="J83" s="296"/>
      <c r="K83" s="296"/>
      <c r="L83" s="296"/>
    </row>
    <row r="84" spans="1:12" ht="13.15">
      <c r="A84" s="131">
        <f t="shared" si="14"/>
        <v>15</v>
      </c>
      <c r="B84" s="119">
        <f t="shared" si="11"/>
        <v>78.618346975609882</v>
      </c>
      <c r="C84" s="119">
        <f t="shared" si="11"/>
        <v>113.78780492581322</v>
      </c>
      <c r="D84" s="119">
        <f t="shared" si="11"/>
        <v>123.42688940959215</v>
      </c>
      <c r="E84" s="119">
        <f t="shared" si="11"/>
        <v>134.19173151802869</v>
      </c>
      <c r="F84" s="119">
        <f t="shared" si="11"/>
        <v>146.21930072673405</v>
      </c>
      <c r="G84" s="296"/>
      <c r="H84" s="296"/>
      <c r="I84" s="296"/>
      <c r="J84" s="296"/>
      <c r="K84" s="296"/>
      <c r="L84" s="296"/>
    </row>
    <row r="85" spans="1:12" ht="13.15">
      <c r="A85" s="132">
        <f t="shared" si="14"/>
        <v>20</v>
      </c>
      <c r="B85" s="119">
        <f t="shared" si="11"/>
        <v>77.610982047439251</v>
      </c>
      <c r="C85" s="119">
        <f t="shared" si="11"/>
        <v>116.73177078032461</v>
      </c>
      <c r="D85" s="119">
        <f t="shared" si="11"/>
        <v>128.25648654538122</v>
      </c>
      <c r="E85" s="119">
        <f t="shared" si="11"/>
        <v>141.51405876304759</v>
      </c>
      <c r="F85" s="119">
        <f t="shared" si="11"/>
        <v>156.79219810265963</v>
      </c>
      <c r="G85" s="296"/>
      <c r="H85" s="296"/>
      <c r="I85" s="296"/>
      <c r="J85" s="296"/>
      <c r="K85" s="296"/>
      <c r="L85" s="296"/>
    </row>
    <row r="86" spans="1:12" ht="13.15">
      <c r="A86" s="132">
        <f t="shared" si="14"/>
        <v>25</v>
      </c>
      <c r="B86" s="119">
        <f t="shared" si="11"/>
        <v>78.071364804808908</v>
      </c>
      <c r="C86" s="119">
        <f t="shared" si="11"/>
        <v>120.33849099609884</v>
      </c>
      <c r="D86" s="119">
        <f t="shared" si="11"/>
        <v>133.48696154740489</v>
      </c>
      <c r="E86" s="119">
        <f t="shared" si="11"/>
        <v>148.99095671805097</v>
      </c>
      <c r="F86" s="119">
        <f t="shared" si="11"/>
        <v>167.34025811695199</v>
      </c>
      <c r="G86" s="296"/>
      <c r="H86" s="296"/>
      <c r="I86" s="296"/>
      <c r="J86" s="296"/>
      <c r="K86" s="296"/>
      <c r="L86" s="296"/>
    </row>
    <row r="87" spans="1:12" ht="13.15">
      <c r="A87" s="132">
        <f t="shared" si="14"/>
        <v>30</v>
      </c>
      <c r="B87" s="119">
        <f t="shared" si="11"/>
        <v>78.214333166888437</v>
      </c>
      <c r="C87" s="119">
        <f t="shared" si="11"/>
        <v>122.3741588985185</v>
      </c>
      <c r="D87" s="119">
        <f t="shared" si="11"/>
        <v>136.71251748220587</v>
      </c>
      <c r="E87" s="119">
        <f t="shared" si="11"/>
        <v>153.98686191814278</v>
      </c>
      <c r="F87" s="119">
        <f t="shared" si="11"/>
        <v>174.92656336110022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116.86283901519664</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112.52370499801825</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108.33832224236238</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104.30238151073385</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86.219227573917848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112.52370499801825</v>
      </c>
      <c r="F22" s="328">
        <f>1-F23-F24</f>
        <v>0.19999999999999996</v>
      </c>
      <c r="G22" s="328">
        <f>F22*(1-F$29-F$30)</f>
        <v>0.15999999999999995</v>
      </c>
    </row>
    <row r="23" spans="2:7">
      <c r="B23" s="302" t="s">
        <v>437</v>
      </c>
      <c r="C23" s="324">
        <v>0.01</v>
      </c>
      <c r="D23" s="325">
        <f>C18</f>
        <v>5</v>
      </c>
      <c r="E23" s="326">
        <f>DCF!E92</f>
        <v>108.33832224236238</v>
      </c>
      <c r="F23" s="327">
        <v>0.55000000000000004</v>
      </c>
      <c r="G23" s="328">
        <f t="shared" ref="G23:G24" si="0">F23*(1-F$29-F$30)</f>
        <v>0.44</v>
      </c>
    </row>
    <row r="24" spans="2:7">
      <c r="B24" s="302" t="s">
        <v>446</v>
      </c>
      <c r="C24" s="324">
        <v>0</v>
      </c>
      <c r="D24" s="325">
        <f>C18</f>
        <v>5</v>
      </c>
      <c r="E24" s="326">
        <f>DCF!E93</f>
        <v>104.30238151073385</v>
      </c>
      <c r="F24" s="327">
        <v>0.25</v>
      </c>
      <c r="G24" s="328">
        <f t="shared" si="0"/>
        <v>0.19999999999999998</v>
      </c>
    </row>
    <row r="25" spans="2:7">
      <c r="B25" s="141" t="s">
        <v>451</v>
      </c>
      <c r="C25" s="441">
        <f>E23*F23+E24*F24+E22*F22</f>
        <v>108.16641361058642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116.86283901519664</v>
      </c>
      <c r="F29" s="327">
        <v>0.15</v>
      </c>
      <c r="G29" s="328">
        <f>F29</f>
        <v>0.15</v>
      </c>
    </row>
    <row r="30" spans="2:7">
      <c r="B30" s="315" t="s">
        <v>447</v>
      </c>
      <c r="C30" s="324">
        <v>-0.05</v>
      </c>
      <c r="D30" s="325">
        <f>C18</f>
        <v>5</v>
      </c>
      <c r="E30" s="326">
        <f>DCF!E94</f>
        <v>86.219227573917848</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76.849999999999994</v>
      </c>
      <c r="D34" t="str">
        <f>Market_currency</f>
        <v>HKD</v>
      </c>
      <c r="E34" s="97" t="s">
        <v>454</v>
      </c>
      <c r="F34" s="330">
        <f>RATE(Holding_Period,$C$33,-C34,$C$36)</f>
        <v>0.19611470151787844</v>
      </c>
    </row>
    <row r="35" spans="2:7">
      <c r="B35" s="97" t="s">
        <v>434</v>
      </c>
      <c r="C35" s="320">
        <f>DCF!C11</f>
        <v>106.51627349553281</v>
      </c>
      <c r="D35" s="97" t="str">
        <f>Market_currency</f>
        <v>HKD</v>
      </c>
      <c r="E35" s="97" t="s">
        <v>454</v>
      </c>
      <c r="F35" s="330">
        <f>RATE(Holding_Period,$C$33,-C35,$C$36)</f>
        <v>6.5341523720629013E-2</v>
      </c>
    </row>
    <row r="36" spans="2:7">
      <c r="B36" s="97" t="s">
        <v>435</v>
      </c>
      <c r="C36" s="321">
        <f>E22*G22+E23*G23+E24*G24+E30*G30+E29*G29</f>
        <v>108.3735181194445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108.37364677153478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9.6234974214736729E-2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49.941713419098861</v>
      </c>
      <c r="E62" s="332">
        <f>C62+D62</f>
        <v>61.615434534050976</v>
      </c>
      <c r="F62" s="301">
        <f>Thesis!E22</f>
        <v>0.29465259038036606</v>
      </c>
      <c r="G62" s="440">
        <f>(1-E62/C36)</f>
        <v>0.4314530375756449</v>
      </c>
    </row>
    <row r="63" spans="2:7" ht="13.15">
      <c r="B63" s="302" t="s">
        <v>313</v>
      </c>
      <c r="C63" s="119">
        <f>PV(F63, Holding_Period, -C58, 0)</f>
        <v>13.42270358199781</v>
      </c>
      <c r="D63" s="119">
        <f>C36/(1+F63)^Holding_Period</f>
        <v>62.598422018451721</v>
      </c>
      <c r="E63" s="332">
        <f>C63+D63</f>
        <v>76.021125600449537</v>
      </c>
      <c r="F63" s="301">
        <f>Thesis!E23</f>
        <v>0.20075184365903009</v>
      </c>
      <c r="G63" s="440">
        <f>(1-E63/C36)</f>
        <v>0.29852673494771653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77.677845439689875</v>
      </c>
      <c r="E66" s="332">
        <f>C66+D66</f>
        <v>93.069288341928086</v>
      </c>
      <c r="F66" s="301">
        <f>Thesis!E24</f>
        <v>0.1174</v>
      </c>
      <c r="G66" s="440">
        <f>(1-E66/C36)</f>
        <v>0.14121743063327308</v>
      </c>
    </row>
    <row r="67" spans="2:7" ht="13.15">
      <c r="B67" s="302" t="s">
        <v>314</v>
      </c>
      <c r="C67" s="119">
        <f>PV(F67, Holding_Period, -C58, 0)</f>
        <v>16.665908999272972</v>
      </c>
      <c r="D67" s="119">
        <f>C36/(1+F67)^Holding_Period</f>
        <v>87.84787680322485</v>
      </c>
      <c r="E67" s="332">
        <f>C67+D67</f>
        <v>104.51378580249782</v>
      </c>
      <c r="F67" s="301">
        <f>Thesis!E25</f>
        <v>7.2499999999999995E-2</v>
      </c>
      <c r="G67" s="440">
        <f>(1-E67/C36)</f>
        <v>3.561508737487562E-2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76.849999999999994</v>
      </c>
    </row>
    <row r="9" spans="1:10">
      <c r="B9" s="351" t="s">
        <v>361</v>
      </c>
      <c r="C9" s="353">
        <f>Common_Shares</f>
        <v>244825280</v>
      </c>
    </row>
    <row r="10" spans="1:10">
      <c r="B10" s="351" t="s">
        <v>367</v>
      </c>
      <c r="C10" s="357">
        <f>投资主题!C8*Common_Shares/1000000</f>
        <v>18814.822768000002</v>
      </c>
      <c r="D10" s="343" t="s">
        <v>529</v>
      </c>
      <c r="E10" s="360">
        <f>Scenarios!F34</f>
        <v>0.19611470151787844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7.8264999389648438</v>
      </c>
    </row>
    <row r="17" spans="1:6">
      <c r="B17" s="343" t="s">
        <v>535</v>
      </c>
      <c r="C17" s="424">
        <f>Terminal_Growth</f>
        <v>-0.02</v>
      </c>
      <c r="D17" s="351" t="s">
        <v>339</v>
      </c>
      <c r="E17" s="344" t="str">
        <f>Reporting_currency</f>
        <v>USD</v>
      </c>
    </row>
    <row r="18" spans="1:6">
      <c r="B18" s="343" t="str">
        <f>"预期股权价值 ("&amp;C7&amp;") :"</f>
        <v>预期股权价值 (HKD) :</v>
      </c>
      <c r="C18" s="359">
        <f>C125</f>
        <v>108.3735181194445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61.615434534050976</v>
      </c>
      <c r="D22" s="365" t="s">
        <v>440</v>
      </c>
      <c r="E22" s="366">
        <f>Thesis!E22</f>
        <v>0.29465259038036606</v>
      </c>
    </row>
    <row r="23" spans="1:6">
      <c r="B23" s="343" t="s">
        <v>341</v>
      </c>
      <c r="C23" s="367">
        <f>E141</f>
        <v>76.021125600449537</v>
      </c>
      <c r="D23" s="365" t="s">
        <v>441</v>
      </c>
      <c r="E23" s="368">
        <f>Thesis!E23</f>
        <v>0.20075184365903009</v>
      </c>
    </row>
    <row r="24" spans="1:6">
      <c r="B24" s="343" t="s">
        <v>343</v>
      </c>
      <c r="C24" s="367">
        <f>E144</f>
        <v>93.069288341928086</v>
      </c>
      <c r="D24" s="365" t="s">
        <v>443</v>
      </c>
      <c r="E24" s="368">
        <f>Thesis!E24</f>
        <v>0.1174</v>
      </c>
    </row>
    <row r="25" spans="1:6">
      <c r="B25" s="343" t="s">
        <v>342</v>
      </c>
      <c r="C25" s="367">
        <f>E145</f>
        <v>104.51378580249782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0.11801472450402546</v>
      </c>
      <c r="F62" s="379"/>
    </row>
    <row r="63" spans="2:6">
      <c r="B63" s="377" t="s">
        <v>332</v>
      </c>
      <c r="C63" s="378">
        <f>Normalized_FCF!C92</f>
        <v>8.3013662979830843E-2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-34.126154026429582</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21.741197177121148</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22.814279571093483</v>
      </c>
      <c r="D90" s="343" t="str">
        <f>Market_currency</f>
        <v>HKD</v>
      </c>
    </row>
    <row r="92" spans="1:6">
      <c r="B92" s="372" t="s">
        <v>480</v>
      </c>
      <c r="C92" s="387">
        <f>DCF!F8</f>
        <v>10.429322721785043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-19.250284344394053</v>
      </c>
      <c r="D111" s="343" t="str">
        <f>Market_currency</f>
        <v>HKD</v>
      </c>
    </row>
    <row r="112" spans="1:6">
      <c r="A112" s="385"/>
      <c r="B112" s="372" t="s">
        <v>377</v>
      </c>
      <c r="C112" s="394">
        <f>DCF!C11</f>
        <v>106.51627349553281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116.86 HKD</v>
      </c>
      <c r="F118" s="399">
        <f>DCF!F90</f>
        <v>0.15</v>
      </c>
    </row>
    <row r="119" spans="1:6">
      <c r="A119" s="385"/>
      <c r="B119" s="400" t="str">
        <f>DCF!B91</f>
        <v>Optimistic</v>
      </c>
      <c r="C119" s="401">
        <f>DCF!C91</f>
        <v>0.02</v>
      </c>
      <c r="D119" s="402">
        <f>DCF!D91</f>
        <v>5</v>
      </c>
      <c r="E119" s="398" t="str">
        <f>ROUND(DCF!E91,2)&amp;" "&amp;Market_currency</f>
        <v>112.52 HKD</v>
      </c>
      <c r="F119" s="403">
        <f>DCF!F91</f>
        <v>0.15999999999999995</v>
      </c>
    </row>
    <row r="120" spans="1:6">
      <c r="B120" s="400" t="str">
        <f>DCF!B92</f>
        <v>Base</v>
      </c>
      <c r="C120" s="401">
        <f>DCF!C92</f>
        <v>0.01</v>
      </c>
      <c r="D120" s="402">
        <f>DCF!D92</f>
        <v>5</v>
      </c>
      <c r="E120" s="398" t="str">
        <f>ROUND(DCF!E92,2)&amp;" "&amp;Market_currency</f>
        <v>108.34 HKD</v>
      </c>
      <c r="F120" s="403">
        <f>DCF!F92</f>
        <v>0.44</v>
      </c>
    </row>
    <row r="121" spans="1:6">
      <c r="B121" s="400" t="str">
        <f>DCF!B93</f>
        <v>Pessimistic</v>
      </c>
      <c r="C121" s="401">
        <f>DCF!C93</f>
        <v>0</v>
      </c>
      <c r="D121" s="402">
        <f>DCF!D93</f>
        <v>5</v>
      </c>
      <c r="E121" s="398" t="str">
        <f>ROUND(DCF!E93,2)&amp;" "&amp;Market_currency</f>
        <v>104.3 HKD</v>
      </c>
      <c r="F121" s="403">
        <f>DCF!F93</f>
        <v>0.19999999999999998</v>
      </c>
    </row>
    <row r="122" spans="1:6">
      <c r="B122" s="400" t="str">
        <f>DCF!B94</f>
        <v>Devil's advocate</v>
      </c>
      <c r="C122" s="401">
        <f>DCF!C94</f>
        <v>-0.05</v>
      </c>
      <c r="D122" s="402">
        <f>DCF!D94</f>
        <v>5</v>
      </c>
      <c r="E122" s="398" t="str">
        <f>ROUND(DCF!E94,2)&amp;" "&amp;Market_currency</f>
        <v>86.22 HKD</v>
      </c>
      <c r="F122" s="403">
        <f>DCF!F94</f>
        <v>0.05</v>
      </c>
    </row>
    <row r="124" spans="1:6">
      <c r="B124" s="470" t="s">
        <v>519</v>
      </c>
      <c r="C124" s="470"/>
      <c r="D124" s="470"/>
      <c r="E124" s="470"/>
      <c r="F124" s="470"/>
    </row>
    <row r="125" spans="1:6">
      <c r="B125" s="372" t="s">
        <v>218</v>
      </c>
      <c r="C125" s="404">
        <f>Scenarios!C36</f>
        <v>108.3735181194445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49.941713419098861</v>
      </c>
      <c r="E140" s="410">
        <f>Scenarios!E62</f>
        <v>61.615434534050976</v>
      </c>
      <c r="F140" s="411">
        <f>E22</f>
        <v>0.29465259038036606</v>
      </c>
    </row>
    <row r="141" spans="1:6">
      <c r="B141" s="408" t="s">
        <v>313</v>
      </c>
      <c r="C141" s="409">
        <f>Scenarios!C63</f>
        <v>13.42270358199781</v>
      </c>
      <c r="D141" s="409">
        <f>Scenarios!D63</f>
        <v>62.598422018451721</v>
      </c>
      <c r="E141" s="410">
        <f>Scenarios!E63</f>
        <v>76.021125600449537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77.677845439689875</v>
      </c>
      <c r="E144" s="410">
        <f>Scenarios!E66</f>
        <v>93.069288341928086</v>
      </c>
      <c r="F144" s="411">
        <f>E24</f>
        <v>0.1174</v>
      </c>
    </row>
    <row r="145" spans="1:6">
      <c r="B145" s="408" t="s">
        <v>314</v>
      </c>
      <c r="C145" s="409">
        <f>Scenarios!C67</f>
        <v>16.665908999272972</v>
      </c>
      <c r="D145" s="409">
        <f>Scenarios!D67</f>
        <v>87.84787680322485</v>
      </c>
      <c r="E145" s="410">
        <f>Scenarios!E67</f>
        <v>104.51378580249782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