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191EA32-9719-442E-A705-E56709037F9D}"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Q92" i="2"/>
  <c r="Q94" i="2"/>
  <c r="J94" i="2"/>
  <c r="K94" i="2"/>
  <c r="O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<sst xmlns="http://schemas.openxmlformats.org/spreadsheetml/2006/main" count="836" uniqueCount="560">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</sst>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EDBC7E-9235-4376-8EF3-EEC4C19D6A7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1193400064</v>
          </cell>
        </row>
        <row r="12">
          <cell r="C12">
            <v>26.45</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28.68</v>
      </c>
      <c r="D12" s="50"/>
      <c r="E12" s="48"/>
    </row>
    <row r="13" spans="1:10">
      <c r="B13" s="1" t="s">
        <v>485</v>
      </c>
      <c r="C13" s="32" t="str">
        <f>Market_currency</f>
        <v>USD</v>
      </c>
      <c r="D13" s="48"/>
      <c r="E13" s="5"/>
    </row>
    <row r="14" spans="1:10">
      <c r="B14" s="4" t="s">
        <v>486</v>
      </c>
      <c r="C14" s="35">
        <f>投资主题!C12*Common_Shares/1000000</f>
        <v>34226.71383552</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36.134621832566509</v>
      </c>
      <c r="D26" s="1" t="s">
        <v>446</v>
      </c>
      <c r="E26" s="301">
        <f ca="1">Scenarios!C87</f>
        <v>0.11635040027483878</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16.586017104127016</v>
      </c>
      <c r="D29" s="310" t="str">
        <f>D149</f>
        <v/>
      </c>
      <c r="E29" s="306" t="s">
        <v>455</v>
      </c>
      <c r="F29" s="362">
        <f>Thesis!F29</f>
        <v>0.35</v>
      </c>
    </row>
    <row r="30" spans="2:6">
      <c r="B30" s="1" t="s">
        <v>450</v>
      </c>
      <c r="C30" s="311">
        <f>C157</f>
        <v>20.68716637827405</v>
      </c>
      <c r="D30" s="311" t="str">
        <f>D157</f>
        <v/>
      </c>
      <c r="E30" s="307" t="s">
        <v>454</v>
      </c>
      <c r="F30" s="224">
        <f>Thesis!F30</f>
        <v>0.25</v>
      </c>
    </row>
    <row r="31" spans="2:6">
      <c r="B31" s="1" t="s">
        <v>451</v>
      </c>
      <c r="C31" s="311">
        <f>C165</f>
        <v>31.999534598013469</v>
      </c>
      <c r="D31" s="311" t="str">
        <f>D165</f>
        <v/>
      </c>
      <c r="E31" s="307" t="s">
        <v>491</v>
      </c>
      <c r="F31" s="224">
        <f>Thesis!F31</f>
        <v>7.4999999999999997E-2</v>
      </c>
    </row>
    <row r="32" spans="2:6">
      <c r="B32" s="1" t="s">
        <v>452</v>
      </c>
      <c r="C32" s="311">
        <f>C173</f>
        <v>28.601981247202922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495</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8.8534428430369516E-2</v>
      </c>
      <c r="F69" s="314"/>
    </row>
    <row r="70" spans="1:6">
      <c r="B70" s="227" t="s">
        <v>434</v>
      </c>
      <c r="C70" s="92">
        <f>Normalized_FCF!C94</f>
        <v>3.9051603905160388E-2</v>
      </c>
      <c r="E70" s="47" t="s">
        <v>503</v>
      </c>
      <c r="F70" s="315">
        <f>Normalized_FCF!C92</f>
        <v>0.63012781093037351</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4" t="s">
        <v>516</v>
      </c>
      <c r="C116" s="374"/>
      <c r="D116" s="374"/>
      <c r="E116" s="374"/>
      <c r="F116" s="374"/>
    </row>
    <row r="118" spans="1:6">
      <c r="B118" s="47" t="s">
        <v>517</v>
      </c>
      <c r="C118" s="223">
        <f>IF(valuation_method="DCF",DCF!C12,DDM!C7)</f>
        <v>16.708520098210517</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1.1199999999999999</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532</v>
      </c>
      <c r="C150" s="298" t="str">
        <f>Market_currency</f>
        <v>USD</v>
      </c>
      <c r="D150" s="298" t="str">
        <f>IF($D$11="","",D$13)</f>
        <v/>
      </c>
    </row>
    <row r="151" spans="2:4">
      <c r="B151" s="214" t="s">
        <v>533</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532</v>
      </c>
      <c r="C158" s="298" t="str">
        <f>Market_currency</f>
        <v>USD</v>
      </c>
      <c r="D158" s="298" t="str">
        <f>IF($D$11="","",D$13)</f>
        <v/>
      </c>
    </row>
    <row r="159" spans="2:4">
      <c r="B159" s="214" t="s">
        <v>533</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532</v>
      </c>
      <c r="C166" s="298" t="str">
        <f>Market_currency</f>
        <v>USD</v>
      </c>
      <c r="D166" s="298" t="str">
        <f>IF($D$11="","",D$13)</f>
        <v/>
      </c>
    </row>
    <row r="167" spans="2:4">
      <c r="B167" s="214" t="s">
        <v>533</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532</v>
      </c>
      <c r="C174" s="298" t="str">
        <f>Market_currency</f>
        <v>USD</v>
      </c>
      <c r="D174" s="298" t="str">
        <f>IF($D$11="","",D$13)</f>
        <v/>
      </c>
    </row>
    <row r="175" spans="2:4">
      <c r="B175" s="214" t="s">
        <v>533</v>
      </c>
      <c r="C175" s="92">
        <f>Scenarios!F105</f>
        <v>0.20793713373654887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28.68</v>
      </c>
      <c r="D12" s="50"/>
      <c r="E12" s="48"/>
    </row>
    <row r="13" spans="1:10">
      <c r="B13" s="1" t="s">
        <v>464</v>
      </c>
      <c r="C13" s="48" t="s">
        <v>555</v>
      </c>
      <c r="D13" s="48"/>
      <c r="E13" s="5"/>
    </row>
    <row r="14" spans="1:10">
      <c r="B14" s="4" t="s">
        <v>465</v>
      </c>
      <c r="C14" s="35">
        <f>Thesis!C12*Common_Shares/1000000</f>
        <v>34226.71383552</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36.134621832566509</v>
      </c>
      <c r="D26" s="1" t="s">
        <v>380</v>
      </c>
      <c r="E26" s="301">
        <f ca="1">Scenarios!C87</f>
        <v>0.11635040027483878</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16.586017104127016</v>
      </c>
      <c r="D29" s="310" t="str">
        <f>D149</f>
        <v/>
      </c>
      <c r="E29" s="306" t="s">
        <v>400</v>
      </c>
      <c r="F29" s="302">
        <v>0.35</v>
      </c>
    </row>
    <row r="30" spans="2:6">
      <c r="B30" s="1" t="s">
        <v>402</v>
      </c>
      <c r="C30" s="311">
        <f>C157</f>
        <v>20.68716637827405</v>
      </c>
      <c r="D30" s="311" t="str">
        <f>D157</f>
        <v/>
      </c>
      <c r="E30" s="307" t="s">
        <v>413</v>
      </c>
      <c r="F30" s="312">
        <v>0.25</v>
      </c>
    </row>
    <row r="31" spans="2:6">
      <c r="B31" s="1" t="s">
        <v>403</v>
      </c>
      <c r="C31" s="311">
        <f>C165</f>
        <v>31.999534598013469</v>
      </c>
      <c r="D31" s="311" t="str">
        <f>D165</f>
        <v/>
      </c>
      <c r="E31" s="307" t="s">
        <v>412</v>
      </c>
      <c r="F31" s="312">
        <v>7.4999999999999997E-2</v>
      </c>
    </row>
    <row r="32" spans="2:6">
      <c r="B32" s="1" t="s">
        <v>404</v>
      </c>
      <c r="C32" s="311">
        <f>C173</f>
        <v>28.601981247202922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229</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8.8534428430369516E-2</v>
      </c>
      <c r="F69" s="314"/>
    </row>
    <row r="70" spans="1:6">
      <c r="B70" s="227" t="s">
        <v>434</v>
      </c>
      <c r="C70" s="92">
        <f>Normalized_FCF!C94</f>
        <v>3.9051603905160388E-2</v>
      </c>
      <c r="E70" s="47" t="s">
        <v>424</v>
      </c>
      <c r="F70" s="315">
        <f>Normalized_FCF!C92</f>
        <v>0.63012781093037351</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4" t="s">
        <v>352</v>
      </c>
      <c r="C116" s="374"/>
      <c r="D116" s="374"/>
      <c r="E116" s="374"/>
      <c r="F116" s="374"/>
    </row>
    <row r="118" spans="1:6">
      <c r="B118" s="47" t="s">
        <v>425</v>
      </c>
      <c r="C118" s="223">
        <f>IF(valuation_method="DCF",DCF!C12,DDM!C7)</f>
        <v>16.708520098210517</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1.1199999999999999</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395</v>
      </c>
      <c r="C150" s="298" t="str">
        <f>Market_currency</f>
        <v>USD</v>
      </c>
      <c r="D150" s="298" t="str">
        <f>IF($D$11="","",D$13)</f>
        <v/>
      </c>
    </row>
    <row r="151" spans="2:4">
      <c r="B151" s="214" t="s">
        <v>258</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395</v>
      </c>
      <c r="C158" s="298" t="str">
        <f>Market_currency</f>
        <v>USD</v>
      </c>
      <c r="D158" s="298" t="str">
        <f>IF($D$11="","",D$13)</f>
        <v/>
      </c>
    </row>
    <row r="159" spans="2:4">
      <c r="B159" s="214" t="s">
        <v>258</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395</v>
      </c>
      <c r="C166" s="298" t="str">
        <f>Market_currency</f>
        <v>USD</v>
      </c>
      <c r="D166" s="298" t="str">
        <f>IF($D$11="","",D$13)</f>
        <v/>
      </c>
    </row>
    <row r="167" spans="2:4">
      <c r="B167" s="214" t="s">
        <v>258</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395</v>
      </c>
      <c r="C174" s="298" t="str">
        <f>Market_currency</f>
        <v>USD</v>
      </c>
      <c r="D174" s="298" t="str">
        <f>IF($D$11="","",D$13)</f>
        <v/>
      </c>
    </row>
    <row r="175" spans="2:4">
      <c r="B175" s="214" t="s">
        <v>258</v>
      </c>
      <c r="C175" s="92">
        <f>Scenarios!F105</f>
        <v>0.20793713373654887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-594.28499848473007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-1866.9533418666667</v>
      </c>
      <c r="D73" s="349">
        <f>(Normalized_FCF!C25+Normalized_FCF!C35-Normalized_FCF!C91)/12</f>
        <v>-1928.2849984847301</v>
      </c>
      <c r="F73" s="1" t="s">
        <v>342</v>
      </c>
    </row>
    <row r="74" spans="2:6" ht="15" customHeight="1">
      <c r="B74" s="257" t="s">
        <v>312</v>
      </c>
      <c r="C74" s="258">
        <f>-$C$66/C73</f>
        <v>0.71453312200411223</v>
      </c>
      <c r="D74" s="258">
        <f>-$C$66/D73</f>
        <v>0.69180645031635546</v>
      </c>
      <c r="F74" s="253" t="s">
        <v>310</v>
      </c>
    </row>
    <row r="75" spans="2:6" ht="15" customHeight="1">
      <c r="B75" s="80" t="s">
        <v>311</v>
      </c>
      <c r="C75" s="320"/>
      <c r="D75" s="321">
        <f>MAX(-D73*D76,G5)</f>
        <v>1928.2849984847301</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-594.28499848473007</v>
      </c>
      <c r="D87" s="223">
        <f>C87*scaling_factor/Common_Shares</f>
        <v>-0.49797634205986613</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3.9051603905160388E-2</v>
      </c>
      <c r="E94" s="268"/>
      <c r="G94" s="23">
        <f t="shared" ref="G94:Q94" si="39">IF(G$4="","",(G90*(1-dividend_tax_rate))/Market_Price)</f>
        <v>3.9051603905160388E-2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8.8534428430369516E-2</v>
      </c>
      <c r="D126" s="27"/>
      <c r="E126" s="265"/>
      <c r="F126" s="27"/>
      <c r="G126" s="77">
        <f t="shared" ref="G126" si="50">IF(G$4="","",G125/Market_Price)</f>
        <v>7.4444774693962046E-2</v>
      </c>
      <c r="H126" s="77">
        <f t="shared" ref="H126" si="51">IF(H$4="","",H125/Market_Price)</f>
        <v>6.9273375509962334E-2</v>
      </c>
      <c r="I126" s="77">
        <f t="shared" ref="I126" si="52">IF(I$4="","",I125/Market_Price)</f>
        <v>3.2050988162981305E-2</v>
      </c>
      <c r="J126" s="77">
        <f t="shared" ref="J126" si="53">IF(J$4="","",J125/Market_Price)</f>
        <v>-5.8141719639318865E-3</v>
      </c>
      <c r="K126" s="77">
        <f t="shared" ref="K126" si="54">IF(K$4="","",K125/Market_Price)</f>
        <v>-2.4688318138303741E-2</v>
      </c>
      <c r="L126" s="77">
        <f t="shared" ref="L126" si="55">IF(L$4="","",L125/Market_Price)</f>
        <v>2.8661822596066235E-2</v>
      </c>
      <c r="M126" s="77">
        <f t="shared" ref="M126" si="56">IF(M$4="","",M125/Market_Price)</f>
        <v>-0.30493725018872914</v>
      </c>
      <c r="N126" s="77">
        <f t="shared" ref="N126" si="57">IF(N$4="","",N125/Market_Price)</f>
        <v>0.32135717302154188</v>
      </c>
      <c r="O126" s="77">
        <f t="shared" ref="O126" si="58">IF(O$4="","",O125/Market_Price)</f>
        <v>0.10567768840975696</v>
      </c>
      <c r="P126" s="77">
        <f t="shared" ref="P126" si="59">IF(P$4="","",P125/Market_Price)</f>
        <v>2.7434710925286643E-2</v>
      </c>
      <c r="Q126" s="77" t="str">
        <f t="shared" ref="Q126" si="60">IF(Q$4="","",Q125/Market_Price)</f>
        <v/>
      </c>
    </row>
    <row r="127" spans="1:17" ht="15.75" customHeight="1">
      <c r="B127" s="2" t="s">
        <v>375</v>
      </c>
      <c r="C127" s="169"/>
      <c r="G127" s="23">
        <f>IF(G$4="","",(Data!C47*$C$3)/(Market_Price*Common_Shares))</f>
        <v>8.0229729713351558E-2</v>
      </c>
      <c r="H127" s="23">
        <f>IF(H$4="","",(Data!D47*$C$3)/(Market_Price*Common_Shares))</f>
        <v>8.3151424167588694E-2</v>
      </c>
      <c r="I127" s="23">
        <f>IF(I$4="","",(Data!E47*$C$3)/(Market_Price*Common_Shares))</f>
        <v>6.9185724676335214E-2</v>
      </c>
      <c r="J127" s="23">
        <f>IF(J$4="","",(Data!F47*$C$3)/(Market_Price*Common_Shares))</f>
        <v>2.9918151211388203E-2</v>
      </c>
      <c r="K127" s="23">
        <f>IF(K$4="","",(Data!G47*$C$3)/(Market_Price*Common_Shares))</f>
        <v>1.0547316979796035E-2</v>
      </c>
      <c r="L127" s="23">
        <f>IF(L$4="","",(Data!H47*$C$3)/(Market_Price*Common_Shares))</f>
        <v>5.6476353800403702E-2</v>
      </c>
      <c r="M127" s="23">
        <f>IF(M$4="","",(Data!I47*$C$3)/(Market_Price*Common_Shares))</f>
        <v>-0.2995905493374752</v>
      </c>
      <c r="N127" s="23">
        <f>IF(N$4="","",(Data!J47*$C$3)/(Market_Price*Common_Shares))</f>
        <v>0.3210942205206605</v>
      </c>
      <c r="O127" s="23">
        <f>IF(O$4="","",(Data!K47*$C$3)/(Market_Price*Common_Shares))</f>
        <v>0.10640811202331624</v>
      </c>
      <c r="P127" s="23">
        <f>IF(P$4="","",(Data!L47*$C$3)/(Market_Price*Common_Shares))</f>
        <v>1.8903363118914225E-2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-594.28499848473007</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19939.948954549716</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16.708520098210517</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36.110746337765448</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1336.60807168</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17821.440955733335</v>
      </c>
      <c r="D6" t="str">
        <f>Reporting_currency</f>
        <v>USD</v>
      </c>
      <c r="E6" s="378"/>
      <c r="F6" s="378"/>
      <c r="H6" s="120"/>
    </row>
    <row r="7" spans="2:8" ht="13.15">
      <c r="B7" s="149" t="s">
        <v>420</v>
      </c>
      <c r="C7" s="111">
        <f>(C6*scaling_factor)/Common_Shares*Exchange_Rate</f>
        <v>14.933333333333334</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23.491450976587959</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127</v>
      </c>
      <c r="C46" s="123">
        <f>C$16*(1+F4)^$C$12/Equity_Cost</f>
        <v>18584.675530463221</v>
      </c>
      <c r="D46" s="139">
        <f>Terminal_Growth</f>
        <v>0</v>
      </c>
      <c r="E46" s="124">
        <f>1/(1+Equity_Cost)^C12</f>
        <v>0.11422103008133992</v>
      </c>
      <c r="F46" s="125">
        <f t="shared" si="1"/>
        <v>2122.7607828169816</v>
      </c>
      <c r="H46" s="120"/>
    </row>
    <row r="47" spans="2:8">
      <c r="C47" s="114"/>
      <c r="E47" s="127" t="s">
        <v>97</v>
      </c>
      <c r="F47" s="137">
        <f>SUM(F16:F46)</f>
        <v>28034.69909891293</v>
      </c>
      <c r="H47" s="120"/>
    </row>
    <row r="48" spans="2:8">
      <c r="C48" s="114"/>
      <c r="H48" s="120"/>
    </row>
    <row r="49" spans="1:8" ht="13.15">
      <c r="B49" s="119" t="s">
        <v>125</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-28.68</v>
      </c>
    </row>
    <row r="4" spans="2:9">
      <c r="B4" s="152" t="s">
        <v>142</v>
      </c>
      <c r="C4" s="120">
        <v>3</v>
      </c>
      <c r="D4" s="120"/>
      <c r="E4" s="155" t="s">
        <v>146</v>
      </c>
      <c r="F4" s="155"/>
      <c r="H4" s="247">
        <v>1</v>
      </c>
      <c r="I4" s="124">
        <f t="shared" ref="I4:I13" si="0">IF(ROW()-3 &lt; $C$76, $C$77, IF(ROW()-3 = $C$76, $C$77 + $C$60, ""))</f>
        <v>1.1199999999999999</v>
      </c>
    </row>
    <row r="5" spans="2:9">
      <c r="H5" s="247">
        <v>2</v>
      </c>
      <c r="I5" s="124">
        <f t="shared" si="0"/>
        <v>1.1199999999999999</v>
      </c>
    </row>
    <row r="6" spans="2:9" ht="13.15">
      <c r="B6" s="159" t="s">
        <v>92</v>
      </c>
      <c r="C6" s="107">
        <f>DCF!C3</f>
        <v>1000000</v>
      </c>
      <c r="E6" s="100" t="s">
        <v>274</v>
      </c>
      <c r="F6" s="100"/>
      <c r="H6" s="247">
        <v>3</v>
      </c>
      <c r="I6" s="124">
        <f t="shared" si="0"/>
        <v>37.254621832566507</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28.68</v>
      </c>
      <c r="D21" t="str">
        <f>Market_currency</f>
        <v>USD</v>
      </c>
      <c r="E21" s="381"/>
      <c r="F21" s="381"/>
    </row>
    <row r="22" spans="2:6">
      <c r="B22" s="100" t="s">
        <v>273</v>
      </c>
      <c r="C22" s="160">
        <f>IF(valuation_method="DCF",DCF!C12,DDM!C7)</f>
        <v>16.708520098210517</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34.37284276944095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24.144610325922145</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48.672529665639814</v>
      </c>
      <c r="D39" t="str">
        <f>Market_currency</f>
        <v>USD</v>
      </c>
      <c r="E39" s="379"/>
      <c r="F39" s="379"/>
    </row>
    <row r="40" spans="2:6">
      <c r="B40" s="100" t="s">
        <v>143</v>
      </c>
      <c r="C40" s="167">
        <f>1-C28-C34</f>
        <v>0.25</v>
      </c>
      <c r="D40" s="165"/>
      <c r="E40" s="379"/>
      <c r="F40" s="379"/>
    </row>
    <row r="42" spans="2:6" ht="13.15">
      <c r="B42" s="100" t="s">
        <v>116</v>
      </c>
      <c r="C42" s="154">
        <f>C27*C28+C33*C34+C39*C40</f>
        <v>35.390706382610965</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16.708520098210528</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68.951201666122259</v>
      </c>
      <c r="D57" t="str">
        <f>Market_currency</f>
        <v>USD</v>
      </c>
      <c r="E57" s="379"/>
      <c r="F57" s="379"/>
    </row>
    <row r="58" spans="2:6">
      <c r="B58" s="100" t="s">
        <v>143</v>
      </c>
      <c r="C58" s="165">
        <v>0.05</v>
      </c>
      <c r="D58" s="165"/>
      <c r="E58" s="379"/>
      <c r="F58" s="379"/>
    </row>
    <row r="60" spans="2:6" ht="13.15">
      <c r="B60" s="100" t="s">
        <v>116</v>
      </c>
      <c r="C60" s="154">
        <f>C51*C52+C57*C58+C42*(1-C52-C58)</f>
        <v>36.134621832566509</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36.110746337765448</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-0.47453230347934405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1.1199999999999999</v>
      </c>
      <c r="D77" t="str">
        <f>Market_currency</f>
        <v>USD</v>
      </c>
    </row>
    <row r="79" spans="2:6" ht="13.15">
      <c r="B79" s="109" t="s">
        <v>296</v>
      </c>
    </row>
    <row r="80" spans="2:6">
      <c r="B80" s="148" t="s">
        <v>294</v>
      </c>
      <c r="C80" s="167">
        <f>Thesis!F29</f>
        <v>0.35</v>
      </c>
    </row>
    <row r="81" spans="2:8">
      <c r="B81" s="100" t="s">
        <v>117</v>
      </c>
      <c r="C81" s="116">
        <f>PV(C80, C76, -C77, 0)</f>
        <v>1.8993852563125539</v>
      </c>
      <c r="D81" s="116"/>
      <c r="E81" s="100"/>
      <c r="F81" s="100"/>
    </row>
    <row r="82" spans="2:8">
      <c r="B82" s="100" t="s">
        <v>118</v>
      </c>
      <c r="C82" s="116">
        <f>C60/(1+C80)^C76</f>
        <v>14.686631847814461</v>
      </c>
      <c r="D82" s="116"/>
    </row>
    <row r="83" spans="2:8" ht="13.15">
      <c r="B83" s="110" t="s">
        <v>98</v>
      </c>
      <c r="C83" s="111">
        <f>C81+C82</f>
        <v>16.586017104127016</v>
      </c>
      <c r="D83" t="str">
        <f>Market_currency</f>
        <v>USD</v>
      </c>
      <c r="E83" s="146" t="s">
        <v>122</v>
      </c>
      <c r="F83" s="291">
        <f>(1-C83/C60)</f>
        <v>0.54099375438381414</v>
      </c>
    </row>
    <row r="84" spans="2:8">
      <c r="E84" s="120"/>
    </row>
    <row r="85" spans="2:8" ht="13.15">
      <c r="B85" s="109" t="s">
        <v>297</v>
      </c>
    </row>
    <row r="86" spans="2:8">
      <c r="B86" s="148" t="s">
        <v>295</v>
      </c>
      <c r="C86" s="116">
        <f>Market_Price</f>
        <v>28.68</v>
      </c>
      <c r="D86" t="str">
        <f>Market_currency</f>
        <v>USD</v>
      </c>
    </row>
    <row r="87" spans="2:8" ht="13.15">
      <c r="B87" s="100" t="s">
        <v>293</v>
      </c>
      <c r="C87" s="237">
        <f ca="1">IRR(OFFSET($I$3, 0, 0, $C$76 + 1, 1))</f>
        <v>0.11635040027483878</v>
      </c>
    </row>
    <row r="88" spans="2:8">
      <c r="B88" s="100"/>
    </row>
    <row r="89" spans="2:8" ht="13.15">
      <c r="B89" s="109" t="s">
        <v>392</v>
      </c>
    </row>
    <row r="90" spans="2:8">
      <c r="B90" s="148" t="s">
        <v>393</v>
      </c>
      <c r="C90" s="167">
        <f>Thesis!F30</f>
        <v>0.25</v>
      </c>
    </row>
    <row r="91" spans="2:8">
      <c r="B91" s="100" t="s">
        <v>117</v>
      </c>
      <c r="C91" s="116">
        <f>PV(C90, C76, -C77, 0)</f>
        <v>2.1862399999999997</v>
      </c>
      <c r="D91" s="116"/>
      <c r="E91" s="100"/>
      <c r="F91" s="100"/>
    </row>
    <row r="92" spans="2:8">
      <c r="B92" s="100" t="s">
        <v>118</v>
      </c>
      <c r="C92" s="116">
        <f>C60/(1+C90)^C76</f>
        <v>18.500926378274052</v>
      </c>
      <c r="D92" s="116"/>
    </row>
    <row r="93" spans="2:8" ht="13.15">
      <c r="B93" s="110" t="s">
        <v>98</v>
      </c>
      <c r="C93" s="111">
        <f>C91+C92</f>
        <v>20.68716637827405</v>
      </c>
      <c r="D93" t="str">
        <f>Market_currency</f>
        <v>USD</v>
      </c>
      <c r="E93" s="146" t="s">
        <v>122</v>
      </c>
      <c r="F93" s="291">
        <f>(1-C93/C60)</f>
        <v>0.42749736045031372</v>
      </c>
    </row>
    <row r="95" spans="2:8" ht="13.15">
      <c r="B95" s="109" t="s">
        <v>378</v>
      </c>
      <c r="G95" s="2"/>
      <c r="H95" s="281"/>
    </row>
    <row r="96" spans="2:8">
      <c r="B96" s="148" t="s">
        <v>383</v>
      </c>
      <c r="C96" s="134">
        <f>Thesis!F31</f>
        <v>7.4999999999999997E-2</v>
      </c>
      <c r="G96" s="2"/>
      <c r="H96" s="281"/>
    </row>
    <row r="97" spans="2:8">
      <c r="B97" s="100" t="s">
        <v>117</v>
      </c>
      <c r="C97" s="116">
        <f>PV(C96, C76, -C77, 0)</f>
        <v>2.9125888286565944</v>
      </c>
      <c r="D97" s="116"/>
      <c r="G97" s="2"/>
      <c r="H97" s="281"/>
    </row>
    <row r="98" spans="2:8">
      <c r="B98" s="100" t="s">
        <v>118</v>
      </c>
      <c r="C98" s="116">
        <f>C60/(1+C96)^C76</f>
        <v>29.086945769356873</v>
      </c>
      <c r="D98" s="116"/>
      <c r="G98" s="2"/>
      <c r="H98" s="281"/>
    </row>
    <row r="99" spans="2:8" ht="13.15">
      <c r="B99" s="110" t="s">
        <v>379</v>
      </c>
      <c r="C99" s="111">
        <f>C97+C98</f>
        <v>31.999534598013469</v>
      </c>
      <c r="D99" t="s">
        <v>377</v>
      </c>
      <c r="E99" s="146" t="s">
        <v>122</v>
      </c>
      <c r="F99" s="291">
        <f>(1-C99/C60)</f>
        <v>0.11443560288837096</v>
      </c>
    </row>
    <row r="100" spans="2:8">
      <c r="B100" s="100"/>
    </row>
    <row r="101" spans="2:8" ht="13.15">
      <c r="B101" s="109" t="s">
        <v>398</v>
      </c>
    </row>
    <row r="102" spans="2:8">
      <c r="B102" s="148" t="s">
        <v>397</v>
      </c>
      <c r="C102" s="134">
        <f>Thesis!F32</f>
        <v>0.1174</v>
      </c>
    </row>
    <row r="103" spans="2:8">
      <c r="B103" s="100" t="s">
        <v>117</v>
      </c>
      <c r="C103" s="116">
        <f>PV(C102, C76, -C77, 0)</f>
        <v>2.7021155010512867</v>
      </c>
      <c r="D103" s="116"/>
    </row>
    <row r="104" spans="2:8">
      <c r="B104" s="100" t="s">
        <v>118</v>
      </c>
      <c r="C104" s="116">
        <f>C60/(1+C102)^C76</f>
        <v>25.899865746151637</v>
      </c>
      <c r="D104" s="116"/>
    </row>
    <row r="105" spans="2:8" ht="13.15">
      <c r="B105" s="110" t="s">
        <v>379</v>
      </c>
      <c r="C105" s="111">
        <f>C103+C104</f>
        <v>28.601981247202922</v>
      </c>
      <c r="D105" t="s">
        <v>377</v>
      </c>
      <c r="E105" s="146" t="s">
        <v>122</v>
      </c>
      <c r="F105" s="291">
        <f>(1-C105/C66)</f>
        <v>0.20793713373654887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51A90-43F1-48EB-8F97-917D5DE696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