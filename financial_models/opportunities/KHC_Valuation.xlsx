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47BA0B5-9427-45B7-9A6E-D9FF0C92EC35}"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137" i="6" s="1"/>
  <c r="C91" i="2"/>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F69" i="4"/>
  <c r="G69" i="4"/>
  <c r="O126" i="2"/>
  <c r="O91" i="2"/>
  <c r="Q126" i="2"/>
  <c r="Q48" i="2"/>
  <c r="Q91" i="2"/>
  <c r="Q92" i="2"/>
  <c r="K70" i="4"/>
  <c r="D69" i="4"/>
  <c r="H69" i="4"/>
  <c r="N126" i="2"/>
  <c r="N91" i="2"/>
  <c r="J91" i="2"/>
  <c r="J69" i="4"/>
  <c r="I69" i="4"/>
  <c r="K126" i="2"/>
  <c r="K91" i="2"/>
  <c r="J71" i="4"/>
  <c r="P126" i="2"/>
  <c r="P91" i="2"/>
  <c r="L126" i="2"/>
  <c r="L91" i="2"/>
  <c r="I70" i="4"/>
  <c r="C69" i="4"/>
  <c r="I91" i="2"/>
  <c r="M126" i="2"/>
  <c r="M91" i="2"/>
  <c r="H91" i="2"/>
  <c r="J70" i="4"/>
  <c r="E69" i="4"/>
  <c r="I71" i="4"/>
  <c r="C97" i="9"/>
  <c r="C143" i="6" s="1"/>
  <c r="C12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40" i="2"/>
  <c r="O28" i="2"/>
  <c r="O75" i="2"/>
  <c r="G105" i="2" l="1"/>
  <c r="G101" i="2" s="1"/>
  <c r="C76" i="4"/>
  <c r="O30" i="2"/>
  <c r="C58" i="4"/>
  <c r="C71" i="4"/>
  <c r="O63" i="2"/>
  <c r="E58" i="4"/>
  <c r="E71" i="4"/>
  <c r="D71" i="4"/>
  <c r="H58" i="4"/>
  <c r="L62" i="2" s="1"/>
  <c r="G71" i="4"/>
  <c r="H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N48" i="2"/>
  <c r="P48" i="2"/>
  <c r="P50" i="2" s="1"/>
  <c r="P12" i="2" s="1"/>
  <c r="H48" i="2"/>
  <c r="H50" i="2" s="1"/>
  <c r="H12" i="2" s="1"/>
  <c r="H80" i="2" s="1"/>
  <c r="K48" i="2"/>
  <c r="K50" i="2" s="1"/>
  <c r="K12" i="2" s="1"/>
  <c r="K43" i="2" s="1"/>
  <c r="J48" i="2"/>
  <c r="J50" i="2" s="1"/>
  <c r="J12" i="2" s="1"/>
  <c r="J80" i="2" s="1"/>
  <c r="L48" i="2"/>
  <c r="L50" i="2" s="1"/>
  <c r="L12" i="2" s="1"/>
  <c r="M48" i="2"/>
  <c r="M50" i="2" s="1"/>
  <c r="M12" i="2" s="1"/>
  <c r="O48" i="2"/>
  <c r="O50" i="2" s="1"/>
  <c r="O12" i="2" s="1"/>
  <c r="I48" i="2"/>
  <c r="N50" i="2"/>
  <c r="N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7" i="8"/>
  <c r="F47" i="8" s="1"/>
  <c r="C39" i="8"/>
  <c r="F39" i="8" s="1"/>
  <c r="C36" i="8"/>
  <c r="F36" i="8" s="1"/>
  <c r="C43" i="8"/>
  <c r="F43" i="8" s="1"/>
  <c r="C48" i="8"/>
  <c r="F48" i="8" s="1"/>
  <c r="C38" i="8"/>
  <c r="F38" i="8" s="1"/>
  <c r="C44" i="8"/>
  <c r="F44" i="8" s="1"/>
  <c r="C42" i="8"/>
  <c r="F42" i="8" s="1"/>
  <c r="C45" i="8"/>
  <c r="F45"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<sst xmlns="http://schemas.openxmlformats.org/spreadsheetml/2006/main" count="616" uniqueCount="432">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</sst>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F2" sqref="F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428</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28.49</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33999.967823359999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9.8376640230496193E-2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8.9124865124008343E-2</v>
      </c>
    </row>
    <row r="59" spans="1:6">
      <c r="B59" s="254" t="s">
        <v>316</v>
      </c>
      <c r="C59" s="92">
        <f>Normalized_FCF!C93</f>
        <v>5.616005616005617E-2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418</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421</v>
      </c>
      <c r="C136" s="337">
        <f>Scenarios!C90</f>
        <v>0.2</v>
      </c>
      <c r="D136" s="1" t="s">
        <v>420</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419</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5.616005616005617E-2</v>
      </c>
      <c r="E93" s="302"/>
      <c r="G93" s="23">
        <f t="shared" ref="G93:Q93" si="39">IF(G$4="","",G90/Market_Price)</f>
        <v>5.616005616005617E-2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8.9124865124008343E-2</v>
      </c>
      <c r="D125" s="27"/>
      <c r="E125" s="299"/>
      <c r="F125" s="27"/>
      <c r="G125" s="77">
        <f t="shared" ref="G125" si="50">IF(G$4="","",G124/Market_Price)</f>
        <v>7.4941247392868782E-2</v>
      </c>
      <c r="H125" s="77">
        <f t="shared" ref="H125" si="51">IF(H$4="","",H124/Market_Price)</f>
        <v>6.9735360113222872E-2</v>
      </c>
      <c r="I125" s="77">
        <f t="shared" ref="I125" si="52">IF(I$4="","",I124/Market_Price)</f>
        <v>3.2264736416788481E-2</v>
      </c>
      <c r="J125" s="77">
        <f t="shared" ref="J125" si="53">IF(J$4="","",J124/Market_Price)</f>
        <v>-5.8529467155341002E-3</v>
      </c>
      <c r="K125" s="77">
        <f t="shared" ref="K125" si="54">IF(K$4="","",K124/Market_Price)</f>
        <v>-2.485296469661465E-2</v>
      </c>
      <c r="L125" s="77">
        <f t="shared" ref="L125" si="55">IF(L$4="","",L124/Market_Price)</f>
        <v>2.8852968482105289E-2</v>
      </c>
      <c r="M125" s="77">
        <f t="shared" ref="M125" si="56">IF(M$4="","",M124/Market_Price)</f>
        <v>-0.30697087874386636</v>
      </c>
      <c r="N125" s="77">
        <f t="shared" ref="N125" si="57">IF(N$4="","",N124/Market_Price)</f>
        <v>0.32350030615155567</v>
      </c>
      <c r="O125" s="77">
        <f t="shared" ref="O125" si="58">IF(O$4="","",O124/Market_Price)</f>
        <v>0.10638245361852684</v>
      </c>
      <c r="P125" s="77">
        <f t="shared" ref="P125" si="59">IF(P$4="","",P124/Market_Price)</f>
        <v>2.7617673195409649E-2</v>
      </c>
      <c r="Q125" s="77" t="str">
        <f t="shared" ref="Q125" si="60">IF(Q$4="","",Q124/Market_Price)</f>
        <v/>
      </c>
    </row>
    <row r="126" spans="1:17" ht="15.75" customHeight="1">
      <c r="B126" s="2" t="s">
        <v>402</v>
      </c>
      <c r="C126" s="170"/>
      <c r="G126" s="23">
        <f>IF(G$4="","",(Data!C47*$C$3)/(Market_Price*Common_Shares))</f>
        <v>8.076478231586251E-2</v>
      </c>
      <c r="H126" s="23">
        <f>IF(H$4="","",(Data!D47*$C$3)/(Market_Price*Common_Shares))</f>
        <v>8.3705961569899748E-2</v>
      </c>
      <c r="I126" s="23">
        <f>IF(I$4="","",(Data!E47*$C$3)/(Market_Price*Common_Shares))</f>
        <v>6.9647124735601765E-2</v>
      </c>
      <c r="J126" s="23">
        <f>IF(J$4="","",(Data!F47*$C$3)/(Market_Price*Common_Shares))</f>
        <v>3.0117675561341303E-2</v>
      </c>
      <c r="K126" s="23">
        <f>IF(K$4="","",(Data!G47*$C$3)/(Market_Price*Common_Shares))</f>
        <v>1.0617657107074423E-2</v>
      </c>
      <c r="L126" s="23">
        <f>IF(L$4="","",(Data!H47*$C$3)/(Market_Price*Common_Shares))</f>
        <v>5.6852994980539785E-2</v>
      </c>
      <c r="M126" s="23">
        <f>IF(M$4="","",(Data!I47*$C$3)/(Market_Price*Common_Shares))</f>
        <v>-0.30158852070897824</v>
      </c>
      <c r="N126" s="23">
        <f>IF(N$4="","",(Data!J47*$C$3)/(Market_Price*Common_Shares))</f>
        <v>0.32323560001869228</v>
      </c>
      <c r="O126" s="23">
        <f>IF(O$4="","",(Data!K47*$C$3)/(Market_Price*Common_Shares))</f>
        <v>0.10711774843203616</v>
      </c>
      <c r="P126" s="23">
        <f>IF(P$4="","",(Data!L47*$C$3)/(Market_Price*Common_Shares))</f>
        <v>1.9029429773620921E-2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-28.49</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28.49</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28.49</v>
      </c>
      <c r="D86" t="str">
        <f>Market_currency</f>
        <v>USD</v>
      </c>
    </row>
    <row r="87" spans="2:8" ht="13.15">
      <c r="B87" s="100" t="s">
        <v>305</v>
      </c>
      <c r="C87" s="265">
        <f ca="1">IRR(OFFSET($I$3, 0, 0, $C$76 + 1, 1))</f>
        <v>9.8376640230496193E-2</v>
      </c>
    </row>
    <row r="88" spans="2:8">
      <c r="B88" s="100"/>
    </row>
    <row r="89" spans="2:8" ht="13.15">
      <c r="B89" s="109" t="s">
        <v>422</v>
      </c>
    </row>
    <row r="90" spans="2:8">
      <c r="B90" s="149" t="s">
        <v>423</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