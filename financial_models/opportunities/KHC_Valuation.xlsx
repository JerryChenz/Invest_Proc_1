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7824CC8-A5E3-4F58-8F07-9B05BC637D2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D61" i="10" l="1"/>
  <c r="D63" i="10"/>
  <c r="D65" i="10"/>
  <c r="B63" i="10"/>
  <c r="C64" i="10"/>
  <c r="B66" i="10"/>
  <c r="D66" i="10"/>
  <c r="E62" i="10"/>
  <c r="E66" i="10"/>
  <c r="F64" i="10"/>
  <c r="F66" i="10"/>
  <c r="C63" i="10"/>
  <c r="B62" i="10"/>
  <c r="E61" i="10"/>
  <c r="E63" i="10"/>
  <c r="E65" i="10"/>
  <c r="B64" i="10"/>
  <c r="C62" i="10"/>
  <c r="D62" i="10"/>
  <c r="B61" i="10"/>
  <c r="E64" i="10"/>
  <c r="C61" i="10"/>
  <c r="F61" i="10"/>
  <c r="F63" i="10"/>
  <c r="F65" i="10"/>
  <c r="B65" i="10"/>
  <c r="C66" i="10"/>
  <c r="D64" i="10"/>
  <c r="F62"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F70" i="8"/>
  <c r="E67" i="8"/>
  <c r="E70" i="8"/>
  <c r="F71" i="8"/>
  <c r="B67" i="8"/>
  <c r="D66" i="8"/>
  <c r="B66" i="8"/>
  <c r="G54" i="2"/>
  <c r="D69" i="8" l="1"/>
  <c r="C66" i="8"/>
  <c r="B70" i="8"/>
  <c r="E68" i="8"/>
  <c r="B69"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143" i="6" s="1"/>
  <c r="I6" i="9"/>
  <c r="F72" i="9"/>
  <c r="C72" i="9" s="1"/>
  <c r="C98" i="9"/>
  <c r="C99" i="9" s="1"/>
  <c r="C104" i="9"/>
  <c r="C167" i="6" s="1"/>
  <c r="C87" i="9"/>
  <c r="H76" i="2"/>
  <c r="H120" i="2"/>
  <c r="H116" i="2" s="1"/>
  <c r="H13" i="2"/>
  <c r="C83" i="9" l="1"/>
  <c r="F83" i="9" s="1"/>
  <c r="C159" i="6"/>
  <c r="C105" i="9"/>
  <c r="C168" i="6" s="1"/>
  <c r="C32" i="6" s="1"/>
  <c r="D168" i="6"/>
  <c r="D32" i="6" s="1"/>
  <c r="E26" i="6"/>
  <c r="C93" i="9"/>
  <c r="F99" i="9"/>
  <c r="C162" i="6" s="1"/>
  <c r="C160" i="6"/>
  <c r="C146"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<sst xmlns="http://schemas.openxmlformats.org/spreadsheetml/2006/main" count="681" uniqueCount="461">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</sst>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1193400064</v>
      </c>
      <c r="E6" s="48"/>
    </row>
    <row r="7" spans="1:10">
      <c r="B7" s="2" t="s">
        <v>308</v>
      </c>
      <c r="C7" s="276">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27.74</v>
      </c>
      <c r="D12" s="50"/>
      <c r="E12" s="48"/>
    </row>
    <row r="13" spans="1:10">
      <c r="B13" s="1" t="s">
        <v>417</v>
      </c>
      <c r="C13" s="48" t="s">
        <v>455</v>
      </c>
      <c r="D13" s="48"/>
      <c r="E13" s="5"/>
    </row>
    <row r="14" spans="1:10">
      <c r="B14" s="4" t="s">
        <v>421</v>
      </c>
      <c r="C14" s="35">
        <f>Thesis!C12*Common_Shares/1000000</f>
        <v>33104.917775359994</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42" t="s">
        <v>457</v>
      </c>
    </row>
    <row r="22" spans="2:6">
      <c r="B22" s="2" t="s">
        <v>56</v>
      </c>
      <c r="C22" s="48" t="s">
        <v>456</v>
      </c>
      <c r="D22" s="1" t="str">
        <f>IF(valuation_method="DDM","DDM Terminal Value","")</f>
        <v/>
      </c>
      <c r="E22" s="347"/>
    </row>
    <row r="23" spans="2:6">
      <c r="B23" s="1" t="s">
        <v>435</v>
      </c>
      <c r="C23" s="290" t="s">
        <v>451</v>
      </c>
    </row>
    <row r="24" spans="2:6">
      <c r="B24" s="1" t="s">
        <v>436</v>
      </c>
      <c r="C24" s="290" t="s">
        <v>451</v>
      </c>
    </row>
    <row r="25" spans="2:6">
      <c r="B25" s="4" t="s">
        <v>348</v>
      </c>
      <c r="C25" s="48" t="s">
        <v>455</v>
      </c>
      <c r="D25" s="32" t="str">
        <f>IF(D11="","",Market_currency&amp;"/"&amp;D13&amp;":")</f>
        <v/>
      </c>
      <c r="E25" s="333" t="str">
        <f>IF(D11="","",1/Exchange_Rate*D16)</f>
        <v/>
      </c>
    </row>
    <row r="26" spans="2:6">
      <c r="B26" s="1" t="str">
        <f>"Expected Equity Value ("&amp;C13&amp;") :"</f>
        <v>Expected Equity Value (USD) :</v>
      </c>
      <c r="C26" s="338">
        <f>C127</f>
        <v>32.464859269378167</v>
      </c>
      <c r="D26" s="1" t="s">
        <v>400</v>
      </c>
      <c r="E26" s="335">
        <f ca="1">Scenarios!C87</f>
        <v>0.10870597389897529</v>
      </c>
    </row>
    <row r="27" spans="2:6">
      <c r="D27" s="5"/>
      <c r="E27" s="5"/>
    </row>
    <row r="28" spans="2:6">
      <c r="B28" s="45" t="s">
        <v>434</v>
      </c>
      <c r="C28" s="343" t="str">
        <f>C140&amp;" ("&amp;Market_currency&amp;")"</f>
        <v>KHC (USD)</v>
      </c>
      <c r="D28" s="343" t="str">
        <f>IF(D11="","",D140&amp;" ("&amp;D13&amp;")")</f>
        <v/>
      </c>
      <c r="E28" s="339" t="s">
        <v>430</v>
      </c>
      <c r="F28" s="337">
        <v>3</v>
      </c>
    </row>
    <row r="29" spans="2:6">
      <c r="B29" s="1" t="s">
        <v>426</v>
      </c>
      <c r="C29" s="344">
        <f>C144</f>
        <v>14.373490987382715</v>
      </c>
      <c r="D29" s="344" t="str">
        <f>D144</f>
        <v/>
      </c>
      <c r="E29" s="340" t="s">
        <v>425</v>
      </c>
      <c r="F29" s="336">
        <v>0.4</v>
      </c>
    </row>
    <row r="30" spans="2:6">
      <c r="B30" s="1" t="s">
        <v>427</v>
      </c>
      <c r="C30" s="345">
        <f>C152</f>
        <v>21.274057798092517</v>
      </c>
      <c r="D30" s="345" t="str">
        <f>D152</f>
        <v/>
      </c>
      <c r="E30" s="341" t="s">
        <v>438</v>
      </c>
      <c r="F30" s="346">
        <v>0.21740000000000001</v>
      </c>
    </row>
    <row r="31" spans="2:6">
      <c r="B31" s="1" t="s">
        <v>428</v>
      </c>
      <c r="C31" s="345">
        <f>C160</f>
        <v>29.895007167811503</v>
      </c>
      <c r="D31" s="345" t="str">
        <f>D160</f>
        <v/>
      </c>
      <c r="E31" s="341" t="s">
        <v>437</v>
      </c>
      <c r="F31" s="346">
        <v>0.08</v>
      </c>
    </row>
    <row r="32" spans="2:6">
      <c r="B32" s="1" t="s">
        <v>429</v>
      </c>
      <c r="C32" s="345">
        <f>C168</f>
        <v>27.12969029059159</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5023.2701205832382</v>
      </c>
      <c r="D41" s="1" t="str">
        <f>Reporting_currency</f>
        <v>USD</v>
      </c>
    </row>
    <row r="42" spans="1:6">
      <c r="B42" s="47"/>
      <c r="C42" s="76"/>
    </row>
    <row r="43" spans="1:6" ht="24.4" customHeight="1">
      <c r="B43" s="353" t="s">
        <v>234</v>
      </c>
      <c r="C43" s="353"/>
      <c r="D43" s="353"/>
      <c r="E43" s="353"/>
      <c r="F43" s="353"/>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53" t="s">
        <v>237</v>
      </c>
      <c r="C47" s="353"/>
      <c r="D47" s="353"/>
      <c r="E47" s="353"/>
      <c r="F47" s="353"/>
    </row>
    <row r="48" spans="1:6">
      <c r="B48" s="47" t="s">
        <v>238</v>
      </c>
      <c r="C48" s="188">
        <f>Normalized_FCF!C11</f>
        <v>0</v>
      </c>
      <c r="D48" s="1" t="str">
        <f>Reporting_currency</f>
        <v>USD</v>
      </c>
    </row>
    <row r="50" spans="2:6">
      <c r="B50" s="353" t="s">
        <v>241</v>
      </c>
      <c r="C50" s="353"/>
      <c r="D50" s="353"/>
      <c r="E50" s="353"/>
      <c r="F50" s="353"/>
    </row>
    <row r="51" spans="2:6">
      <c r="B51" s="47" t="s">
        <v>341</v>
      </c>
      <c r="C51" s="316">
        <f>Normalized_FCF!C48</f>
        <v>0</v>
      </c>
      <c r="D51" s="1" t="str">
        <f>Reporting_currency</f>
        <v>USD</v>
      </c>
      <c r="E51" s="315"/>
      <c r="F51" s="315"/>
    </row>
    <row r="52" spans="2:6">
      <c r="B52" s="47" t="s">
        <v>342</v>
      </c>
      <c r="C52" s="316">
        <f>Normalized_FCF!C47</f>
        <v>-912</v>
      </c>
      <c r="D52" s="1" t="str">
        <f>Reporting_currency</f>
        <v>USD</v>
      </c>
      <c r="E52" s="315"/>
      <c r="F52" s="315"/>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53" t="s">
        <v>242</v>
      </c>
      <c r="C58" s="353"/>
      <c r="D58" s="353"/>
      <c r="E58" s="353"/>
      <c r="F58" s="353"/>
    </row>
    <row r="59" spans="2:6">
      <c r="B59" s="47" t="s">
        <v>240</v>
      </c>
      <c r="C59" s="188">
        <f>Normalized_FCF!C14</f>
        <v>-1068.9302313516419</v>
      </c>
      <c r="D59" s="1" t="str">
        <f>Reporting_currency</f>
        <v>USD</v>
      </c>
    </row>
    <row r="61" spans="2:6">
      <c r="B61" s="353" t="s">
        <v>339</v>
      </c>
      <c r="C61" s="354"/>
      <c r="D61" s="354"/>
      <c r="E61" s="354"/>
      <c r="F61" s="354"/>
    </row>
    <row r="62" spans="2:6">
      <c r="B62" s="47" t="s">
        <v>243</v>
      </c>
      <c r="C62" s="1">
        <f>Normalized_FCF!C17</f>
        <v>0</v>
      </c>
      <c r="D62" s="1" t="str">
        <f>Reporting_currency</f>
        <v>USD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1" t="s">
        <v>391</v>
      </c>
      <c r="C69" s="92">
        <f>Normalized_FCF!C125</f>
        <v>9.1534513604289755E-2</v>
      </c>
      <c r="F69" s="348"/>
    </row>
    <row r="70" spans="1:6">
      <c r="B70" s="251" t="s">
        <v>309</v>
      </c>
      <c r="C70" s="92">
        <f>Normalized_FCF!C93</f>
        <v>5.7678442682047588E-2</v>
      </c>
      <c r="E70" s="47" t="s">
        <v>449</v>
      </c>
      <c r="F70" s="349">
        <f>Normalized_FCF!C92</f>
        <v>0.63012781093037351</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31.739592592287465</v>
      </c>
      <c r="D87" s="1" t="str">
        <f>Market_currency</f>
        <v>USD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19869</v>
      </c>
      <c r="D96" s="1" t="str">
        <f>Reporting_currency</f>
        <v>USD</v>
      </c>
    </row>
    <row r="97" spans="2:6">
      <c r="B97" s="47" t="s">
        <v>282</v>
      </c>
      <c r="C97" s="247">
        <f>C96*scaling_factor*Exchange_Rate/Common_Shares</f>
        <v>16.649068991502919</v>
      </c>
      <c r="D97" s="1" t="str">
        <f>Market_currency</f>
        <v>USD</v>
      </c>
    </row>
    <row r="98" spans="2:6">
      <c r="B98" s="329" t="s">
        <v>405</v>
      </c>
      <c r="C98" s="330">
        <f>BS!G30/BS!G27</f>
        <v>0.78990369994931575</v>
      </c>
    </row>
    <row r="99" spans="2:6">
      <c r="B99" s="329" t="s">
        <v>406</v>
      </c>
      <c r="C99" s="330">
        <f>BS!G31/BS!G27</f>
        <v>0.40281804358844397</v>
      </c>
    </row>
    <row r="100" spans="2:6">
      <c r="B100" s="329" t="s">
        <v>408</v>
      </c>
      <c r="C100" s="331">
        <f>BS!C50</f>
        <v>3.955391512509995</v>
      </c>
    </row>
    <row r="102" spans="2:6">
      <c r="B102" s="1" t="s">
        <v>255</v>
      </c>
    </row>
    <row r="103" spans="2:6">
      <c r="B103" s="47" t="s">
        <v>265</v>
      </c>
      <c r="C103" s="188">
        <f>BS!C66</f>
        <v>1334</v>
      </c>
      <c r="D103" s="1" t="str">
        <f>Reporting_currency</f>
        <v>USD</v>
      </c>
    </row>
    <row r="104" spans="2:6">
      <c r="B104" s="47" t="s">
        <v>267</v>
      </c>
      <c r="C104" s="188">
        <f>DCF!C8</f>
        <v>-594.28499848473007</v>
      </c>
      <c r="D104" s="1" t="str">
        <f>Reporting_currency</f>
        <v>USD</v>
      </c>
    </row>
    <row r="105" spans="2:6">
      <c r="B105" s="47" t="s">
        <v>283</v>
      </c>
      <c r="C105" s="247">
        <f>C104*scaling_factor*Exchange_Rate/Common_Shares</f>
        <v>-0.49797634205986613</v>
      </c>
      <c r="D105" s="1" t="str">
        <f>Market_currency</f>
        <v>USD</v>
      </c>
    </row>
    <row r="107" spans="2:6">
      <c r="B107" s="1" t="s">
        <v>257</v>
      </c>
    </row>
    <row r="108" spans="2:6">
      <c r="B108" s="47" t="s">
        <v>258</v>
      </c>
      <c r="C108" s="188">
        <f>DCF!C9</f>
        <v>0</v>
      </c>
      <c r="D108" s="1" t="str">
        <f>Reporting_currency</f>
        <v>USD</v>
      </c>
    </row>
    <row r="109" spans="2:6">
      <c r="B109" s="47" t="s">
        <v>284</v>
      </c>
      <c r="C109" s="247">
        <f>C108*scaling_factor*Exchange_Rate/Common_Shares</f>
        <v>0</v>
      </c>
      <c r="D109" s="1" t="str">
        <f>Market_currency</f>
        <v>USD</v>
      </c>
    </row>
    <row r="111" spans="2:6" ht="24.4" customHeight="1">
      <c r="B111" s="352" t="s">
        <v>367</v>
      </c>
      <c r="C111" s="352"/>
      <c r="D111" s="352"/>
      <c r="E111" s="352"/>
      <c r="F111" s="352"/>
    </row>
    <row r="113" spans="1:6">
      <c r="B113" s="47" t="s">
        <v>450</v>
      </c>
      <c r="C113" s="247">
        <f>IF(valuation_method="DCF",DCF!C12,DDM!C7)</f>
        <v>14.592547258724681</v>
      </c>
      <c r="D113" s="1" t="str">
        <f>Market_currency</f>
        <v>USD</v>
      </c>
    </row>
    <row r="114" spans="1:6">
      <c r="B114" s="329" t="s">
        <v>407</v>
      </c>
      <c r="C114" s="247">
        <f>BS!D47</f>
        <v>-26.938493611476797</v>
      </c>
      <c r="D114" s="1" t="str">
        <f>Market_currency</f>
        <v>USD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0.08</v>
      </c>
      <c r="D121" s="254">
        <f>DCF!D74</f>
        <v>30</v>
      </c>
      <c r="E121" s="255" t="str">
        <f>ROUND(IF(valuation_method="DCF",DCF!E74,DDM!E69),2)&amp;" "&amp;Market_currency</f>
        <v>62.43 USD</v>
      </c>
      <c r="F121" s="256">
        <f>DCF!F74</f>
        <v>0.05</v>
      </c>
    </row>
    <row r="122" spans="1:6">
      <c r="B122" s="242" t="str">
        <f>DCF!B75</f>
        <v>Optimistic</v>
      </c>
      <c r="C122" s="243">
        <f>DCF!C75</f>
        <v>0.06</v>
      </c>
      <c r="D122" s="244">
        <f>DCF!D75</f>
        <v>30</v>
      </c>
      <c r="E122" s="255" t="str">
        <f>ROUND(IF(valuation_method="DCF",DCF!E75,DDM!E70),2)&amp;" "&amp;Market_currency</f>
        <v>43.96 USD</v>
      </c>
      <c r="F122" s="245">
        <f>DCF!F75</f>
        <v>0.22499999999999998</v>
      </c>
    </row>
    <row r="123" spans="1:6">
      <c r="B123" s="242" t="str">
        <f>DCF!B76</f>
        <v>Base</v>
      </c>
      <c r="C123" s="243">
        <f>DCF!C76</f>
        <v>0.04</v>
      </c>
      <c r="D123" s="244">
        <f>DCF!D76</f>
        <v>30</v>
      </c>
      <c r="E123" s="255" t="str">
        <f>ROUND(IF(valuation_method="DCF",DCF!E76,DDM!E71),2)&amp;" "&amp;Market_currency</f>
        <v>30.87 USD</v>
      </c>
      <c r="F123" s="245">
        <f>DCF!F76</f>
        <v>0.44999999999999996</v>
      </c>
    </row>
    <row r="124" spans="1:6">
      <c r="B124" s="242" t="str">
        <f>DCF!B77</f>
        <v>Pessimistic</v>
      </c>
      <c r="C124" s="243">
        <f>DCF!C77</f>
        <v>0.02</v>
      </c>
      <c r="D124" s="244">
        <f>DCF!D77</f>
        <v>30</v>
      </c>
      <c r="E124" s="255" t="str">
        <f>ROUND(IF(valuation_method="DCF",DCF!E77,DDM!E72),2)&amp;" "&amp;Market_currency</f>
        <v>21.47 USD</v>
      </c>
      <c r="F124" s="245">
        <f>DCF!F77</f>
        <v>0.22499999999999998</v>
      </c>
    </row>
    <row r="125" spans="1:6">
      <c r="B125" s="242" t="str">
        <f>DCF!B78</f>
        <v>Devil's advocate</v>
      </c>
      <c r="C125" s="243">
        <f>DCF!C78</f>
        <v>0</v>
      </c>
      <c r="D125" s="244">
        <f>DCF!D78</f>
        <v>30</v>
      </c>
      <c r="E125" s="255" t="str">
        <f>ROUND(IF(valuation_method="DCF",DCF!E78,DDM!E73),2)&amp;" "&amp;Market_currency</f>
        <v>14.59 USD</v>
      </c>
      <c r="F125" s="245">
        <f>DCF!F78</f>
        <v>0.05</v>
      </c>
    </row>
    <row r="127" spans="1:6">
      <c r="B127" s="235" t="s">
        <v>259</v>
      </c>
      <c r="C127" s="241">
        <f>Scenarios!C60</f>
        <v>32.464859269378167</v>
      </c>
      <c r="D127" s="236" t="str">
        <f>Market_currency</f>
        <v>USD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1.6</v>
      </c>
      <c r="D138" s="236" t="str">
        <f>Market_currency</f>
        <v>USD</v>
      </c>
    </row>
    <row r="140" spans="1:6">
      <c r="B140" s="234" t="s">
        <v>410</v>
      </c>
      <c r="C140" s="267" t="str">
        <f>C11</f>
        <v>KHC</v>
      </c>
      <c r="D140" s="267" t="str">
        <f>IF(D11="","",D11)</f>
        <v/>
      </c>
    </row>
    <row r="141" spans="1:6">
      <c r="B141" s="1" t="s">
        <v>409</v>
      </c>
      <c r="C141" s="330">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4" t="str">
        <f>IF($D$11="","",C144*$E$25)</f>
        <v/>
      </c>
    </row>
    <row r="145" spans="2:4">
      <c r="B145" s="285" t="s">
        <v>417</v>
      </c>
      <c r="C145" s="332" t="str">
        <f>Market_currency</f>
        <v>USD</v>
      </c>
      <c r="D145" s="332" t="str">
        <f>IF($D$11="","",D$13)</f>
        <v/>
      </c>
    </row>
    <row r="146" spans="2:4">
      <c r="B146" s="238" t="s">
        <v>263</v>
      </c>
      <c r="C146" s="92">
        <f>Scenarios!F83</f>
        <v>0.55726002481272963</v>
      </c>
    </row>
    <row r="148" spans="2:4">
      <c r="B148" s="234" t="s">
        <v>413</v>
      </c>
    </row>
    <row r="149" spans="2:4">
      <c r="B149" s="1" t="s">
        <v>412</v>
      </c>
      <c r="C149" s="330">
        <f>Scenarios!C90</f>
        <v>0.21740000000000001</v>
      </c>
    </row>
    <row r="150" spans="2:4">
      <c r="B150" s="236" t="str">
        <f>"PV("&amp;C136&amp;" yrs of Dividends)"</f>
        <v>PV(3 yrs of Dividends)</v>
      </c>
      <c r="C150" s="240">
        <f>Scenarios!C91</f>
        <v>3.2806413181838994</v>
      </c>
    </row>
    <row r="151" spans="2:4">
      <c r="B151" s="236" t="str">
        <f>"+ PV(Equity Value realized at year "&amp;C136&amp;")"</f>
        <v>+ PV(Equity Value realized at year 3)</v>
      </c>
      <c r="C151" s="240">
        <f>Scenarios!C92</f>
        <v>17.993416479908618</v>
      </c>
    </row>
    <row r="152" spans="2:4">
      <c r="B152" s="80" t="s">
        <v>261</v>
      </c>
      <c r="C152" s="239">
        <f>Scenarios!C93</f>
        <v>21.274057798092517</v>
      </c>
      <c r="D152" s="334" t="str">
        <f>IF($D$11="","",C152*$E$25)</f>
        <v/>
      </c>
    </row>
    <row r="153" spans="2:4">
      <c r="B153" s="285" t="s">
        <v>417</v>
      </c>
      <c r="C153" s="332" t="str">
        <f>Market_currency</f>
        <v>USD</v>
      </c>
      <c r="D153" s="332" t="str">
        <f>IF($D$11="","",D$13)</f>
        <v/>
      </c>
    </row>
    <row r="154" spans="2:4">
      <c r="B154" s="238" t="s">
        <v>263</v>
      </c>
      <c r="C154" s="92">
        <f>Scenarios!F93</f>
        <v>0.34470506643597709</v>
      </c>
    </row>
    <row r="156" spans="2:4">
      <c r="B156" s="234" t="s">
        <v>401</v>
      </c>
    </row>
    <row r="157" spans="2:4">
      <c r="B157" s="1" t="s">
        <v>411</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402</v>
      </c>
      <c r="C160" s="239">
        <f>Scenarios!C99</f>
        <v>29.895007167811503</v>
      </c>
      <c r="D160" s="334" t="str">
        <f>IF($D$11="","",C160*$E$25)</f>
        <v/>
      </c>
    </row>
    <row r="161" spans="1:6">
      <c r="B161" s="285" t="s">
        <v>417</v>
      </c>
      <c r="C161" s="332" t="str">
        <f>Market_currency</f>
        <v>USD</v>
      </c>
      <c r="D161" s="332" t="str">
        <f>IF($D$11="","",D$13)</f>
        <v/>
      </c>
    </row>
    <row r="162" spans="1:6">
      <c r="B162" s="238" t="s">
        <v>263</v>
      </c>
      <c r="C162" s="92">
        <f>Scenarios!F99</f>
        <v>7.9157962159738249E-2</v>
      </c>
    </row>
    <row r="164" spans="1:6">
      <c r="B164" s="234" t="s">
        <v>433</v>
      </c>
    </row>
    <row r="165" spans="1:6">
      <c r="B165" s="1" t="s">
        <v>424</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402</v>
      </c>
      <c r="C168" s="239">
        <f>Scenarios!C105</f>
        <v>27.12969029059159</v>
      </c>
      <c r="D168" s="334" t="str">
        <f>IF($D$11="","",C168*$E$25)</f>
        <v/>
      </c>
    </row>
    <row r="169" spans="1:6">
      <c r="B169" s="285" t="s">
        <v>417</v>
      </c>
      <c r="C169" s="332" t="str">
        <f>Market_currency</f>
        <v>USD</v>
      </c>
      <c r="D169" s="332" t="str">
        <f>IF($D$11="","",D$13)</f>
        <v/>
      </c>
    </row>
    <row r="170" spans="1:6">
      <c r="B170" s="238" t="s">
        <v>263</v>
      </c>
      <c r="C170" s="92">
        <f>Scenarios!F105</f>
        <v>0.16438328980676686</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372</v>
      </c>
      <c r="C22" s="181">
        <v>4184</v>
      </c>
      <c r="D22" s="181">
        <v>3976</v>
      </c>
      <c r="E22" s="181">
        <v>2469</v>
      </c>
      <c r="F22" s="181">
        <v>5364</v>
      </c>
      <c r="G22" s="181">
        <v>4929</v>
      </c>
      <c r="H22" s="181">
        <v>3552</v>
      </c>
      <c r="I22" s="181">
        <v>2574</v>
      </c>
      <c r="J22" s="181">
        <v>527</v>
      </c>
      <c r="K22" s="181">
        <v>5238</v>
      </c>
      <c r="L22" s="181">
        <v>2467</v>
      </c>
      <c r="M22" s="181"/>
    </row>
    <row r="23" spans="2:13">
      <c r="B23" s="27" t="s">
        <v>374</v>
      </c>
      <c r="C23" s="181">
        <v>-1023</v>
      </c>
      <c r="D23" s="181">
        <v>-916</v>
      </c>
      <c r="E23" s="181">
        <v>-1091</v>
      </c>
      <c r="F23" s="181">
        <v>4038</v>
      </c>
      <c r="G23" s="181">
        <v>-522</v>
      </c>
      <c r="H23" s="181">
        <v>1511</v>
      </c>
      <c r="I23" s="181">
        <v>288</v>
      </c>
      <c r="J23" s="181">
        <v>1156</v>
      </c>
      <c r="K23" s="181">
        <v>-1113</v>
      </c>
      <c r="L23" s="181">
        <v>-9704</v>
      </c>
      <c r="M23" s="181"/>
    </row>
    <row r="24" spans="2:13">
      <c r="B24" s="27" t="s">
        <v>373</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458</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8"/>
      <c r="J77" s="328"/>
      <c r="K77" s="328"/>
      <c r="L77" s="328"/>
      <c r="M77" s="328"/>
    </row>
    <row r="78" spans="2:13">
      <c r="B78" s="93" t="s">
        <v>87</v>
      </c>
      <c r="C78" s="185">
        <f t="shared" si="40"/>
        <v>3376</v>
      </c>
      <c r="D78" s="185">
        <f t="shared" si="40"/>
        <v>3376</v>
      </c>
      <c r="E78" s="185">
        <f t="shared" si="40"/>
        <v>3614</v>
      </c>
      <c r="F78" s="185">
        <f t="shared" si="40"/>
        <v>3651</v>
      </c>
      <c r="G78" s="185">
        <f t="shared" si="40"/>
        <v>2729</v>
      </c>
      <c r="H78" s="185">
        <f t="shared" si="40"/>
        <v>0</v>
      </c>
      <c r="I78" s="328"/>
      <c r="J78" s="328"/>
      <c r="K78" s="328"/>
      <c r="L78" s="328"/>
      <c r="M78" s="328"/>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89">
        <v>0.6</v>
      </c>
      <c r="E4" s="25"/>
      <c r="F4" s="4" t="s">
        <v>78</v>
      </c>
      <c r="G4" s="19">
        <v>1334</v>
      </c>
      <c r="H4" s="289">
        <v>0.9</v>
      </c>
    </row>
    <row r="5" spans="2:8" ht="15" customHeight="1">
      <c r="B5" s="1" t="s">
        <v>33</v>
      </c>
      <c r="C5" s="19">
        <v>0</v>
      </c>
      <c r="D5" s="289">
        <v>0.6</v>
      </c>
      <c r="E5" s="25"/>
      <c r="F5" s="1" t="s">
        <v>29</v>
      </c>
      <c r="G5" s="19">
        <v>0</v>
      </c>
      <c r="H5" s="289">
        <v>0.7</v>
      </c>
    </row>
    <row r="6" spans="2:8" ht="15" customHeight="1">
      <c r="B6" s="4" t="s">
        <v>10</v>
      </c>
      <c r="C6" s="19">
        <v>3376</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215</v>
      </c>
      <c r="D9" s="289">
        <v>0.1</v>
      </c>
      <c r="E9" s="25"/>
      <c r="F9" s="4" t="s">
        <v>181</v>
      </c>
      <c r="G9" s="19">
        <v>0</v>
      </c>
      <c r="H9" s="289">
        <v>0.6</v>
      </c>
    </row>
    <row r="10" spans="2:8" ht="15" customHeight="1">
      <c r="B10" s="4" t="s">
        <v>11</v>
      </c>
      <c r="C10" s="19">
        <v>0</v>
      </c>
      <c r="D10" s="289">
        <v>0.9</v>
      </c>
      <c r="H10" s="290"/>
    </row>
    <row r="11" spans="2:8" ht="15" customHeight="1">
      <c r="B11" s="4" t="s">
        <v>12</v>
      </c>
      <c r="C11" s="19">
        <v>583</v>
      </c>
      <c r="D11" s="289">
        <v>0.05</v>
      </c>
      <c r="H11" s="290"/>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v>7152</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40099</v>
      </c>
      <c r="D21" s="289">
        <v>0.05</v>
      </c>
      <c r="F21" s="1" t="s">
        <v>181</v>
      </c>
      <c r="G21" s="19">
        <v>0</v>
      </c>
      <c r="H21" s="289">
        <v>0.1</v>
      </c>
    </row>
    <row r="22" spans="2:8" ht="15" customHeight="1">
      <c r="B22" s="4" t="s">
        <v>20</v>
      </c>
      <c r="C22" s="19">
        <v>0</v>
      </c>
      <c r="D22" s="289">
        <v>0.9</v>
      </c>
      <c r="H22" s="290"/>
    </row>
    <row r="23" spans="2:8" ht="15" customHeight="1">
      <c r="B23" s="4" t="s">
        <v>21</v>
      </c>
      <c r="C23" s="19">
        <f>28673+4708</f>
        <v>33381</v>
      </c>
      <c r="D23" s="289">
        <v>0</v>
      </c>
      <c r="H23" s="290"/>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49191</v>
      </c>
      <c r="D46" s="188">
        <f>H29</f>
        <v>-32148.400000000001</v>
      </c>
      <c r="F46" s="279"/>
    </row>
    <row r="47" spans="2:8" ht="15" customHeight="1">
      <c r="B47" s="1" t="str">
        <f>"Equity per share ("&amp;Market_currency&amp;")"</f>
        <v>Equity per share (USD)</v>
      </c>
      <c r="C47" s="148">
        <f>C46*H1/Common_Shares*Exchange_Rate</f>
        <v>41.219203420454988</v>
      </c>
      <c r="D47" s="148">
        <f>D46*H1/Common_Shares*Exchange_Rate</f>
        <v>-26.938493611476797</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3.955391512509995</v>
      </c>
      <c r="D50" s="95">
        <f>G31/Normalized_FCF!G8</f>
        <v>3.7124439461883409</v>
      </c>
      <c r="F50" s="279"/>
    </row>
    <row r="51" spans="2:8" ht="15" customHeight="1">
      <c r="B51" s="1" t="s">
        <v>177</v>
      </c>
      <c r="C51" s="202"/>
      <c r="D51" s="92">
        <f>G29/G32</f>
        <v>0.55717149750246353</v>
      </c>
      <c r="F51" s="279"/>
    </row>
    <row r="52" spans="2:8" ht="15" customHeight="1">
      <c r="F52" s="279"/>
    </row>
    <row r="53" spans="2:8" ht="15" customHeight="1">
      <c r="B53" s="158" t="s">
        <v>143</v>
      </c>
      <c r="C53" s="259" t="s">
        <v>57</v>
      </c>
      <c r="D53" s="218" t="s">
        <v>96</v>
      </c>
      <c r="F53" s="279"/>
    </row>
    <row r="54" spans="2:8" ht="15" customHeight="1">
      <c r="B54" s="1" t="s">
        <v>140</v>
      </c>
      <c r="C54" s="92">
        <f>Normalized_FCF!C8/G35</f>
        <v>5.7769946069523057E-2</v>
      </c>
      <c r="D54" s="92">
        <f>Normalized_FCF!G8/G35</f>
        <v>6.1550492794958195E-2</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0.16275167785234898</v>
      </c>
      <c r="F58" s="5"/>
    </row>
    <row r="59" spans="2:8" ht="15" customHeight="1">
      <c r="B59" s="1" t="s">
        <v>93</v>
      </c>
      <c r="C59" s="98"/>
      <c r="D59" s="92">
        <f>G39/G32</f>
        <v>8.1008529002004823E-2</v>
      </c>
      <c r="F59" s="279"/>
    </row>
    <row r="60" spans="2:8" ht="15" customHeight="1">
      <c r="F60" s="279"/>
    </row>
    <row r="61" spans="2:8" ht="15" customHeight="1">
      <c r="B61" s="158" t="s">
        <v>275</v>
      </c>
      <c r="C61" s="259" t="s">
        <v>138</v>
      </c>
      <c r="D61" s="218" t="s">
        <v>96</v>
      </c>
      <c r="F61" s="279"/>
    </row>
    <row r="62" spans="2:8" ht="15" customHeight="1">
      <c r="B62" s="1" t="s">
        <v>246</v>
      </c>
      <c r="C62" s="92">
        <f>IF(G28&lt;=0,0,G28/G29)</f>
        <v>2.7240755422739934E-3</v>
      </c>
      <c r="D62" s="92">
        <f>G28/G29</f>
        <v>2.7240755422739934E-3</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1334</v>
      </c>
      <c r="D66" s="188">
        <f>C66-D75</f>
        <v>-594.28499848473007</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1334</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-1866.9533418666667</v>
      </c>
      <c r="D73" s="188">
        <f>(Normalized_FCF!C25+Normalized_FCF!C35-Normalized_FCF!C91)/12</f>
        <v>-1928.2849984847301</v>
      </c>
      <c r="F73" s="1" t="s">
        <v>352</v>
      </c>
    </row>
    <row r="74" spans="2:6" ht="15" customHeight="1">
      <c r="B74" s="283" t="s">
        <v>322</v>
      </c>
      <c r="C74" s="284">
        <f>-$C$66/C73</f>
        <v>0.71453312200411223</v>
      </c>
      <c r="D74" s="284">
        <f>-$C$66/D73</f>
        <v>0.69180645031635546</v>
      </c>
      <c r="F74" s="279" t="s">
        <v>320</v>
      </c>
    </row>
    <row r="75" spans="2:6" ht="15" customHeight="1">
      <c r="B75" s="80" t="s">
        <v>321</v>
      </c>
      <c r="C75" s="288"/>
      <c r="D75" s="287">
        <f>MAX(-D73*D76,G5)</f>
        <v>1928.2849984847301</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0</v>
      </c>
      <c r="D82" s="81">
        <f>SUM(D79:D81)</f>
        <v>0</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-19869</v>
      </c>
      <c r="D86" s="247">
        <f>C86*scaling_factor/Common_Shares</f>
        <v>-16.649068991502919</v>
      </c>
      <c r="E86" s="266" t="str">
        <f>Market_currency</f>
        <v>USD</v>
      </c>
    </row>
    <row r="87" spans="2:8" ht="15" customHeight="1">
      <c r="B87" s="264" t="s">
        <v>288</v>
      </c>
      <c r="C87" s="188">
        <f>DCF!C8*Exchange_Rate</f>
        <v>-594.28499848473007</v>
      </c>
      <c r="D87" s="247">
        <f>C87*scaling_factor/Common_Shares</f>
        <v>-0.49797634205986613</v>
      </c>
      <c r="E87" s="266" t="str">
        <f>Market_currency</f>
        <v>USD</v>
      </c>
    </row>
    <row r="88" spans="2:8" ht="15" customHeight="1">
      <c r="B88" s="265" t="s">
        <v>190</v>
      </c>
      <c r="C88" s="188">
        <f>DCF!C9*Exchange_Rate</f>
        <v>0</v>
      </c>
      <c r="D88" s="247">
        <f>C88*scaling_factor/Common_Shares</f>
        <v>0</v>
      </c>
      <c r="E88" s="266" t="str">
        <f>Market_currency</f>
        <v>USD</v>
      </c>
    </row>
    <row r="89" spans="2:8" ht="15" customHeight="1">
      <c r="B89" s="80" t="s">
        <v>292</v>
      </c>
      <c r="C89" s="187">
        <f>SUM(C86:C88)</f>
        <v>-20463.284998484731</v>
      </c>
      <c r="D89" s="268">
        <f>SUM(D86:D88)</f>
        <v>-17.147045333562783</v>
      </c>
      <c r="E89" s="266"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26253.25</v>
      </c>
      <c r="D4" s="57"/>
      <c r="E4" s="295"/>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7"/>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7"/>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7"/>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3"/>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7"/>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7"/>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7"/>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7"/>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7"/>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4"/>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5"/>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4"/>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-17575.979879416762</v>
      </c>
      <c r="D23" s="58"/>
      <c r="E23" s="296"/>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4"/>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2"/>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0.6694782504801029</v>
      </c>
      <c r="D28" s="26"/>
      <c r="E28" s="295"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5"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7"/>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AVERAGE(G33:H33)</f>
        <v>-3654</v>
      </c>
      <c r="E33" s="295" t="s">
        <v>334</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6"/>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0.13918276784779027</v>
      </c>
      <c r="D38" s="27"/>
      <c r="E38" s="294"/>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7"/>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0.26</v>
      </c>
      <c r="D43" s="27"/>
      <c r="E43" s="294"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-912</v>
      </c>
      <c r="E47" s="297"/>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346</v>
      </c>
      <c r="C48" s="191">
        <f>BS!D75*C53</f>
        <v>0</v>
      </c>
      <c r="E48" s="297"/>
      <c r="G48" s="322">
        <f>IFERROR(IF(G$4="","",($C$48/$C$49)*G49),0)</f>
        <v>0</v>
      </c>
      <c r="H48" s="322">
        <f t="shared" ref="H48:Q48" si="19">IFERROR(IF(H$4="","",($C$48/$C$49)*H49),0)</f>
        <v>0</v>
      </c>
      <c r="I48" s="322">
        <f t="shared" si="19"/>
        <v>0</v>
      </c>
      <c r="J48" s="322">
        <f t="shared" si="19"/>
        <v>0</v>
      </c>
      <c r="K48" s="322">
        <f t="shared" si="19"/>
        <v>0</v>
      </c>
      <c r="L48" s="322">
        <f t="shared" si="19"/>
        <v>0</v>
      </c>
      <c r="M48" s="322">
        <f t="shared" si="19"/>
        <v>0</v>
      </c>
      <c r="N48" s="322">
        <f t="shared" si="19"/>
        <v>0</v>
      </c>
      <c r="O48" s="322">
        <f t="shared" si="19"/>
        <v>0</v>
      </c>
      <c r="P48" s="322">
        <f t="shared" si="19"/>
        <v>0</v>
      </c>
      <c r="Q48" s="322" t="str">
        <f t="shared" si="19"/>
        <v/>
      </c>
    </row>
    <row r="49" spans="1:17" ht="15.75" customHeight="1">
      <c r="A49" s="10"/>
      <c r="B49" s="317" t="s">
        <v>343</v>
      </c>
      <c r="C49" s="318">
        <f>BS!$C$66*C53</f>
        <v>0</v>
      </c>
      <c r="D49" s="319"/>
      <c r="E49" s="320"/>
      <c r="F49" s="319"/>
      <c r="G49" s="318">
        <f>Data!C52</f>
        <v>0</v>
      </c>
      <c r="H49" s="318">
        <f>Data!D52</f>
        <v>0</v>
      </c>
      <c r="I49" s="318">
        <f>Data!E52</f>
        <v>0</v>
      </c>
      <c r="J49" s="318">
        <f>Data!F52</f>
        <v>0</v>
      </c>
      <c r="K49" s="318">
        <f>Data!G52</f>
        <v>0</v>
      </c>
      <c r="L49" s="318">
        <f>Data!H52</f>
        <v>0</v>
      </c>
      <c r="M49" s="318">
        <f>Data!I52</f>
        <v>0</v>
      </c>
      <c r="N49" s="318">
        <f>Data!J52</f>
        <v>0</v>
      </c>
      <c r="O49" s="318">
        <f>Data!K52</f>
        <v>0</v>
      </c>
      <c r="P49" s="318">
        <f>Data!L52</f>
        <v>0</v>
      </c>
      <c r="Q49" s="318" t="str">
        <f>Data!M52</f>
        <v/>
      </c>
    </row>
    <row r="50" spans="1:17" ht="15.75" customHeight="1">
      <c r="A50" s="10"/>
      <c r="B50" s="70" t="s">
        <v>68</v>
      </c>
      <c r="C50" s="184">
        <f>C47+C48</f>
        <v>-912</v>
      </c>
      <c r="E50" s="297"/>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0</v>
      </c>
      <c r="E53" s="294"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4" t="s">
        <v>337</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7"/>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2">
        <v>0</v>
      </c>
      <c r="E62" s="295" t="s">
        <v>338</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7"/>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0.6694782504801029</v>
      </c>
      <c r="D73" s="27"/>
      <c r="E73" s="294"/>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4"/>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4"/>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4"/>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4"/>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5" t="s">
        <v>460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4"/>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4"/>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4"/>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3">
        <f>MIN(BS!C62,MAX(G83:K83))</f>
        <v>4.6079410183549652E-4</v>
      </c>
      <c r="D83" s="27"/>
      <c r="E83" s="294"/>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4"/>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4"/>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(USD)</v>
      </c>
      <c r="C90" s="114">
        <f>G90</f>
        <v>1.6</v>
      </c>
      <c r="E90" s="297"/>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7"/>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7"/>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5.7678442682047588E-2</v>
      </c>
      <c r="E93" s="297"/>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1.5756790218989458E-2</v>
      </c>
      <c r="D96" s="27"/>
      <c r="E96" s="294"/>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4"/>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88287</v>
      </c>
      <c r="D101" s="26"/>
      <c r="E101" s="298"/>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299"/>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299"/>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8"/>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8"/>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8"/>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8"/>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1.5236707938820102</v>
      </c>
      <c r="H113" s="327">
        <f>IF(H$4="","",Data!D$22/Data!D15)</f>
        <v>1.3970484891075192</v>
      </c>
      <c r="I113" s="327">
        <f>IF(I$4="","",Data!E$22/Data!E15)</f>
        <v>1.042652027027027</v>
      </c>
      <c r="J113" s="327">
        <f>IF(J$4="","",Data!F$22/Data!F15)</f>
        <v>5.23828125</v>
      </c>
      <c r="K113" s="327">
        <f>IF(K$4="","",Data!G$22/Data!G15)</f>
        <v>13.653739612188366</v>
      </c>
      <c r="L113" s="327">
        <f>IF(L$4="","",Data!H$22/Data!H15)</f>
        <v>1.8375581996896015</v>
      </c>
      <c r="M113" s="327">
        <f>IF(M$4="","",Data!I$22/Data!I15)</f>
        <v>-0.2510239906377999</v>
      </c>
      <c r="N113" s="327">
        <f>IF(N$4="","",Data!J$22/Data!J15)</f>
        <v>4.7952684258416742E-2</v>
      </c>
      <c r="O113" s="327">
        <f>IF(O$4="","",Data!K$22/Data!K15)</f>
        <v>1.4382207578253707</v>
      </c>
      <c r="P113" s="327">
        <f>IF(P$4="","",Data!L$22/Data!L15)</f>
        <v>3.8129829984544048</v>
      </c>
      <c r="Q113" s="327" t="str">
        <f>IF(Q$4="","",Data!M$22/Data!M15)</f>
        <v/>
      </c>
    </row>
    <row r="114" spans="1:17" ht="15.75" customHeight="1">
      <c r="A114" s="10"/>
      <c r="B114" s="2" t="s">
        <v>393</v>
      </c>
      <c r="C114" s="170"/>
      <c r="E114" s="297"/>
      <c r="G114" s="327">
        <f>IF(G$4="","",Data!C$22/G19)</f>
        <v>1.642072213500785</v>
      </c>
      <c r="H114" s="327">
        <f>IF(H$4="","",Data!D$22/H19)</f>
        <v>1.6769295655841416</v>
      </c>
      <c r="I114" s="327">
        <f>IF(I$4="","",Data!E$22/I19)</f>
        <v>2.2506836827711942</v>
      </c>
      <c r="J114" s="327">
        <f>IF(J$4="","",Data!F$22/J19)</f>
        <v>-26.954773869346734</v>
      </c>
      <c r="K114" s="327">
        <f>IF(K$4="","",Data!G$22/K19)</f>
        <v>-5.8331360946745558</v>
      </c>
      <c r="L114" s="327">
        <f>IF(L$4="","",Data!H$22/L19)</f>
        <v>3.620795107033639</v>
      </c>
      <c r="M114" s="327">
        <f>IF(M$4="","",Data!I$22/M19)</f>
        <v>-0.24662259269905146</v>
      </c>
      <c r="N114" s="327">
        <f>IF(N$4="","",Data!J$22/N19)</f>
        <v>4.7913446676970631E-2</v>
      </c>
      <c r="O114" s="327">
        <f>IF(O$4="","",Data!K$22/O19)</f>
        <v>1.4481614597732928</v>
      </c>
      <c r="P114" s="327">
        <f>IF(P$4="","",Data!L$22/P19)</f>
        <v>2.6272630457933972</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7"/>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7"/>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1"/>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0"/>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4"/>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9.1534513604289755E-2</v>
      </c>
      <c r="D125" s="27"/>
      <c r="E125" s="294"/>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c r="B126" s="2" t="s">
        <v>395</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37878.03183096979</v>
      </c>
      <c r="D6" t="str">
        <f>Reporting_currency</f>
        <v>USD</v>
      </c>
      <c r="E6" s="358" t="s">
        <v>250</v>
      </c>
      <c r="F6" s="358"/>
      <c r="H6" s="121"/>
    </row>
    <row r="7" spans="2:8">
      <c r="B7" s="149" t="s">
        <v>225</v>
      </c>
      <c r="C7" s="226">
        <f>BS!G31</f>
        <v>19869</v>
      </c>
      <c r="D7" t="str">
        <f>Reporting_currency</f>
        <v>USD</v>
      </c>
      <c r="E7" s="358"/>
      <c r="F7" s="358"/>
      <c r="H7" s="121"/>
    </row>
    <row r="8" spans="2:8">
      <c r="B8" s="149" t="s">
        <v>226</v>
      </c>
      <c r="C8" s="201">
        <f>BS!D66</f>
        <v>-594.28499848473007</v>
      </c>
      <c r="D8" t="str">
        <f>Reporting_currency</f>
        <v>USD</v>
      </c>
      <c r="E8" s="358"/>
      <c r="F8" s="358"/>
      <c r="H8" s="121"/>
    </row>
    <row r="9" spans="2:8">
      <c r="B9" s="227" t="s">
        <v>191</v>
      </c>
      <c r="C9" s="229">
        <f>BS!H42</f>
        <v>0</v>
      </c>
      <c r="D9" t="str">
        <f>Reporting_currency</f>
        <v>USD</v>
      </c>
      <c r="E9" s="358"/>
      <c r="F9" s="358"/>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IF($C$17&lt;B21,0,DCF!$C$16)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IF($C$17&lt;B22,0,DCF!$C$16)</f>
        <v>4.2826760003620602E-2</v>
      </c>
      <c r="E22" s="125">
        <f t="shared" si="0"/>
        <v>0.85733882030178321</v>
      </c>
      <c r="F22" s="126">
        <f t="shared" si="1"/>
        <v>2825.2326388713932</v>
      </c>
      <c r="H22" s="121"/>
    </row>
    <row r="23" spans="2:8">
      <c r="B23" s="123">
        <v>3</v>
      </c>
      <c r="C23" s="124">
        <f t="shared" si="2"/>
        <v>3436.4805713727765</v>
      </c>
      <c r="D23" s="139">
        <f>IF($C$17&lt;B23,0,DCF!$C$16)</f>
        <v>4.2826760003620602E-2</v>
      </c>
      <c r="E23" s="125">
        <f t="shared" si="0"/>
        <v>0.79383224102016958</v>
      </c>
      <c r="F23" s="126">
        <f t="shared" si="1"/>
        <v>2727.9890731951241</v>
      </c>
      <c r="H23" s="121"/>
    </row>
    <row r="24" spans="2:8">
      <c r="B24" s="123">
        <v>4</v>
      </c>
      <c r="C24" s="124">
        <f t="shared" si="2"/>
        <v>3583.6539000600628</v>
      </c>
      <c r="D24" s="139">
        <f>IF($C$17&lt;B24,0,DCF!$C$16)</f>
        <v>4.2826760003620602E-2</v>
      </c>
      <c r="E24" s="125">
        <f t="shared" si="0"/>
        <v>0.73502985279645328</v>
      </c>
      <c r="F24" s="126">
        <f t="shared" si="1"/>
        <v>2634.0925986345837</v>
      </c>
      <c r="H24" s="121"/>
    </row>
    <row r="25" spans="2:8">
      <c r="B25" s="123">
        <v>5</v>
      </c>
      <c r="C25" s="124">
        <f t="shared" si="2"/>
        <v>3737.1301855739739</v>
      </c>
      <c r="D25" s="139">
        <f>IF($C$17&lt;B25,0,DCF!$C$16)</f>
        <v>4.2826760003620602E-2</v>
      </c>
      <c r="E25" s="125">
        <f t="shared" si="0"/>
        <v>0.68058319703375303</v>
      </c>
      <c r="F25" s="126">
        <f t="shared" si="1"/>
        <v>2543.4280094292781</v>
      </c>
      <c r="H25" s="121"/>
    </row>
    <row r="26" spans="2:8">
      <c r="B26" s="123">
        <v>6</v>
      </c>
      <c r="C26" s="124">
        <f t="shared" si="2"/>
        <v>3897.1793631338364</v>
      </c>
      <c r="D26" s="139">
        <f>IF($C$17&lt;B26,0,DCF!$C$16)</f>
        <v>4.2826760003620602E-2</v>
      </c>
      <c r="E26" s="125">
        <f t="shared" si="0"/>
        <v>0.63016962688310452</v>
      </c>
      <c r="F26" s="126">
        <f t="shared" si="1"/>
        <v>2455.8840651625846</v>
      </c>
      <c r="H26" s="121"/>
    </row>
    <row r="27" spans="2:8">
      <c r="B27" s="123">
        <v>7</v>
      </c>
      <c r="C27" s="124">
        <f t="shared" si="2"/>
        <v>4064.0829284098313</v>
      </c>
      <c r="D27" s="139">
        <f>IF($C$17&lt;B27,0,DCF!$C$16)</f>
        <v>4.2826760003620602E-2</v>
      </c>
      <c r="E27" s="125">
        <f t="shared" si="0"/>
        <v>0.58349039526213387</v>
      </c>
      <c r="F27" s="126">
        <f t="shared" si="1"/>
        <v>2371.3533542759428</v>
      </c>
      <c r="H27" s="121"/>
    </row>
    <row r="28" spans="2:8">
      <c r="B28" s="123">
        <v>8</v>
      </c>
      <c r="C28" s="124">
        <f t="shared" si="2"/>
        <v>4238.1344326196504</v>
      </c>
      <c r="D28" s="139">
        <f>IF($C$17&lt;B28,0,DCF!$C$16)</f>
        <v>4.2826760003620602E-2</v>
      </c>
      <c r="E28" s="125">
        <f t="shared" si="0"/>
        <v>0.54026888450197574</v>
      </c>
      <c r="F28" s="126">
        <f t="shared" si="1"/>
        <v>2289.7321622808322</v>
      </c>
      <c r="H28" s="121"/>
    </row>
    <row r="29" spans="2:8">
      <c r="B29" s="123">
        <v>9</v>
      </c>
      <c r="C29" s="124">
        <f t="shared" si="2"/>
        <v>4419.639998828533</v>
      </c>
      <c r="D29" s="139">
        <f>IF($C$17&lt;B29,0,DCF!$C$16)</f>
        <v>4.2826760003620602E-2</v>
      </c>
      <c r="E29" s="125">
        <f t="shared" si="0"/>
        <v>0.50024896713145905</v>
      </c>
      <c r="F29" s="126">
        <f t="shared" si="1"/>
        <v>2210.9203445068565</v>
      </c>
      <c r="H29" s="121"/>
    </row>
    <row r="30" spans="2:8">
      <c r="B30" s="123">
        <v>10</v>
      </c>
      <c r="C30" s="124">
        <f t="shared" si="2"/>
        <v>4608.9188603607645</v>
      </c>
      <c r="D30" s="139">
        <f>IF($C$17&lt;B30,0,DCF!$C$16)</f>
        <v>4.2826760003620602E-2</v>
      </c>
      <c r="E30" s="125">
        <f t="shared" si="0"/>
        <v>0.46319348808468425</v>
      </c>
      <c r="F30" s="126">
        <f t="shared" si="1"/>
        <v>2134.8212032297902</v>
      </c>
      <c r="H30" s="121"/>
    </row>
    <row r="31" spans="2:8">
      <c r="B31" s="123">
        <v>11</v>
      </c>
      <c r="C31" s="124">
        <f t="shared" si="2"/>
        <v>4806.3039222695952</v>
      </c>
      <c r="D31" s="139">
        <f>IF($C$17&lt;B31,0,DCF!$C$16)</f>
        <v>4.2826760003620602E-2</v>
      </c>
      <c r="E31" s="125">
        <f t="shared" si="0"/>
        <v>0.42888285933767062</v>
      </c>
      <c r="F31" s="126">
        <f t="shared" si="1"/>
        <v>2061.3413690288453</v>
      </c>
      <c r="H31" s="121"/>
    </row>
    <row r="32" spans="2:8">
      <c r="B32" s="123">
        <v>12</v>
      </c>
      <c r="C32" s="124">
        <f t="shared" si="2"/>
        <v>5012.1423468530957</v>
      </c>
      <c r="D32" s="139">
        <f>IF($C$17&lt;B32,0,DCF!$C$16)</f>
        <v>4.2826760003620602E-2</v>
      </c>
      <c r="E32" s="125">
        <f t="shared" si="0"/>
        <v>0.39711375864599124</v>
      </c>
      <c r="F32" s="126">
        <f t="shared" si="1"/>
        <v>1990.3906862275724</v>
      </c>
      <c r="H32" s="121"/>
    </row>
    <row r="33" spans="2:8">
      <c r="B33" s="123">
        <v>13</v>
      </c>
      <c r="C33" s="124">
        <f t="shared" si="2"/>
        <v>5226.7961642457558</v>
      </c>
      <c r="D33" s="139">
        <f>IF($C$17&lt;B33,0,DCF!$C$16)</f>
        <v>4.2826760003620602E-2</v>
      </c>
      <c r="E33" s="125">
        <f t="shared" si="0"/>
        <v>0.36769792467221413</v>
      </c>
      <c r="F33" s="126">
        <f t="shared" si="1"/>
        <v>1921.8821022778536</v>
      </c>
      <c r="H33" s="121"/>
    </row>
    <row r="34" spans="2:8">
      <c r="B34" s="123">
        <v>14</v>
      </c>
      <c r="C34" s="124">
        <f t="shared" si="2"/>
        <v>5450.6429091597538</v>
      </c>
      <c r="D34" s="139">
        <f>IF($C$17&lt;B34,0,DCF!$C$16)</f>
        <v>4.2826760003620602E-2</v>
      </c>
      <c r="E34" s="125">
        <f t="shared" si="0"/>
        <v>0.34046104136316119</v>
      </c>
      <c r="F34" s="126">
        <f t="shared" si="1"/>
        <v>1855.7315609512602</v>
      </c>
      <c r="H34" s="121"/>
    </row>
    <row r="35" spans="2:8">
      <c r="B35" s="123">
        <v>15</v>
      </c>
      <c r="C35" s="124">
        <f t="shared" si="2"/>
        <v>5684.0762848957738</v>
      </c>
      <c r="D35" s="139">
        <f>IF($C$17&lt;B35,0,DCF!$C$16)</f>
        <v>4.2826760003620602E-2</v>
      </c>
      <c r="E35" s="125">
        <f t="shared" si="0"/>
        <v>0.31524170496588994</v>
      </c>
      <c r="F35" s="126">
        <f t="shared" si="1"/>
        <v>1791.8578992067253</v>
      </c>
      <c r="H35" s="121"/>
    </row>
    <row r="36" spans="2:8">
      <c r="B36" s="123">
        <v>16</v>
      </c>
      <c r="C36" s="124">
        <f t="shared" si="2"/>
        <v>5927.5068557912755</v>
      </c>
      <c r="D36" s="139">
        <f>IF($C$17&lt;B36,0,DCF!$C$16)</f>
        <v>4.2826760003620602E-2</v>
      </c>
      <c r="E36" s="125">
        <f t="shared" si="0"/>
        <v>0.29189046756100923</v>
      </c>
      <c r="F36" s="126">
        <f t="shared" si="1"/>
        <v>1730.1827476080032</v>
      </c>
      <c r="H36" s="121"/>
    </row>
    <row r="37" spans="2:8">
      <c r="B37" s="123">
        <v>17</v>
      </c>
      <c r="C37" s="124">
        <f t="shared" si="2"/>
        <v>6181.3627693240651</v>
      </c>
      <c r="D37" s="139">
        <f>IF($C$17&lt;B37,0,DCF!$C$16)</f>
        <v>4.2826760003620602E-2</v>
      </c>
      <c r="E37" s="125">
        <f t="shared" si="0"/>
        <v>0.27026895144537894</v>
      </c>
      <c r="F37" s="126">
        <f t="shared" si="1"/>
        <v>1670.6304341687189</v>
      </c>
      <c r="H37" s="121"/>
    </row>
    <row r="38" spans="2:8">
      <c r="B38" s="123">
        <v>18</v>
      </c>
      <c r="C38" s="124">
        <f t="shared" si="2"/>
        <v>6446.0905091412214</v>
      </c>
      <c r="D38" s="139">
        <f>IF($C$17&lt;B38,0,DCF!$C$16)</f>
        <v>4.2826760003620602E-2</v>
      </c>
      <c r="E38" s="125">
        <f t="shared" si="0"/>
        <v>0.25024902911609154</v>
      </c>
      <c r="F38" s="126">
        <f t="shared" si="1"/>
        <v>1613.1278915070429</v>
      </c>
      <c r="H38" s="121"/>
    </row>
    <row r="39" spans="2:8">
      <c r="B39" s="123">
        <v>19</v>
      </c>
      <c r="C39" s="124">
        <f t="shared" si="2"/>
        <v>6722.1556803378289</v>
      </c>
      <c r="D39" s="139">
        <f>IF($C$17&lt;B39,0,DCF!$C$16)</f>
        <v>4.2826760003620602E-2</v>
      </c>
      <c r="E39" s="125">
        <f t="shared" si="0"/>
        <v>0.23171206399638106</v>
      </c>
      <c r="F39" s="126">
        <f t="shared" si="1"/>
        <v>1557.6045671960755</v>
      </c>
      <c r="H39" s="121"/>
    </row>
    <row r="40" spans="2:8">
      <c r="B40" s="123">
        <v>20</v>
      </c>
      <c r="C40" s="124">
        <f t="shared" si="2"/>
        <v>7010.0438283666326</v>
      </c>
      <c r="D40" s="139">
        <f>IF($C$17&lt;B40,0,DCF!$C$16)</f>
        <v>4.2826760003620602E-2</v>
      </c>
      <c r="E40" s="125">
        <f t="shared" si="0"/>
        <v>0.21454820740405653</v>
      </c>
      <c r="F40" s="126">
        <f t="shared" si="1"/>
        <v>1503.9923371999307</v>
      </c>
      <c r="H40" s="121"/>
    </row>
    <row r="41" spans="2:8">
      <c r="B41" s="123">
        <v>21</v>
      </c>
      <c r="C41" s="124">
        <f t="shared" si="2"/>
        <v>7310.2612930189507</v>
      </c>
      <c r="D41" s="139">
        <f>IF($C$17&lt;B41,0,DCF!$C$16)</f>
        <v>4.2826760003620602E-2</v>
      </c>
      <c r="E41" s="125">
        <f t="shared" si="0"/>
        <v>0.19865574759634863</v>
      </c>
      <c r="F41" s="126">
        <f t="shared" si="1"/>
        <v>1452.2254222893298</v>
      </c>
      <c r="H41" s="121"/>
    </row>
    <row r="42" spans="2:8">
      <c r="B42" s="123">
        <v>22</v>
      </c>
      <c r="C42" s="124">
        <f t="shared" si="2"/>
        <v>7623.3360989788298</v>
      </c>
      <c r="D42" s="139">
        <f>IF($C$17&lt;B42,0,DCF!$C$16)</f>
        <v>4.2826760003620602E-2</v>
      </c>
      <c r="E42" s="125">
        <f t="shared" si="0"/>
        <v>0.18394050703365611</v>
      </c>
      <c r="F42" s="126">
        <f t="shared" si="1"/>
        <v>1402.24030733414</v>
      </c>
      <c r="H42" s="121"/>
    </row>
    <row r="43" spans="2:8">
      <c r="B43" s="123">
        <v>23</v>
      </c>
      <c r="C43" s="124">
        <f t="shared" si="2"/>
        <v>7949.8188845167324</v>
      </c>
      <c r="D43" s="139">
        <f>IF($C$17&lt;B43,0,DCF!$C$16)</f>
        <v>4.2826760003620602E-2</v>
      </c>
      <c r="E43" s="125">
        <f t="shared" si="0"/>
        <v>0.17031528429042234</v>
      </c>
      <c r="F43" s="126">
        <f t="shared" si="1"/>
        <v>1353.9756633738355</v>
      </c>
      <c r="H43" s="121"/>
    </row>
    <row r="44" spans="2:8">
      <c r="B44" s="123">
        <v>24</v>
      </c>
      <c r="C44" s="124">
        <f t="shared" si="2"/>
        <v>8290.2838699561817</v>
      </c>
      <c r="D44" s="139">
        <f>IF($C$17&lt;B44,0,DCF!$C$16)</f>
        <v>4.2826760003620602E-2</v>
      </c>
      <c r="E44" s="125">
        <f t="shared" si="0"/>
        <v>0.1576993373059466</v>
      </c>
      <c r="F44" s="126">
        <f t="shared" si="1"/>
        <v>1307.3722723702681</v>
      </c>
      <c r="H44" s="121"/>
    </row>
    <row r="45" spans="2:8">
      <c r="B45" s="123">
        <v>25</v>
      </c>
      <c r="C45" s="124">
        <f t="shared" si="2"/>
        <v>8645.3298676166814</v>
      </c>
      <c r="D45" s="139">
        <f>IF($C$17&lt;B45,0,DCF!$C$16)</f>
        <v>4.2826760003620602E-2</v>
      </c>
      <c r="E45" s="125">
        <f t="shared" si="0"/>
        <v>0.1460179049129135</v>
      </c>
      <c r="F45" s="126">
        <f t="shared" si="1"/>
        <v>1262.3729545504236</v>
      </c>
      <c r="H45" s="121"/>
    </row>
    <row r="46" spans="2:8">
      <c r="B46" s="123">
        <v>26</v>
      </c>
      <c r="C46" s="124">
        <f t="shared" si="2"/>
        <v>9015.581335009234</v>
      </c>
      <c r="D46" s="139">
        <f>IF($C$17&lt;B46,0,DCF!$C$16)</f>
        <v>4.2826760003620602E-2</v>
      </c>
      <c r="E46" s="125">
        <f t="shared" si="0"/>
        <v>0.13520176380825324</v>
      </c>
      <c r="F46" s="126">
        <f t="shared" si="1"/>
        <v>1218.922498250015</v>
      </c>
      <c r="H46" s="121"/>
    </row>
    <row r="47" spans="2:8">
      <c r="B47" s="123">
        <v>27</v>
      </c>
      <c r="C47" s="124">
        <f t="shared" si="2"/>
        <v>9401.6894731367938</v>
      </c>
      <c r="D47" s="139">
        <f>IF($C$17&lt;B47,0,DCF!$C$16)</f>
        <v>4.2826760003620602E-2</v>
      </c>
      <c r="E47" s="125">
        <f t="shared" si="0"/>
        <v>0.12518681834097523</v>
      </c>
      <c r="F47" s="126">
        <f t="shared" si="1"/>
        <v>1176.9675921718349</v>
      </c>
      <c r="H47" s="121"/>
    </row>
    <row r="48" spans="2:8">
      <c r="B48" s="123">
        <v>28</v>
      </c>
      <c r="C48" s="124">
        <f t="shared" si="2"/>
        <v>9804.3333718313897</v>
      </c>
      <c r="D48" s="139">
        <f>IF($C$17&lt;B48,0,DCF!$C$16)</f>
        <v>4.2826760003620602E-2</v>
      </c>
      <c r="E48" s="125">
        <f t="shared" si="0"/>
        <v>0.11591372068608817</v>
      </c>
      <c r="F48" s="126">
        <f t="shared" si="1"/>
        <v>1136.4567599757568</v>
      </c>
      <c r="H48" s="121"/>
    </row>
    <row r="49" spans="1:8">
      <c r="B49" s="123">
        <v>29</v>
      </c>
      <c r="C49" s="124">
        <f t="shared" si="2"/>
        <v>10224.221204142301</v>
      </c>
      <c r="D49" s="139">
        <f>IF($C$17&lt;B49,0,DCF!$C$16)</f>
        <v>4.2826760003620602E-2</v>
      </c>
      <c r="E49" s="125">
        <f t="shared" si="0"/>
        <v>0.10732751915378534</v>
      </c>
      <c r="F49" s="126">
        <f t="shared" si="1"/>
        <v>1097.340297120121</v>
      </c>
      <c r="H49" s="121"/>
    </row>
    <row r="50" spans="1:8">
      <c r="B50" s="123">
        <v>30</v>
      </c>
      <c r="C50" s="124">
        <f t="shared" si="2"/>
        <v>10662.091471876032</v>
      </c>
      <c r="D50" s="139">
        <f>IF($C$17&lt;B50,0,DCF!$C$16)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1909.4401024000001</v>
      </c>
      <c r="D4" t="str">
        <f>Market_currency</f>
        <v>USD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23868.00128</v>
      </c>
      <c r="D6" t="str">
        <f>Reporting_currency</f>
        <v>USD</v>
      </c>
      <c r="E6" s="358"/>
      <c r="F6" s="358"/>
      <c r="H6" s="121"/>
    </row>
    <row r="7" spans="2:8" ht="13.15">
      <c r="B7" s="150" t="s">
        <v>445</v>
      </c>
      <c r="C7" s="112">
        <f>(C6*scaling_factor)/Common_Shares*Exchange_Rate</f>
        <v>20</v>
      </c>
      <c r="D7" t="str">
        <f>Market_currency</f>
        <v>USD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4.2826760003620602E-2</v>
      </c>
      <c r="H11" s="121"/>
    </row>
    <row r="12" spans="2:8" ht="13.35" customHeight="1">
      <c r="B12" s="119" t="s">
        <v>135</v>
      </c>
      <c r="C12" s="163">
        <f>Scenarios!C64</f>
        <v>30</v>
      </c>
      <c r="H12" s="121"/>
    </row>
    <row r="13" spans="2:8" ht="13.35" customHeight="1">
      <c r="B13" s="154" t="s">
        <v>107</v>
      </c>
      <c r="C13" s="141">
        <f>F47/Common_Shares*scaling_factor</f>
        <v>31.262980564067469</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1991.2152354067734</v>
      </c>
      <c r="D16" s="139">
        <f>IF($C$12&lt;B16,0,DDM!$C$11)</f>
        <v>4.2826760003620602E-2</v>
      </c>
      <c r="E16" s="125">
        <f t="shared" ref="E16:E45" si="0">IF($C$12&lt;B16,0,1/(1+Equity_Cost)^B16)</f>
        <v>0.92592592592592582</v>
      </c>
      <c r="F16" s="126">
        <f t="shared" ref="F16:F46" si="1">C16*E16</f>
        <v>1843.717810561827</v>
      </c>
      <c r="H16" s="121"/>
    </row>
    <row r="17" spans="2:8">
      <c r="B17" s="123">
        <v>2</v>
      </c>
      <c r="C17" s="124">
        <f t="shared" ref="C17:C45" si="2">IF(ROW()-ROW($C$16)&lt;$C$12, $C$16*(1+D17)^(ROW()-ROW($C$16)), 0)</f>
        <v>2076.4925324090918</v>
      </c>
      <c r="D17" s="139">
        <f>IF($C$12&lt;B17,0,DDM!$C$11)</f>
        <v>4.2826760003620602E-2</v>
      </c>
      <c r="E17" s="125">
        <f t="shared" si="0"/>
        <v>0.85733882030178321</v>
      </c>
      <c r="F17" s="126">
        <f t="shared" si="1"/>
        <v>1780.257658101073</v>
      </c>
      <c r="H17" s="121"/>
    </row>
    <row r="18" spans="2:8">
      <c r="B18" s="123">
        <v>3</v>
      </c>
      <c r="C18" s="124">
        <f t="shared" si="2"/>
        <v>2165.4219797438864</v>
      </c>
      <c r="D18" s="139">
        <f>IF($C$12&lt;B18,0,DDM!$C$11)</f>
        <v>4.2826760003620602E-2</v>
      </c>
      <c r="E18" s="125">
        <f t="shared" si="0"/>
        <v>0.79383224102016958</v>
      </c>
      <c r="F18" s="126">
        <f t="shared" si="1"/>
        <v>1718.9817829344215</v>
      </c>
      <c r="H18" s="121"/>
    </row>
    <row r="19" spans="2:8">
      <c r="B19" s="123">
        <v>4</v>
      </c>
      <c r="C19" s="124">
        <f t="shared" si="2"/>
        <v>2258.1599871769426</v>
      </c>
      <c r="D19" s="139">
        <f>IF($C$12&lt;B19,0,DDM!$C$11)</f>
        <v>4.2826760003620602E-2</v>
      </c>
      <c r="E19" s="125">
        <f t="shared" si="0"/>
        <v>0.73502985279645328</v>
      </c>
      <c r="F19" s="126">
        <f t="shared" si="1"/>
        <v>1659.8150029655089</v>
      </c>
      <c r="H19" s="121"/>
    </row>
    <row r="20" spans="2:8">
      <c r="B20" s="123">
        <v>5</v>
      </c>
      <c r="C20" s="124">
        <f t="shared" si="2"/>
        <v>2354.8696629975484</v>
      </c>
      <c r="D20" s="139">
        <f>IF($C$12&lt;B20,0,DDM!$C$11)</f>
        <v>4.2826760003620602E-2</v>
      </c>
      <c r="E20" s="125">
        <f t="shared" si="0"/>
        <v>0.68058319703375303</v>
      </c>
      <c r="F20" s="126">
        <f t="shared" si="1"/>
        <v>1602.6847238406681</v>
      </c>
      <c r="H20" s="121"/>
    </row>
    <row r="21" spans="2:8">
      <c r="B21" s="123">
        <v>6</v>
      </c>
      <c r="C21" s="124">
        <f t="shared" si="2"/>
        <v>2455.7211008945515</v>
      </c>
      <c r="D21" s="139">
        <f>IF($C$12&lt;B21,0,DDM!$C$11)</f>
        <v>4.2826760003620602E-2</v>
      </c>
      <c r="E21" s="125">
        <f t="shared" si="0"/>
        <v>0.63016962688310452</v>
      </c>
      <c r="F21" s="126">
        <f t="shared" si="1"/>
        <v>1547.5208498796862</v>
      </c>
      <c r="H21" s="121"/>
    </row>
    <row r="22" spans="2:8">
      <c r="B22" s="123">
        <v>7</v>
      </c>
      <c r="C22" s="124">
        <f t="shared" si="2"/>
        <v>2560.8916791183888</v>
      </c>
      <c r="D22" s="139">
        <f>IF($C$12&lt;B22,0,DDM!$C$11)</f>
        <v>4.2826760003620602E-2</v>
      </c>
      <c r="E22" s="125">
        <f t="shared" si="0"/>
        <v>0.58349039526213387</v>
      </c>
      <c r="F22" s="126">
        <f t="shared" si="1"/>
        <v>1494.2556980722984</v>
      </c>
      <c r="H22" s="121"/>
    </row>
    <row r="23" spans="2:8">
      <c r="B23" s="123">
        <v>8</v>
      </c>
      <c r="C23" s="124">
        <f t="shared" si="2"/>
        <v>2670.5663724552605</v>
      </c>
      <c r="D23" s="139">
        <f>IF($C$12&lt;B23,0,DDM!$C$11)</f>
        <v>4.2826760003620602E-2</v>
      </c>
      <c r="E23" s="125">
        <f t="shared" si="0"/>
        <v>0.54026888450197574</v>
      </c>
      <c r="F23" s="126">
        <f t="shared" si="1"/>
        <v>1442.8239150348916</v>
      </c>
      <c r="H23" s="121"/>
    </row>
    <row r="24" spans="2:8">
      <c r="B24" s="123">
        <v>9</v>
      </c>
      <c r="C24" s="124">
        <f t="shared" si="2"/>
        <v>2784.9380775621421</v>
      </c>
      <c r="D24" s="139">
        <f>IF($C$12&lt;B24,0,DDM!$C$11)</f>
        <v>4.2826760003620602E-2</v>
      </c>
      <c r="E24" s="125">
        <f t="shared" si="0"/>
        <v>0.50024896713145905</v>
      </c>
      <c r="F24" s="126">
        <f t="shared" si="1"/>
        <v>1393.1623968255328</v>
      </c>
      <c r="H24" s="121"/>
    </row>
    <row r="25" spans="2:8">
      <c r="B25" s="123">
        <v>10</v>
      </c>
      <c r="C25" s="124">
        <f t="shared" si="2"/>
        <v>2904.2079522348399</v>
      </c>
      <c r="D25" s="139">
        <f>IF($C$12&lt;B25,0,DDM!$C$11)</f>
        <v>4.2826760003620602E-2</v>
      </c>
      <c r="E25" s="125">
        <f t="shared" si="0"/>
        <v>0.46319348808468425</v>
      </c>
      <c r="F25" s="126">
        <f t="shared" si="1"/>
        <v>1345.2102115189336</v>
      </c>
      <c r="H25" s="121"/>
    </row>
    <row r="26" spans="2:8">
      <c r="B26" s="123">
        <v>11</v>
      </c>
      <c r="C26" s="124">
        <f t="shared" si="2"/>
        <v>3028.585769205808</v>
      </c>
      <c r="D26" s="139">
        <f>IF($C$12&lt;B26,0,DDM!$C$11)</f>
        <v>4.2826760003620602E-2</v>
      </c>
      <c r="E26" s="125">
        <f t="shared" si="0"/>
        <v>0.42888285933767062</v>
      </c>
      <c r="F26" s="126">
        <f t="shared" si="1"/>
        <v>1298.9085244463656</v>
      </c>
      <c r="H26" s="121"/>
    </row>
    <row r="27" spans="2:8">
      <c r="B27" s="123">
        <v>12</v>
      </c>
      <c r="C27" s="124">
        <f t="shared" si="2"/>
        <v>3158.2902850939654</v>
      </c>
      <c r="D27" s="139">
        <f>IF($C$12&lt;B27,0,DDM!$C$11)</f>
        <v>4.2826760003620602E-2</v>
      </c>
      <c r="E27" s="125">
        <f t="shared" si="0"/>
        <v>0.39711375864599124</v>
      </c>
      <c r="F27" s="126">
        <f t="shared" si="1"/>
        <v>1254.2005260087838</v>
      </c>
      <c r="H27" s="121"/>
    </row>
    <row r="28" spans="2:8">
      <c r="B28" s="123">
        <v>13</v>
      </c>
      <c r="C28" s="124">
        <f t="shared" si="2"/>
        <v>3293.5496251554509</v>
      </c>
      <c r="D28" s="139">
        <f>IF($C$12&lt;B28,0,DDM!$C$11)</f>
        <v>4.2826760003620602E-2</v>
      </c>
      <c r="E28" s="125">
        <f t="shared" si="0"/>
        <v>0.36769792467221413</v>
      </c>
      <c r="F28" s="126">
        <f t="shared" si="1"/>
        <v>1211.031361974608</v>
      </c>
      <c r="H28" s="121"/>
    </row>
    <row r="29" spans="2:8">
      <c r="B29" s="123">
        <v>14</v>
      </c>
      <c r="C29" s="124">
        <f t="shared" si="2"/>
        <v>3434.601684511998</v>
      </c>
      <c r="D29" s="139">
        <f>IF($C$12&lt;B29,0,DDM!$C$11)</f>
        <v>4.2826760003620602E-2</v>
      </c>
      <c r="E29" s="125">
        <f t="shared" si="0"/>
        <v>0.34046104136316119</v>
      </c>
      <c r="F29" s="126">
        <f t="shared" si="1"/>
        <v>1169.3480661766225</v>
      </c>
      <c r="H29" s="121"/>
    </row>
    <row r="30" spans="2:8">
      <c r="B30" s="123">
        <v>15</v>
      </c>
      <c r="C30" s="124">
        <f t="shared" si="2"/>
        <v>3581.6945465626236</v>
      </c>
      <c r="D30" s="139">
        <f>IF($C$12&lt;B30,0,DDM!$C$11)</f>
        <v>4.2826760003620602E-2</v>
      </c>
      <c r="E30" s="125">
        <f t="shared" si="0"/>
        <v>0.31524170496588994</v>
      </c>
      <c r="F30" s="126">
        <f t="shared" si="1"/>
        <v>1129.0994955254316</v>
      </c>
      <c r="H30" s="121"/>
    </row>
    <row r="31" spans="2:8">
      <c r="B31" s="123">
        <v>16</v>
      </c>
      <c r="C31" s="124">
        <f t="shared" si="2"/>
        <v>3735.0869193145372</v>
      </c>
      <c r="D31" s="139">
        <f>IF($C$12&lt;B31,0,DDM!$C$11)</f>
        <v>4.2826760003620602E-2</v>
      </c>
      <c r="E31" s="125">
        <f t="shared" si="0"/>
        <v>0.29189046756100923</v>
      </c>
      <c r="F31" s="126">
        <f t="shared" si="1"/>
        <v>1090.2362672597299</v>
      </c>
      <c r="H31" s="121"/>
    </row>
    <row r="32" spans="2:8">
      <c r="B32" s="123">
        <v>17</v>
      </c>
      <c r="C32" s="124">
        <f t="shared" si="2"/>
        <v>3895.0485904006841</v>
      </c>
      <c r="D32" s="139">
        <f>IF($C$12&lt;B32,0,DDM!$C$11)</f>
        <v>4.2826760003620602E-2</v>
      </c>
      <c r="E32" s="125">
        <f t="shared" si="0"/>
        <v>0.27026895144537894</v>
      </c>
      <c r="F32" s="126">
        <f t="shared" si="1"/>
        <v>1052.7106983563942</v>
      </c>
      <c r="H32" s="121"/>
    </row>
    <row r="33" spans="2:8">
      <c r="B33" s="123">
        <v>18</v>
      </c>
      <c r="C33" s="124">
        <f t="shared" si="2"/>
        <v>4061.8609015842144</v>
      </c>
      <c r="D33" s="139">
        <f>IF($C$12&lt;B33,0,DDM!$C$11)</f>
        <v>4.2826760003620602E-2</v>
      </c>
      <c r="E33" s="125">
        <f t="shared" si="0"/>
        <v>0.25024902911609154</v>
      </c>
      <c r="F33" s="126">
        <f t="shared" si="1"/>
        <v>1016.4767470260618</v>
      </c>
      <c r="H33" s="121"/>
    </row>
    <row r="34" spans="2:8">
      <c r="B34" s="123">
        <v>19</v>
      </c>
      <c r="C34" s="124">
        <f t="shared" si="2"/>
        <v>4235.8172435844508</v>
      </c>
      <c r="D34" s="139">
        <f>IF($C$12&lt;B34,0,DDM!$C$11)</f>
        <v>4.2826760003620602E-2</v>
      </c>
      <c r="E34" s="125">
        <f t="shared" si="0"/>
        <v>0.23171206399638106</v>
      </c>
      <c r="F34" s="126">
        <f t="shared" si="1"/>
        <v>981.48995622241466</v>
      </c>
      <c r="H34" s="121"/>
    </row>
    <row r="35" spans="2:8">
      <c r="B35" s="123">
        <v>20</v>
      </c>
      <c r="C35" s="124">
        <f t="shared" si="2"/>
        <v>4417.223572094641</v>
      </c>
      <c r="D35" s="139">
        <f>IF($C$12&lt;B35,0,DDM!$C$11)</f>
        <v>4.2826760003620602E-2</v>
      </c>
      <c r="E35" s="125">
        <f t="shared" si="0"/>
        <v>0.21454820740405653</v>
      </c>
      <c r="F35" s="126">
        <f t="shared" si="1"/>
        <v>947.70739909584847</v>
      </c>
      <c r="H35" s="121"/>
    </row>
    <row r="36" spans="2:8">
      <c r="B36" s="123">
        <v>21</v>
      </c>
      <c r="C36" s="124">
        <f t="shared" si="2"/>
        <v>4606.3989458990727</v>
      </c>
      <c r="D36" s="139">
        <f>IF($C$12&lt;B36,0,DDM!$C$11)</f>
        <v>4.2826760003620602E-2</v>
      </c>
      <c r="E36" s="125">
        <f t="shared" si="0"/>
        <v>0.19865574759634863</v>
      </c>
      <c r="F36" s="126">
        <f t="shared" si="1"/>
        <v>915.08762632461253</v>
      </c>
      <c r="H36" s="121"/>
    </row>
    <row r="37" spans="2:8">
      <c r="B37" s="123">
        <v>22</v>
      </c>
      <c r="C37" s="124">
        <f t="shared" si="2"/>
        <v>4803.6760880360225</v>
      </c>
      <c r="D37" s="139">
        <f>IF($C$12&lt;B37,0,DDM!$C$11)</f>
        <v>4.2826760003620602E-2</v>
      </c>
      <c r="E37" s="125">
        <f t="shared" si="0"/>
        <v>0.18394050703365611</v>
      </c>
      <c r="F37" s="126">
        <f t="shared" si="1"/>
        <v>883.59061525879565</v>
      </c>
      <c r="H37" s="121"/>
    </row>
    <row r="38" spans="2:8">
      <c r="B38" s="123">
        <v>23</v>
      </c>
      <c r="C38" s="124">
        <f t="shared" si="2"/>
        <v>5009.4019709934719</v>
      </c>
      <c r="D38" s="139">
        <f>IF($C$12&lt;B38,0,DDM!$C$11)</f>
        <v>4.2826760003620602E-2</v>
      </c>
      <c r="E38" s="125">
        <f t="shared" si="0"/>
        <v>0.17031528429042234</v>
      </c>
      <c r="F38" s="126">
        <f t="shared" si="1"/>
        <v>853.17772081475516</v>
      </c>
      <c r="H38" s="121"/>
    </row>
    <row r="39" spans="2:8">
      <c r="B39" s="123">
        <v>24</v>
      </c>
      <c r="C39" s="124">
        <f t="shared" si="2"/>
        <v>5223.9384269668726</v>
      </c>
      <c r="D39" s="139">
        <f>IF($C$12&lt;B39,0,DDM!$C$11)</f>
        <v>4.2826760003620602E-2</v>
      </c>
      <c r="E39" s="125">
        <f t="shared" si="0"/>
        <v>0.1576993373059466</v>
      </c>
      <c r="F39" s="126">
        <f t="shared" si="1"/>
        <v>823.81162805974486</v>
      </c>
      <c r="H39" s="121"/>
    </row>
    <row r="40" spans="2:8">
      <c r="B40" s="123">
        <v>25</v>
      </c>
      <c r="C40" s="124">
        <f t="shared" si="2"/>
        <v>5447.6627842522748</v>
      </c>
      <c r="D40" s="139">
        <f>IF($C$12&lt;B40,0,DDM!$C$11)</f>
        <v>4.2826760003620602E-2</v>
      </c>
      <c r="E40" s="125">
        <f t="shared" si="0"/>
        <v>0.1460179049129135</v>
      </c>
      <c r="F40" s="126">
        <f t="shared" si="1"/>
        <v>795.45630642856622</v>
      </c>
      <c r="H40" s="121"/>
    </row>
    <row r="41" spans="2:8">
      <c r="B41" s="123">
        <v>26</v>
      </c>
      <c r="C41" s="124">
        <f t="shared" si="2"/>
        <v>5680.9685308941016</v>
      </c>
      <c r="D41" s="139">
        <f>IF($C$12&lt;B41,0,DDM!$C$11)</f>
        <v>4.2826760003620602E-2</v>
      </c>
      <c r="E41" s="125">
        <f t="shared" si="0"/>
        <v>0.13520176380825324</v>
      </c>
      <c r="F41" s="126">
        <f t="shared" si="1"/>
        <v>768.07696551606375</v>
      </c>
      <c r="H41" s="121"/>
    </row>
    <row r="42" spans="2:8">
      <c r="B42" s="123">
        <v>27</v>
      </c>
      <c r="C42" s="124">
        <f t="shared" si="2"/>
        <v>5924.266006754824</v>
      </c>
      <c r="D42" s="139">
        <f>IF($C$12&lt;B42,0,DDM!$C$11)</f>
        <v>4.2826760003620602E-2</v>
      </c>
      <c r="E42" s="125">
        <f t="shared" si="0"/>
        <v>0.12518681834097523</v>
      </c>
      <c r="F42" s="126">
        <f t="shared" si="1"/>
        <v>741.64001239123081</v>
      </c>
      <c r="H42" s="121"/>
    </row>
    <row r="43" spans="2:8">
      <c r="B43" s="123">
        <v>28</v>
      </c>
      <c r="C43" s="124">
        <f t="shared" si="2"/>
        <v>6177.9831252237209</v>
      </c>
      <c r="D43" s="139">
        <f>IF($C$12&lt;B43,0,DDM!$C$11)</f>
        <v>4.2826760003620602E-2</v>
      </c>
      <c r="E43" s="125">
        <f t="shared" si="0"/>
        <v>0.11591372068608817</v>
      </c>
      <c r="F43" s="126">
        <f t="shared" si="1"/>
        <v>716.11301038054842</v>
      </c>
      <c r="H43" s="121"/>
    </row>
    <row r="44" spans="2:8">
      <c r="B44" s="123">
        <v>29</v>
      </c>
      <c r="C44" s="124">
        <f t="shared" si="2"/>
        <v>6442.5661258340942</v>
      </c>
      <c r="D44" s="139">
        <f>IF($C$12&lt;B44,0,DDM!$C$11)</f>
        <v>4.2826760003620602E-2</v>
      </c>
      <c r="E44" s="125">
        <f t="shared" si="0"/>
        <v>0.10732751915378534</v>
      </c>
      <c r="F44" s="126">
        <f t="shared" si="1"/>
        <v>691.4646392699874</v>
      </c>
      <c r="H44" s="121"/>
    </row>
    <row r="45" spans="2:8">
      <c r="B45" s="123">
        <v>30</v>
      </c>
      <c r="C45" s="124">
        <f t="shared" si="2"/>
        <v>6718.4803591126474</v>
      </c>
      <c r="D45" s="139">
        <f>IF($C$12&lt;B45,0,DDM!$C$11)</f>
        <v>4.2826760003620602E-2</v>
      </c>
      <c r="E45" s="125">
        <f t="shared" si="0"/>
        <v>9.9377332549801231E-2</v>
      </c>
      <c r="F45" s="126">
        <f t="shared" si="1"/>
        <v>667.66465687684558</v>
      </c>
      <c r="H45" s="121"/>
    </row>
    <row r="46" spans="2:8">
      <c r="B46" s="127" t="s">
        <v>132</v>
      </c>
      <c r="C46" s="124">
        <f>C$16*(1+F4)^$C$12/Equity_Cost</f>
        <v>24890.190442584666</v>
      </c>
      <c r="D46" s="140">
        <f>Terminal_Growth</f>
        <v>0</v>
      </c>
      <c r="E46" s="125">
        <f>1/(1+Equity_Cost)^C12</f>
        <v>9.9377332549801231E-2</v>
      </c>
      <c r="F46" s="126">
        <f t="shared" si="1"/>
        <v>2473.5207328406204</v>
      </c>
      <c r="H46" s="121"/>
    </row>
    <row r="47" spans="2:8">
      <c r="C47" s="115"/>
      <c r="E47" s="128" t="s">
        <v>101</v>
      </c>
      <c r="F47" s="138">
        <f>SUM(F16:F46)</f>
        <v>37309.243005988872</v>
      </c>
      <c r="H47" s="121"/>
    </row>
    <row r="48" spans="2:8">
      <c r="C48" s="115"/>
      <c r="H48" s="121"/>
    </row>
    <row r="49" spans="1:8" ht="13.15">
      <c r="B49" s="120" t="s">
        <v>130</v>
      </c>
      <c r="C49" s="137"/>
      <c r="D49" s="137"/>
      <c r="E49" s="118"/>
      <c r="F49" s="118"/>
      <c r="H49" s="121"/>
    </row>
    <row r="50" spans="1:8" ht="13.15">
      <c r="A50" s="134">
        <f>F47</f>
        <v>37309.243005988872</v>
      </c>
      <c r="B50" s="132">
        <f>C73</f>
        <v>0</v>
      </c>
      <c r="C50" s="132">
        <f>C72</f>
        <v>0.02</v>
      </c>
      <c r="D50" s="132">
        <f>C71</f>
        <v>0.04</v>
      </c>
      <c r="E50" s="132">
        <f>C70</f>
        <v>0.06</v>
      </c>
      <c r="F50" s="132">
        <f>C69</f>
        <v>0.08</v>
      </c>
      <c r="H50" s="121"/>
    </row>
    <row r="51" spans="1:8" ht="13.15">
      <c r="A51" s="144">
        <v>5</v>
      </c>
      <c r="B51" s="124">
        <f t="dataTable" ref="B51:F56" dt2D="1" dtr="1" r1="C11" r2="C12"/>
        <v>23868.001279999997</v>
      </c>
      <c r="C51" s="124">
        <v>24638.107943878487</v>
      </c>
      <c r="D51" s="124">
        <v>25431.278966279071</v>
      </c>
      <c r="E51" s="124">
        <v>26248.526485762472</v>
      </c>
      <c r="F51" s="124">
        <v>27090.893979383956</v>
      </c>
      <c r="H51" s="121"/>
    </row>
    <row r="52" spans="1:8" ht="13.15">
      <c r="A52" s="144">
        <v>10</v>
      </c>
      <c r="B52" s="124">
        <v>23868.001279999993</v>
      </c>
      <c r="C52" s="124">
        <v>25408.923754298376</v>
      </c>
      <c r="D52" s="124">
        <v>27104.288382592465</v>
      </c>
      <c r="E52" s="124">
        <v>28972.578506455287</v>
      </c>
      <c r="F52" s="124">
        <v>31034.34401181234</v>
      </c>
      <c r="H52" s="121"/>
    </row>
    <row r="53" spans="1:8" ht="13.15">
      <c r="A53" s="144">
        <v>15</v>
      </c>
      <c r="B53" s="124">
        <v>23868.001279999989</v>
      </c>
      <c r="C53" s="124">
        <v>26363.022046889637</v>
      </c>
      <c r="D53" s="124">
        <v>29285.268319680996</v>
      </c>
      <c r="E53" s="124">
        <v>32719.617157958135</v>
      </c>
      <c r="F53" s="124">
        <v>36767.726107046059</v>
      </c>
      <c r="H53" s="121"/>
    </row>
    <row r="54" spans="1:8" ht="13.15">
      <c r="A54" s="145">
        <v>20</v>
      </c>
      <c r="B54" s="124">
        <v>23868.001279999989</v>
      </c>
      <c r="C54" s="124">
        <v>27335.095200640651</v>
      </c>
      <c r="D54" s="124">
        <v>31632.71385125567</v>
      </c>
      <c r="E54" s="124">
        <v>36993.969761567991</v>
      </c>
      <c r="F54" s="124">
        <v>43719.305888057068</v>
      </c>
      <c r="H54" s="121"/>
    </row>
    <row r="55" spans="1:8" ht="13.15">
      <c r="A55" s="145">
        <v>25</v>
      </c>
      <c r="B55" s="124">
        <v>23868.001279999986</v>
      </c>
      <c r="C55" s="124">
        <v>28239.177173977743</v>
      </c>
      <c r="D55" s="124">
        <v>33945.027558267066</v>
      </c>
      <c r="E55" s="124">
        <v>41473.361328896732</v>
      </c>
      <c r="F55" s="124">
        <v>51499.970544673502</v>
      </c>
      <c r="H55" s="121"/>
    </row>
    <row r="56" spans="1:8" ht="13.15">
      <c r="A56" s="145">
        <v>30</v>
      </c>
      <c r="B56" s="124">
        <v>23868.001279999989</v>
      </c>
      <c r="C56" s="124">
        <v>29036.703239658433</v>
      </c>
      <c r="D56" s="124">
        <v>36110.529837126858</v>
      </c>
      <c r="E56" s="124">
        <v>45952.183653237284</v>
      </c>
      <c r="F56" s="124">
        <v>59844.896436541792</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20</v>
      </c>
      <c r="C60" s="125">
        <f>C7</f>
        <v>20</v>
      </c>
      <c r="D60" s="125">
        <f>C7</f>
        <v>20</v>
      </c>
      <c r="E60" s="142">
        <f>C7</f>
        <v>20</v>
      </c>
      <c r="F60" s="125">
        <f>C7</f>
        <v>20</v>
      </c>
      <c r="H60" s="121"/>
    </row>
    <row r="61" spans="1:8" ht="13.15">
      <c r="A61" s="144">
        <f t="shared" ref="A61:A66" si="3">A51</f>
        <v>5</v>
      </c>
      <c r="B61" s="125">
        <f t="shared" ref="B61:F66" si="4">B51/Common_Shares*$C$3*Exchange_Rate</f>
        <v>20</v>
      </c>
      <c r="C61" s="125">
        <f t="shared" si="4"/>
        <v>20.645304694636323</v>
      </c>
      <c r="D61" s="125">
        <f t="shared" si="4"/>
        <v>21.309935983277331</v>
      </c>
      <c r="E61" s="125">
        <f t="shared" si="4"/>
        <v>21.994741979301981</v>
      </c>
      <c r="F61" s="125">
        <f t="shared" si="4"/>
        <v>22.700597055929062</v>
      </c>
      <c r="H61" s="121"/>
    </row>
    <row r="62" spans="1:8" ht="13.15">
      <c r="A62" s="144">
        <f t="shared" si="3"/>
        <v>10</v>
      </c>
      <c r="B62" s="125">
        <f t="shared" si="4"/>
        <v>19.999999999999996</v>
      </c>
      <c r="C62" s="125">
        <f t="shared" si="4"/>
        <v>21.291203612922192</v>
      </c>
      <c r="D62" s="125">
        <f t="shared" si="4"/>
        <v>22.711820788533547</v>
      </c>
      <c r="E62" s="125">
        <f t="shared" si="4"/>
        <v>24.277339494474241</v>
      </c>
      <c r="F62" s="125">
        <f t="shared" si="4"/>
        <v>26.004979342629181</v>
      </c>
      <c r="H62" s="121"/>
    </row>
    <row r="63" spans="1:8" ht="13.15">
      <c r="A63" s="144">
        <f t="shared" si="3"/>
        <v>15</v>
      </c>
      <c r="B63" s="125">
        <f t="shared" si="4"/>
        <v>19.999999999999993</v>
      </c>
      <c r="C63" s="125">
        <f t="shared" si="4"/>
        <v>22.090682615289047</v>
      </c>
      <c r="D63" s="125">
        <f t="shared" si="4"/>
        <v>24.539355412403427</v>
      </c>
      <c r="E63" s="125">
        <f t="shared" si="4"/>
        <v>27.417140441814269</v>
      </c>
      <c r="F63" s="125">
        <f t="shared" si="4"/>
        <v>30.809220827263218</v>
      </c>
      <c r="H63" s="121"/>
    </row>
    <row r="64" spans="1:8" ht="13.15">
      <c r="A64" s="145">
        <f t="shared" si="3"/>
        <v>20</v>
      </c>
      <c r="B64" s="125">
        <f t="shared" si="4"/>
        <v>19.999999999999993</v>
      </c>
      <c r="C64" s="125">
        <f t="shared" si="4"/>
        <v>22.905223508217151</v>
      </c>
      <c r="D64" s="125">
        <f t="shared" si="4"/>
        <v>26.506378544366886</v>
      </c>
      <c r="E64" s="125">
        <f t="shared" si="4"/>
        <v>30.9987998807146</v>
      </c>
      <c r="F64" s="125">
        <f t="shared" si="4"/>
        <v>36.634241279927629</v>
      </c>
      <c r="H64" s="121"/>
    </row>
    <row r="65" spans="1:8" ht="13.15">
      <c r="A65" s="145">
        <f t="shared" si="3"/>
        <v>25</v>
      </c>
      <c r="B65" s="125">
        <f t="shared" si="4"/>
        <v>19.999999999999989</v>
      </c>
      <c r="C65" s="125">
        <f t="shared" si="4"/>
        <v>23.662791737522266</v>
      </c>
      <c r="D65" s="125">
        <f t="shared" si="4"/>
        <v>28.443963246064538</v>
      </c>
      <c r="E65" s="125">
        <f t="shared" si="4"/>
        <v>34.752270072692681</v>
      </c>
      <c r="F65" s="125">
        <f t="shared" si="4"/>
        <v>43.153986746118946</v>
      </c>
    </row>
    <row r="66" spans="1:8" ht="13.15">
      <c r="A66" s="145">
        <f t="shared" si="3"/>
        <v>30</v>
      </c>
      <c r="B66" s="125">
        <f t="shared" si="4"/>
        <v>19.999999999999993</v>
      </c>
      <c r="C66" s="125">
        <f t="shared" si="4"/>
        <v>24.331072299706555</v>
      </c>
      <c r="D66" s="125">
        <f t="shared" si="4"/>
        <v>30.258528490515364</v>
      </c>
      <c r="E66" s="125">
        <f t="shared" si="4"/>
        <v>38.505263272080136</v>
      </c>
      <c r="F66" s="125">
        <f t="shared" si="4"/>
        <v>50.14655038307572</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30</v>
      </c>
      <c r="E69" s="136">
        <f>INDEX(B$60:F$66, MATCH(D69, A$60:A$66, 0), MATCH(C69, B$59:F$59, 0))</f>
        <v>50.14655038307572</v>
      </c>
      <c r="F69" s="143">
        <f>Scenarios!C58</f>
        <v>0.05</v>
      </c>
    </row>
    <row r="70" spans="1:8">
      <c r="B70" s="128" t="str">
        <f>Scenarios!B36</f>
        <v>Optimistic</v>
      </c>
      <c r="C70" s="143">
        <f>Scenarios!C38</f>
        <v>0.06</v>
      </c>
      <c r="D70" s="146">
        <f>Scenarios!C37</f>
        <v>30</v>
      </c>
      <c r="E70" s="136">
        <f>INDEX(B$60:F$66, MATCH(D70, A$60:A$66, 0), MATCH(C70, B$59:F$59, 0))</f>
        <v>38.505263272080136</v>
      </c>
      <c r="F70" s="143">
        <f>Scenarios!C40*(1-F$69-F$73)</f>
        <v>0.22499999999999998</v>
      </c>
      <c r="H70" s="121"/>
    </row>
    <row r="71" spans="1:8">
      <c r="B71" s="128" t="str">
        <f>Scenarios!B24</f>
        <v>Base</v>
      </c>
      <c r="C71" s="143">
        <f>Scenarios!C26</f>
        <v>0.04</v>
      </c>
      <c r="D71" s="146">
        <f>Scenarios!C25</f>
        <v>30</v>
      </c>
      <c r="E71" s="136">
        <f>INDEX(B$60:F$66, MATCH(D71, A$60:A$66, 0), MATCH(C71, B$59:F$59, 0))</f>
        <v>30.258528490515364</v>
      </c>
      <c r="F71" s="143">
        <f>Scenarios!C28*(1-F$69-F$73)</f>
        <v>0.44999999999999996</v>
      </c>
      <c r="H71" s="121"/>
    </row>
    <row r="72" spans="1:8">
      <c r="B72" s="128" t="str">
        <f>Scenarios!B30</f>
        <v>Pessimistic</v>
      </c>
      <c r="C72" s="143">
        <f>Scenarios!C32</f>
        <v>0.02</v>
      </c>
      <c r="D72" s="146">
        <f>Scenarios!C31</f>
        <v>30</v>
      </c>
      <c r="E72" s="136">
        <f>INDEX(B$60:F$66, MATCH(D72, A$60:A$66, 0), MATCH(C72, B$59:F$59, 0))</f>
        <v>24.331072299706555</v>
      </c>
      <c r="F72" s="143">
        <f>Scenarios!C34*(1-F$69-F$73)</f>
        <v>0.22499999999999998</v>
      </c>
      <c r="H72" s="121"/>
    </row>
    <row r="73" spans="1:8">
      <c r="B73" s="128" t="str">
        <f>Scenarios!B48</f>
        <v>Devil's advocate</v>
      </c>
      <c r="C73" s="143">
        <f>Scenarios!C50</f>
        <v>0</v>
      </c>
      <c r="D73" s="146">
        <f>Scenarios!C49</f>
        <v>30</v>
      </c>
      <c r="E73" s="136">
        <f>INDEX(B$60:F$66, MATCH(D73, A$60:A$66, 0), MATCH(C73, B$59:F$59, 0))</f>
        <v>19.999999999999993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-27.74</v>
      </c>
    </row>
    <row r="4" spans="2:9">
      <c r="B4" s="153" t="s">
        <v>147</v>
      </c>
      <c r="C4" s="121">
        <v>3</v>
      </c>
      <c r="D4" s="121"/>
      <c r="E4" s="156" t="s">
        <v>151</v>
      </c>
      <c r="F4" s="156"/>
      <c r="H4" s="273">
        <v>1</v>
      </c>
      <c r="I4" s="261">
        <f t="shared" ref="I4:I13" si="0">IF(ROW()-3 &lt; $C$76, $C$77, IF(ROW()-3 = $C$76, $C$77 + $C$60, ""))</f>
        <v>1.6</v>
      </c>
    </row>
    <row r="5" spans="2:9">
      <c r="H5" s="273">
        <v>2</v>
      </c>
      <c r="I5" s="261">
        <f t="shared" si="0"/>
        <v>1.6</v>
      </c>
    </row>
    <row r="6" spans="2:9" ht="13.15">
      <c r="B6" s="160" t="s">
        <v>96</v>
      </c>
      <c r="C6" s="107">
        <f>DCF!C3</f>
        <v>1000000</v>
      </c>
      <c r="E6" s="100" t="s">
        <v>280</v>
      </c>
      <c r="F6" s="100"/>
      <c r="H6" s="273">
        <v>3</v>
      </c>
      <c r="I6" s="261">
        <f t="shared" si="0"/>
        <v>34.064859269378168</v>
      </c>
    </row>
    <row r="7" spans="2:9" ht="12.75" customHeight="1">
      <c r="B7" s="100" t="s">
        <v>276</v>
      </c>
      <c r="C7" s="115">
        <f>Normalized_FCF!G8</f>
        <v>5352</v>
      </c>
      <c r="D7" t="str">
        <f>Reporting_currency</f>
        <v>USD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0"/>
      <c r="H7" s="273">
        <v>4</v>
      </c>
      <c r="I7" s="261" t="str">
        <f t="shared" si="0"/>
        <v/>
      </c>
    </row>
    <row r="8" spans="2:9">
      <c r="B8" s="100" t="s">
        <v>66</v>
      </c>
      <c r="C8" s="115">
        <f>Normalized_FCF!G19</f>
        <v>2548</v>
      </c>
      <c r="D8" t="str">
        <f>Reporting_currency</f>
        <v>USD</v>
      </c>
      <c r="E8" s="360"/>
      <c r="F8" s="360"/>
      <c r="H8" s="273">
        <v>5</v>
      </c>
      <c r="I8" s="261" t="str">
        <f t="shared" si="0"/>
        <v/>
      </c>
    </row>
    <row r="9" spans="2:9">
      <c r="B9" s="100" t="s">
        <v>57</v>
      </c>
      <c r="C9" s="201">
        <f>Normalized_FCF!C19</f>
        <v>3030.2425464775833</v>
      </c>
      <c r="D9" t="str">
        <f>Reporting_currency</f>
        <v>USD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-2.5150882534886732E-3</v>
      </c>
      <c r="D12" s="159"/>
      <c r="E12" s="360"/>
      <c r="F12" s="360"/>
      <c r="H12" s="273">
        <v>9</v>
      </c>
      <c r="I12" s="261" t="str">
        <f t="shared" si="0"/>
        <v/>
      </c>
    </row>
    <row r="13" spans="2:9">
      <c r="B13" s="149" t="s">
        <v>153</v>
      </c>
      <c r="C13" s="159">
        <f ca="1">(Normalized_FCF!G8/OFFSET(Normalized_FCF!G8, 0, $C$4))^(1/$C$4) - 1</f>
        <v>0.15650274695607269</v>
      </c>
      <c r="E13" s="360"/>
      <c r="F13" s="360"/>
      <c r="H13" s="273">
        <v>10</v>
      </c>
      <c r="I13" s="261" t="str">
        <f t="shared" si="0"/>
        <v/>
      </c>
    </row>
    <row r="14" spans="2:9">
      <c r="B14" s="100" t="s">
        <v>66</v>
      </c>
      <c r="C14" s="159">
        <f ca="1">(Normalized_FCF!G19/OFFSET(Normalized_FCF!G19, 0, $C$4))^(1/$C$4) - 1</f>
        <v>-3.3394590575448202</v>
      </c>
      <c r="E14" s="360"/>
      <c r="F14" s="360"/>
    </row>
    <row r="16" spans="2:9" ht="13.9">
      <c r="B16" s="36" t="s">
        <v>163</v>
      </c>
      <c r="C16" s="37"/>
      <c r="D16" s="37"/>
      <c r="E16" s="37"/>
      <c r="F16" s="37"/>
    </row>
    <row r="17" spans="2:6" ht="13.15">
      <c r="B17" s="109" t="s">
        <v>152</v>
      </c>
      <c r="E17" s="160" t="s">
        <v>330</v>
      </c>
    </row>
    <row r="18" spans="2:6">
      <c r="B18" s="153" t="s">
        <v>134</v>
      </c>
      <c r="C18" s="151">
        <v>30</v>
      </c>
      <c r="E18" s="360" t="s">
        <v>331</v>
      </c>
      <c r="F18" s="361"/>
    </row>
    <row r="19" spans="2:6">
      <c r="E19" s="361"/>
      <c r="F19" s="361"/>
    </row>
    <row r="20" spans="2:6" ht="13.15">
      <c r="B20" s="160" t="s">
        <v>304</v>
      </c>
      <c r="E20" s="361"/>
      <c r="F20" s="361"/>
    </row>
    <row r="21" spans="2:6">
      <c r="B21" s="100" t="s">
        <v>278</v>
      </c>
      <c r="C21" s="161">
        <f>Market_Price</f>
        <v>27.74</v>
      </c>
      <c r="D21" t="str">
        <f>Market_currency</f>
        <v>USD</v>
      </c>
      <c r="E21" s="361"/>
      <c r="F21" s="361"/>
    </row>
    <row r="22" spans="2:6">
      <c r="B22" s="100" t="s">
        <v>279</v>
      </c>
      <c r="C22" s="161">
        <f>IF(valuation_method="DCF",DCF!C12,DDM!C7)</f>
        <v>14.592547258724681</v>
      </c>
      <c r="D22" t="str">
        <f>Market_currency</f>
        <v>USD</v>
      </c>
      <c r="E22" s="361"/>
      <c r="F22" s="361"/>
    </row>
    <row r="24" spans="2:6" ht="13.15">
      <c r="B24" s="160" t="s">
        <v>116</v>
      </c>
      <c r="E24" s="160" t="s">
        <v>150</v>
      </c>
      <c r="F24" s="160"/>
    </row>
    <row r="25" spans="2:6">
      <c r="B25" s="153" t="s">
        <v>134</v>
      </c>
      <c r="C25" s="167">
        <f>C18</f>
        <v>30</v>
      </c>
      <c r="D25" s="164"/>
      <c r="E25" s="359"/>
      <c r="F25" s="359"/>
    </row>
    <row r="26" spans="2:6">
      <c r="B26" s="119" t="s">
        <v>135</v>
      </c>
      <c r="C26" s="165">
        <v>0.04</v>
      </c>
      <c r="D26" s="165"/>
      <c r="E26" s="359"/>
      <c r="F26" s="359"/>
    </row>
    <row r="27" spans="2:6">
      <c r="B27" s="100" t="s">
        <v>114</v>
      </c>
      <c r="C27" s="161">
        <f>IF(valuation_method="DCF",DCF!E76,DDM!E71)</f>
        <v>30.872623002991254</v>
      </c>
      <c r="D27" s="161" t="str">
        <f>Market_currency</f>
        <v>USD</v>
      </c>
      <c r="E27" s="359"/>
      <c r="F27" s="359"/>
    </row>
    <row r="28" spans="2:6">
      <c r="B28" s="100" t="s">
        <v>148</v>
      </c>
      <c r="C28" s="166">
        <v>0.5</v>
      </c>
      <c r="D28" s="166"/>
      <c r="E28" s="359"/>
      <c r="F28" s="359"/>
    </row>
    <row r="30" spans="2:6" ht="13.15">
      <c r="B30" s="160" t="s">
        <v>117</v>
      </c>
      <c r="E30" s="160" t="s">
        <v>150</v>
      </c>
      <c r="F30" s="160"/>
    </row>
    <row r="31" spans="2:6">
      <c r="B31" s="153" t="s">
        <v>134</v>
      </c>
      <c r="C31" s="167">
        <f>C18</f>
        <v>30</v>
      </c>
      <c r="D31" s="164"/>
      <c r="E31" s="359"/>
      <c r="F31" s="359"/>
    </row>
    <row r="32" spans="2:6">
      <c r="B32" s="119" t="s">
        <v>135</v>
      </c>
      <c r="C32" s="165">
        <v>0.02</v>
      </c>
      <c r="D32" s="165"/>
      <c r="E32" s="359"/>
      <c r="F32" s="359"/>
    </row>
    <row r="33" spans="2:6">
      <c r="B33" s="100" t="s">
        <v>114</v>
      </c>
      <c r="C33" s="161">
        <f>IF(valuation_method="DCF",DCF!E77,DDM!E72)</f>
        <v>21.465870772746047</v>
      </c>
      <c r="D33" t="str">
        <f>Market_currency</f>
        <v>USD</v>
      </c>
      <c r="E33" s="359"/>
      <c r="F33" s="359"/>
    </row>
    <row r="34" spans="2:6">
      <c r="B34" s="100" t="s">
        <v>148</v>
      </c>
      <c r="C34" s="166">
        <v>0.25</v>
      </c>
      <c r="D34" s="166"/>
      <c r="E34" s="359"/>
      <c r="F34" s="359"/>
    </row>
    <row r="36" spans="2:6" ht="13.15">
      <c r="B36" s="160" t="s">
        <v>115</v>
      </c>
      <c r="E36" s="160" t="s">
        <v>150</v>
      </c>
      <c r="F36" s="160"/>
    </row>
    <row r="37" spans="2:6">
      <c r="B37" s="153" t="s">
        <v>134</v>
      </c>
      <c r="C37" s="167">
        <f>C18</f>
        <v>30</v>
      </c>
      <c r="D37" s="164"/>
      <c r="E37" s="359"/>
      <c r="F37" s="359"/>
    </row>
    <row r="38" spans="2:6">
      <c r="B38" s="119" t="s">
        <v>135</v>
      </c>
      <c r="C38" s="165">
        <v>0.06</v>
      </c>
      <c r="D38" s="165"/>
      <c r="E38" s="359"/>
      <c r="F38" s="359"/>
    </row>
    <row r="39" spans="2:6">
      <c r="B39" s="100" t="s">
        <v>114</v>
      </c>
      <c r="C39" s="161">
        <f>IF(valuation_method="DCF",DCF!E75,DDM!E70)</f>
        <v>43.960023112166873</v>
      </c>
      <c r="D39" t="str">
        <f>Market_currency</f>
        <v>USD</v>
      </c>
      <c r="E39" s="359"/>
      <c r="F39" s="359"/>
    </row>
    <row r="40" spans="2:6">
      <c r="B40" s="100" t="s">
        <v>148</v>
      </c>
      <c r="C40" s="168">
        <f>1-C28-C34</f>
        <v>0.25</v>
      </c>
      <c r="D40" s="166"/>
      <c r="E40" s="359"/>
      <c r="F40" s="35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9"/>
      <c r="F49" s="359"/>
    </row>
    <row r="50" spans="2:6">
      <c r="B50" s="119" t="s">
        <v>135</v>
      </c>
      <c r="C50" s="165">
        <v>0</v>
      </c>
      <c r="D50" s="165"/>
      <c r="E50" s="359"/>
      <c r="F50" s="359"/>
    </row>
    <row r="51" spans="2:6">
      <c r="B51" s="100" t="s">
        <v>114</v>
      </c>
      <c r="C51" s="161">
        <f>IF(valuation_method="DCF",DCF!E78,DDM!E73)</f>
        <v>14.592547258724657</v>
      </c>
      <c r="D51" t="str">
        <f>Market_currency</f>
        <v>USD</v>
      </c>
      <c r="E51" s="359"/>
      <c r="F51" s="359"/>
    </row>
    <row r="52" spans="2:6">
      <c r="B52" s="100" t="s">
        <v>148</v>
      </c>
      <c r="C52" s="166">
        <v>0.05</v>
      </c>
      <c r="D52" s="166"/>
      <c r="E52" s="359"/>
      <c r="F52" s="359"/>
    </row>
    <row r="54" spans="2:6" ht="13.15">
      <c r="B54" s="160" t="s">
        <v>317</v>
      </c>
      <c r="E54" s="160" t="s">
        <v>150</v>
      </c>
      <c r="F54" s="160"/>
    </row>
    <row r="55" spans="2:6">
      <c r="B55" s="153" t="s">
        <v>134</v>
      </c>
      <c r="C55" s="167">
        <f>C46</f>
        <v>30</v>
      </c>
      <c r="D55" s="164"/>
      <c r="E55" s="359"/>
      <c r="F55" s="359"/>
    </row>
    <row r="56" spans="2:6">
      <c r="B56" s="119" t="s">
        <v>135</v>
      </c>
      <c r="C56" s="165">
        <v>0.08</v>
      </c>
      <c r="D56" s="165"/>
      <c r="E56" s="359"/>
      <c r="F56" s="359"/>
    </row>
    <row r="57" spans="2:6">
      <c r="B57" s="100" t="s">
        <v>114</v>
      </c>
      <c r="C57" s="161">
        <f>IF(valuation_method="DCF",DCF!E74,DDM!E69)</f>
        <v>62.434508619809236</v>
      </c>
      <c r="D57" t="str">
        <f>Market_currency</f>
        <v>USD</v>
      </c>
      <c r="E57" s="359"/>
      <c r="F57" s="359"/>
    </row>
    <row r="58" spans="2:6">
      <c r="B58" s="100" t="s">
        <v>148</v>
      </c>
      <c r="C58" s="166">
        <v>0.05</v>
      </c>
      <c r="D58" s="166"/>
      <c r="E58" s="359"/>
      <c r="F58" s="359"/>
    </row>
    <row r="60" spans="2:6" ht="13.15">
      <c r="B60" s="100" t="s">
        <v>121</v>
      </c>
      <c r="C60" s="155">
        <f>C51*C52+C57*C58+C42*(1-C52-C58)</f>
        <v>32.464859269378167</v>
      </c>
      <c r="D60" t="str">
        <f>Market_currency</f>
        <v>USD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30</v>
      </c>
      <c r="D64" s="151"/>
      <c r="E64" s="277" t="s">
        <v>396</v>
      </c>
    </row>
    <row r="65" spans="2:6">
      <c r="B65" s="119" t="s">
        <v>135</v>
      </c>
      <c r="C65" s="152">
        <v>4.2826760003620602E-2</v>
      </c>
      <c r="D65" s="152"/>
      <c r="E65" s="277" t="s">
        <v>313</v>
      </c>
    </row>
    <row r="66" spans="2:6">
      <c r="B66" s="100" t="s">
        <v>103</v>
      </c>
      <c r="C66" s="161">
        <f>IF(valuation_method="DCF",DCF!C18,DDM!C13)</f>
        <v>32.46666798264237</v>
      </c>
      <c r="D66" s="161" t="str">
        <f>Market_currency</f>
        <v>USD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-0.52817248309270792</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1.6</v>
      </c>
      <c r="D77" t="str">
        <f>Market_currency</f>
        <v>USD</v>
      </c>
    </row>
    <row r="79" spans="2:6" ht="13.15">
      <c r="B79" s="109" t="s">
        <v>302</v>
      </c>
    </row>
    <row r="80" spans="2:6">
      <c r="B80" s="149" t="s">
        <v>300</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3">
        <f>(1-C83/C60)</f>
        <v>0.55726002481272963</v>
      </c>
    </row>
    <row r="84" spans="2:8">
      <c r="E84" s="121"/>
    </row>
    <row r="85" spans="2:8" ht="13.15">
      <c r="B85" s="109" t="s">
        <v>303</v>
      </c>
    </row>
    <row r="86" spans="2:8">
      <c r="B86" s="149" t="s">
        <v>301</v>
      </c>
      <c r="C86" s="263">
        <f>Market_Price</f>
        <v>27.74</v>
      </c>
      <c r="D86" t="str">
        <f>Market_currency</f>
        <v>USD</v>
      </c>
    </row>
    <row r="87" spans="2:8" ht="13.15">
      <c r="B87" s="100" t="s">
        <v>299</v>
      </c>
      <c r="C87" s="262">
        <f ca="1">IRR(OFFSET($I$3, 0, 0, $C$76 + 1, 1))</f>
        <v>0.10870597389897529</v>
      </c>
    </row>
    <row r="88" spans="2:8">
      <c r="B88" s="100"/>
    </row>
    <row r="89" spans="2:8" ht="13.15">
      <c r="B89" s="109" t="s">
        <v>414</v>
      </c>
    </row>
    <row r="90" spans="2:8">
      <c r="B90" s="149" t="s">
        <v>415</v>
      </c>
      <c r="C90" s="168">
        <f>Thesis!F30</f>
        <v>0.21740000000000001</v>
      </c>
    </row>
    <row r="91" spans="2:8">
      <c r="B91" s="100" t="s">
        <v>122</v>
      </c>
      <c r="C91" s="117">
        <f>PV(C90, C76, -C77, 0)</f>
        <v>3.2806413181838994</v>
      </c>
      <c r="D91" s="117"/>
      <c r="E91" s="100"/>
      <c r="F91" s="100"/>
    </row>
    <row r="92" spans="2:8">
      <c r="B92" s="100" t="s">
        <v>123</v>
      </c>
      <c r="C92" s="117">
        <f>C60/(1+C90)^C76</f>
        <v>17.993416479908618</v>
      </c>
      <c r="D92" s="117"/>
    </row>
    <row r="93" spans="2:8" ht="13.15">
      <c r="B93" s="111" t="s">
        <v>102</v>
      </c>
      <c r="C93" s="112">
        <f>C91+C92</f>
        <v>21.274057798092517</v>
      </c>
      <c r="D93" t="str">
        <f>Market_currency</f>
        <v>USD</v>
      </c>
      <c r="E93" s="147" t="s">
        <v>127</v>
      </c>
      <c r="F93" s="323">
        <f>(1-C93/C60)</f>
        <v>0.34470506643597709</v>
      </c>
    </row>
    <row r="95" spans="2:8" ht="13.15">
      <c r="B95" s="109" t="s">
        <v>398</v>
      </c>
      <c r="G95" s="2"/>
      <c r="H95" s="310"/>
    </row>
    <row r="96" spans="2:8">
      <c r="B96" s="149" t="s">
        <v>404</v>
      </c>
      <c r="C96" s="135">
        <f>Thesis!F31</f>
        <v>0.08</v>
      </c>
      <c r="G96" s="2"/>
      <c r="H96" s="310"/>
    </row>
    <row r="97" spans="2:8">
      <c r="B97" s="100" t="s">
        <v>122</v>
      </c>
      <c r="C97" s="117">
        <f>PV(C96, C76, -C77, 0)</f>
        <v>4.1233551795966088</v>
      </c>
      <c r="D97" s="117"/>
      <c r="G97" s="2"/>
      <c r="H97" s="310"/>
    </row>
    <row r="98" spans="2:8">
      <c r="B98" s="100" t="s">
        <v>123</v>
      </c>
      <c r="C98" s="117">
        <f>C60/(1+C96)^C76</f>
        <v>25.771651988214895</v>
      </c>
      <c r="D98" s="117"/>
      <c r="G98" s="2"/>
      <c r="H98" s="310"/>
    </row>
    <row r="99" spans="2:8" ht="13.15">
      <c r="B99" s="111" t="s">
        <v>399</v>
      </c>
      <c r="C99" s="112">
        <f>C97+C98</f>
        <v>29.895007167811503</v>
      </c>
      <c r="D99" t="s">
        <v>397</v>
      </c>
      <c r="E99" s="147" t="s">
        <v>127</v>
      </c>
      <c r="F99" s="323">
        <f>(1-C99/C60)</f>
        <v>7.9157962159738249E-2</v>
      </c>
    </row>
    <row r="100" spans="2:8">
      <c r="B100" s="100"/>
    </row>
    <row r="101" spans="2:8" ht="13.15">
      <c r="B101" s="109" t="s">
        <v>423</v>
      </c>
    </row>
    <row r="102" spans="2:8">
      <c r="B102" s="149" t="s">
        <v>422</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399</v>
      </c>
      <c r="C105" s="112">
        <f>C103+C104</f>
        <v>27.12969029059159</v>
      </c>
      <c r="D105" t="s">
        <v>397</v>
      </c>
      <c r="E105" s="147" t="s">
        <v>127</v>
      </c>
      <c r="F105" s="323">
        <f>(1-C105/C66)</f>
        <v>0.16438328980676686</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