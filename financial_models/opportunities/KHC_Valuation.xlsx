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9358153-0E4F-4CEE-A092-01037F8FC015}"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J94" i="2"/>
  <c r="K94" i="2"/>
  <c r="N94" i="2"/>
  <c r="L94" i="2"/>
  <c r="M94" i="2"/>
  <c r="H94" i="2"/>
  <c r="N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<sst xmlns="http://schemas.openxmlformats.org/spreadsheetml/2006/main" count="687" uniqueCount="466">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</sst>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9209C70-AAAB-4B96-8337-8DE969959BD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26.08</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1193400064</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26.45</v>
      </c>
      <c r="D12" s="50"/>
      <c r="E12" s="48"/>
    </row>
    <row r="13" spans="1:10">
      <c r="B13" s="1" t="s">
        <v>412</v>
      </c>
      <c r="C13" s="48" t="s">
        <v>461</v>
      </c>
      <c r="D13" s="48"/>
      <c r="E13" s="5"/>
    </row>
    <row r="14" spans="1:10">
      <c r="B14" s="4" t="s">
        <v>416</v>
      </c>
      <c r="C14" s="35">
        <f>Thesis!C12*Common_Shares/1000000</f>
        <v>31565.431692800001</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462</v>
      </c>
      <c r="D22" s="1" t="str">
        <f>IF(valuation_method="DDM","DDM Terminal Value","")</f>
        <v/>
      </c>
      <c r="E22" s="313"/>
    </row>
    <row r="23" spans="2:6">
      <c r="B23" s="1" t="s">
        <v>430</v>
      </c>
      <c r="C23" s="262" t="s">
        <v>457</v>
      </c>
    </row>
    <row r="24" spans="2:6">
      <c r="B24" s="1" t="s">
        <v>431</v>
      </c>
      <c r="C24" s="262" t="s">
        <v>457</v>
      </c>
    </row>
    <row r="25" spans="2:6">
      <c r="B25" s="4" t="s">
        <v>344</v>
      </c>
      <c r="C25" s="48" t="s">
        <v>461</v>
      </c>
      <c r="D25" s="32" t="str">
        <f>IF(D11="","",Market_currency&amp;"/"&amp;D13&amp;":")</f>
        <v/>
      </c>
      <c r="E25" s="299" t="str">
        <f>IF(D11="","",1/Exchange_Rate*D16)</f>
        <v/>
      </c>
    </row>
    <row r="26" spans="2:6">
      <c r="B26" s="1" t="str">
        <f>"Expected Equity Value ("&amp;C13&amp;") :"</f>
        <v>Expected Equity Value (USD) :</v>
      </c>
      <c r="C26" s="304">
        <f>C132</f>
        <v>36.134621832566509</v>
      </c>
      <c r="D26" s="1" t="s">
        <v>396</v>
      </c>
      <c r="E26" s="301">
        <f ca="1">Scenarios!C87</f>
        <v>0.14798816961555117</v>
      </c>
    </row>
    <row r="27" spans="2:6">
      <c r="D27" s="5"/>
      <c r="E27" s="5"/>
    </row>
    <row r="28" spans="2:6">
      <c r="B28" s="45" t="s">
        <v>429</v>
      </c>
      <c r="C28" s="309" t="str">
        <f>C145&amp;" ("&amp;Market_currency&amp;")"</f>
        <v>KHC (USD)</v>
      </c>
      <c r="D28" s="309" t="str">
        <f>IF(D11="","",D145&amp;" ("&amp;D13&amp;")")</f>
        <v/>
      </c>
      <c r="E28" s="305" t="s">
        <v>425</v>
      </c>
      <c r="F28" s="303">
        <v>3</v>
      </c>
    </row>
    <row r="29" spans="2:6">
      <c r="B29" s="1" t="s">
        <v>421</v>
      </c>
      <c r="C29" s="310">
        <f>C149</f>
        <v>16.586017104127016</v>
      </c>
      <c r="D29" s="310" t="str">
        <f>D149</f>
        <v/>
      </c>
      <c r="E29" s="306" t="s">
        <v>420</v>
      </c>
      <c r="F29" s="302">
        <v>0.35</v>
      </c>
    </row>
    <row r="30" spans="2:6">
      <c r="B30" s="1" t="s">
        <v>422</v>
      </c>
      <c r="C30" s="311">
        <f>C157</f>
        <v>20.68716637827405</v>
      </c>
      <c r="D30" s="311" t="str">
        <f>D157</f>
        <v/>
      </c>
      <c r="E30" s="307" t="s">
        <v>433</v>
      </c>
      <c r="F30" s="312">
        <v>0.25</v>
      </c>
    </row>
    <row r="31" spans="2:6">
      <c r="B31" s="1" t="s">
        <v>423</v>
      </c>
      <c r="C31" s="311">
        <f>C165</f>
        <v>31.999534598013469</v>
      </c>
      <c r="D31" s="311" t="str">
        <f>D165</f>
        <v/>
      </c>
      <c r="E31" s="307" t="s">
        <v>432</v>
      </c>
      <c r="F31" s="312">
        <v>7.4999999999999997E-2</v>
      </c>
    </row>
    <row r="32" spans="2:6">
      <c r="B32" s="1" t="s">
        <v>424</v>
      </c>
      <c r="C32" s="311">
        <f>C173</f>
        <v>28.601981247202922</v>
      </c>
      <c r="D32" s="311" t="str">
        <f>D173</f>
        <v/>
      </c>
      <c r="E32" s="307" t="s">
        <v>434</v>
      </c>
      <c r="F32" s="312">
        <v>0.1174</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1000000</v>
      </c>
    </row>
    <row r="40" spans="1:6" ht="24.6" customHeight="1">
      <c r="B40" s="362" t="s">
        <v>230</v>
      </c>
      <c r="C40" s="362"/>
      <c r="D40" s="362"/>
      <c r="E40" s="362"/>
      <c r="F40" s="362"/>
    </row>
    <row r="41" spans="1:6">
      <c r="B41" s="47" t="s">
        <v>231</v>
      </c>
      <c r="C41" s="349">
        <f>Normalized_FCF!C8</f>
        <v>5023.2701205832382</v>
      </c>
      <c r="D41" s="1" t="str">
        <f>Reporting_currency</f>
        <v>USD</v>
      </c>
    </row>
    <row r="42" spans="1:6">
      <c r="B42" s="47"/>
      <c r="C42" s="76"/>
    </row>
    <row r="43" spans="1:6" ht="24.6" customHeight="1">
      <c r="B43" s="362" t="s">
        <v>232</v>
      </c>
      <c r="C43" s="362"/>
      <c r="D43" s="362"/>
      <c r="E43" s="362"/>
      <c r="F43" s="362"/>
    </row>
    <row r="44" spans="1:6">
      <c r="B44" s="47" t="s">
        <v>233</v>
      </c>
      <c r="C44" s="349">
        <f>Normalized_FCF!C9</f>
        <v>1164</v>
      </c>
      <c r="D44" s="1" t="str">
        <f>Reporting_currency</f>
        <v>USD</v>
      </c>
    </row>
    <row r="45" spans="1:6">
      <c r="B45" s="52" t="s">
        <v>234</v>
      </c>
      <c r="C45" s="349">
        <f>Normalized_FCF!C10</f>
        <v>-1164</v>
      </c>
      <c r="D45" s="1" t="str">
        <f>Reporting_currency</f>
        <v>USD</v>
      </c>
    </row>
    <row r="47" spans="1:6">
      <c r="B47" s="362" t="s">
        <v>235</v>
      </c>
      <c r="C47" s="362"/>
      <c r="D47" s="362"/>
      <c r="E47" s="362"/>
      <c r="F47" s="362"/>
    </row>
    <row r="48" spans="1:6">
      <c r="B48" s="47" t="s">
        <v>236</v>
      </c>
      <c r="C48" s="349">
        <f>Normalized_FCF!C11</f>
        <v>0</v>
      </c>
      <c r="D48" s="1" t="str">
        <f>Reporting_currency</f>
        <v>USD</v>
      </c>
    </row>
    <row r="50" spans="2:6">
      <c r="B50" s="362" t="s">
        <v>239</v>
      </c>
      <c r="C50" s="362"/>
      <c r="D50" s="362"/>
      <c r="E50" s="362"/>
      <c r="F50" s="362"/>
    </row>
    <row r="51" spans="2:6">
      <c r="B51" s="47" t="s">
        <v>337</v>
      </c>
      <c r="C51" s="350">
        <f>Normalized_FCF!C48</f>
        <v>0</v>
      </c>
      <c r="D51" s="1" t="str">
        <f>Reporting_currency</f>
        <v>USD</v>
      </c>
      <c r="E51" s="286"/>
      <c r="F51" s="286"/>
    </row>
    <row r="52" spans="2:6">
      <c r="B52" s="47" t="s">
        <v>338</v>
      </c>
      <c r="C52" s="350">
        <f>Normalized_FCF!C47</f>
        <v>-912</v>
      </c>
      <c r="D52" s="1" t="str">
        <f>Reporting_currency</f>
        <v>USD</v>
      </c>
      <c r="E52" s="286"/>
      <c r="F52" s="286"/>
    </row>
    <row r="53" spans="2:6">
      <c r="B53" s="47" t="s">
        <v>237</v>
      </c>
      <c r="C53" s="349">
        <f>Normalized_FCF!C12</f>
        <v>-912</v>
      </c>
      <c r="D53" s="1" t="str">
        <f>Reporting_currency</f>
        <v>USD</v>
      </c>
    </row>
    <row r="55" spans="2:6">
      <c r="B55" s="1" t="s">
        <v>245</v>
      </c>
    </row>
    <row r="56" spans="2:6">
      <c r="B56" s="47" t="s">
        <v>264</v>
      </c>
      <c r="C56" s="349">
        <f>Normalized_FCF!C15</f>
        <v>-12.097342754012749</v>
      </c>
      <c r="D56" s="1" t="str">
        <f>Reporting_currency</f>
        <v>USD</v>
      </c>
    </row>
    <row r="58" spans="2:6">
      <c r="B58" s="362" t="s">
        <v>240</v>
      </c>
      <c r="C58" s="362"/>
      <c r="D58" s="362"/>
      <c r="E58" s="362"/>
      <c r="F58" s="362"/>
    </row>
    <row r="59" spans="2:6">
      <c r="B59" s="47" t="s">
        <v>238</v>
      </c>
      <c r="C59" s="349">
        <f>Normalized_FCF!C14</f>
        <v>-1068.9302313516419</v>
      </c>
      <c r="D59" s="1" t="str">
        <f>Reporting_currency</f>
        <v>USD</v>
      </c>
    </row>
    <row r="61" spans="2:6">
      <c r="B61" s="362" t="s">
        <v>335</v>
      </c>
      <c r="C61" s="365"/>
      <c r="D61" s="365"/>
      <c r="E61" s="365"/>
      <c r="F61" s="365"/>
    </row>
    <row r="62" spans="2:6">
      <c r="B62" s="47" t="s">
        <v>241</v>
      </c>
      <c r="C62" s="349">
        <f>Normalized_FCF!C17</f>
        <v>0</v>
      </c>
      <c r="D62" s="1" t="str">
        <f>Reporting_currency</f>
        <v>USD</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2548</v>
      </c>
      <c r="D67" s="1" t="str">
        <f>Reporting_currency</f>
        <v>USD</v>
      </c>
    </row>
    <row r="68" spans="1:6">
      <c r="B68" s="47" t="s">
        <v>247</v>
      </c>
      <c r="C68" s="349">
        <f>Normalized_FCF!C19</f>
        <v>3030.2425464775833</v>
      </c>
      <c r="D68" s="1" t="str">
        <f>Reporting_currency</f>
        <v>USD</v>
      </c>
    </row>
    <row r="69" spans="1:6">
      <c r="B69" s="227" t="s">
        <v>387</v>
      </c>
      <c r="C69" s="92">
        <f>Normalized_FCF!C126</f>
        <v>9.5998767764952656E-2</v>
      </c>
      <c r="F69" s="314"/>
    </row>
    <row r="70" spans="1:6">
      <c r="B70" s="227" t="s">
        <v>454</v>
      </c>
      <c r="C70" s="92">
        <f>Normalized_FCF!C94</f>
        <v>4.2344045368620034E-2</v>
      </c>
      <c r="E70" s="47" t="s">
        <v>444</v>
      </c>
      <c r="F70" s="315">
        <f>Normalized_FCF!C92</f>
        <v>0.63012781093037351</v>
      </c>
    </row>
    <row r="72" spans="1:6">
      <c r="B72" s="210" t="s">
        <v>447</v>
      </c>
      <c r="C72" s="323" t="s">
        <v>449</v>
      </c>
      <c r="D72" s="323" t="s">
        <v>450</v>
      </c>
    </row>
    <row r="73" spans="1:6">
      <c r="B73" s="47" t="s">
        <v>448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33.8555654317733</v>
      </c>
      <c r="D93" s="1" t="str">
        <f>Market_currency</f>
        <v>USD</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19869</v>
      </c>
      <c r="D102" s="1" t="str">
        <f>Reporting_currency</f>
        <v>USD</v>
      </c>
    </row>
    <row r="103" spans="2:6">
      <c r="B103" s="47" t="s">
        <v>280</v>
      </c>
      <c r="C103" s="223">
        <f>C102*scaling_factor*Exchange_Rate/Common_Shares</f>
        <v>16.649068991502919</v>
      </c>
      <c r="D103" s="1" t="str">
        <f>Market_currency</f>
        <v>USD</v>
      </c>
    </row>
    <row r="104" spans="2:6">
      <c r="B104" s="296" t="s">
        <v>401</v>
      </c>
      <c r="C104" s="325">
        <f>IF(BS!G31/BS!G27&gt;300%,"nm",BS!G31/BS!G27)</f>
        <v>0.40281804358844397</v>
      </c>
    </row>
    <row r="105" spans="2:6">
      <c r="B105" s="296" t="s">
        <v>403</v>
      </c>
      <c r="C105" s="326">
        <f>IF(BS!C50&gt;30,"nm",BS!C50)</f>
        <v>3.955391512509995</v>
      </c>
    </row>
    <row r="107" spans="2:6">
      <c r="B107" s="1" t="s">
        <v>253</v>
      </c>
    </row>
    <row r="108" spans="2:6">
      <c r="B108" s="47" t="s">
        <v>263</v>
      </c>
      <c r="C108" s="349">
        <f>BS!C66</f>
        <v>1334</v>
      </c>
      <c r="D108" s="1" t="str">
        <f>Reporting_currency</f>
        <v>USD</v>
      </c>
    </row>
    <row r="109" spans="2:6">
      <c r="B109" s="47" t="s">
        <v>265</v>
      </c>
      <c r="C109" s="349">
        <f>DCF!C8</f>
        <v>-594.28499848473007</v>
      </c>
      <c r="D109" s="1" t="str">
        <f>Reporting_currency</f>
        <v>USD</v>
      </c>
    </row>
    <row r="110" spans="2:6">
      <c r="B110" s="47" t="s">
        <v>281</v>
      </c>
      <c r="C110" s="223">
        <f>C109*scaling_factor*Exchange_Rate/Common_Shares</f>
        <v>-0.49797634205986613</v>
      </c>
      <c r="D110" s="1" t="str">
        <f>Market_currency</f>
        <v>USD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USD</v>
      </c>
    </row>
    <row r="116" spans="1:6" ht="24.6" customHeight="1">
      <c r="B116" s="361" t="s">
        <v>363</v>
      </c>
      <c r="C116" s="361"/>
      <c r="D116" s="361"/>
      <c r="E116" s="361"/>
      <c r="F116" s="361"/>
    </row>
    <row r="118" spans="1:6">
      <c r="B118" s="47" t="s">
        <v>445</v>
      </c>
      <c r="C118" s="223">
        <f>IF(valuation_method="DCF",DCF!C12,DDM!C7)</f>
        <v>16.708520098210517</v>
      </c>
      <c r="D118" s="1" t="str">
        <f>Market_currency</f>
        <v>USD</v>
      </c>
    </row>
    <row r="119" spans="1:6">
      <c r="B119" s="296" t="s">
        <v>402</v>
      </c>
      <c r="C119" s="223">
        <f>BS!D47</f>
        <v>-26.938493611476797</v>
      </c>
      <c r="D119" s="1" t="str">
        <f>Market_currency</f>
        <v>USD</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257</v>
      </c>
      <c r="C132" s="217">
        <f>Scenarios!C60</f>
        <v>36.134621832566509</v>
      </c>
      <c r="D132" s="212" t="str">
        <f>Market_currency</f>
        <v>USD</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0.35</v>
      </c>
    </row>
    <row r="143" spans="1:6">
      <c r="B143" s="212" t="s">
        <v>260</v>
      </c>
      <c r="C143" s="213">
        <f>Scenarios!C77</f>
        <v>1.1199999999999999</v>
      </c>
      <c r="D143" s="212" t="str">
        <f>Market_currency</f>
        <v>USD</v>
      </c>
    </row>
    <row r="145" spans="2:4">
      <c r="B145" s="210" t="s">
        <v>405</v>
      </c>
      <c r="C145" s="241" t="str">
        <f>C11</f>
        <v>KHC</v>
      </c>
      <c r="D145" s="241" t="str">
        <f>IF(D11="","",D11)</f>
        <v/>
      </c>
    </row>
    <row r="146" spans="2:4">
      <c r="B146" s="1" t="s">
        <v>404</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259</v>
      </c>
      <c r="C149" s="215">
        <f>Scenarios!C83</f>
        <v>16.586017104127016</v>
      </c>
      <c r="D149" s="300" t="str">
        <f>IF($D$11="","",C149*$E$25)</f>
        <v/>
      </c>
    </row>
    <row r="150" spans="2:4">
      <c r="B150" s="259" t="s">
        <v>412</v>
      </c>
      <c r="C150" s="298" t="str">
        <f>Market_currency</f>
        <v>USD</v>
      </c>
      <c r="D150" s="298" t="str">
        <f>IF($D$11="","",D$13)</f>
        <v/>
      </c>
    </row>
    <row r="151" spans="2:4">
      <c r="B151" s="214" t="s">
        <v>261</v>
      </c>
      <c r="C151" s="92">
        <f>Scenarios!F83</f>
        <v>0.54099375438381414</v>
      </c>
    </row>
    <row r="153" spans="2:4">
      <c r="B153" s="210" t="s">
        <v>408</v>
      </c>
    </row>
    <row r="154" spans="2:4">
      <c r="B154" s="1" t="s">
        <v>407</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259</v>
      </c>
      <c r="C157" s="215">
        <f>Scenarios!C93</f>
        <v>20.68716637827405</v>
      </c>
      <c r="D157" s="300" t="str">
        <f>IF($D$11="","",C157*$E$25)</f>
        <v/>
      </c>
    </row>
    <row r="158" spans="2:4">
      <c r="B158" s="259" t="s">
        <v>412</v>
      </c>
      <c r="C158" s="298" t="str">
        <f>Market_currency</f>
        <v>USD</v>
      </c>
      <c r="D158" s="298" t="str">
        <f>IF($D$11="","",D$13)</f>
        <v/>
      </c>
    </row>
    <row r="159" spans="2:4">
      <c r="B159" s="214" t="s">
        <v>261</v>
      </c>
      <c r="C159" s="92">
        <f>Scenarios!F93</f>
        <v>0.42749736045031372</v>
      </c>
    </row>
    <row r="161" spans="2:4">
      <c r="B161" s="210" t="s">
        <v>397</v>
      </c>
    </row>
    <row r="162" spans="2:4">
      <c r="B162" s="1" t="s">
        <v>406</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398</v>
      </c>
      <c r="C165" s="215">
        <f>Scenarios!C99</f>
        <v>31.999534598013469</v>
      </c>
      <c r="D165" s="300" t="str">
        <f>IF($D$11="","",C165*$E$25)</f>
        <v/>
      </c>
    </row>
    <row r="166" spans="2:4">
      <c r="B166" s="259" t="s">
        <v>412</v>
      </c>
      <c r="C166" s="298" t="str">
        <f>Market_currency</f>
        <v>USD</v>
      </c>
      <c r="D166" s="298" t="str">
        <f>IF($D$11="","",D$13)</f>
        <v/>
      </c>
    </row>
    <row r="167" spans="2:4">
      <c r="B167" s="214" t="s">
        <v>261</v>
      </c>
      <c r="C167" s="92">
        <f>Scenarios!F99</f>
        <v>0.11443560288837096</v>
      </c>
    </row>
    <row r="169" spans="2:4">
      <c r="B169" s="210" t="s">
        <v>428</v>
      </c>
    </row>
    <row r="170" spans="2:4">
      <c r="B170" s="1" t="s">
        <v>419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398</v>
      </c>
      <c r="C173" s="215">
        <f>Scenarios!C105</f>
        <v>28.601981247202922</v>
      </c>
      <c r="D173" s="300" t="str">
        <f>IF($D$11="","",C173*$E$25)</f>
        <v/>
      </c>
    </row>
    <row r="174" spans="2:4">
      <c r="B174" s="259" t="s">
        <v>412</v>
      </c>
      <c r="C174" s="298" t="str">
        <f>Market_currency</f>
        <v>USD</v>
      </c>
      <c r="D174" s="298" t="str">
        <f>IF($D$11="","",D$13)</f>
        <v/>
      </c>
    </row>
    <row r="175" spans="2:4">
      <c r="B175" s="214" t="s">
        <v>261</v>
      </c>
      <c r="C175" s="92">
        <f>Scenarios!F105</f>
        <v>0.20793713373654887</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368</v>
      </c>
      <c r="C22" s="351">
        <v>4184</v>
      </c>
      <c r="D22" s="351">
        <v>3976</v>
      </c>
      <c r="E22" s="351">
        <v>2469</v>
      </c>
      <c r="F22" s="351">
        <v>5364</v>
      </c>
      <c r="G22" s="351">
        <v>4929</v>
      </c>
      <c r="H22" s="351">
        <v>3552</v>
      </c>
      <c r="I22" s="351">
        <v>2574</v>
      </c>
      <c r="J22" s="351">
        <v>527</v>
      </c>
      <c r="K22" s="351">
        <v>5238</v>
      </c>
      <c r="L22" s="351">
        <v>2467</v>
      </c>
      <c r="M22" s="351"/>
    </row>
    <row r="23" spans="2:13">
      <c r="B23" s="27" t="s">
        <v>370</v>
      </c>
      <c r="C23" s="351">
        <v>-1023</v>
      </c>
      <c r="D23" s="351">
        <v>-916</v>
      </c>
      <c r="E23" s="351">
        <v>-1091</v>
      </c>
      <c r="F23" s="351">
        <v>4038</v>
      </c>
      <c r="G23" s="351">
        <v>-522</v>
      </c>
      <c r="H23" s="351">
        <v>1511</v>
      </c>
      <c r="I23" s="351">
        <v>288</v>
      </c>
      <c r="J23" s="351">
        <v>1156</v>
      </c>
      <c r="K23" s="351">
        <v>-1113</v>
      </c>
      <c r="L23" s="351">
        <v>-9704</v>
      </c>
      <c r="M23" s="351"/>
    </row>
    <row r="24" spans="2:13">
      <c r="B24" s="27" t="s">
        <v>369</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464</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171</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167</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390</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167</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215</v>
      </c>
      <c r="D9" s="261">
        <v>0.1</v>
      </c>
      <c r="E9" s="25"/>
      <c r="F9" s="4" t="s">
        <v>179</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7152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40099</v>
      </c>
      <c r="D21" s="261">
        <v>0.05</v>
      </c>
      <c r="F21" s="1" t="s">
        <v>179</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243</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202</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86953</v>
      </c>
      <c r="H35" s="200">
        <f>D12+D24</f>
        <v>5747</v>
      </c>
    </row>
    <row r="36" spans="2:8" ht="15" customHeight="1">
      <c r="B36" s="4" t="s">
        <v>13</v>
      </c>
      <c r="C36" s="19">
        <v>19215</v>
      </c>
      <c r="F36" s="190" t="s">
        <v>196</v>
      </c>
      <c r="G36" s="191">
        <f>C4+C15</f>
        <v>2147</v>
      </c>
      <c r="H36" s="195"/>
    </row>
    <row r="37" spans="2:8" ht="15" customHeight="1">
      <c r="B37" s="4" t="s">
        <v>14</v>
      </c>
      <c r="C37" s="19">
        <v>0</v>
      </c>
      <c r="F37" s="190" t="s">
        <v>197</v>
      </c>
      <c r="G37" s="191">
        <f>C6</f>
        <v>3376</v>
      </c>
      <c r="H37" s="195"/>
    </row>
    <row r="38" spans="2:8" ht="15" customHeight="1">
      <c r="B38" s="4" t="s">
        <v>15</v>
      </c>
      <c r="C38" s="19">
        <v>0</v>
      </c>
      <c r="F38" s="190" t="s">
        <v>198</v>
      </c>
      <c r="G38" s="191">
        <f>C7+C17</f>
        <v>0</v>
      </c>
      <c r="H38" s="195"/>
    </row>
    <row r="39" spans="2:8" ht="15" customHeight="1">
      <c r="B39" s="2" t="s">
        <v>16</v>
      </c>
      <c r="C39" s="19">
        <v>0</v>
      </c>
      <c r="F39" s="190" t="s">
        <v>79</v>
      </c>
      <c r="G39" s="191">
        <f>C7+C17+C19+C20</f>
        <v>7152</v>
      </c>
      <c r="H39" s="188">
        <f>C7*D7+C17*D17+C19*D19+C20*D20</f>
        <v>715.2</v>
      </c>
    </row>
    <row r="40" spans="2:8" ht="15" customHeight="1">
      <c r="B40" s="80" t="s">
        <v>203</v>
      </c>
      <c r="C40" s="81">
        <f>SUM(C36:C39)</f>
        <v>19215</v>
      </c>
      <c r="F40" s="199" t="s">
        <v>137</v>
      </c>
      <c r="G40" s="193">
        <f>G12+G24</f>
        <v>1334</v>
      </c>
      <c r="H40" s="200">
        <f>H12+H24</f>
        <v>1200.6000000000001</v>
      </c>
    </row>
    <row r="41" spans="2:8" ht="15" customHeight="1">
      <c r="B41" s="4" t="s">
        <v>17</v>
      </c>
      <c r="C41" s="21">
        <f>C42-C40</f>
        <v>12494</v>
      </c>
      <c r="F41" s="190" t="s">
        <v>190</v>
      </c>
      <c r="G41" s="191">
        <f>C70</f>
        <v>1334</v>
      </c>
      <c r="H41" s="200">
        <f>H40-H42</f>
        <v>1200.6000000000001</v>
      </c>
    </row>
    <row r="42" spans="2:8" ht="15" customHeight="1">
      <c r="B42" s="83" t="s">
        <v>22</v>
      </c>
      <c r="C42" s="84">
        <v>31709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175</v>
      </c>
      <c r="C51" s="181"/>
      <c r="D51" s="92">
        <f>G29/G32</f>
        <v>0.55717149750246353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5.7769946069523057E-2</v>
      </c>
      <c r="D54" s="92">
        <f>Normalized_FCF!G8/G35</f>
        <v>6.1550492794958195E-2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273</v>
      </c>
      <c r="C61" s="235" t="s">
        <v>136</v>
      </c>
      <c r="D61" s="197" t="s">
        <v>95</v>
      </c>
      <c r="F61" s="253"/>
    </row>
    <row r="62" spans="2:8" ht="15" customHeight="1">
      <c r="B62" s="1" t="s">
        <v>244</v>
      </c>
      <c r="C62" s="92">
        <f>IF(G28&lt;=0,0,G28/G29)</f>
        <v>2.7240755422739934E-3</v>
      </c>
      <c r="D62" s="92">
        <f>G28/G29</f>
        <v>2.7240755422739934E-3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1334</v>
      </c>
      <c r="D66" s="76">
        <f>C66-D75</f>
        <v>-594.28499848473007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1334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-1866.9533418666667</v>
      </c>
      <c r="D73" s="349">
        <f>(Normalized_FCF!C25+Normalized_FCF!C35-Normalized_FCF!C91)/12</f>
        <v>-1928.2849984847301</v>
      </c>
      <c r="F73" s="1" t="s">
        <v>348</v>
      </c>
    </row>
    <row r="74" spans="2:6" ht="15" customHeight="1">
      <c r="B74" s="257" t="s">
        <v>318</v>
      </c>
      <c r="C74" s="258">
        <f>-$C$66/C73</f>
        <v>0.71453312200411223</v>
      </c>
      <c r="D74" s="258">
        <f>-$C$66/D73</f>
        <v>0.69180645031635546</v>
      </c>
      <c r="F74" s="253" t="s">
        <v>316</v>
      </c>
    </row>
    <row r="75" spans="2:6" ht="15" customHeight="1">
      <c r="B75" s="80" t="s">
        <v>317</v>
      </c>
      <c r="C75" s="320"/>
      <c r="D75" s="321">
        <f>MAX(-D73*D76,G5)</f>
        <v>1928.2849984847301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-19869</v>
      </c>
      <c r="D86" s="223">
        <f>C86*scaling_factor/Common_Shares</f>
        <v>-16.649068991502919</v>
      </c>
      <c r="E86" s="240" t="str">
        <f>Market_currency</f>
        <v>USD</v>
      </c>
    </row>
    <row r="87" spans="2:8" ht="15" customHeight="1">
      <c r="B87" s="238" t="s">
        <v>286</v>
      </c>
      <c r="C87" s="76">
        <f>DCF!C8*Exchange_Rate</f>
        <v>-594.28499848473007</v>
      </c>
      <c r="D87" s="223">
        <f>C87*scaling_factor/Common_Shares</f>
        <v>-0.49797634205986613</v>
      </c>
      <c r="E87" s="240" t="str">
        <f>Market_currency</f>
        <v>USD</v>
      </c>
    </row>
    <row r="88" spans="2:8" ht="15" customHeight="1">
      <c r="B88" s="239" t="s">
        <v>188</v>
      </c>
      <c r="C88" s="76">
        <f>DCF!C9*Exchange_Rate</f>
        <v>0</v>
      </c>
      <c r="D88" s="223">
        <f>C88*scaling_factor/Common_Shares</f>
        <v>0</v>
      </c>
      <c r="E88" s="240" t="str">
        <f>Market_currency</f>
        <v>USD</v>
      </c>
    </row>
    <row r="89" spans="2:8" ht="15" customHeight="1">
      <c r="B89" s="80" t="s">
        <v>290</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151</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163</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242</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153</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0.6694782504801029</v>
      </c>
      <c r="D28" s="26"/>
      <c r="E28" s="266" t="s">
        <v>330</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-3654</v>
      </c>
      <c r="E33" s="266" t="s">
        <v>330</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0.26</v>
      </c>
      <c r="D43" s="27"/>
      <c r="E43" s="265" t="s">
        <v>331</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333</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194</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151</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465</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163</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153</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4.2344045368620034E-2</v>
      </c>
      <c r="E94" s="268"/>
      <c r="G94" s="23">
        <f t="shared" ref="G94:Q94" si="39">IF(G$4="","",(G90*(1-dividend_tax_rate))/Market_Price)</f>
        <v>4.2344045368620034E-2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163</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209</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30</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389</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83</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91</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221</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268</v>
      </c>
      <c r="C126" s="77">
        <f>C19*Exchange_Rate*$C$3/(Market_Price*Common_Shares)</f>
        <v>9.5998767764952656E-2</v>
      </c>
      <c r="D126" s="27"/>
      <c r="E126" s="265"/>
      <c r="F126" s="27"/>
      <c r="G126" s="77">
        <f t="shared" ref="G126" si="50">IF(G$4="","",G125/Market_Price)</f>
        <v>8.0721215055683623E-2</v>
      </c>
      <c r="H126" s="77">
        <f t="shared" ref="H126" si="51">IF(H$4="","",H125/Market_Price)</f>
        <v>7.5113815108722864E-2</v>
      </c>
      <c r="I126" s="77">
        <f t="shared" ref="I126" si="52">IF(I$4="","",I125/Market_Price)</f>
        <v>3.4753207580881053E-2</v>
      </c>
      <c r="J126" s="77">
        <f t="shared" ref="J126" si="53">IF(J$4="","",J125/Market_Price)</f>
        <v>-6.3043649121197172E-3</v>
      </c>
      <c r="K126" s="77">
        <f t="shared" ref="K126" si="54">IF(K$4="","",K125/Market_Price)</f>
        <v>-2.6769790707242017E-2</v>
      </c>
      <c r="L126" s="77">
        <f t="shared" ref="L126" si="55">IF(L$4="","",L125/Market_Price)</f>
        <v>3.1078301400951972E-2</v>
      </c>
      <c r="M126" s="77">
        <f t="shared" ref="M126" si="56">IF(M$4="","",M125/Market_Price)</f>
        <v>-0.33064651551655017</v>
      </c>
      <c r="N126" s="77">
        <f t="shared" ref="N126" si="57">IF(N$4="","",N125/Market_Price)</f>
        <v>0.34845080235379283</v>
      </c>
      <c r="O126" s="77">
        <f t="shared" ref="O126" si="58">IF(O$4="","",O125/Market_Price)</f>
        <v>0.11458737631727145</v>
      </c>
      <c r="P126" s="77">
        <f t="shared" ref="P126" si="59">IF(P$4="","",P125/Market_Price)</f>
        <v>2.9747731922012133E-2</v>
      </c>
      <c r="Q126" s="77" t="str">
        <f t="shared" ref="Q126" si="60">IF(Q$4="","",Q125/Market_Price)</f>
        <v/>
      </c>
    </row>
    <row r="127" spans="1:17" ht="15.75" customHeight="1">
      <c r="B127" s="2" t="s">
        <v>391</v>
      </c>
      <c r="C127" s="169"/>
      <c r="G127" s="23">
        <f>IF(G$4="","",(Data!C47*$C$3)/(Market_Price*Common_Shares))</f>
        <v>8.6993899742114286E-2</v>
      </c>
      <c r="H127" s="23">
        <f>IF(H$4="","",(Data!D47*$C$3)/(Market_Price*Common_Shares))</f>
        <v>9.0161922311018661E-2</v>
      </c>
      <c r="I127" s="23">
        <f>IF(I$4="","",(Data!E47*$C$3)/(Market_Price*Common_Shares))</f>
        <v>7.5018774431655735E-2</v>
      </c>
      <c r="J127" s="23">
        <f>IF(J$4="","",(Data!F47*$C$3)/(Market_Price*Common_Shares))</f>
        <v>3.2440551105580855E-2</v>
      </c>
      <c r="K127" s="23">
        <f>IF(K$4="","",(Data!G47*$C$3)/(Market_Price*Common_Shares))</f>
        <v>1.1436561473744814E-2</v>
      </c>
      <c r="L127" s="23">
        <f>IF(L$4="","",(Data!H47*$C$3)/(Market_Price*Common_Shares))</f>
        <v>6.1237876256921675E-2</v>
      </c>
      <c r="M127" s="23">
        <f>IF(M$4="","",(Data!I47*$C$3)/(Market_Price*Common_Shares))</f>
        <v>-0.32484903421545519</v>
      </c>
      <c r="N127" s="23">
        <f>IF(N$4="","",(Data!J47*$C$3)/(Market_Price*Common_Shares))</f>
        <v>0.34816568032259143</v>
      </c>
      <c r="O127" s="23">
        <f>IF(O$4="","",(Data!K47*$C$3)/(Market_Price*Common_Shares))</f>
        <v>0.11537938195949754</v>
      </c>
      <c r="P127" s="23">
        <f>IF(P$4="","",(Data!L47*$C$3)/(Market_Price*Common_Shares))</f>
        <v>2.049710602081134E-2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3030.2425464775833</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40403.233953034447</v>
      </c>
      <c r="D6" t="str">
        <f>Reporting_currency</f>
        <v>USD</v>
      </c>
      <c r="E6" s="369" t="s">
        <v>248</v>
      </c>
      <c r="F6" s="369"/>
      <c r="H6" s="120"/>
    </row>
    <row r="7" spans="2:8">
      <c r="B7" s="148" t="s">
        <v>223</v>
      </c>
      <c r="C7" s="338">
        <f>BS!G31</f>
        <v>19869</v>
      </c>
      <c r="D7" t="str">
        <f>Reporting_currency</f>
        <v>USD</v>
      </c>
      <c r="E7" s="369"/>
      <c r="F7" s="369"/>
      <c r="H7" s="120"/>
    </row>
    <row r="8" spans="2:8">
      <c r="B8" s="148" t="s">
        <v>224</v>
      </c>
      <c r="C8" s="338">
        <f>BS!D66</f>
        <v>-594.28499848473007</v>
      </c>
      <c r="D8" t="str">
        <f>Reporting_currency</f>
        <v>USD</v>
      </c>
      <c r="E8" s="369"/>
      <c r="F8" s="369"/>
      <c r="H8" s="120"/>
    </row>
    <row r="9" spans="2:8">
      <c r="B9" s="205" t="s">
        <v>189</v>
      </c>
      <c r="C9" s="348">
        <f>BS!H42</f>
        <v>0</v>
      </c>
      <c r="D9" t="str">
        <f>Reporting_currency</f>
        <v>USD</v>
      </c>
      <c r="E9" s="369"/>
      <c r="F9" s="369"/>
      <c r="H9" s="120"/>
    </row>
    <row r="10" spans="2:8" ht="13.15">
      <c r="B10" s="149" t="s">
        <v>226</v>
      </c>
      <c r="C10" s="347">
        <f>C6-C7+C8+C9</f>
        <v>19939.948954549716</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4.2826760003620602E-2</v>
      </c>
      <c r="H16" s="120"/>
    </row>
    <row r="17" spans="2:17" ht="13.35" customHeight="1">
      <c r="B17" s="118" t="s">
        <v>133</v>
      </c>
      <c r="C17" s="162">
        <f>Scenarios!C64</f>
        <v>30</v>
      </c>
      <c r="H17" s="120"/>
    </row>
    <row r="18" spans="2:17" ht="13.3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130</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128</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1336.60807168</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17821.440955733335</v>
      </c>
      <c r="D6" t="str">
        <f>Reporting_currency</f>
        <v>USD</v>
      </c>
      <c r="E6" s="369"/>
      <c r="F6" s="369"/>
      <c r="H6" s="120"/>
    </row>
    <row r="7" spans="2:8" ht="13.15">
      <c r="B7" s="149" t="s">
        <v>440</v>
      </c>
      <c r="C7" s="111">
        <f>(C6*scaling_factor)/Common_Shares*Exchange_Rate</f>
        <v>14.933333333333334</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4.2826760003620602E-2</v>
      </c>
      <c r="H11" s="120"/>
    </row>
    <row r="12" spans="2:8" ht="13.35" customHeight="1">
      <c r="B12" s="118" t="s">
        <v>133</v>
      </c>
      <c r="C12" s="162">
        <f>Scenarios!C64</f>
        <v>30</v>
      </c>
      <c r="H12" s="120"/>
    </row>
    <row r="13" spans="2:8" ht="13.35" customHeight="1">
      <c r="B13" s="153" t="s">
        <v>106</v>
      </c>
      <c r="C13" s="140">
        <f>F47/Common_Shares*scaling_factor</f>
        <v>23.491450976587959</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130</v>
      </c>
      <c r="C46" s="123">
        <f>C$16*(1+F4)^$C$12/Equity_Cost</f>
        <v>18584.675530463221</v>
      </c>
      <c r="D46" s="139">
        <f>Terminal_Growth</f>
        <v>0</v>
      </c>
      <c r="E46" s="124">
        <f>1/(1+Equity_Cost)^C12</f>
        <v>0.11422103008133992</v>
      </c>
      <c r="F46" s="125">
        <f t="shared" si="1"/>
        <v>2122.7607828169816</v>
      </c>
      <c r="H46" s="120"/>
    </row>
    <row r="47" spans="2:8">
      <c r="C47" s="114"/>
      <c r="E47" s="127" t="s">
        <v>100</v>
      </c>
      <c r="F47" s="137">
        <f>SUM(F16:F46)</f>
        <v>28034.69909891293</v>
      </c>
      <c r="H47" s="120"/>
    </row>
    <row r="48" spans="2:8">
      <c r="C48" s="114"/>
      <c r="H48" s="120"/>
    </row>
    <row r="49" spans="1:8" ht="13.15">
      <c r="B49" s="119" t="s">
        <v>128</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-26.45</v>
      </c>
    </row>
    <row r="4" spans="2:9">
      <c r="B4" s="152" t="s">
        <v>145</v>
      </c>
      <c r="C4" s="120">
        <v>3</v>
      </c>
      <c r="D4" s="120"/>
      <c r="E4" s="155" t="s">
        <v>149</v>
      </c>
      <c r="F4" s="155"/>
      <c r="H4" s="247">
        <v>1</v>
      </c>
      <c r="I4" s="124">
        <f t="shared" ref="I4:I13" si="0">IF(ROW()-3 &lt; $C$76, $C$77, IF(ROW()-3 = $C$76, $C$77 + $C$60, ""))</f>
        <v>1.1199999999999999</v>
      </c>
    </row>
    <row r="5" spans="2:9">
      <c r="H5" s="247">
        <v>2</v>
      </c>
      <c r="I5" s="124">
        <f t="shared" si="0"/>
        <v>1.1199999999999999</v>
      </c>
    </row>
    <row r="6" spans="2:9" ht="13.15">
      <c r="B6" s="159" t="s">
        <v>95</v>
      </c>
      <c r="C6" s="107">
        <f>DCF!C3</f>
        <v>1000000</v>
      </c>
      <c r="E6" s="100" t="s">
        <v>278</v>
      </c>
      <c r="F6" s="100"/>
      <c r="H6" s="247">
        <v>3</v>
      </c>
      <c r="I6" s="124">
        <f t="shared" si="0"/>
        <v>37.254621832566507</v>
      </c>
    </row>
    <row r="7" spans="2:9" ht="12.75" customHeight="1">
      <c r="B7" s="100" t="s">
        <v>274</v>
      </c>
      <c r="C7" s="338">
        <f>Normalized_FCF!G8</f>
        <v>5352</v>
      </c>
      <c r="D7" t="str">
        <f>Reporting_currency</f>
        <v>USD</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71"/>
      <c r="H7" s="247">
        <v>4</v>
      </c>
      <c r="I7" s="124" t="str">
        <f t="shared" si="0"/>
        <v/>
      </c>
    </row>
    <row r="8" spans="2:9">
      <c r="B8" s="100" t="s">
        <v>66</v>
      </c>
      <c r="C8" s="338">
        <f>Normalized_FCF!G19</f>
        <v>2548</v>
      </c>
      <c r="D8" t="str">
        <f>Reporting_currency</f>
        <v>USD</v>
      </c>
      <c r="E8" s="371"/>
      <c r="F8" s="371"/>
      <c r="H8" s="247">
        <v>5</v>
      </c>
      <c r="I8" s="124" t="str">
        <f t="shared" si="0"/>
        <v/>
      </c>
    </row>
    <row r="9" spans="2:9">
      <c r="B9" s="100" t="s">
        <v>57</v>
      </c>
      <c r="C9" s="338">
        <f>Normalized_FCF!C19</f>
        <v>3030.2425464775833</v>
      </c>
      <c r="D9" t="str">
        <f>Reporting_currency</f>
        <v>USD</v>
      </c>
      <c r="E9" s="371"/>
      <c r="F9" s="371"/>
      <c r="H9" s="247">
        <v>6</v>
      </c>
      <c r="I9" s="124" t="str">
        <f t="shared" si="0"/>
        <v/>
      </c>
    </row>
    <row r="10" spans="2:9">
      <c r="E10" s="371"/>
      <c r="F10" s="371"/>
      <c r="H10" s="247">
        <v>7</v>
      </c>
      <c r="I10" s="124" t="str">
        <f t="shared" si="0"/>
        <v/>
      </c>
    </row>
    <row r="11" spans="2:9" ht="13.15">
      <c r="B11" s="159" t="s">
        <v>443</v>
      </c>
      <c r="E11" s="371"/>
      <c r="F11" s="371"/>
      <c r="H11" s="247">
        <v>8</v>
      </c>
      <c r="I11" s="124" t="str">
        <f t="shared" si="0"/>
        <v/>
      </c>
    </row>
    <row r="12" spans="2:9">
      <c r="B12" s="118" t="s">
        <v>143</v>
      </c>
      <c r="C12" s="158">
        <f ca="1">(Normalized_FCF!G4/OFFSET(Normalized_FCF!G4, 0, $C$4))^(1/$C$4) - 1</f>
        <v>-2.5150882534886732E-3</v>
      </c>
      <c r="D12" s="158"/>
      <c r="E12" s="371"/>
      <c r="F12" s="371"/>
      <c r="H12" s="247">
        <v>9</v>
      </c>
      <c r="I12" s="124" t="str">
        <f t="shared" si="0"/>
        <v/>
      </c>
    </row>
    <row r="13" spans="2:9">
      <c r="B13" s="148" t="s">
        <v>151</v>
      </c>
      <c r="C13" s="158">
        <f ca="1">(Normalized_FCF!G8/OFFSET(Normalized_FCF!G8, 0, $C$4))^(1/$C$4) - 1</f>
        <v>0.15650274695607269</v>
      </c>
      <c r="E13" s="371"/>
      <c r="F13" s="371"/>
      <c r="H13" s="247">
        <v>10</v>
      </c>
      <c r="I13" s="124" t="str">
        <f t="shared" si="0"/>
        <v/>
      </c>
    </row>
    <row r="14" spans="2:9">
      <c r="B14" s="100" t="s">
        <v>66</v>
      </c>
      <c r="C14" s="158">
        <f ca="1">(Normalized_FCF!G19/OFFSET(Normalized_FCF!G19, 0, $C$4))^(1/$C$4) - 1</f>
        <v>-3.3394590575448202</v>
      </c>
      <c r="E14" s="371"/>
      <c r="F14" s="371"/>
    </row>
    <row r="16" spans="2:9" ht="13.9">
      <c r="B16" s="36" t="s">
        <v>161</v>
      </c>
      <c r="C16" s="37"/>
      <c r="D16" s="37"/>
      <c r="E16" s="37"/>
      <c r="F16" s="37"/>
    </row>
    <row r="17" spans="2:6" ht="13.15">
      <c r="B17" s="109" t="s">
        <v>150</v>
      </c>
      <c r="E17" s="159" t="s">
        <v>326</v>
      </c>
    </row>
    <row r="18" spans="2:6">
      <c r="B18" s="152" t="s">
        <v>132</v>
      </c>
      <c r="C18" s="150">
        <v>30</v>
      </c>
      <c r="E18" s="371" t="s">
        <v>327</v>
      </c>
      <c r="F18" s="372"/>
    </row>
    <row r="19" spans="2:6">
      <c r="E19" s="372"/>
      <c r="F19" s="372"/>
    </row>
    <row r="20" spans="2:6" ht="13.15">
      <c r="B20" s="159" t="s">
        <v>302</v>
      </c>
      <c r="E20" s="372"/>
      <c r="F20" s="372"/>
    </row>
    <row r="21" spans="2:6">
      <c r="B21" s="100" t="s">
        <v>276</v>
      </c>
      <c r="C21" s="160">
        <f>Market_Price</f>
        <v>26.45</v>
      </c>
      <c r="D21" t="str">
        <f>Market_currency</f>
        <v>USD</v>
      </c>
      <c r="E21" s="372"/>
      <c r="F21" s="372"/>
    </row>
    <row r="22" spans="2:6">
      <c r="B22" s="100" t="s">
        <v>277</v>
      </c>
      <c r="C22" s="160">
        <f>IF(valuation_method="DCF",DCF!C12,DDM!C7)</f>
        <v>16.708520098210517</v>
      </c>
      <c r="D22" t="str">
        <f>Market_currency</f>
        <v>USD</v>
      </c>
      <c r="E22" s="372"/>
      <c r="F22" s="372"/>
    </row>
    <row r="24" spans="2:6" ht="13.15">
      <c r="B24" s="159" t="s">
        <v>114</v>
      </c>
      <c r="E24" s="159" t="s">
        <v>148</v>
      </c>
      <c r="F24" s="159"/>
    </row>
    <row r="25" spans="2:6">
      <c r="B25" s="152" t="s">
        <v>132</v>
      </c>
      <c r="C25" s="166">
        <f>C18</f>
        <v>30</v>
      </c>
      <c r="D25" s="163"/>
      <c r="E25" s="370"/>
      <c r="F25" s="370"/>
    </row>
    <row r="26" spans="2:6">
      <c r="B26" s="118" t="s">
        <v>133</v>
      </c>
      <c r="C26" s="164">
        <v>0.04</v>
      </c>
      <c r="D26" s="164"/>
      <c r="E26" s="370"/>
      <c r="F26" s="370"/>
    </row>
    <row r="27" spans="2:6">
      <c r="B27" s="100" t="s">
        <v>112</v>
      </c>
      <c r="C27" s="160">
        <f>IF(valuation_method="DCF",DCF!E76,DDM!E71)</f>
        <v>34.37284276944095</v>
      </c>
      <c r="D27" s="160" t="str">
        <f>Market_currency</f>
        <v>USD</v>
      </c>
      <c r="E27" s="370"/>
      <c r="F27" s="370"/>
    </row>
    <row r="28" spans="2:6">
      <c r="B28" s="100" t="s">
        <v>146</v>
      </c>
      <c r="C28" s="165">
        <v>0.5</v>
      </c>
      <c r="D28" s="165"/>
      <c r="E28" s="370"/>
      <c r="F28" s="370"/>
    </row>
    <row r="30" spans="2:6" ht="13.15">
      <c r="B30" s="159" t="s">
        <v>115</v>
      </c>
      <c r="E30" s="159" t="s">
        <v>148</v>
      </c>
      <c r="F30" s="159"/>
    </row>
    <row r="31" spans="2:6">
      <c r="B31" s="152" t="s">
        <v>132</v>
      </c>
      <c r="C31" s="166">
        <f>C18</f>
        <v>30</v>
      </c>
      <c r="D31" s="163"/>
      <c r="E31" s="370"/>
      <c r="F31" s="370"/>
    </row>
    <row r="32" spans="2:6">
      <c r="B32" s="118" t="s">
        <v>133</v>
      </c>
      <c r="C32" s="164">
        <v>0.02</v>
      </c>
      <c r="D32" s="164"/>
      <c r="E32" s="370"/>
      <c r="F32" s="370"/>
    </row>
    <row r="33" spans="2:6">
      <c r="B33" s="100" t="s">
        <v>112</v>
      </c>
      <c r="C33" s="160">
        <f>IF(valuation_method="DCF",DCF!E77,DDM!E72)</f>
        <v>24.144610325922145</v>
      </c>
      <c r="D33" t="str">
        <f>Market_currency</f>
        <v>USD</v>
      </c>
      <c r="E33" s="370"/>
      <c r="F33" s="370"/>
    </row>
    <row r="34" spans="2:6">
      <c r="B34" s="100" t="s">
        <v>146</v>
      </c>
      <c r="C34" s="165">
        <v>0.25</v>
      </c>
      <c r="D34" s="165"/>
      <c r="E34" s="370"/>
      <c r="F34" s="370"/>
    </row>
    <row r="36" spans="2:6" ht="13.15">
      <c r="B36" s="159" t="s">
        <v>113</v>
      </c>
      <c r="E36" s="159" t="s">
        <v>148</v>
      </c>
      <c r="F36" s="159"/>
    </row>
    <row r="37" spans="2:6">
      <c r="B37" s="152" t="s">
        <v>132</v>
      </c>
      <c r="C37" s="166">
        <f>C18</f>
        <v>30</v>
      </c>
      <c r="D37" s="163"/>
      <c r="E37" s="370"/>
      <c r="F37" s="370"/>
    </row>
    <row r="38" spans="2:6">
      <c r="B38" s="118" t="s">
        <v>133</v>
      </c>
      <c r="C38" s="164">
        <v>0.06</v>
      </c>
      <c r="D38" s="164"/>
      <c r="E38" s="370"/>
      <c r="F38" s="370"/>
    </row>
    <row r="39" spans="2:6">
      <c r="B39" s="100" t="s">
        <v>112</v>
      </c>
      <c r="C39" s="160">
        <f>IF(valuation_method="DCF",DCF!E75,DDM!E70)</f>
        <v>48.672529665639814</v>
      </c>
      <c r="D39" t="str">
        <f>Market_currency</f>
        <v>USD</v>
      </c>
      <c r="E39" s="370"/>
      <c r="F39" s="370"/>
    </row>
    <row r="40" spans="2:6">
      <c r="B40" s="100" t="s">
        <v>146</v>
      </c>
      <c r="C40" s="167">
        <f>1-C28-C34</f>
        <v>0.25</v>
      </c>
      <c r="D40" s="165"/>
      <c r="E40" s="370"/>
      <c r="F40" s="370"/>
    </row>
    <row r="42" spans="2:6" ht="13.15">
      <c r="B42" s="100" t="s">
        <v>119</v>
      </c>
      <c r="C42" s="154">
        <f>C27*C28+C33*C34+C39*C40</f>
        <v>35.390706382610965</v>
      </c>
      <c r="D42" t="str">
        <f>Market_currency</f>
        <v>USD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70"/>
      <c r="F49" s="370"/>
    </row>
    <row r="50" spans="2:6">
      <c r="B50" s="118" t="s">
        <v>133</v>
      </c>
      <c r="C50" s="164">
        <v>0</v>
      </c>
      <c r="D50" s="164"/>
      <c r="E50" s="370"/>
      <c r="F50" s="370"/>
    </row>
    <row r="51" spans="2:6">
      <c r="B51" s="100" t="s">
        <v>112</v>
      </c>
      <c r="C51" s="160">
        <f>IF(valuation_method="DCF",DCF!E78,DDM!E73)</f>
        <v>16.708520098210528</v>
      </c>
      <c r="D51" t="str">
        <f>Market_currency</f>
        <v>USD</v>
      </c>
      <c r="E51" s="370"/>
      <c r="F51" s="370"/>
    </row>
    <row r="52" spans="2:6">
      <c r="B52" s="100" t="s">
        <v>146</v>
      </c>
      <c r="C52" s="165">
        <v>0.05</v>
      </c>
      <c r="D52" s="165"/>
      <c r="E52" s="370"/>
      <c r="F52" s="370"/>
    </row>
    <row r="54" spans="2:6" ht="13.15">
      <c r="B54" s="159" t="s">
        <v>313</v>
      </c>
      <c r="E54" s="159" t="s">
        <v>148</v>
      </c>
      <c r="F54" s="159"/>
    </row>
    <row r="55" spans="2:6">
      <c r="B55" s="152" t="s">
        <v>132</v>
      </c>
      <c r="C55" s="166">
        <f>C46</f>
        <v>30</v>
      </c>
      <c r="D55" s="163"/>
      <c r="E55" s="370"/>
      <c r="F55" s="370"/>
    </row>
    <row r="56" spans="2:6">
      <c r="B56" s="118" t="s">
        <v>133</v>
      </c>
      <c r="C56" s="164">
        <v>0.08</v>
      </c>
      <c r="D56" s="164"/>
      <c r="E56" s="370"/>
      <c r="F56" s="370"/>
    </row>
    <row r="57" spans="2:6">
      <c r="B57" s="100" t="s">
        <v>112</v>
      </c>
      <c r="C57" s="160">
        <f>IF(valuation_method="DCF",DCF!E74,DDM!E69)</f>
        <v>68.951201666122259</v>
      </c>
      <c r="D57" t="str">
        <f>Market_currency</f>
        <v>USD</v>
      </c>
      <c r="E57" s="370"/>
      <c r="F57" s="370"/>
    </row>
    <row r="58" spans="2:6">
      <c r="B58" s="100" t="s">
        <v>146</v>
      </c>
      <c r="C58" s="165">
        <v>0.05</v>
      </c>
      <c r="D58" s="165"/>
      <c r="E58" s="370"/>
      <c r="F58" s="370"/>
    </row>
    <row r="60" spans="2:6" ht="13.15">
      <c r="B60" s="100" t="s">
        <v>119</v>
      </c>
      <c r="C60" s="154">
        <f>C51*C52+C57*C58+C42*(1-C52-C58)</f>
        <v>36.134621832566509</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4.2826760003620602E-2</v>
      </c>
      <c r="D65" s="151"/>
      <c r="E65" s="251" t="s">
        <v>309</v>
      </c>
    </row>
    <row r="66" spans="2:6">
      <c r="B66" s="100" t="s">
        <v>102</v>
      </c>
      <c r="C66" s="160">
        <f>IF(valuation_method="DCF",DCF!C18,DDM!C13)</f>
        <v>36.110746337765448</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-0.47453230347934405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1.1199999999999999</v>
      </c>
      <c r="D77" t="str">
        <f>Market_currency</f>
        <v>USD</v>
      </c>
    </row>
    <row r="79" spans="2:6" ht="13.15">
      <c r="B79" s="109" t="s">
        <v>300</v>
      </c>
    </row>
    <row r="80" spans="2:6">
      <c r="B80" s="148" t="s">
        <v>298</v>
      </c>
      <c r="C80" s="167">
        <f>Thesis!F29</f>
        <v>0.35</v>
      </c>
    </row>
    <row r="81" spans="2:8">
      <c r="B81" s="100" t="s">
        <v>120</v>
      </c>
      <c r="C81" s="116">
        <f>PV(C80, C76, -C77, 0)</f>
        <v>1.8993852563125539</v>
      </c>
      <c r="D81" s="116"/>
      <c r="E81" s="100"/>
      <c r="F81" s="100"/>
    </row>
    <row r="82" spans="2:8">
      <c r="B82" s="100" t="s">
        <v>121</v>
      </c>
      <c r="C82" s="116">
        <f>C60/(1+C80)^C76</f>
        <v>14.686631847814461</v>
      </c>
      <c r="D82" s="116"/>
    </row>
    <row r="83" spans="2:8" ht="13.15">
      <c r="B83" s="110" t="s">
        <v>101</v>
      </c>
      <c r="C83" s="111">
        <f>C81+C82</f>
        <v>16.586017104127016</v>
      </c>
      <c r="D83" t="str">
        <f>Market_currency</f>
        <v>USD</v>
      </c>
      <c r="E83" s="146" t="s">
        <v>125</v>
      </c>
      <c r="F83" s="291">
        <f>(1-C83/C60)</f>
        <v>0.54099375438381414</v>
      </c>
    </row>
    <row r="84" spans="2:8">
      <c r="E84" s="120"/>
    </row>
    <row r="85" spans="2:8" ht="13.15">
      <c r="B85" s="109" t="s">
        <v>301</v>
      </c>
    </row>
    <row r="86" spans="2:8">
      <c r="B86" s="148" t="s">
        <v>299</v>
      </c>
      <c r="C86" s="116">
        <f>Market_Price</f>
        <v>26.45</v>
      </c>
      <c r="D86" t="str">
        <f>Market_currency</f>
        <v>USD</v>
      </c>
    </row>
    <row r="87" spans="2:8" ht="13.15">
      <c r="B87" s="100" t="s">
        <v>297</v>
      </c>
      <c r="C87" s="237">
        <f ca="1">IRR(OFFSET($I$3, 0, 0, $C$76 + 1, 1))</f>
        <v>0.14798816961555117</v>
      </c>
    </row>
    <row r="88" spans="2:8">
      <c r="B88" s="100"/>
    </row>
    <row r="89" spans="2:8" ht="13.15">
      <c r="B89" s="109" t="s">
        <v>409</v>
      </c>
    </row>
    <row r="90" spans="2:8">
      <c r="B90" s="148" t="s">
        <v>410</v>
      </c>
      <c r="C90" s="167">
        <f>Thesis!F30</f>
        <v>0.25</v>
      </c>
    </row>
    <row r="91" spans="2:8">
      <c r="B91" s="100" t="s">
        <v>120</v>
      </c>
      <c r="C91" s="116">
        <f>PV(C90, C76, -C77, 0)</f>
        <v>2.1862399999999997</v>
      </c>
      <c r="D91" s="116"/>
      <c r="E91" s="100"/>
      <c r="F91" s="100"/>
    </row>
    <row r="92" spans="2:8">
      <c r="B92" s="100" t="s">
        <v>121</v>
      </c>
      <c r="C92" s="116">
        <f>C60/(1+C90)^C76</f>
        <v>18.500926378274052</v>
      </c>
      <c r="D92" s="116"/>
    </row>
    <row r="93" spans="2:8" ht="13.15">
      <c r="B93" s="110" t="s">
        <v>101</v>
      </c>
      <c r="C93" s="111">
        <f>C91+C92</f>
        <v>20.68716637827405</v>
      </c>
      <c r="D93" t="str">
        <f>Market_currency</f>
        <v>USD</v>
      </c>
      <c r="E93" s="146" t="s">
        <v>125</v>
      </c>
      <c r="F93" s="291">
        <f>(1-C93/C60)</f>
        <v>0.42749736045031372</v>
      </c>
    </row>
    <row r="95" spans="2:8" ht="13.15">
      <c r="B95" s="109" t="s">
        <v>394</v>
      </c>
      <c r="G95" s="2"/>
      <c r="H95" s="281"/>
    </row>
    <row r="96" spans="2:8">
      <c r="B96" s="148" t="s">
        <v>400</v>
      </c>
      <c r="C96" s="134">
        <f>Thesis!F31</f>
        <v>7.4999999999999997E-2</v>
      </c>
      <c r="G96" s="2"/>
      <c r="H96" s="281"/>
    </row>
    <row r="97" spans="2:8">
      <c r="B97" s="100" t="s">
        <v>120</v>
      </c>
      <c r="C97" s="116">
        <f>PV(C96, C76, -C77, 0)</f>
        <v>2.9125888286565944</v>
      </c>
      <c r="D97" s="116"/>
      <c r="G97" s="2"/>
      <c r="H97" s="281"/>
    </row>
    <row r="98" spans="2:8">
      <c r="B98" s="100" t="s">
        <v>121</v>
      </c>
      <c r="C98" s="116">
        <f>C60/(1+C96)^C76</f>
        <v>29.086945769356873</v>
      </c>
      <c r="D98" s="116"/>
      <c r="G98" s="2"/>
      <c r="H98" s="281"/>
    </row>
    <row r="99" spans="2:8" ht="13.15">
      <c r="B99" s="110" t="s">
        <v>395</v>
      </c>
      <c r="C99" s="111">
        <f>C97+C98</f>
        <v>31.999534598013469</v>
      </c>
      <c r="D99" t="s">
        <v>393</v>
      </c>
      <c r="E99" s="146" t="s">
        <v>125</v>
      </c>
      <c r="F99" s="291">
        <f>(1-C99/C60)</f>
        <v>0.11443560288837096</v>
      </c>
    </row>
    <row r="100" spans="2:8">
      <c r="B100" s="100"/>
    </row>
    <row r="101" spans="2:8" ht="13.15">
      <c r="B101" s="109" t="s">
        <v>418</v>
      </c>
    </row>
    <row r="102" spans="2:8">
      <c r="B102" s="148" t="s">
        <v>417</v>
      </c>
      <c r="C102" s="134">
        <f>Thesis!F32</f>
        <v>0.1174</v>
      </c>
    </row>
    <row r="103" spans="2:8">
      <c r="B103" s="100" t="s">
        <v>120</v>
      </c>
      <c r="C103" s="116">
        <f>PV(C102, C76, -C77, 0)</f>
        <v>2.7021155010512867</v>
      </c>
      <c r="D103" s="116"/>
    </row>
    <row r="104" spans="2:8">
      <c r="B104" s="100" t="s">
        <v>121</v>
      </c>
      <c r="C104" s="116">
        <f>C60/(1+C102)^C76</f>
        <v>25.899865746151637</v>
      </c>
      <c r="D104" s="116"/>
    </row>
    <row r="105" spans="2:8" ht="13.15">
      <c r="B105" s="110" t="s">
        <v>395</v>
      </c>
      <c r="C105" s="111">
        <f>C103+C104</f>
        <v>28.601981247202922</v>
      </c>
      <c r="D105" t="s">
        <v>393</v>
      </c>
      <c r="E105" s="146" t="s">
        <v>125</v>
      </c>
      <c r="F105" s="291">
        <f>(1-C105/C66)</f>
        <v>0.20793713373654887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8F5EF-6D7D-4BA3-8206-62D4B08A66D2}">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