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D34118B-C348-4886-B9FE-9E5493ACE0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37"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7" i="9"/>
  <c r="C143" i="6" s="1"/>
  <c r="G72" i="4"/>
  <c r="I72" i="4"/>
  <c r="F72" i="4"/>
  <c r="F69" i="4"/>
  <c r="E72" i="4"/>
  <c r="D72"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Q126" i="2"/>
  <c r="Q48" i="2"/>
  <c r="Q92" i="2"/>
  <c r="Q91" i="2"/>
  <c r="K126" i="2"/>
  <c r="K91" i="2"/>
  <c r="J71" i="4"/>
  <c r="J91" i="2"/>
  <c r="L126" i="2"/>
  <c r="L91" i="2"/>
  <c r="J70" i="4"/>
  <c r="E69" i="4"/>
  <c r="I71" i="4"/>
  <c r="D69" i="4"/>
  <c r="I70" i="4"/>
  <c r="K69" i="4"/>
  <c r="H69" i="4"/>
  <c r="F70" i="4"/>
  <c r="G70" i="4"/>
  <c r="C69" i="4"/>
  <c r="P126" i="2"/>
  <c r="P91" i="2"/>
  <c r="G69" i="4"/>
  <c r="O126" i="2"/>
  <c r="O91" i="2"/>
  <c r="J69" i="4"/>
  <c r="I69" i="4"/>
  <c r="M126" i="2"/>
  <c r="M91" i="2"/>
  <c r="H91" i="2"/>
  <c r="N126" i="2"/>
  <c r="N91" i="2"/>
  <c r="I91" i="2"/>
  <c r="D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G71" i="4" s="1"/>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28" i="2"/>
  <c r="O75" i="2"/>
  <c r="G105" i="2" l="1"/>
  <c r="G101" i="2" s="1"/>
  <c r="C76" i="4"/>
  <c r="O55" i="2"/>
  <c r="O120" i="2"/>
  <c r="O76" i="2"/>
  <c r="E58" i="4"/>
  <c r="I62" i="2" s="1"/>
  <c r="E71" i="4"/>
  <c r="C58" i="4"/>
  <c r="G62" i="2" s="1"/>
  <c r="G63" i="2" s="1"/>
  <c r="C71" i="4"/>
  <c r="H58" i="4"/>
  <c r="H71" i="4"/>
  <c r="D71" i="4"/>
  <c r="O40"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P48" i="2"/>
  <c r="P50" i="2" s="1"/>
  <c r="P12" i="2" s="1"/>
  <c r="H48" i="2"/>
  <c r="K48" i="2"/>
  <c r="K50" i="2" s="1"/>
  <c r="K12" i="2" s="1"/>
  <c r="K43" i="2" s="1"/>
  <c r="L48" i="2"/>
  <c r="L50" i="2" s="1"/>
  <c r="L12" i="2" s="1"/>
  <c r="N48" i="2"/>
  <c r="N50" i="2" s="1"/>
  <c r="N12" i="2" s="1"/>
  <c r="M48" i="2"/>
  <c r="M50" i="2" s="1"/>
  <c r="M12" i="2" s="1"/>
  <c r="O48" i="2"/>
  <c r="O50" i="2" s="1"/>
  <c r="O12" i="2" s="1"/>
  <c r="I48" i="2"/>
  <c r="J48" i="2"/>
  <c r="J50" i="2"/>
  <c r="J12" i="2" s="1"/>
  <c r="J80" i="2" s="1"/>
  <c r="G50" i="2"/>
  <c r="G12" i="2" s="1"/>
  <c r="G43" i="2" s="1"/>
  <c r="H50" i="2"/>
  <c r="H12" i="2" s="1"/>
  <c r="H80" i="2" s="1"/>
  <c r="C40" i="6"/>
  <c r="I50" i="2"/>
  <c r="I12" i="2" s="1"/>
  <c r="I80"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8" i="8"/>
  <c r="F48" i="8" s="1"/>
  <c r="C36" i="8"/>
  <c r="F36" i="8" s="1"/>
  <c r="C43" i="8"/>
  <c r="F43" i="8" s="1"/>
  <c r="C47" i="8"/>
  <c r="F47" i="8" s="1"/>
  <c r="C42" i="8"/>
  <c r="F42" i="8" s="1"/>
  <c r="C44" i="8"/>
  <c r="F44" i="8" s="1"/>
  <c r="C39" i="8"/>
  <c r="F39" i="8" s="1"/>
  <c r="C45" i="8"/>
  <c r="F45" i="8" s="1"/>
  <c r="C46" i="8"/>
  <c r="F46" i="8" s="1"/>
  <c r="C41" i="8"/>
  <c r="F41"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<sst xmlns="http://schemas.openxmlformats.org/spreadsheetml/2006/main" count="616" uniqueCount="432">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</sst>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424</v>
      </c>
      <c r="D5" s="49" t="s">
        <v>425</v>
      </c>
    </row>
    <row r="6" spans="1:10">
      <c r="B6" s="4" t="s">
        <v>95</v>
      </c>
      <c r="C6" s="50">
        <v>28.81</v>
      </c>
      <c r="D6" s="48" t="s">
        <v>426</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9.408289080523935E-2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420</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420</v>
      </c>
      <c r="C136" s="337">
        <f>Scenarios!C90</f>
        <v>0.2</v>
      </c>
      <c r="D136" s="1" t="s">
        <v>422</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421</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418</v>
      </c>
    </row>
    <row r="90" spans="2:8">
      <c r="B90" s="149" t="s">
        <v>419</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