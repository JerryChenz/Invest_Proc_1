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4DDBBC8-BBB3-4B7D-9DCD-AF57D280474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L9" i="2"/>
  <c r="H62" i="4"/>
  <c r="L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F70" i="8"/>
  <c r="E67" i="8"/>
  <c r="B70" i="8"/>
  <c r="C66" i="8"/>
  <c r="E70" i="8"/>
  <c r="F71" i="8"/>
  <c r="E69" i="8"/>
  <c r="C69" i="8"/>
  <c r="B68" i="8"/>
  <c r="B67" i="8"/>
  <c r="D66" i="8"/>
  <c r="B66" i="8"/>
  <c r="G54" i="2"/>
  <c r="E66" i="8" l="1"/>
  <c r="F69" i="8"/>
  <c r="C70" i="8"/>
  <c r="C71" i="8"/>
  <c r="C68"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7" i="8"/>
  <c r="F47" i="8" s="1"/>
  <c r="C41" i="8"/>
  <c r="F41" i="8" s="1"/>
  <c r="C46" i="8"/>
  <c r="F46" i="8" s="1"/>
  <c r="C50" i="8"/>
  <c r="F50" i="8" s="1"/>
  <c r="C48" i="8"/>
  <c r="F48" i="8" s="1"/>
  <c r="C40" i="8"/>
  <c r="F40" i="8" s="1"/>
  <c r="C38" i="8"/>
  <c r="F38" i="8" s="1"/>
  <c r="C43" i="8"/>
  <c r="F43" i="8" s="1"/>
  <c r="C39" i="8"/>
  <c r="F39" i="8" s="1"/>
  <c r="C42" i="8"/>
  <c r="F42" i="8" s="1"/>
  <c r="C44" i="8"/>
  <c r="F44" i="8" s="1"/>
  <c r="C36" i="8"/>
  <c r="F3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<sst xmlns="http://schemas.openxmlformats.org/spreadsheetml/2006/main" count="648" uniqueCount="453">
  <si>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</si>
  <si>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</si>
  <si>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</si>
  <si>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</si>
  <si>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</si>
  <si>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</si>
  <si>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</si>
  <si>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</si>
  <si>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</si>
  <si>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</si>
  <si>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</si>
  <si>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</si>
  <si>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</si>
  <si>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</si>
  <si>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</si>
  <si>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</si>
  <si>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</si>
  <si>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</si>
  <si>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</si>
  <si>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</si>
  <si>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</si>
  <si>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</si>
  <si>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</si>
  <si>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</si>
  <si>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</si>
  <si>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</si>
  <si>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</si>
  <si>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</si>
  <si>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</si>
  <si>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</si>
  <si>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</si>
  <si>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</si>
  <si>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</si>
  <si>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</si>
  <si>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</si>
  <si>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</si>
  <si>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</si>
  <si>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</si>
  <si>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</si>
  <si>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</si>
  <si>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</si>
  <si>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</si>
  <si>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</si>
  <si>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</si>
  <si>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</si>
  <si>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</si>
  <si>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</si>
  <si>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</si>
  <si>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</si>
  <si>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</si>
  <si>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</si>
  <si>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</si>
  <si>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</si>
  <si>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</si>
  <si>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</si>
  <si>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</si>
  <si>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</si>
  <si>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</si>
  <si>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</si>
  <si>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</si>
  <si>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</si>
  <si>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</si>
  <si>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</si>
  <si>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</si>
  <si>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</si>
  <si>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</si>
  <si>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</si>
  <si>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</si>
  <si>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</si>
  <si>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</si>
  <si>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</si>
  <si>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</si>
  <si>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</si>
  <si>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</si>
  <si>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</si>
  <si>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</si>
  <si>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</si>
  <si>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</si>
  <si>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</si>
  <si>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</si>
  <si>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</si>
  <si>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</si>
  <si>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</si>
  <si>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</si>
  <si>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</si>
  <si>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</si>
  <si>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</si>
  <si>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</si>
  <si>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</si>
  <si>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</si>
  <si>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</si>
  <si>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</si>
  <si>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</si>
  <si>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</si>
  <si>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</si>
  <si>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</si>
  <si>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</si>
  <si>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</si>
  <si>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</si>
  <si>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</si>
  <si>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</si>
  <si>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</si>
  <si>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</si>
  <si>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</si>
  <si>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</si>
  <si>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</si>
  <si>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</si>
  <si>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</si>
  <si>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</si>
  <si>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</si>
  <si>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</si>
  <si>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</si>
  <si>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</si>
  <si>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</si>
  <si>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</si>
  <si>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</si>
  <si>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</si>
  <si>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</si>
  <si>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</si>
  <si>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</si>
  <si>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</si>
  <si>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</si>
  <si>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</si>
  <si>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</si>
  <si>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</si>
  <si>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</si>
  <si>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</si>
  <si>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</si>
  <si>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</si>
  <si>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</si>
  <si>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</si>
  <si>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</si>
  <si>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</si>
  <si>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</si>
  <si>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</si>
  <si>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</si>
  <si>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</si>
  <si>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</si>
  <si>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</si>
  <si>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</si>
  <si>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</si>
  <si>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</si>
  <si>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</si>
  <si>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</si>
  <si>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</si>
  <si>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</si>
  <si>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</si>
  <si>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</si>
  <si>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</si>
  <si>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</si>
  <si>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</si>
  <si>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</si>
  <si>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</si>
  <si>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</si>
  <si>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</si>
  <si>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</si>
  <si>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</si>
  <si>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</si>
  <si>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</si>
  <si>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</si>
  <si>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</si>
  <si>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</si>
  <si>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</si>
  <si>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</si>
  <si>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</si>
  <si>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</si>
  <si>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</si>
  <si>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</si>
  <si>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</si>
  <si>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</si>
  <si>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</si>
  <si>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</si>
  <si>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</si>
  <si>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</si>
  <si>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</si>
  <si>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</si>
  <si>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</si>
  <si>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</si>
  <si>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</si>
  <si>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</si>
  <si>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</si>
  <si>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</si>
  <si>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</si>
  <si>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</si>
  <si>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</si>
  <si>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</si>
  <si>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</si>
  <si>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</si>
  <si>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</si>
  <si>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</si>
  <si>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</si>
  <si>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</si>
  <si>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</si>
  <si>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</si>
  <si>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</si>
  <si>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</si>
  <si>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</si>
  <si>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</si>
  <si>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</si>
  <si>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</si>
  <si>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</si>
  <si>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</si>
  <si>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</si>
  <si>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</si>
  <si>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</si>
  <si>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</si>
  <si>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</si>
  <si>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</si>
  <si>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</si>
  <si>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</si>
  <si>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</si>
  <si>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</si>
  <si>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</si>
  <si>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</si>
  <si>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</si>
  <si>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</si>
  <si>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</si>
  <si>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</si>
  <si>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</si>
  <si>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</si>
  <si>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</si>
  <si>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</si>
  <si>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</si>
  <si>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</si>
  <si>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</si>
  <si>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</si>
  <si>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</si>
  <si>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</si>
  <si>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</si>
  <si>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</si>
  <si>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</si>
  <si>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</si>
  <si>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</si>
  <si>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</si>
  <si>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</si>
  <si>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</si>
  <si>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</si>
  <si>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</si>
  <si>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</si>
  <si>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</si>
  <si>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</si>
  <si>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</si>
  <si>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</si>
  <si>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</si>
  <si>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</si>
  <si>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</si>
  <si>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</si>
  <si>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</si>
  <si>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</si>
  <si>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</si>
  <si>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</si>
  <si>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</si>
  <si>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</si>
  <si>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</si>
  <si>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</si>
  <si>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</si>
  <si>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</si>
  <si>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</si>
  <si>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</si>
  <si>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</si>
  <si>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</si>
  <si>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</si>
  <si>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</si>
  <si>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</si>
  <si>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</si>
  <si>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</si>
  <si>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</si>
  <si>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</si>
  <si>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</si>
  <si>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</si>
  <si>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</si>
  <si>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</si>
  <si>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</si>
  <si>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</si>
  <si>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</si>
  <si>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</si>
  <si>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</si>
  <si>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</si>
  <si>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</si>
  <si>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</si>
  <si>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</si>
  <si>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</si>
  <si>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</si>
  <si>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</si>
  <si>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</si>
  <si>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</si>
  <si>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</si>
  <si>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</si>
  <si>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</si>
  <si>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</si>
  <si>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</si>
  <si>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</si>
  <si>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</si>
  <si>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</si>
  <si>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</si>
  <si>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</si>
  <si>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</si>
  <si>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</si>
  <si>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</si>
  <si>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</si>
  <si>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</si>
  <si>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</si>
  <si>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</si>
  <si>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</si>
  <si>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</si>
  <si>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</si>
  <si>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</si>
  <si>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</si>
  <si>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</si>
  <si>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</si>
  <si>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</si>
  <si>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</si>
  <si>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</si>
  <si>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</si>
  <si>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</si>
  <si>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</si>
  <si>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</si>
  <si>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</si>
  <si>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</si>
  <si>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</si>
  <si>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</si>
  <si>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</si>
  <si>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</si>
  <si>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</si>
  <si>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</si>
  <si>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</si>
  <si>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</si>
  <si>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</si>
  <si>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</si>
  <si>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</si>
  <si>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</si>
  <si>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</si>
  <si>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</si>
  <si>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</si>
  <si>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</si>
  <si>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</si>
  <si>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</si>
  <si>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</si>
  <si>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</si>
  <si>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</si>
  <si>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</si>
  <si>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</si>
  <si>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</si>
  <si>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</si>
  <si>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</si>
  <si>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</si>
  <si>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</si>
  <si>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</si>
  <si>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</si>
  <si>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</si>
  <si>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</si>
  <si>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</si>
  <si>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</si>
  <si>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</si>
  <si>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</si>
  <si>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</si>
  <si>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</si>
  <si>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</si>
  <si>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</si>
  <si>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</si>
  <si>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</si>
  <si>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</si>
  <si>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</si>
  <si>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</si>
  <si>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</si>
  <si>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</si>
  <si>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</si>
  <si>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</si>
  <si>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</si>
  <si>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</si>
  <si>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</si>
  <si>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</si>
  <si>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</si>
  <si>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</si>
  <si>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</si>
  <si>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</si>
  <si>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</si>
  <si>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</si>
  <si>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</si>
  <si>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</si>
  <si>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</si>
  <si>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</si>
  <si>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</si>
  <si>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</si>
  <si>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</si>
  <si>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</si>
  <si>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</si>
  <si>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</si>
  <si>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</si>
  <si>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</si>
  <si>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</si>
  <si>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</si>
  <si>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</si>
  <si>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</si>
  <si>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</si>
  <si>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</si>
  <si>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</si>
  <si>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</si>
  <si>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</si>
  <si>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</si>
  <si>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</si>
  <si>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</si>
  <si>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</si>
  <si>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</si>
  <si>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</si>
  <si>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</si>
  <si>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</si>
  <si>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</si>
  <si>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</si>
  <si>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</si>
  <si>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</si>
  <si>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</si>
  <si>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</si>
  <si>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</si>
  <si>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</si>
  <si>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</si>
  <si>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</si>
  <si>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</si>
  <si>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</si>
  <si>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</si>
  <si>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</si>
  <si>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</si>
  <si>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</si>
  <si>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</si>
  <si>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</si>
  <si>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</si>
  <si>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</si>
  <si>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</si>
  <si>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</si>
  <si>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</si>
  <si>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</si>
  <si>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</si>
  <si>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</si>
  <si>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</si>
  <si>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</si>
  <si>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</si>
  <si>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</si>
  <si>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</si>
  <si>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</si>
  <si>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</si>
  <si>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</si>
  <si>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</si>
  <si>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</si>
  <si>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</si>
  <si>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</si>
  <si>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The Kraft Heinz</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</si>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</sst>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1193400064</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27.74</v>
      </c>
      <c r="D12" s="50"/>
      <c r="E12" s="48"/>
    </row>
    <row r="13" spans="1:10">
      <c r="B13" s="1" t="s">
        <v>419</v>
      </c>
      <c r="C13" s="48" t="s">
        <v>448</v>
      </c>
      <c r="D13" s="48"/>
      <c r="E13" s="5"/>
    </row>
    <row r="14" spans="1:10">
      <c r="B14" s="4" t="s">
        <v>423</v>
      </c>
      <c r="C14" s="35">
        <f>Thesis!C12*Common_Shares/1000000</f>
        <v>33104.917775359994</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32.464859269378167</v>
      </c>
      <c r="D26" s="1" t="s">
        <v>402</v>
      </c>
      <c r="E26" s="336">
        <f ca="1">Scenarios!C87</f>
        <v>0.10870597389897529</v>
      </c>
    </row>
    <row r="27" spans="2:6">
      <c r="D27" s="5"/>
      <c r="E27" s="5"/>
    </row>
    <row r="28" spans="2:6">
      <c r="B28" s="45" t="s">
        <v>436</v>
      </c>
      <c r="C28" s="344" t="str">
        <f>C140&amp;" ("&amp;Market_currency&amp;")"</f>
        <v>KHC (USD)</v>
      </c>
      <c r="D28" s="344" t="str">
        <f>IF(D11="","",D140&amp;" ("&amp;D13&amp;")")</f>
        <v/>
      </c>
      <c r="E28" s="340" t="s">
        <v>432</v>
      </c>
      <c r="F28" s="338">
        <v>3</v>
      </c>
    </row>
    <row r="29" spans="2:6">
      <c r="B29" s="1" t="s">
        <v>428</v>
      </c>
      <c r="C29" s="345">
        <f>C144</f>
        <v>14.373490987382715</v>
      </c>
      <c r="D29" s="345" t="str">
        <f>D144</f>
        <v/>
      </c>
      <c r="E29" s="341" t="s">
        <v>427</v>
      </c>
      <c r="F29" s="337">
        <v>0.4</v>
      </c>
    </row>
    <row r="30" spans="2:6">
      <c r="B30" s="1" t="s">
        <v>429</v>
      </c>
      <c r="C30" s="346">
        <f>C152</f>
        <v>21.274057798092517</v>
      </c>
      <c r="D30" s="346" t="str">
        <f>D152</f>
        <v/>
      </c>
      <c r="E30" s="342" t="s">
        <v>440</v>
      </c>
      <c r="F30" s="347">
        <v>0.21740000000000001</v>
      </c>
    </row>
    <row r="31" spans="2:6">
      <c r="B31" s="1" t="s">
        <v>430</v>
      </c>
      <c r="C31" s="346">
        <f>C160</f>
        <v>29.895007167811503</v>
      </c>
      <c r="D31" s="346" t="str">
        <f>D160</f>
        <v/>
      </c>
      <c r="E31" s="342" t="s">
        <v>439</v>
      </c>
      <c r="F31" s="347">
        <v>0.08</v>
      </c>
    </row>
    <row r="32" spans="2:6">
      <c r="B32" s="1" t="s">
        <v>431</v>
      </c>
      <c r="C32" s="346">
        <f>C168</f>
        <v>27.12969029059159</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5023.2701205832382</v>
      </c>
      <c r="D41" s="1" t="str">
        <f>Reporting_currency</f>
        <v>USD</v>
      </c>
    </row>
    <row r="42" spans="1:6">
      <c r="B42" s="47"/>
      <c r="C42" s="76"/>
    </row>
    <row r="43" spans="1:6" ht="24.4" customHeight="1">
      <c r="B43" s="349" t="s">
        <v>234</v>
      </c>
      <c r="C43" s="349"/>
      <c r="D43" s="349"/>
      <c r="E43" s="349"/>
      <c r="F43" s="349"/>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-912</v>
      </c>
      <c r="D52" s="1" t="str">
        <f>Reporting_currency</f>
        <v>USD</v>
      </c>
      <c r="E52" s="316"/>
      <c r="F52" s="316"/>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49" t="s">
        <v>242</v>
      </c>
      <c r="C58" s="349"/>
      <c r="D58" s="349"/>
      <c r="E58" s="349"/>
      <c r="F58" s="349"/>
    </row>
    <row r="59" spans="2:6">
      <c r="B59" s="47" t="s">
        <v>240</v>
      </c>
      <c r="C59" s="188">
        <f>Normalized_FCF!C14</f>
        <v>-1068.9302313516419</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2" t="s">
        <v>393</v>
      </c>
      <c r="C69" s="92">
        <f>Normalized_FCF!C125</f>
        <v>9.1534513604289755E-2</v>
      </c>
    </row>
    <row r="70" spans="1:6">
      <c r="B70" s="252" t="s">
        <v>311</v>
      </c>
      <c r="C70" s="92">
        <f>Normalized_FCF!C93</f>
        <v>5.7678442682047588E-2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31.739592592287465</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19869</v>
      </c>
      <c r="D96" s="1" t="str">
        <f>Reporting_currency</f>
        <v>USD</v>
      </c>
    </row>
    <row r="97" spans="2:6">
      <c r="B97" s="47" t="s">
        <v>284</v>
      </c>
      <c r="C97" s="248">
        <f>C96*scaling_factor*Exchange_Rate/Common_Shares</f>
        <v>16.649068991502919</v>
      </c>
      <c r="D97" s="1" t="str">
        <f>Market_currency</f>
        <v>USD</v>
      </c>
    </row>
    <row r="98" spans="2:6">
      <c r="B98" s="330" t="s">
        <v>407</v>
      </c>
      <c r="C98" s="331">
        <f>BS!G30/BS!G27</f>
        <v>0.78990369994931575</v>
      </c>
    </row>
    <row r="99" spans="2:6">
      <c r="B99" s="330" t="s">
        <v>408</v>
      </c>
      <c r="C99" s="331">
        <f>BS!G31/BS!G27</f>
        <v>0.40281804358844397</v>
      </c>
    </row>
    <row r="100" spans="2:6">
      <c r="B100" s="330" t="s">
        <v>410</v>
      </c>
      <c r="C100" s="332">
        <f>BS!C50</f>
        <v>3.955391512509995</v>
      </c>
    </row>
    <row r="102" spans="2:6">
      <c r="B102" s="1" t="s">
        <v>255</v>
      </c>
    </row>
    <row r="103" spans="2:6">
      <c r="B103" s="47" t="s">
        <v>265</v>
      </c>
      <c r="C103" s="188">
        <f>BS!C66</f>
        <v>1334</v>
      </c>
      <c r="D103" s="1" t="str">
        <f>Reporting_currency</f>
        <v>USD</v>
      </c>
    </row>
    <row r="104" spans="2:6">
      <c r="B104" s="47" t="s">
        <v>267</v>
      </c>
      <c r="C104" s="188">
        <f>DCF!C8</f>
        <v>-594.28499848473007</v>
      </c>
      <c r="D104" s="1" t="str">
        <f>Reporting_currency</f>
        <v>USD</v>
      </c>
    </row>
    <row r="105" spans="2:6">
      <c r="B105" s="47" t="s">
        <v>285</v>
      </c>
      <c r="C105" s="248">
        <f>C104*scaling_factor*Exchange_Rate/Common_Shares</f>
        <v>-0.49797634205986613</v>
      </c>
      <c r="D105" s="1" t="str">
        <f>Market_currency</f>
        <v>USD</v>
      </c>
    </row>
    <row r="107" spans="2:6">
      <c r="B107" s="1" t="s">
        <v>257</v>
      </c>
    </row>
    <row r="108" spans="2:6">
      <c r="B108" s="47" t="s">
        <v>258</v>
      </c>
      <c r="C108" s="188">
        <f>DCF!C9</f>
        <v>0</v>
      </c>
      <c r="D108" s="1" t="str">
        <f>Reporting_currency</f>
        <v>USD</v>
      </c>
    </row>
    <row r="109" spans="2:6">
      <c r="B109" s="47" t="s">
        <v>286</v>
      </c>
      <c r="C109" s="248">
        <f>C108*scaling_factor*Exchange_Rate/Common_Shares</f>
        <v>0</v>
      </c>
      <c r="D109" s="1" t="str">
        <f>Market_currency</f>
        <v>USD</v>
      </c>
    </row>
    <row r="111" spans="2:6" ht="24.4" customHeight="1">
      <c r="B111" s="348" t="s">
        <v>369</v>
      </c>
      <c r="C111" s="348"/>
      <c r="D111" s="348"/>
      <c r="E111" s="348"/>
      <c r="F111" s="348"/>
    </row>
    <row r="113" spans="1:6">
      <c r="B113" s="47" t="s">
        <v>282</v>
      </c>
      <c r="C113" s="248">
        <f>DCF!C12</f>
        <v>14.592547258724681</v>
      </c>
      <c r="D113" s="1" t="str">
        <f>Market_currency</f>
        <v>USD</v>
      </c>
    </row>
    <row r="114" spans="1:6">
      <c r="B114" s="330" t="s">
        <v>409</v>
      </c>
      <c r="C114" s="248">
        <f>BS!D47</f>
        <v>-26.938493611476797</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0.08</v>
      </c>
      <c r="D121" s="255">
        <f>DCF!D74</f>
        <v>30</v>
      </c>
      <c r="E121" s="256" t="str">
        <f>ROUND(DCF!E74,2)&amp;" "&amp;Market_currency</f>
        <v>62.43 USD</v>
      </c>
      <c r="F121" s="257">
        <f>DCF!F74</f>
        <v>0.05</v>
      </c>
    </row>
    <row r="122" spans="1:6">
      <c r="B122" s="242" t="str">
        <f>DCF!B75</f>
        <v>Optimistic</v>
      </c>
      <c r="C122" s="243">
        <f>DCF!C75</f>
        <v>0.06</v>
      </c>
      <c r="D122" s="244">
        <f>DCF!D75</f>
        <v>30</v>
      </c>
      <c r="E122" s="245" t="str">
        <f>ROUND(DCF!E75,2)&amp;" "&amp;Market_currency</f>
        <v>43.96 USD</v>
      </c>
      <c r="F122" s="246">
        <f>DCF!F75</f>
        <v>0.22499999999999998</v>
      </c>
    </row>
    <row r="123" spans="1:6">
      <c r="B123" s="242" t="str">
        <f>DCF!B76</f>
        <v>Base</v>
      </c>
      <c r="C123" s="243">
        <f>DCF!C76</f>
        <v>0.04</v>
      </c>
      <c r="D123" s="244">
        <f>DCF!D76</f>
        <v>30</v>
      </c>
      <c r="E123" s="245" t="str">
        <f>ROUND(DCF!E76,2)&amp;" "&amp;Market_currency</f>
        <v>30.87 USD</v>
      </c>
      <c r="F123" s="246">
        <f>DCF!F76</f>
        <v>0.44999999999999996</v>
      </c>
    </row>
    <row r="124" spans="1:6">
      <c r="B124" s="242" t="str">
        <f>DCF!B77</f>
        <v>Pessimistic</v>
      </c>
      <c r="C124" s="243">
        <f>DCF!C77</f>
        <v>0.02</v>
      </c>
      <c r="D124" s="244">
        <f>DCF!D77</f>
        <v>30</v>
      </c>
      <c r="E124" s="245" t="str">
        <f>ROUND(DCF!E77,2)&amp;" "&amp;Market_currency</f>
        <v>21.47 USD</v>
      </c>
      <c r="F124" s="246">
        <f>DCF!F77</f>
        <v>0.22499999999999998</v>
      </c>
    </row>
    <row r="125" spans="1:6">
      <c r="B125" s="242" t="str">
        <f>DCF!B78</f>
        <v>Devil's advocate</v>
      </c>
      <c r="C125" s="243">
        <f>DCF!C78</f>
        <v>0</v>
      </c>
      <c r="D125" s="244">
        <f>DCF!D78</f>
        <v>30</v>
      </c>
      <c r="E125" s="245" t="str">
        <f>ROUND(DCF!E78,2)&amp;" "&amp;Market_currency</f>
        <v>14.59 USD</v>
      </c>
      <c r="F125" s="246">
        <f>DCF!F78</f>
        <v>0.05</v>
      </c>
    </row>
    <row r="127" spans="1:6">
      <c r="B127" s="235" t="s">
        <v>259</v>
      </c>
      <c r="C127" s="241">
        <f>Scenarios!C60</f>
        <v>32.464859269378167</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1.6</v>
      </c>
      <c r="D138" s="236" t="str">
        <f>Market_currency</f>
        <v>USD</v>
      </c>
    </row>
    <row r="140" spans="1:6">
      <c r="B140" s="234" t="s">
        <v>412</v>
      </c>
      <c r="C140" s="268" t="str">
        <f>C11</f>
        <v>KHC</v>
      </c>
      <c r="D140" s="268" t="str">
        <f>IF(D11="","",D11)</f>
        <v/>
      </c>
    </row>
    <row r="141" spans="1:6">
      <c r="B141" s="1" t="s">
        <v>411</v>
      </c>
      <c r="C141" s="331">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5" t="str">
        <f>IF($D$11="","",C144*$E$25)</f>
        <v/>
      </c>
    </row>
    <row r="145" spans="2:4">
      <c r="B145" s="286" t="s">
        <v>419</v>
      </c>
      <c r="C145" s="333" t="str">
        <f>Market_currency</f>
        <v>USD</v>
      </c>
      <c r="D145" s="333" t="str">
        <f>IF($D$11="","",D$13)</f>
        <v/>
      </c>
    </row>
    <row r="146" spans="2:4">
      <c r="B146" s="238" t="s">
        <v>263</v>
      </c>
      <c r="C146" s="92">
        <f>Scenarios!F83</f>
        <v>0.55726002481272963</v>
      </c>
    </row>
    <row r="148" spans="2:4">
      <c r="B148" s="234" t="s">
        <v>415</v>
      </c>
    </row>
    <row r="149" spans="2:4">
      <c r="B149" s="1" t="s">
        <v>414</v>
      </c>
      <c r="C149" s="331">
        <f>Scenarios!C90</f>
        <v>0.21740000000000001</v>
      </c>
    </row>
    <row r="150" spans="2:4">
      <c r="B150" s="236" t="str">
        <f>"PV("&amp;C136&amp;" yrs of Dividends)"</f>
        <v>PV(3 yrs of Dividends)</v>
      </c>
      <c r="C150" s="240">
        <f>Scenarios!C91</f>
        <v>3.2806413181838994</v>
      </c>
    </row>
    <row r="151" spans="2:4">
      <c r="B151" s="236" t="str">
        <f>"+ PV(Equity Value realized at year "&amp;C136&amp;")"</f>
        <v>+ PV(Equity Value realized at year 3)</v>
      </c>
      <c r="C151" s="240">
        <f>Scenarios!C92</f>
        <v>17.993416479908618</v>
      </c>
    </row>
    <row r="152" spans="2:4">
      <c r="B152" s="80" t="s">
        <v>261</v>
      </c>
      <c r="C152" s="239">
        <f>Scenarios!C93</f>
        <v>21.274057798092517</v>
      </c>
      <c r="D152" s="335" t="str">
        <f>IF($D$11="","",C152*$E$25)</f>
        <v/>
      </c>
    </row>
    <row r="153" spans="2:4">
      <c r="B153" s="286" t="s">
        <v>419</v>
      </c>
      <c r="C153" s="333" t="str">
        <f>Market_currency</f>
        <v>USD</v>
      </c>
      <c r="D153" s="333" t="str">
        <f>IF($D$11="","",D$13)</f>
        <v/>
      </c>
    </row>
    <row r="154" spans="2:4">
      <c r="B154" s="238" t="s">
        <v>263</v>
      </c>
      <c r="C154" s="92">
        <f>Scenarios!F93</f>
        <v>0.34470506643597709</v>
      </c>
    </row>
    <row r="156" spans="2:4">
      <c r="B156" s="234" t="s">
        <v>403</v>
      </c>
    </row>
    <row r="157" spans="2:4">
      <c r="B157" s="1" t="s">
        <v>413</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404</v>
      </c>
      <c r="C160" s="239">
        <f>Scenarios!C99</f>
        <v>29.895007167811503</v>
      </c>
      <c r="D160" s="335" t="str">
        <f>IF($D$11="","",C160*$E$25)</f>
        <v/>
      </c>
    </row>
    <row r="161" spans="1:6">
      <c r="B161" s="286" t="s">
        <v>419</v>
      </c>
      <c r="C161" s="333" t="str">
        <f>Market_currency</f>
        <v>USD</v>
      </c>
      <c r="D161" s="333" t="str">
        <f>IF($D$11="","",D$13)</f>
        <v/>
      </c>
    </row>
    <row r="162" spans="1:6">
      <c r="B162" s="238" t="s">
        <v>263</v>
      </c>
      <c r="C162" s="92">
        <f>Scenarios!F99</f>
        <v>7.9157962159738249E-2</v>
      </c>
    </row>
    <row r="164" spans="1:6">
      <c r="B164" s="234" t="s">
        <v>435</v>
      </c>
    </row>
    <row r="165" spans="1:6">
      <c r="B165" s="1" t="s">
        <v>426</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404</v>
      </c>
      <c r="C168" s="239">
        <f>Scenarios!C105</f>
        <v>27.12969029059159</v>
      </c>
      <c r="D168" s="335" t="str">
        <f>IF($D$11="","",C168*$E$25)</f>
        <v/>
      </c>
    </row>
    <row r="169" spans="1:6">
      <c r="B169" s="286" t="s">
        <v>419</v>
      </c>
      <c r="C169" s="333" t="str">
        <f>Market_currency</f>
        <v>USD</v>
      </c>
      <c r="D169" s="333" t="str">
        <f>IF($D$11="","",D$13)</f>
        <v/>
      </c>
    </row>
    <row r="170" spans="1:6">
      <c r="B170" s="238" t="s">
        <v>263</v>
      </c>
      <c r="C170" s="92">
        <f>Scenarios!F105</f>
        <v>0.16438328980676686</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374</v>
      </c>
      <c r="C22" s="181">
        <v>4184</v>
      </c>
      <c r="D22" s="181">
        <v>3976</v>
      </c>
      <c r="E22" s="181">
        <v>2469</v>
      </c>
      <c r="F22" s="181">
        <v>5364</v>
      </c>
      <c r="G22" s="181">
        <v>4929</v>
      </c>
      <c r="H22" s="181">
        <v>3552</v>
      </c>
      <c r="I22" s="181">
        <v>2574</v>
      </c>
      <c r="J22" s="181">
        <v>527</v>
      </c>
      <c r="K22" s="181">
        <v>5238</v>
      </c>
      <c r="L22" s="181">
        <v>2467</v>
      </c>
      <c r="M22" s="181"/>
    </row>
    <row r="23" spans="2:13">
      <c r="B23" s="27" t="s">
        <v>376</v>
      </c>
      <c r="C23" s="181">
        <v>-1023</v>
      </c>
      <c r="D23" s="181">
        <v>-916</v>
      </c>
      <c r="E23" s="181">
        <v>-1091</v>
      </c>
      <c r="F23" s="181">
        <v>4038</v>
      </c>
      <c r="G23" s="181">
        <v>-522</v>
      </c>
      <c r="H23" s="181">
        <v>1511</v>
      </c>
      <c r="I23" s="181">
        <v>288</v>
      </c>
      <c r="J23" s="181">
        <v>1156</v>
      </c>
      <c r="K23" s="181">
        <v>-1113</v>
      </c>
      <c r="L23" s="181">
        <v>-9704</v>
      </c>
      <c r="M23" s="181"/>
    </row>
    <row r="24" spans="2:13">
      <c r="B24" s="27" t="s">
        <v>375</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396</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9"/>
      <c r="J77" s="329"/>
      <c r="K77" s="329"/>
      <c r="L77" s="329"/>
      <c r="M77" s="329"/>
    </row>
    <row r="78" spans="2:13">
      <c r="B78" s="93" t="s">
        <v>87</v>
      </c>
      <c r="C78" s="185">
        <f t="shared" si="40"/>
        <v>3376</v>
      </c>
      <c r="D78" s="185">
        <f t="shared" si="40"/>
        <v>3376</v>
      </c>
      <c r="E78" s="185">
        <f t="shared" si="40"/>
        <v>3614</v>
      </c>
      <c r="F78" s="185">
        <f t="shared" si="40"/>
        <v>3651</v>
      </c>
      <c r="G78" s="185">
        <f t="shared" si="40"/>
        <v>2729</v>
      </c>
      <c r="H78" s="185">
        <f t="shared" si="40"/>
        <v>0</v>
      </c>
      <c r="I78" s="329"/>
      <c r="J78" s="329"/>
      <c r="K78" s="329"/>
      <c r="L78" s="329"/>
      <c r="M78" s="329"/>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0">
        <v>0.6</v>
      </c>
      <c r="E4" s="25"/>
      <c r="F4" s="4" t="s">
        <v>78</v>
      </c>
      <c r="G4" s="19">
        <v>1334</v>
      </c>
      <c r="H4" s="290">
        <v>0.9</v>
      </c>
    </row>
    <row r="5" spans="2:8" ht="15" customHeight="1">
      <c r="B5" s="1" t="s">
        <v>33</v>
      </c>
      <c r="C5" s="19">
        <v>0</v>
      </c>
      <c r="D5" s="290">
        <v>0.6</v>
      </c>
      <c r="E5" s="25"/>
      <c r="F5" s="1" t="s">
        <v>29</v>
      </c>
      <c r="G5" s="19">
        <v>0</v>
      </c>
      <c r="H5" s="290">
        <v>0.7</v>
      </c>
    </row>
    <row r="6" spans="2:8" ht="15" customHeight="1">
      <c r="B6" s="4" t="s">
        <v>10</v>
      </c>
      <c r="C6" s="19">
        <v>3376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215</v>
      </c>
      <c r="D9" s="290">
        <v>0.1</v>
      </c>
      <c r="E9" s="25"/>
      <c r="F9" s="4" t="s">
        <v>181</v>
      </c>
      <c r="G9" s="19">
        <v>0</v>
      </c>
      <c r="H9" s="290">
        <v>0.6</v>
      </c>
    </row>
    <row r="10" spans="2:8" ht="15" customHeight="1">
      <c r="B10" s="4" t="s">
        <v>11</v>
      </c>
      <c r="C10" s="19">
        <v>0</v>
      </c>
      <c r="D10" s="290">
        <v>0.9</v>
      </c>
      <c r="H10" s="291"/>
    </row>
    <row r="11" spans="2:8" ht="15" customHeight="1">
      <c r="B11" s="4" t="s">
        <v>12</v>
      </c>
      <c r="C11" s="19">
        <v>583</v>
      </c>
      <c r="D11" s="290">
        <v>0.05</v>
      </c>
      <c r="H11" s="291"/>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7152</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40099</v>
      </c>
      <c r="D21" s="290">
        <v>0.05</v>
      </c>
      <c r="F21" s="1" t="s">
        <v>181</v>
      </c>
      <c r="G21" s="19">
        <v>0</v>
      </c>
      <c r="H21" s="290">
        <v>0.1</v>
      </c>
    </row>
    <row r="22" spans="2:8" ht="15" customHeight="1">
      <c r="B22" s="4" t="s">
        <v>20</v>
      </c>
      <c r="C22" s="19">
        <v>0</v>
      </c>
      <c r="D22" s="290">
        <v>0.9</v>
      </c>
      <c r="H22" s="291"/>
    </row>
    <row r="23" spans="2:8" ht="15" customHeight="1">
      <c r="B23" s="4" t="s">
        <v>21</v>
      </c>
      <c r="C23" s="19">
        <f>28673+4708</f>
        <v>33381</v>
      </c>
      <c r="D23" s="290">
        <v>0</v>
      </c>
      <c r="H23" s="291"/>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49191</v>
      </c>
      <c r="D46" s="188">
        <f>H29</f>
        <v>-32148.400000000001</v>
      </c>
      <c r="F46" s="280"/>
    </row>
    <row r="47" spans="2:8" ht="15" customHeight="1">
      <c r="B47" s="1" t="str">
        <f>"Equity per share ("&amp;Market_currency&amp;")"</f>
        <v>Equity per share (USD)</v>
      </c>
      <c r="C47" s="148">
        <f>C46*H1/Common_Shares*Exchange_Rate</f>
        <v>41.219203420454988</v>
      </c>
      <c r="D47" s="148">
        <f>D46*H1/Common_Shares*Exchange_Rate</f>
        <v>-26.938493611476797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3.955391512509995</v>
      </c>
      <c r="D50" s="95">
        <f>G31/Normalized_FCF!G8</f>
        <v>3.7124439461883409</v>
      </c>
      <c r="F50" s="280"/>
    </row>
    <row r="51" spans="2:8" ht="15" customHeight="1">
      <c r="B51" s="1" t="s">
        <v>177</v>
      </c>
      <c r="C51" s="202"/>
      <c r="D51" s="92">
        <f>G29/G32</f>
        <v>0.55717149750246353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5.7769946069523057E-2</v>
      </c>
      <c r="D54" s="92">
        <f>Normalized_FCF!G8/G35</f>
        <v>6.1550492794958195E-2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0.16275167785234898</v>
      </c>
      <c r="F58" s="5"/>
    </row>
    <row r="59" spans="2:8" ht="15" customHeight="1">
      <c r="B59" s="1" t="s">
        <v>93</v>
      </c>
      <c r="C59" s="98"/>
      <c r="D59" s="92">
        <f>G39/G32</f>
        <v>8.1008529002004823E-2</v>
      </c>
      <c r="F59" s="280"/>
    </row>
    <row r="60" spans="2:8" ht="15" customHeight="1">
      <c r="F60" s="280"/>
    </row>
    <row r="61" spans="2:8" ht="15" customHeight="1">
      <c r="B61" s="158" t="s">
        <v>275</v>
      </c>
      <c r="C61" s="260" t="s">
        <v>138</v>
      </c>
      <c r="D61" s="218" t="s">
        <v>96</v>
      </c>
      <c r="F61" s="280"/>
    </row>
    <row r="62" spans="2:8" ht="15" customHeight="1">
      <c r="B62" s="1" t="s">
        <v>246</v>
      </c>
      <c r="C62" s="92">
        <f>IF(G28&lt;=0,0,G28/G29)</f>
        <v>2.7240755422739934E-3</v>
      </c>
      <c r="D62" s="92">
        <f>G28/G29</f>
        <v>2.7240755422739934E-3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1334</v>
      </c>
      <c r="D66" s="188">
        <f>C66-D75</f>
        <v>-594.28499848473007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1334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-1866.9533418666667</v>
      </c>
      <c r="D73" s="188">
        <f>(Normalized_FCF!C25+Normalized_FCF!C35-Normalized_FCF!C91)/12</f>
        <v>-1928.2849984847301</v>
      </c>
      <c r="F73" s="1" t="s">
        <v>354</v>
      </c>
    </row>
    <row r="74" spans="2:6" ht="15" customHeight="1">
      <c r="B74" s="284" t="s">
        <v>324</v>
      </c>
      <c r="C74" s="285">
        <f>-$C$66/C73</f>
        <v>0.71453312200411223</v>
      </c>
      <c r="D74" s="285">
        <f>-$C$66/D73</f>
        <v>0.69180645031635546</v>
      </c>
      <c r="F74" s="280" t="s">
        <v>322</v>
      </c>
    </row>
    <row r="75" spans="2:6" ht="15" customHeight="1">
      <c r="B75" s="80" t="s">
        <v>323</v>
      </c>
      <c r="C75" s="289"/>
      <c r="D75" s="288">
        <f>MAX(-D73*D76,G5)</f>
        <v>1928.2849984847301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-19869</v>
      </c>
      <c r="D86" s="248">
        <f>C86*scaling_factor/Common_Shares</f>
        <v>-16.649068991502919</v>
      </c>
      <c r="E86" s="267" t="str">
        <f>Market_currency</f>
        <v>USD</v>
      </c>
    </row>
    <row r="87" spans="2:8" ht="15" customHeight="1">
      <c r="B87" s="265" t="s">
        <v>290</v>
      </c>
      <c r="C87" s="188">
        <f>DCF!C8*Exchange_Rate</f>
        <v>-594.28499848473007</v>
      </c>
      <c r="D87" s="248">
        <f>C87*scaling_factor/Common_Shares</f>
        <v>-0.49797634205986613</v>
      </c>
      <c r="E87" s="267" t="str">
        <f>Market_currency</f>
        <v>USD</v>
      </c>
    </row>
    <row r="88" spans="2:8" ht="15" customHeight="1">
      <c r="B88" s="266" t="s">
        <v>190</v>
      </c>
      <c r="C88" s="188">
        <f>DCF!C9*Exchange_Rate</f>
        <v>0</v>
      </c>
      <c r="D88" s="248">
        <f>C88*scaling_factor/Common_Shares</f>
        <v>0</v>
      </c>
      <c r="E88" s="267" t="str">
        <f>Market_currency</f>
        <v>USD</v>
      </c>
    </row>
    <row r="89" spans="2:8" ht="15" customHeight="1">
      <c r="B89" s="80" t="s">
        <v>294</v>
      </c>
      <c r="C89" s="187">
        <f>SUM(C86:C88)</f>
        <v>-20463.284998484731</v>
      </c>
      <c r="D89" s="269">
        <f>SUM(D86:D88)</f>
        <v>-17.147045333562783</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26253.25</v>
      </c>
      <c r="D4" s="57"/>
      <c r="E4" s="296"/>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8"/>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8"/>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8"/>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4"/>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8"/>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8"/>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8"/>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8"/>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8"/>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5"/>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6"/>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5"/>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-17575.979879416762</v>
      </c>
      <c r="D23" s="58"/>
      <c r="E23" s="297"/>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3"/>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0.6694782504801029</v>
      </c>
      <c r="D28" s="26"/>
      <c r="E28" s="296" t="s">
        <v>336</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-3654</v>
      </c>
      <c r="E33" s="296" t="s">
        <v>336</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7"/>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0.13918276784779027</v>
      </c>
      <c r="D38" s="27"/>
      <c r="E38" s="29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0.26</v>
      </c>
      <c r="D43" s="27"/>
      <c r="E43" s="295" t="s">
        <v>337</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-912</v>
      </c>
      <c r="E47" s="298"/>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-912</v>
      </c>
      <c r="E50" s="298"/>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5" t="s">
        <v>339</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8"/>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0.6694782504801029</v>
      </c>
      <c r="D73" s="27"/>
      <c r="E73" s="29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6" t="s">
        <v>452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4">
        <f>MIN(BS!C62,MAX(G83:K83))</f>
        <v>4.6079410183549652E-4</v>
      </c>
      <c r="D83" s="27"/>
      <c r="E83" s="29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1.6</v>
      </c>
      <c r="E90" s="298"/>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8"/>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5.7678442682047588E-2</v>
      </c>
      <c r="E93" s="298"/>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1.5756790218989458E-2</v>
      </c>
      <c r="D96" s="27"/>
      <c r="E96" s="29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88287</v>
      </c>
      <c r="D101" s="26"/>
      <c r="E101" s="299"/>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0"/>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0"/>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9"/>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9"/>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1.5236707938820102</v>
      </c>
      <c r="H113" s="328">
        <f>IF(H$4="","",Data!D$22/Data!D15)</f>
        <v>1.3970484891075192</v>
      </c>
      <c r="I113" s="328">
        <f>IF(I$4="","",Data!E$22/Data!E15)</f>
        <v>1.042652027027027</v>
      </c>
      <c r="J113" s="328">
        <f>IF(J$4="","",Data!F$22/Data!F15)</f>
        <v>5.23828125</v>
      </c>
      <c r="K113" s="328">
        <f>IF(K$4="","",Data!G$22/Data!G15)</f>
        <v>13.653739612188366</v>
      </c>
      <c r="L113" s="328">
        <f>IF(L$4="","",Data!H$22/Data!H15)</f>
        <v>1.8375581996896015</v>
      </c>
      <c r="M113" s="328">
        <f>IF(M$4="","",Data!I$22/Data!I15)</f>
        <v>-0.2510239906377999</v>
      </c>
      <c r="N113" s="328">
        <f>IF(N$4="","",Data!J$22/Data!J15)</f>
        <v>4.7952684258416742E-2</v>
      </c>
      <c r="O113" s="328">
        <f>IF(O$4="","",Data!K$22/Data!K15)</f>
        <v>1.4382207578253707</v>
      </c>
      <c r="P113" s="328">
        <f>IF(P$4="","",Data!L$22/Data!L15)</f>
        <v>3.8129829984544048</v>
      </c>
      <c r="Q113" s="328" t="str">
        <f>IF(Q$4="","",Data!M$22/Data!M15)</f>
        <v/>
      </c>
    </row>
    <row r="114" spans="1:17" ht="15.75" customHeight="1">
      <c r="A114" s="10"/>
      <c r="B114" s="2" t="s">
        <v>395</v>
      </c>
      <c r="C114" s="170"/>
      <c r="E114" s="298"/>
      <c r="G114" s="328">
        <f>IF(G$4="","",Data!C$22/G19)</f>
        <v>1.642072213500785</v>
      </c>
      <c r="H114" s="328">
        <f>IF(H$4="","",Data!D$22/H19)</f>
        <v>1.6769295655841416</v>
      </c>
      <c r="I114" s="328">
        <f>IF(I$4="","",Data!E$22/I19)</f>
        <v>2.2506836827711942</v>
      </c>
      <c r="J114" s="328">
        <f>IF(J$4="","",Data!F$22/J19)</f>
        <v>-26.954773869346734</v>
      </c>
      <c r="K114" s="328">
        <f>IF(K$4="","",Data!G$22/K19)</f>
        <v>-5.8331360946745558</v>
      </c>
      <c r="L114" s="328">
        <f>IF(L$4="","",Data!H$22/L19)</f>
        <v>3.620795107033639</v>
      </c>
      <c r="M114" s="328">
        <f>IF(M$4="","",Data!I$22/M19)</f>
        <v>-0.24662259269905146</v>
      </c>
      <c r="N114" s="328">
        <f>IF(N$4="","",Data!J$22/N19)</f>
        <v>4.7913446676970631E-2</v>
      </c>
      <c r="O114" s="328">
        <f>IF(O$4="","",Data!K$22/O19)</f>
        <v>1.4481614597732928</v>
      </c>
      <c r="P114" s="328">
        <f>IF(P$4="","",Data!L$22/P19)</f>
        <v>2.6272630457933972</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1"/>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5"/>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5"/>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397</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37878.03183096979</v>
      </c>
      <c r="D6" t="str">
        <f>Reporting_currency</f>
        <v>USD</v>
      </c>
      <c r="E6" s="356" t="s">
        <v>250</v>
      </c>
      <c r="F6" s="356"/>
      <c r="H6" s="121"/>
    </row>
    <row r="7" spans="2:8">
      <c r="B7" s="149" t="s">
        <v>225</v>
      </c>
      <c r="C7" s="226">
        <f>BS!G31</f>
        <v>19869</v>
      </c>
      <c r="D7" t="str">
        <f>Reporting_currency</f>
        <v>USD</v>
      </c>
      <c r="E7" s="356"/>
      <c r="F7" s="356"/>
      <c r="H7" s="121"/>
    </row>
    <row r="8" spans="2:8">
      <c r="B8" s="149" t="s">
        <v>226</v>
      </c>
      <c r="C8" s="201">
        <f>BS!D66</f>
        <v>-594.28499848473007</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IF($C$17&lt;B21,0,DCF!$C$16)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IF($C$17&lt;B22,0,DCF!$C$16)</f>
        <v>4.2826760003620602E-2</v>
      </c>
      <c r="E22" s="125">
        <f t="shared" si="0"/>
        <v>0.85733882030178321</v>
      </c>
      <c r="F22" s="126">
        <f t="shared" si="1"/>
        <v>2825.2326388713932</v>
      </c>
      <c r="H22" s="121"/>
    </row>
    <row r="23" spans="2:8">
      <c r="B23" s="123">
        <v>3</v>
      </c>
      <c r="C23" s="124">
        <f t="shared" si="2"/>
        <v>3436.4805713727765</v>
      </c>
      <c r="D23" s="139">
        <f>IF($C$17&lt;B23,0,DCF!$C$16)</f>
        <v>4.2826760003620602E-2</v>
      </c>
      <c r="E23" s="125">
        <f t="shared" si="0"/>
        <v>0.79383224102016958</v>
      </c>
      <c r="F23" s="126">
        <f t="shared" si="1"/>
        <v>2727.9890731951241</v>
      </c>
      <c r="H23" s="121"/>
    </row>
    <row r="24" spans="2:8">
      <c r="B24" s="123">
        <v>4</v>
      </c>
      <c r="C24" s="124">
        <f t="shared" si="2"/>
        <v>3583.6539000600628</v>
      </c>
      <c r="D24" s="139">
        <f>IF($C$17&lt;B24,0,DCF!$C$16)</f>
        <v>4.2826760003620602E-2</v>
      </c>
      <c r="E24" s="125">
        <f t="shared" si="0"/>
        <v>0.73502985279645328</v>
      </c>
      <c r="F24" s="126">
        <f t="shared" si="1"/>
        <v>2634.0925986345837</v>
      </c>
      <c r="H24" s="121"/>
    </row>
    <row r="25" spans="2:8">
      <c r="B25" s="123">
        <v>5</v>
      </c>
      <c r="C25" s="124">
        <f t="shared" si="2"/>
        <v>3737.1301855739739</v>
      </c>
      <c r="D25" s="139">
        <f>IF($C$17&lt;B25,0,DCF!$C$16)</f>
        <v>4.2826760003620602E-2</v>
      </c>
      <c r="E25" s="125">
        <f t="shared" si="0"/>
        <v>0.68058319703375303</v>
      </c>
      <c r="F25" s="126">
        <f t="shared" si="1"/>
        <v>2543.4280094292781</v>
      </c>
      <c r="H25" s="121"/>
    </row>
    <row r="26" spans="2:8">
      <c r="B26" s="123">
        <v>6</v>
      </c>
      <c r="C26" s="124">
        <f t="shared" si="2"/>
        <v>3897.1793631338364</v>
      </c>
      <c r="D26" s="139">
        <f>IF($C$17&lt;B26,0,DCF!$C$16)</f>
        <v>4.2826760003620602E-2</v>
      </c>
      <c r="E26" s="125">
        <f t="shared" si="0"/>
        <v>0.63016962688310452</v>
      </c>
      <c r="F26" s="126">
        <f t="shared" si="1"/>
        <v>2455.8840651625846</v>
      </c>
      <c r="H26" s="121"/>
    </row>
    <row r="27" spans="2:8">
      <c r="B27" s="123">
        <v>7</v>
      </c>
      <c r="C27" s="124">
        <f t="shared" si="2"/>
        <v>4064.0829284098313</v>
      </c>
      <c r="D27" s="139">
        <f>IF($C$17&lt;B27,0,DCF!$C$16)</f>
        <v>4.2826760003620602E-2</v>
      </c>
      <c r="E27" s="125">
        <f t="shared" si="0"/>
        <v>0.58349039526213387</v>
      </c>
      <c r="F27" s="126">
        <f t="shared" si="1"/>
        <v>2371.3533542759428</v>
      </c>
      <c r="H27" s="121"/>
    </row>
    <row r="28" spans="2:8">
      <c r="B28" s="123">
        <v>8</v>
      </c>
      <c r="C28" s="124">
        <f t="shared" si="2"/>
        <v>4238.1344326196504</v>
      </c>
      <c r="D28" s="139">
        <f>IF($C$17&lt;B28,0,DCF!$C$16)</f>
        <v>4.2826760003620602E-2</v>
      </c>
      <c r="E28" s="125">
        <f t="shared" si="0"/>
        <v>0.54026888450197574</v>
      </c>
      <c r="F28" s="126">
        <f t="shared" si="1"/>
        <v>2289.7321622808322</v>
      </c>
      <c r="H28" s="121"/>
    </row>
    <row r="29" spans="2:8">
      <c r="B29" s="123">
        <v>9</v>
      </c>
      <c r="C29" s="124">
        <f t="shared" si="2"/>
        <v>4419.639998828533</v>
      </c>
      <c r="D29" s="139">
        <f>IF($C$17&lt;B29,0,DCF!$C$16)</f>
        <v>4.2826760003620602E-2</v>
      </c>
      <c r="E29" s="125">
        <f t="shared" si="0"/>
        <v>0.50024896713145905</v>
      </c>
      <c r="F29" s="126">
        <f t="shared" si="1"/>
        <v>2210.9203445068565</v>
      </c>
      <c r="H29" s="121"/>
    </row>
    <row r="30" spans="2:8">
      <c r="B30" s="123">
        <v>10</v>
      </c>
      <c r="C30" s="124">
        <f t="shared" si="2"/>
        <v>4608.9188603607645</v>
      </c>
      <c r="D30" s="139">
        <f>IF($C$17&lt;B30,0,DCF!$C$16)</f>
        <v>4.2826760003620602E-2</v>
      </c>
      <c r="E30" s="125">
        <f t="shared" si="0"/>
        <v>0.46319348808468425</v>
      </c>
      <c r="F30" s="126">
        <f t="shared" si="1"/>
        <v>2134.8212032297902</v>
      </c>
      <c r="H30" s="121"/>
    </row>
    <row r="31" spans="2:8">
      <c r="B31" s="123">
        <v>11</v>
      </c>
      <c r="C31" s="124">
        <f t="shared" si="2"/>
        <v>4806.3039222695952</v>
      </c>
      <c r="D31" s="139">
        <f>IF($C$17&lt;B31,0,DCF!$C$16)</f>
        <v>4.2826760003620602E-2</v>
      </c>
      <c r="E31" s="125">
        <f t="shared" si="0"/>
        <v>0.42888285933767062</v>
      </c>
      <c r="F31" s="126">
        <f t="shared" si="1"/>
        <v>2061.3413690288453</v>
      </c>
      <c r="H31" s="121"/>
    </row>
    <row r="32" spans="2:8">
      <c r="B32" s="123">
        <v>12</v>
      </c>
      <c r="C32" s="124">
        <f t="shared" si="2"/>
        <v>5012.1423468530957</v>
      </c>
      <c r="D32" s="139">
        <f>IF($C$17&lt;B32,0,DCF!$C$16)</f>
        <v>4.2826760003620602E-2</v>
      </c>
      <c r="E32" s="125">
        <f t="shared" si="0"/>
        <v>0.39711375864599124</v>
      </c>
      <c r="F32" s="126">
        <f t="shared" si="1"/>
        <v>1990.3906862275724</v>
      </c>
      <c r="H32" s="121"/>
    </row>
    <row r="33" spans="2:8">
      <c r="B33" s="123">
        <v>13</v>
      </c>
      <c r="C33" s="124">
        <f t="shared" si="2"/>
        <v>5226.7961642457558</v>
      </c>
      <c r="D33" s="139">
        <f>IF($C$17&lt;B33,0,DCF!$C$16)</f>
        <v>4.2826760003620602E-2</v>
      </c>
      <c r="E33" s="125">
        <f t="shared" si="0"/>
        <v>0.36769792467221413</v>
      </c>
      <c r="F33" s="126">
        <f t="shared" si="1"/>
        <v>1921.8821022778536</v>
      </c>
      <c r="H33" s="121"/>
    </row>
    <row r="34" spans="2:8">
      <c r="B34" s="123">
        <v>14</v>
      </c>
      <c r="C34" s="124">
        <f t="shared" si="2"/>
        <v>5450.6429091597538</v>
      </c>
      <c r="D34" s="139">
        <f>IF($C$17&lt;B34,0,DCF!$C$16)</f>
        <v>4.2826760003620602E-2</v>
      </c>
      <c r="E34" s="125">
        <f t="shared" si="0"/>
        <v>0.34046104136316119</v>
      </c>
      <c r="F34" s="126">
        <f t="shared" si="1"/>
        <v>1855.7315609512602</v>
      </c>
      <c r="H34" s="121"/>
    </row>
    <row r="35" spans="2:8">
      <c r="B35" s="123">
        <v>15</v>
      </c>
      <c r="C35" s="124">
        <f t="shared" si="2"/>
        <v>5684.0762848957738</v>
      </c>
      <c r="D35" s="139">
        <f>IF($C$17&lt;B35,0,DCF!$C$16)</f>
        <v>4.2826760003620602E-2</v>
      </c>
      <c r="E35" s="125">
        <f t="shared" si="0"/>
        <v>0.31524170496588994</v>
      </c>
      <c r="F35" s="126">
        <f t="shared" si="1"/>
        <v>1791.8578992067253</v>
      </c>
      <c r="H35" s="121"/>
    </row>
    <row r="36" spans="2:8">
      <c r="B36" s="123">
        <v>16</v>
      </c>
      <c r="C36" s="124">
        <f t="shared" si="2"/>
        <v>5927.5068557912755</v>
      </c>
      <c r="D36" s="139">
        <f>IF($C$17&lt;B36,0,DCF!$C$16)</f>
        <v>4.2826760003620602E-2</v>
      </c>
      <c r="E36" s="125">
        <f t="shared" si="0"/>
        <v>0.29189046756100923</v>
      </c>
      <c r="F36" s="126">
        <f t="shared" si="1"/>
        <v>1730.1827476080032</v>
      </c>
      <c r="H36" s="121"/>
    </row>
    <row r="37" spans="2:8">
      <c r="B37" s="123">
        <v>17</v>
      </c>
      <c r="C37" s="124">
        <f t="shared" si="2"/>
        <v>6181.3627693240651</v>
      </c>
      <c r="D37" s="139">
        <f>IF($C$17&lt;B37,0,DCF!$C$16)</f>
        <v>4.2826760003620602E-2</v>
      </c>
      <c r="E37" s="125">
        <f t="shared" si="0"/>
        <v>0.27026895144537894</v>
      </c>
      <c r="F37" s="126">
        <f t="shared" si="1"/>
        <v>1670.6304341687189</v>
      </c>
      <c r="H37" s="121"/>
    </row>
    <row r="38" spans="2:8">
      <c r="B38" s="123">
        <v>18</v>
      </c>
      <c r="C38" s="124">
        <f t="shared" si="2"/>
        <v>6446.0905091412214</v>
      </c>
      <c r="D38" s="139">
        <f>IF($C$17&lt;B38,0,DCF!$C$16)</f>
        <v>4.2826760003620602E-2</v>
      </c>
      <c r="E38" s="125">
        <f t="shared" si="0"/>
        <v>0.25024902911609154</v>
      </c>
      <c r="F38" s="126">
        <f t="shared" si="1"/>
        <v>1613.1278915070429</v>
      </c>
      <c r="H38" s="121"/>
    </row>
    <row r="39" spans="2:8">
      <c r="B39" s="123">
        <v>19</v>
      </c>
      <c r="C39" s="124">
        <f t="shared" si="2"/>
        <v>6722.1556803378289</v>
      </c>
      <c r="D39" s="139">
        <f>IF($C$17&lt;B39,0,DCF!$C$16)</f>
        <v>4.2826760003620602E-2</v>
      </c>
      <c r="E39" s="125">
        <f t="shared" si="0"/>
        <v>0.23171206399638106</v>
      </c>
      <c r="F39" s="126">
        <f t="shared" si="1"/>
        <v>1557.6045671960755</v>
      </c>
      <c r="H39" s="121"/>
    </row>
    <row r="40" spans="2:8">
      <c r="B40" s="123">
        <v>20</v>
      </c>
      <c r="C40" s="124">
        <f t="shared" si="2"/>
        <v>7010.0438283666326</v>
      </c>
      <c r="D40" s="139">
        <f>IF($C$17&lt;B40,0,DCF!$C$16)</f>
        <v>4.2826760003620602E-2</v>
      </c>
      <c r="E40" s="125">
        <f t="shared" si="0"/>
        <v>0.21454820740405653</v>
      </c>
      <c r="F40" s="126">
        <f t="shared" si="1"/>
        <v>1503.9923371999307</v>
      </c>
      <c r="H40" s="121"/>
    </row>
    <row r="41" spans="2:8">
      <c r="B41" s="123">
        <v>21</v>
      </c>
      <c r="C41" s="124">
        <f t="shared" si="2"/>
        <v>7310.2612930189507</v>
      </c>
      <c r="D41" s="139">
        <f>IF($C$17&lt;B41,0,DCF!$C$16)</f>
        <v>4.2826760003620602E-2</v>
      </c>
      <c r="E41" s="125">
        <f t="shared" si="0"/>
        <v>0.19865574759634863</v>
      </c>
      <c r="F41" s="126">
        <f t="shared" si="1"/>
        <v>1452.2254222893298</v>
      </c>
      <c r="H41" s="121"/>
    </row>
    <row r="42" spans="2:8">
      <c r="B42" s="123">
        <v>22</v>
      </c>
      <c r="C42" s="124">
        <f t="shared" si="2"/>
        <v>7623.3360989788298</v>
      </c>
      <c r="D42" s="139">
        <f>IF($C$17&lt;B42,0,DCF!$C$16)</f>
        <v>4.2826760003620602E-2</v>
      </c>
      <c r="E42" s="125">
        <f t="shared" si="0"/>
        <v>0.18394050703365611</v>
      </c>
      <c r="F42" s="126">
        <f t="shared" si="1"/>
        <v>1402.24030733414</v>
      </c>
      <c r="H42" s="121"/>
    </row>
    <row r="43" spans="2:8">
      <c r="B43" s="123">
        <v>23</v>
      </c>
      <c r="C43" s="124">
        <f t="shared" si="2"/>
        <v>7949.8188845167324</v>
      </c>
      <c r="D43" s="139">
        <f>IF($C$17&lt;B43,0,DCF!$C$16)</f>
        <v>4.2826760003620602E-2</v>
      </c>
      <c r="E43" s="125">
        <f t="shared" si="0"/>
        <v>0.17031528429042234</v>
      </c>
      <c r="F43" s="126">
        <f t="shared" si="1"/>
        <v>1353.9756633738355</v>
      </c>
      <c r="H43" s="121"/>
    </row>
    <row r="44" spans="2:8">
      <c r="B44" s="123">
        <v>24</v>
      </c>
      <c r="C44" s="124">
        <f t="shared" si="2"/>
        <v>8290.2838699561817</v>
      </c>
      <c r="D44" s="139">
        <f>IF($C$17&lt;B44,0,DCF!$C$16)</f>
        <v>4.2826760003620602E-2</v>
      </c>
      <c r="E44" s="125">
        <f t="shared" si="0"/>
        <v>0.1576993373059466</v>
      </c>
      <c r="F44" s="126">
        <f t="shared" si="1"/>
        <v>1307.3722723702681</v>
      </c>
      <c r="H44" s="121"/>
    </row>
    <row r="45" spans="2:8">
      <c r="B45" s="123">
        <v>25</v>
      </c>
      <c r="C45" s="124">
        <f t="shared" si="2"/>
        <v>8645.3298676166814</v>
      </c>
      <c r="D45" s="139">
        <f>IF($C$17&lt;B45,0,DCF!$C$16)</f>
        <v>4.2826760003620602E-2</v>
      </c>
      <c r="E45" s="125">
        <f t="shared" si="0"/>
        <v>0.1460179049129135</v>
      </c>
      <c r="F45" s="126">
        <f t="shared" si="1"/>
        <v>1262.3729545504236</v>
      </c>
      <c r="H45" s="121"/>
    </row>
    <row r="46" spans="2:8">
      <c r="B46" s="123">
        <v>26</v>
      </c>
      <c r="C46" s="124">
        <f t="shared" si="2"/>
        <v>9015.581335009234</v>
      </c>
      <c r="D46" s="139">
        <f>IF($C$17&lt;B46,0,DCF!$C$16)</f>
        <v>4.2826760003620602E-2</v>
      </c>
      <c r="E46" s="125">
        <f t="shared" si="0"/>
        <v>0.13520176380825324</v>
      </c>
      <c r="F46" s="126">
        <f t="shared" si="1"/>
        <v>1218.922498250015</v>
      </c>
      <c r="H46" s="121"/>
    </row>
    <row r="47" spans="2:8">
      <c r="B47" s="123">
        <v>27</v>
      </c>
      <c r="C47" s="124">
        <f t="shared" si="2"/>
        <v>9401.6894731367938</v>
      </c>
      <c r="D47" s="139">
        <f>IF($C$17&lt;B47,0,DCF!$C$16)</f>
        <v>4.2826760003620602E-2</v>
      </c>
      <c r="E47" s="125">
        <f t="shared" si="0"/>
        <v>0.12518681834097523</v>
      </c>
      <c r="F47" s="126">
        <f t="shared" si="1"/>
        <v>1176.9675921718349</v>
      </c>
      <c r="H47" s="121"/>
    </row>
    <row r="48" spans="2:8">
      <c r="B48" s="123">
        <v>28</v>
      </c>
      <c r="C48" s="124">
        <f t="shared" si="2"/>
        <v>9804.3333718313897</v>
      </c>
      <c r="D48" s="139">
        <f>IF($C$17&lt;B48,0,DCF!$C$16)</f>
        <v>4.2826760003620602E-2</v>
      </c>
      <c r="E48" s="125">
        <f t="shared" si="0"/>
        <v>0.11591372068608817</v>
      </c>
      <c r="F48" s="126">
        <f t="shared" si="1"/>
        <v>1136.4567599757568</v>
      </c>
      <c r="H48" s="121"/>
    </row>
    <row r="49" spans="1:8">
      <c r="B49" s="123">
        <v>29</v>
      </c>
      <c r="C49" s="124">
        <f t="shared" si="2"/>
        <v>10224.221204142301</v>
      </c>
      <c r="D49" s="139">
        <f>IF($C$17&lt;B49,0,DCF!$C$16)</f>
        <v>4.2826760003620602E-2</v>
      </c>
      <c r="E49" s="125">
        <f t="shared" si="0"/>
        <v>0.10732751915378534</v>
      </c>
      <c r="F49" s="126">
        <f t="shared" si="1"/>
        <v>1097.340297120121</v>
      </c>
      <c r="H49" s="121"/>
    </row>
    <row r="50" spans="1:8">
      <c r="B50" s="123">
        <v>30</v>
      </c>
      <c r="C50" s="124">
        <f t="shared" si="2"/>
        <v>10662.091471876032</v>
      </c>
      <c r="D50" s="139">
        <f>IF($C$17&lt;B50,0,DCF!$C$16)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-27.74</v>
      </c>
    </row>
    <row r="4" spans="2:9">
      <c r="B4" s="153" t="s">
        <v>147</v>
      </c>
      <c r="C4" s="121">
        <v>3</v>
      </c>
      <c r="D4" s="121"/>
      <c r="E4" s="156" t="s">
        <v>151</v>
      </c>
      <c r="F4" s="156"/>
      <c r="H4" s="274">
        <v>1</v>
      </c>
      <c r="I4" s="262">
        <f t="shared" ref="I4:I13" si="0">IF(ROW()-3 &lt; $C$76, $C$77, IF(ROW()-3 = $C$76, $C$77 + $C$60, ""))</f>
        <v>1.6</v>
      </c>
    </row>
    <row r="5" spans="2:9">
      <c r="H5" s="274">
        <v>2</v>
      </c>
      <c r="I5" s="262">
        <f t="shared" si="0"/>
        <v>1.6</v>
      </c>
    </row>
    <row r="6" spans="2:9" ht="13.15">
      <c r="B6" s="160" t="s">
        <v>96</v>
      </c>
      <c r="C6" s="107">
        <f>DCF!C3</f>
        <v>1000000</v>
      </c>
      <c r="E6" s="100" t="s">
        <v>281</v>
      </c>
      <c r="F6" s="100"/>
      <c r="H6" s="274">
        <v>3</v>
      </c>
      <c r="I6" s="262">
        <f t="shared" si="0"/>
        <v>34.064859269378168</v>
      </c>
    </row>
    <row r="7" spans="2:9" ht="12.75" customHeight="1">
      <c r="B7" s="100" t="s">
        <v>276</v>
      </c>
      <c r="C7" s="115">
        <f>Normalized_FCF!G8</f>
        <v>5352</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8"/>
      <c r="H7" s="274">
        <v>4</v>
      </c>
      <c r="I7" s="262" t="str">
        <f t="shared" si="0"/>
        <v/>
      </c>
    </row>
    <row r="8" spans="2:9">
      <c r="B8" s="100" t="s">
        <v>66</v>
      </c>
      <c r="C8" s="115">
        <f>Normalized_FCF!G19</f>
        <v>2548</v>
      </c>
      <c r="D8" t="str">
        <f>Reporting_currency</f>
        <v>USD</v>
      </c>
      <c r="E8" s="358"/>
      <c r="F8" s="358"/>
      <c r="H8" s="274">
        <v>5</v>
      </c>
      <c r="I8" s="262" t="str">
        <f t="shared" si="0"/>
        <v/>
      </c>
    </row>
    <row r="9" spans="2:9">
      <c r="B9" s="100" t="s">
        <v>57</v>
      </c>
      <c r="C9" s="201">
        <f>Normalized_FCF!C19</f>
        <v>3030.2425464775833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-2.5150882534886732E-3</v>
      </c>
      <c r="D12" s="159"/>
      <c r="E12" s="358"/>
      <c r="F12" s="358"/>
      <c r="H12" s="274">
        <v>9</v>
      </c>
      <c r="I12" s="262" t="str">
        <f t="shared" si="0"/>
        <v/>
      </c>
    </row>
    <row r="13" spans="2:9">
      <c r="B13" s="149" t="s">
        <v>153</v>
      </c>
      <c r="C13" s="159">
        <f ca="1">(Normalized_FCF!G8/OFFSET(Normalized_FCF!G8, 0, $C$4))^(1/$C$4) - 1</f>
        <v>0.15650274695607269</v>
      </c>
      <c r="E13" s="358"/>
      <c r="F13" s="358"/>
      <c r="H13" s="274">
        <v>10</v>
      </c>
      <c r="I13" s="262" t="str">
        <f t="shared" si="0"/>
        <v/>
      </c>
    </row>
    <row r="14" spans="2:9">
      <c r="B14" s="100" t="s">
        <v>66</v>
      </c>
      <c r="C14" s="159">
        <f ca="1">(Normalized_FCF!G19/OFFSET(Normalized_FCF!G19, 0, $C$4))^(1/$C$4) - 1</f>
        <v>-3.3394590575448202</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27.74</v>
      </c>
      <c r="D21" t="str">
        <f>Market_currency</f>
        <v>USD</v>
      </c>
      <c r="E21" s="359"/>
      <c r="F21" s="359"/>
    </row>
    <row r="22" spans="2:6">
      <c r="B22" s="100" t="s">
        <v>280</v>
      </c>
      <c r="C22" s="161">
        <f>DCF!C12</f>
        <v>14.592547258724681</v>
      </c>
      <c r="D22" t="str">
        <f>Market_currency</f>
        <v>USD</v>
      </c>
      <c r="E22" s="359"/>
      <c r="F22" s="359"/>
    </row>
    <row r="24" spans="2:6" ht="13.15">
      <c r="B24" s="160" t="s">
        <v>116</v>
      </c>
      <c r="E24" s="160" t="s">
        <v>150</v>
      </c>
      <c r="F24" s="160"/>
    </row>
    <row r="25" spans="2:6">
      <c r="B25" s="153" t="s">
        <v>134</v>
      </c>
      <c r="C25" s="167">
        <f>C18</f>
        <v>30</v>
      </c>
      <c r="D25" s="164"/>
      <c r="E25" s="357"/>
      <c r="F25" s="357"/>
    </row>
    <row r="26" spans="2:6">
      <c r="B26" s="119" t="s">
        <v>135</v>
      </c>
      <c r="C26" s="165">
        <v>0.04</v>
      </c>
      <c r="D26" s="165"/>
      <c r="E26" s="357"/>
      <c r="F26" s="357"/>
    </row>
    <row r="27" spans="2:6">
      <c r="B27" s="100" t="s">
        <v>114</v>
      </c>
      <c r="C27" s="161">
        <f>DCF!E76</f>
        <v>30.872623002991254</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0.02</v>
      </c>
      <c r="D32" s="165"/>
      <c r="E32" s="357"/>
      <c r="F32" s="357"/>
    </row>
    <row r="33" spans="2:6">
      <c r="B33" s="100" t="s">
        <v>114</v>
      </c>
      <c r="C33" s="161">
        <f>DCF!E77</f>
        <v>21.465870772746047</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0.06</v>
      </c>
      <c r="D38" s="165"/>
      <c r="E38" s="357"/>
      <c r="F38" s="357"/>
    </row>
    <row r="39" spans="2:6">
      <c r="B39" s="100" t="s">
        <v>114</v>
      </c>
      <c r="C39" s="161">
        <f>DCF!E75</f>
        <v>43.960023112166873</v>
      </c>
      <c r="D39" t="str">
        <f>Market_currency</f>
        <v>USD</v>
      </c>
      <c r="E39" s="357"/>
      <c r="F39" s="357"/>
    </row>
    <row r="40" spans="2:6">
      <c r="B40" s="100" t="s">
        <v>148</v>
      </c>
      <c r="C40" s="168">
        <f>1-C28-C34</f>
        <v>0.25</v>
      </c>
      <c r="D40" s="166"/>
      <c r="E40" s="357"/>
      <c r="F40" s="357"/>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DCF!E78</f>
        <v>14.592547258724657</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0.08</v>
      </c>
      <c r="D56" s="165"/>
      <c r="E56" s="357"/>
      <c r="F56" s="357"/>
    </row>
    <row r="57" spans="2:6">
      <c r="B57" s="100" t="s">
        <v>114</v>
      </c>
      <c r="C57" s="161">
        <f>DCF!E74</f>
        <v>62.434508619809236</v>
      </c>
      <c r="D57" t="str">
        <f>Market_currency</f>
        <v>USD</v>
      </c>
      <c r="E57" s="357"/>
      <c r="F57" s="357"/>
    </row>
    <row r="58" spans="2:6">
      <c r="B58" s="100" t="s">
        <v>148</v>
      </c>
      <c r="C58" s="166">
        <v>0.05</v>
      </c>
      <c r="D58" s="166"/>
      <c r="E58" s="357"/>
      <c r="F58" s="357"/>
    </row>
    <row r="60" spans="2:6" ht="13.15">
      <c r="B60" s="100" t="s">
        <v>121</v>
      </c>
      <c r="C60" s="155">
        <f>C51*C52+C57*C58+C42*(1-C52-C58)</f>
        <v>32.464859269378167</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4.2826760003620602E-2</v>
      </c>
      <c r="D65" s="152"/>
      <c r="E65" s="278" t="s">
        <v>315</v>
      </c>
    </row>
    <row r="66" spans="2:6">
      <c r="B66" s="100" t="s">
        <v>103</v>
      </c>
      <c r="C66" s="161">
        <f>DCF!C18</f>
        <v>32.46666798264237</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-0.52817248309270792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1.6</v>
      </c>
      <c r="D77" t="str">
        <f>Market_currency</f>
        <v>USD</v>
      </c>
    </row>
    <row r="79" spans="2:6" ht="13.15">
      <c r="B79" s="109" t="s">
        <v>304</v>
      </c>
    </row>
    <row r="80" spans="2:6">
      <c r="B80" s="149" t="s">
        <v>302</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4">
        <f>(1-C83/C60)</f>
        <v>0.55726002481272963</v>
      </c>
    </row>
    <row r="84" spans="2:8">
      <c r="E84" s="121"/>
    </row>
    <row r="85" spans="2:8" ht="13.15">
      <c r="B85" s="109" t="s">
        <v>305</v>
      </c>
    </row>
    <row r="86" spans="2:8">
      <c r="B86" s="149" t="s">
        <v>303</v>
      </c>
      <c r="C86" s="264">
        <f>Market_Price</f>
        <v>27.74</v>
      </c>
      <c r="D86" t="str">
        <f>Market_currency</f>
        <v>USD</v>
      </c>
    </row>
    <row r="87" spans="2:8" ht="13.15">
      <c r="B87" s="100" t="s">
        <v>301</v>
      </c>
      <c r="C87" s="263">
        <f ca="1">IRR(OFFSET($I$3, 0, 0, $C$76 + 1, 1))</f>
        <v>0.10870597389897529</v>
      </c>
    </row>
    <row r="88" spans="2:8">
      <c r="B88" s="100"/>
    </row>
    <row r="89" spans="2:8" ht="13.15">
      <c r="B89" s="109" t="s">
        <v>416</v>
      </c>
    </row>
    <row r="90" spans="2:8">
      <c r="B90" s="149" t="s">
        <v>417</v>
      </c>
      <c r="C90" s="168">
        <f>Thesis!F30</f>
        <v>0.21740000000000001</v>
      </c>
    </row>
    <row r="91" spans="2:8">
      <c r="B91" s="100" t="s">
        <v>122</v>
      </c>
      <c r="C91" s="117">
        <f>PV(C90, C76, -C77, 0)</f>
        <v>3.2806413181838994</v>
      </c>
      <c r="D91" s="117"/>
      <c r="E91" s="100"/>
      <c r="F91" s="100"/>
    </row>
    <row r="92" spans="2:8">
      <c r="B92" s="100" t="s">
        <v>123</v>
      </c>
      <c r="C92" s="117">
        <f>C60/(1+C90)^C76</f>
        <v>17.993416479908618</v>
      </c>
      <c r="D92" s="117"/>
    </row>
    <row r="93" spans="2:8" ht="13.15">
      <c r="B93" s="111" t="s">
        <v>102</v>
      </c>
      <c r="C93" s="112">
        <f>C91+C92</f>
        <v>21.274057798092517</v>
      </c>
      <c r="D93" t="str">
        <f>Market_currency</f>
        <v>USD</v>
      </c>
      <c r="E93" s="147" t="s">
        <v>127</v>
      </c>
      <c r="F93" s="324">
        <f>(1-C93/C60)</f>
        <v>0.34470506643597709</v>
      </c>
    </row>
    <row r="95" spans="2:8" ht="13.15">
      <c r="B95" s="109" t="s">
        <v>400</v>
      </c>
      <c r="G95" s="2"/>
      <c r="H95" s="311"/>
    </row>
    <row r="96" spans="2:8">
      <c r="B96" s="149" t="s">
        <v>406</v>
      </c>
      <c r="C96" s="135">
        <f>Thesis!F31</f>
        <v>0.08</v>
      </c>
      <c r="G96" s="2"/>
      <c r="H96" s="311"/>
    </row>
    <row r="97" spans="2:8">
      <c r="B97" s="100" t="s">
        <v>122</v>
      </c>
      <c r="C97" s="117">
        <f>PV(C96, C76, -C77, 0)</f>
        <v>4.1233551795966088</v>
      </c>
      <c r="D97" s="117"/>
      <c r="G97" s="2"/>
      <c r="H97" s="311"/>
    </row>
    <row r="98" spans="2:8">
      <c r="B98" s="100" t="s">
        <v>123</v>
      </c>
      <c r="C98" s="117">
        <f>C60/(1+C96)^C76</f>
        <v>25.771651988214895</v>
      </c>
      <c r="D98" s="117"/>
      <c r="G98" s="2"/>
      <c r="H98" s="311"/>
    </row>
    <row r="99" spans="2:8" ht="13.15">
      <c r="B99" s="111" t="s">
        <v>401</v>
      </c>
      <c r="C99" s="112">
        <f>C97+C98</f>
        <v>29.895007167811503</v>
      </c>
      <c r="D99" t="s">
        <v>399</v>
      </c>
      <c r="E99" s="147" t="s">
        <v>127</v>
      </c>
      <c r="F99" s="324">
        <f>(1-C99/C60)</f>
        <v>7.9157962159738249E-2</v>
      </c>
    </row>
    <row r="100" spans="2:8">
      <c r="B100" s="100"/>
    </row>
    <row r="101" spans="2:8" ht="13.15">
      <c r="B101" s="109" t="s">
        <v>425</v>
      </c>
    </row>
    <row r="102" spans="2:8">
      <c r="B102" s="149" t="s">
        <v>424</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401</v>
      </c>
      <c r="C105" s="112">
        <f>C103+C104</f>
        <v>27.12969029059159</v>
      </c>
      <c r="D105" t="s">
        <v>399</v>
      </c>
      <c r="E105" s="147" t="s">
        <v>127</v>
      </c>
      <c r="F105" s="324">
        <f>(1-C105/C66)</f>
        <v>0.16438328980676686</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