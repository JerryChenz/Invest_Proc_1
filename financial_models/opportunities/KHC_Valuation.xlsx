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6FC0D2E-50B4-43FB-98CD-7134962C2C3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C90" i="9"/>
  <c r="D93" i="9"/>
  <c r="C96" i="9" l="1"/>
  <c r="C136" i="6" s="1"/>
  <c r="C28"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I72" i="4"/>
  <c r="F72" i="4"/>
  <c r="F71" i="4"/>
  <c r="E72" i="4"/>
  <c r="D72" i="4"/>
  <c r="J72" i="4"/>
  <c r="H72" i="4"/>
  <c r="L69" i="4"/>
  <c r="L70" i="4"/>
  <c r="L72" i="4"/>
  <c r="L71" i="4"/>
  <c r="K70"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K58" i="4"/>
  <c r="O62" i="2" s="1"/>
  <c r="K71" i="4"/>
  <c r="P126" i="2"/>
  <c r="P91" i="2"/>
  <c r="F69" i="4"/>
  <c r="G69" i="4"/>
  <c r="J91" i="2"/>
  <c r="J69" i="4"/>
  <c r="I69" i="4"/>
  <c r="N126" i="2"/>
  <c r="N91" i="2"/>
  <c r="D70" i="4"/>
  <c r="Q126" i="2"/>
  <c r="Q92" i="2"/>
  <c r="Q48" i="2"/>
  <c r="Q91" i="2"/>
  <c r="K126" i="2"/>
  <c r="K91" i="2"/>
  <c r="J71" i="4"/>
  <c r="I91" i="2"/>
  <c r="L126" i="2"/>
  <c r="L91" i="2"/>
  <c r="I70" i="4"/>
  <c r="O126" i="2"/>
  <c r="O91" i="2"/>
  <c r="D69" i="4"/>
  <c r="M126" i="2"/>
  <c r="M91" i="2"/>
  <c r="H91" i="2"/>
  <c r="J70" i="4"/>
  <c r="E69" i="4"/>
  <c r="I71" i="4"/>
  <c r="C69" i="4"/>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8" i="2" s="1"/>
  <c r="O82" i="2"/>
  <c r="O73" i="2"/>
  <c r="O74" i="2"/>
  <c r="O40" i="2"/>
  <c r="O28" i="2"/>
  <c r="O75" i="2"/>
  <c r="G105" i="2" l="1"/>
  <c r="G101" i="2" s="1"/>
  <c r="C76" i="4"/>
  <c r="O55" i="2"/>
  <c r="O76" i="2"/>
  <c r="O120" i="2"/>
  <c r="C58" i="4"/>
  <c r="G62" i="2" s="1"/>
  <c r="G63" i="2" s="1"/>
  <c r="C71" i="4"/>
  <c r="E58" i="4"/>
  <c r="I62" i="2" s="1"/>
  <c r="E71" i="4"/>
  <c r="H58" i="4"/>
  <c r="H71" i="4"/>
  <c r="G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L48" i="2"/>
  <c r="L50" i="2" s="1"/>
  <c r="L12" i="2" s="1"/>
  <c r="J48" i="2"/>
  <c r="J50" i="2" s="1"/>
  <c r="J12" i="2" s="1"/>
  <c r="J80" i="2" s="1"/>
  <c r="M48" i="2"/>
  <c r="M50" i="2" s="1"/>
  <c r="M12" i="2" s="1"/>
  <c r="P48" i="2"/>
  <c r="P50" i="2" s="1"/>
  <c r="P12" i="2" s="1"/>
  <c r="I48" i="2"/>
  <c r="I50" i="2" s="1"/>
  <c r="I12" i="2" s="1"/>
  <c r="I80" i="2" s="1"/>
  <c r="O48" i="2"/>
  <c r="O50" i="2" s="1"/>
  <c r="O12" i="2" s="1"/>
  <c r="H48" i="2"/>
  <c r="N48" i="2"/>
  <c r="N50" i="2"/>
  <c r="N12" i="2" s="1"/>
  <c r="G50" i="2"/>
  <c r="G12" i="2" s="1"/>
  <c r="G43" i="2" s="1"/>
  <c r="H50" i="2"/>
  <c r="H12" i="2" s="1"/>
  <c r="H80"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J114" i="2"/>
  <c r="J92" i="2"/>
  <c r="N92" i="2"/>
  <c r="N114"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48" i="8"/>
  <c r="F48" i="8" s="1"/>
  <c r="C40" i="8"/>
  <c r="F40" i="8" s="1"/>
  <c r="C46" i="8"/>
  <c r="F46" i="8" s="1"/>
  <c r="C50" i="8"/>
  <c r="F50" i="8" s="1"/>
  <c r="C47" i="8"/>
  <c r="F47" i="8" s="1"/>
  <c r="C39" i="8"/>
  <c r="F39" i="8" s="1"/>
  <c r="C42" i="8"/>
  <c r="F42" i="8" s="1"/>
  <c r="C43" i="8"/>
  <c r="F43" i="8" s="1"/>
  <c r="C41" i="8"/>
  <c r="F41" i="8" s="1"/>
  <c r="C38" i="8"/>
  <c r="F38" i="8" s="1"/>
  <c r="C44" i="8"/>
  <c r="F44" i="8" s="1"/>
  <c r="C36" i="8"/>
  <c r="F36"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<sst xmlns="http://schemas.openxmlformats.org/spreadsheetml/2006/main" count="612" uniqueCount="431">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</sst>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423</v>
      </c>
      <c r="D5" s="49" t="s">
        <v>424</v>
      </c>
    </row>
    <row r="6" spans="1:10">
      <c r="B6" s="4" t="s">
        <v>95</v>
      </c>
      <c r="C6" s="50">
        <v>28.81</v>
      </c>
      <c r="D6" s="48" t="s">
        <v>425</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34381.85584384</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425</v>
      </c>
      <c r="D16" s="32"/>
      <c r="E16" s="5"/>
    </row>
    <row r="17" spans="1:6">
      <c r="B17" s="4" t="s">
        <v>1</v>
      </c>
      <c r="C17" s="50">
        <v>1</v>
      </c>
      <c r="D17" s="32" t="str">
        <f>IF(C16=D6,D6,C16&amp;"/"&amp;D6)</f>
        <v>USD</v>
      </c>
      <c r="E17" s="5"/>
    </row>
    <row r="18" spans="1:6">
      <c r="B18" s="2" t="s">
        <v>56</v>
      </c>
      <c r="C18" s="48" t="s">
        <v>426</v>
      </c>
      <c r="E18" s="5"/>
    </row>
    <row r="19" spans="1:6">
      <c r="B19" s="2" t="s">
        <v>277</v>
      </c>
      <c r="C19" s="249">
        <v>0.3</v>
      </c>
      <c r="D19" s="1" t="s">
        <v>419</v>
      </c>
      <c r="E19" s="339">
        <v>0.2</v>
      </c>
    </row>
    <row r="20" spans="1:6">
      <c r="B20" s="2" t="str">
        <f>"Target Buy Price ("&amp;Market_currency&amp;"):"</f>
        <v>Target Buy Price (USD):</v>
      </c>
      <c r="C20" s="252">
        <f>C133</f>
        <v>17.682685147645955</v>
      </c>
      <c r="D20" s="1" t="s">
        <v>315</v>
      </c>
      <c r="E20" s="330">
        <v>3</v>
      </c>
    </row>
    <row r="21" spans="1:6">
      <c r="B21" s="1" t="s">
        <v>407</v>
      </c>
      <c r="C21" s="280">
        <f ca="1">Scenarios!C87</f>
        <v>9.408289080523935E-2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5023.2701205832382</v>
      </c>
      <c r="D30" s="1" t="str">
        <f>Reporting_currency</f>
        <v>USD</v>
      </c>
    </row>
    <row r="31" spans="1:6">
      <c r="B31" s="47"/>
      <c r="C31" s="76"/>
    </row>
    <row r="32" spans="1:6" ht="24.4" customHeight="1">
      <c r="B32" s="343" t="s">
        <v>234</v>
      </c>
      <c r="C32" s="343"/>
      <c r="D32" s="343"/>
      <c r="E32" s="343"/>
      <c r="F32" s="343"/>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3" t="s">
        <v>242</v>
      </c>
      <c r="C47" s="343"/>
      <c r="D47" s="343"/>
      <c r="E47" s="343"/>
      <c r="F47" s="343"/>
    </row>
    <row r="48" spans="2:6">
      <c r="B48" s="47" t="s">
        <v>240</v>
      </c>
      <c r="C48" s="188">
        <f>Normalized_FCF!C14</f>
        <v>-1068.9302313516419</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8.8134932571433455E-2</v>
      </c>
    </row>
    <row r="59" spans="1:6">
      <c r="B59" s="254" t="s">
        <v>316</v>
      </c>
      <c r="C59" s="92">
        <f>Normalized_FCF!C93</f>
        <v>5.5536272127733433E-2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6" t="s">
        <v>413</v>
      </c>
      <c r="C88" s="337">
        <f>BS!G30/BS!G27</f>
        <v>0.78990369994931575</v>
      </c>
    </row>
    <row r="89" spans="2:6">
      <c r="B89" s="336" t="s">
        <v>414</v>
      </c>
      <c r="C89" s="337">
        <f>BS!G31/BS!G27</f>
        <v>0.40281804358844397</v>
      </c>
    </row>
    <row r="90" spans="2:6">
      <c r="B90" s="336" t="s">
        <v>416</v>
      </c>
      <c r="C90" s="338">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2" t="s">
        <v>374</v>
      </c>
      <c r="C101" s="342"/>
      <c r="D101" s="342"/>
      <c r="E101" s="342"/>
      <c r="F101" s="342"/>
    </row>
    <row r="103" spans="1:6">
      <c r="B103" s="47" t="s">
        <v>283</v>
      </c>
      <c r="C103" s="248">
        <f>Valuation_Model!C12</f>
        <v>14.592547258724681</v>
      </c>
      <c r="D103" s="1" t="str">
        <f>Market_currency</f>
        <v>USD</v>
      </c>
    </row>
    <row r="104" spans="1:6">
      <c r="B104" s="336" t="s">
        <v>415</v>
      </c>
      <c r="C104" s="248">
        <f>BS!D47</f>
        <v>-26.938493611476797</v>
      </c>
      <c r="D104" s="1" t="str">
        <f>Market_currency</f>
        <v>USD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6" t="s">
        <v>378</v>
      </c>
      <c r="C119" s="346"/>
      <c r="D119" s="346"/>
      <c r="E119" s="346"/>
      <c r="F119" s="346"/>
    </row>
    <row r="121" spans="1:6" ht="13.9">
      <c r="A121" s="247" t="s">
        <v>411</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1.6</v>
      </c>
      <c r="D128" s="236" t="str">
        <f>Market_currency</f>
        <v>USD</v>
      </c>
    </row>
    <row r="130" spans="1:6">
      <c r="B130" s="234" t="s">
        <v>408</v>
      </c>
      <c r="C130" s="337">
        <f>C19</f>
        <v>0.3</v>
      </c>
      <c r="D130" s="1" t="s">
        <v>418</v>
      </c>
    </row>
    <row r="131" spans="1:6">
      <c r="B131" s="236" t="str">
        <f>"PV("&amp;C126&amp;" yrs of Dividends)"</f>
        <v>PV(3 yrs of Dividends)</v>
      </c>
      <c r="C131" s="240">
        <f>Scenarios!C81</f>
        <v>2.9057806099226227</v>
      </c>
    </row>
    <row r="132" spans="1:6">
      <c r="B132" s="236" t="str">
        <f>"+ PV(Equity Value realized at year "&amp;C126&amp;")"</f>
        <v>+ PV(Equity Value realized at year 3)</v>
      </c>
      <c r="C132" s="240">
        <f>Scenarios!C82</f>
        <v>14.776904537723331</v>
      </c>
    </row>
    <row r="133" spans="1:6">
      <c r="B133" s="80" t="s">
        <v>261</v>
      </c>
      <c r="C133" s="239">
        <f>Scenarios!C83</f>
        <v>17.682685147645955</v>
      </c>
      <c r="D133" s="47" t="str">
        <f>Reporting_currency</f>
        <v>USD</v>
      </c>
    </row>
    <row r="134" spans="1:6">
      <c r="B134" s="238" t="s">
        <v>263</v>
      </c>
      <c r="C134" s="92">
        <f>Scenarios!F83</f>
        <v>0.45532845219123441</v>
      </c>
    </row>
    <row r="136" spans="1:6">
      <c r="B136" s="234" t="s">
        <v>409</v>
      </c>
      <c r="C136" s="92">
        <f>Scenarios!C96</f>
        <v>0.08</v>
      </c>
      <c r="D136" s="1" t="s">
        <v>417</v>
      </c>
    </row>
    <row r="137" spans="1:6">
      <c r="B137" s="236" t="str">
        <f>"PV("&amp;C126&amp;" yrs of Dividends)"</f>
        <v>PV(3 yrs of Dividends)</v>
      </c>
      <c r="C137" s="240">
        <f>Scenarios!C97</f>
        <v>4.1233551795966088</v>
      </c>
    </row>
    <row r="138" spans="1:6">
      <c r="B138" s="236" t="str">
        <f>"+ PV(Equity Value realized at year "&amp;C126&amp;")"</f>
        <v>+ PV(Equity Value realized at year 3)</v>
      </c>
      <c r="C138" s="240">
        <f>Scenarios!C98</f>
        <v>25.771651988214895</v>
      </c>
    </row>
    <row r="139" spans="1:6">
      <c r="B139" s="80" t="s">
        <v>410</v>
      </c>
      <c r="C139" s="239">
        <f>Scenarios!C99</f>
        <v>29.895007167811503</v>
      </c>
      <c r="D139" s="101" t="str">
        <f>Reporting_currency</f>
        <v>USD</v>
      </c>
    </row>
    <row r="140" spans="1:6">
      <c r="B140" s="238" t="s">
        <v>263</v>
      </c>
      <c r="C140" s="92">
        <f>Scenarios!F99</f>
        <v>7.9157962159738249E-2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428</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430</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c r="B126" s="2" t="s">
        <v>402</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-28.81</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28.81</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0.3</v>
      </c>
    </row>
    <row r="81" spans="2:8">
      <c r="B81" s="100" t="s">
        <v>122</v>
      </c>
      <c r="C81" s="117">
        <f>PV(C80, C76, -C77, 0)</f>
        <v>2.9057806099226227</v>
      </c>
      <c r="D81" s="117"/>
      <c r="E81" s="100"/>
      <c r="F81" s="100"/>
    </row>
    <row r="82" spans="2:8">
      <c r="B82" s="100" t="s">
        <v>123</v>
      </c>
      <c r="C82" s="117">
        <f>C60/(1+C80)^C76</f>
        <v>14.776904537723331</v>
      </c>
      <c r="D82" s="117"/>
    </row>
    <row r="83" spans="2:8" ht="13.15">
      <c r="B83" s="111" t="s">
        <v>102</v>
      </c>
      <c r="C83" s="112">
        <f>C81+C82</f>
        <v>17.682685147645955</v>
      </c>
      <c r="D83" t="str">
        <f>Market_currency</f>
        <v>USD</v>
      </c>
      <c r="E83" s="147" t="s">
        <v>127</v>
      </c>
      <c r="F83" s="329">
        <f>(1-C83/C60)</f>
        <v>0.45532845219123441</v>
      </c>
    </row>
    <row r="84" spans="2:8">
      <c r="E84" s="121"/>
    </row>
    <row r="85" spans="2:8" ht="13.15">
      <c r="B85" s="109" t="s">
        <v>309</v>
      </c>
    </row>
    <row r="86" spans="2:8">
      <c r="B86" s="149" t="s">
        <v>307</v>
      </c>
      <c r="C86" s="266">
        <f>Market_Price</f>
        <v>28.81</v>
      </c>
      <c r="D86" t="str">
        <f>Market_currency</f>
        <v>USD</v>
      </c>
    </row>
    <row r="87" spans="2:8" ht="13.15">
      <c r="B87" s="100" t="s">
        <v>305</v>
      </c>
      <c r="C87" s="265">
        <f ca="1">IRR(OFFSET($I$3, 0, 0, $C$76 + 1, 1))</f>
        <v>9.408289080523935E-2</v>
      </c>
    </row>
    <row r="88" spans="2:8">
      <c r="B88" s="100"/>
    </row>
    <row r="89" spans="2:8" ht="13.15">
      <c r="B89" s="109" t="s">
        <v>420</v>
      </c>
    </row>
    <row r="90" spans="2:8">
      <c r="B90" s="149" t="s">
        <v>421</v>
      </c>
      <c r="C90" s="168">
        <f>Thesis!E19</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412</v>
      </c>
      <c r="C96" s="135">
        <f>Thesis!C67</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2025-05-02T06:48:55Z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