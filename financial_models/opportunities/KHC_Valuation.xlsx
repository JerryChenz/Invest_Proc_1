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2471A78-DC05-4DB8-A8F2-8B6BF144ED0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C136" i="6"/>
  <c r="D139" i="6"/>
  <c r="C90" i="9"/>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3" i="2"/>
  <c r="C59" i="6" s="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77" i="9" l="1"/>
  <c r="C91" i="9" s="1"/>
  <c r="C137" i="6" s="1"/>
  <c r="C91" i="2"/>
  <c r="G72" i="4"/>
  <c r="G70" i="4"/>
  <c r="I72" i="4"/>
  <c r="F72" i="4"/>
  <c r="F71" i="4"/>
  <c r="F70" i="4"/>
  <c r="E72" i="4"/>
  <c r="D72" i="4"/>
  <c r="D70" i="4"/>
  <c r="J72" i="4"/>
  <c r="H72" i="4"/>
  <c r="L69" i="4"/>
  <c r="L70" i="4"/>
  <c r="L72" i="4"/>
  <c r="L71" i="4"/>
  <c r="K72"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K58" i="4"/>
  <c r="O62" i="2" s="1"/>
  <c r="K71" i="4"/>
  <c r="F69" i="4"/>
  <c r="G69" i="4"/>
  <c r="O126" i="2"/>
  <c r="O91" i="2"/>
  <c r="Q126" i="2"/>
  <c r="Q48" i="2"/>
  <c r="Q91" i="2"/>
  <c r="Q92" i="2"/>
  <c r="K70" i="4"/>
  <c r="D69" i="4"/>
  <c r="H69" i="4"/>
  <c r="N126" i="2"/>
  <c r="N91" i="2"/>
  <c r="J91" i="2"/>
  <c r="J69" i="4"/>
  <c r="I69" i="4"/>
  <c r="K126" i="2"/>
  <c r="K91" i="2"/>
  <c r="J71" i="4"/>
  <c r="P126" i="2"/>
  <c r="P91" i="2"/>
  <c r="L126" i="2"/>
  <c r="L91" i="2"/>
  <c r="I70" i="4"/>
  <c r="C69" i="4"/>
  <c r="I91" i="2"/>
  <c r="M126" i="2"/>
  <c r="M91" i="2"/>
  <c r="H91" i="2"/>
  <c r="J70" i="4"/>
  <c r="E69" i="4"/>
  <c r="I71" i="4"/>
  <c r="C97" i="9"/>
  <c r="C143" i="6" s="1"/>
  <c r="C12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73" i="2" s="1"/>
  <c r="O35" i="2"/>
  <c r="O7" i="2" s="1"/>
  <c r="O82" i="2"/>
  <c r="O40" i="2"/>
  <c r="O28" i="2"/>
  <c r="O75" i="2"/>
  <c r="G105" i="2" l="1"/>
  <c r="G101" i="2" s="1"/>
  <c r="C76" i="4"/>
  <c r="O30" i="2"/>
  <c r="C58" i="4"/>
  <c r="C71" i="4"/>
  <c r="O63" i="2"/>
  <c r="E58" i="4"/>
  <c r="E71" i="4"/>
  <c r="D71" i="4"/>
  <c r="H58" i="4"/>
  <c r="L62" i="2" s="1"/>
  <c r="G71" i="4"/>
  <c r="H71" i="4"/>
  <c r="O6" i="2"/>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74" i="2" l="1"/>
  <c r="O8"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O120" i="2" l="1"/>
  <c r="O76" i="2"/>
  <c r="O55" i="2"/>
  <c r="L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N48" i="2"/>
  <c r="P48" i="2"/>
  <c r="P50" i="2" s="1"/>
  <c r="P12" i="2" s="1"/>
  <c r="H48" i="2"/>
  <c r="H50" i="2" s="1"/>
  <c r="H12" i="2" s="1"/>
  <c r="H80" i="2" s="1"/>
  <c r="K48" i="2"/>
  <c r="K50" i="2" s="1"/>
  <c r="K12" i="2" s="1"/>
  <c r="K43" i="2" s="1"/>
  <c r="J48" i="2"/>
  <c r="J50" i="2" s="1"/>
  <c r="J12" i="2" s="1"/>
  <c r="J80" i="2" s="1"/>
  <c r="L48" i="2"/>
  <c r="L50" i="2" s="1"/>
  <c r="L12" i="2" s="1"/>
  <c r="M48" i="2"/>
  <c r="M50" i="2" s="1"/>
  <c r="M12" i="2" s="1"/>
  <c r="O48" i="2"/>
  <c r="O50" i="2" s="1"/>
  <c r="O12" i="2" s="1"/>
  <c r="I48" i="2"/>
  <c r="N50" i="2"/>
  <c r="N12" i="2" s="1"/>
  <c r="G50" i="2"/>
  <c r="G12" i="2" s="1"/>
  <c r="G43"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24" i="2"/>
  <c r="O125" i="2" s="1"/>
  <c r="O19"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I114" i="2"/>
  <c r="I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49" i="8" l="1"/>
  <c r="F49" i="8" s="1"/>
  <c r="C37" i="8"/>
  <c r="F37" i="8" s="1"/>
  <c r="C40" i="8"/>
  <c r="F40" i="8" s="1"/>
  <c r="C50" i="8"/>
  <c r="F50" i="8" s="1"/>
  <c r="C47" i="8"/>
  <c r="F47" i="8" s="1"/>
  <c r="C39" i="8"/>
  <c r="F39" i="8" s="1"/>
  <c r="C36" i="8"/>
  <c r="F36" i="8" s="1"/>
  <c r="C43" i="8"/>
  <c r="F43" i="8" s="1"/>
  <c r="C48" i="8"/>
  <c r="F48" i="8" s="1"/>
  <c r="C38" i="8"/>
  <c r="F38" i="8" s="1"/>
  <c r="C44" i="8"/>
  <c r="F44" i="8" s="1"/>
  <c r="C42" i="8"/>
  <c r="F42" i="8" s="1"/>
  <c r="C45" i="8"/>
  <c r="F45" i="8" s="1"/>
  <c r="C41" i="8"/>
  <c r="F41" i="8" s="1"/>
  <c r="C46" i="8"/>
  <c r="F4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<sst xmlns="http://schemas.openxmlformats.org/spreadsheetml/2006/main" count="616" uniqueCount="432">
  <si>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</si>
  <si>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</si>
  <si>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</si>
  <si>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</si>
  <si>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</si>
  <si>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</si>
  <si>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</si>
  <si>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</si>
  <si>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</si>
  <si>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</si>
  <si>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</si>
  <si>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</si>
  <si>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</si>
  <si>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</si>
  <si>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</si>
  <si>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</si>
  <si>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</si>
  <si>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</si>
  <si>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</si>
  <si>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</si>
  <si>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</si>
  <si>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</si>
  <si>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</si>
  <si>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</si>
  <si>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</si>
  <si>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</si>
  <si>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</si>
  <si>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</si>
  <si>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</si>
  <si>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</si>
  <si>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</si>
  <si>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</si>
  <si>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</si>
  <si>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</si>
  <si>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</si>
  <si>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</si>
  <si>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</si>
  <si>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</si>
  <si>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</si>
  <si>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</si>
  <si>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</si>
  <si>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</si>
  <si>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</si>
  <si>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</si>
  <si>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</si>
  <si>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</si>
  <si>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</si>
  <si>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</si>
  <si>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</si>
  <si>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</si>
  <si>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</si>
  <si>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</si>
  <si>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</si>
  <si>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</si>
  <si>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</si>
  <si>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</si>
  <si>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</si>
  <si>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</si>
  <si>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</si>
  <si>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</si>
  <si>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</si>
  <si>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</si>
  <si>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</si>
  <si>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</si>
  <si>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</si>
  <si>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</si>
  <si>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</si>
  <si>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</si>
  <si>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</si>
  <si>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</si>
  <si>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</si>
  <si>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</si>
  <si>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</si>
  <si>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</si>
  <si>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</si>
  <si>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</si>
  <si>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</si>
  <si>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</si>
  <si>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</si>
  <si>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</si>
  <si>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</si>
  <si>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</si>
  <si>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</si>
  <si>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</si>
  <si>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</si>
  <si>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</si>
  <si>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</si>
  <si>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</si>
  <si>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</si>
  <si>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</si>
  <si>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</si>
  <si>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</si>
  <si>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</si>
  <si>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</si>
  <si>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</si>
  <si>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</si>
  <si>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</si>
  <si>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</si>
  <si>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</si>
  <si>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</si>
  <si>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</si>
  <si>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</si>
  <si>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</si>
  <si>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</si>
  <si>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</si>
  <si>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</si>
  <si>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</si>
  <si>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</si>
  <si>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</si>
  <si>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</si>
  <si>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</si>
  <si>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</si>
  <si>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</si>
  <si>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</si>
  <si>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</si>
  <si>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</si>
  <si>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</si>
  <si>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</si>
  <si>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</si>
  <si>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</si>
  <si>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</si>
  <si>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</si>
  <si>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</si>
  <si>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</si>
  <si>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</si>
  <si>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</si>
  <si>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</si>
  <si>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</si>
  <si>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</si>
  <si>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</si>
  <si>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</si>
  <si>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</si>
  <si>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</si>
  <si>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</si>
  <si>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</si>
  <si>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</si>
  <si>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</si>
  <si>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</si>
  <si>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</si>
  <si>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</si>
  <si>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</si>
  <si>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</si>
  <si>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</si>
  <si>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</si>
  <si>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</si>
  <si>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</si>
  <si>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</si>
  <si>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</si>
  <si>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</si>
  <si>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</si>
  <si>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</si>
  <si>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</si>
  <si>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</si>
  <si>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</si>
  <si>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</si>
  <si>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</si>
  <si>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</si>
  <si>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</si>
  <si>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</si>
  <si>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</si>
  <si>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</si>
  <si>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</si>
  <si>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</si>
  <si>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</si>
  <si>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</si>
  <si>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</si>
  <si>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</si>
  <si>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</si>
  <si>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</si>
  <si>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</si>
  <si>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</si>
  <si>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</si>
  <si>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</si>
  <si>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</si>
  <si>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</si>
  <si>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</si>
  <si>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</si>
  <si>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</si>
  <si>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</si>
  <si>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</si>
  <si>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</si>
  <si>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</si>
  <si>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</si>
  <si>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</si>
  <si>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</si>
  <si>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</si>
  <si>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</si>
  <si>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</si>
  <si>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</si>
  <si>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</si>
  <si>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</si>
  <si>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</si>
  <si>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</si>
  <si>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</si>
  <si>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</si>
  <si>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</si>
  <si>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</si>
  <si>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</si>
  <si>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</si>
  <si>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</si>
  <si>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</si>
  <si>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</si>
  <si>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</si>
  <si>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</si>
  <si>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</si>
  <si>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</si>
  <si>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</si>
  <si>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</si>
  <si>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</si>
  <si>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</si>
  <si>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</si>
  <si>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</si>
  <si>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</si>
  <si>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</si>
  <si>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</si>
  <si>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</si>
  <si>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</si>
  <si>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</si>
  <si>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</si>
  <si>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</si>
  <si>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</si>
  <si>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</si>
  <si>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</si>
  <si>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</si>
  <si>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</si>
  <si>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</si>
  <si>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</si>
  <si>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</si>
  <si>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</si>
  <si>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</si>
  <si>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</si>
  <si>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</si>
  <si>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</si>
  <si>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</si>
  <si>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</si>
  <si>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</si>
  <si>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</si>
  <si>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</si>
  <si>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</si>
  <si>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</si>
  <si>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</si>
  <si>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</si>
  <si>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</si>
  <si>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</si>
  <si>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</si>
  <si>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</si>
  <si>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</si>
  <si>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</si>
  <si>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</si>
  <si>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</si>
  <si>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</si>
  <si>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</si>
  <si>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</si>
  <si>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</si>
  <si>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</si>
  <si>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</si>
  <si>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</si>
  <si>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</si>
  <si>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</si>
  <si>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</si>
  <si>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</si>
  <si>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</si>
  <si>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</si>
  <si>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</si>
  <si>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</si>
  <si>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</si>
  <si>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</si>
  <si>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</si>
  <si>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</si>
  <si>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</si>
  <si>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</si>
  <si>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</si>
  <si>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</si>
  <si>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</si>
  <si>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</si>
  <si>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</si>
  <si>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</si>
  <si>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</si>
  <si>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</si>
  <si>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</si>
  <si>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</si>
  <si>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</si>
  <si>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</si>
  <si>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</si>
  <si>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</si>
  <si>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</si>
  <si>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</si>
  <si>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</si>
  <si>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</si>
  <si>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</si>
  <si>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</si>
  <si>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</si>
  <si>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</si>
  <si>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</si>
  <si>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</si>
  <si>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</si>
  <si>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</si>
  <si>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</si>
  <si>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</si>
  <si>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</si>
  <si>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</si>
  <si>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</si>
  <si>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</si>
  <si>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</si>
  <si>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</si>
  <si>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</si>
  <si>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</si>
  <si>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</si>
  <si>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</si>
  <si>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</si>
  <si>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</si>
  <si>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</si>
  <si>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</si>
  <si>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</si>
  <si>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</si>
  <si>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</si>
  <si>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</si>
  <si>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</si>
  <si>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</si>
  <si>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</si>
  <si>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</si>
  <si>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</si>
  <si>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</si>
  <si>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</si>
  <si>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</si>
  <si>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</si>
  <si>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</si>
  <si>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</si>
  <si>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</si>
  <si>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</si>
  <si>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</si>
  <si>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</si>
  <si>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</si>
  <si>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</si>
  <si>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</si>
  <si>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</si>
  <si>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</si>
  <si>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</si>
  <si>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</si>
  <si>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</si>
  <si>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</si>
  <si>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</si>
  <si>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</si>
  <si>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</si>
  <si>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</si>
  <si>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</si>
  <si>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</si>
  <si>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</si>
  <si>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</si>
  <si>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</si>
  <si>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</si>
  <si>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</si>
  <si>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</si>
  <si>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</si>
  <si>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</si>
  <si>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</si>
  <si>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</si>
  <si>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</si>
  <si>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</si>
  <si>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</si>
  <si>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</si>
  <si>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</si>
  <si>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</si>
  <si>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</si>
  <si>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</si>
  <si>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</si>
  <si>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</si>
  <si>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</si>
  <si>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</si>
  <si>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</si>
  <si>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</si>
  <si>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</si>
  <si>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</si>
  <si>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</si>
  <si>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</si>
  <si>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</si>
  <si>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</si>
  <si>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</si>
  <si>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</si>
  <si>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</si>
  <si>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</si>
  <si>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</si>
  <si>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</si>
  <si>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</si>
  <si>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</si>
  <si>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</si>
  <si>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</si>
  <si>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</si>
  <si>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</si>
  <si>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</si>
  <si>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</si>
  <si>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</si>
  <si>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</si>
  <si>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</si>
  <si>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</si>
  <si>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</si>
  <si>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</si>
  <si>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</si>
  <si>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</si>
  <si>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</si>
  <si>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</si>
  <si>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</si>
  <si>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</si>
  <si>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</si>
  <si>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</si>
  <si>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</si>
  <si>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</si>
  <si>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</si>
  <si>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</si>
  <si>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</si>
  <si>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</si>
  <si>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</si>
  <si>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</si>
  <si>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</si>
  <si>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</si>
  <si>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</si>
  <si>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</si>
  <si>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</si>
  <si>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</si>
  <si>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</si>
  <si>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</si>
  <si>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</si>
  <si>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</si>
  <si>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</si>
  <si>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The Kraft Heinz Company</t>
  </si>
  <si>
    <t>KHC</t>
  </si>
  <si>
    <t>USD</t>
  </si>
  <si>
    <t>CNS_01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</si>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</sst>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zoomScaleNormal="100" workbookViewId="0">
      <selection activeCell="F2" sqref="F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428</v>
      </c>
    </row>
    <row r="2" spans="1:10" ht="13.9">
      <c r="A2" s="247" t="s">
        <v>268</v>
      </c>
      <c r="B2" s="36"/>
      <c r="C2" s="36"/>
      <c r="D2" s="36"/>
      <c r="E2" s="36"/>
      <c r="F2" s="36"/>
      <c r="G2" s="22"/>
      <c r="H2" s="22"/>
      <c r="I2" s="22"/>
      <c r="J2" s="22"/>
    </row>
    <row r="4" spans="1:10">
      <c r="B4" s="45" t="str">
        <f>D5&amp;" Stock Information"</f>
        <v>KHC Stock Information</v>
      </c>
      <c r="C4" s="46"/>
      <c r="D4" s="5"/>
      <c r="E4" s="2"/>
      <c r="F4" s="2"/>
    </row>
    <row r="5" spans="1:10" ht="12.4">
      <c r="B5" s="4" t="s">
        <v>323</v>
      </c>
      <c r="C5" s="333" t="s">
        <v>424</v>
      </c>
      <c r="D5" s="49" t="s">
        <v>425</v>
      </c>
    </row>
    <row r="6" spans="1:10">
      <c r="B6" s="4" t="s">
        <v>95</v>
      </c>
      <c r="C6" s="50">
        <v>28.81</v>
      </c>
      <c r="D6" s="48" t="s">
        <v>426</v>
      </c>
      <c r="E6" s="48"/>
    </row>
    <row r="7" spans="1:10">
      <c r="B7" s="4" t="s">
        <v>0</v>
      </c>
      <c r="C7" s="51">
        <v>1193400064</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34381.85584384</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1</v>
      </c>
      <c r="D17" s="32" t="str">
        <f>IF(C16=D6,D6,C16&amp;"/"&amp;D6)</f>
        <v>USD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(USD):</v>
      </c>
      <c r="C20" s="252">
        <f>C133</f>
        <v>17.682685147645955</v>
      </c>
      <c r="D20" s="1" t="s">
        <v>315</v>
      </c>
      <c r="E20" s="330">
        <v>3</v>
      </c>
    </row>
    <row r="21" spans="1:6">
      <c r="B21" s="1" t="s">
        <v>407</v>
      </c>
      <c r="C21" s="280">
        <f ca="1">Scenarios!C87</f>
        <v>9.408289080523935E-2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5023.2701205832382</v>
      </c>
      <c r="D30" s="1" t="str">
        <f>Reporting_currency</f>
        <v>USD</v>
      </c>
    </row>
    <row r="31" spans="1:6">
      <c r="B31" s="47"/>
      <c r="C31" s="76"/>
    </row>
    <row r="32" spans="1:6" ht="24.4" customHeight="1">
      <c r="B32" s="343" t="s">
        <v>234</v>
      </c>
      <c r="C32" s="343"/>
      <c r="D32" s="343"/>
      <c r="E32" s="343"/>
      <c r="F32" s="343"/>
    </row>
    <row r="33" spans="2:6">
      <c r="B33" s="47" t="s">
        <v>235</v>
      </c>
      <c r="C33" s="188">
        <f>Normalized_FCF!C9</f>
        <v>1164</v>
      </c>
      <c r="D33" s="1" t="str">
        <f>Reporting_currency</f>
        <v>USD</v>
      </c>
    </row>
    <row r="34" spans="2:6">
      <c r="B34" s="52" t="s">
        <v>236</v>
      </c>
      <c r="C34" s="188">
        <f>Normalized_FCF!C10</f>
        <v>-1164</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-912</v>
      </c>
      <c r="D41" s="1" t="str">
        <f>Reporting_currency</f>
        <v>USD</v>
      </c>
      <c r="E41" s="321"/>
      <c r="F41" s="321"/>
    </row>
    <row r="42" spans="2:6">
      <c r="B42" s="47" t="s">
        <v>239</v>
      </c>
      <c r="C42" s="188">
        <f>Normalized_FCF!C12</f>
        <v>-912</v>
      </c>
      <c r="D42" s="1" t="str">
        <f>Reporting_currency</f>
        <v>USD</v>
      </c>
    </row>
    <row r="44" spans="2:6">
      <c r="B44" s="1" t="s">
        <v>247</v>
      </c>
    </row>
    <row r="45" spans="2:6">
      <c r="B45" s="47" t="s">
        <v>266</v>
      </c>
      <c r="C45" s="188">
        <f>Normalized_FCF!C15</f>
        <v>-12.097342754012749</v>
      </c>
      <c r="D45" s="1" t="str">
        <f>Reporting_currency</f>
        <v>USD</v>
      </c>
    </row>
    <row r="47" spans="2:6">
      <c r="B47" s="343" t="s">
        <v>242</v>
      </c>
      <c r="C47" s="343"/>
      <c r="D47" s="343"/>
      <c r="E47" s="343"/>
      <c r="F47" s="343"/>
    </row>
    <row r="48" spans="2:6">
      <c r="B48" s="47" t="s">
        <v>240</v>
      </c>
      <c r="C48" s="188">
        <f>Normalized_FCF!C14</f>
        <v>-1068.9302313516419</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2548</v>
      </c>
      <c r="D56" s="1" t="str">
        <f>Reporting_currency</f>
        <v>USD</v>
      </c>
    </row>
    <row r="57" spans="1:6">
      <c r="B57" s="47" t="s">
        <v>249</v>
      </c>
      <c r="C57" s="188">
        <f>Normalized_FCF!C19</f>
        <v>3030.2425464775833</v>
      </c>
      <c r="D57" s="1" t="str">
        <f>Reporting_currency</f>
        <v>USD</v>
      </c>
    </row>
    <row r="58" spans="1:6">
      <c r="B58" s="254" t="s">
        <v>398</v>
      </c>
      <c r="C58" s="92">
        <f>Normalized_FCF!C125</f>
        <v>8.8134932571433455E-2</v>
      </c>
    </row>
    <row r="59" spans="1:6">
      <c r="B59" s="254" t="s">
        <v>316</v>
      </c>
      <c r="C59" s="92">
        <f>Normalized_FCF!C93</f>
        <v>5.5536272127733433E-2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31.739592592287465</v>
      </c>
      <c r="D77" s="1" t="str">
        <f>Market_currency</f>
        <v>USD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19869</v>
      </c>
      <c r="D86" s="1" t="str">
        <f>Reporting_currency</f>
        <v>USD</v>
      </c>
    </row>
    <row r="87" spans="2:6">
      <c r="B87" s="47" t="s">
        <v>285</v>
      </c>
      <c r="C87" s="248">
        <f>C86*scaling_factor*Exchange_Rate/Common_Shares</f>
        <v>16.649068991502919</v>
      </c>
      <c r="D87" s="1" t="str">
        <f>Market_currency</f>
        <v>USD</v>
      </c>
    </row>
    <row r="88" spans="2:6">
      <c r="B88" s="336" t="s">
        <v>412</v>
      </c>
      <c r="C88" s="337">
        <f>BS!G30/BS!G27</f>
        <v>0.78990369994931575</v>
      </c>
    </row>
    <row r="89" spans="2:6">
      <c r="B89" s="336" t="s">
        <v>413</v>
      </c>
      <c r="C89" s="337">
        <f>BS!G31/BS!G27</f>
        <v>0.40281804358844397</v>
      </c>
    </row>
    <row r="90" spans="2:6">
      <c r="B90" s="336" t="s">
        <v>415</v>
      </c>
      <c r="C90" s="338">
        <f>BS!C50</f>
        <v>3.955391512509995</v>
      </c>
    </row>
    <row r="92" spans="2:6">
      <c r="B92" s="1" t="s">
        <v>255</v>
      </c>
    </row>
    <row r="93" spans="2:6">
      <c r="B93" s="47" t="s">
        <v>265</v>
      </c>
      <c r="C93" s="188">
        <f>BS!C66</f>
        <v>1334</v>
      </c>
      <c r="D93" s="1" t="str">
        <f>Reporting_currency</f>
        <v>USD</v>
      </c>
    </row>
    <row r="94" spans="2:6">
      <c r="B94" s="47" t="s">
        <v>267</v>
      </c>
      <c r="C94" s="188">
        <f>Valuation_Model!C8</f>
        <v>-594.28499848473007</v>
      </c>
      <c r="D94" s="1" t="str">
        <f>Reporting_currency</f>
        <v>USD</v>
      </c>
    </row>
    <row r="95" spans="2:6">
      <c r="B95" s="47" t="s">
        <v>286</v>
      </c>
      <c r="C95" s="248">
        <f>C94*scaling_factor*Exchange_Rate/Common_Shares</f>
        <v>-0.49797634205986613</v>
      </c>
      <c r="D95" s="1" t="str">
        <f>Market_currency</f>
        <v>USD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USD</v>
      </c>
    </row>
    <row r="101" spans="1:6" ht="24.4" customHeight="1">
      <c r="B101" s="342" t="s">
        <v>374</v>
      </c>
      <c r="C101" s="342"/>
      <c r="D101" s="342"/>
      <c r="E101" s="342"/>
      <c r="F101" s="342"/>
    </row>
    <row r="103" spans="1:6">
      <c r="B103" s="47" t="s">
        <v>283</v>
      </c>
      <c r="C103" s="248">
        <f>Valuation_Model!C12</f>
        <v>14.592547258724681</v>
      </c>
      <c r="D103" s="1" t="str">
        <f>Market_currency</f>
        <v>USD</v>
      </c>
    </row>
    <row r="104" spans="1:6">
      <c r="B104" s="336" t="s">
        <v>414</v>
      </c>
      <c r="C104" s="248">
        <f>BS!D47</f>
        <v>-26.938493611476797</v>
      </c>
      <c r="D104" s="1" t="str">
        <f>Market_currency</f>
        <v>USD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30</v>
      </c>
      <c r="E111" s="258" t="str">
        <f>ROUND(Valuation_Model!E74,2)&amp;" "&amp;Market_currency</f>
        <v>62.43 USD</v>
      </c>
      <c r="F111" s="259">
        <f>Valuation_Model!F74</f>
        <v>0.05</v>
      </c>
    </row>
    <row r="112" spans="1:6">
      <c r="B112" s="242" t="str">
        <f>Valuation_Model!B75</f>
        <v>Optimistic</v>
      </c>
      <c r="C112" s="243">
        <f>Valuation_Model!C75</f>
        <v>0.06</v>
      </c>
      <c r="D112" s="244">
        <f>Valuation_Model!D75</f>
        <v>30</v>
      </c>
      <c r="E112" s="245" t="str">
        <f>ROUND(Valuation_Model!E75,2)&amp;" "&amp;Market_currency</f>
        <v>43.96 USD</v>
      </c>
      <c r="F112" s="246">
        <f>Valuation_Model!F75</f>
        <v>0.22499999999999998</v>
      </c>
    </row>
    <row r="113" spans="1:6">
      <c r="B113" s="242" t="str">
        <f>Valuation_Model!B76</f>
        <v>Base</v>
      </c>
      <c r="C113" s="243">
        <f>Valuation_Model!C76</f>
        <v>0.04</v>
      </c>
      <c r="D113" s="244">
        <f>Valuation_Model!D76</f>
        <v>30</v>
      </c>
      <c r="E113" s="245" t="str">
        <f>ROUND(Valuation_Model!E76,2)&amp;" "&amp;Market_currency</f>
        <v>30.87 USD</v>
      </c>
      <c r="F113" s="246">
        <f>Valuation_Model!F76</f>
        <v>0.44999999999999996</v>
      </c>
    </row>
    <row r="114" spans="1:6">
      <c r="B114" s="242" t="str">
        <f>Valuation_Model!B77</f>
        <v>Pessimistic</v>
      </c>
      <c r="C114" s="243">
        <f>Valuation_Model!C77</f>
        <v>0.02</v>
      </c>
      <c r="D114" s="244">
        <f>Valuation_Model!D77</f>
        <v>30</v>
      </c>
      <c r="E114" s="245" t="str">
        <f>ROUND(Valuation_Model!E77,2)&amp;" "&amp;Market_currency</f>
        <v>21.47 USD</v>
      </c>
      <c r="F114" s="246">
        <f>Valuation_Model!F77</f>
        <v>0.22499999999999998</v>
      </c>
    </row>
    <row r="115" spans="1:6">
      <c r="B115" s="242" t="str">
        <f>Valuation_Model!B78</f>
        <v>Devil's advocate</v>
      </c>
      <c r="C115" s="243">
        <f>Valuation_Model!C78</f>
        <v>0</v>
      </c>
      <c r="D115" s="244">
        <f>Valuation_Model!D78</f>
        <v>30</v>
      </c>
      <c r="E115" s="245" t="str">
        <f>ROUND(Valuation_Model!E78,2)&amp;" "&amp;Market_currency</f>
        <v>14.59 USD</v>
      </c>
      <c r="F115" s="246">
        <f>Valuation_Model!F78</f>
        <v>0.05</v>
      </c>
    </row>
    <row r="117" spans="1:6">
      <c r="B117" s="235" t="s">
        <v>259</v>
      </c>
      <c r="C117" s="241">
        <f>Scenarios!C60</f>
        <v>32.464859269378167</v>
      </c>
      <c r="D117" s="236" t="str">
        <f>Market_currency</f>
        <v>USD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1.6</v>
      </c>
      <c r="D128" s="236" t="str">
        <f>Market_currency</f>
        <v>USD</v>
      </c>
    </row>
    <row r="130" spans="2:4">
      <c r="B130" s="234" t="s">
        <v>418</v>
      </c>
      <c r="C130" s="337">
        <f>C19</f>
        <v>0.3</v>
      </c>
      <c r="D130" s="1" t="s">
        <v>416</v>
      </c>
    </row>
    <row r="131" spans="2:4">
      <c r="B131" s="236" t="str">
        <f>"PV("&amp;C126&amp;" yrs of Dividends)"</f>
        <v>PV(3 yrs of Dividends)</v>
      </c>
      <c r="C131" s="240">
        <f>Scenarios!C81</f>
        <v>2.9057806099226227</v>
      </c>
    </row>
    <row r="132" spans="2:4">
      <c r="B132" s="236" t="str">
        <f>"+ PV(Equity Value realized at year "&amp;C126&amp;")"</f>
        <v>+ PV(Equity Value realized at year 3)</v>
      </c>
      <c r="C132" s="240">
        <f>Scenarios!C82</f>
        <v>14.776904537723331</v>
      </c>
    </row>
    <row r="133" spans="2:4">
      <c r="B133" s="80" t="s">
        <v>261</v>
      </c>
      <c r="C133" s="239">
        <f>Scenarios!C83</f>
        <v>17.682685147645955</v>
      </c>
      <c r="D133" s="47" t="str">
        <f>Reporting_currency</f>
        <v>USD</v>
      </c>
    </row>
    <row r="134" spans="2:4">
      <c r="B134" s="238" t="s">
        <v>263</v>
      </c>
      <c r="C134" s="92">
        <f>Scenarios!F83</f>
        <v>0.45532845219123441</v>
      </c>
    </row>
    <row r="136" spans="2:4">
      <c r="B136" s="234" t="s">
        <v>421</v>
      </c>
      <c r="C136" s="337">
        <f>Scenarios!C90</f>
        <v>0.2</v>
      </c>
      <c r="D136" s="1" t="s">
        <v>420</v>
      </c>
    </row>
    <row r="137" spans="2:4">
      <c r="B137" s="236" t="str">
        <f>"PV("&amp;C126&amp;" yrs of Dividends)"</f>
        <v>PV(3 yrs of Dividends)</v>
      </c>
      <c r="C137" s="240">
        <f>Scenarios!C91</f>
        <v>3.3703703703703702</v>
      </c>
    </row>
    <row r="138" spans="2:4">
      <c r="B138" s="236" t="str">
        <f>"+ PV(Equity Value realized at year "&amp;C126&amp;")"</f>
        <v>+ PV(Equity Value realized at year 3)</v>
      </c>
      <c r="C138" s="240">
        <f>Scenarios!C92</f>
        <v>18.787534299408662</v>
      </c>
    </row>
    <row r="139" spans="2:4">
      <c r="B139" s="80" t="s">
        <v>261</v>
      </c>
      <c r="C139" s="239">
        <f>Scenarios!C93</f>
        <v>22.157904669779033</v>
      </c>
      <c r="D139" s="47" t="str">
        <f>Reporting_currency</f>
        <v>USD</v>
      </c>
    </row>
    <row r="140" spans="2:4">
      <c r="B140" s="238" t="s">
        <v>263</v>
      </c>
      <c r="C140" s="92">
        <f>Scenarios!F93</f>
        <v>0.31748034125381119</v>
      </c>
    </row>
    <row r="142" spans="2:4">
      <c r="B142" s="234" t="s">
        <v>408</v>
      </c>
      <c r="C142" s="92">
        <f>Scenarios!C96</f>
        <v>0.08</v>
      </c>
      <c r="D142" s="1" t="s">
        <v>419</v>
      </c>
    </row>
    <row r="143" spans="2:4">
      <c r="B143" s="236" t="str">
        <f>"PV("&amp;C126&amp;" yrs of Dividends)"</f>
        <v>PV(3 yrs of Dividends)</v>
      </c>
      <c r="C143" s="240">
        <f>Scenarios!C97</f>
        <v>4.1233551795966088</v>
      </c>
    </row>
    <row r="144" spans="2:4">
      <c r="B144" s="236" t="str">
        <f>"+ PV(Equity Value realized at year "&amp;C126&amp;")"</f>
        <v>+ PV(Equity Value realized at year 3)</v>
      </c>
      <c r="C144" s="240">
        <f>Scenarios!C98</f>
        <v>25.771651988214895</v>
      </c>
    </row>
    <row r="145" spans="1:6">
      <c r="B145" s="80" t="s">
        <v>409</v>
      </c>
      <c r="C145" s="239">
        <f>Scenarios!C99</f>
        <v>29.895007167811503</v>
      </c>
      <c r="D145" s="101" t="str">
        <f>Reporting_currency</f>
        <v>USD</v>
      </c>
    </row>
    <row r="146" spans="1:6">
      <c r="B146" s="238" t="s">
        <v>263</v>
      </c>
      <c r="C146" s="92">
        <f>Scenarios!F99</f>
        <v>7.9157962159738249E-2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429</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81">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431</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c r="B126" s="2" t="s">
        <v>402</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37878.03183096979</v>
      </c>
      <c r="D6" t="str">
        <f>Reporting_currency</f>
        <v>USD</v>
      </c>
      <c r="E6" s="348" t="s">
        <v>250</v>
      </c>
      <c r="F6" s="348"/>
      <c r="H6" s="121"/>
    </row>
    <row r="7" spans="2:8">
      <c r="B7" s="149" t="s">
        <v>225</v>
      </c>
      <c r="C7" s="226">
        <f>BS!G31</f>
        <v>19869</v>
      </c>
      <c r="D7" t="str">
        <f>Reporting_currency</f>
        <v>USD</v>
      </c>
      <c r="E7" s="348"/>
      <c r="F7" s="348"/>
      <c r="H7" s="121"/>
    </row>
    <row r="8" spans="2:8">
      <c r="B8" s="149" t="s">
        <v>226</v>
      </c>
      <c r="C8" s="201">
        <f>BS!D66</f>
        <v>-594.28499848473007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17414.74683248506</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-28.81</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0"/>
      <c r="H7" s="276">
        <v>4</v>
      </c>
      <c r="I7" s="264" t="str">
        <f t="shared" si="0"/>
        <v/>
      </c>
    </row>
    <row r="8" spans="2:9">
      <c r="B8" s="100" t="s">
        <v>66</v>
      </c>
      <c r="C8" s="115">
        <f>Normalized_FCF!G19</f>
        <v>2548</v>
      </c>
      <c r="D8" t="str">
        <f>Reporting_currency</f>
        <v>USD</v>
      </c>
      <c r="E8" s="350"/>
      <c r="F8" s="350"/>
      <c r="H8" s="276">
        <v>5</v>
      </c>
      <c r="I8" s="264" t="str">
        <f t="shared" si="0"/>
        <v/>
      </c>
    </row>
    <row r="9" spans="2:9">
      <c r="B9" s="100" t="s">
        <v>57</v>
      </c>
      <c r="C9" s="201">
        <f>Normalized_FCF!C19</f>
        <v>3030.2425464775833</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-2.5150882534886732E-3</v>
      </c>
      <c r="D12" s="159"/>
      <c r="E12" s="350"/>
      <c r="F12" s="350"/>
      <c r="H12" s="276">
        <v>9</v>
      </c>
      <c r="I12" s="264" t="str">
        <f t="shared" si="0"/>
        <v/>
      </c>
    </row>
    <row r="13" spans="2:9">
      <c r="B13" s="149" t="s">
        <v>153</v>
      </c>
      <c r="C13" s="159">
        <f ca="1">(Normalized_FCF!G8/OFFSET(Normalized_FCF!G8, 0, $C$4))^(1/$C$4) - 1</f>
        <v>0.15650274695607269</v>
      </c>
      <c r="E13" s="350"/>
      <c r="F13" s="350"/>
      <c r="H13" s="276">
        <v>10</v>
      </c>
      <c r="I13" s="264" t="str">
        <f t="shared" si="0"/>
        <v/>
      </c>
    </row>
    <row r="14" spans="2:9">
      <c r="B14" s="100" t="s">
        <v>66</v>
      </c>
      <c r="C14" s="159">
        <f ca="1">(Normalized_FCF!G19/OFFSET(Normalized_FCF!G19, 0, $C$4))^(1/$C$4) - 1</f>
        <v>-3.3394590575448202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28.81</v>
      </c>
      <c r="D21" t="str">
        <f>Market_currency</f>
        <v>USD</v>
      </c>
      <c r="E21" s="351"/>
      <c r="F21" s="351"/>
    </row>
    <row r="22" spans="2:6">
      <c r="B22" s="100" t="s">
        <v>281</v>
      </c>
      <c r="C22" s="161">
        <f>Valuation_Model!C12</f>
        <v>14.592547258724681</v>
      </c>
      <c r="D22" t="str">
        <f>Market_currency</f>
        <v>USD</v>
      </c>
      <c r="E22" s="351"/>
      <c r="F22" s="351"/>
    </row>
    <row r="24" spans="2:6" ht="13.15">
      <c r="B24" s="160" t="s">
        <v>116</v>
      </c>
      <c r="E24" s="160" t="s">
        <v>150</v>
      </c>
      <c r="F24" s="160"/>
    </row>
    <row r="25" spans="2:6">
      <c r="B25" s="153" t="s">
        <v>134</v>
      </c>
      <c r="C25" s="167">
        <f>C18</f>
        <v>30</v>
      </c>
      <c r="D25" s="164"/>
      <c r="E25" s="349"/>
      <c r="F25" s="349"/>
    </row>
    <row r="26" spans="2:6">
      <c r="B26" s="119" t="s">
        <v>135</v>
      </c>
      <c r="C26" s="165">
        <v>0.04</v>
      </c>
      <c r="D26" s="165"/>
      <c r="E26" s="349"/>
      <c r="F26" s="349"/>
    </row>
    <row r="27" spans="2:6">
      <c r="B27" s="100" t="s">
        <v>114</v>
      </c>
      <c r="C27" s="161">
        <f>Valuation_Model!E76</f>
        <v>30.872623002991254</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0.02</v>
      </c>
      <c r="D32" s="165"/>
      <c r="E32" s="349"/>
      <c r="F32" s="349"/>
    </row>
    <row r="33" spans="2:6">
      <c r="B33" s="100" t="s">
        <v>114</v>
      </c>
      <c r="C33" s="161">
        <f>Valuation_Model!E77</f>
        <v>21.465870772746047</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0.06</v>
      </c>
      <c r="D38" s="165"/>
      <c r="E38" s="349"/>
      <c r="F38" s="349"/>
    </row>
    <row r="39" spans="2:6">
      <c r="B39" s="100" t="s">
        <v>114</v>
      </c>
      <c r="C39" s="161">
        <f>Valuation_Model!E75</f>
        <v>43.960023112166873</v>
      </c>
      <c r="D39" t="str">
        <f>Market_currency</f>
        <v>USD</v>
      </c>
      <c r="E39" s="349"/>
      <c r="F39" s="349"/>
    </row>
    <row r="40" spans="2:6">
      <c r="B40" s="100" t="s">
        <v>148</v>
      </c>
      <c r="C40" s="168">
        <f>1-C28-C34</f>
        <v>0.25</v>
      </c>
      <c r="D40" s="166"/>
      <c r="E40" s="349"/>
      <c r="F40" s="349"/>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14.592547258724657</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0.08</v>
      </c>
      <c r="D56" s="165"/>
      <c r="E56" s="349"/>
      <c r="F56" s="349"/>
    </row>
    <row r="57" spans="2:6">
      <c r="B57" s="100" t="s">
        <v>114</v>
      </c>
      <c r="C57" s="161">
        <f>Valuation_Model!E74</f>
        <v>62.434508619809236</v>
      </c>
      <c r="D57" t="str">
        <f>Market_currency</f>
        <v>USD</v>
      </c>
      <c r="E57" s="349"/>
      <c r="F57" s="349"/>
    </row>
    <row r="58" spans="2:6">
      <c r="B58" s="100" t="s">
        <v>148</v>
      </c>
      <c r="C58" s="166">
        <v>0.05</v>
      </c>
      <c r="D58" s="166"/>
      <c r="E58" s="349"/>
      <c r="F58" s="349"/>
    </row>
    <row r="60" spans="2:6" ht="13.15">
      <c r="B60" s="100" t="s">
        <v>121</v>
      </c>
      <c r="C60" s="155">
        <f>C51*C52+C57*C58+C42*(1-C52-C58)</f>
        <v>32.464859269378167</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Thesis!C127</f>
        <v>0.3</v>
      </c>
    </row>
    <row r="81" spans="2:8">
      <c r="B81" s="100" t="s">
        <v>122</v>
      </c>
      <c r="C81" s="117">
        <f>PV(C80, C76, -C77, 0)</f>
        <v>2.9057806099226227</v>
      </c>
      <c r="D81" s="117"/>
      <c r="E81" s="100"/>
      <c r="F81" s="100"/>
    </row>
    <row r="82" spans="2:8">
      <c r="B82" s="100" t="s">
        <v>123</v>
      </c>
      <c r="C82" s="117">
        <f>C60/(1+C80)^C76</f>
        <v>14.776904537723331</v>
      </c>
      <c r="D82" s="117"/>
    </row>
    <row r="83" spans="2:8" ht="13.15">
      <c r="B83" s="111" t="s">
        <v>102</v>
      </c>
      <c r="C83" s="112">
        <f>C81+C82</f>
        <v>17.682685147645955</v>
      </c>
      <c r="D83" t="str">
        <f>Market_currency</f>
        <v>USD</v>
      </c>
      <c r="E83" s="147" t="s">
        <v>127</v>
      </c>
      <c r="F83" s="329">
        <f>(1-C83/C60)</f>
        <v>0.45532845219123441</v>
      </c>
    </row>
    <row r="84" spans="2:8">
      <c r="E84" s="121"/>
    </row>
    <row r="85" spans="2:8" ht="13.15">
      <c r="B85" s="109" t="s">
        <v>309</v>
      </c>
    </row>
    <row r="86" spans="2:8">
      <c r="B86" s="149" t="s">
        <v>307</v>
      </c>
      <c r="C86" s="266">
        <f>Market_Price</f>
        <v>28.81</v>
      </c>
      <c r="D86" t="str">
        <f>Market_currency</f>
        <v>USD</v>
      </c>
    </row>
    <row r="87" spans="2:8" ht="13.15">
      <c r="B87" s="100" t="s">
        <v>305</v>
      </c>
      <c r="C87" s="265">
        <f ca="1">IRR(OFFSET($I$3, 0, 0, $C$76 + 1, 1))</f>
        <v>9.408289080523935E-2</v>
      </c>
    </row>
    <row r="88" spans="2:8">
      <c r="B88" s="100"/>
    </row>
    <row r="89" spans="2:8" ht="13.15">
      <c r="B89" s="109" t="s">
        <v>422</v>
      </c>
    </row>
    <row r="90" spans="2:8">
      <c r="B90" s="149" t="s">
        <v>423</v>
      </c>
      <c r="C90" s="168">
        <f>Thesis!E19</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Thesis!C67</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2025-05-02T07:51:39Z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