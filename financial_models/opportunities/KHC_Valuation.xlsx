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46CFF4A-3A9E-41E1-B1FF-C88C567D415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7" i="8"/>
  <c r="C67" i="8"/>
  <c r="C70" i="8"/>
  <c r="E66" i="8"/>
  <c r="D71" i="8"/>
  <c r="D70" i="8"/>
  <c r="C68" i="8"/>
  <c r="F70" i="8"/>
  <c r="E67" i="8"/>
  <c r="B70" i="8"/>
  <c r="C66" i="8"/>
  <c r="E70" i="8"/>
  <c r="F71" i="8"/>
  <c r="C69" i="8"/>
  <c r="B68" i="8"/>
  <c r="B67" i="8"/>
  <c r="D66" i="8"/>
  <c r="B66" i="8"/>
  <c r="G54" i="2"/>
  <c r="F69" i="8" l="1"/>
  <c r="C71" i="8"/>
  <c r="B69"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39" i="8"/>
  <c r="F39" i="8" s="1"/>
  <c r="C36" i="8"/>
  <c r="F36" i="8" s="1"/>
  <c r="C50" i="8"/>
  <c r="F50" i="8" s="1"/>
  <c r="C43" i="8"/>
  <c r="F43" i="8" s="1"/>
  <c r="C47" i="8"/>
  <c r="F47" i="8" s="1"/>
  <c r="C45" i="8"/>
  <c r="F45" i="8" s="1"/>
  <c r="C44" i="8"/>
  <c r="F44" i="8" s="1"/>
  <c r="C48" i="8"/>
  <c r="F48" i="8" s="1"/>
  <c r="C41" i="8"/>
  <c r="F41" i="8" s="1"/>
  <c r="C42" i="8"/>
  <c r="F42" i="8" s="1"/>
  <c r="C46" i="8"/>
  <c r="F46" i="8" s="1"/>
  <c r="C38" i="8"/>
  <c r="F38"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<sst xmlns="http://schemas.openxmlformats.org/spreadsheetml/2006/main" count="626" uniqueCount="439">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</sst>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28.49</v>
      </c>
      <c r="D12" s="50"/>
      <c r="E12" s="48"/>
    </row>
    <row r="13" spans="1:10">
      <c r="B13" s="1" t="s">
        <v>425</v>
      </c>
      <c r="C13" s="48" t="s">
        <v>434</v>
      </c>
      <c r="D13" s="48"/>
      <c r="E13" s="5"/>
    </row>
    <row r="14" spans="1:10">
      <c r="B14" s="4" t="s">
        <v>429</v>
      </c>
      <c r="C14" s="35">
        <f>Thesis!C12*Common_Shares/1000000</f>
        <v>33999.967823359999</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(USD):</v>
      </c>
      <c r="C25" s="252">
        <f>C139</f>
        <v>17.682685147645955</v>
      </c>
      <c r="D25" s="1" t="s">
        <v>315</v>
      </c>
      <c r="E25" s="330">
        <v>3</v>
      </c>
    </row>
    <row r="26" spans="1:6">
      <c r="B26" s="1" t="s">
        <v>407</v>
      </c>
      <c r="C26" s="280">
        <f ca="1">Scenarios!C87</f>
        <v>9.8376640230496193E-2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5023.2701205832382</v>
      </c>
      <c r="D35" s="1" t="str">
        <f>Reporting_currency</f>
        <v>USD</v>
      </c>
    </row>
    <row r="36" spans="2:6">
      <c r="B36" s="47"/>
      <c r="C36" s="76"/>
    </row>
    <row r="37" spans="2:6" ht="24.4" customHeight="1">
      <c r="B37" s="344" t="s">
        <v>234</v>
      </c>
      <c r="C37" s="344"/>
      <c r="D37" s="344"/>
      <c r="E37" s="344"/>
      <c r="F37" s="344"/>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4" t="s">
        <v>242</v>
      </c>
      <c r="C52" s="344"/>
      <c r="D52" s="344"/>
      <c r="E52" s="344"/>
      <c r="F52" s="344"/>
    </row>
    <row r="53" spans="2:6">
      <c r="B53" s="47" t="s">
        <v>240</v>
      </c>
      <c r="C53" s="188">
        <f>Normalized_FCF!C14</f>
        <v>-1068.9302313516419</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8.9124865124008343E-2</v>
      </c>
    </row>
    <row r="64" spans="2:6">
      <c r="B64" s="254" t="s">
        <v>316</v>
      </c>
      <c r="C64" s="92">
        <f>Normalized_FCF!C93</f>
        <v>5.616005616005617E-2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3" t="s">
        <v>374</v>
      </c>
      <c r="C106" s="343"/>
      <c r="D106" s="343"/>
      <c r="E106" s="343"/>
      <c r="F106" s="343"/>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0.3</v>
      </c>
    </row>
    <row r="137" spans="2:6">
      <c r="B137" s="236" t="str">
        <f>"PV("&amp;C131&amp;" yrs of Dividends)"</f>
        <v>PV(3 yrs of Dividends)</v>
      </c>
      <c r="C137" s="240">
        <f>Scenarios!C81</f>
        <v>2.9057806099226227</v>
      </c>
    </row>
    <row r="138" spans="2:6">
      <c r="B138" s="236" t="str">
        <f>"+ PV(Equity Value realized at year "&amp;C131&amp;")"</f>
        <v>+ PV(Equity Value realized at year 3)</v>
      </c>
      <c r="C138" s="240">
        <f>Scenarios!C82</f>
        <v>14.776904537723331</v>
      </c>
    </row>
    <row r="139" spans="2:6">
      <c r="B139" s="80" t="s">
        <v>261</v>
      </c>
      <c r="C139" s="239">
        <f>Scenarios!C83</f>
        <v>17.682685147645955</v>
      </c>
      <c r="D139" s="342" t="str">
        <f>IF($D$11="","",C139*$E$22)</f>
        <v/>
      </c>
    </row>
    <row r="140" spans="2:6">
      <c r="B140" s="290" t="s">
        <v>425</v>
      </c>
      <c r="C140" s="340" t="str">
        <f>Market_currency</f>
        <v>USD</v>
      </c>
      <c r="D140" s="340" t="str">
        <f>IF($D$11="","",D$13)</f>
        <v/>
      </c>
    </row>
    <row r="141" spans="2:6">
      <c r="B141" s="238" t="s">
        <v>263</v>
      </c>
      <c r="C141" s="92">
        <f>Scenarios!F83</f>
        <v>0.45532845219123441</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5.616005616005617E-2</v>
      </c>
      <c r="E93" s="302"/>
      <c r="G93" s="23">
        <f t="shared" ref="G93:Q93" si="39">IF(G$4="","",G90/Market_Price)</f>
        <v>5.616005616005617E-2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8.9124865124008343E-2</v>
      </c>
      <c r="D125" s="27"/>
      <c r="E125" s="299"/>
      <c r="F125" s="27"/>
      <c r="G125" s="77">
        <f t="shared" ref="G125" si="50">IF(G$4="","",G124/Market_Price)</f>
        <v>7.4941247392868782E-2</v>
      </c>
      <c r="H125" s="77">
        <f t="shared" ref="H125" si="51">IF(H$4="","",H124/Market_Price)</f>
        <v>6.9735360113222872E-2</v>
      </c>
      <c r="I125" s="77">
        <f t="shared" ref="I125" si="52">IF(I$4="","",I124/Market_Price)</f>
        <v>3.2264736416788481E-2</v>
      </c>
      <c r="J125" s="77">
        <f t="shared" ref="J125" si="53">IF(J$4="","",J124/Market_Price)</f>
        <v>-5.8529467155341002E-3</v>
      </c>
      <c r="K125" s="77">
        <f t="shared" ref="K125" si="54">IF(K$4="","",K124/Market_Price)</f>
        <v>-2.485296469661465E-2</v>
      </c>
      <c r="L125" s="77">
        <f t="shared" ref="L125" si="55">IF(L$4="","",L124/Market_Price)</f>
        <v>2.8852968482105289E-2</v>
      </c>
      <c r="M125" s="77">
        <f t="shared" ref="M125" si="56">IF(M$4="","",M124/Market_Price)</f>
        <v>-0.30697087874386636</v>
      </c>
      <c r="N125" s="77">
        <f t="shared" ref="N125" si="57">IF(N$4="","",N124/Market_Price)</f>
        <v>0.32350030615155567</v>
      </c>
      <c r="O125" s="77">
        <f t="shared" ref="O125" si="58">IF(O$4="","",O124/Market_Price)</f>
        <v>0.10638245361852684</v>
      </c>
      <c r="P125" s="77">
        <f t="shared" ref="P125" si="59">IF(P$4="","",P124/Market_Price)</f>
        <v>2.7617673195409649E-2</v>
      </c>
      <c r="Q125" s="77" t="str">
        <f t="shared" ref="Q125" si="60">IF(Q$4="","",Q124/Market_Price)</f>
        <v/>
      </c>
    </row>
    <row r="126" spans="1:17" ht="15.75" customHeight="1">
      <c r="B126" s="2" t="s">
        <v>402</v>
      </c>
      <c r="C126" s="170"/>
      <c r="G126" s="23">
        <f>IF(G$4="","",(Data!C47*$C$3)/(Market_Price*Common_Shares))</f>
        <v>8.076478231586251E-2</v>
      </c>
      <c r="H126" s="23">
        <f>IF(H$4="","",(Data!D47*$C$3)/(Market_Price*Common_Shares))</f>
        <v>8.3705961569899748E-2</v>
      </c>
      <c r="I126" s="23">
        <f>IF(I$4="","",(Data!E47*$C$3)/(Market_Price*Common_Shares))</f>
        <v>6.9647124735601765E-2</v>
      </c>
      <c r="J126" s="23">
        <f>IF(J$4="","",(Data!F47*$C$3)/(Market_Price*Common_Shares))</f>
        <v>3.0117675561341303E-2</v>
      </c>
      <c r="K126" s="23">
        <f>IF(K$4="","",(Data!G47*$C$3)/(Market_Price*Common_Shares))</f>
        <v>1.0617657107074423E-2</v>
      </c>
      <c r="L126" s="23">
        <f>IF(L$4="","",(Data!H47*$C$3)/(Market_Price*Common_Shares))</f>
        <v>5.6852994980539785E-2</v>
      </c>
      <c r="M126" s="23">
        <f>IF(M$4="","",(Data!I47*$C$3)/(Market_Price*Common_Shares))</f>
        <v>-0.30158852070897824</v>
      </c>
      <c r="N126" s="23">
        <f>IF(N$4="","",(Data!J47*$C$3)/(Market_Price*Common_Shares))</f>
        <v>0.32323560001869228</v>
      </c>
      <c r="O126" s="23">
        <f>IF(O$4="","",(Data!K47*$C$3)/(Market_Price*Common_Shares))</f>
        <v>0.10711774843203616</v>
      </c>
      <c r="P126" s="23">
        <f>IF(P$4="","",(Data!L47*$C$3)/(Market_Price*Common_Shares))</f>
        <v>1.9029429773620921E-2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-28.49</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28.49</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28.49</v>
      </c>
      <c r="D86" t="str">
        <f>Market_currency</f>
        <v>USD</v>
      </c>
    </row>
    <row r="87" spans="2:8" ht="13.15">
      <c r="B87" s="100" t="s">
        <v>305</v>
      </c>
      <c r="C87" s="265">
        <f ca="1">IRR(OFFSET($I$3, 0, 0, $C$76 + 1, 1))</f>
        <v>9.8376640230496193E-2</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