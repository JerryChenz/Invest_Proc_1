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F661A0B9-9795-1846-AE86-1FBDBAC12F0A}"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3"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8" i="2"/>
  <c r="Q117" i="2"/>
  <c r="O118" i="2"/>
  <c r="J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C7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<sst xmlns="http://schemas.openxmlformats.org/spreadsheetml/2006/main" count="685" uniqueCount="465">
  <si>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</si>
  <si>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</si>
  <si>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</si>
  <si>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</si>
  <si>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</si>
  <si>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</si>
  <si>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</si>
  <si>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</si>
  <si>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</si>
  <si>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</si>
  <si>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</si>
  <si>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</si>
  <si>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</si>
  <si>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</si>
  <si>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</si>
  <si>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</si>
  <si>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</si>
  <si>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</si>
  <si>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</si>
  <si>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</si>
  <si>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</si>
  <si>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</si>
  <si>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</si>
  <si>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</si>
  <si>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</si>
  <si>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</si>
  <si>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</si>
  <si>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</si>
  <si>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</si>
  <si>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</si>
  <si>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</si>
  <si>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</si>
  <si>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</si>
  <si>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</si>
  <si>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</si>
  <si>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</si>
  <si>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</si>
  <si>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</si>
  <si>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</si>
  <si>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</si>
  <si>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</si>
  <si>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</si>
  <si>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</si>
  <si>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</si>
  <si>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</si>
  <si>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</si>
  <si>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</si>
  <si>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</si>
  <si>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</si>
  <si>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</si>
  <si>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</si>
  <si>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</si>
  <si>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</si>
  <si>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</si>
  <si>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</si>
  <si>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</si>
  <si>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</si>
  <si>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</si>
  <si>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</si>
  <si>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</si>
  <si>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</si>
  <si>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</si>
  <si>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</si>
  <si>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</si>
  <si>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</si>
  <si>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</si>
  <si>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</si>
  <si>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</si>
  <si>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</si>
  <si>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</si>
  <si>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</si>
  <si>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</si>
  <si>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</si>
  <si>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</si>
  <si>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</si>
  <si>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</si>
  <si>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</si>
  <si>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</si>
  <si>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</si>
  <si>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</si>
  <si>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</si>
  <si>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</si>
  <si>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</si>
  <si>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</si>
  <si>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</si>
  <si>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</si>
  <si>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</si>
  <si>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</si>
  <si>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</si>
  <si>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</si>
  <si>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</si>
  <si>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</si>
  <si>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</si>
  <si>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</si>
  <si>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</si>
  <si>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</si>
  <si>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</si>
  <si>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</si>
  <si>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</si>
  <si>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</si>
  <si>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</si>
  <si>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</si>
  <si>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</si>
  <si>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</si>
  <si>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</si>
  <si>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</si>
  <si>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</si>
  <si>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</si>
  <si>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</si>
  <si>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</si>
  <si>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</si>
  <si>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</si>
  <si>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</si>
  <si>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</si>
  <si>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</si>
  <si>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</si>
  <si>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</si>
  <si>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</si>
  <si>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</si>
  <si>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</si>
  <si>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</si>
  <si>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</si>
  <si>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</si>
  <si>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</si>
  <si>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</si>
  <si>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</si>
  <si>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</si>
  <si>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</si>
  <si>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</si>
  <si>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</si>
  <si>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</si>
  <si>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</si>
  <si>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</si>
  <si>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</si>
  <si>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</si>
  <si>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</si>
  <si>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</si>
  <si>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</si>
  <si>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</si>
  <si>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</si>
  <si>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</si>
  <si>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</si>
  <si>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</si>
  <si>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</si>
  <si>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</si>
  <si>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</si>
  <si>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</si>
  <si>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</si>
  <si>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</si>
  <si>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</si>
  <si>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</si>
  <si>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</si>
  <si>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</si>
  <si>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</si>
  <si>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</si>
  <si>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</si>
  <si>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</si>
  <si>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</si>
  <si>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</si>
  <si>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</si>
  <si>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</si>
  <si>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</si>
  <si>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</si>
  <si>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</si>
  <si>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</si>
  <si>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</si>
  <si>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</si>
  <si>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</si>
  <si>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</si>
  <si>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</si>
  <si>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</si>
  <si>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</si>
  <si>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</si>
  <si>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</si>
  <si>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</si>
  <si>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</si>
  <si>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</si>
  <si>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</si>
  <si>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</si>
  <si>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</si>
  <si>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</si>
  <si>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</si>
  <si>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</si>
  <si>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</si>
  <si>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</si>
  <si>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</si>
  <si>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</si>
  <si>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</si>
  <si>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</si>
  <si>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</si>
  <si>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</si>
  <si>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</si>
  <si>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</si>
  <si>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</si>
  <si>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</si>
  <si>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</si>
  <si>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</si>
  <si>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</si>
  <si>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</si>
  <si>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</si>
  <si>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</si>
  <si>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</si>
  <si>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</si>
  <si>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</si>
  <si>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</si>
  <si>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</si>
  <si>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</si>
  <si>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</si>
  <si>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</si>
  <si>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</si>
  <si>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</si>
  <si>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</si>
  <si>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</si>
  <si>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</si>
  <si>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</si>
  <si>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</si>
  <si>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</si>
  <si>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</si>
  <si>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</si>
  <si>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</si>
  <si>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</si>
  <si>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</si>
  <si>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</si>
  <si>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</si>
  <si>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</si>
  <si>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</si>
  <si>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</si>
  <si>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</si>
  <si>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</si>
  <si>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</si>
  <si>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</si>
  <si>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</si>
  <si>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</si>
  <si>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</si>
  <si>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</si>
  <si>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</si>
  <si>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</si>
  <si>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</si>
  <si>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</si>
  <si>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</si>
  <si>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</si>
  <si>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</si>
  <si>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</si>
  <si>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</si>
  <si>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</si>
  <si>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</si>
  <si>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</si>
  <si>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</si>
  <si>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</si>
  <si>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</si>
  <si>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</si>
  <si>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</si>
  <si>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</si>
  <si>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</si>
  <si>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</si>
  <si>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</si>
  <si>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</si>
  <si>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</si>
  <si>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</si>
  <si>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</si>
  <si>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</si>
  <si>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</si>
  <si>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</si>
  <si>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</si>
  <si>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</si>
  <si>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</si>
  <si>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</si>
  <si>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</si>
  <si>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</si>
  <si>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</si>
  <si>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</si>
  <si>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</si>
  <si>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</si>
  <si>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</si>
  <si>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</si>
  <si>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</si>
  <si>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</si>
  <si>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</si>
  <si>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</si>
  <si>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</si>
  <si>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</si>
  <si>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</si>
  <si>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</si>
  <si>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</si>
  <si>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</si>
  <si>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</si>
  <si>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</si>
  <si>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</si>
  <si>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</si>
  <si>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</si>
  <si>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</si>
  <si>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</si>
  <si>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</si>
  <si>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</si>
  <si>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</si>
  <si>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</si>
  <si>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</si>
  <si>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</si>
  <si>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</si>
  <si>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</si>
  <si>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</si>
  <si>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</si>
  <si>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</si>
  <si>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</si>
  <si>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</si>
  <si>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</si>
  <si>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</si>
  <si>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</si>
  <si>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</si>
  <si>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</si>
  <si>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</si>
  <si>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</si>
  <si>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</si>
  <si>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</si>
  <si>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</si>
  <si>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</si>
  <si>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</si>
  <si>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</si>
  <si>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</si>
  <si>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</si>
  <si>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</si>
  <si>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</si>
  <si>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</si>
  <si>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</si>
  <si>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</si>
  <si>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</si>
  <si>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</si>
  <si>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</si>
  <si>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</si>
  <si>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</si>
  <si>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</si>
  <si>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</si>
  <si>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</si>
  <si>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</si>
  <si>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</si>
  <si>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</si>
  <si>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</si>
  <si>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</si>
  <si>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</si>
  <si>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</si>
  <si>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</si>
  <si>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</si>
  <si>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</si>
  <si>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</si>
  <si>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</si>
  <si>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</si>
  <si>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</si>
  <si>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</si>
  <si>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</si>
  <si>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</si>
  <si>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</si>
  <si>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</si>
  <si>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</si>
  <si>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</si>
  <si>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</si>
  <si>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</si>
  <si>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</si>
  <si>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</si>
  <si>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</si>
  <si>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</si>
  <si>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</si>
  <si>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</si>
  <si>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</si>
  <si>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</si>
  <si>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</si>
  <si>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</si>
  <si>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</si>
  <si>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</si>
  <si>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</si>
  <si>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</si>
  <si>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</si>
  <si>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</si>
  <si>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</si>
  <si>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</si>
  <si>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</si>
  <si>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</si>
  <si>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</si>
  <si>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</si>
  <si>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</si>
  <si>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</si>
  <si>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</si>
  <si>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</si>
  <si>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</si>
  <si>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</si>
  <si>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</si>
  <si>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</si>
  <si>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</si>
  <si>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</si>
  <si>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</si>
  <si>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</si>
  <si>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</si>
  <si>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</si>
  <si>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</si>
  <si>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</si>
  <si>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</si>
  <si>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</si>
  <si>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</si>
  <si>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</si>
  <si>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</si>
  <si>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</si>
  <si>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</si>
  <si>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</si>
  <si>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</si>
  <si>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</si>
  <si>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</si>
  <si>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</si>
  <si>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</si>
  <si>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</si>
  <si>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</si>
  <si>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</si>
  <si>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</si>
  <si>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</si>
  <si>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</si>
  <si>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</si>
  <si>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</si>
  <si>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</si>
  <si>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</si>
  <si>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</si>
  <si>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</si>
  <si>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</si>
  <si>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</si>
  <si>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</si>
  <si>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</si>
  <si>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</si>
  <si>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</si>
  <si>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</si>
  <si>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</si>
  <si>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</si>
  <si>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</si>
  <si>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</si>
  <si>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</si>
  <si>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</si>
  <si>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</si>
  <si>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</si>
  <si>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</si>
  <si>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</si>
  <si>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</si>
  <si>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</si>
  <si>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</si>
  <si>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</si>
  <si>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</si>
  <si>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</si>
  <si>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</si>
  <si>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</si>
  <si>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</si>
  <si>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</si>
  <si>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</si>
  <si>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</si>
  <si>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</si>
  <si>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</si>
  <si>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</si>
  <si>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</si>
  <si>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</si>
  <si>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</si>
  <si>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</si>
  <si>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</si>
  <si>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The Kraft Heinz</t>
  </si>
  <si>
    <t>KHC</t>
  </si>
  <si>
    <t/>
  </si>
  <si>
    <t>USD</t>
  </si>
  <si>
    <t>CNS_01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</si>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</sst>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16" t="s">
        <v>449</v>
      </c>
      <c r="E1" s="292" t="s">
        <v>353</v>
      </c>
      <c r="F1" s="254" t="s">
        <v>455</v>
      </c>
    </row>
    <row r="2" spans="1:10" ht="16" x14ac:dyDescent="0.25">
      <c r="A2" s="222" t="s">
        <v>267</v>
      </c>
      <c r="B2" s="36"/>
      <c r="C2" s="36"/>
      <c r="D2" s="36"/>
      <c r="E2" s="36"/>
      <c r="F2" s="36"/>
      <c r="G2" s="22"/>
      <c r="H2" s="22"/>
      <c r="I2" s="22"/>
      <c r="J2" s="22"/>
    </row>
    <row r="4" spans="1:10" x14ac:dyDescent="0.15">
      <c r="B4" s="45" t="s">
        <v>414</v>
      </c>
      <c r="C4" s="46"/>
      <c r="D4" s="5"/>
      <c r="E4" s="2"/>
      <c r="F4" s="2"/>
    </row>
    <row r="5" spans="1:10" ht="14" x14ac:dyDescent="0.2">
      <c r="B5" s="4" t="s">
        <v>315</v>
      </c>
      <c r="C5" s="294" t="s">
        <v>456</v>
      </c>
    </row>
    <row r="6" spans="1:10" x14ac:dyDescent="0.15">
      <c r="B6" s="4" t="s">
        <v>0</v>
      </c>
      <c r="C6" s="51">
        <v>1193400064</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417</v>
      </c>
      <c r="C10" s="46"/>
      <c r="E10" s="34"/>
    </row>
    <row r="11" spans="1:10" x14ac:dyDescent="0.15">
      <c r="B11" s="1" t="s">
        <v>416</v>
      </c>
      <c r="C11" s="49" t="s">
        <v>457</v>
      </c>
      <c r="D11" s="49" t="s">
        <v>458</v>
      </c>
      <c r="E11" s="34"/>
    </row>
    <row r="12" spans="1:10" x14ac:dyDescent="0.15">
      <c r="B12" s="4" t="s">
        <v>94</v>
      </c>
      <c r="C12" s="50">
        <v>26.83</v>
      </c>
      <c r="D12" s="50"/>
      <c r="E12" s="48"/>
    </row>
    <row r="13" spans="1:10" x14ac:dyDescent="0.15">
      <c r="B13" s="1" t="s">
        <v>415</v>
      </c>
      <c r="C13" s="48" t="s">
        <v>459</v>
      </c>
      <c r="D13" s="48"/>
      <c r="E13" s="5"/>
    </row>
    <row r="14" spans="1:10" x14ac:dyDescent="0.15">
      <c r="B14" s="4" t="s">
        <v>419</v>
      </c>
      <c r="C14" s="35">
        <f>Thesis!C12*Common_Shares/1000000</f>
        <v>32018.92371712</v>
      </c>
      <c r="D14" s="35" t="str">
        <f>IF(D11="","",Thesis!D12*Common_Shares/1000000)</f>
        <v/>
      </c>
      <c r="E14" s="5"/>
    </row>
    <row r="15" spans="1:10" x14ac:dyDescent="0.15">
      <c r="B15" s="4" t="s">
        <v>418</v>
      </c>
      <c r="C15" s="32" t="str">
        <f>IF(C25=C13,C13,C25&amp;"/"&amp;C13)</f>
        <v>USD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Low Growth </v>
      </c>
      <c r="D21" s="1" t="s">
        <v>438</v>
      </c>
      <c r="E21" s="308" t="s">
        <v>461</v>
      </c>
    </row>
    <row r="22" spans="2:6" x14ac:dyDescent="0.15">
      <c r="B22" s="2" t="s">
        <v>56</v>
      </c>
      <c r="C22" s="48" t="s">
        <v>460</v>
      </c>
      <c r="D22" s="1" t="str">
        <f>IF(valuation_method="DDM","DDM Terminal Value","")</f>
        <v/>
      </c>
      <c r="E22" s="313"/>
    </row>
    <row r="23" spans="2:6" x14ac:dyDescent="0.15">
      <c r="B23" s="1" t="s">
        <v>433</v>
      </c>
      <c r="C23" s="262" t="s">
        <v>455</v>
      </c>
    </row>
    <row r="24" spans="2:6" x14ac:dyDescent="0.15">
      <c r="B24" s="1" t="s">
        <v>434</v>
      </c>
      <c r="C24" s="262" t="s">
        <v>455</v>
      </c>
    </row>
    <row r="25" spans="2:6" x14ac:dyDescent="0.15">
      <c r="B25" s="4" t="s">
        <v>347</v>
      </c>
      <c r="C25" s="48" t="s">
        <v>459</v>
      </c>
      <c r="D25" s="32" t="str">
        <f>IF(D11="","",Market_currency&amp;"/"&amp;D13&amp;":")</f>
        <v/>
      </c>
      <c r="E25" s="299" t="str">
        <f>IF(D11="","",1/Exchange_Rate*D16)</f>
        <v/>
      </c>
    </row>
    <row r="26" spans="2:6" x14ac:dyDescent="0.15">
      <c r="B26" s="1" t="str">
        <f>"Expected Equity Value ("&amp;C13&amp;") :"</f>
        <v>Expected Equity Value (USD) :</v>
      </c>
      <c r="C26" s="304">
        <f>C132</f>
        <v>36.134621832566509</v>
      </c>
      <c r="D26" s="1" t="s">
        <v>399</v>
      </c>
      <c r="E26" s="301">
        <f ca="1">Scenarios!C87</f>
        <v>0.15868521802257218</v>
      </c>
    </row>
    <row r="27" spans="2:6" x14ac:dyDescent="0.15">
      <c r="D27" s="5"/>
      <c r="E27" s="5"/>
    </row>
    <row r="28" spans="2:6" x14ac:dyDescent="0.15">
      <c r="B28" s="45" t="s">
        <v>432</v>
      </c>
      <c r="C28" s="309" t="str">
        <f>C145&amp;" ("&amp;Market_currency&amp;")"</f>
        <v>KHC (USD)</v>
      </c>
      <c r="D28" s="309" t="str">
        <f>IF(D11="","",D145&amp;" ("&amp;D13&amp;")")</f>
        <v/>
      </c>
      <c r="E28" s="305" t="s">
        <v>428</v>
      </c>
      <c r="F28" s="303">
        <v>3</v>
      </c>
    </row>
    <row r="29" spans="2:6" x14ac:dyDescent="0.15">
      <c r="B29" s="1" t="s">
        <v>424</v>
      </c>
      <c r="C29" s="310">
        <f>C149</f>
        <v>16.7846939344021</v>
      </c>
      <c r="D29" s="310" t="str">
        <f>D149</f>
        <v/>
      </c>
      <c r="E29" s="306" t="s">
        <v>423</v>
      </c>
      <c r="F29" s="302">
        <v>0.3674</v>
      </c>
    </row>
    <row r="30" spans="2:6" x14ac:dyDescent="0.15">
      <c r="B30" s="1" t="s">
        <v>425</v>
      </c>
      <c r="C30" s="311">
        <f>C157</f>
        <v>23.307997499907511</v>
      </c>
      <c r="D30" s="311" t="str">
        <f>D157</f>
        <v/>
      </c>
      <c r="E30" s="307" t="s">
        <v>436</v>
      </c>
      <c r="F30" s="312">
        <v>0.21740000000000001</v>
      </c>
    </row>
    <row r="31" spans="2:6" x14ac:dyDescent="0.15">
      <c r="B31" s="1" t="s">
        <v>426</v>
      </c>
      <c r="C31" s="311">
        <f>C165</f>
        <v>33.247786953152008</v>
      </c>
      <c r="D31" s="311" t="str">
        <f>D165</f>
        <v/>
      </c>
      <c r="E31" s="307" t="s">
        <v>435</v>
      </c>
      <c r="F31" s="312">
        <v>7.4999999999999997E-2</v>
      </c>
    </row>
    <row r="32" spans="2:6" x14ac:dyDescent="0.15">
      <c r="B32" s="1" t="s">
        <v>427</v>
      </c>
      <c r="C32" s="311">
        <f>C173</f>
        <v>29.760030747653474</v>
      </c>
      <c r="D32" s="311" t="str">
        <f>D173</f>
        <v/>
      </c>
      <c r="E32" s="307" t="s">
        <v>437</v>
      </c>
      <c r="F32" s="312">
        <v>0.1174</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1000000</v>
      </c>
    </row>
    <row r="40" spans="1:6" ht="24.5" customHeight="1" x14ac:dyDescent="0.15">
      <c r="B40" s="357" t="s">
        <v>231</v>
      </c>
      <c r="C40" s="357"/>
      <c r="D40" s="357"/>
      <c r="E40" s="357"/>
      <c r="F40" s="357"/>
    </row>
    <row r="41" spans="1:6" x14ac:dyDescent="0.15">
      <c r="B41" s="47" t="s">
        <v>232</v>
      </c>
      <c r="C41" s="349">
        <f>Normalized_FCF!C8</f>
        <v>5023.2701205832382</v>
      </c>
      <c r="D41" s="1" t="str">
        <f>Reporting_currency</f>
        <v>USD</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1164</v>
      </c>
      <c r="D44" s="1" t="str">
        <f>Reporting_currency</f>
        <v>USD</v>
      </c>
    </row>
    <row r="45" spans="1:6" x14ac:dyDescent="0.15">
      <c r="B45" s="52" t="s">
        <v>235</v>
      </c>
      <c r="C45" s="349">
        <f>Normalized_FCF!C10</f>
        <v>-1164</v>
      </c>
      <c r="D45" s="1" t="str">
        <f>Reporting_currency</f>
        <v>USD</v>
      </c>
    </row>
    <row r="47" spans="1:6" x14ac:dyDescent="0.15">
      <c r="B47" s="357" t="s">
        <v>236</v>
      </c>
      <c r="C47" s="357"/>
      <c r="D47" s="357"/>
      <c r="E47" s="357"/>
      <c r="F47" s="357"/>
    </row>
    <row r="48" spans="1:6" x14ac:dyDescent="0.15">
      <c r="B48" s="47" t="s">
        <v>237</v>
      </c>
      <c r="C48" s="349">
        <f>Normalized_FCF!C11</f>
        <v>0</v>
      </c>
      <c r="D48" s="1" t="str">
        <f>Reporting_currency</f>
        <v>USD</v>
      </c>
    </row>
    <row r="50" spans="2:6" x14ac:dyDescent="0.15">
      <c r="B50" s="357" t="s">
        <v>240</v>
      </c>
      <c r="C50" s="357"/>
      <c r="D50" s="357"/>
      <c r="E50" s="357"/>
      <c r="F50" s="357"/>
    </row>
    <row r="51" spans="2:6" x14ac:dyDescent="0.15">
      <c r="B51" s="47" t="s">
        <v>340</v>
      </c>
      <c r="C51" s="350">
        <f>Normalized_FCF!C48</f>
        <v>0</v>
      </c>
      <c r="D51" s="1" t="str">
        <f>Reporting_currency</f>
        <v>USD</v>
      </c>
      <c r="E51" s="286"/>
      <c r="F51" s="286"/>
    </row>
    <row r="52" spans="2:6" x14ac:dyDescent="0.15">
      <c r="B52" s="47" t="s">
        <v>341</v>
      </c>
      <c r="C52" s="350">
        <f>Normalized_FCF!C47</f>
        <v>-912</v>
      </c>
      <c r="D52" s="1" t="str">
        <f>Reporting_currency</f>
        <v>USD</v>
      </c>
      <c r="E52" s="286"/>
      <c r="F52" s="286"/>
    </row>
    <row r="53" spans="2:6" x14ac:dyDescent="0.15">
      <c r="B53" s="47" t="s">
        <v>238</v>
      </c>
      <c r="C53" s="349">
        <f>Normalized_FCF!C12</f>
        <v>-912</v>
      </c>
      <c r="D53" s="1" t="str">
        <f>Reporting_currency</f>
        <v>USD</v>
      </c>
    </row>
    <row r="55" spans="2:6" x14ac:dyDescent="0.15">
      <c r="B55" s="1" t="s">
        <v>246</v>
      </c>
    </row>
    <row r="56" spans="2:6" x14ac:dyDescent="0.15">
      <c r="B56" s="47" t="s">
        <v>265</v>
      </c>
      <c r="C56" s="349">
        <f>Normalized_FCF!C15</f>
        <v>-12.097342754012749</v>
      </c>
      <c r="D56" s="1" t="str">
        <f>Reporting_currency</f>
        <v>USD</v>
      </c>
    </row>
    <row r="58" spans="2:6" x14ac:dyDescent="0.15">
      <c r="B58" s="357" t="s">
        <v>241</v>
      </c>
      <c r="C58" s="357"/>
      <c r="D58" s="357"/>
      <c r="E58" s="357"/>
      <c r="F58" s="357"/>
    </row>
    <row r="59" spans="2:6" x14ac:dyDescent="0.15">
      <c r="B59" s="47" t="s">
        <v>239</v>
      </c>
      <c r="C59" s="349">
        <f>Normalized_FCF!C14</f>
        <v>-1068.9302313516419</v>
      </c>
      <c r="D59" s="1" t="str">
        <f>Reporting_currency</f>
        <v>USD</v>
      </c>
    </row>
    <row r="61" spans="2:6" x14ac:dyDescent="0.15">
      <c r="B61" s="357" t="s">
        <v>338</v>
      </c>
      <c r="C61" s="360"/>
      <c r="D61" s="360"/>
      <c r="E61" s="360"/>
      <c r="F61" s="360"/>
    </row>
    <row r="62" spans="2:6" x14ac:dyDescent="0.15">
      <c r="B62" s="47" t="s">
        <v>242</v>
      </c>
      <c r="C62" s="349">
        <f>Normalized_FCF!C17</f>
        <v>0</v>
      </c>
      <c r="D62" s="1" t="str">
        <f>Reporting_currency</f>
        <v>USD</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2548</v>
      </c>
      <c r="D67" s="1" t="str">
        <f>Reporting_currency</f>
        <v>USD</v>
      </c>
    </row>
    <row r="68" spans="1:6" x14ac:dyDescent="0.15">
      <c r="B68" s="47" t="s">
        <v>248</v>
      </c>
      <c r="C68" s="349">
        <f>Normalized_FCF!C19</f>
        <v>3030.2425464775833</v>
      </c>
      <c r="D68" s="1" t="str">
        <f>Reporting_currency</f>
        <v>USD</v>
      </c>
    </row>
    <row r="69" spans="1:6" x14ac:dyDescent="0.15">
      <c r="B69" s="227" t="s">
        <v>390</v>
      </c>
      <c r="C69" s="92">
        <f>Normalized_FCF!C125</f>
        <v>9.4639113208460593E-2</v>
      </c>
      <c r="F69" s="314"/>
    </row>
    <row r="70" spans="1:6" x14ac:dyDescent="0.15">
      <c r="B70" s="227" t="s">
        <v>308</v>
      </c>
      <c r="C70" s="92">
        <f>Normalized_FCF!C93</f>
        <v>5.9634737234439066E-2</v>
      </c>
      <c r="E70" s="47" t="s">
        <v>447</v>
      </c>
      <c r="F70" s="315">
        <f>Normalized_FCF!C92</f>
        <v>0.63012781093037351</v>
      </c>
    </row>
    <row r="72" spans="1:6" x14ac:dyDescent="0.15">
      <c r="B72" s="210" t="s">
        <v>450</v>
      </c>
      <c r="C72" s="323" t="s">
        <v>452</v>
      </c>
      <c r="D72" s="323" t="s">
        <v>453</v>
      </c>
    </row>
    <row r="73" spans="1:6" x14ac:dyDescent="0.15">
      <c r="B73" s="47" t="s">
        <v>451</v>
      </c>
      <c r="C73" s="92">
        <f>Normalized_FCF!C120</f>
        <v>8.3350635997632802E-2</v>
      </c>
      <c r="D73" s="92">
        <f>Normalized_FCF!G120</f>
        <v>9.0015205271160664E-2</v>
      </c>
    </row>
    <row r="74" spans="1:6" x14ac:dyDescent="0.15">
      <c r="B74" s="259" t="str">
        <f>Normalized_FCF!B117</f>
        <v>Pre-tax Profit/Sales</v>
      </c>
      <c r="C74" s="322">
        <f>Normalized_FCF!C117</f>
        <v>0.15660042549334799</v>
      </c>
      <c r="D74" s="322">
        <f>Normalized_FCF!G117</f>
        <v>0.17178673682581444</v>
      </c>
    </row>
    <row r="75" spans="1:6" x14ac:dyDescent="0.15">
      <c r="B75" s="259" t="str">
        <f>Normalized_FCF!B118</f>
        <v>Sales/Total Assets</v>
      </c>
      <c r="C75" s="324">
        <f>Normalized_FCF!C118</f>
        <v>0.29736257886212014</v>
      </c>
      <c r="D75" s="324">
        <f>Normalized_FCF!G118</f>
        <v>0.29274978196110413</v>
      </c>
    </row>
    <row r="76" spans="1:6" x14ac:dyDescent="0.15">
      <c r="B76" s="259" t="str">
        <f>Normalized_FCF!B119</f>
        <v>Total Assets/Equity</v>
      </c>
      <c r="C76" s="324">
        <f>Normalized_FCF!C119</f>
        <v>1.7899036999493159</v>
      </c>
      <c r="D76" s="324">
        <f>Normalized_FCF!G119</f>
        <v>1.7899036999493159</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430</v>
      </c>
      <c r="C84" s="92">
        <f>F31</f>
        <v>7.4999999999999997E-2</v>
      </c>
    </row>
    <row r="85" spans="1:6" x14ac:dyDescent="0.15">
      <c r="B85" s="1" t="s">
        <v>429</v>
      </c>
      <c r="C85" s="92">
        <f>IF(C23="Y",1%,0)+IF(C24="Y",1%,0)</f>
        <v>0</v>
      </c>
    </row>
    <row r="86" spans="1:6" x14ac:dyDescent="0.15">
      <c r="B86" s="80" t="s">
        <v>247</v>
      </c>
      <c r="C86" s="236">
        <f>F31+C85</f>
        <v>7.4999999999999997E-2</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33.8555654317733</v>
      </c>
      <c r="D93" s="1" t="str">
        <f>Market_currency</f>
        <v>USD</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19869</v>
      </c>
      <c r="D102" s="1" t="str">
        <f>Reporting_currency</f>
        <v>USD</v>
      </c>
    </row>
    <row r="103" spans="2:6" x14ac:dyDescent="0.15">
      <c r="B103" s="47" t="s">
        <v>281</v>
      </c>
      <c r="C103" s="223">
        <f>C102*scaling_factor*Exchange_Rate/Common_Shares</f>
        <v>16.649068991502919</v>
      </c>
      <c r="D103" s="1" t="str">
        <f>Market_currency</f>
        <v>USD</v>
      </c>
    </row>
    <row r="104" spans="2:6" x14ac:dyDescent="0.15">
      <c r="B104" s="296" t="s">
        <v>404</v>
      </c>
      <c r="C104" s="325">
        <f>IF(BS!G31/BS!G27&gt;300%,"nm",BS!G31/BS!G27)</f>
        <v>0.40281804358844397</v>
      </c>
    </row>
    <row r="105" spans="2:6" x14ac:dyDescent="0.15">
      <c r="B105" s="296" t="s">
        <v>406</v>
      </c>
      <c r="C105" s="326">
        <f>IF(BS!C50&gt;30,"nm",BS!C50)</f>
        <v>3.955391512509995</v>
      </c>
    </row>
    <row r="107" spans="2:6" x14ac:dyDescent="0.15">
      <c r="B107" s="1" t="s">
        <v>254</v>
      </c>
    </row>
    <row r="108" spans="2:6" x14ac:dyDescent="0.15">
      <c r="B108" s="47" t="s">
        <v>264</v>
      </c>
      <c r="C108" s="349">
        <f>BS!C66</f>
        <v>1334</v>
      </c>
      <c r="D108" s="1" t="str">
        <f>Reporting_currency</f>
        <v>USD</v>
      </c>
    </row>
    <row r="109" spans="2:6" x14ac:dyDescent="0.15">
      <c r="B109" s="47" t="s">
        <v>266</v>
      </c>
      <c r="C109" s="349">
        <f>DCF!C8</f>
        <v>-594.28499848473007</v>
      </c>
      <c r="D109" s="1" t="str">
        <f>Reporting_currency</f>
        <v>USD</v>
      </c>
    </row>
    <row r="110" spans="2:6" x14ac:dyDescent="0.15">
      <c r="B110" s="47" t="s">
        <v>282</v>
      </c>
      <c r="C110" s="223">
        <f>C109*scaling_factor*Exchange_Rate/Common_Shares</f>
        <v>-0.49797634205986613</v>
      </c>
      <c r="D110" s="1" t="str">
        <f>Market_currency</f>
        <v>USD</v>
      </c>
    </row>
    <row r="112" spans="2:6" x14ac:dyDescent="0.15">
      <c r="B112" s="1" t="s">
        <v>256</v>
      </c>
    </row>
    <row r="113" spans="1:6" x14ac:dyDescent="0.15">
      <c r="B113" s="47" t="s">
        <v>257</v>
      </c>
      <c r="C113" s="349">
        <f>DCF!C9</f>
        <v>0</v>
      </c>
      <c r="D113" s="1" t="str">
        <f>Reporting_currency</f>
        <v>USD</v>
      </c>
    </row>
    <row r="114" spans="1:6" x14ac:dyDescent="0.15">
      <c r="B114" s="47" t="s">
        <v>283</v>
      </c>
      <c r="C114" s="223">
        <f>C113*scaling_factor*Exchange_Rate/Common_Shares</f>
        <v>0</v>
      </c>
      <c r="D114" s="1" t="str">
        <f>Market_currency</f>
        <v>USD</v>
      </c>
    </row>
    <row r="116" spans="1:6" ht="24.5" customHeight="1" x14ac:dyDescent="0.15">
      <c r="B116" s="356" t="s">
        <v>366</v>
      </c>
      <c r="C116" s="356"/>
      <c r="D116" s="356"/>
      <c r="E116" s="356"/>
      <c r="F116" s="356"/>
    </row>
    <row r="118" spans="1:6" x14ac:dyDescent="0.15">
      <c r="B118" s="47" t="s">
        <v>448</v>
      </c>
      <c r="C118" s="223">
        <f>IF(valuation_method="DCF",DCF!C12,DDM!C7)</f>
        <v>16.708520098210517</v>
      </c>
      <c r="D118" s="1" t="str">
        <f>Market_currency</f>
        <v>USD</v>
      </c>
    </row>
    <row r="119" spans="1:6" x14ac:dyDescent="0.15">
      <c r="B119" s="296" t="s">
        <v>405</v>
      </c>
      <c r="C119" s="223">
        <f>BS!D47</f>
        <v>-26.938493611476797</v>
      </c>
      <c r="D119" s="1" t="str">
        <f>Market_currency</f>
        <v>USD</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0.08</v>
      </c>
      <c r="D126" s="230">
        <f>DCF!D74</f>
        <v>30</v>
      </c>
      <c r="E126" s="231" t="str">
        <f>ROUND(IF(valuation_method="DCF",DCF!E74,DDM!E69),2)&amp;" "&amp;Market_currency</f>
        <v>68.95 USD</v>
      </c>
      <c r="F126" s="232">
        <f>DCF!F74</f>
        <v>0.05</v>
      </c>
    </row>
    <row r="127" spans="1:6" x14ac:dyDescent="0.15">
      <c r="B127" s="218" t="str">
        <f>DCF!B75</f>
        <v>Optimistic</v>
      </c>
      <c r="C127" s="219">
        <f>DCF!C75</f>
        <v>0.06</v>
      </c>
      <c r="D127" s="220">
        <f>DCF!D75</f>
        <v>30</v>
      </c>
      <c r="E127" s="231" t="str">
        <f>ROUND(IF(valuation_method="DCF",DCF!E75,DDM!E70),2)&amp;" "&amp;Market_currency</f>
        <v>48.67 USD</v>
      </c>
      <c r="F127" s="221">
        <f>DCF!F75</f>
        <v>0.22499999999999998</v>
      </c>
    </row>
    <row r="128" spans="1:6" x14ac:dyDescent="0.15">
      <c r="B128" s="218" t="str">
        <f>DCF!B76</f>
        <v>Base</v>
      </c>
      <c r="C128" s="219">
        <f>DCF!C76</f>
        <v>0.04</v>
      </c>
      <c r="D128" s="220">
        <f>DCF!D76</f>
        <v>30</v>
      </c>
      <c r="E128" s="231" t="str">
        <f>ROUND(IF(valuation_method="DCF",DCF!E76,DDM!E71),2)&amp;" "&amp;Market_currency</f>
        <v>34.37 USD</v>
      </c>
      <c r="F128" s="221">
        <f>DCF!F76</f>
        <v>0.44999999999999996</v>
      </c>
    </row>
    <row r="129" spans="1:6" x14ac:dyDescent="0.15">
      <c r="B129" s="218" t="str">
        <f>DCF!B77</f>
        <v>Pessimistic</v>
      </c>
      <c r="C129" s="219">
        <f>DCF!C77</f>
        <v>0.02</v>
      </c>
      <c r="D129" s="220">
        <f>DCF!D77</f>
        <v>30</v>
      </c>
      <c r="E129" s="231" t="str">
        <f>ROUND(IF(valuation_method="DCF",DCF!E77,DDM!E72),2)&amp;" "&amp;Market_currency</f>
        <v>24.14 USD</v>
      </c>
      <c r="F129" s="221">
        <f>DCF!F77</f>
        <v>0.22499999999999998</v>
      </c>
    </row>
    <row r="130" spans="1:6" x14ac:dyDescent="0.15">
      <c r="B130" s="218" t="str">
        <f>DCF!B78</f>
        <v>Devil's advocate</v>
      </c>
      <c r="C130" s="219">
        <f>DCF!C78</f>
        <v>0</v>
      </c>
      <c r="D130" s="220">
        <f>DCF!D78</f>
        <v>30</v>
      </c>
      <c r="E130" s="231" t="str">
        <f>ROUND(IF(valuation_method="DCF",DCF!E78,DDM!E73),2)&amp;" "&amp;Market_currency</f>
        <v>16.71 USD</v>
      </c>
      <c r="F130" s="221">
        <f>DCF!F78</f>
        <v>0.05</v>
      </c>
    </row>
    <row r="132" spans="1:6" x14ac:dyDescent="0.15">
      <c r="B132" s="211" t="s">
        <v>258</v>
      </c>
      <c r="C132" s="217">
        <f>Scenarios!C60</f>
        <v>36.134621832566509</v>
      </c>
      <c r="D132" s="212" t="str">
        <f>Market_currency</f>
        <v>USD</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0.3674</v>
      </c>
    </row>
    <row r="143" spans="1:6" x14ac:dyDescent="0.15">
      <c r="B143" s="212" t="s">
        <v>261</v>
      </c>
      <c r="C143" s="213">
        <f>Scenarios!C77</f>
        <v>1.6</v>
      </c>
      <c r="D143" s="212" t="str">
        <f>Market_currency</f>
        <v>USD</v>
      </c>
    </row>
    <row r="145" spans="2:4" x14ac:dyDescent="0.15">
      <c r="B145" s="210" t="s">
        <v>408</v>
      </c>
      <c r="C145" s="241" t="str">
        <f>C11</f>
        <v>KHC</v>
      </c>
      <c r="D145" s="241" t="str">
        <f>IF(D11="","",D11)</f>
        <v/>
      </c>
    </row>
    <row r="146" spans="2:4" x14ac:dyDescent="0.15">
      <c r="B146" s="1" t="s">
        <v>407</v>
      </c>
      <c r="C146" s="297">
        <f>F29</f>
        <v>0.3674</v>
      </c>
    </row>
    <row r="147" spans="2:4" x14ac:dyDescent="0.15">
      <c r="B147" s="212" t="str">
        <f>"PV("&amp;C141&amp;" yrs of Dividends)"</f>
        <v>PV(3 yrs of Dividends)</v>
      </c>
      <c r="C147" s="216">
        <f>Scenarios!C81</f>
        <v>2.6516149109837741</v>
      </c>
    </row>
    <row r="148" spans="2:4" x14ac:dyDescent="0.15">
      <c r="B148" s="212" t="str">
        <f>"+ PV(Equity Value realized at year "&amp;C141&amp;")"</f>
        <v>+ PV(Equity Value realized at year 3)</v>
      </c>
      <c r="C148" s="216">
        <f>Scenarios!C82</f>
        <v>14.133079023418324</v>
      </c>
    </row>
    <row r="149" spans="2:4" x14ac:dyDescent="0.15">
      <c r="B149" s="80" t="s">
        <v>260</v>
      </c>
      <c r="C149" s="215">
        <f>Scenarios!C83</f>
        <v>16.7846939344021</v>
      </c>
      <c r="D149" s="300" t="str">
        <f>IF($D$11="","",C149*$E$25)</f>
        <v/>
      </c>
    </row>
    <row r="150" spans="2:4" x14ac:dyDescent="0.15">
      <c r="B150" s="259" t="s">
        <v>415</v>
      </c>
      <c r="C150" s="298" t="str">
        <f>Market_currency</f>
        <v>USD</v>
      </c>
      <c r="D150" s="298" t="str">
        <f>IF($D$11="","",D$13)</f>
        <v/>
      </c>
    </row>
    <row r="151" spans="2:4" x14ac:dyDescent="0.15">
      <c r="B151" s="214" t="s">
        <v>262</v>
      </c>
      <c r="C151" s="92">
        <f>Scenarios!F83</f>
        <v>0.53549551418648556</v>
      </c>
    </row>
    <row r="153" spans="2:4" x14ac:dyDescent="0.15">
      <c r="B153" s="210" t="s">
        <v>411</v>
      </c>
    </row>
    <row r="154" spans="2:4" x14ac:dyDescent="0.15">
      <c r="B154" s="1" t="s">
        <v>410</v>
      </c>
      <c r="C154" s="297">
        <f>Scenarios!C90</f>
        <v>0.21740000000000001</v>
      </c>
    </row>
    <row r="155" spans="2:4" x14ac:dyDescent="0.15">
      <c r="B155" s="212" t="str">
        <f>"PV("&amp;C141&amp;" yrs of Dividends)"</f>
        <v>PV(3 yrs of Dividends)</v>
      </c>
      <c r="C155" s="216">
        <f>Scenarios!C91</f>
        <v>3.2806413181838994</v>
      </c>
    </row>
    <row r="156" spans="2:4" x14ac:dyDescent="0.15">
      <c r="B156" s="212" t="str">
        <f>"+ PV(Equity Value realized at year "&amp;C141&amp;")"</f>
        <v>+ PV(Equity Value realized at year 3)</v>
      </c>
      <c r="C156" s="216">
        <f>Scenarios!C92</f>
        <v>20.027356181723611</v>
      </c>
    </row>
    <row r="157" spans="2:4" x14ac:dyDescent="0.15">
      <c r="B157" s="80" t="s">
        <v>260</v>
      </c>
      <c r="C157" s="215">
        <f>Scenarios!C93</f>
        <v>23.307997499907511</v>
      </c>
      <c r="D157" s="300" t="str">
        <f>IF($D$11="","",C157*$E$25)</f>
        <v/>
      </c>
    </row>
    <row r="158" spans="2:4" x14ac:dyDescent="0.15">
      <c r="B158" s="259" t="s">
        <v>415</v>
      </c>
      <c r="C158" s="298" t="str">
        <f>Market_currency</f>
        <v>USD</v>
      </c>
      <c r="D158" s="298" t="str">
        <f>IF($D$11="","",D$13)</f>
        <v/>
      </c>
    </row>
    <row r="159" spans="2:4" x14ac:dyDescent="0.15">
      <c r="B159" s="214" t="s">
        <v>262</v>
      </c>
      <c r="C159" s="92">
        <f>Scenarios!F93</f>
        <v>0.35496772021283307</v>
      </c>
    </row>
    <row r="161" spans="2:4" x14ac:dyDescent="0.15">
      <c r="B161" s="210" t="s">
        <v>400</v>
      </c>
    </row>
    <row r="162" spans="2:4" x14ac:dyDescent="0.15">
      <c r="B162" s="1" t="s">
        <v>409</v>
      </c>
      <c r="C162" s="92">
        <f>Scenarios!C96</f>
        <v>7.4999999999999997E-2</v>
      </c>
    </row>
    <row r="163" spans="2:4" x14ac:dyDescent="0.15">
      <c r="B163" s="212" t="str">
        <f>"PV("&amp;C141&amp;" yrs of Dividends)"</f>
        <v>PV(3 yrs of Dividends)</v>
      </c>
      <c r="C163" s="216">
        <f>Scenarios!C97</f>
        <v>4.1608411837951351</v>
      </c>
    </row>
    <row r="164" spans="2:4" x14ac:dyDescent="0.15">
      <c r="B164" s="212" t="str">
        <f>"+ PV(Equity Value realized at year "&amp;C141&amp;")"</f>
        <v>+ PV(Equity Value realized at year 3)</v>
      </c>
      <c r="C164" s="216">
        <f>Scenarios!C98</f>
        <v>29.086945769356873</v>
      </c>
    </row>
    <row r="165" spans="2:4" x14ac:dyDescent="0.15">
      <c r="B165" s="80" t="s">
        <v>401</v>
      </c>
      <c r="C165" s="215">
        <f>Scenarios!C99</f>
        <v>33.247786953152008</v>
      </c>
      <c r="D165" s="300" t="str">
        <f>IF($D$11="","",C165*$E$25)</f>
        <v/>
      </c>
    </row>
    <row r="166" spans="2:4" x14ac:dyDescent="0.15">
      <c r="B166" s="259" t="s">
        <v>415</v>
      </c>
      <c r="C166" s="298" t="str">
        <f>Market_currency</f>
        <v>USD</v>
      </c>
      <c r="D166" s="298" t="str">
        <f>IF($D$11="","",D$13)</f>
        <v/>
      </c>
    </row>
    <row r="167" spans="2:4" x14ac:dyDescent="0.15">
      <c r="B167" s="214" t="s">
        <v>262</v>
      </c>
      <c r="C167" s="92">
        <f>Scenarios!F99</f>
        <v>7.9891105344645608E-2</v>
      </c>
    </row>
    <row r="169" spans="2:4" x14ac:dyDescent="0.15">
      <c r="B169" s="210" t="s">
        <v>431</v>
      </c>
    </row>
    <row r="170" spans="2:4" x14ac:dyDescent="0.15">
      <c r="B170" s="1" t="s">
        <v>422</v>
      </c>
      <c r="C170" s="92">
        <f>F32</f>
        <v>0.1174</v>
      </c>
    </row>
    <row r="171" spans="2:4" x14ac:dyDescent="0.15">
      <c r="B171" s="212" t="str">
        <f>"PV("&amp;C141&amp;" yrs of Dividends)"</f>
        <v>PV(3 yrs of Dividends)</v>
      </c>
      <c r="C171" s="216">
        <f>Scenarios!C103</f>
        <v>3.8601650015018389</v>
      </c>
    </row>
    <row r="172" spans="2:4" x14ac:dyDescent="0.15">
      <c r="B172" s="212" t="str">
        <f>"+ PV(Equity Value realized at year "&amp;C141&amp;")"</f>
        <v>+ PV(Equity Value realized at year 3)</v>
      </c>
      <c r="C172" s="216">
        <f>Scenarios!C104</f>
        <v>25.899865746151637</v>
      </c>
    </row>
    <row r="173" spans="2:4" x14ac:dyDescent="0.15">
      <c r="B173" s="80" t="s">
        <v>401</v>
      </c>
      <c r="C173" s="215">
        <f>Scenarios!C105</f>
        <v>29.760030747653474</v>
      </c>
      <c r="D173" s="300" t="str">
        <f>IF($D$11="","",C173*$E$25)</f>
        <v/>
      </c>
    </row>
    <row r="174" spans="2:4" x14ac:dyDescent="0.15">
      <c r="B174" s="259" t="s">
        <v>415</v>
      </c>
      <c r="C174" s="298" t="str">
        <f>Market_currency</f>
        <v>USD</v>
      </c>
      <c r="D174" s="298" t="str">
        <f>IF($D$11="","",D$13)</f>
        <v/>
      </c>
    </row>
    <row r="175" spans="2:4" x14ac:dyDescent="0.15">
      <c r="B175" s="214" t="s">
        <v>262</v>
      </c>
      <c r="C175" s="92">
        <f>Scenarios!F105</f>
        <v>0.17586774670093841</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1000000</v>
      </c>
    </row>
    <row r="4" spans="2:13" x14ac:dyDescent="0.15">
      <c r="B4" s="32" t="s">
        <v>2</v>
      </c>
      <c r="C4" s="351">
        <v>25846</v>
      </c>
      <c r="D4" s="351">
        <v>26640</v>
      </c>
      <c r="E4" s="351">
        <v>26485</v>
      </c>
      <c r="F4" s="351">
        <v>26042</v>
      </c>
      <c r="G4" s="351">
        <v>26185</v>
      </c>
      <c r="H4" s="351">
        <v>24977</v>
      </c>
      <c r="I4" s="351">
        <v>26268</v>
      </c>
      <c r="J4" s="351">
        <v>26232</v>
      </c>
      <c r="K4" s="351">
        <v>26487</v>
      </c>
      <c r="L4" s="351">
        <v>18338</v>
      </c>
      <c r="M4" s="351"/>
    </row>
    <row r="5" spans="2:13" x14ac:dyDescent="0.15">
      <c r="B5" s="40" t="s">
        <v>43</v>
      </c>
      <c r="C5" s="351">
        <v>16878</v>
      </c>
      <c r="D5" s="351">
        <v>17714</v>
      </c>
      <c r="E5" s="351">
        <v>18363</v>
      </c>
      <c r="F5" s="351">
        <v>17360</v>
      </c>
      <c r="G5" s="351">
        <v>17008</v>
      </c>
      <c r="H5" s="351">
        <v>16830</v>
      </c>
      <c r="I5" s="351">
        <v>17347</v>
      </c>
      <c r="J5" s="351">
        <v>16529</v>
      </c>
      <c r="K5" s="351">
        <v>16901</v>
      </c>
      <c r="L5" s="351">
        <v>12577</v>
      </c>
      <c r="M5" s="351"/>
    </row>
    <row r="6" spans="2:13" x14ac:dyDescent="0.15">
      <c r="B6" s="40" t="s">
        <v>54</v>
      </c>
      <c r="C6" s="351">
        <v>3616</v>
      </c>
      <c r="D6" s="351">
        <v>3692</v>
      </c>
      <c r="E6" s="351">
        <v>4488</v>
      </c>
      <c r="F6" s="351">
        <v>5222</v>
      </c>
      <c r="G6" s="351">
        <v>7049</v>
      </c>
      <c r="H6" s="351">
        <v>5077</v>
      </c>
      <c r="I6" s="351">
        <v>19141</v>
      </c>
      <c r="J6" s="351">
        <v>2930</v>
      </c>
      <c r="K6" s="351">
        <v>3444</v>
      </c>
      <c r="L6" s="351">
        <v>3122</v>
      </c>
      <c r="M6" s="351"/>
    </row>
    <row r="7" spans="2:13" x14ac:dyDescent="0.15">
      <c r="B7" s="69" t="s">
        <v>61</v>
      </c>
      <c r="C7" s="352"/>
      <c r="D7" s="352"/>
      <c r="E7" s="352"/>
      <c r="F7" s="352"/>
      <c r="G7" s="352"/>
      <c r="H7" s="352"/>
      <c r="I7" s="352"/>
      <c r="J7" s="352"/>
      <c r="K7" s="352"/>
      <c r="L7" s="352"/>
      <c r="M7" s="352"/>
    </row>
    <row r="8" spans="2:13" x14ac:dyDescent="0.15">
      <c r="B8" s="40" t="s">
        <v>49</v>
      </c>
      <c r="C8" s="351"/>
      <c r="D8" s="351"/>
      <c r="E8" s="351"/>
      <c r="F8" s="351"/>
      <c r="G8" s="351"/>
      <c r="H8" s="351"/>
      <c r="I8" s="351"/>
      <c r="J8" s="351"/>
      <c r="K8" s="351"/>
      <c r="L8" s="351"/>
      <c r="M8" s="351"/>
    </row>
    <row r="9" spans="2:13" x14ac:dyDescent="0.15">
      <c r="B9" s="40" t="s">
        <v>159</v>
      </c>
      <c r="C9" s="351"/>
      <c r="D9" s="351"/>
      <c r="E9" s="351"/>
      <c r="F9" s="351"/>
      <c r="G9" s="351"/>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912</v>
      </c>
      <c r="D12" s="351">
        <v>912</v>
      </c>
      <c r="E12" s="351">
        <v>921</v>
      </c>
      <c r="F12" s="351">
        <v>2047</v>
      </c>
      <c r="G12" s="351">
        <v>1394</v>
      </c>
      <c r="H12" s="351">
        <v>1361</v>
      </c>
      <c r="I12" s="351">
        <v>1284</v>
      </c>
      <c r="J12" s="351">
        <v>1234</v>
      </c>
      <c r="K12" s="351">
        <v>1134</v>
      </c>
      <c r="L12" s="351">
        <v>1321</v>
      </c>
      <c r="M12" s="351"/>
    </row>
    <row r="13" spans="2:13" x14ac:dyDescent="0.15">
      <c r="B13" s="40" t="s">
        <v>67</v>
      </c>
      <c r="C13" s="351"/>
      <c r="D13" s="351"/>
      <c r="E13" s="351"/>
      <c r="F13" s="351"/>
      <c r="G13" s="351"/>
      <c r="H13" s="351"/>
      <c r="I13" s="351"/>
      <c r="J13" s="351"/>
      <c r="K13" s="351"/>
      <c r="L13" s="351"/>
      <c r="M13" s="351"/>
    </row>
    <row r="14" spans="2:13" x14ac:dyDescent="0.15">
      <c r="B14" s="40" t="s">
        <v>50</v>
      </c>
      <c r="C14" s="351">
        <v>1890</v>
      </c>
      <c r="D14" s="351">
        <v>787</v>
      </c>
      <c r="E14" s="351">
        <v>598</v>
      </c>
      <c r="F14" s="351">
        <v>684</v>
      </c>
      <c r="G14" s="351">
        <v>669</v>
      </c>
      <c r="H14" s="351">
        <v>728</v>
      </c>
      <c r="I14" s="351">
        <v>-1067</v>
      </c>
      <c r="J14" s="351">
        <v>-5460</v>
      </c>
      <c r="K14" s="351">
        <v>1381</v>
      </c>
      <c r="L14" s="351">
        <v>366</v>
      </c>
      <c r="M14" s="351"/>
    </row>
    <row r="15" spans="2:13" x14ac:dyDescent="0.15">
      <c r="B15" s="43" t="s">
        <v>42</v>
      </c>
      <c r="C15" s="353">
        <v>2746</v>
      </c>
      <c r="D15" s="353">
        <v>2846</v>
      </c>
      <c r="E15" s="353">
        <v>2368</v>
      </c>
      <c r="F15" s="353">
        <v>1024</v>
      </c>
      <c r="G15" s="353">
        <v>361</v>
      </c>
      <c r="H15" s="353">
        <v>1933</v>
      </c>
      <c r="I15" s="353">
        <v>-10254</v>
      </c>
      <c r="J15" s="353">
        <v>10990</v>
      </c>
      <c r="K15" s="353">
        <v>3642</v>
      </c>
      <c r="L15" s="353">
        <v>647</v>
      </c>
      <c r="M15" s="353"/>
    </row>
    <row r="16" spans="2:13" x14ac:dyDescent="0.15">
      <c r="B16" s="28" t="s">
        <v>44</v>
      </c>
      <c r="C16" s="351">
        <v>2</v>
      </c>
      <c r="D16" s="351">
        <v>-9</v>
      </c>
      <c r="E16" s="351">
        <v>5</v>
      </c>
      <c r="F16" s="351">
        <v>12</v>
      </c>
      <c r="G16" s="351">
        <v>5</v>
      </c>
      <c r="H16" s="351">
        <v>-2</v>
      </c>
      <c r="I16" s="351">
        <v>-62</v>
      </c>
      <c r="J16" s="351">
        <v>-9</v>
      </c>
      <c r="K16" s="351">
        <v>10</v>
      </c>
      <c r="L16" s="351">
        <v>13</v>
      </c>
      <c r="M16" s="351"/>
    </row>
    <row r="18" spans="2:13" x14ac:dyDescent="0.15">
      <c r="B18" s="16" t="s">
        <v>51</v>
      </c>
      <c r="C18" s="9"/>
    </row>
    <row r="19" spans="2:13" ht="13" x14ac:dyDescent="0.15">
      <c r="B19" s="27" t="s">
        <v>47</v>
      </c>
      <c r="C19" s="351">
        <v>1164</v>
      </c>
      <c r="D19" s="351"/>
      <c r="E19" s="351"/>
      <c r="F19" s="351"/>
      <c r="G19" s="351"/>
      <c r="H19" s="351"/>
      <c r="I19" s="351"/>
      <c r="J19" s="351"/>
      <c r="K19" s="351"/>
      <c r="L19" s="351"/>
      <c r="M19" s="351"/>
    </row>
    <row r="20" spans="2:13" ht="13" x14ac:dyDescent="0.15">
      <c r="B20" s="27" t="s">
        <v>53</v>
      </c>
      <c r="C20" s="351">
        <v>1164</v>
      </c>
      <c r="D20" s="351">
        <v>1164</v>
      </c>
      <c r="E20" s="351">
        <v>1013</v>
      </c>
      <c r="F20" s="351">
        <v>916</v>
      </c>
      <c r="G20" s="351">
        <v>905</v>
      </c>
      <c r="H20" s="351"/>
      <c r="I20" s="351"/>
      <c r="J20" s="351"/>
      <c r="K20" s="351"/>
      <c r="L20" s="351"/>
      <c r="M20" s="351"/>
    </row>
    <row r="21" spans="2:13" ht="13" x14ac:dyDescent="0.15">
      <c r="B21" s="27" t="s">
        <v>52</v>
      </c>
      <c r="C21" s="351">
        <v>589</v>
      </c>
      <c r="D21" s="351">
        <v>589</v>
      </c>
      <c r="E21" s="351">
        <v>806</v>
      </c>
      <c r="F21" s="351">
        <v>1483</v>
      </c>
      <c r="G21" s="351">
        <v>-406</v>
      </c>
      <c r="H21" s="351"/>
      <c r="I21" s="351"/>
      <c r="J21" s="351"/>
      <c r="K21" s="351"/>
      <c r="L21" s="351"/>
      <c r="M21" s="351"/>
    </row>
    <row r="22" spans="2:13" ht="13" x14ac:dyDescent="0.15">
      <c r="B22" s="27" t="s">
        <v>371</v>
      </c>
      <c r="C22" s="351">
        <v>4184</v>
      </c>
      <c r="D22" s="351">
        <v>3976</v>
      </c>
      <c r="E22" s="351">
        <v>2469</v>
      </c>
      <c r="F22" s="351">
        <v>5364</v>
      </c>
      <c r="G22" s="351">
        <v>4929</v>
      </c>
      <c r="H22" s="351">
        <v>3552</v>
      </c>
      <c r="I22" s="351">
        <v>2574</v>
      </c>
      <c r="J22" s="351">
        <v>527</v>
      </c>
      <c r="K22" s="351">
        <v>5238</v>
      </c>
      <c r="L22" s="351">
        <v>2467</v>
      </c>
      <c r="M22" s="351"/>
    </row>
    <row r="23" spans="2:13" ht="13" x14ac:dyDescent="0.15">
      <c r="B23" s="27" t="s">
        <v>373</v>
      </c>
      <c r="C23" s="351">
        <v>-1023</v>
      </c>
      <c r="D23" s="351">
        <v>-916</v>
      </c>
      <c r="E23" s="351">
        <v>-1091</v>
      </c>
      <c r="F23" s="351">
        <v>4038</v>
      </c>
      <c r="G23" s="351">
        <v>-522</v>
      </c>
      <c r="H23" s="351">
        <v>1511</v>
      </c>
      <c r="I23" s="351">
        <v>288</v>
      </c>
      <c r="J23" s="351">
        <v>1156</v>
      </c>
      <c r="K23" s="351">
        <v>-1113</v>
      </c>
      <c r="L23" s="351">
        <v>-9704</v>
      </c>
      <c r="M23" s="351"/>
    </row>
    <row r="24" spans="2:13" ht="13" x14ac:dyDescent="0.15">
      <c r="B24" s="27" t="s">
        <v>372</v>
      </c>
      <c r="C24" s="351">
        <v>-3008</v>
      </c>
      <c r="D24" s="351">
        <v>-2678</v>
      </c>
      <c r="E24" s="351">
        <v>-3714</v>
      </c>
      <c r="F24" s="351">
        <v>-9344</v>
      </c>
      <c r="G24" s="351">
        <v>-3331</v>
      </c>
      <c r="H24" s="351">
        <v>-3913</v>
      </c>
      <c r="I24" s="351">
        <v>-3363</v>
      </c>
      <c r="J24" s="351">
        <v>-4226</v>
      </c>
      <c r="K24" s="351">
        <v>-4621</v>
      </c>
      <c r="L24" s="351">
        <v>10183</v>
      </c>
      <c r="M24" s="351"/>
    </row>
    <row r="25" spans="2:13" x14ac:dyDescent="0.15">
      <c r="B25" s="24" t="str">
        <f>"Dividend per share ("&amp;Market_currency&amp;")"</f>
        <v>Dividend per share (USD)</v>
      </c>
      <c r="C25" s="39">
        <v>1.6</v>
      </c>
      <c r="D25" s="39"/>
      <c r="E25" s="39"/>
      <c r="F25" s="39"/>
      <c r="G25" s="39"/>
      <c r="H25" s="39"/>
      <c r="I25" s="39"/>
      <c r="J25" s="39"/>
      <c r="K25" s="39"/>
      <c r="L25" s="39"/>
      <c r="M25" s="39"/>
    </row>
    <row r="27" spans="2:13" x14ac:dyDescent="0.15">
      <c r="B27" s="16" t="s">
        <v>28</v>
      </c>
      <c r="C27" s="97" t="s">
        <v>462</v>
      </c>
    </row>
    <row r="28" spans="2:13" ht="13" x14ac:dyDescent="0.15">
      <c r="B28" s="26" t="s">
        <v>24</v>
      </c>
      <c r="C28" s="333">
        <f>BS!C4</f>
        <v>2147</v>
      </c>
      <c r="D28" s="351">
        <v>2147</v>
      </c>
      <c r="E28" s="351">
        <v>2112</v>
      </c>
      <c r="F28" s="351">
        <v>2120</v>
      </c>
      <c r="G28" s="351">
        <v>1957</v>
      </c>
      <c r="H28" s="351"/>
      <c r="I28" s="351"/>
      <c r="J28" s="351"/>
      <c r="K28" s="351"/>
      <c r="L28" s="351"/>
      <c r="M28" s="351"/>
    </row>
    <row r="29" spans="2:13" ht="13" x14ac:dyDescent="0.15">
      <c r="B29" s="26" t="s">
        <v>32</v>
      </c>
      <c r="C29" s="333">
        <f>BS!C6</f>
        <v>3376</v>
      </c>
      <c r="D29" s="351">
        <v>3376</v>
      </c>
      <c r="E29" s="351">
        <v>3614</v>
      </c>
      <c r="F29" s="351">
        <v>3651</v>
      </c>
      <c r="G29" s="351">
        <v>2729</v>
      </c>
      <c r="H29" s="351"/>
      <c r="I29" s="351"/>
      <c r="J29" s="351"/>
      <c r="K29" s="351"/>
      <c r="L29" s="351"/>
      <c r="M29" s="351"/>
    </row>
    <row r="30" spans="2:13" ht="13" x14ac:dyDescent="0.15">
      <c r="B30" s="29" t="s">
        <v>40</v>
      </c>
      <c r="C30" s="334">
        <f>BS!C33+BS!C42</f>
        <v>38962</v>
      </c>
      <c r="D30" s="353"/>
      <c r="E30" s="353"/>
      <c r="F30" s="353"/>
      <c r="G30" s="353"/>
      <c r="H30" s="353"/>
      <c r="I30" s="353"/>
      <c r="J30" s="353"/>
      <c r="K30" s="353"/>
      <c r="L30" s="353"/>
      <c r="M30" s="353"/>
    </row>
    <row r="31" spans="2:13" ht="13" x14ac:dyDescent="0.15">
      <c r="B31" s="29" t="s">
        <v>30</v>
      </c>
      <c r="C31" s="334">
        <f>BS!G27</f>
        <v>49325</v>
      </c>
      <c r="D31" s="353"/>
      <c r="E31" s="353"/>
      <c r="F31" s="353"/>
      <c r="G31" s="353"/>
      <c r="H31" s="353"/>
      <c r="I31" s="353"/>
      <c r="J31" s="353"/>
      <c r="K31" s="353"/>
      <c r="L31" s="353"/>
      <c r="M31" s="353"/>
    </row>
    <row r="32" spans="2:13" ht="13" x14ac:dyDescent="0.15">
      <c r="B32" s="26" t="s">
        <v>172</v>
      </c>
      <c r="C32" s="333">
        <f>BS!G28</f>
        <v>134</v>
      </c>
      <c r="D32" s="351"/>
      <c r="E32" s="351"/>
      <c r="F32" s="351"/>
      <c r="G32" s="351"/>
      <c r="H32" s="351"/>
      <c r="I32" s="351"/>
      <c r="J32" s="351"/>
      <c r="K32" s="351"/>
      <c r="L32" s="351"/>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x14ac:dyDescent="0.15">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ht="13" x14ac:dyDescent="0.15">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x14ac:dyDescent="0.15">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x14ac:dyDescent="0.15">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x14ac:dyDescent="0.15">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x14ac:dyDescent="0.15">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x14ac:dyDescent="0.15">
      <c r="B43" s="43" t="s">
        <v>152</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x14ac:dyDescent="0.15">
      <c r="B44" s="43" t="s">
        <v>168</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x14ac:dyDescent="0.15">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x14ac:dyDescent="0.15">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x14ac:dyDescent="0.15">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x14ac:dyDescent="0.15">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x14ac:dyDescent="0.15">
      <c r="B50" s="16" t="s">
        <v>68</v>
      </c>
    </row>
    <row r="51" spans="2:13" x14ac:dyDescent="0.15">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x14ac:dyDescent="0.15">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x14ac:dyDescent="0.15">
      <c r="B54" s="174" t="s">
        <v>168</v>
      </c>
    </row>
    <row r="55" spans="2:13" x14ac:dyDescent="0.15">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160</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x14ac:dyDescent="0.15">
      <c r="B60" s="16" t="s">
        <v>51</v>
      </c>
      <c r="C60" s="9"/>
    </row>
    <row r="61" spans="2:13" ht="13" x14ac:dyDescent="0.15">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ht="13" x14ac:dyDescent="0.15">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ht="13" x14ac:dyDescent="0.15">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ht="13" x14ac:dyDescent="0.15">
      <c r="B64" s="27" t="s">
        <v>393</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x14ac:dyDescent="0.15">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84</v>
      </c>
    </row>
    <row r="68" spans="2:13" x14ac:dyDescent="0.15">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ht="13" x14ac:dyDescent="0.15">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x14ac:dyDescent="0.15">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x14ac:dyDescent="0.15">
      <c r="B71" s="43" t="s">
        <v>168</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x14ac:dyDescent="0.15">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ht="13" x14ac:dyDescent="0.15">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ht="13" x14ac:dyDescent="0.15">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ht="13" x14ac:dyDescent="0.15">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ht="13" x14ac:dyDescent="0.15">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45654</v>
      </c>
      <c r="F1" s="86" t="str">
        <f>IF(MONTH(C1)=MONTH(Normalized_FCF!G1),"FY","Quarter")&amp;" Report"</f>
        <v>FY Report</v>
      </c>
      <c r="H1" s="107">
        <f>scaling_factor</f>
        <v>1000000</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v>2147</v>
      </c>
      <c r="D4" s="261">
        <v>0.6</v>
      </c>
      <c r="E4" s="25"/>
      <c r="F4" s="4" t="s">
        <v>77</v>
      </c>
      <c r="G4" s="19">
        <v>1334</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3376</v>
      </c>
      <c r="D6" s="261">
        <v>0.5</v>
      </c>
      <c r="E6" s="25"/>
      <c r="F6" s="4" t="s">
        <v>177</v>
      </c>
      <c r="G6" s="19">
        <v>0</v>
      </c>
      <c r="H6" s="261">
        <v>0.6</v>
      </c>
    </row>
    <row r="7" spans="2:8" ht="15" customHeight="1" x14ac:dyDescent="0.15">
      <c r="B7" s="1" t="s">
        <v>69</v>
      </c>
      <c r="C7" s="19">
        <v>0</v>
      </c>
      <c r="D7" s="261">
        <v>0.6</v>
      </c>
      <c r="E7" s="25"/>
      <c r="F7" s="4" t="s">
        <v>178</v>
      </c>
      <c r="G7" s="19">
        <v>0</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215</v>
      </c>
      <c r="D9" s="261">
        <v>0.1</v>
      </c>
      <c r="E9" s="25"/>
      <c r="F9" s="4" t="s">
        <v>180</v>
      </c>
      <c r="G9" s="19">
        <v>0</v>
      </c>
      <c r="H9" s="261">
        <v>0.6</v>
      </c>
    </row>
    <row r="10" spans="2:8" ht="15" customHeight="1" x14ac:dyDescent="0.15">
      <c r="B10" s="4" t="s">
        <v>11</v>
      </c>
      <c r="C10" s="19">
        <v>0</v>
      </c>
      <c r="D10" s="261">
        <v>0.9</v>
      </c>
      <c r="H10" s="262"/>
    </row>
    <row r="11" spans="2:8" ht="15" customHeight="1" x14ac:dyDescent="0.15">
      <c r="B11" s="4" t="s">
        <v>12</v>
      </c>
      <c r="C11" s="19">
        <v>583</v>
      </c>
      <c r="D11" s="261">
        <v>0.05</v>
      </c>
      <c r="H11" s="262"/>
    </row>
    <row r="12" spans="2:8" ht="15" customHeight="1" x14ac:dyDescent="0.15">
      <c r="B12" s="80" t="s">
        <v>72</v>
      </c>
      <c r="C12" s="81">
        <f>SUM(C4:C11)</f>
        <v>6321</v>
      </c>
      <c r="D12" s="20">
        <f>C4*D4+C5*D5+C9*D9+C6*D6+C8*D8+C7*D7+C10*D10+C11*D11</f>
        <v>3026.85</v>
      </c>
      <c r="F12" s="80" t="s">
        <v>70</v>
      </c>
      <c r="G12" s="81">
        <f>SUM(G4:G9)</f>
        <v>1334</v>
      </c>
      <c r="H12" s="20">
        <f>G4*H4+G5*H5+G6*H6+G7*H7+G8*H8+G9*H9</f>
        <v>1200.6000000000001</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454</v>
      </c>
      <c r="C15" s="19">
        <v>0</v>
      </c>
      <c r="D15" s="261">
        <v>0.4</v>
      </c>
      <c r="F15" s="4" t="s">
        <v>78</v>
      </c>
      <c r="G15" s="19">
        <v>0</v>
      </c>
      <c r="H15" s="261">
        <v>0.8</v>
      </c>
    </row>
    <row r="16" spans="2:8" ht="15" customHeight="1" x14ac:dyDescent="0.15">
      <c r="B16" s="1" t="s">
        <v>34</v>
      </c>
      <c r="C16" s="19">
        <v>0</v>
      </c>
      <c r="D16" s="261">
        <v>0.5</v>
      </c>
      <c r="F16" s="4" t="s">
        <v>177</v>
      </c>
      <c r="G16" s="19">
        <v>0</v>
      </c>
      <c r="H16" s="261">
        <v>0.6</v>
      </c>
    </row>
    <row r="17" spans="2:8" ht="15" customHeight="1" x14ac:dyDescent="0.15">
      <c r="B17" s="1" t="s">
        <v>69</v>
      </c>
      <c r="C17" s="19">
        <v>0</v>
      </c>
      <c r="D17" s="261">
        <v>0.6</v>
      </c>
      <c r="F17" s="4" t="s">
        <v>178</v>
      </c>
      <c r="G17" s="19">
        <v>0</v>
      </c>
      <c r="H17" s="261">
        <v>0.6</v>
      </c>
    </row>
    <row r="18" spans="2:8" ht="15" customHeight="1" x14ac:dyDescent="0.15">
      <c r="B18" s="4" t="s">
        <v>173</v>
      </c>
      <c r="C18" s="19">
        <v>0</v>
      </c>
      <c r="D18" s="261">
        <v>0.6</v>
      </c>
      <c r="F18" s="4" t="s">
        <v>181</v>
      </c>
      <c r="G18" s="19">
        <v>0</v>
      </c>
      <c r="H18" s="261">
        <v>0.1</v>
      </c>
    </row>
    <row r="19" spans="2:8" ht="15" customHeight="1" x14ac:dyDescent="0.15">
      <c r="B19" s="4" t="s">
        <v>26</v>
      </c>
      <c r="C19" s="19">
        <v>7152</v>
      </c>
      <c r="D19" s="261">
        <v>0.1</v>
      </c>
      <c r="F19" s="4" t="s">
        <v>182</v>
      </c>
      <c r="G19" s="19">
        <v>0</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40099</v>
      </c>
      <c r="D21" s="261">
        <v>0.05</v>
      </c>
      <c r="F21" s="1" t="s">
        <v>180</v>
      </c>
      <c r="G21" s="19">
        <v>0</v>
      </c>
      <c r="H21" s="261">
        <v>0.1</v>
      </c>
    </row>
    <row r="22" spans="2:8" ht="15" customHeight="1" x14ac:dyDescent="0.15">
      <c r="B22" s="4" t="s">
        <v>20</v>
      </c>
      <c r="C22" s="19">
        <v>0</v>
      </c>
      <c r="D22" s="261">
        <v>0.9</v>
      </c>
      <c r="H22" s="262"/>
    </row>
    <row r="23" spans="2:8" ht="15" customHeight="1" x14ac:dyDescent="0.15">
      <c r="B23" s="4" t="s">
        <v>21</v>
      </c>
      <c r="C23" s="19">
        <f>28673+4708</f>
        <v>33381</v>
      </c>
      <c r="D23" s="261">
        <v>0</v>
      </c>
      <c r="H23" s="262"/>
    </row>
    <row r="24" spans="2:8" ht="15" customHeight="1" x14ac:dyDescent="0.15">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x14ac:dyDescent="0.15">
      <c r="B26" s="16" t="s">
        <v>200</v>
      </c>
      <c r="C26" s="182" t="s">
        <v>136</v>
      </c>
      <c r="F26" s="184" t="s">
        <v>196</v>
      </c>
      <c r="G26" s="185" t="s">
        <v>136</v>
      </c>
      <c r="H26" s="186" t="s">
        <v>35</v>
      </c>
    </row>
    <row r="27" spans="2:8" ht="15" customHeight="1" x14ac:dyDescent="0.15">
      <c r="B27" s="4" t="s">
        <v>5</v>
      </c>
      <c r="C27" s="19">
        <v>654</v>
      </c>
      <c r="F27" s="187" t="s">
        <v>30</v>
      </c>
      <c r="G27" s="85">
        <f>G32-G30</f>
        <v>49325</v>
      </c>
      <c r="H27" s="188">
        <f>H32-G30</f>
        <v>-32014.400000000001</v>
      </c>
    </row>
    <row r="28" spans="2:8" ht="15" customHeight="1" x14ac:dyDescent="0.15">
      <c r="B28" s="4" t="s">
        <v>6</v>
      </c>
      <c r="C28" s="19">
        <v>0</v>
      </c>
      <c r="F28" s="189" t="s">
        <v>244</v>
      </c>
      <c r="G28" s="12">
        <v>134</v>
      </c>
      <c r="H28" s="188"/>
    </row>
    <row r="29" spans="2:8" ht="15" customHeight="1" x14ac:dyDescent="0.15">
      <c r="B29" s="4" t="s">
        <v>7</v>
      </c>
      <c r="C29" s="19">
        <v>0</v>
      </c>
      <c r="F29" s="190" t="s">
        <v>75</v>
      </c>
      <c r="G29" s="14">
        <f>G27-G28</f>
        <v>49191</v>
      </c>
      <c r="H29" s="188">
        <f>H27-G28</f>
        <v>-32148.400000000001</v>
      </c>
    </row>
    <row r="30" spans="2:8" ht="15" customHeight="1" x14ac:dyDescent="0.15">
      <c r="B30" s="2" t="s">
        <v>8</v>
      </c>
      <c r="C30" s="19">
        <v>0</v>
      </c>
      <c r="F30" s="187" t="s">
        <v>23</v>
      </c>
      <c r="G30" s="85">
        <f>C33+C42</f>
        <v>38962</v>
      </c>
      <c r="H30" s="188"/>
    </row>
    <row r="31" spans="2:8" ht="15" customHeight="1" x14ac:dyDescent="0.15">
      <c r="B31" s="80" t="s">
        <v>203</v>
      </c>
      <c r="C31" s="81">
        <f>SUM(C27:C30)</f>
        <v>654</v>
      </c>
      <c r="F31" s="190" t="s">
        <v>76</v>
      </c>
      <c r="G31" s="191">
        <f>C31+C40</f>
        <v>19869</v>
      </c>
      <c r="H31" s="188"/>
    </row>
    <row r="32" spans="2:8" ht="15" customHeight="1" x14ac:dyDescent="0.15">
      <c r="B32" s="4" t="s">
        <v>9</v>
      </c>
      <c r="C32" s="21">
        <f>C33-C31</f>
        <v>6599</v>
      </c>
      <c r="F32" s="192" t="s">
        <v>74</v>
      </c>
      <c r="G32" s="193">
        <f>G35+G40</f>
        <v>88287</v>
      </c>
      <c r="H32" s="188">
        <f>H35+H40</f>
        <v>6947.6</v>
      </c>
    </row>
    <row r="33" spans="2:8" ht="15" customHeight="1" x14ac:dyDescent="0.15">
      <c r="B33" s="83" t="s">
        <v>4</v>
      </c>
      <c r="C33" s="84">
        <v>7253</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86953</v>
      </c>
      <c r="H35" s="200">
        <f>D12+D24</f>
        <v>5747</v>
      </c>
    </row>
    <row r="36" spans="2:8" ht="15" customHeight="1" x14ac:dyDescent="0.15">
      <c r="B36" s="4" t="s">
        <v>13</v>
      </c>
      <c r="C36" s="19">
        <v>19215</v>
      </c>
      <c r="F36" s="190" t="s">
        <v>197</v>
      </c>
      <c r="G36" s="191">
        <f>C4+C15</f>
        <v>2147</v>
      </c>
      <c r="H36" s="195"/>
    </row>
    <row r="37" spans="2:8" ht="15" customHeight="1" x14ac:dyDescent="0.15">
      <c r="B37" s="4" t="s">
        <v>14</v>
      </c>
      <c r="C37" s="19">
        <v>0</v>
      </c>
      <c r="F37" s="190" t="s">
        <v>198</v>
      </c>
      <c r="G37" s="191">
        <f>C6</f>
        <v>3376</v>
      </c>
      <c r="H37" s="195"/>
    </row>
    <row r="38" spans="2:8" ht="15" customHeight="1" x14ac:dyDescent="0.15">
      <c r="B38" s="4" t="s">
        <v>15</v>
      </c>
      <c r="C38" s="19">
        <v>0</v>
      </c>
      <c r="F38" s="190" t="s">
        <v>199</v>
      </c>
      <c r="G38" s="191">
        <f>C7+C17</f>
        <v>0</v>
      </c>
      <c r="H38" s="195"/>
    </row>
    <row r="39" spans="2:8" ht="15" customHeight="1" x14ac:dyDescent="0.15">
      <c r="B39" s="2" t="s">
        <v>16</v>
      </c>
      <c r="C39" s="19">
        <v>0</v>
      </c>
      <c r="F39" s="190" t="s">
        <v>79</v>
      </c>
      <c r="G39" s="191">
        <f>C7+C17+C19+C20</f>
        <v>7152</v>
      </c>
      <c r="H39" s="188">
        <f>C7*D7+C17*D17+C19*D19+C20*D20</f>
        <v>715.2</v>
      </c>
    </row>
    <row r="40" spans="2:8" ht="15" customHeight="1" x14ac:dyDescent="0.15">
      <c r="B40" s="80" t="s">
        <v>204</v>
      </c>
      <c r="C40" s="81">
        <f>SUM(C36:C39)</f>
        <v>19215</v>
      </c>
      <c r="F40" s="199" t="s">
        <v>138</v>
      </c>
      <c r="G40" s="193">
        <f>G12+G24</f>
        <v>1334</v>
      </c>
      <c r="H40" s="200">
        <f>H12+H24</f>
        <v>1200.6000000000001</v>
      </c>
    </row>
    <row r="41" spans="2:8" ht="15" customHeight="1" x14ac:dyDescent="0.15">
      <c r="B41" s="4" t="s">
        <v>17</v>
      </c>
      <c r="C41" s="21">
        <f>C42-C40</f>
        <v>12494</v>
      </c>
      <c r="F41" s="190" t="s">
        <v>191</v>
      </c>
      <c r="G41" s="191">
        <f>C70</f>
        <v>1334</v>
      </c>
      <c r="H41" s="200">
        <f>H40-H42</f>
        <v>1200.6000000000001</v>
      </c>
    </row>
    <row r="42" spans="2:8" ht="15" customHeight="1" x14ac:dyDescent="0.15">
      <c r="B42" s="83" t="s">
        <v>22</v>
      </c>
      <c r="C42" s="84">
        <v>31709</v>
      </c>
      <c r="F42" s="201" t="s">
        <v>192</v>
      </c>
      <c r="G42" s="202">
        <f>C82</f>
        <v>0</v>
      </c>
      <c r="H42" s="203">
        <f>D82</f>
        <v>0</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49191</v>
      </c>
      <c r="D46" s="76">
        <f>H29</f>
        <v>-32148.400000000001</v>
      </c>
      <c r="F46" s="253"/>
    </row>
    <row r="47" spans="2:8" ht="15" customHeight="1" x14ac:dyDescent="0.15">
      <c r="B47" s="1" t="str">
        <f>"Equity per share ("&amp;Market_currency&amp;")"</f>
        <v>Equity per share (USD)</v>
      </c>
      <c r="C47" s="147">
        <f>C46*H1/Common_Shares*Exchange_Rate</f>
        <v>41.219203420454988</v>
      </c>
      <c r="D47" s="147">
        <f>D46*H1/Common_Shares*Exchange_Rate</f>
        <v>-26.938493611476797</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3.955391512509995</v>
      </c>
      <c r="D50" s="95">
        <f>G31/Normalized_FCF!G8</f>
        <v>3.7124439461883409</v>
      </c>
      <c r="F50" s="253"/>
    </row>
    <row r="51" spans="2:8" ht="15" customHeight="1" x14ac:dyDescent="0.15">
      <c r="B51" s="1" t="s">
        <v>176</v>
      </c>
      <c r="C51" s="181"/>
      <c r="D51" s="92">
        <f>G29/G32</f>
        <v>0.55717149750246353</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5.7769946069523057E-2</v>
      </c>
      <c r="D54" s="92">
        <f>Normalized_FCF!G8/G35</f>
        <v>6.1550492794958195E-2</v>
      </c>
      <c r="F54" s="253"/>
    </row>
    <row r="55" spans="2:8" ht="15" customHeight="1" x14ac:dyDescent="0.15">
      <c r="B55" s="1" t="s">
        <v>141</v>
      </c>
      <c r="C55" s="92">
        <f>Normalized_FCF!C11/G40</f>
        <v>0</v>
      </c>
      <c r="D55" s="92">
        <f>Normalized_FCF!G11/G40</f>
        <v>0</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0.16275167785234898</v>
      </c>
      <c r="F58" s="5"/>
    </row>
    <row r="59" spans="2:8" ht="15" customHeight="1" x14ac:dyDescent="0.15">
      <c r="B59" s="1" t="s">
        <v>92</v>
      </c>
      <c r="C59" s="98"/>
      <c r="D59" s="92">
        <f>G39/G32</f>
        <v>8.1008529002004823E-2</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2.7240755422739934E-3</v>
      </c>
      <c r="D62" s="92">
        <f>G28/G29</f>
        <v>2.7240755422739934E-3</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1334</v>
      </c>
      <c r="D66" s="76">
        <f>C66-D75</f>
        <v>-594.28499848473007</v>
      </c>
      <c r="F66" s="5" t="s">
        <v>226</v>
      </c>
    </row>
    <row r="67" spans="2:6" ht="15" customHeight="1" x14ac:dyDescent="0.15">
      <c r="B67" s="105" t="s">
        <v>177</v>
      </c>
      <c r="C67" s="20">
        <f>G6+G16</f>
        <v>0</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1334</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-1866.9533418666667</v>
      </c>
      <c r="D73" s="349">
        <f>(Normalized_FCF!C25+Normalized_FCF!C35-Normalized_FCF!C91)/12</f>
        <v>-1928.2849984847301</v>
      </c>
      <c r="F73" s="1" t="s">
        <v>351</v>
      </c>
    </row>
    <row r="74" spans="2:6" ht="15" customHeight="1" x14ac:dyDescent="0.15">
      <c r="B74" s="257" t="s">
        <v>321</v>
      </c>
      <c r="C74" s="258">
        <f>-$C$66/C73</f>
        <v>0.71453312200411223</v>
      </c>
      <c r="D74" s="258">
        <f>-$C$66/D73</f>
        <v>0.69180645031635546</v>
      </c>
      <c r="F74" s="253" t="s">
        <v>319</v>
      </c>
    </row>
    <row r="75" spans="2:6" ht="15" customHeight="1" x14ac:dyDescent="0.15">
      <c r="B75" s="80" t="s">
        <v>320</v>
      </c>
      <c r="C75" s="320"/>
      <c r="D75" s="321">
        <f>MAX(-D73*D76,G5)</f>
        <v>1928.2849984847301</v>
      </c>
      <c r="F75" s="253" t="s">
        <v>352</v>
      </c>
    </row>
    <row r="76" spans="2:6" ht="15" customHeight="1" x14ac:dyDescent="0.15">
      <c r="B76" s="259" t="s">
        <v>322</v>
      </c>
      <c r="C76" s="260"/>
      <c r="D76" s="290">
        <f>IF(D74&lt;=3,1,IF(D74&gt;18,6,2))</f>
        <v>1</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0</v>
      </c>
      <c r="D79" s="76">
        <f>G7*H7+G17*H17</f>
        <v>0</v>
      </c>
      <c r="F79" s="253"/>
    </row>
    <row r="80" spans="2:6" ht="15" customHeight="1" x14ac:dyDescent="0.15">
      <c r="B80" s="105" t="s">
        <v>182</v>
      </c>
      <c r="C80" s="20">
        <f>G19</f>
        <v>0</v>
      </c>
      <c r="D80" s="76">
        <f>G19*H19</f>
        <v>0</v>
      </c>
      <c r="F80" s="253"/>
    </row>
    <row r="81" spans="2:8" ht="15" customHeight="1" x14ac:dyDescent="0.15">
      <c r="B81" s="105" t="s">
        <v>180</v>
      </c>
      <c r="C81" s="20">
        <f>G9+G21</f>
        <v>0</v>
      </c>
      <c r="D81" s="76">
        <f>G9*H9+G21*H21</f>
        <v>0</v>
      </c>
      <c r="F81" s="253"/>
    </row>
    <row r="82" spans="2:8" ht="15" customHeight="1" x14ac:dyDescent="0.15">
      <c r="B82" s="80" t="s">
        <v>189</v>
      </c>
      <c r="C82" s="81">
        <f>SUM(C79:C81)</f>
        <v>0</v>
      </c>
      <c r="D82" s="81">
        <f>SUM(D79:D81)</f>
        <v>0</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-19869</v>
      </c>
      <c r="D86" s="223">
        <f>C86*scaling_factor/Common_Shares</f>
        <v>-16.649068991502919</v>
      </c>
      <c r="E86" s="240" t="str">
        <f>Market_currency</f>
        <v>USD</v>
      </c>
    </row>
    <row r="87" spans="2:8" ht="15" customHeight="1" x14ac:dyDescent="0.15">
      <c r="B87" s="238" t="s">
        <v>287</v>
      </c>
      <c r="C87" s="76">
        <f>DCF!C8*Exchange_Rate</f>
        <v>-594.28499848473007</v>
      </c>
      <c r="D87" s="223">
        <f>C87*scaling_factor/Common_Shares</f>
        <v>-0.49797634205986613</v>
      </c>
      <c r="E87" s="240" t="str">
        <f>Market_currency</f>
        <v>USD</v>
      </c>
    </row>
    <row r="88" spans="2:8" ht="15" customHeight="1" x14ac:dyDescent="0.15">
      <c r="B88" s="239" t="s">
        <v>189</v>
      </c>
      <c r="C88" s="76">
        <f>DCF!C9*Exchange_Rate</f>
        <v>0</v>
      </c>
      <c r="D88" s="223">
        <f>C88*scaling_factor/Common_Shares</f>
        <v>0</v>
      </c>
      <c r="E88" s="240" t="str">
        <f>Market_currency</f>
        <v>USD</v>
      </c>
    </row>
    <row r="89" spans="2:8" ht="15" customHeight="1" x14ac:dyDescent="0.15">
      <c r="B89" s="80" t="s">
        <v>291</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68"/>
      <c r="F3" s="9"/>
      <c r="G3" s="9"/>
    </row>
    <row r="4" spans="1:17" ht="15.75" customHeight="1" x14ac:dyDescent="0.15">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x14ac:dyDescent="0.15">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x14ac:dyDescent="0.15">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x14ac:dyDescent="0.15">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x14ac:dyDescent="0.15">
      <c r="A8" s="10"/>
      <c r="B8" s="29" t="s">
        <v>152</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x14ac:dyDescent="0.15">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x14ac:dyDescent="0.15">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x14ac:dyDescent="0.15">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x14ac:dyDescent="0.15">
      <c r="A13" s="10"/>
      <c r="B13" s="70" t="s">
        <v>164</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x14ac:dyDescent="0.15">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x14ac:dyDescent="0.15">
      <c r="A15" s="10"/>
      <c r="B15" s="40" t="s">
        <v>243</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x14ac:dyDescent="0.15">
      <c r="A16" s="10"/>
      <c r="B16" s="41" t="s">
        <v>154</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x14ac:dyDescent="0.2">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x14ac:dyDescent="0.15">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AVERAGE(G28:J28)</f>
        <v>0.6694782504801029</v>
      </c>
      <c r="D28" s="26"/>
      <c r="E28" s="266" t="s">
        <v>333</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x14ac:dyDescent="0.2">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15">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AVERAGE(G33:H33)</f>
        <v>-3654</v>
      </c>
      <c r="E33" s="266" t="s">
        <v>333</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x14ac:dyDescent="0.15">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x14ac:dyDescent="0.15">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0.26</v>
      </c>
      <c r="D43" s="27"/>
      <c r="E43" s="265" t="s">
        <v>334</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x14ac:dyDescent="0.15">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x14ac:dyDescent="0.15">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x14ac:dyDescent="0.15">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x14ac:dyDescent="0.15">
      <c r="A54" s="10"/>
      <c r="B54" s="8" t="s">
        <v>87</v>
      </c>
      <c r="C54" s="82">
        <f>G54</f>
        <v>4.5900649252604557E-2</v>
      </c>
      <c r="E54" s="265" t="s">
        <v>336</v>
      </c>
      <c r="G54" s="23">
        <f>IFERROR(ABS(Normalized_FCF!G47/BS!$G$31),0)</f>
        <v>4.5900649252604557E-2</v>
      </c>
      <c r="H54" s="169"/>
      <c r="I54" s="169"/>
      <c r="J54" s="169"/>
      <c r="K54" s="169"/>
      <c r="L54" s="169"/>
      <c r="M54" s="169"/>
      <c r="N54" s="169"/>
      <c r="O54" s="169"/>
      <c r="P54" s="169"/>
      <c r="Q54" s="169"/>
    </row>
    <row r="55" spans="1:17" ht="15.75" customHeight="1" x14ac:dyDescent="0.15">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160</v>
      </c>
      <c r="C62" s="343">
        <v>0</v>
      </c>
      <c r="E62" s="266" t="s">
        <v>337</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x14ac:dyDescent="0.15">
      <c r="A63" s="10"/>
      <c r="B63" s="31" t="s">
        <v>195</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463</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x14ac:dyDescent="0.15">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x14ac:dyDescent="0.15">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x14ac:dyDescent="0.15">
      <c r="A76" s="10"/>
      <c r="B76" s="29" t="s">
        <v>152</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x14ac:dyDescent="0.15">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x14ac:dyDescent="0.15">
      <c r="A81" s="10"/>
      <c r="B81" s="70" t="s">
        <v>164</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x14ac:dyDescent="0.15">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x14ac:dyDescent="0.15">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x14ac:dyDescent="0.15">
      <c r="A84" s="10"/>
      <c r="B84" s="41" t="s">
        <v>154</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213</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309</v>
      </c>
      <c r="C93" s="23">
        <f>C90/Market_Price</f>
        <v>5.9634737234439066E-2</v>
      </c>
      <c r="E93" s="268"/>
      <c r="G93" s="23">
        <f t="shared" ref="G93:Q93" si="39">IF(G$4="","",G90/Market_Price)</f>
        <v>5.9634737234439066E-2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1.5756790218989458E-2</v>
      </c>
      <c r="D96" s="27"/>
      <c r="E96" s="26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x14ac:dyDescent="0.15">
      <c r="A97" s="10"/>
      <c r="B97" s="70" t="s">
        <v>164</v>
      </c>
      <c r="C97" s="77">
        <f>C13/G13-1</f>
        <v>-7.4038261129901306E-2</v>
      </c>
      <c r="D97" s="27"/>
      <c r="E97" s="26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88287</v>
      </c>
      <c r="D101" s="26"/>
      <c r="E101" s="269"/>
      <c r="F101" s="26"/>
      <c r="G101" s="333">
        <f t="shared" ref="G101:Q101" si="42">IF(G$4="","",G105+G104)</f>
        <v>88287</v>
      </c>
      <c r="H101" s="333">
        <f t="shared" si="42"/>
        <v>0</v>
      </c>
      <c r="I101" s="333">
        <f t="shared" si="42"/>
        <v>0</v>
      </c>
      <c r="J101" s="333">
        <f t="shared" si="42"/>
        <v>0</v>
      </c>
      <c r="K101" s="333">
        <f t="shared" si="42"/>
        <v>0</v>
      </c>
      <c r="L101" s="333">
        <f t="shared" si="42"/>
        <v>0</v>
      </c>
      <c r="M101" s="333">
        <f t="shared" si="42"/>
        <v>0</v>
      </c>
      <c r="N101" s="333">
        <f t="shared" si="42"/>
        <v>0</v>
      </c>
      <c r="O101" s="333">
        <f t="shared" si="42"/>
        <v>0</v>
      </c>
      <c r="P101" s="333">
        <f t="shared" si="42"/>
        <v>0</v>
      </c>
      <c r="Q101" s="333" t="str">
        <f t="shared" si="42"/>
        <v/>
      </c>
    </row>
    <row r="102" spans="1:17" ht="15.75" customHeight="1" x14ac:dyDescent="0.15">
      <c r="A102" s="10"/>
      <c r="B102" s="93" t="s">
        <v>210</v>
      </c>
      <c r="C102" s="345">
        <f>BS!C4</f>
        <v>2147</v>
      </c>
      <c r="D102" s="89"/>
      <c r="E102" s="270"/>
      <c r="F102" s="89"/>
      <c r="G102" s="346">
        <f>IF(G$4="","",Data!D77)</f>
        <v>2147</v>
      </c>
      <c r="H102" s="346">
        <f>IF(H$4="","",Data!E77)</f>
        <v>2112</v>
      </c>
      <c r="I102" s="346">
        <f>IF(I$4="","",Data!F77)</f>
        <v>2120</v>
      </c>
      <c r="J102" s="346">
        <f>IF(J$4="","",Data!G77)</f>
        <v>1957</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x14ac:dyDescent="0.15">
      <c r="A103" s="10"/>
      <c r="B103" s="93" t="s">
        <v>211</v>
      </c>
      <c r="C103" s="345">
        <f>BS!C6+BS!C7</f>
        <v>3376</v>
      </c>
      <c r="D103" s="89"/>
      <c r="E103" s="270"/>
      <c r="F103" s="89"/>
      <c r="G103" s="346">
        <f>IF(G$4="","",Data!D78)</f>
        <v>3376</v>
      </c>
      <c r="H103" s="346">
        <f>IF(H$4="","",Data!E78)</f>
        <v>3614</v>
      </c>
      <c r="I103" s="346">
        <f>IF(I$4="","",Data!F78)</f>
        <v>3651</v>
      </c>
      <c r="J103" s="346">
        <f>IF(J$4="","",Data!G78)</f>
        <v>2729</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x14ac:dyDescent="0.15">
      <c r="A104" s="10"/>
      <c r="B104" s="26" t="s">
        <v>40</v>
      </c>
      <c r="C104" s="344">
        <f>BS!G30</f>
        <v>38962</v>
      </c>
      <c r="D104" s="26"/>
      <c r="E104" s="269"/>
      <c r="F104" s="26"/>
      <c r="G104" s="333">
        <f>Data!C79</f>
        <v>38962</v>
      </c>
      <c r="H104" s="333">
        <f>Data!D79</f>
        <v>0</v>
      </c>
      <c r="I104" s="333">
        <f>Data!E79</f>
        <v>0</v>
      </c>
      <c r="J104" s="333">
        <f>Data!F79</f>
        <v>0</v>
      </c>
      <c r="K104" s="333">
        <f>Data!G79</f>
        <v>0</v>
      </c>
      <c r="L104" s="333">
        <f>Data!H79</f>
        <v>0</v>
      </c>
      <c r="M104" s="333">
        <f>Data!I79</f>
        <v>0</v>
      </c>
      <c r="N104" s="333">
        <f>Data!J79</f>
        <v>0</v>
      </c>
      <c r="O104" s="333">
        <f>Data!K79</f>
        <v>0</v>
      </c>
      <c r="P104" s="333">
        <f>Data!L79</f>
        <v>0</v>
      </c>
      <c r="Q104" s="333" t="str">
        <f>Data!M79</f>
        <v/>
      </c>
    </row>
    <row r="105" spans="1:17" ht="15.75" customHeight="1" x14ac:dyDescent="0.15">
      <c r="A105" s="10"/>
      <c r="B105" s="26" t="s">
        <v>30</v>
      </c>
      <c r="C105" s="344">
        <f>BS!G27</f>
        <v>49325</v>
      </c>
      <c r="D105" s="26"/>
      <c r="E105" s="269"/>
      <c r="F105" s="26"/>
      <c r="G105" s="333">
        <f>Data!C80</f>
        <v>49325</v>
      </c>
      <c r="H105" s="333">
        <f>Data!D80</f>
        <v>0</v>
      </c>
      <c r="I105" s="333">
        <f>Data!E80</f>
        <v>0</v>
      </c>
      <c r="J105" s="333">
        <f>Data!F80</f>
        <v>0</v>
      </c>
      <c r="K105" s="333">
        <f>Data!G80</f>
        <v>0</v>
      </c>
      <c r="L105" s="333">
        <f>Data!H80</f>
        <v>0</v>
      </c>
      <c r="M105" s="333">
        <f>Data!I80</f>
        <v>0</v>
      </c>
      <c r="N105" s="333">
        <f>Data!J80</f>
        <v>0</v>
      </c>
      <c r="O105" s="333">
        <f>Data!K80</f>
        <v>0</v>
      </c>
      <c r="P105" s="333">
        <f>Data!L80</f>
        <v>0</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8.1780351004161395E-2</v>
      </c>
      <c r="D108" s="26"/>
      <c r="E108" s="26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218</v>
      </c>
      <c r="C109" s="94">
        <f>C103/C$4</f>
        <v>0.12859360269680897</v>
      </c>
      <c r="D109" s="26"/>
      <c r="E109" s="26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1.5236707938820102</v>
      </c>
      <c r="H113" s="295">
        <f>IF(H$4="","",Data!D$22/Data!D15)</f>
        <v>1.3970484891075192</v>
      </c>
      <c r="I113" s="295">
        <f>IF(I$4="","",Data!E$22/Data!E15)</f>
        <v>1.042652027027027</v>
      </c>
      <c r="J113" s="295">
        <f>IF(J$4="","",Data!F$22/Data!F15)</f>
        <v>5.23828125</v>
      </c>
      <c r="K113" s="295">
        <f>IF(K$4="","",Data!G$22/Data!G15)</f>
        <v>13.653739612188366</v>
      </c>
      <c r="L113" s="295">
        <f>IF(L$4="","",Data!H$22/Data!H15)</f>
        <v>1.8375581996896015</v>
      </c>
      <c r="M113" s="295">
        <f>IF(M$4="","",Data!I$22/Data!I15)</f>
        <v>-0.2510239906377999</v>
      </c>
      <c r="N113" s="295">
        <f>IF(N$4="","",Data!J$22/Data!J15)</f>
        <v>4.7952684258416742E-2</v>
      </c>
      <c r="O113" s="295">
        <f>IF(O$4="","",Data!K$22/Data!K15)</f>
        <v>1.4382207578253707</v>
      </c>
      <c r="P113" s="295">
        <f>IF(P$4="","",Data!L$22/Data!L15)</f>
        <v>3.8129829984544048</v>
      </c>
      <c r="Q113" s="295" t="str">
        <f>IF(Q$4="","",Data!M$22/Data!M15)</f>
        <v/>
      </c>
    </row>
    <row r="114" spans="1:17" ht="15.75" customHeight="1" x14ac:dyDescent="0.15">
      <c r="A114" s="10"/>
      <c r="B114" s="2" t="s">
        <v>392</v>
      </c>
      <c r="C114" s="169"/>
      <c r="E114" s="268"/>
      <c r="G114" s="295">
        <f>IF(G$4="","",Data!C$22/G19)</f>
        <v>1.642072213500785</v>
      </c>
      <c r="H114" s="295">
        <f>IF(H$4="","",Data!D$22/H19)</f>
        <v>1.6769295655841416</v>
      </c>
      <c r="I114" s="295">
        <f>IF(I$4="","",Data!E$22/I19)</f>
        <v>2.2506836827711942</v>
      </c>
      <c r="J114" s="295">
        <f>IF(J$4="","",Data!F$22/J19)</f>
        <v>-26.954773869346734</v>
      </c>
      <c r="K114" s="295">
        <f>IF(K$4="","",Data!G$22/K19)</f>
        <v>-5.8331360946745558</v>
      </c>
      <c r="L114" s="295">
        <f>IF(L$4="","",Data!H$22/L19)</f>
        <v>3.620795107033639</v>
      </c>
      <c r="M114" s="295">
        <f>IF(M$4="","",Data!I$22/M19)</f>
        <v>-0.24662259269905146</v>
      </c>
      <c r="N114" s="295">
        <f>IF(N$4="","",Data!J$22/N19)</f>
        <v>4.7913446676970631E-2</v>
      </c>
      <c r="O114" s="295">
        <f>IF(O$4="","",Data!K$22/O19)</f>
        <v>1.4481614597732928</v>
      </c>
      <c r="P114" s="295">
        <f>IF(P$4="","",Data!L$22/P19)</f>
        <v>2.6272630457933972</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0.15660042549334799</v>
      </c>
      <c r="E117" s="268"/>
      <c r="G117" s="23">
        <f t="shared" ref="G117:Q117" si="45">IF(G4="","",IF(valuation_method="DDM",G13/(G4+G12),G81))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x14ac:dyDescent="0.15">
      <c r="B118" s="7" t="s">
        <v>83</v>
      </c>
      <c r="C118" s="42">
        <f>IF(valuation_method="DDM",(C4+C12)/C101,C4/C101)</f>
        <v>0.29736257886212014</v>
      </c>
      <c r="E118" s="268"/>
      <c r="G118" s="42">
        <f t="shared" ref="G118:Q118" si="46">IF(G4="","",IF(valuation_method="DDM",(G4+G12)/G101,G4/G101))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x14ac:dyDescent="0.15">
      <c r="B119" s="7" t="s">
        <v>91</v>
      </c>
      <c r="C119" s="15">
        <f>C101/C105</f>
        <v>1.7899036999493159</v>
      </c>
      <c r="D119" s="11"/>
      <c r="E119" s="27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x14ac:dyDescent="0.15">
      <c r="A120" s="10"/>
      <c r="B120" s="70" t="s">
        <v>222</v>
      </c>
      <c r="C120" s="102">
        <f>C13/C105</f>
        <v>8.3350635997632802E-2</v>
      </c>
      <c r="D120" s="103"/>
      <c r="E120" s="271"/>
      <c r="F120" s="103"/>
      <c r="G120" s="102">
        <f>IF(G$4="","",G13/G105)</f>
        <v>9.0015205271160664E-2</v>
      </c>
      <c r="H120" s="102" t="e">
        <f t="shared" ref="H120:Q120" si="48">IF(H$4="","",H13/H105)</f>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(USD)</v>
      </c>
      <c r="C124" s="177">
        <f>C16*$C$3/Common_Shares*Exchange_Rate</f>
        <v>2.5391674073829975</v>
      </c>
      <c r="D124" s="27"/>
      <c r="E124" s="265"/>
      <c r="F124" s="27"/>
      <c r="G124" s="177">
        <f t="shared" ref="G124:Q124" si="49">IF(G$4="","",G16*$C$3/Common_Shares*Exchange_Rate)</f>
        <v>2.1350761382228316</v>
      </c>
      <c r="H124" s="177">
        <f t="shared" si="49"/>
        <v>1.9867604096257196</v>
      </c>
      <c r="I124" s="177">
        <f t="shared" si="49"/>
        <v>0.91922234051430385</v>
      </c>
      <c r="J124" s="177">
        <f t="shared" si="49"/>
        <v>-0.16675045192556651</v>
      </c>
      <c r="K124" s="177">
        <f t="shared" si="49"/>
        <v>-0.70806096420655129</v>
      </c>
      <c r="L124" s="177">
        <f t="shared" si="49"/>
        <v>0.8220210720551796</v>
      </c>
      <c r="M124" s="177">
        <f t="shared" si="49"/>
        <v>-8.7456003354127514</v>
      </c>
      <c r="N124" s="177">
        <f t="shared" si="49"/>
        <v>9.2165237222578202</v>
      </c>
      <c r="O124" s="177">
        <f t="shared" si="49"/>
        <v>3.0308361035918296</v>
      </c>
      <c r="P124" s="177">
        <f t="shared" si="49"/>
        <v>0.7868275093372209</v>
      </c>
      <c r="Q124" s="177" t="str">
        <f t="shared" si="49"/>
        <v/>
      </c>
    </row>
    <row r="125" spans="1:17" ht="15.75" customHeight="1" x14ac:dyDescent="0.15">
      <c r="A125" s="10"/>
      <c r="B125" s="27" t="s">
        <v>269</v>
      </c>
      <c r="C125" s="77">
        <f>C19*Exchange_Rate*$C$3/(Market_Price*Common_Shares)</f>
        <v>9.4639113208460593E-2</v>
      </c>
      <c r="D125" s="27"/>
      <c r="E125" s="265"/>
      <c r="F125" s="27"/>
      <c r="G125" s="77">
        <f t="shared" ref="G125" si="50">IF(G$4="","",G124/Market_Price)</f>
        <v>7.9577940299024666E-2</v>
      </c>
      <c r="H125" s="77">
        <f t="shared" ref="H125" si="51">IF(H$4="","",H124/Market_Price)</f>
        <v>7.404995935988519E-2</v>
      </c>
      <c r="I125" s="77">
        <f t="shared" ref="I125" si="52">IF(I$4="","",I124/Market_Price)</f>
        <v>3.4260989210372864E-2</v>
      </c>
      <c r="J125" s="77">
        <f t="shared" ref="J125" si="53">IF(J$4="","",J124/Market_Price)</f>
        <v>-6.2150746151907015E-3</v>
      </c>
      <c r="K125" s="77">
        <f t="shared" ref="K125" si="54">IF(K$4="","",K124/Market_Price)</f>
        <v>-2.6390643466513281E-2</v>
      </c>
      <c r="L125" s="77">
        <f t="shared" ref="L125" si="55">IF(L$4="","",L124/Market_Price)</f>
        <v>3.0638131645739086E-2</v>
      </c>
      <c r="M125" s="77">
        <f t="shared" ref="M125" si="56">IF(M$4="","",M124/Market_Price)</f>
        <v>-0.325963486224851</v>
      </c>
      <c r="N125" s="77">
        <f t="shared" ref="N125" si="57">IF(N$4="","",N124/Market_Price)</f>
        <v>0.3435156064948871</v>
      </c>
      <c r="O125" s="77">
        <f t="shared" ref="O125" si="58">IF(O$4="","",O124/Market_Price)</f>
        <v>0.11296444664896868</v>
      </c>
      <c r="P125" s="77">
        <f t="shared" ref="P125" si="59">IF(P$4="","",P124/Market_Price)</f>
        <v>2.9326407355095823E-2</v>
      </c>
      <c r="Q125" s="77" t="str">
        <f t="shared" ref="Q125" si="60">IF(Q$4="","",Q124/Market_Price)</f>
        <v/>
      </c>
    </row>
    <row r="126" spans="1:17" ht="15.75" customHeight="1" x14ac:dyDescent="0.15">
      <c r="B126" s="2" t="s">
        <v>394</v>
      </c>
      <c r="C126" s="169"/>
      <c r="G126" s="23">
        <f>IF(G$4="","",(Data!C47*$C$3)/(Market_Price*Common_Shares))</f>
        <v>8.5761783383485765E-2</v>
      </c>
      <c r="H126" s="23">
        <f>IF(H$4="","",(Data!D47*$C$3)/(Market_Price*Common_Shares))</f>
        <v>8.8884936456445907E-2</v>
      </c>
      <c r="I126" s="23">
        <f>IF(I$4="","",(Data!E47*$C$3)/(Market_Price*Common_Shares))</f>
        <v>7.3956264767696386E-2</v>
      </c>
      <c r="J126" s="23">
        <f>IF(J$4="","",(Data!F47*$C$3)/(Market_Price*Common_Shares))</f>
        <v>3.1981087467111952E-2</v>
      </c>
      <c r="K126" s="23">
        <f>IF(K$4="","",(Data!G47*$C$3)/(Market_Price*Common_Shares))</f>
        <v>1.1274582593386148E-2</v>
      </c>
      <c r="L126" s="23">
        <f>IF(L$4="","",(Data!H47*$C$3)/(Market_Price*Common_Shares))</f>
        <v>6.0370548900319725E-2</v>
      </c>
      <c r="M126" s="23">
        <f>IF(M$4="","",(Data!I47*$C$3)/(Market_Price*Common_Shares))</f>
        <v>-0.32024811610133391</v>
      </c>
      <c r="N126" s="23">
        <f>IF(N$4="","",(Data!J47*$C$3)/(Market_Price*Common_Shares))</f>
        <v>0.34323452271832067</v>
      </c>
      <c r="O126" s="23">
        <f>IF(O$4="","",(Data!K47*$C$3)/(Market_Price*Common_Shares))</f>
        <v>0.11374523491720871</v>
      </c>
      <c r="P126" s="23">
        <f>IF(P$4="","",(Data!L47*$C$3)/(Market_Price*Common_Shares))</f>
        <v>2.0206800382052179E-2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1000000</v>
      </c>
      <c r="E3" s="109" t="s">
        <v>124</v>
      </c>
      <c r="H3" s="120"/>
    </row>
    <row r="4" spans="2:8" x14ac:dyDescent="0.15">
      <c r="B4" s="100" t="s">
        <v>128</v>
      </c>
      <c r="C4" s="338">
        <f>Normalized_FCF!C19</f>
        <v>3030.2425464775833</v>
      </c>
      <c r="D4" t="str">
        <f>Reporting_currency</f>
        <v>USD</v>
      </c>
      <c r="E4" s="100" t="s">
        <v>250</v>
      </c>
      <c r="F4" s="134">
        <f>Terminal_Growth</f>
        <v>0</v>
      </c>
      <c r="H4" s="120"/>
    </row>
    <row r="5" spans="2:8" x14ac:dyDescent="0.15">
      <c r="B5" s="205" t="s">
        <v>123</v>
      </c>
      <c r="C5" s="206">
        <f>Equity_Cost</f>
        <v>7.4999999999999997E-2</v>
      </c>
      <c r="E5" s="148"/>
      <c r="H5" s="120"/>
    </row>
    <row r="6" spans="2:8" ht="13.25" customHeight="1" x14ac:dyDescent="0.15">
      <c r="B6" s="149" t="s">
        <v>228</v>
      </c>
      <c r="C6" s="347">
        <f>(C4*(1+Terminal_Growth))/(Equity_Cost-Terminal_Growth)</f>
        <v>40403.233953034447</v>
      </c>
      <c r="D6" t="str">
        <f>Reporting_currency</f>
        <v>USD</v>
      </c>
      <c r="E6" s="364" t="s">
        <v>249</v>
      </c>
      <c r="F6" s="364"/>
      <c r="H6" s="120"/>
    </row>
    <row r="7" spans="2:8" x14ac:dyDescent="0.15">
      <c r="B7" s="148" t="s">
        <v>224</v>
      </c>
      <c r="C7" s="338">
        <f>BS!G31</f>
        <v>19869</v>
      </c>
      <c r="D7" t="str">
        <f>Reporting_currency</f>
        <v>USD</v>
      </c>
      <c r="E7" s="364"/>
      <c r="F7" s="364"/>
      <c r="H7" s="120"/>
    </row>
    <row r="8" spans="2:8" x14ac:dyDescent="0.15">
      <c r="B8" s="148" t="s">
        <v>225</v>
      </c>
      <c r="C8" s="338">
        <f>BS!D66</f>
        <v>-594.28499848473007</v>
      </c>
      <c r="D8" t="str">
        <f>Reporting_currency</f>
        <v>USD</v>
      </c>
      <c r="E8" s="364"/>
      <c r="F8" s="364"/>
      <c r="H8" s="120"/>
    </row>
    <row r="9" spans="2:8" x14ac:dyDescent="0.15">
      <c r="B9" s="205" t="s">
        <v>190</v>
      </c>
      <c r="C9" s="348">
        <f>BS!H42</f>
        <v>0</v>
      </c>
      <c r="D9" t="str">
        <f>Reporting_currency</f>
        <v>USD</v>
      </c>
      <c r="E9" s="364"/>
      <c r="F9" s="364"/>
      <c r="H9" s="120"/>
    </row>
    <row r="10" spans="2:8" x14ac:dyDescent="0.15">
      <c r="B10" s="149" t="s">
        <v>227</v>
      </c>
      <c r="C10" s="347">
        <f>C6-C7+C8+C9</f>
        <v>19939.948954549716</v>
      </c>
      <c r="D10" t="str">
        <f>Reporting_currency</f>
        <v>USD</v>
      </c>
      <c r="H10" s="120"/>
    </row>
    <row r="11" spans="2:8" ht="14" thickBot="1" x14ac:dyDescent="0.2">
      <c r="B11" s="207" t="s">
        <v>166</v>
      </c>
      <c r="C11" s="208">
        <f>Exchange_Rate</f>
        <v>1</v>
      </c>
      <c r="D11" t="str">
        <f>Thesis!C15</f>
        <v>USD</v>
      </c>
      <c r="H11" s="120"/>
    </row>
    <row r="12" spans="2:8" ht="14" thickTop="1" x14ac:dyDescent="0.15">
      <c r="B12" s="149" t="s">
        <v>102</v>
      </c>
      <c r="C12" s="111">
        <f>(C10*scaling_factor)/Common_Shares*Exchange_Rate</f>
        <v>16.708520098210517</v>
      </c>
      <c r="D12" t="str">
        <f>Market_currency</f>
        <v>USD</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4.2826760003620602E-2</v>
      </c>
      <c r="H16" s="120"/>
    </row>
    <row r="17" spans="2:17" ht="13.25" customHeight="1" x14ac:dyDescent="0.15">
      <c r="B17" s="118" t="s">
        <v>134</v>
      </c>
      <c r="C17" s="162">
        <f>Scenarios!C64</f>
        <v>30</v>
      </c>
      <c r="H17" s="120"/>
    </row>
    <row r="18" spans="2:17" ht="13.25" customHeight="1" x14ac:dyDescent="0.15">
      <c r="B18" s="153" t="s">
        <v>106</v>
      </c>
      <c r="C18" s="140">
        <f>(F52-C7+C8+C9)*Exchange_Rate/Common_Shares*scaling_factor</f>
        <v>36.110746337765448</v>
      </c>
      <c r="D18" t="str">
        <f>Market_currency</f>
        <v>USD</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x14ac:dyDescent="0.15">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x14ac:dyDescent="0.15">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x14ac:dyDescent="0.15">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x14ac:dyDescent="0.15">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x14ac:dyDescent="0.15">
      <c r="B26" s="122">
        <v>6</v>
      </c>
      <c r="C26" s="123">
        <f t="shared" si="2"/>
        <v>3897.1793631338364</v>
      </c>
      <c r="D26" s="138">
        <f>IF($C$17&lt;B26,0,DCF!$C$16)</f>
        <v>4.2826760003620602E-2</v>
      </c>
      <c r="E26" s="124">
        <f t="shared" si="0"/>
        <v>0.64796151846522443</v>
      </c>
      <c r="F26" s="125">
        <f t="shared" si="1"/>
        <v>2525.2222578675369</v>
      </c>
      <c r="H26" s="120"/>
    </row>
    <row r="27" spans="2:17" x14ac:dyDescent="0.15">
      <c r="B27" s="122">
        <v>7</v>
      </c>
      <c r="C27" s="123">
        <f t="shared" si="2"/>
        <v>4064.0829284098313</v>
      </c>
      <c r="D27" s="138">
        <f>IF($C$17&lt;B27,0,DCF!$C$16)</f>
        <v>4.2826760003620602E-2</v>
      </c>
      <c r="E27" s="124">
        <f t="shared" si="0"/>
        <v>0.60275490089788319</v>
      </c>
      <c r="F27" s="125">
        <f t="shared" si="1"/>
        <v>2449.645902754447</v>
      </c>
      <c r="H27" s="120"/>
    </row>
    <row r="28" spans="2:17" x14ac:dyDescent="0.15">
      <c r="B28" s="122">
        <v>8</v>
      </c>
      <c r="C28" s="123">
        <f t="shared" si="2"/>
        <v>4238.1344326196504</v>
      </c>
      <c r="D28" s="138">
        <f>IF($C$17&lt;B28,0,DCF!$C$16)</f>
        <v>4.2826760003620602E-2</v>
      </c>
      <c r="E28" s="124">
        <f t="shared" si="0"/>
        <v>0.56070223339337966</v>
      </c>
      <c r="F28" s="125">
        <f t="shared" si="1"/>
        <v>2376.331441791222</v>
      </c>
      <c r="H28" s="120"/>
    </row>
    <row r="29" spans="2:17" x14ac:dyDescent="0.15">
      <c r="B29" s="122">
        <v>9</v>
      </c>
      <c r="C29" s="123">
        <f t="shared" si="2"/>
        <v>4419.639998828533</v>
      </c>
      <c r="D29" s="138">
        <f>IF($C$17&lt;B29,0,DCF!$C$16)</f>
        <v>4.2826760003620602E-2</v>
      </c>
      <c r="E29" s="124">
        <f t="shared" si="0"/>
        <v>0.52158347292407414</v>
      </c>
      <c r="F29" s="125">
        <f t="shared" si="1"/>
        <v>2305.211179663137</v>
      </c>
      <c r="H29" s="120"/>
    </row>
    <row r="30" spans="2:17" x14ac:dyDescent="0.15">
      <c r="B30" s="122">
        <v>10</v>
      </c>
      <c r="C30" s="123">
        <f t="shared" si="2"/>
        <v>4608.9188603607645</v>
      </c>
      <c r="D30" s="138">
        <f>IF($C$17&lt;B30,0,DCF!$C$16)</f>
        <v>4.2826760003620602E-2</v>
      </c>
      <c r="E30" s="124">
        <f t="shared" si="0"/>
        <v>0.48519392830146441</v>
      </c>
      <c r="F30" s="125">
        <f t="shared" si="1"/>
        <v>2236.2194470811478</v>
      </c>
      <c r="H30" s="120"/>
    </row>
    <row r="31" spans="2:17" x14ac:dyDescent="0.15">
      <c r="B31" s="122">
        <v>11</v>
      </c>
      <c r="C31" s="123">
        <f t="shared" si="2"/>
        <v>4806.3039222695952</v>
      </c>
      <c r="D31" s="138">
        <f>IF($C$17&lt;B31,0,DCF!$C$16)</f>
        <v>4.2826760003620602E-2</v>
      </c>
      <c r="E31" s="124">
        <f t="shared" si="0"/>
        <v>0.45134318911764126</v>
      </c>
      <c r="F31" s="125">
        <f t="shared" si="1"/>
        <v>2169.2925401457869</v>
      </c>
      <c r="H31" s="120"/>
    </row>
    <row r="32" spans="2:17" x14ac:dyDescent="0.15">
      <c r="B32" s="122">
        <v>12</v>
      </c>
      <c r="C32" s="123">
        <f t="shared" si="2"/>
        <v>5012.1423468530957</v>
      </c>
      <c r="D32" s="138">
        <f>IF($C$17&lt;B32,0,DCF!$C$16)</f>
        <v>4.2826760003620602E-2</v>
      </c>
      <c r="E32" s="124">
        <f t="shared" si="0"/>
        <v>0.41985412941175931</v>
      </c>
      <c r="F32" s="125">
        <f t="shared" si="1"/>
        <v>2104.3686615258189</v>
      </c>
      <c r="H32" s="120"/>
    </row>
    <row r="33" spans="2:17" x14ac:dyDescent="0.15">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x14ac:dyDescent="0.15">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x14ac:dyDescent="0.15">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x14ac:dyDescent="0.15">
      <c r="B36" s="122">
        <v>16</v>
      </c>
      <c r="C36" s="123">
        <f t="shared" si="2"/>
        <v>5927.5068557912755</v>
      </c>
      <c r="D36" s="138">
        <f>IF($C$17&lt;B36,0,DCF!$C$16)</f>
        <v>4.2826760003620602E-2</v>
      </c>
      <c r="E36" s="124">
        <f t="shared" si="0"/>
        <v>0.31438699453232405</v>
      </c>
      <c r="F36" s="125">
        <f t="shared" si="1"/>
        <v>1863.531065461965</v>
      </c>
      <c r="H36" s="120"/>
    </row>
    <row r="37" spans="2:17" x14ac:dyDescent="0.15">
      <c r="B37" s="122">
        <v>17</v>
      </c>
      <c r="C37" s="123">
        <f t="shared" si="2"/>
        <v>6181.3627693240651</v>
      </c>
      <c r="D37" s="138">
        <f>IF($C$17&lt;B37,0,DCF!$C$16)</f>
        <v>4.2826760003620602E-2</v>
      </c>
      <c r="E37" s="124">
        <f t="shared" si="0"/>
        <v>0.29245301816960378</v>
      </c>
      <c r="F37" s="125">
        <f t="shared" si="1"/>
        <v>1807.7581982900431</v>
      </c>
      <c r="H37" s="120"/>
    </row>
    <row r="38" spans="2:17" x14ac:dyDescent="0.15">
      <c r="B38" s="122">
        <v>18</v>
      </c>
      <c r="C38" s="123">
        <f t="shared" si="2"/>
        <v>6446.0905091412214</v>
      </c>
      <c r="D38" s="138">
        <f>IF($C$17&lt;B38,0,DCF!$C$16)</f>
        <v>4.2826760003620602E-2</v>
      </c>
      <c r="E38" s="124">
        <f t="shared" si="0"/>
        <v>0.27204931922753844</v>
      </c>
      <c r="F38" s="125">
        <f t="shared" si="1"/>
        <v>1753.6545346909659</v>
      </c>
      <c r="H38" s="120"/>
    </row>
    <row r="39" spans="2:17" x14ac:dyDescent="0.15">
      <c r="B39" s="122">
        <v>19</v>
      </c>
      <c r="C39" s="123">
        <f t="shared" si="2"/>
        <v>6722.1556803378289</v>
      </c>
      <c r="D39" s="138">
        <f>IF($C$17&lt;B39,0,DCF!$C$16)</f>
        <v>4.2826760003620602E-2</v>
      </c>
      <c r="E39" s="124">
        <f t="shared" si="0"/>
        <v>0.25306913416515198</v>
      </c>
      <c r="F39" s="125">
        <f t="shared" si="1"/>
        <v>1701.1701177464524</v>
      </c>
      <c r="H39" s="120"/>
    </row>
    <row r="40" spans="2:17" x14ac:dyDescent="0.15">
      <c r="B40" s="122">
        <v>20</v>
      </c>
      <c r="C40" s="123">
        <f t="shared" si="2"/>
        <v>7010.0438283666326</v>
      </c>
      <c r="D40" s="138">
        <f>IF($C$17&lt;B40,0,DCF!$C$16)</f>
        <v>4.2826760003620602E-2</v>
      </c>
      <c r="E40" s="124">
        <f t="shared" si="0"/>
        <v>0.23541314806060654</v>
      </c>
      <c r="F40" s="125">
        <f t="shared" si="1"/>
        <v>1650.2564856786153</v>
      </c>
      <c r="H40" s="120"/>
    </row>
    <row r="41" spans="2:17" x14ac:dyDescent="0.15">
      <c r="B41" s="122">
        <v>21</v>
      </c>
      <c r="C41" s="123">
        <f t="shared" si="2"/>
        <v>7310.2612930189507</v>
      </c>
      <c r="D41" s="138">
        <f>IF($C$17&lt;B41,0,DCF!$C$16)</f>
        <v>4.2826760003620602E-2</v>
      </c>
      <c r="E41" s="124">
        <f t="shared" si="0"/>
        <v>0.21898897494009908</v>
      </c>
      <c r="F41" s="125">
        <f t="shared" si="1"/>
        <v>1600.8666271025033</v>
      </c>
      <c r="H41" s="120"/>
    </row>
    <row r="42" spans="2:17" x14ac:dyDescent="0.15">
      <c r="B42" s="122">
        <v>22</v>
      </c>
      <c r="C42" s="123">
        <f t="shared" si="2"/>
        <v>7623.3360989788298</v>
      </c>
      <c r="D42" s="138">
        <f>IF($C$17&lt;B42,0,DCF!$C$16)</f>
        <v>4.2826760003620602E-2</v>
      </c>
      <c r="E42" s="124">
        <f t="shared" si="0"/>
        <v>0.20371067436288287</v>
      </c>
      <c r="F42" s="125">
        <f t="shared" si="1"/>
        <v>1552.9549376178861</v>
      </c>
      <c r="H42" s="120"/>
    </row>
    <row r="43" spans="2:17" x14ac:dyDescent="0.15">
      <c r="B43" s="122">
        <v>23</v>
      </c>
      <c r="C43" s="123">
        <f t="shared" si="2"/>
        <v>7949.8188845167324</v>
      </c>
      <c r="D43" s="138">
        <f>IF($C$17&lt;B43,0,DCF!$C$16)</f>
        <v>4.2826760003620602E-2</v>
      </c>
      <c r="E43" s="124">
        <f t="shared" si="0"/>
        <v>0.18949830173291429</v>
      </c>
      <c r="F43" s="125">
        <f t="shared" si="1"/>
        <v>1506.477177700172</v>
      </c>
      <c r="H43" s="120"/>
    </row>
    <row r="44" spans="2:17" x14ac:dyDescent="0.15">
      <c r="B44" s="122">
        <v>24</v>
      </c>
      <c r="C44" s="123">
        <f t="shared" si="2"/>
        <v>8290.2838699561817</v>
      </c>
      <c r="D44" s="138">
        <f>IF($C$17&lt;B44,0,DCF!$C$16)</f>
        <v>4.2826760003620602E-2</v>
      </c>
      <c r="E44" s="124">
        <f t="shared" si="0"/>
        <v>0.17627748998410636</v>
      </c>
      <c r="F44" s="125">
        <f t="shared" si="1"/>
        <v>1461.3904318515993</v>
      </c>
      <c r="H44" s="120"/>
    </row>
    <row r="45" spans="2:17" x14ac:dyDescent="0.15">
      <c r="B45" s="122">
        <v>25</v>
      </c>
      <c r="C45" s="123">
        <f t="shared" si="2"/>
        <v>8645.3298676166814</v>
      </c>
      <c r="D45" s="138">
        <f>IF($C$17&lt;B45,0,DCF!$C$16)</f>
        <v>4.2826760003620602E-2</v>
      </c>
      <c r="E45" s="124">
        <f t="shared" si="0"/>
        <v>0.16397906045033148</v>
      </c>
      <c r="F45" s="125">
        <f t="shared" si="1"/>
        <v>1417.653068974972</v>
      </c>
      <c r="H45" s="120"/>
    </row>
    <row r="46" spans="2:17" x14ac:dyDescent="0.15">
      <c r="B46" s="122">
        <v>26</v>
      </c>
      <c r="C46" s="123">
        <f t="shared" si="2"/>
        <v>9015.581335009234</v>
      </c>
      <c r="D46" s="138">
        <f>IF($C$17&lt;B46,0,DCF!$C$16)</f>
        <v>4.2826760003620602E-2</v>
      </c>
      <c r="E46" s="124">
        <f t="shared" si="0"/>
        <v>0.15253866088402931</v>
      </c>
      <c r="F46" s="125">
        <f t="shared" si="1"/>
        <v>1375.2247039333579</v>
      </c>
      <c r="H46" s="120"/>
    </row>
    <row r="47" spans="2:17" x14ac:dyDescent="0.15">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x14ac:dyDescent="0.15">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x14ac:dyDescent="0.15">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x14ac:dyDescent="0.15">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x14ac:dyDescent="0.15">
      <c r="B51" s="126" t="s">
        <v>131</v>
      </c>
      <c r="C51" s="123">
        <f>C$21*(1+Terminal_Growth)^$C$17/Equity_Cost</f>
        <v>42133.573556911186</v>
      </c>
      <c r="D51" s="139">
        <f>Terminal_Growth</f>
        <v>0</v>
      </c>
      <c r="E51" s="124">
        <f>1/(1+Equity_Cost)^C17</f>
        <v>0.11422103008133992</v>
      </c>
      <c r="F51" s="125">
        <f t="shared" si="1"/>
        <v>4812.5401726783011</v>
      </c>
      <c r="H51" s="120"/>
    </row>
    <row r="52" spans="1:17" x14ac:dyDescent="0.15">
      <c r="C52" s="114"/>
      <c r="E52" s="127" t="s">
        <v>100</v>
      </c>
      <c r="F52" s="137">
        <f>SUM(F21:F51)</f>
        <v>63557.851989061775</v>
      </c>
      <c r="H52" s="120"/>
    </row>
    <row r="53" spans="1:17" x14ac:dyDescent="0.15">
      <c r="C53" s="114"/>
      <c r="H53" s="120"/>
    </row>
    <row r="54" spans="1:17" x14ac:dyDescent="0.15">
      <c r="B54" s="119" t="s">
        <v>129</v>
      </c>
      <c r="C54" s="136"/>
      <c r="D54" s="136"/>
      <c r="E54" s="117"/>
      <c r="F54" s="117"/>
      <c r="H54" s="120"/>
    </row>
    <row r="55" spans="1:17" x14ac:dyDescent="0.15">
      <c r="A55" s="133">
        <f>F52</f>
        <v>63557.851989061775</v>
      </c>
      <c r="B55" s="131">
        <f>C78</f>
        <v>0</v>
      </c>
      <c r="C55" s="131">
        <f>C77</f>
        <v>0.02</v>
      </c>
      <c r="D55" s="131">
        <f>C76</f>
        <v>0.04</v>
      </c>
      <c r="E55" s="131">
        <f>C75</f>
        <v>0.06</v>
      </c>
      <c r="F55" s="131">
        <f>C74</f>
        <v>0.08</v>
      </c>
      <c r="H55" s="120"/>
    </row>
    <row r="56" spans="1:17" x14ac:dyDescent="0.15">
      <c r="A56" s="143">
        <v>5</v>
      </c>
      <c r="B56" s="123">
        <f t="dataTable" ref="B56:F61" dt2D="1" dtr="1" r1="C16" r2="C17"/>
        <v>40403.233953034447</v>
      </c>
      <c r="C56" s="123">
        <v>41684.440837253023</v>
      </c>
      <c r="D56" s="123">
        <v>43002.971778452091</v>
      </c>
      <c r="E56" s="123">
        <v>44360.467544731473</v>
      </c>
      <c r="F56" s="123">
        <v>45758.619764620693</v>
      </c>
      <c r="H56" s="120"/>
    </row>
    <row r="57" spans="1:17" x14ac:dyDescent="0.15">
      <c r="A57" s="143">
        <v>10</v>
      </c>
      <c r="B57" s="123">
        <v>40403.233953034462</v>
      </c>
      <c r="C57" s="123">
        <v>42954.921864000986</v>
      </c>
      <c r="D57" s="123">
        <v>45760.733843490714</v>
      </c>
      <c r="E57" s="123">
        <v>48851.182137967924</v>
      </c>
      <c r="F57" s="123">
        <v>52260.19761025902</v>
      </c>
      <c r="H57" s="120"/>
    </row>
    <row r="58" spans="1:17" x14ac:dyDescent="0.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x14ac:dyDescent="0.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x14ac:dyDescent="0.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x14ac:dyDescent="0.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v>
      </c>
      <c r="C64" s="132">
        <f>C55</f>
        <v>0.02</v>
      </c>
      <c r="D64" s="132">
        <f>D55</f>
        <v>0.04</v>
      </c>
      <c r="E64" s="132">
        <f>E55</f>
        <v>0.06</v>
      </c>
      <c r="F64" s="132">
        <f>F55</f>
        <v>0.08</v>
      </c>
      <c r="H64" s="120"/>
    </row>
    <row r="65" spans="1:8" x14ac:dyDescent="0.15">
      <c r="A65" s="143">
        <v>0</v>
      </c>
      <c r="B65" s="124">
        <f>C12</f>
        <v>16.708520098210517</v>
      </c>
      <c r="C65" s="124">
        <f>C12</f>
        <v>16.708520098210517</v>
      </c>
      <c r="D65" s="124">
        <f>C12</f>
        <v>16.708520098210517</v>
      </c>
      <c r="E65" s="141">
        <f>C12</f>
        <v>16.708520098210517</v>
      </c>
      <c r="F65" s="124">
        <f>C12</f>
        <v>16.708520098210517</v>
      </c>
      <c r="H65" s="120"/>
    </row>
    <row r="66" spans="1:8" x14ac:dyDescent="0.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x14ac:dyDescent="0.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x14ac:dyDescent="0.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x14ac:dyDescent="0.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x14ac:dyDescent="0.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x14ac:dyDescent="0.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0.08</v>
      </c>
      <c r="D74" s="145">
        <f>Scenarios!C55</f>
        <v>30</v>
      </c>
      <c r="E74" s="135">
        <f>INDEX(B$65:F$71, MATCH(D74, A$65:A$71, 0), MATCH(C74, B$64:F$64, 0))</f>
        <v>68.951201666122259</v>
      </c>
      <c r="F74" s="142">
        <f>Scenarios!C58</f>
        <v>0.05</v>
      </c>
    </row>
    <row r="75" spans="1:8" x14ac:dyDescent="0.15">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x14ac:dyDescent="0.15">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x14ac:dyDescent="0.15">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x14ac:dyDescent="0.15">
      <c r="B78" s="127" t="str">
        <f>Scenarios!B48</f>
        <v>Devil's advocate</v>
      </c>
      <c r="C78" s="142">
        <f>Scenarios!C50</f>
        <v>0</v>
      </c>
      <c r="D78" s="145">
        <f>Scenarios!C49</f>
        <v>30</v>
      </c>
      <c r="E78" s="135">
        <f>INDEX(B$65:F$71, MATCH(D78, A$65:A$71, 0), MATCH(C78, B$64:F$64, 0))</f>
        <v>16.708520098210528</v>
      </c>
      <c r="F78" s="142">
        <f>Scenarios!C52</f>
        <v>0.05</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442</v>
      </c>
      <c r="C2" s="37"/>
      <c r="D2" s="37"/>
      <c r="E2" s="37"/>
      <c r="F2" s="37"/>
      <c r="H2" s="130" t="s">
        <v>59</v>
      </c>
    </row>
    <row r="3" spans="2:8" x14ac:dyDescent="0.15">
      <c r="B3" s="109" t="s">
        <v>441</v>
      </c>
      <c r="C3" s="107">
        <f>scaling_factor</f>
        <v>1000000</v>
      </c>
      <c r="E3" s="109" t="s">
        <v>124</v>
      </c>
      <c r="H3" s="120"/>
    </row>
    <row r="4" spans="2:8" x14ac:dyDescent="0.15">
      <c r="B4" s="100" t="s">
        <v>439</v>
      </c>
      <c r="C4" s="114">
        <f>Normalized_FCF!C91</f>
        <v>1909.4401024000001</v>
      </c>
      <c r="D4" t="str">
        <f>Market_currency</f>
        <v>USD</v>
      </c>
      <c r="E4" s="100" t="s">
        <v>250</v>
      </c>
      <c r="F4" s="134">
        <f>Thesis!E22</f>
        <v>0</v>
      </c>
      <c r="H4" s="120"/>
    </row>
    <row r="5" spans="2:8" x14ac:dyDescent="0.15">
      <c r="B5" s="205" t="s">
        <v>123</v>
      </c>
      <c r="C5" s="206">
        <f>Equity_Cost</f>
        <v>7.4999999999999997E-2</v>
      </c>
      <c r="E5" s="148"/>
      <c r="H5" s="120"/>
    </row>
    <row r="6" spans="2:8" ht="13.25" customHeight="1" x14ac:dyDescent="0.15">
      <c r="B6" s="149" t="s">
        <v>440</v>
      </c>
      <c r="C6" s="319">
        <f>(C4*(1+Terminal_Growth))/(Equity_Cost-Terminal_Growth)</f>
        <v>25459.201365333334</v>
      </c>
      <c r="D6" t="str">
        <f>Reporting_currency</f>
        <v>USD</v>
      </c>
      <c r="E6" s="364"/>
      <c r="F6" s="364"/>
      <c r="H6" s="120"/>
    </row>
    <row r="7" spans="2:8" x14ac:dyDescent="0.15">
      <c r="B7" s="149" t="s">
        <v>443</v>
      </c>
      <c r="C7" s="111">
        <f>(C6*scaling_factor)/Common_Shares*Exchange_Rate</f>
        <v>21.333333333333336</v>
      </c>
      <c r="D7" t="str">
        <f>Market_currency</f>
        <v>USD</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4.2826760003620602E-2</v>
      </c>
      <c r="H11" s="120"/>
    </row>
    <row r="12" spans="2:8" ht="13.25" customHeight="1" x14ac:dyDescent="0.15">
      <c r="B12" s="118" t="s">
        <v>134</v>
      </c>
      <c r="C12" s="162">
        <f>Scenarios!C64</f>
        <v>30</v>
      </c>
      <c r="H12" s="120"/>
    </row>
    <row r="13" spans="2:8" ht="13.25" customHeight="1" x14ac:dyDescent="0.15">
      <c r="B13" s="153" t="s">
        <v>106</v>
      </c>
      <c r="C13" s="140">
        <f>F47/Common_Shares*scaling_factor</f>
        <v>33.559215680839927</v>
      </c>
      <c r="D13" t="str">
        <f>Market_currency</f>
        <v>USD</v>
      </c>
      <c r="H13" s="120"/>
    </row>
    <row r="14" spans="2:8" x14ac:dyDescent="0.15">
      <c r="H14" s="120"/>
    </row>
    <row r="15" spans="2:8" ht="14" x14ac:dyDescent="0.2">
      <c r="B15" s="128" t="s">
        <v>107</v>
      </c>
      <c r="C15" s="128" t="s">
        <v>445</v>
      </c>
      <c r="D15" s="128" t="s">
        <v>118</v>
      </c>
      <c r="E15" s="128" t="s">
        <v>109</v>
      </c>
      <c r="F15" s="129" t="s">
        <v>444</v>
      </c>
      <c r="H15" s="120"/>
    </row>
    <row r="16" spans="2:8" x14ac:dyDescent="0.15">
      <c r="B16" s="122">
        <v>1</v>
      </c>
      <c r="C16" s="123">
        <f>C4*(1+D16)</f>
        <v>1991.2152354067734</v>
      </c>
      <c r="D16" s="138">
        <f>IF($C$12&lt;B16,0,DDM!$C$11)</f>
        <v>4.2826760003620602E-2</v>
      </c>
      <c r="E16" s="124">
        <f t="shared" ref="E16:E45" si="0">IF($C$12&lt;B16,0,1/(1+Equity_Cost)^B16)</f>
        <v>0.93023255813953487</v>
      </c>
      <c r="F16" s="125">
        <f t="shared" ref="F16:F46" si="1">C16*E16</f>
        <v>1852.293242238859</v>
      </c>
      <c r="H16" s="120"/>
    </row>
    <row r="17" spans="2:8" x14ac:dyDescent="0.15">
      <c r="B17" s="122">
        <v>2</v>
      </c>
      <c r="C17" s="123">
        <f t="shared" ref="C17:C45" si="2">IF(ROW()-ROW($C$16)&lt;$C$12, $C$16*(1+D17)^(ROW()-ROW($C$16)), 0)</f>
        <v>2076.4925324090918</v>
      </c>
      <c r="D17" s="138">
        <f>IF($C$12&lt;B17,0,DDM!$C$11)</f>
        <v>4.2826760003620602E-2</v>
      </c>
      <c r="E17" s="124">
        <f t="shared" si="0"/>
        <v>0.86533261222282321</v>
      </c>
      <c r="F17" s="125">
        <f t="shared" si="1"/>
        <v>1796.8567073307447</v>
      </c>
      <c r="H17" s="120"/>
    </row>
    <row r="18" spans="2:8" x14ac:dyDescent="0.15">
      <c r="B18" s="122">
        <v>3</v>
      </c>
      <c r="C18" s="123">
        <f t="shared" si="2"/>
        <v>2165.4219797438864</v>
      </c>
      <c r="D18" s="138">
        <f>IF($C$12&lt;B18,0,DDM!$C$11)</f>
        <v>4.2826760003620602E-2</v>
      </c>
      <c r="E18" s="124">
        <f t="shared" si="0"/>
        <v>0.80496056950960304</v>
      </c>
      <c r="F18" s="125">
        <f t="shared" si="1"/>
        <v>1743.0793100432509</v>
      </c>
      <c r="H18" s="120"/>
    </row>
    <row r="19" spans="2:8" x14ac:dyDescent="0.15">
      <c r="B19" s="122">
        <v>4</v>
      </c>
      <c r="C19" s="123">
        <f t="shared" si="2"/>
        <v>2258.1599871769426</v>
      </c>
      <c r="D19" s="138">
        <f>IF($C$12&lt;B19,0,DDM!$C$11)</f>
        <v>4.2826760003620602E-2</v>
      </c>
      <c r="E19" s="124">
        <f t="shared" si="0"/>
        <v>0.7488005297763749</v>
      </c>
      <c r="F19" s="125">
        <f t="shared" si="1"/>
        <v>1690.9113947179067</v>
      </c>
      <c r="H19" s="120"/>
    </row>
    <row r="20" spans="2:8" x14ac:dyDescent="0.15">
      <c r="B20" s="122">
        <v>5</v>
      </c>
      <c r="C20" s="123">
        <f t="shared" si="2"/>
        <v>2354.8696629975484</v>
      </c>
      <c r="D20" s="138">
        <f>IF($C$12&lt;B20,0,DDM!$C$11)</f>
        <v>4.2826760003620602E-2</v>
      </c>
      <c r="E20" s="124">
        <f t="shared" si="0"/>
        <v>0.69655863235011617</v>
      </c>
      <c r="F20" s="125">
        <f t="shared" si="1"/>
        <v>1640.3047918203513</v>
      </c>
      <c r="H20" s="120"/>
    </row>
    <row r="21" spans="2:8" x14ac:dyDescent="0.15">
      <c r="B21" s="122">
        <v>6</v>
      </c>
      <c r="C21" s="123">
        <f t="shared" si="2"/>
        <v>2455.7211008945515</v>
      </c>
      <c r="D21" s="138">
        <f>IF($C$12&lt;B21,0,DDM!$C$11)</f>
        <v>4.2826760003620602E-2</v>
      </c>
      <c r="E21" s="124">
        <f t="shared" si="0"/>
        <v>0.64796151846522443</v>
      </c>
      <c r="F21" s="125">
        <f t="shared" si="1"/>
        <v>1591.2127734627261</v>
      </c>
      <c r="H21" s="120"/>
    </row>
    <row r="22" spans="2:8" x14ac:dyDescent="0.15">
      <c r="B22" s="122">
        <v>7</v>
      </c>
      <c r="C22" s="123">
        <f t="shared" si="2"/>
        <v>2560.8916791183888</v>
      </c>
      <c r="D22" s="138">
        <f>IF($C$12&lt;B22,0,DDM!$C$11)</f>
        <v>4.2826760003620602E-2</v>
      </c>
      <c r="E22" s="124">
        <f t="shared" si="0"/>
        <v>0.60275490089788319</v>
      </c>
      <c r="F22" s="125">
        <f t="shared" si="1"/>
        <v>1543.5900102572182</v>
      </c>
      <c r="H22" s="120"/>
    </row>
    <row r="23" spans="2:8" x14ac:dyDescent="0.15">
      <c r="B23" s="122">
        <v>8</v>
      </c>
      <c r="C23" s="123">
        <f t="shared" si="2"/>
        <v>2670.5663724552605</v>
      </c>
      <c r="D23" s="138">
        <f>IF($C$12&lt;B23,0,DDM!$C$11)</f>
        <v>4.2826760003620602E-2</v>
      </c>
      <c r="E23" s="124">
        <f t="shared" si="0"/>
        <v>0.56070223339337966</v>
      </c>
      <c r="F23" s="125">
        <f t="shared" si="1"/>
        <v>1497.3925294609207</v>
      </c>
      <c r="H23" s="120"/>
    </row>
    <row r="24" spans="2:8" x14ac:dyDescent="0.15">
      <c r="B24" s="122">
        <v>9</v>
      </c>
      <c r="C24" s="123">
        <f t="shared" si="2"/>
        <v>2784.9380775621421</v>
      </c>
      <c r="D24" s="138">
        <f>IF($C$12&lt;B24,0,DDM!$C$11)</f>
        <v>4.2826760003620602E-2</v>
      </c>
      <c r="E24" s="124">
        <f t="shared" si="0"/>
        <v>0.52158347292407414</v>
      </c>
      <c r="F24" s="125">
        <f t="shared" si="1"/>
        <v>1452.5776743733566</v>
      </c>
      <c r="H24" s="120"/>
    </row>
    <row r="25" spans="2:8" x14ac:dyDescent="0.15">
      <c r="B25" s="122">
        <v>10</v>
      </c>
      <c r="C25" s="123">
        <f t="shared" si="2"/>
        <v>2904.2079522348399</v>
      </c>
      <c r="D25" s="138">
        <f>IF($C$12&lt;B25,0,DDM!$C$11)</f>
        <v>4.2826760003620602E-2</v>
      </c>
      <c r="E25" s="124">
        <f t="shared" si="0"/>
        <v>0.48519392830146441</v>
      </c>
      <c r="F25" s="125">
        <f t="shared" si="1"/>
        <v>1409.1040649491738</v>
      </c>
      <c r="H25" s="120"/>
    </row>
    <row r="26" spans="2:8" x14ac:dyDescent="0.15">
      <c r="B26" s="122">
        <v>11</v>
      </c>
      <c r="C26" s="123">
        <f t="shared" si="2"/>
        <v>3028.585769205808</v>
      </c>
      <c r="D26" s="138">
        <f>IF($C$12&lt;B26,0,DDM!$C$11)</f>
        <v>4.2826760003620602E-2</v>
      </c>
      <c r="E26" s="124">
        <f t="shared" si="0"/>
        <v>0.45134318911764126</v>
      </c>
      <c r="F26" s="125">
        <f t="shared" si="1"/>
        <v>1366.9315595896539</v>
      </c>
      <c r="H26" s="120"/>
    </row>
    <row r="27" spans="2:8" x14ac:dyDescent="0.15">
      <c r="B27" s="122">
        <v>12</v>
      </c>
      <c r="C27" s="123">
        <f t="shared" si="2"/>
        <v>3158.2902850939654</v>
      </c>
      <c r="D27" s="138">
        <f>IF($C$12&lt;B27,0,DDM!$C$11)</f>
        <v>4.2826760003620602E-2</v>
      </c>
      <c r="E27" s="124">
        <f t="shared" si="0"/>
        <v>0.41985412941175931</v>
      </c>
      <c r="F27" s="125">
        <f t="shared" si="1"/>
        <v>1326.0212180777439</v>
      </c>
      <c r="H27" s="120"/>
    </row>
    <row r="28" spans="2:8" x14ac:dyDescent="0.15">
      <c r="B28" s="122">
        <v>13</v>
      </c>
      <c r="C28" s="123">
        <f t="shared" si="2"/>
        <v>3293.5496251554509</v>
      </c>
      <c r="D28" s="138">
        <f>IF($C$12&lt;B28,0,DDM!$C$11)</f>
        <v>4.2826760003620602E-2</v>
      </c>
      <c r="E28" s="124">
        <f t="shared" si="0"/>
        <v>0.39056198084814819</v>
      </c>
      <c r="F28" s="125">
        <f t="shared" si="1"/>
        <v>1286.335265622389</v>
      </c>
      <c r="H28" s="120"/>
    </row>
    <row r="29" spans="2:8" x14ac:dyDescent="0.15">
      <c r="B29" s="122">
        <v>14</v>
      </c>
      <c r="C29" s="123">
        <f t="shared" si="2"/>
        <v>3434.601684511998</v>
      </c>
      <c r="D29" s="138">
        <f>IF($C$12&lt;B29,0,DDM!$C$11)</f>
        <v>4.2826760003620602E-2</v>
      </c>
      <c r="E29" s="124">
        <f t="shared" si="0"/>
        <v>0.36331347055641694</v>
      </c>
      <c r="F29" s="125">
        <f t="shared" si="1"/>
        <v>1247.8370579789698</v>
      </c>
      <c r="H29" s="120"/>
    </row>
    <row r="30" spans="2:8" x14ac:dyDescent="0.15">
      <c r="B30" s="122">
        <v>15</v>
      </c>
      <c r="C30" s="123">
        <f t="shared" si="2"/>
        <v>3581.6945465626236</v>
      </c>
      <c r="D30" s="138">
        <f>IF($C$12&lt;B30,0,DDM!$C$11)</f>
        <v>4.2826760003620602E-2</v>
      </c>
      <c r="E30" s="124">
        <f t="shared" si="0"/>
        <v>0.33796601912224833</v>
      </c>
      <c r="F30" s="125">
        <f t="shared" si="1"/>
        <v>1210.4910476136363</v>
      </c>
      <c r="H30" s="120"/>
    </row>
    <row r="31" spans="2:8" x14ac:dyDescent="0.15">
      <c r="B31" s="122">
        <v>16</v>
      </c>
      <c r="C31" s="123">
        <f t="shared" si="2"/>
        <v>3735.0869193145372</v>
      </c>
      <c r="D31" s="138">
        <f>IF($C$12&lt;B31,0,DDM!$C$11)</f>
        <v>4.2826760003620602E-2</v>
      </c>
      <c r="E31" s="124">
        <f t="shared" si="0"/>
        <v>0.31438699453232405</v>
      </c>
      <c r="F31" s="125">
        <f t="shared" si="1"/>
        <v>1174.2627508802946</v>
      </c>
      <c r="H31" s="120"/>
    </row>
    <row r="32" spans="2:8" x14ac:dyDescent="0.15">
      <c r="B32" s="122">
        <v>17</v>
      </c>
      <c r="C32" s="123">
        <f t="shared" si="2"/>
        <v>3895.0485904006841</v>
      </c>
      <c r="D32" s="138">
        <f>IF($C$12&lt;B32,0,DDM!$C$11)</f>
        <v>4.2826760003620602E-2</v>
      </c>
      <c r="E32" s="124">
        <f t="shared" si="0"/>
        <v>0.29245301816960378</v>
      </c>
      <c r="F32" s="125">
        <f t="shared" si="1"/>
        <v>1139.118716179941</v>
      </c>
      <c r="H32" s="120"/>
    </row>
    <row r="33" spans="2:8" x14ac:dyDescent="0.15">
      <c r="B33" s="122">
        <v>18</v>
      </c>
      <c r="C33" s="123">
        <f t="shared" si="2"/>
        <v>4061.8609015842144</v>
      </c>
      <c r="D33" s="138">
        <f>IF($C$12&lt;B33,0,DDM!$C$11)</f>
        <v>4.2826760003620602E-2</v>
      </c>
      <c r="E33" s="124">
        <f t="shared" si="0"/>
        <v>0.27204931922753844</v>
      </c>
      <c r="F33" s="125">
        <f t="shared" si="1"/>
        <v>1105.0264930729411</v>
      </c>
      <c r="H33" s="120"/>
    </row>
    <row r="34" spans="2:8" x14ac:dyDescent="0.15">
      <c r="B34" s="122">
        <v>19</v>
      </c>
      <c r="C34" s="123">
        <f t="shared" si="2"/>
        <v>4235.8172435844508</v>
      </c>
      <c r="D34" s="138">
        <f>IF($C$12&lt;B34,0,DDM!$C$11)</f>
        <v>4.2826760003620602E-2</v>
      </c>
      <c r="E34" s="124">
        <f t="shared" si="0"/>
        <v>0.25306913416515198</v>
      </c>
      <c r="F34" s="125">
        <f t="shared" si="1"/>
        <v>1071.9546023157377</v>
      </c>
      <c r="H34" s="120"/>
    </row>
    <row r="35" spans="2:8" x14ac:dyDescent="0.15">
      <c r="B35" s="122">
        <v>20</v>
      </c>
      <c r="C35" s="123">
        <f t="shared" si="2"/>
        <v>4417.223572094641</v>
      </c>
      <c r="D35" s="138">
        <f>IF($C$12&lt;B35,0,DDM!$C$11)</f>
        <v>4.2826760003620602E-2</v>
      </c>
      <c r="E35" s="124">
        <f t="shared" si="0"/>
        <v>0.23541314806060654</v>
      </c>
      <c r="F35" s="125">
        <f t="shared" si="1"/>
        <v>1039.8725067943169</v>
      </c>
      <c r="H35" s="120"/>
    </row>
    <row r="36" spans="2:8" x14ac:dyDescent="0.15">
      <c r="B36" s="122">
        <v>21</v>
      </c>
      <c r="C36" s="123">
        <f t="shared" si="2"/>
        <v>4606.3989458990727</v>
      </c>
      <c r="D36" s="138">
        <f>IF($C$12&lt;B36,0,DDM!$C$11)</f>
        <v>4.2826760003620602E-2</v>
      </c>
      <c r="E36" s="124">
        <f t="shared" si="0"/>
        <v>0.21898897494009908</v>
      </c>
      <c r="F36" s="125">
        <f t="shared" si="1"/>
        <v>1008.7505833275909</v>
      </c>
      <c r="H36" s="120"/>
    </row>
    <row r="37" spans="2:8" x14ac:dyDescent="0.15">
      <c r="B37" s="122">
        <v>22</v>
      </c>
      <c r="C37" s="123">
        <f t="shared" si="2"/>
        <v>4803.6760880360225</v>
      </c>
      <c r="D37" s="138">
        <f>IF($C$12&lt;B37,0,DDM!$C$11)</f>
        <v>4.2826760003620602E-2</v>
      </c>
      <c r="E37" s="124">
        <f t="shared" si="0"/>
        <v>0.20371067436288287</v>
      </c>
      <c r="F37" s="125">
        <f t="shared" si="1"/>
        <v>978.56009531467328</v>
      </c>
      <c r="H37" s="120"/>
    </row>
    <row r="38" spans="2:8" x14ac:dyDescent="0.15">
      <c r="B38" s="122">
        <v>23</v>
      </c>
      <c r="C38" s="123">
        <f t="shared" si="2"/>
        <v>5009.4019709934719</v>
      </c>
      <c r="D38" s="138">
        <f>IF($C$12&lt;B38,0,DDM!$C$11)</f>
        <v>4.2826760003620602E-2</v>
      </c>
      <c r="E38" s="124">
        <f t="shared" si="0"/>
        <v>0.18949830173291429</v>
      </c>
      <c r="F38" s="125">
        <f t="shared" si="1"/>
        <v>949.27316620077647</v>
      </c>
      <c r="H38" s="120"/>
    </row>
    <row r="39" spans="2:8" x14ac:dyDescent="0.15">
      <c r="B39" s="122">
        <v>24</v>
      </c>
      <c r="C39" s="123">
        <f t="shared" si="2"/>
        <v>5223.9384269668726</v>
      </c>
      <c r="D39" s="138">
        <f>IF($C$12&lt;B39,0,DDM!$C$11)</f>
        <v>4.2826760003620602E-2</v>
      </c>
      <c r="E39" s="124">
        <f t="shared" si="0"/>
        <v>0.17627748998410636</v>
      </c>
      <c r="F39" s="125">
        <f t="shared" si="1"/>
        <v>920.86275373724118</v>
      </c>
      <c r="H39" s="120"/>
    </row>
    <row r="40" spans="2:8" x14ac:dyDescent="0.15">
      <c r="B40" s="122">
        <v>25</v>
      </c>
      <c r="C40" s="123">
        <f t="shared" si="2"/>
        <v>5447.6627842522748</v>
      </c>
      <c r="D40" s="138">
        <f>IF($C$12&lt;B40,0,DDM!$C$11)</f>
        <v>4.2826760003620602E-2</v>
      </c>
      <c r="E40" s="124">
        <f t="shared" si="0"/>
        <v>0.16397906045033148</v>
      </c>
      <c r="F40" s="125">
        <f t="shared" si="1"/>
        <v>893.30262501192487</v>
      </c>
      <c r="H40" s="120"/>
    </row>
    <row r="41" spans="2:8" x14ac:dyDescent="0.15">
      <c r="B41" s="122">
        <v>26</v>
      </c>
      <c r="C41" s="123">
        <f t="shared" si="2"/>
        <v>5680.9685308941016</v>
      </c>
      <c r="D41" s="138">
        <f>IF($C$12&lt;B41,0,DDM!$C$11)</f>
        <v>4.2826760003620602E-2</v>
      </c>
      <c r="E41" s="124">
        <f t="shared" si="0"/>
        <v>0.15253866088402931</v>
      </c>
      <c r="F41" s="125">
        <f t="shared" si="1"/>
        <v>866.56733222689763</v>
      </c>
      <c r="H41" s="120"/>
    </row>
    <row r="42" spans="2:8" x14ac:dyDescent="0.15">
      <c r="B42" s="122">
        <v>27</v>
      </c>
      <c r="C42" s="123">
        <f t="shared" si="2"/>
        <v>5924.266006754824</v>
      </c>
      <c r="D42" s="138">
        <f>IF($C$12&lt;B42,0,DDM!$C$11)</f>
        <v>4.2826760003620602E-2</v>
      </c>
      <c r="E42" s="124">
        <f t="shared" si="0"/>
        <v>0.14189642872932959</v>
      </c>
      <c r="F42" s="125">
        <f t="shared" si="1"/>
        <v>840.6321892010759</v>
      </c>
      <c r="H42" s="120"/>
    </row>
    <row r="43" spans="2:8" x14ac:dyDescent="0.15">
      <c r="B43" s="122">
        <v>28</v>
      </c>
      <c r="C43" s="123">
        <f t="shared" si="2"/>
        <v>6177.9831252237209</v>
      </c>
      <c r="D43" s="138">
        <f>IF($C$12&lt;B43,0,DDM!$C$11)</f>
        <v>4.2826760003620602E-2</v>
      </c>
      <c r="E43" s="124">
        <f t="shared" si="0"/>
        <v>0.13199667788774846</v>
      </c>
      <c r="F43" s="125">
        <f t="shared" si="1"/>
        <v>815.47324857610113</v>
      </c>
      <c r="H43" s="120"/>
    </row>
    <row r="44" spans="2:8" x14ac:dyDescent="0.15">
      <c r="B44" s="122">
        <v>29</v>
      </c>
      <c r="C44" s="123">
        <f t="shared" si="2"/>
        <v>6442.5661258340942</v>
      </c>
      <c r="D44" s="138">
        <f>IF($C$12&lt;B44,0,DDM!$C$11)</f>
        <v>4.2826760003620602E-2</v>
      </c>
      <c r="E44" s="124">
        <f t="shared" si="0"/>
        <v>0.1227876073374404</v>
      </c>
      <c r="F44" s="125">
        <f t="shared" si="1"/>
        <v>791.06727970441136</v>
      </c>
      <c r="H44" s="120"/>
    </row>
    <row r="45" spans="2:8" x14ac:dyDescent="0.15">
      <c r="B45" s="122">
        <v>30</v>
      </c>
      <c r="C45" s="123">
        <f t="shared" si="2"/>
        <v>6718.4803591126474</v>
      </c>
      <c r="D45" s="138">
        <f>IF($C$12&lt;B45,0,DDM!$C$11)</f>
        <v>4.2826760003620602E-2</v>
      </c>
      <c r="E45" s="124">
        <f t="shared" si="0"/>
        <v>0.11422103008133992</v>
      </c>
      <c r="F45" s="125">
        <f t="shared" si="1"/>
        <v>767.39174719909715</v>
      </c>
      <c r="H45" s="120"/>
    </row>
    <row r="46" spans="2:8" x14ac:dyDescent="0.15">
      <c r="B46" s="126" t="s">
        <v>131</v>
      </c>
      <c r="C46" s="123">
        <f>C$16*(1+F4)^$C$12/Equity_Cost</f>
        <v>26549.536472090313</v>
      </c>
      <c r="D46" s="139">
        <f>Terminal_Growth</f>
        <v>0</v>
      </c>
      <c r="E46" s="124">
        <f>1/(1+Equity_Cost)^C12</f>
        <v>0.11422103008133992</v>
      </c>
      <c r="F46" s="125">
        <f t="shared" si="1"/>
        <v>3032.5154040242592</v>
      </c>
      <c r="H46" s="120"/>
    </row>
    <row r="47" spans="2:8" x14ac:dyDescent="0.15">
      <c r="C47" s="114"/>
      <c r="E47" s="127" t="s">
        <v>100</v>
      </c>
      <c r="F47" s="137">
        <f>SUM(F16:F46)</f>
        <v>40049.570141304175</v>
      </c>
      <c r="H47" s="120"/>
    </row>
    <row r="48" spans="2:8" x14ac:dyDescent="0.15">
      <c r="C48" s="114"/>
      <c r="H48" s="120"/>
    </row>
    <row r="49" spans="1:8" x14ac:dyDescent="0.15">
      <c r="B49" s="119" t="s">
        <v>129</v>
      </c>
      <c r="C49" s="136"/>
      <c r="D49" s="136"/>
      <c r="E49" s="117"/>
      <c r="F49" s="117"/>
      <c r="H49" s="120"/>
    </row>
    <row r="50" spans="1:8" x14ac:dyDescent="0.15">
      <c r="A50" s="133">
        <f>F47</f>
        <v>40049.570141304175</v>
      </c>
      <c r="B50" s="131">
        <f>C73</f>
        <v>0</v>
      </c>
      <c r="C50" s="131">
        <f>C72</f>
        <v>0.02</v>
      </c>
      <c r="D50" s="131">
        <f>C71</f>
        <v>0.04</v>
      </c>
      <c r="E50" s="131">
        <f>C70</f>
        <v>0.06</v>
      </c>
      <c r="F50" s="131">
        <f>C69</f>
        <v>0.08</v>
      </c>
      <c r="H50" s="120"/>
    </row>
    <row r="51" spans="1:8" x14ac:dyDescent="0.15">
      <c r="A51" s="143">
        <v>5</v>
      </c>
      <c r="B51" s="123">
        <f t="dataTable" ref="B51:F56" dt2D="1" dtr="1" r1="C11" r2="C12"/>
        <v>25459.201365333334</v>
      </c>
      <c r="C51" s="123">
        <v>26266.525454634917</v>
      </c>
      <c r="D51" s="123">
        <v>27097.368470256646</v>
      </c>
      <c r="E51" s="123">
        <v>27952.764305809524</v>
      </c>
      <c r="F51" s="123">
        <v>28833.778903475759</v>
      </c>
      <c r="H51" s="120"/>
    </row>
    <row r="52" spans="1:8" x14ac:dyDescent="0.15">
      <c r="A52" s="143">
        <v>10</v>
      </c>
      <c r="B52" s="123">
        <v>25459.201365333342</v>
      </c>
      <c r="C52" s="123">
        <v>27067.090882848181</v>
      </c>
      <c r="D52" s="123">
        <v>28835.111043366258</v>
      </c>
      <c r="E52" s="123">
        <v>30782.488461958688</v>
      </c>
      <c r="F52" s="123">
        <v>32930.603918941255</v>
      </c>
      <c r="H52" s="120"/>
    </row>
    <row r="53" spans="1:8" x14ac:dyDescent="0.15">
      <c r="A53" s="143">
        <v>15</v>
      </c>
      <c r="B53" s="123">
        <v>25459.201365333342</v>
      </c>
      <c r="C53" s="123">
        <v>28080.700466301016</v>
      </c>
      <c r="D53" s="123">
        <v>31152.360284400689</v>
      </c>
      <c r="E53" s="123">
        <v>34764.062105635967</v>
      </c>
      <c r="F53" s="123">
        <v>39023.513897827652</v>
      </c>
      <c r="H53" s="120"/>
    </row>
    <row r="54" spans="1:8" x14ac:dyDescent="0.15">
      <c r="A54" s="144">
        <v>20</v>
      </c>
      <c r="B54" s="123">
        <v>25459.201365333342</v>
      </c>
      <c r="C54" s="123">
        <v>29137.40499362463</v>
      </c>
      <c r="D54" s="123">
        <v>33704.448311897075</v>
      </c>
      <c r="E54" s="123">
        <v>39411.558881871162</v>
      </c>
      <c r="F54" s="123">
        <v>46582.849065837319</v>
      </c>
      <c r="H54" s="120"/>
    </row>
    <row r="55" spans="1:8" x14ac:dyDescent="0.15">
      <c r="A55" s="144">
        <v>25</v>
      </c>
      <c r="B55" s="123">
        <v>25459.201365333334</v>
      </c>
      <c r="C55" s="123">
        <v>30143.143817969623</v>
      </c>
      <c r="D55" s="123">
        <v>36277.044080378422</v>
      </c>
      <c r="E55" s="123">
        <v>44395.757495452133</v>
      </c>
      <c r="F55" s="123">
        <v>55241.455115823323</v>
      </c>
      <c r="H55" s="120"/>
    </row>
    <row r="56" spans="1:8" x14ac:dyDescent="0.15">
      <c r="A56" s="144">
        <v>30</v>
      </c>
      <c r="B56" s="123">
        <v>25459.201365333334</v>
      </c>
      <c r="C56" s="123">
        <v>31051.100837803064</v>
      </c>
      <c r="D56" s="123">
        <v>38742.676094927374</v>
      </c>
      <c r="E56" s="123">
        <v>49495.96299203168</v>
      </c>
      <c r="F56" s="123">
        <v>64745.414221025305</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v>
      </c>
      <c r="C59" s="132">
        <f>C50</f>
        <v>0.02</v>
      </c>
      <c r="D59" s="132">
        <f>D50</f>
        <v>0.04</v>
      </c>
      <c r="E59" s="132">
        <f>E50</f>
        <v>0.06</v>
      </c>
      <c r="F59" s="132">
        <f>F50</f>
        <v>0.08</v>
      </c>
      <c r="H59" s="120"/>
    </row>
    <row r="60" spans="1:8" x14ac:dyDescent="0.15">
      <c r="A60" s="143">
        <v>0</v>
      </c>
      <c r="B60" s="124">
        <f>C7</f>
        <v>21.333333333333336</v>
      </c>
      <c r="C60" s="124">
        <f>C7</f>
        <v>21.333333333333336</v>
      </c>
      <c r="D60" s="124">
        <f>C7</f>
        <v>21.333333333333336</v>
      </c>
      <c r="E60" s="141">
        <f>C7</f>
        <v>21.333333333333336</v>
      </c>
      <c r="F60" s="124">
        <f>C7</f>
        <v>21.333333333333336</v>
      </c>
      <c r="H60" s="120"/>
    </row>
    <row r="61" spans="1:8" x14ac:dyDescent="0.15">
      <c r="A61" s="143">
        <f t="shared" ref="A61:A66" si="3">A51</f>
        <v>5</v>
      </c>
      <c r="B61" s="124">
        <f t="shared" ref="B61:F66" si="4">B51/Common_Shares*$C$3*Exchange_Rate</f>
        <v>21.333333333333336</v>
      </c>
      <c r="C61" s="124">
        <f t="shared" si="4"/>
        <v>22.009824070727483</v>
      </c>
      <c r="D61" s="124">
        <f t="shared" si="4"/>
        <v>22.706022303562275</v>
      </c>
      <c r="E61" s="124">
        <f t="shared" si="4"/>
        <v>23.422794374686344</v>
      </c>
      <c r="F61" s="124">
        <f t="shared" si="4"/>
        <v>24.161033481791197</v>
      </c>
      <c r="H61" s="120"/>
    </row>
    <row r="62" spans="1:8" x14ac:dyDescent="0.15">
      <c r="A62" s="143">
        <f t="shared" si="3"/>
        <v>10</v>
      </c>
      <c r="B62" s="124">
        <f t="shared" si="4"/>
        <v>21.333333333333343</v>
      </c>
      <c r="C62" s="124">
        <f t="shared" si="4"/>
        <v>22.680651442338267</v>
      </c>
      <c r="D62" s="124">
        <f t="shared" si="4"/>
        <v>24.16214973771466</v>
      </c>
      <c r="E62" s="124">
        <f t="shared" si="4"/>
        <v>25.793939007161548</v>
      </c>
      <c r="F62" s="124">
        <f t="shared" si="4"/>
        <v>27.593935103845659</v>
      </c>
      <c r="H62" s="120"/>
    </row>
    <row r="63" spans="1:8" x14ac:dyDescent="0.15">
      <c r="A63" s="143">
        <f t="shared" si="3"/>
        <v>15</v>
      </c>
      <c r="B63" s="124">
        <f t="shared" si="4"/>
        <v>21.333333333333343</v>
      </c>
      <c r="C63" s="124">
        <f t="shared" si="4"/>
        <v>23.529997452975682</v>
      </c>
      <c r="D63" s="124">
        <f t="shared" si="4"/>
        <v>26.103870130511982</v>
      </c>
      <c r="E63" s="124">
        <f t="shared" si="4"/>
        <v>29.13026666775507</v>
      </c>
      <c r="F63" s="124">
        <f t="shared" si="4"/>
        <v>32.699440091388873</v>
      </c>
      <c r="H63" s="120"/>
    </row>
    <row r="64" spans="1:8" x14ac:dyDescent="0.15">
      <c r="A64" s="144">
        <f t="shared" si="3"/>
        <v>20</v>
      </c>
      <c r="B64" s="124">
        <f t="shared" si="4"/>
        <v>21.333333333333343</v>
      </c>
      <c r="C64" s="124">
        <f t="shared" si="4"/>
        <v>24.415454525754601</v>
      </c>
      <c r="D64" s="124">
        <f t="shared" si="4"/>
        <v>28.242371798546404</v>
      </c>
      <c r="E64" s="124">
        <f t="shared" si="4"/>
        <v>33.024599269563275</v>
      </c>
      <c r="F64" s="124">
        <f t="shared" si="4"/>
        <v>39.033724289994105</v>
      </c>
      <c r="H64" s="120"/>
    </row>
    <row r="65" spans="1:8" x14ac:dyDescent="0.15">
      <c r="A65" s="144">
        <f t="shared" si="3"/>
        <v>25</v>
      </c>
      <c r="B65" s="124">
        <f t="shared" si="4"/>
        <v>21.333333333333336</v>
      </c>
      <c r="C65" s="124">
        <f t="shared" si="4"/>
        <v>25.258205297003926</v>
      </c>
      <c r="D65" s="124">
        <f t="shared" si="4"/>
        <v>30.398057763451252</v>
      </c>
      <c r="E65" s="124">
        <f t="shared" si="4"/>
        <v>37.201068472082916</v>
      </c>
      <c r="F65" s="124">
        <f t="shared" si="4"/>
        <v>46.289133696429332</v>
      </c>
    </row>
    <row r="66" spans="1:8" x14ac:dyDescent="0.15">
      <c r="A66" s="144">
        <f t="shared" si="3"/>
        <v>30</v>
      </c>
      <c r="B66" s="124">
        <f t="shared" si="4"/>
        <v>21.333333333333336</v>
      </c>
      <c r="C66" s="124">
        <f t="shared" si="4"/>
        <v>26.019020590402</v>
      </c>
      <c r="D66" s="124">
        <f t="shared" si="4"/>
        <v>32.464114309723534</v>
      </c>
      <c r="E66" s="124">
        <f t="shared" si="4"/>
        <v>41.474744710615063</v>
      </c>
      <c r="F66" s="124">
        <f t="shared" si="4"/>
        <v>54.252899906854118</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0.08</v>
      </c>
      <c r="D69" s="145">
        <f>Scenarios!C55</f>
        <v>30</v>
      </c>
      <c r="E69" s="135">
        <f>INDEX(B$60:F$66, MATCH(D69, A$60:A$66, 0), MATCH(C69, B$59:F$59, 0))</f>
        <v>54.252899906854118</v>
      </c>
      <c r="F69" s="142">
        <f>Scenarios!C58</f>
        <v>0.05</v>
      </c>
    </row>
    <row r="70" spans="1:8" x14ac:dyDescent="0.15">
      <c r="B70" s="127" t="str">
        <f>Scenarios!B36</f>
        <v>Optimistic</v>
      </c>
      <c r="C70" s="142">
        <f>Scenarios!C38</f>
        <v>0.06</v>
      </c>
      <c r="D70" s="145">
        <f>Scenarios!C37</f>
        <v>30</v>
      </c>
      <c r="E70" s="135">
        <f>INDEX(B$60:F$66, MATCH(D70, A$60:A$66, 0), MATCH(C70, B$59:F$59, 0))</f>
        <v>41.474744710615063</v>
      </c>
      <c r="F70" s="142">
        <f>Scenarios!C40*(1-F$69-F$73)</f>
        <v>0.22499999999999998</v>
      </c>
      <c r="H70" s="120"/>
    </row>
    <row r="71" spans="1:8" x14ac:dyDescent="0.15">
      <c r="B71" s="127" t="str">
        <f>Scenarios!B24</f>
        <v>Base</v>
      </c>
      <c r="C71" s="142">
        <f>Scenarios!C26</f>
        <v>0.04</v>
      </c>
      <c r="D71" s="145">
        <f>Scenarios!C25</f>
        <v>30</v>
      </c>
      <c r="E71" s="135">
        <f>INDEX(B$60:F$66, MATCH(D71, A$60:A$66, 0), MATCH(C71, B$59:F$59, 0))</f>
        <v>32.464114309723534</v>
      </c>
      <c r="F71" s="142">
        <f>Scenarios!C28*(1-F$69-F$73)</f>
        <v>0.44999999999999996</v>
      </c>
      <c r="H71" s="120"/>
    </row>
    <row r="72" spans="1:8" x14ac:dyDescent="0.15">
      <c r="B72" s="127" t="str">
        <f>Scenarios!B30</f>
        <v>Pessimistic</v>
      </c>
      <c r="C72" s="142">
        <f>Scenarios!C32</f>
        <v>0.02</v>
      </c>
      <c r="D72" s="145">
        <f>Scenarios!C31</f>
        <v>30</v>
      </c>
      <c r="E72" s="135">
        <f>INDEX(B$60:F$66, MATCH(D72, A$60:A$66, 0), MATCH(C72, B$59:F$59, 0))</f>
        <v>26.019020590402</v>
      </c>
      <c r="F72" s="142">
        <f>Scenarios!C34*(1-F$69-F$73)</f>
        <v>0.22499999999999998</v>
      </c>
      <c r="H72" s="120"/>
    </row>
    <row r="73" spans="1:8" x14ac:dyDescent="0.15">
      <c r="B73" s="127" t="str">
        <f>Scenarios!B48</f>
        <v>Devil's advocate</v>
      </c>
      <c r="C73" s="142">
        <f>Scenarios!C50</f>
        <v>0</v>
      </c>
      <c r="D73" s="145">
        <f>Scenarios!C49</f>
        <v>30</v>
      </c>
      <c r="E73" s="135">
        <f>INDEX(B$60:F$66, MATCH(D73, A$60:A$66, 0), MATCH(C73, B$59:F$59, 0))</f>
        <v>21.333333333333336</v>
      </c>
      <c r="F73" s="142">
        <f>Scenarios!C52</f>
        <v>0.05</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-26.83</v>
      </c>
    </row>
    <row r="4" spans="2:9" x14ac:dyDescent="0.15">
      <c r="B4" s="152" t="s">
        <v>146</v>
      </c>
      <c r="C4" s="120">
        <v>3</v>
      </c>
      <c r="D4" s="120"/>
      <c r="E4" s="155" t="s">
        <v>150</v>
      </c>
      <c r="F4" s="155"/>
      <c r="H4" s="247">
        <v>1</v>
      </c>
      <c r="I4" s="124">
        <f t="shared" ref="I4:I13" si="0">IF(ROW()-3 &lt; $C$76, $C$77, IF(ROW()-3 = $C$76, $C$77 + $C$60, ""))</f>
        <v>1.6</v>
      </c>
    </row>
    <row r="5" spans="2:9" x14ac:dyDescent="0.15">
      <c r="H5" s="247">
        <v>2</v>
      </c>
      <c r="I5" s="124">
        <f t="shared" si="0"/>
        <v>1.6</v>
      </c>
    </row>
    <row r="6" spans="2:9" x14ac:dyDescent="0.15">
      <c r="B6" s="159" t="s">
        <v>95</v>
      </c>
      <c r="C6" s="107">
        <f>DCF!C3</f>
        <v>1000000</v>
      </c>
      <c r="E6" s="100" t="s">
        <v>279</v>
      </c>
      <c r="F6" s="100"/>
      <c r="H6" s="247">
        <v>3</v>
      </c>
      <c r="I6" s="124">
        <f t="shared" si="0"/>
        <v>37.734621832566511</v>
      </c>
    </row>
    <row r="7" spans="2:9" ht="12.75" customHeight="1" x14ac:dyDescent="0.15">
      <c r="B7" s="100" t="s">
        <v>275</v>
      </c>
      <c r="C7" s="338">
        <f>Normalized_FCF!G8</f>
        <v>5352</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6"/>
      <c r="H7" s="247">
        <v>4</v>
      </c>
      <c r="I7" s="124" t="str">
        <f t="shared" si="0"/>
        <v/>
      </c>
    </row>
    <row r="8" spans="2:9" x14ac:dyDescent="0.15">
      <c r="B8" s="100" t="s">
        <v>66</v>
      </c>
      <c r="C8" s="338">
        <f>Normalized_FCF!G19</f>
        <v>2548</v>
      </c>
      <c r="D8" t="str">
        <f>Reporting_currency</f>
        <v>USD</v>
      </c>
      <c r="E8" s="366"/>
      <c r="F8" s="366"/>
      <c r="H8" s="247">
        <v>5</v>
      </c>
      <c r="I8" s="124" t="str">
        <f t="shared" si="0"/>
        <v/>
      </c>
    </row>
    <row r="9" spans="2:9" x14ac:dyDescent="0.15">
      <c r="B9" s="100" t="s">
        <v>57</v>
      </c>
      <c r="C9" s="338">
        <f>Normalized_FCF!C19</f>
        <v>3030.2425464775833</v>
      </c>
      <c r="D9" t="str">
        <f>Reporting_currency</f>
        <v>USD</v>
      </c>
      <c r="E9" s="366"/>
      <c r="F9" s="366"/>
      <c r="H9" s="247">
        <v>6</v>
      </c>
      <c r="I9" s="124" t="str">
        <f t="shared" si="0"/>
        <v/>
      </c>
    </row>
    <row r="10" spans="2:9" x14ac:dyDescent="0.15">
      <c r="E10" s="366"/>
      <c r="F10" s="366"/>
      <c r="H10" s="247">
        <v>7</v>
      </c>
      <c r="I10" s="124" t="str">
        <f t="shared" si="0"/>
        <v/>
      </c>
    </row>
    <row r="11" spans="2:9" x14ac:dyDescent="0.15">
      <c r="B11" s="159" t="s">
        <v>446</v>
      </c>
      <c r="E11" s="366"/>
      <c r="F11" s="366"/>
      <c r="H11" s="247">
        <v>8</v>
      </c>
      <c r="I11" s="124" t="str">
        <f t="shared" si="0"/>
        <v/>
      </c>
    </row>
    <row r="12" spans="2:9" ht="14" x14ac:dyDescent="0.15">
      <c r="B12" s="118" t="s">
        <v>144</v>
      </c>
      <c r="C12" s="158">
        <f ca="1">(Normalized_FCF!G4/OFFSET(Normalized_FCF!G4, 0, $C$4))^(1/$C$4) - 1</f>
        <v>-2.5150882534886732E-3</v>
      </c>
      <c r="D12" s="158"/>
      <c r="E12" s="366"/>
      <c r="F12" s="366"/>
      <c r="H12" s="247">
        <v>9</v>
      </c>
      <c r="I12" s="124" t="str">
        <f t="shared" si="0"/>
        <v/>
      </c>
    </row>
    <row r="13" spans="2:9" x14ac:dyDescent="0.15">
      <c r="B13" s="148" t="s">
        <v>152</v>
      </c>
      <c r="C13" s="158">
        <f ca="1">(Normalized_FCF!G8/OFFSET(Normalized_FCF!G8, 0, $C$4))^(1/$C$4) - 1</f>
        <v>0.15650274695607269</v>
      </c>
      <c r="E13" s="366"/>
      <c r="F13" s="366"/>
      <c r="H13" s="247">
        <v>10</v>
      </c>
      <c r="I13" s="124" t="str">
        <f t="shared" si="0"/>
        <v/>
      </c>
    </row>
    <row r="14" spans="2:9" x14ac:dyDescent="0.15">
      <c r="B14" s="100" t="s">
        <v>66</v>
      </c>
      <c r="C14" s="158">
        <f ca="1">(Normalized_FCF!G19/OFFSET(Normalized_FCF!G19, 0, $C$4))^(1/$C$4) - 1</f>
        <v>-3.3394590575448202</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30</v>
      </c>
      <c r="E18" s="366" t="s">
        <v>330</v>
      </c>
      <c r="F18" s="367"/>
    </row>
    <row r="19" spans="2:6" x14ac:dyDescent="0.15">
      <c r="E19" s="367"/>
      <c r="F19" s="367"/>
    </row>
    <row r="20" spans="2:6" x14ac:dyDescent="0.15">
      <c r="B20" s="159" t="s">
        <v>303</v>
      </c>
      <c r="E20" s="367"/>
      <c r="F20" s="367"/>
    </row>
    <row r="21" spans="2:6" x14ac:dyDescent="0.15">
      <c r="B21" s="100" t="s">
        <v>277</v>
      </c>
      <c r="C21" s="160">
        <f>Market_Price</f>
        <v>26.83</v>
      </c>
      <c r="D21" t="str">
        <f>Market_currency</f>
        <v>USD</v>
      </c>
      <c r="E21" s="367"/>
      <c r="F21" s="367"/>
    </row>
    <row r="22" spans="2:6" x14ac:dyDescent="0.15">
      <c r="B22" s="100" t="s">
        <v>278</v>
      </c>
      <c r="C22" s="160">
        <f>IF(valuation_method="DCF",DCF!C12,DDM!C7)</f>
        <v>16.708520098210517</v>
      </c>
      <c r="D22" t="str">
        <f>Market_currency</f>
        <v>USD</v>
      </c>
      <c r="E22" s="367"/>
      <c r="F22" s="367"/>
    </row>
    <row r="24" spans="2:6" x14ac:dyDescent="0.15">
      <c r="B24" s="159" t="s">
        <v>115</v>
      </c>
      <c r="E24" s="159" t="s">
        <v>149</v>
      </c>
      <c r="F24" s="159"/>
    </row>
    <row r="25" spans="2:6" x14ac:dyDescent="0.15">
      <c r="B25" s="152" t="s">
        <v>133</v>
      </c>
      <c r="C25" s="166">
        <f>C18</f>
        <v>30</v>
      </c>
      <c r="D25" s="163"/>
      <c r="E25" s="365"/>
      <c r="F25" s="365"/>
    </row>
    <row r="26" spans="2:6" ht="14" x14ac:dyDescent="0.15">
      <c r="B26" s="118" t="s">
        <v>134</v>
      </c>
      <c r="C26" s="164">
        <v>0.04</v>
      </c>
      <c r="D26" s="164"/>
      <c r="E26" s="365"/>
      <c r="F26" s="365"/>
    </row>
    <row r="27" spans="2:6" x14ac:dyDescent="0.15">
      <c r="B27" s="100" t="s">
        <v>113</v>
      </c>
      <c r="C27" s="160">
        <f>IF(valuation_method="DCF",DCF!E76,DDM!E71)</f>
        <v>34.37284276944095</v>
      </c>
      <c r="D27" s="160" t="str">
        <f>Market_currency</f>
        <v>USD</v>
      </c>
      <c r="E27" s="365"/>
      <c r="F27" s="365"/>
    </row>
    <row r="28" spans="2:6" x14ac:dyDescent="0.15">
      <c r="B28" s="100" t="s">
        <v>147</v>
      </c>
      <c r="C28" s="165">
        <v>0.5</v>
      </c>
      <c r="D28" s="165"/>
      <c r="E28" s="365"/>
      <c r="F28" s="365"/>
    </row>
    <row r="30" spans="2:6" x14ac:dyDescent="0.15">
      <c r="B30" s="159" t="s">
        <v>116</v>
      </c>
      <c r="E30" s="159" t="s">
        <v>149</v>
      </c>
      <c r="F30" s="159"/>
    </row>
    <row r="31" spans="2:6" x14ac:dyDescent="0.15">
      <c r="B31" s="152" t="s">
        <v>133</v>
      </c>
      <c r="C31" s="166">
        <f>C18</f>
        <v>30</v>
      </c>
      <c r="D31" s="163"/>
      <c r="E31" s="365"/>
      <c r="F31" s="365"/>
    </row>
    <row r="32" spans="2:6" ht="14" x14ac:dyDescent="0.15">
      <c r="B32" s="118" t="s">
        <v>134</v>
      </c>
      <c r="C32" s="164">
        <v>0.02</v>
      </c>
      <c r="D32" s="164"/>
      <c r="E32" s="365"/>
      <c r="F32" s="365"/>
    </row>
    <row r="33" spans="2:6" x14ac:dyDescent="0.15">
      <c r="B33" s="100" t="s">
        <v>113</v>
      </c>
      <c r="C33" s="160">
        <f>IF(valuation_method="DCF",DCF!E77,DDM!E72)</f>
        <v>24.144610325922145</v>
      </c>
      <c r="D33" t="str">
        <f>Market_currency</f>
        <v>USD</v>
      </c>
      <c r="E33" s="365"/>
      <c r="F33" s="365"/>
    </row>
    <row r="34" spans="2:6" x14ac:dyDescent="0.15">
      <c r="B34" s="100" t="s">
        <v>147</v>
      </c>
      <c r="C34" s="165">
        <v>0.25</v>
      </c>
      <c r="D34" s="165"/>
      <c r="E34" s="365"/>
      <c r="F34" s="365"/>
    </row>
    <row r="36" spans="2:6" x14ac:dyDescent="0.15">
      <c r="B36" s="159" t="s">
        <v>114</v>
      </c>
      <c r="E36" s="159" t="s">
        <v>149</v>
      </c>
      <c r="F36" s="159"/>
    </row>
    <row r="37" spans="2:6" x14ac:dyDescent="0.15">
      <c r="B37" s="152" t="s">
        <v>133</v>
      </c>
      <c r="C37" s="166">
        <f>C18</f>
        <v>30</v>
      </c>
      <c r="D37" s="163"/>
      <c r="E37" s="365"/>
      <c r="F37" s="365"/>
    </row>
    <row r="38" spans="2:6" ht="14" x14ac:dyDescent="0.15">
      <c r="B38" s="118" t="s">
        <v>134</v>
      </c>
      <c r="C38" s="164">
        <v>0.06</v>
      </c>
      <c r="D38" s="164"/>
      <c r="E38" s="365"/>
      <c r="F38" s="365"/>
    </row>
    <row r="39" spans="2:6" x14ac:dyDescent="0.15">
      <c r="B39" s="100" t="s">
        <v>113</v>
      </c>
      <c r="C39" s="160">
        <f>IF(valuation_method="DCF",DCF!E75,DDM!E70)</f>
        <v>48.672529665639814</v>
      </c>
      <c r="D39" t="str">
        <f>Market_currency</f>
        <v>USD</v>
      </c>
      <c r="E39" s="365"/>
      <c r="F39" s="365"/>
    </row>
    <row r="40" spans="2:6" x14ac:dyDescent="0.15">
      <c r="B40" s="100" t="s">
        <v>147</v>
      </c>
      <c r="C40" s="167">
        <f>1-C28-C34</f>
        <v>0.25</v>
      </c>
      <c r="D40" s="165"/>
      <c r="E40" s="365"/>
      <c r="F40" s="365"/>
    </row>
    <row r="42" spans="2:6" x14ac:dyDescent="0.15">
      <c r="B42" s="100" t="s">
        <v>120</v>
      </c>
      <c r="C42" s="154">
        <f>C27*C28+C33*C34+C39*C40</f>
        <v>35.390706382610965</v>
      </c>
      <c r="D42" t="str">
        <f>Market_currency</f>
        <v>USD</v>
      </c>
    </row>
    <row r="44" spans="2:6" ht="16" x14ac:dyDescent="0.25">
      <c r="B44" s="36" t="s">
        <v>161</v>
      </c>
      <c r="C44" s="37"/>
      <c r="D44" s="37"/>
      <c r="E44" s="37"/>
      <c r="F44" s="37"/>
    </row>
    <row r="45" spans="2:6" x14ac:dyDescent="0.15">
      <c r="B45" s="109" t="s">
        <v>151</v>
      </c>
    </row>
    <row r="46" spans="2:6" x14ac:dyDescent="0.15">
      <c r="B46" s="152" t="s">
        <v>133</v>
      </c>
      <c r="C46" s="150">
        <v>30</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30</v>
      </c>
      <c r="D49" s="163"/>
      <c r="E49" s="365"/>
      <c r="F49" s="365"/>
    </row>
    <row r="50" spans="2:6" ht="14" x14ac:dyDescent="0.15">
      <c r="B50" s="118" t="s">
        <v>134</v>
      </c>
      <c r="C50" s="164">
        <v>0</v>
      </c>
      <c r="D50" s="164"/>
      <c r="E50" s="365"/>
      <c r="F50" s="365"/>
    </row>
    <row r="51" spans="2:6" x14ac:dyDescent="0.15">
      <c r="B51" s="100" t="s">
        <v>113</v>
      </c>
      <c r="C51" s="160">
        <f>IF(valuation_method="DCF",DCF!E78,DDM!E73)</f>
        <v>16.708520098210528</v>
      </c>
      <c r="D51" t="str">
        <f>Market_currency</f>
        <v>USD</v>
      </c>
      <c r="E51" s="365"/>
      <c r="F51" s="365"/>
    </row>
    <row r="52" spans="2:6" x14ac:dyDescent="0.15">
      <c r="B52" s="100" t="s">
        <v>147</v>
      </c>
      <c r="C52" s="165">
        <v>0.05</v>
      </c>
      <c r="D52" s="165"/>
      <c r="E52" s="365"/>
      <c r="F52" s="365"/>
    </row>
    <row r="54" spans="2:6" x14ac:dyDescent="0.15">
      <c r="B54" s="159" t="s">
        <v>316</v>
      </c>
      <c r="E54" s="159" t="s">
        <v>149</v>
      </c>
      <c r="F54" s="159"/>
    </row>
    <row r="55" spans="2:6" x14ac:dyDescent="0.15">
      <c r="B55" s="152" t="s">
        <v>133</v>
      </c>
      <c r="C55" s="166">
        <f>C46</f>
        <v>30</v>
      </c>
      <c r="D55" s="163"/>
      <c r="E55" s="365"/>
      <c r="F55" s="365"/>
    </row>
    <row r="56" spans="2:6" ht="14" x14ac:dyDescent="0.15">
      <c r="B56" s="118" t="s">
        <v>134</v>
      </c>
      <c r="C56" s="164">
        <v>0.08</v>
      </c>
      <c r="D56" s="164"/>
      <c r="E56" s="365"/>
      <c r="F56" s="365"/>
    </row>
    <row r="57" spans="2:6" x14ac:dyDescent="0.15">
      <c r="B57" s="100" t="s">
        <v>113</v>
      </c>
      <c r="C57" s="160">
        <f>IF(valuation_method="DCF",DCF!E74,DDM!E69)</f>
        <v>68.951201666122259</v>
      </c>
      <c r="D57" t="str">
        <f>Market_currency</f>
        <v>USD</v>
      </c>
      <c r="E57" s="365"/>
      <c r="F57" s="365"/>
    </row>
    <row r="58" spans="2:6" x14ac:dyDescent="0.15">
      <c r="B58" s="100" t="s">
        <v>147</v>
      </c>
      <c r="C58" s="165">
        <v>0.05</v>
      </c>
      <c r="D58" s="165"/>
      <c r="E58" s="365"/>
      <c r="F58" s="365"/>
    </row>
    <row r="60" spans="2:6" x14ac:dyDescent="0.15">
      <c r="B60" s="100" t="s">
        <v>120</v>
      </c>
      <c r="C60" s="154">
        <f>C51*C52+C57*C58+C42*(1-C52-C58)</f>
        <v>36.134621832566509</v>
      </c>
      <c r="D60" t="str">
        <f>Market_currency</f>
        <v>USD</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30</v>
      </c>
      <c r="D64" s="150"/>
      <c r="E64" s="251" t="s">
        <v>395</v>
      </c>
    </row>
    <row r="65" spans="2:6" ht="14" x14ac:dyDescent="0.15">
      <c r="B65" s="118" t="s">
        <v>134</v>
      </c>
      <c r="C65" s="151">
        <v>4.2826760003620602E-2</v>
      </c>
      <c r="D65" s="151"/>
      <c r="E65" s="251" t="s">
        <v>312</v>
      </c>
    </row>
    <row r="66" spans="2:6" x14ac:dyDescent="0.15">
      <c r="B66" s="100" t="s">
        <v>102</v>
      </c>
      <c r="C66" s="160">
        <f>IF(valuation_method="DCF",DCF!C18,DDM!C13)</f>
        <v>36.110746337765448</v>
      </c>
      <c r="D66" s="160" t="str">
        <f>Market_currency</f>
        <v>USD</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N</v>
      </c>
      <c r="E72" s="134" t="s">
        <v>346</v>
      </c>
      <c r="F72" s="291">
        <f>BS!D89/C60</f>
        <v>-0.47453230347934405</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1.6</v>
      </c>
      <c r="D77" t="str">
        <f>Market_currency</f>
        <v>USD</v>
      </c>
    </row>
    <row r="79" spans="2:6" x14ac:dyDescent="0.15">
      <c r="B79" s="109" t="s">
        <v>301</v>
      </c>
    </row>
    <row r="80" spans="2:6" x14ac:dyDescent="0.15">
      <c r="B80" s="148" t="s">
        <v>299</v>
      </c>
      <c r="C80" s="167">
        <f>Thesis!F29</f>
        <v>0.3674</v>
      </c>
    </row>
    <row r="81" spans="2:8" x14ac:dyDescent="0.15">
      <c r="B81" s="100" t="s">
        <v>121</v>
      </c>
      <c r="C81" s="116">
        <f>PV(C80, C76, -C77, 0)</f>
        <v>2.6516149109837741</v>
      </c>
      <c r="D81" s="116"/>
      <c r="E81" s="100"/>
      <c r="F81" s="100"/>
    </row>
    <row r="82" spans="2:8" x14ac:dyDescent="0.15">
      <c r="B82" s="100" t="s">
        <v>122</v>
      </c>
      <c r="C82" s="116">
        <f>C60/(1+C80)^C76</f>
        <v>14.133079023418324</v>
      </c>
      <c r="D82" s="116"/>
    </row>
    <row r="83" spans="2:8" x14ac:dyDescent="0.15">
      <c r="B83" s="110" t="s">
        <v>101</v>
      </c>
      <c r="C83" s="111">
        <f>C81+C82</f>
        <v>16.7846939344021</v>
      </c>
      <c r="D83" t="str">
        <f>Market_currency</f>
        <v>USD</v>
      </c>
      <c r="E83" s="146" t="s">
        <v>126</v>
      </c>
      <c r="F83" s="291">
        <f>(1-C83/C60)</f>
        <v>0.53549551418648556</v>
      </c>
    </row>
    <row r="84" spans="2:8" x14ac:dyDescent="0.15">
      <c r="E84" s="120"/>
    </row>
    <row r="85" spans="2:8" x14ac:dyDescent="0.15">
      <c r="B85" s="109" t="s">
        <v>302</v>
      </c>
    </row>
    <row r="86" spans="2:8" x14ac:dyDescent="0.15">
      <c r="B86" s="148" t="s">
        <v>300</v>
      </c>
      <c r="C86" s="116">
        <f>Market_Price</f>
        <v>26.83</v>
      </c>
      <c r="D86" t="str">
        <f>Market_currency</f>
        <v>USD</v>
      </c>
    </row>
    <row r="87" spans="2:8" x14ac:dyDescent="0.15">
      <c r="B87" s="100" t="s">
        <v>298</v>
      </c>
      <c r="C87" s="237">
        <f ca="1">IRR(OFFSET($I$3, 0, 0, $C$76 + 1, 1))</f>
        <v>0.15868521802257218</v>
      </c>
    </row>
    <row r="88" spans="2:8" x14ac:dyDescent="0.15">
      <c r="B88" s="100"/>
    </row>
    <row r="89" spans="2:8" x14ac:dyDescent="0.15">
      <c r="B89" s="109" t="s">
        <v>412</v>
      </c>
    </row>
    <row r="90" spans="2:8" x14ac:dyDescent="0.15">
      <c r="B90" s="148" t="s">
        <v>413</v>
      </c>
      <c r="C90" s="167">
        <f>Thesis!F30</f>
        <v>0.21740000000000001</v>
      </c>
    </row>
    <row r="91" spans="2:8" x14ac:dyDescent="0.15">
      <c r="B91" s="100" t="s">
        <v>121</v>
      </c>
      <c r="C91" s="116">
        <f>PV(C90, C76, -C77, 0)</f>
        <v>3.2806413181838994</v>
      </c>
      <c r="D91" s="116"/>
      <c r="E91" s="100"/>
      <c r="F91" s="100"/>
    </row>
    <row r="92" spans="2:8" x14ac:dyDescent="0.15">
      <c r="B92" s="100" t="s">
        <v>122</v>
      </c>
      <c r="C92" s="116">
        <f>C60/(1+C90)^C76</f>
        <v>20.027356181723611</v>
      </c>
      <c r="D92" s="116"/>
    </row>
    <row r="93" spans="2:8" x14ac:dyDescent="0.15">
      <c r="B93" s="110" t="s">
        <v>101</v>
      </c>
      <c r="C93" s="111">
        <f>C91+C92</f>
        <v>23.307997499907511</v>
      </c>
      <c r="D93" t="str">
        <f>Market_currency</f>
        <v>USD</v>
      </c>
      <c r="E93" s="146" t="s">
        <v>126</v>
      </c>
      <c r="F93" s="291">
        <f>(1-C93/C60)</f>
        <v>0.35496772021283307</v>
      </c>
    </row>
    <row r="95" spans="2:8" x14ac:dyDescent="0.15">
      <c r="B95" s="109" t="s">
        <v>397</v>
      </c>
      <c r="G95" s="2"/>
      <c r="H95" s="281"/>
    </row>
    <row r="96" spans="2:8" x14ac:dyDescent="0.15">
      <c r="B96" s="148" t="s">
        <v>403</v>
      </c>
      <c r="C96" s="134">
        <f>Thesis!F31</f>
        <v>7.4999999999999997E-2</v>
      </c>
      <c r="G96" s="2"/>
      <c r="H96" s="281"/>
    </row>
    <row r="97" spans="2:8" x14ac:dyDescent="0.15">
      <c r="B97" s="100" t="s">
        <v>121</v>
      </c>
      <c r="C97" s="116">
        <f>PV(C96, C76, -C77, 0)</f>
        <v>4.1608411837951351</v>
      </c>
      <c r="D97" s="116"/>
      <c r="G97" s="2"/>
      <c r="H97" s="281"/>
    </row>
    <row r="98" spans="2:8" x14ac:dyDescent="0.15">
      <c r="B98" s="100" t="s">
        <v>122</v>
      </c>
      <c r="C98" s="116">
        <f>C60/(1+C96)^C76</f>
        <v>29.086945769356873</v>
      </c>
      <c r="D98" s="116"/>
      <c r="G98" s="2"/>
      <c r="H98" s="281"/>
    </row>
    <row r="99" spans="2:8" x14ac:dyDescent="0.15">
      <c r="B99" s="110" t="s">
        <v>398</v>
      </c>
      <c r="C99" s="111">
        <f>C97+C98</f>
        <v>33.247786953152008</v>
      </c>
      <c r="D99" t="s">
        <v>396</v>
      </c>
      <c r="E99" s="146" t="s">
        <v>126</v>
      </c>
      <c r="F99" s="291">
        <f>(1-C99/C60)</f>
        <v>7.9891105344645608E-2</v>
      </c>
    </row>
    <row r="100" spans="2:8" x14ac:dyDescent="0.15">
      <c r="B100" s="100"/>
    </row>
    <row r="101" spans="2:8" x14ac:dyDescent="0.15">
      <c r="B101" s="109" t="s">
        <v>421</v>
      </c>
    </row>
    <row r="102" spans="2:8" x14ac:dyDescent="0.15">
      <c r="B102" s="148" t="s">
        <v>420</v>
      </c>
      <c r="C102" s="134">
        <f>Thesis!F32</f>
        <v>0.1174</v>
      </c>
    </row>
    <row r="103" spans="2:8" x14ac:dyDescent="0.15">
      <c r="B103" s="100" t="s">
        <v>121</v>
      </c>
      <c r="C103" s="116">
        <f>PV(C102, C76, -C77, 0)</f>
        <v>3.8601650015018389</v>
      </c>
      <c r="D103" s="116"/>
    </row>
    <row r="104" spans="2:8" x14ac:dyDescent="0.15">
      <c r="B104" s="100" t="s">
        <v>122</v>
      </c>
      <c r="C104" s="116">
        <f>C60/(1+C102)^C76</f>
        <v>25.899865746151637</v>
      </c>
      <c r="D104" s="116"/>
    </row>
    <row r="105" spans="2:8" x14ac:dyDescent="0.15">
      <c r="B105" s="110" t="s">
        <v>398</v>
      </c>
      <c r="C105" s="111">
        <f>C103+C104</f>
        <v>29.760030747653474</v>
      </c>
      <c r="D105" t="s">
        <v>396</v>
      </c>
      <c r="E105" s="146" t="s">
        <v>126</v>
      </c>
      <c r="F105" s="291">
        <f>(1-C105/C66)</f>
        <v>0.17586774670093841</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