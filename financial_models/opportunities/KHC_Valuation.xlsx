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42F59CC-6971-46C4-A89A-7BE55F02DE9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8" i="2"/>
  <c r="Q117" i="2"/>
  <c r="O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<sst xmlns="http://schemas.openxmlformats.org/spreadsheetml/2006/main" count="685" uniqueCount="465">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</sst>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1193400064</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26.73</v>
      </c>
      <c r="D12" s="50"/>
      <c r="E12" s="48"/>
    </row>
    <row r="13" spans="1:10">
      <c r="B13" s="1" t="s">
        <v>415</v>
      </c>
      <c r="C13" s="48" t="s">
        <v>459</v>
      </c>
      <c r="D13" s="48"/>
      <c r="E13" s="5"/>
    </row>
    <row r="14" spans="1:10">
      <c r="B14" s="4" t="s">
        <v>419</v>
      </c>
      <c r="C14" s="35">
        <f>Thesis!C12*Common_Shares/1000000</f>
        <v>31899.583710720002</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399</v>
      </c>
      <c r="E26" s="301">
        <f ca="1">Scenarios!C87</f>
        <v>0.16020301829123884</v>
      </c>
    </row>
    <row r="27" spans="2:6">
      <c r="D27" s="5"/>
      <c r="E27" s="5"/>
    </row>
    <row r="28" spans="2:6">
      <c r="B28" s="45" t="s">
        <v>432</v>
      </c>
      <c r="C28" s="309" t="str">
        <f>C145&amp;" ("&amp;Market_currency&amp;")"</f>
        <v>KHC (USD)</v>
      </c>
      <c r="D28" s="309" t="str">
        <f>IF(D11="","",D145&amp;" ("&amp;D13&amp;")")</f>
        <v/>
      </c>
      <c r="E28" s="305" t="s">
        <v>428</v>
      </c>
      <c r="F28" s="303">
        <v>3</v>
      </c>
    </row>
    <row r="29" spans="2:6">
      <c r="B29" s="1" t="s">
        <v>424</v>
      </c>
      <c r="C29" s="310">
        <f>C149</f>
        <v>16.7846939344021</v>
      </c>
      <c r="D29" s="310" t="str">
        <f>D149</f>
        <v/>
      </c>
      <c r="E29" s="306" t="s">
        <v>423</v>
      </c>
      <c r="F29" s="302">
        <v>0.3674</v>
      </c>
    </row>
    <row r="30" spans="2:6">
      <c r="B30" s="1" t="s">
        <v>425</v>
      </c>
      <c r="C30" s="311">
        <f>C157</f>
        <v>23.307997499907511</v>
      </c>
      <c r="D30" s="311" t="str">
        <f>D157</f>
        <v/>
      </c>
      <c r="E30" s="307" t="s">
        <v>436</v>
      </c>
      <c r="F30" s="312">
        <v>0.21740000000000001</v>
      </c>
    </row>
    <row r="31" spans="2:6">
      <c r="B31" s="1" t="s">
        <v>426</v>
      </c>
      <c r="C31" s="311">
        <f>C165</f>
        <v>33.247786953152008</v>
      </c>
      <c r="D31" s="311" t="str">
        <f>D165</f>
        <v/>
      </c>
      <c r="E31" s="307" t="s">
        <v>435</v>
      </c>
      <c r="F31" s="312">
        <v>7.4999999999999997E-2</v>
      </c>
    </row>
    <row r="32" spans="2:6">
      <c r="B32" s="1" t="s">
        <v>427</v>
      </c>
      <c r="C32" s="311">
        <f>C173</f>
        <v>29.760030747653474</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5023.2701205832382</v>
      </c>
      <c r="D41" s="1" t="str">
        <f>Reporting_currency</f>
        <v>USD</v>
      </c>
    </row>
    <row r="42" spans="1:6">
      <c r="B42" s="47"/>
      <c r="C42" s="76"/>
    </row>
    <row r="43" spans="1:6" ht="24.5" customHeight="1">
      <c r="B43" s="357" t="s">
        <v>233</v>
      </c>
      <c r="C43" s="357"/>
      <c r="D43" s="357"/>
      <c r="E43" s="357"/>
      <c r="F43" s="357"/>
    </row>
    <row r="44" spans="1:6">
      <c r="B44" s="47" t="s">
        <v>234</v>
      </c>
      <c r="C44" s="349">
        <f>Normalized_FCF!C9</f>
        <v>1164</v>
      </c>
      <c r="D44" s="1" t="str">
        <f>Reporting_currency</f>
        <v>USD</v>
      </c>
    </row>
    <row r="45" spans="1:6">
      <c r="B45" s="52" t="s">
        <v>235</v>
      </c>
      <c r="C45" s="349">
        <f>Normalized_FCF!C10</f>
        <v>-1164</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-912</v>
      </c>
      <c r="D52" s="1" t="str">
        <f>Reporting_currency</f>
        <v>USD</v>
      </c>
      <c r="E52" s="286"/>
      <c r="F52" s="286"/>
    </row>
    <row r="53" spans="2:6">
      <c r="B53" s="47" t="s">
        <v>238</v>
      </c>
      <c r="C53" s="349">
        <f>Normalized_FCF!C12</f>
        <v>-912</v>
      </c>
      <c r="D53" s="1" t="str">
        <f>Reporting_currency</f>
        <v>USD</v>
      </c>
    </row>
    <row r="55" spans="2:6">
      <c r="B55" s="1" t="s">
        <v>246</v>
      </c>
    </row>
    <row r="56" spans="2:6">
      <c r="B56" s="47" t="s">
        <v>265</v>
      </c>
      <c r="C56" s="349">
        <f>Normalized_FCF!C15</f>
        <v>-12.097342754012749</v>
      </c>
      <c r="D56" s="1" t="str">
        <f>Reporting_currency</f>
        <v>USD</v>
      </c>
    </row>
    <row r="58" spans="2:6">
      <c r="B58" s="357" t="s">
        <v>241</v>
      </c>
      <c r="C58" s="357"/>
      <c r="D58" s="357"/>
      <c r="E58" s="357"/>
      <c r="F58" s="357"/>
    </row>
    <row r="59" spans="2:6">
      <c r="B59" s="47" t="s">
        <v>239</v>
      </c>
      <c r="C59" s="349">
        <f>Normalized_FCF!C14</f>
        <v>-1068.9302313516419</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2548</v>
      </c>
      <c r="D67" s="1" t="str">
        <f>Reporting_currency</f>
        <v>USD</v>
      </c>
    </row>
    <row r="68" spans="1:6">
      <c r="B68" s="47" t="s">
        <v>248</v>
      </c>
      <c r="C68" s="349">
        <f>Normalized_FCF!C19</f>
        <v>3030.2425464775833</v>
      </c>
      <c r="D68" s="1" t="str">
        <f>Reporting_currency</f>
        <v>USD</v>
      </c>
    </row>
    <row r="69" spans="1:6">
      <c r="B69" s="227" t="s">
        <v>390</v>
      </c>
      <c r="C69" s="92">
        <f>Normalized_FCF!C125</f>
        <v>9.4993169000486252E-2</v>
      </c>
      <c r="F69" s="314"/>
    </row>
    <row r="70" spans="1:6">
      <c r="B70" s="227" t="s">
        <v>308</v>
      </c>
      <c r="C70" s="92">
        <f>Normalized_FCF!C93</f>
        <v>5.9857837635615418E-2</v>
      </c>
      <c r="E70" s="47" t="s">
        <v>447</v>
      </c>
      <c r="F70" s="315">
        <f>Normalized_FCF!C92</f>
        <v>0.63012781093037351</v>
      </c>
    </row>
    <row r="72" spans="1:6">
      <c r="B72" s="210" t="s">
        <v>450</v>
      </c>
      <c r="C72" s="323" t="s">
        <v>452</v>
      </c>
      <c r="D72" s="323" t="s">
        <v>453</v>
      </c>
    </row>
    <row r="73" spans="1:6">
      <c r="B73" s="47" t="s">
        <v>451</v>
      </c>
      <c r="C73" s="92">
        <f>Normalized_FCF!C120</f>
        <v>8.3350635997632802E-2</v>
      </c>
      <c r="D73" s="92">
        <f>Normalized_FCF!G120</f>
        <v>9.0015205271160664E-2</v>
      </c>
    </row>
    <row r="74" spans="1:6">
      <c r="B74" s="259" t="str">
        <f>Normalized_FCF!B117</f>
        <v>Pre-tax Profit/Sales</v>
      </c>
      <c r="C74" s="322">
        <f>Normalized_FCF!C117</f>
        <v>0.15660042549334799</v>
      </c>
      <c r="D74" s="322">
        <f>Normalized_FCF!G117</f>
        <v>0.17178673682581444</v>
      </c>
    </row>
    <row r="75" spans="1:6">
      <c r="B75" s="259" t="str">
        <f>Normalized_FCF!B118</f>
        <v>Sales/Total Assets</v>
      </c>
      <c r="C75" s="324">
        <f>Normalized_FCF!C118</f>
        <v>0.29736257886212014</v>
      </c>
      <c r="D75" s="324">
        <f>Normalized_FCF!G118</f>
        <v>0.29274978196110413</v>
      </c>
    </row>
    <row r="76" spans="1:6">
      <c r="B76" s="259" t="str">
        <f>Normalized_FCF!B119</f>
        <v>Total Assets/Equity</v>
      </c>
      <c r="C76" s="324">
        <f>Normalized_FCF!C119</f>
        <v>1.7899036999493159</v>
      </c>
      <c r="D76" s="324">
        <f>Normalized_FCF!G119</f>
        <v>1.7899036999493159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33.8555654317733</v>
      </c>
      <c r="D93" s="1" t="str">
        <f>Market_currency</f>
        <v>USD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19869</v>
      </c>
      <c r="D102" s="1" t="str">
        <f>Reporting_currency</f>
        <v>USD</v>
      </c>
    </row>
    <row r="103" spans="2:6">
      <c r="B103" s="47" t="s">
        <v>281</v>
      </c>
      <c r="C103" s="223">
        <f>C102*scaling_factor*Exchange_Rate/Common_Shares</f>
        <v>16.649068991502919</v>
      </c>
      <c r="D103" s="1" t="str">
        <f>Market_currency</f>
        <v>USD</v>
      </c>
    </row>
    <row r="104" spans="2:6">
      <c r="B104" s="296" t="s">
        <v>404</v>
      </c>
      <c r="C104" s="325">
        <f>IF(BS!G31/BS!G27&gt;300%,"nm",BS!G31/BS!G27)</f>
        <v>0.40281804358844397</v>
      </c>
    </row>
    <row r="105" spans="2:6">
      <c r="B105" s="296" t="s">
        <v>406</v>
      </c>
      <c r="C105" s="326">
        <f>IF(BS!C50&gt;30,"nm",BS!C50)</f>
        <v>3.955391512509995</v>
      </c>
    </row>
    <row r="107" spans="2:6">
      <c r="B107" s="1" t="s">
        <v>254</v>
      </c>
    </row>
    <row r="108" spans="2:6">
      <c r="B108" s="47" t="s">
        <v>264</v>
      </c>
      <c r="C108" s="349">
        <f>BS!C66</f>
        <v>1334</v>
      </c>
      <c r="D108" s="1" t="str">
        <f>Reporting_currency</f>
        <v>USD</v>
      </c>
    </row>
    <row r="109" spans="2:6">
      <c r="B109" s="47" t="s">
        <v>266</v>
      </c>
      <c r="C109" s="349">
        <f>DCF!C8</f>
        <v>-594.28499848473007</v>
      </c>
      <c r="D109" s="1" t="str">
        <f>Reporting_currency</f>
        <v>USD</v>
      </c>
    </row>
    <row r="110" spans="2:6">
      <c r="B110" s="47" t="s">
        <v>282</v>
      </c>
      <c r="C110" s="223">
        <f>C109*scaling_factor*Exchange_Rate/Common_Shares</f>
        <v>-0.49797634205986613</v>
      </c>
      <c r="D110" s="1" t="str">
        <f>Market_currency</f>
        <v>USD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USD</v>
      </c>
    </row>
    <row r="116" spans="1:6" ht="24.5" customHeight="1">
      <c r="B116" s="356" t="s">
        <v>366</v>
      </c>
      <c r="C116" s="356"/>
      <c r="D116" s="356"/>
      <c r="E116" s="356"/>
      <c r="F116" s="356"/>
    </row>
    <row r="118" spans="1:6">
      <c r="B118" s="47" t="s">
        <v>448</v>
      </c>
      <c r="C118" s="223">
        <f>IF(valuation_method="DCF",DCF!C12,DDM!C7)</f>
        <v>16.708520098210517</v>
      </c>
      <c r="D118" s="1" t="str">
        <f>Market_currency</f>
        <v>USD</v>
      </c>
    </row>
    <row r="119" spans="1:6">
      <c r="B119" s="296" t="s">
        <v>405</v>
      </c>
      <c r="C119" s="223">
        <f>BS!D47</f>
        <v>-26.938493611476797</v>
      </c>
      <c r="D119" s="1" t="str">
        <f>Market_currency</f>
        <v>USD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258</v>
      </c>
      <c r="C132" s="217">
        <f>Scenarios!C60</f>
        <v>36.134621832566509</v>
      </c>
      <c r="D132" s="212" t="str">
        <f>Market_currency</f>
        <v>USD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1.6</v>
      </c>
      <c r="D143" s="212" t="str">
        <f>Market_currency</f>
        <v>USD</v>
      </c>
    </row>
    <row r="145" spans="2:4">
      <c r="B145" s="210" t="s">
        <v>408</v>
      </c>
      <c r="C145" s="241" t="str">
        <f>C11</f>
        <v>KHC</v>
      </c>
      <c r="D145" s="241" t="str">
        <f>IF(D11="","",D11)</f>
        <v/>
      </c>
    </row>
    <row r="146" spans="2:4">
      <c r="B146" s="1" t="s">
        <v>407</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260</v>
      </c>
      <c r="C149" s="215">
        <f>Scenarios!C83</f>
        <v>16.7846939344021</v>
      </c>
      <c r="D149" s="300" t="str">
        <f>IF($D$11="","",C149*$E$25)</f>
        <v/>
      </c>
    </row>
    <row r="150" spans="2:4">
      <c r="B150" s="259" t="s">
        <v>415</v>
      </c>
      <c r="C150" s="298" t="str">
        <f>Market_currency</f>
        <v>USD</v>
      </c>
      <c r="D150" s="298" t="str">
        <f>IF($D$11="","",D$13)</f>
        <v/>
      </c>
    </row>
    <row r="151" spans="2:4">
      <c r="B151" s="214" t="s">
        <v>262</v>
      </c>
      <c r="C151" s="92">
        <f>Scenarios!F83</f>
        <v>0.53549551418648556</v>
      </c>
    </row>
    <row r="153" spans="2:4">
      <c r="B153" s="210" t="s">
        <v>411</v>
      </c>
    </row>
    <row r="154" spans="2:4">
      <c r="B154" s="1" t="s">
        <v>410</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260</v>
      </c>
      <c r="C157" s="215">
        <f>Scenarios!C93</f>
        <v>23.307997499907511</v>
      </c>
      <c r="D157" s="300" t="str">
        <f>IF($D$11="","",C157*$E$25)</f>
        <v/>
      </c>
    </row>
    <row r="158" spans="2:4">
      <c r="B158" s="259" t="s">
        <v>415</v>
      </c>
      <c r="C158" s="298" t="str">
        <f>Market_currency</f>
        <v>USD</v>
      </c>
      <c r="D158" s="298" t="str">
        <f>IF($D$11="","",D$13)</f>
        <v/>
      </c>
    </row>
    <row r="159" spans="2:4">
      <c r="B159" s="214" t="s">
        <v>262</v>
      </c>
      <c r="C159" s="92">
        <f>Scenarios!F93</f>
        <v>0.35496772021283307</v>
      </c>
    </row>
    <row r="161" spans="2:4">
      <c r="B161" s="210" t="s">
        <v>400</v>
      </c>
    </row>
    <row r="162" spans="2:4">
      <c r="B162" s="1" t="s">
        <v>409</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401</v>
      </c>
      <c r="C165" s="215">
        <f>Scenarios!C99</f>
        <v>33.247786953152008</v>
      </c>
      <c r="D165" s="300" t="str">
        <f>IF($D$11="","",C165*$E$25)</f>
        <v/>
      </c>
    </row>
    <row r="166" spans="2:4">
      <c r="B166" s="259" t="s">
        <v>415</v>
      </c>
      <c r="C166" s="298" t="str">
        <f>Market_currency</f>
        <v>USD</v>
      </c>
      <c r="D166" s="298" t="str">
        <f>IF($D$11="","",D$13)</f>
        <v/>
      </c>
    </row>
    <row r="167" spans="2:4">
      <c r="B167" s="214" t="s">
        <v>262</v>
      </c>
      <c r="C167" s="92">
        <f>Scenarios!F99</f>
        <v>7.9891105344645608E-2</v>
      </c>
    </row>
    <row r="169" spans="2:4">
      <c r="B169" s="210" t="s">
        <v>431</v>
      </c>
    </row>
    <row r="170" spans="2:4">
      <c r="B170" s="1" t="s">
        <v>422</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401</v>
      </c>
      <c r="C173" s="215">
        <f>Scenarios!C105</f>
        <v>29.760030747653474</v>
      </c>
      <c r="D173" s="300" t="str">
        <f>IF($D$11="","",C173*$E$25)</f>
        <v/>
      </c>
    </row>
    <row r="174" spans="2:4">
      <c r="B174" s="259" t="s">
        <v>415</v>
      </c>
      <c r="C174" s="298" t="str">
        <f>Market_currency</f>
        <v>USD</v>
      </c>
      <c r="D174" s="298" t="str">
        <f>IF($D$11="","",D$13)</f>
        <v/>
      </c>
    </row>
    <row r="175" spans="2:4">
      <c r="B175" s="214" t="s">
        <v>262</v>
      </c>
      <c r="C175" s="92">
        <f>Scenarios!F105</f>
        <v>0.17586774670093841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371</v>
      </c>
      <c r="C22" s="351">
        <v>4184</v>
      </c>
      <c r="D22" s="351">
        <v>3976</v>
      </c>
      <c r="E22" s="351">
        <v>2469</v>
      </c>
      <c r="F22" s="351">
        <v>5364</v>
      </c>
      <c r="G22" s="351">
        <v>4929</v>
      </c>
      <c r="H22" s="351">
        <v>3552</v>
      </c>
      <c r="I22" s="351">
        <v>2574</v>
      </c>
      <c r="J22" s="351">
        <v>527</v>
      </c>
      <c r="K22" s="351">
        <v>5238</v>
      </c>
      <c r="L22" s="351">
        <v>2467</v>
      </c>
      <c r="M22" s="351"/>
    </row>
    <row r="23" spans="2:13">
      <c r="B23" s="27" t="s">
        <v>373</v>
      </c>
      <c r="C23" s="351">
        <v>-1023</v>
      </c>
      <c r="D23" s="351">
        <v>-916</v>
      </c>
      <c r="E23" s="351">
        <v>-1091</v>
      </c>
      <c r="F23" s="351">
        <v>4038</v>
      </c>
      <c r="G23" s="351">
        <v>-522</v>
      </c>
      <c r="H23" s="351">
        <v>1511</v>
      </c>
      <c r="I23" s="351">
        <v>288</v>
      </c>
      <c r="J23" s="351">
        <v>1156</v>
      </c>
      <c r="K23" s="351">
        <v>-1113</v>
      </c>
      <c r="L23" s="351">
        <v>-9704</v>
      </c>
      <c r="M23" s="351"/>
    </row>
    <row r="24" spans="2:13">
      <c r="B24" s="27" t="s">
        <v>372</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172</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168</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393</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168</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215</v>
      </c>
      <c r="D9" s="261">
        <v>0.1</v>
      </c>
      <c r="E9" s="25"/>
      <c r="F9" s="4" t="s">
        <v>180</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7152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40099</v>
      </c>
      <c r="D21" s="261">
        <v>0.05</v>
      </c>
      <c r="F21" s="1" t="s">
        <v>180</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244</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203</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86953</v>
      </c>
      <c r="H35" s="200">
        <f>D12+D24</f>
        <v>5747</v>
      </c>
    </row>
    <row r="36" spans="2:8" ht="15" customHeight="1">
      <c r="B36" s="4" t="s">
        <v>13</v>
      </c>
      <c r="C36" s="19">
        <v>19215</v>
      </c>
      <c r="F36" s="190" t="s">
        <v>197</v>
      </c>
      <c r="G36" s="191">
        <f>C4+C15</f>
        <v>2147</v>
      </c>
      <c r="H36" s="195"/>
    </row>
    <row r="37" spans="2:8" ht="15" customHeight="1">
      <c r="B37" s="4" t="s">
        <v>14</v>
      </c>
      <c r="C37" s="19">
        <v>0</v>
      </c>
      <c r="F37" s="190" t="s">
        <v>198</v>
      </c>
      <c r="G37" s="191">
        <f>C6</f>
        <v>3376</v>
      </c>
      <c r="H37" s="195"/>
    </row>
    <row r="38" spans="2:8" ht="15" customHeight="1">
      <c r="B38" s="4" t="s">
        <v>15</v>
      </c>
      <c r="C38" s="19">
        <v>0</v>
      </c>
      <c r="F38" s="190" t="s">
        <v>199</v>
      </c>
      <c r="G38" s="191">
        <f>C7+C17</f>
        <v>0</v>
      </c>
      <c r="H38" s="195"/>
    </row>
    <row r="39" spans="2:8" ht="15" customHeight="1">
      <c r="B39" s="2" t="s">
        <v>16</v>
      </c>
      <c r="C39" s="19">
        <v>0</v>
      </c>
      <c r="F39" s="190" t="s">
        <v>79</v>
      </c>
      <c r="G39" s="191">
        <f>C7+C17+C19+C20</f>
        <v>7152</v>
      </c>
      <c r="H39" s="188">
        <f>C7*D7+C17*D17+C19*D19+C20*D20</f>
        <v>715.2</v>
      </c>
    </row>
    <row r="40" spans="2:8" ht="15" customHeight="1">
      <c r="B40" s="80" t="s">
        <v>204</v>
      </c>
      <c r="C40" s="81">
        <f>SUM(C36:C39)</f>
        <v>19215</v>
      </c>
      <c r="F40" s="199" t="s">
        <v>138</v>
      </c>
      <c r="G40" s="193">
        <f>G12+G24</f>
        <v>1334</v>
      </c>
      <c r="H40" s="200">
        <f>H12+H24</f>
        <v>1200.6000000000001</v>
      </c>
    </row>
    <row r="41" spans="2:8" ht="15" customHeight="1">
      <c r="B41" s="4" t="s">
        <v>17</v>
      </c>
      <c r="C41" s="21">
        <f>C42-C40</f>
        <v>12494</v>
      </c>
      <c r="F41" s="190" t="s">
        <v>191</v>
      </c>
      <c r="G41" s="191">
        <f>C70</f>
        <v>1334</v>
      </c>
      <c r="H41" s="200">
        <f>H40-H42</f>
        <v>1200.6000000000001</v>
      </c>
    </row>
    <row r="42" spans="2:8" ht="15" customHeight="1">
      <c r="B42" s="83" t="s">
        <v>22</v>
      </c>
      <c r="C42" s="84">
        <v>31709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176</v>
      </c>
      <c r="C51" s="181"/>
      <c r="D51" s="92">
        <f>G29/G32</f>
        <v>0.55717149750246353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5.7769946069523057E-2</v>
      </c>
      <c r="D54" s="92">
        <f>Normalized_FCF!G8/G35</f>
        <v>6.1550492794958195E-2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274</v>
      </c>
      <c r="C61" s="235" t="s">
        <v>137</v>
      </c>
      <c r="D61" s="197" t="s">
        <v>95</v>
      </c>
      <c r="F61" s="253"/>
    </row>
    <row r="62" spans="2:8" ht="15" customHeight="1">
      <c r="B62" s="1" t="s">
        <v>245</v>
      </c>
      <c r="C62" s="92">
        <f>IF(G28&lt;=0,0,G28/G29)</f>
        <v>2.7240755422739934E-3</v>
      </c>
      <c r="D62" s="92">
        <f>G28/G29</f>
        <v>2.7240755422739934E-3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1334</v>
      </c>
      <c r="D66" s="76">
        <f>C66-D75</f>
        <v>-594.28499848473007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1334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-1866.9533418666667</v>
      </c>
      <c r="D73" s="349">
        <f>(Normalized_FCF!C25+Normalized_FCF!C35-Normalized_FCF!C91)/12</f>
        <v>-1928.2849984847301</v>
      </c>
      <c r="F73" s="1" t="s">
        <v>351</v>
      </c>
    </row>
    <row r="74" spans="2:6" ht="15" customHeight="1">
      <c r="B74" s="257" t="s">
        <v>321</v>
      </c>
      <c r="C74" s="258">
        <f>-$C$66/C73</f>
        <v>0.71453312200411223</v>
      </c>
      <c r="D74" s="258">
        <f>-$C$66/D73</f>
        <v>0.69180645031635546</v>
      </c>
      <c r="F74" s="253" t="s">
        <v>319</v>
      </c>
    </row>
    <row r="75" spans="2:6" ht="15" customHeight="1">
      <c r="B75" s="80" t="s">
        <v>320</v>
      </c>
      <c r="C75" s="320"/>
      <c r="D75" s="321">
        <f>MAX(-D73*D76,G5)</f>
        <v>1928.2849984847301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-19869</v>
      </c>
      <c r="D86" s="223">
        <f>C86*scaling_factor/Common_Shares</f>
        <v>-16.649068991502919</v>
      </c>
      <c r="E86" s="240" t="str">
        <f>Market_currency</f>
        <v>USD</v>
      </c>
    </row>
    <row r="87" spans="2:8" ht="15" customHeight="1">
      <c r="B87" s="238" t="s">
        <v>287</v>
      </c>
      <c r="C87" s="76">
        <f>DCF!C8*Exchange_Rate</f>
        <v>-594.28499848473007</v>
      </c>
      <c r="D87" s="223">
        <f>C87*scaling_factor/Common_Shares</f>
        <v>-0.49797634205986613</v>
      </c>
      <c r="E87" s="240" t="str">
        <f>Market_currency</f>
        <v>USD</v>
      </c>
    </row>
    <row r="88" spans="2:8" ht="15" customHeight="1">
      <c r="B88" s="239" t="s">
        <v>189</v>
      </c>
      <c r="C88" s="76">
        <f>DCF!C9*Exchange_Rate</f>
        <v>0</v>
      </c>
      <c r="D88" s="223">
        <f>C88*scaling_factor/Common_Shares</f>
        <v>0</v>
      </c>
      <c r="E88" s="240" t="str">
        <f>Market_currency</f>
        <v>USD</v>
      </c>
    </row>
    <row r="89" spans="2:8" ht="15" customHeight="1">
      <c r="B89" s="80" t="s">
        <v>291</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152</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164</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243</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154</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0.6694782504801029</v>
      </c>
      <c r="D28" s="26"/>
      <c r="E28" s="266" t="s">
        <v>333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-3654</v>
      </c>
      <c r="E33" s="266" t="s">
        <v>333</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0.26</v>
      </c>
      <c r="D43" s="27"/>
      <c r="E43" s="265" t="s">
        <v>334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336</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195</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152</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164</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154</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5.9857837635615418E-2</v>
      </c>
      <c r="E93" s="268"/>
      <c r="G93" s="23">
        <f t="shared" ref="G93:Q93" si="39">IF(G$4="","",G90/Market_Price)</f>
        <v>5.9857837635615418E-2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164</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88287</v>
      </c>
      <c r="D101" s="26"/>
      <c r="E101" s="269"/>
      <c r="F101" s="26"/>
      <c r="G101" s="333">
        <f t="shared" ref="G101:Q101" si="42">IF(G$4="","",G105+G104)</f>
        <v>88287</v>
      </c>
      <c r="H101" s="333">
        <f t="shared" si="42"/>
        <v>0</v>
      </c>
      <c r="I101" s="333">
        <f t="shared" si="42"/>
        <v>0</v>
      </c>
      <c r="J101" s="333">
        <f t="shared" si="42"/>
        <v>0</v>
      </c>
      <c r="K101" s="333">
        <f t="shared" si="42"/>
        <v>0</v>
      </c>
      <c r="L101" s="333">
        <f t="shared" si="42"/>
        <v>0</v>
      </c>
      <c r="M101" s="333">
        <f t="shared" si="42"/>
        <v>0</v>
      </c>
      <c r="N101" s="333">
        <f t="shared" si="42"/>
        <v>0</v>
      </c>
      <c r="O101" s="333">
        <f t="shared" si="42"/>
        <v>0</v>
      </c>
      <c r="P101" s="333">
        <f t="shared" si="42"/>
        <v>0</v>
      </c>
      <c r="Q101" s="333" t="str">
        <f t="shared" si="42"/>
        <v/>
      </c>
    </row>
    <row r="102" spans="1:17" ht="15.75" customHeight="1">
      <c r="A102" s="10"/>
      <c r="B102" s="93" t="s">
        <v>210</v>
      </c>
      <c r="C102" s="345">
        <f>BS!C4</f>
        <v>2147</v>
      </c>
      <c r="D102" s="89"/>
      <c r="E102" s="270"/>
      <c r="F102" s="89"/>
      <c r="G102" s="346">
        <f>IF(G$4="","",Data!D77)</f>
        <v>2147</v>
      </c>
      <c r="H102" s="346">
        <f>IF(H$4="","",Data!E77)</f>
        <v>2112</v>
      </c>
      <c r="I102" s="346">
        <f>IF(I$4="","",Data!F77)</f>
        <v>2120</v>
      </c>
      <c r="J102" s="346">
        <f>IF(J$4="","",Data!G77)</f>
        <v>1957</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3376</v>
      </c>
      <c r="D103" s="89"/>
      <c r="E103" s="270"/>
      <c r="F103" s="89"/>
      <c r="G103" s="346">
        <f>IF(G$4="","",Data!D78)</f>
        <v>3376</v>
      </c>
      <c r="H103" s="346">
        <f>IF(H$4="","",Data!E78)</f>
        <v>3614</v>
      </c>
      <c r="I103" s="346">
        <f>IF(I$4="","",Data!F78)</f>
        <v>3651</v>
      </c>
      <c r="J103" s="346">
        <f>IF(J$4="","",Data!G78)</f>
        <v>2729</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38962</v>
      </c>
      <c r="D104" s="26"/>
      <c r="E104" s="269"/>
      <c r="F104" s="26"/>
      <c r="G104" s="333">
        <f>Data!C79</f>
        <v>38962</v>
      </c>
      <c r="H104" s="333">
        <f>Data!D79</f>
        <v>0</v>
      </c>
      <c r="I104" s="333">
        <f>Data!E79</f>
        <v>0</v>
      </c>
      <c r="J104" s="333">
        <f>Data!F79</f>
        <v>0</v>
      </c>
      <c r="K104" s="333">
        <f>Data!G79</f>
        <v>0</v>
      </c>
      <c r="L104" s="333">
        <f>Data!H79</f>
        <v>0</v>
      </c>
      <c r="M104" s="333">
        <f>Data!I79</f>
        <v>0</v>
      </c>
      <c r="N104" s="333">
        <f>Data!J79</f>
        <v>0</v>
      </c>
      <c r="O104" s="333">
        <f>Data!K79</f>
        <v>0</v>
      </c>
      <c r="P104" s="333">
        <f>Data!L79</f>
        <v>0</v>
      </c>
      <c r="Q104" s="333" t="str">
        <f>Data!M79</f>
        <v/>
      </c>
    </row>
    <row r="105" spans="1:17" ht="15.75" customHeight="1">
      <c r="A105" s="10"/>
      <c r="B105" s="26" t="s">
        <v>30</v>
      </c>
      <c r="C105" s="344">
        <f>BS!G27</f>
        <v>49325</v>
      </c>
      <c r="D105" s="26"/>
      <c r="E105" s="269"/>
      <c r="F105" s="26"/>
      <c r="G105" s="333">
        <f>Data!C80</f>
        <v>49325</v>
      </c>
      <c r="H105" s="333">
        <f>Data!D80</f>
        <v>0</v>
      </c>
      <c r="I105" s="333">
        <f>Data!E80</f>
        <v>0</v>
      </c>
      <c r="J105" s="333">
        <f>Data!F80</f>
        <v>0</v>
      </c>
      <c r="K105" s="333">
        <f>Data!G80</f>
        <v>0</v>
      </c>
      <c r="L105" s="333">
        <f>Data!H80</f>
        <v>0</v>
      </c>
      <c r="M105" s="333">
        <f>Data!I80</f>
        <v>0</v>
      </c>
      <c r="N105" s="333">
        <f>Data!J80</f>
        <v>0</v>
      </c>
      <c r="O105" s="333">
        <f>Data!K80</f>
        <v>0</v>
      </c>
      <c r="P105" s="333">
        <f>Data!L80</f>
        <v>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392</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83</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91</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222</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269</v>
      </c>
      <c r="C125" s="77">
        <f>C19*Exchange_Rate*$C$3/(Market_Price*Common_Shares)</f>
        <v>9.4993169000486252E-2</v>
      </c>
      <c r="D125" s="27"/>
      <c r="E125" s="265"/>
      <c r="F125" s="27"/>
      <c r="G125" s="77">
        <f t="shared" ref="G125" si="50">IF(G$4="","",G124/Market_Price)</f>
        <v>7.9875650513386895E-2</v>
      </c>
      <c r="H125" s="77">
        <f t="shared" ref="H125" si="51">IF(H$4="","",H124/Market_Price)</f>
        <v>7.4326988762653187E-2</v>
      </c>
      <c r="I125" s="77">
        <f t="shared" ref="I125" si="52">IF(I$4="","",I124/Market_Price)</f>
        <v>3.438916350595974E-2</v>
      </c>
      <c r="J125" s="77">
        <f t="shared" ref="J125" si="53">IF(J$4="","",J124/Market_Price)</f>
        <v>-6.2383259231412833E-3</v>
      </c>
      <c r="K125" s="77">
        <f t="shared" ref="K125" si="54">IF(K$4="","",K124/Market_Price)</f>
        <v>-2.6489373894745653E-2</v>
      </c>
      <c r="L125" s="77">
        <f t="shared" ref="L125" si="55">IF(L$4="","",L124/Market_Price)</f>
        <v>3.075275241508341E-2</v>
      </c>
      <c r="M125" s="77">
        <f t="shared" ref="M125" si="56">IF(M$4="","",M124/Market_Price)</f>
        <v>-0.32718295306445011</v>
      </c>
      <c r="N125" s="77">
        <f t="shared" ref="N125" si="57">IF(N$4="","",N124/Market_Price)</f>
        <v>0.34480073783231652</v>
      </c>
      <c r="O125" s="77">
        <f t="shared" ref="O125" si="58">IF(O$4="","",O124/Market_Price)</f>
        <v>0.11338705961810062</v>
      </c>
      <c r="P125" s="77">
        <f t="shared" ref="P125" si="59">IF(P$4="","",P124/Market_Price)</f>
        <v>2.9436120813214398E-2</v>
      </c>
      <c r="Q125" s="77" t="str">
        <f t="shared" ref="Q125" si="60">IF(Q$4="","",Q124/Market_Price)</f>
        <v/>
      </c>
    </row>
    <row r="126" spans="1:17" ht="15.75" customHeight="1">
      <c r="B126" s="2" t="s">
        <v>394</v>
      </c>
      <c r="C126" s="169"/>
      <c r="G126" s="23">
        <f>IF(G$4="","",(Data!C47*$C$3)/(Market_Price*Common_Shares))</f>
        <v>8.6082628065055095E-2</v>
      </c>
      <c r="H126" s="23">
        <f>IF(H$4="","",(Data!D47*$C$3)/(Market_Price*Common_Shares))</f>
        <v>8.9217465212362276E-2</v>
      </c>
      <c r="I126" s="23">
        <f>IF(I$4="","",(Data!E47*$C$3)/(Market_Price*Common_Shares))</f>
        <v>7.4232943648233962E-2</v>
      </c>
      <c r="J126" s="23">
        <f>IF(J$4="","",(Data!F47*$C$3)/(Market_Price*Common_Shares))</f>
        <v>3.21007323884255E-2</v>
      </c>
      <c r="K126" s="23">
        <f>IF(K$4="","",(Data!G47*$C$3)/(Market_Price*Common_Shares))</f>
        <v>1.1316762101778911E-2</v>
      </c>
      <c r="L126" s="23">
        <f>IF(L$4="","",(Data!H47*$C$3)/(Market_Price*Common_Shares))</f>
        <v>6.0596402057447742E-2</v>
      </c>
      <c r="M126" s="23">
        <f>IF(M$4="","",(Data!I47*$C$3)/(Market_Price*Common_Shares))</f>
        <v>-0.32144620108487798</v>
      </c>
      <c r="N126" s="23">
        <f>IF(N$4="","",(Data!J47*$C$3)/(Market_Price*Common_Shares))</f>
        <v>0.3445186024890588</v>
      </c>
      <c r="O126" s="23">
        <f>IF(O$4="","",(Data!K47*$C$3)/(Market_Price*Common_Shares))</f>
        <v>0.1141707689049274</v>
      </c>
      <c r="P126" s="23">
        <f>IF(P$4="","",(Data!L47*$C$3)/(Market_Price*Common_Shares))</f>
        <v>2.0282396343077439E-2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3030.2425464775833</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40403.233953034447</v>
      </c>
      <c r="D6" t="str">
        <f>Reporting_currency</f>
        <v>USD</v>
      </c>
      <c r="E6" s="364" t="s">
        <v>249</v>
      </c>
      <c r="F6" s="364"/>
      <c r="H6" s="120"/>
    </row>
    <row r="7" spans="2:8">
      <c r="B7" s="148" t="s">
        <v>224</v>
      </c>
      <c r="C7" s="338">
        <f>BS!G31</f>
        <v>19869</v>
      </c>
      <c r="D7" t="str">
        <f>Reporting_currency</f>
        <v>USD</v>
      </c>
      <c r="E7" s="364"/>
      <c r="F7" s="364"/>
      <c r="H7" s="120"/>
    </row>
    <row r="8" spans="2:8">
      <c r="B8" s="148" t="s">
        <v>225</v>
      </c>
      <c r="C8" s="338">
        <f>BS!D66</f>
        <v>-594.28499848473007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19939.948954549716</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4.2826760003620602E-2</v>
      </c>
      <c r="H16" s="120"/>
    </row>
    <row r="17" spans="2:17" ht="13.25" customHeight="1">
      <c r="B17" s="118" t="s">
        <v>134</v>
      </c>
      <c r="C17" s="162">
        <f>Scenarios!C64</f>
        <v>30</v>
      </c>
      <c r="H17" s="120"/>
    </row>
    <row r="18" spans="2:17" ht="13.2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131</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129</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1909.4401024000001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25459.201365333334</v>
      </c>
      <c r="D6" t="str">
        <f>Reporting_currency</f>
        <v>USD</v>
      </c>
      <c r="E6" s="364"/>
      <c r="F6" s="364"/>
      <c r="H6" s="120"/>
    </row>
    <row r="7" spans="2:8" ht="13.15">
      <c r="B7" s="149" t="s">
        <v>443</v>
      </c>
      <c r="C7" s="111">
        <f>(C6*scaling_factor)/Common_Shares*Exchange_Rate</f>
        <v>21.333333333333336</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4.2826760003620602E-2</v>
      </c>
      <c r="H11" s="120"/>
    </row>
    <row r="12" spans="2:8" ht="13.25" customHeight="1">
      <c r="B12" s="118" t="s">
        <v>134</v>
      </c>
      <c r="C12" s="162">
        <f>Scenarios!C64</f>
        <v>30</v>
      </c>
      <c r="H12" s="120"/>
    </row>
    <row r="13" spans="2:8" ht="13.25" customHeight="1">
      <c r="B13" s="153" t="s">
        <v>106</v>
      </c>
      <c r="C13" s="140">
        <f>F47/Common_Shares*scaling_factor</f>
        <v>33.559215680839927</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131</v>
      </c>
      <c r="C46" s="123">
        <f>C$16*(1+F4)^$C$12/Equity_Cost</f>
        <v>26549.536472090313</v>
      </c>
      <c r="D46" s="139">
        <f>Terminal_Growth</f>
        <v>0</v>
      </c>
      <c r="E46" s="124">
        <f>1/(1+Equity_Cost)^C12</f>
        <v>0.11422103008133992</v>
      </c>
      <c r="F46" s="125">
        <f t="shared" si="1"/>
        <v>3032.5154040242592</v>
      </c>
      <c r="H46" s="120"/>
    </row>
    <row r="47" spans="2:8">
      <c r="C47" s="114"/>
      <c r="E47" s="127" t="s">
        <v>100</v>
      </c>
      <c r="F47" s="137">
        <f>SUM(F16:F46)</f>
        <v>40049.570141304175</v>
      </c>
      <c r="H47" s="120"/>
    </row>
    <row r="48" spans="2:8">
      <c r="C48" s="114"/>
      <c r="H48" s="120"/>
    </row>
    <row r="49" spans="1:8" ht="13.15">
      <c r="B49" s="119" t="s">
        <v>129</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-26.73</v>
      </c>
    </row>
    <row r="4" spans="2:9">
      <c r="B4" s="152" t="s">
        <v>146</v>
      </c>
      <c r="C4" s="120">
        <v>3</v>
      </c>
      <c r="D4" s="120"/>
      <c r="E4" s="155" t="s">
        <v>150</v>
      </c>
      <c r="F4" s="155"/>
      <c r="H4" s="247">
        <v>1</v>
      </c>
      <c r="I4" s="124">
        <f t="shared" ref="I4:I13" si="0">IF(ROW()-3 &lt; $C$76, $C$77, IF(ROW()-3 = $C$76, $C$77 + $C$60, ""))</f>
        <v>1.6</v>
      </c>
    </row>
    <row r="5" spans="2:9">
      <c r="H5" s="247">
        <v>2</v>
      </c>
      <c r="I5" s="124">
        <f t="shared" si="0"/>
        <v>1.6</v>
      </c>
    </row>
    <row r="6" spans="2:9" ht="13.15">
      <c r="B6" s="159" t="s">
        <v>95</v>
      </c>
      <c r="C6" s="107">
        <f>DCF!C3</f>
        <v>1000000</v>
      </c>
      <c r="E6" s="100" t="s">
        <v>279</v>
      </c>
      <c r="F6" s="100"/>
      <c r="H6" s="247">
        <v>3</v>
      </c>
      <c r="I6" s="124">
        <f t="shared" si="0"/>
        <v>37.734621832566511</v>
      </c>
    </row>
    <row r="7" spans="2:9" ht="12.75" customHeight="1">
      <c r="B7" s="100" t="s">
        <v>275</v>
      </c>
      <c r="C7" s="338">
        <f>Normalized_FCF!G8</f>
        <v>5352</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6"/>
      <c r="H7" s="247">
        <v>4</v>
      </c>
      <c r="I7" s="124" t="str">
        <f t="shared" si="0"/>
        <v/>
      </c>
    </row>
    <row r="8" spans="2:9">
      <c r="B8" s="100" t="s">
        <v>66</v>
      </c>
      <c r="C8" s="338">
        <f>Normalized_FCF!G19</f>
        <v>2548</v>
      </c>
      <c r="D8" t="str">
        <f>Reporting_currency</f>
        <v>USD</v>
      </c>
      <c r="E8" s="366"/>
      <c r="F8" s="366"/>
      <c r="H8" s="247">
        <v>5</v>
      </c>
      <c r="I8" s="124" t="str">
        <f t="shared" si="0"/>
        <v/>
      </c>
    </row>
    <row r="9" spans="2:9">
      <c r="B9" s="100" t="s">
        <v>57</v>
      </c>
      <c r="C9" s="338">
        <f>Normalized_FCF!C19</f>
        <v>3030.2425464775833</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-2.5150882534886732E-3</v>
      </c>
      <c r="D12" s="158"/>
      <c r="E12" s="366"/>
      <c r="F12" s="366"/>
      <c r="H12" s="247">
        <v>9</v>
      </c>
      <c r="I12" s="124" t="str">
        <f t="shared" si="0"/>
        <v/>
      </c>
    </row>
    <row r="13" spans="2:9">
      <c r="B13" s="148" t="s">
        <v>152</v>
      </c>
      <c r="C13" s="158">
        <f ca="1">(Normalized_FCF!G8/OFFSET(Normalized_FCF!G8, 0, $C$4))^(1/$C$4) - 1</f>
        <v>0.15650274695607269</v>
      </c>
      <c r="E13" s="366"/>
      <c r="F13" s="366"/>
      <c r="H13" s="247">
        <v>10</v>
      </c>
      <c r="I13" s="124" t="str">
        <f t="shared" si="0"/>
        <v/>
      </c>
    </row>
    <row r="14" spans="2:9">
      <c r="B14" s="100" t="s">
        <v>66</v>
      </c>
      <c r="C14" s="158">
        <f ca="1">(Normalized_FCF!G19/OFFSET(Normalized_FCF!G19, 0, $C$4))^(1/$C$4) - 1</f>
        <v>-3.3394590575448202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26.73</v>
      </c>
      <c r="D21" t="str">
        <f>Market_currency</f>
        <v>USD</v>
      </c>
      <c r="E21" s="367"/>
      <c r="F21" s="367"/>
    </row>
    <row r="22" spans="2:6">
      <c r="B22" s="100" t="s">
        <v>278</v>
      </c>
      <c r="C22" s="160">
        <f>IF(valuation_method="DCF",DCF!C12,DDM!C7)</f>
        <v>16.708520098210517</v>
      </c>
      <c r="D22" t="str">
        <f>Market_currency</f>
        <v>USD</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34.37284276944095</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24.144610325922145</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48.672529665639814</v>
      </c>
      <c r="D39" t="str">
        <f>Market_currency</f>
        <v>USD</v>
      </c>
      <c r="E39" s="365"/>
      <c r="F39" s="365"/>
    </row>
    <row r="40" spans="2:6">
      <c r="B40" s="100" t="s">
        <v>147</v>
      </c>
      <c r="C40" s="167">
        <f>1-C28-C34</f>
        <v>0.25</v>
      </c>
      <c r="D40" s="165"/>
      <c r="E40" s="365"/>
      <c r="F40" s="365"/>
    </row>
    <row r="42" spans="2:6" ht="13.15">
      <c r="B42" s="100" t="s">
        <v>120</v>
      </c>
      <c r="C42" s="154">
        <f>C27*C28+C33*C34+C39*C40</f>
        <v>35.390706382610965</v>
      </c>
      <c r="D42" t="str">
        <f>Market_currency</f>
        <v>USD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16.708520098210528</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68.951201666122259</v>
      </c>
      <c r="D57" t="str">
        <f>Market_currency</f>
        <v>USD</v>
      </c>
      <c r="E57" s="365"/>
      <c r="F57" s="365"/>
    </row>
    <row r="58" spans="2:6">
      <c r="B58" s="100" t="s">
        <v>147</v>
      </c>
      <c r="C58" s="165">
        <v>0.05</v>
      </c>
      <c r="D58" s="165"/>
      <c r="E58" s="365"/>
      <c r="F58" s="365"/>
    </row>
    <row r="60" spans="2:6" ht="13.15">
      <c r="B60" s="100" t="s">
        <v>120</v>
      </c>
      <c r="C60" s="154">
        <f>C51*C52+C57*C58+C42*(1-C52-C58)</f>
        <v>36.134621832566509</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4.2826760003620602E-2</v>
      </c>
      <c r="D65" s="151"/>
      <c r="E65" s="251" t="s">
        <v>312</v>
      </c>
    </row>
    <row r="66" spans="2:6">
      <c r="B66" s="100" t="s">
        <v>102</v>
      </c>
      <c r="C66" s="160">
        <f>IF(valuation_method="DCF",DCF!C18,DDM!C13)</f>
        <v>36.110746337765448</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-0.47453230347934405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1.6</v>
      </c>
      <c r="D77" t="str">
        <f>Market_currency</f>
        <v>USD</v>
      </c>
    </row>
    <row r="79" spans="2:6" ht="13.15">
      <c r="B79" s="109" t="s">
        <v>301</v>
      </c>
    </row>
    <row r="80" spans="2:6">
      <c r="B80" s="148" t="s">
        <v>299</v>
      </c>
      <c r="C80" s="167">
        <f>Thesis!F29</f>
        <v>0.3674</v>
      </c>
    </row>
    <row r="81" spans="2:8">
      <c r="B81" s="100" t="s">
        <v>121</v>
      </c>
      <c r="C81" s="116">
        <f>PV(C80, C76, -C77, 0)</f>
        <v>2.6516149109837741</v>
      </c>
      <c r="D81" s="116"/>
      <c r="E81" s="100"/>
      <c r="F81" s="100"/>
    </row>
    <row r="82" spans="2:8">
      <c r="B82" s="100" t="s">
        <v>122</v>
      </c>
      <c r="C82" s="116">
        <f>C60/(1+C80)^C76</f>
        <v>14.133079023418324</v>
      </c>
      <c r="D82" s="116"/>
    </row>
    <row r="83" spans="2:8" ht="13.15">
      <c r="B83" s="110" t="s">
        <v>101</v>
      </c>
      <c r="C83" s="111">
        <f>C81+C82</f>
        <v>16.7846939344021</v>
      </c>
      <c r="D83" t="str">
        <f>Market_currency</f>
        <v>USD</v>
      </c>
      <c r="E83" s="146" t="s">
        <v>126</v>
      </c>
      <c r="F83" s="291">
        <f>(1-C83/C60)</f>
        <v>0.53549551418648556</v>
      </c>
    </row>
    <row r="84" spans="2:8">
      <c r="E84" s="120"/>
    </row>
    <row r="85" spans="2:8" ht="13.15">
      <c r="B85" s="109" t="s">
        <v>302</v>
      </c>
    </row>
    <row r="86" spans="2:8">
      <c r="B86" s="148" t="s">
        <v>300</v>
      </c>
      <c r="C86" s="116">
        <f>Market_Price</f>
        <v>26.73</v>
      </c>
      <c r="D86" t="str">
        <f>Market_currency</f>
        <v>USD</v>
      </c>
    </row>
    <row r="87" spans="2:8" ht="13.15">
      <c r="B87" s="100" t="s">
        <v>298</v>
      </c>
      <c r="C87" s="237">
        <f ca="1">IRR(OFFSET($I$3, 0, 0, $C$76 + 1, 1))</f>
        <v>0.16020301829123884</v>
      </c>
    </row>
    <row r="88" spans="2:8">
      <c r="B88" s="100"/>
    </row>
    <row r="89" spans="2:8" ht="13.15">
      <c r="B89" s="109" t="s">
        <v>412</v>
      </c>
    </row>
    <row r="90" spans="2:8">
      <c r="B90" s="148" t="s">
        <v>413</v>
      </c>
      <c r="C90" s="167">
        <f>Thesis!F30</f>
        <v>0.21740000000000001</v>
      </c>
    </row>
    <row r="91" spans="2:8">
      <c r="B91" s="100" t="s">
        <v>121</v>
      </c>
      <c r="C91" s="116">
        <f>PV(C90, C76, -C77, 0)</f>
        <v>3.2806413181838994</v>
      </c>
      <c r="D91" s="116"/>
      <c r="E91" s="100"/>
      <c r="F91" s="100"/>
    </row>
    <row r="92" spans="2:8">
      <c r="B92" s="100" t="s">
        <v>122</v>
      </c>
      <c r="C92" s="116">
        <f>C60/(1+C90)^C76</f>
        <v>20.027356181723611</v>
      </c>
      <c r="D92" s="116"/>
    </row>
    <row r="93" spans="2:8" ht="13.15">
      <c r="B93" s="110" t="s">
        <v>101</v>
      </c>
      <c r="C93" s="111">
        <f>C91+C92</f>
        <v>23.307997499907511</v>
      </c>
      <c r="D93" t="str">
        <f>Market_currency</f>
        <v>USD</v>
      </c>
      <c r="E93" s="146" t="s">
        <v>126</v>
      </c>
      <c r="F93" s="291">
        <f>(1-C93/C60)</f>
        <v>0.35496772021283307</v>
      </c>
    </row>
    <row r="95" spans="2:8" ht="13.15">
      <c r="B95" s="109" t="s">
        <v>397</v>
      </c>
      <c r="G95" s="2"/>
      <c r="H95" s="281"/>
    </row>
    <row r="96" spans="2:8">
      <c r="B96" s="148" t="s">
        <v>403</v>
      </c>
      <c r="C96" s="134">
        <f>Thesis!F31</f>
        <v>7.4999999999999997E-2</v>
      </c>
      <c r="G96" s="2"/>
      <c r="H96" s="281"/>
    </row>
    <row r="97" spans="2:8">
      <c r="B97" s="100" t="s">
        <v>121</v>
      </c>
      <c r="C97" s="116">
        <f>PV(C96, C76, -C77, 0)</f>
        <v>4.1608411837951351</v>
      </c>
      <c r="D97" s="116"/>
      <c r="G97" s="2"/>
      <c r="H97" s="281"/>
    </row>
    <row r="98" spans="2:8">
      <c r="B98" s="100" t="s">
        <v>122</v>
      </c>
      <c r="C98" s="116">
        <f>C60/(1+C96)^C76</f>
        <v>29.086945769356873</v>
      </c>
      <c r="D98" s="116"/>
      <c r="G98" s="2"/>
      <c r="H98" s="281"/>
    </row>
    <row r="99" spans="2:8" ht="13.15">
      <c r="B99" s="110" t="s">
        <v>398</v>
      </c>
      <c r="C99" s="111">
        <f>C97+C98</f>
        <v>33.247786953152008</v>
      </c>
      <c r="D99" t="s">
        <v>396</v>
      </c>
      <c r="E99" s="146" t="s">
        <v>126</v>
      </c>
      <c r="F99" s="291">
        <f>(1-C99/C60)</f>
        <v>7.9891105344645608E-2</v>
      </c>
    </row>
    <row r="100" spans="2:8">
      <c r="B100" s="100"/>
    </row>
    <row r="101" spans="2:8" ht="13.15">
      <c r="B101" s="109" t="s">
        <v>421</v>
      </c>
    </row>
    <row r="102" spans="2:8">
      <c r="B102" s="148" t="s">
        <v>420</v>
      </c>
      <c r="C102" s="134">
        <f>Thesis!F32</f>
        <v>0.1174</v>
      </c>
    </row>
    <row r="103" spans="2:8">
      <c r="B103" s="100" t="s">
        <v>121</v>
      </c>
      <c r="C103" s="116">
        <f>PV(C102, C76, -C77, 0)</f>
        <v>3.8601650015018389</v>
      </c>
      <c r="D103" s="116"/>
    </row>
    <row r="104" spans="2:8">
      <c r="B104" s="100" t="s">
        <v>122</v>
      </c>
      <c r="C104" s="116">
        <f>C60/(1+C102)^C76</f>
        <v>25.899865746151637</v>
      </c>
      <c r="D104" s="116"/>
    </row>
    <row r="105" spans="2:8" ht="13.15">
      <c r="B105" s="110" t="s">
        <v>398</v>
      </c>
      <c r="C105" s="111">
        <f>C103+C104</f>
        <v>29.760030747653474</v>
      </c>
      <c r="D105" t="s">
        <v>396</v>
      </c>
      <c r="E105" s="146" t="s">
        <v>126</v>
      </c>
      <c r="F105" s="291">
        <f>(1-C105/C66)</f>
        <v>0.17586774670093841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