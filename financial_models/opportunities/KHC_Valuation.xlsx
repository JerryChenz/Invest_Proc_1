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484961B7-5DCB-4153-9CF8-25C0CD22679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37" i="6" s="1"/>
  <c r="L45" i="4"/>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59" i="6" s="1"/>
  <c r="C91" i="2"/>
  <c r="C128" i="6"/>
  <c r="C97" i="9"/>
  <c r="C143" i="6" s="1"/>
  <c r="G72" i="4"/>
  <c r="I72" i="4"/>
  <c r="F72" i="4"/>
  <c r="F69" i="4"/>
  <c r="E72" i="4"/>
  <c r="D72" i="4"/>
  <c r="J72" i="4"/>
  <c r="H72" i="4"/>
  <c r="L69" i="4"/>
  <c r="L70" i="4"/>
  <c r="L72" i="4"/>
  <c r="L71" i="4"/>
  <c r="K70" i="4"/>
  <c r="K72"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K58" i="4"/>
  <c r="O62" i="2" s="1"/>
  <c r="K71" i="4"/>
  <c r="Q126" i="2"/>
  <c r="Q48" i="2"/>
  <c r="Q92" i="2"/>
  <c r="Q91" i="2"/>
  <c r="K126" i="2"/>
  <c r="K91" i="2"/>
  <c r="J71" i="4"/>
  <c r="J91" i="2"/>
  <c r="L126" i="2"/>
  <c r="L91" i="2"/>
  <c r="J70" i="4"/>
  <c r="E69" i="4"/>
  <c r="I71" i="4"/>
  <c r="D69" i="4"/>
  <c r="I70" i="4"/>
  <c r="K69" i="4"/>
  <c r="H69" i="4"/>
  <c r="F70" i="4"/>
  <c r="G70" i="4"/>
  <c r="C69" i="4"/>
  <c r="P126" i="2"/>
  <c r="P91" i="2"/>
  <c r="G69" i="4"/>
  <c r="O126" i="2"/>
  <c r="O91" i="2"/>
  <c r="J69" i="4"/>
  <c r="I69" i="4"/>
  <c r="M126" i="2"/>
  <c r="M91" i="2"/>
  <c r="H91" i="2"/>
  <c r="N126" i="2"/>
  <c r="N91" i="2"/>
  <c r="I91" i="2"/>
  <c r="D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G71" i="4" s="1"/>
  <c r="E44" i="4"/>
  <c r="C44" i="4"/>
  <c r="Q13" i="2"/>
  <c r="Q16" i="2"/>
  <c r="C105" i="2"/>
  <c r="G53" i="2"/>
  <c r="M96" i="2"/>
  <c r="O96" i="2"/>
  <c r="P96" i="2"/>
  <c r="N96" i="2"/>
  <c r="L96" i="2"/>
  <c r="G96" i="2"/>
  <c r="I96" i="2"/>
  <c r="C101" i="2"/>
  <c r="D59" i="3"/>
  <c r="K96" i="2"/>
  <c r="H96" i="2"/>
  <c r="J96" i="2"/>
  <c r="Q119" i="2"/>
  <c r="Q120" i="2"/>
  <c r="O119" i="2"/>
  <c r="O10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6" i="2"/>
  <c r="O8" i="2" s="1"/>
  <c r="O82" i="2"/>
  <c r="O73" i="2"/>
  <c r="O74" i="2"/>
  <c r="O28" i="2"/>
  <c r="O75" i="2"/>
  <c r="G105" i="2" l="1"/>
  <c r="G101" i="2" s="1"/>
  <c r="C76" i="4"/>
  <c r="O55" i="2"/>
  <c r="O120" i="2"/>
  <c r="O76" i="2"/>
  <c r="E58" i="4"/>
  <c r="I62" i="2" s="1"/>
  <c r="E71" i="4"/>
  <c r="C58" i="4"/>
  <c r="G62" i="2" s="1"/>
  <c r="G63" i="2" s="1"/>
  <c r="C71" i="4"/>
  <c r="H58" i="4"/>
  <c r="H71" i="4"/>
  <c r="D71" i="4"/>
  <c r="O40" i="2"/>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P48" i="2"/>
  <c r="P50" i="2" s="1"/>
  <c r="P12" i="2" s="1"/>
  <c r="H48" i="2"/>
  <c r="K48" i="2"/>
  <c r="K50" i="2" s="1"/>
  <c r="K12" i="2" s="1"/>
  <c r="K43" i="2" s="1"/>
  <c r="L48" i="2"/>
  <c r="L50" i="2" s="1"/>
  <c r="L12" i="2" s="1"/>
  <c r="N48" i="2"/>
  <c r="N50" i="2" s="1"/>
  <c r="N12" i="2" s="1"/>
  <c r="M48" i="2"/>
  <c r="M50" i="2" s="1"/>
  <c r="M12" i="2" s="1"/>
  <c r="O48" i="2"/>
  <c r="O50" i="2" s="1"/>
  <c r="O12" i="2" s="1"/>
  <c r="I48" i="2"/>
  <c r="J48" i="2"/>
  <c r="J50" i="2"/>
  <c r="J12" i="2" s="1"/>
  <c r="J80" i="2" s="1"/>
  <c r="G50" i="2"/>
  <c r="G12" i="2" s="1"/>
  <c r="G43" i="2" s="1"/>
  <c r="H50" i="2"/>
  <c r="H12" i="2" s="1"/>
  <c r="H80" i="2" s="1"/>
  <c r="C40" i="6"/>
  <c r="I50" i="2"/>
  <c r="I12" i="2" s="1"/>
  <c r="I80" i="2" s="1"/>
  <c r="C87" i="3"/>
  <c r="D87" i="3" s="1"/>
  <c r="C31" i="3"/>
  <c r="O80" i="2" l="1"/>
  <c r="O43" i="2"/>
  <c r="O13" i="2"/>
  <c r="L80" i="2"/>
  <c r="L4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9" i="2"/>
  <c r="O124" i="2"/>
  <c r="O125" i="2" s="1"/>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92" i="2" l="1"/>
  <c r="N114" i="2"/>
  <c r="I114" i="2"/>
  <c r="I92" i="2"/>
  <c r="J114" i="2"/>
  <c r="J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49" i="8" l="1"/>
  <c r="F49" i="8" s="1"/>
  <c r="C37" i="8"/>
  <c r="F37" i="8" s="1"/>
  <c r="C40" i="8"/>
  <c r="F40" i="8" s="1"/>
  <c r="C50" i="8"/>
  <c r="F50" i="8" s="1"/>
  <c r="C48" i="8"/>
  <c r="F48" i="8" s="1"/>
  <c r="C36" i="8"/>
  <c r="F36" i="8" s="1"/>
  <c r="C43" i="8"/>
  <c r="F43" i="8" s="1"/>
  <c r="C47" i="8"/>
  <c r="F47" i="8" s="1"/>
  <c r="C42" i="8"/>
  <c r="F42" i="8" s="1"/>
  <c r="C44" i="8"/>
  <c r="F44" i="8" s="1"/>
  <c r="C39" i="8"/>
  <c r="F39" i="8" s="1"/>
  <c r="C45" i="8"/>
  <c r="F45" i="8" s="1"/>
  <c r="C46" i="8"/>
  <c r="F46" i="8" s="1"/>
  <c r="C41" i="8"/>
  <c r="F41"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<sst xmlns="http://schemas.openxmlformats.org/spreadsheetml/2006/main" count="616" uniqueCount="432">
  <si>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</si>
  <si>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</si>
  <si>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</si>
  <si>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</si>
  <si>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</si>
  <si>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</si>
  <si>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</si>
  <si>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</si>
  <si>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</si>
  <si>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</si>
  <si>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</si>
  <si>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</si>
  <si>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</si>
  <si>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</si>
  <si>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</si>
  <si>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</si>
  <si>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</si>
  <si>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</si>
  <si>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</si>
  <si>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</si>
  <si>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</si>
  <si>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</si>
  <si>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</si>
  <si>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</si>
  <si>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</si>
  <si>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</si>
  <si>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</si>
  <si>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</si>
  <si>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</si>
  <si>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</si>
  <si>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</si>
  <si>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</si>
  <si>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</si>
  <si>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</si>
  <si>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</si>
  <si>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</si>
  <si>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</si>
  <si>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</si>
  <si>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</si>
  <si>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</si>
  <si>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</si>
  <si>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</si>
  <si>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</si>
  <si>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</si>
  <si>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</si>
  <si>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</si>
  <si>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</si>
  <si>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</si>
  <si>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</si>
  <si>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</si>
  <si>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</si>
  <si>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</si>
  <si>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</si>
  <si>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</si>
  <si>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</si>
  <si>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</si>
  <si>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</si>
  <si>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</si>
  <si>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</si>
  <si>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</si>
  <si>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</si>
  <si>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</si>
  <si>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</si>
  <si>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</si>
  <si>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</si>
  <si>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</si>
  <si>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</si>
  <si>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</si>
  <si>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</si>
  <si>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</si>
  <si>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</si>
  <si>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</si>
  <si>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</si>
  <si>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</si>
  <si>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</si>
  <si>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</si>
  <si>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</si>
  <si>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</si>
  <si>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</si>
  <si>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</si>
  <si>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</si>
  <si>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</si>
  <si>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</si>
  <si>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</si>
  <si>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</si>
  <si>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</si>
  <si>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</si>
  <si>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</si>
  <si>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</si>
  <si>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</si>
  <si>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</si>
  <si>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</si>
  <si>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</si>
  <si>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</si>
  <si>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</si>
  <si>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</si>
  <si>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</si>
  <si>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</si>
  <si>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</si>
  <si>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</si>
  <si>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</si>
  <si>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</si>
  <si>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</si>
  <si>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</si>
  <si>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</si>
  <si>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</si>
  <si>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</si>
  <si>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</si>
  <si>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</si>
  <si>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</si>
  <si>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</si>
  <si>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</si>
  <si>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</si>
  <si>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</si>
  <si>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</si>
  <si>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</si>
  <si>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</si>
  <si>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</si>
  <si>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</si>
  <si>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</si>
  <si>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</si>
  <si>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</si>
  <si>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</si>
  <si>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</si>
  <si>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</si>
  <si>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</si>
  <si>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</si>
  <si>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</si>
  <si>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</si>
  <si>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</si>
  <si>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</si>
  <si>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</si>
  <si>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</si>
  <si>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</si>
  <si>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</si>
  <si>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</si>
  <si>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</si>
  <si>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</si>
  <si>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</si>
  <si>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</si>
  <si>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</si>
  <si>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</si>
  <si>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</si>
  <si>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</si>
  <si>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</si>
  <si>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</si>
  <si>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</si>
  <si>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</si>
  <si>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</si>
  <si>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</si>
  <si>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</si>
  <si>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</si>
  <si>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</si>
  <si>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</si>
  <si>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</si>
  <si>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</si>
  <si>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</si>
  <si>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</si>
  <si>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</si>
  <si>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</si>
  <si>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</si>
  <si>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</si>
  <si>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</si>
  <si>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</si>
  <si>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</si>
  <si>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</si>
  <si>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</si>
  <si>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</si>
  <si>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</si>
  <si>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</si>
  <si>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</si>
  <si>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</si>
  <si>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</si>
  <si>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</si>
  <si>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</si>
  <si>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</si>
  <si>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</si>
  <si>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</si>
  <si>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</si>
  <si>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</si>
  <si>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</si>
  <si>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</si>
  <si>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</si>
  <si>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</si>
  <si>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</si>
  <si>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</si>
  <si>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</si>
  <si>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</si>
  <si>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</si>
  <si>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</si>
  <si>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</si>
  <si>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</si>
  <si>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</si>
  <si>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</si>
  <si>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</si>
  <si>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</si>
  <si>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</si>
  <si>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</si>
  <si>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</si>
  <si>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</si>
  <si>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</si>
  <si>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</si>
  <si>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</si>
  <si>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</si>
  <si>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</si>
  <si>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</si>
  <si>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</si>
  <si>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</si>
  <si>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</si>
  <si>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</si>
  <si>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</si>
  <si>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</si>
  <si>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</si>
  <si>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</si>
  <si>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</si>
  <si>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</si>
  <si>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</si>
  <si>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</si>
  <si>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</si>
  <si>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</si>
  <si>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</si>
  <si>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</si>
  <si>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</si>
  <si>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</si>
  <si>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</si>
  <si>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</si>
  <si>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</si>
  <si>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</si>
  <si>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</si>
  <si>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</si>
  <si>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</si>
  <si>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</si>
  <si>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</si>
  <si>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</si>
  <si>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</si>
  <si>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</si>
  <si>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</si>
  <si>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</si>
  <si>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</si>
  <si>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</si>
  <si>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</si>
  <si>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</si>
  <si>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</si>
  <si>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</si>
  <si>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</si>
  <si>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</si>
  <si>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</si>
  <si>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</si>
  <si>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</si>
  <si>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</si>
  <si>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</si>
  <si>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</si>
  <si>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</si>
  <si>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</si>
  <si>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</si>
  <si>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</si>
  <si>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</si>
  <si>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</si>
  <si>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</si>
  <si>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</si>
  <si>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</si>
  <si>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</si>
  <si>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</si>
  <si>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</si>
  <si>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</si>
  <si>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</si>
  <si>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</si>
  <si>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</si>
  <si>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</si>
  <si>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</si>
  <si>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</si>
  <si>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</si>
  <si>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</si>
  <si>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</si>
  <si>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</si>
  <si>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</si>
  <si>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</si>
  <si>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</si>
  <si>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</si>
  <si>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</si>
  <si>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</si>
  <si>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</si>
  <si>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</si>
  <si>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</si>
  <si>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</si>
  <si>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</si>
  <si>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</si>
  <si>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</si>
  <si>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</si>
  <si>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</si>
  <si>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</si>
  <si>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</si>
  <si>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</si>
  <si>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</si>
  <si>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</si>
  <si>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</si>
  <si>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</si>
  <si>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</si>
  <si>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</si>
  <si>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</si>
  <si>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</si>
  <si>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</si>
  <si>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</si>
  <si>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</si>
  <si>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</si>
  <si>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</si>
  <si>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</si>
  <si>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</si>
  <si>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</si>
  <si>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</si>
  <si>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</si>
  <si>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</si>
  <si>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</si>
  <si>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</si>
  <si>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</si>
  <si>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</si>
  <si>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</si>
  <si>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</si>
  <si>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</si>
  <si>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</si>
  <si>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</si>
  <si>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</si>
  <si>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</si>
  <si>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</si>
  <si>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</si>
  <si>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</si>
  <si>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</si>
  <si>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</si>
  <si>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</si>
  <si>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</si>
  <si>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</si>
  <si>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</si>
  <si>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</si>
  <si>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</si>
  <si>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</si>
  <si>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</si>
  <si>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</si>
  <si>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</si>
  <si>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</si>
  <si>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</si>
  <si>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</si>
  <si>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</si>
  <si>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</si>
  <si>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</si>
  <si>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</si>
  <si>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</si>
  <si>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</si>
  <si>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</si>
  <si>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</si>
  <si>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</si>
  <si>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</si>
  <si>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</si>
  <si>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</si>
  <si>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</si>
  <si>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</si>
  <si>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</si>
  <si>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</si>
  <si>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</si>
  <si>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</si>
  <si>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</si>
  <si>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</si>
  <si>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</si>
  <si>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</si>
  <si>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</si>
  <si>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</si>
  <si>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</si>
  <si>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</si>
  <si>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</si>
  <si>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</si>
  <si>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</si>
  <si>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</si>
  <si>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</si>
  <si>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</si>
  <si>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</si>
  <si>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</si>
  <si>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</si>
  <si>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</si>
  <si>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</si>
  <si>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</si>
  <si>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</si>
  <si>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</si>
  <si>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</si>
  <si>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</si>
  <si>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</si>
  <si>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</si>
  <si>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</si>
  <si>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</si>
  <si>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</si>
  <si>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</si>
  <si>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</si>
  <si>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</si>
  <si>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</si>
  <si>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</si>
  <si>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</si>
  <si>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</si>
  <si>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</si>
  <si>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</si>
  <si>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</si>
  <si>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</si>
  <si>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</si>
  <si>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</si>
  <si>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</si>
  <si>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</si>
  <si>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</si>
  <si>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</si>
  <si>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</si>
  <si>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</si>
  <si>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</si>
  <si>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</si>
  <si>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</si>
  <si>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</si>
  <si>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</si>
  <si>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</si>
  <si>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</si>
  <si>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</si>
  <si>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</si>
  <si>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</si>
  <si>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</si>
  <si>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Position Price Output</t>
  </si>
  <si>
    <t>@ Position Yield</t>
  </si>
  <si>
    <t>Result (Target)</t>
  </si>
  <si>
    <t>Base Equity Return</t>
  </si>
  <si>
    <t>Entry Yield</t>
  </si>
  <si>
    <t>Y</t>
  </si>
  <si>
    <t>The Kraft Heinz Company</t>
  </si>
  <si>
    <t>KHC</t>
  </si>
  <si>
    <t>USD</t>
  </si>
  <si>
    <t>CNS_01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</si>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</sst>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6" sqref="D136"/>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423</v>
      </c>
    </row>
    <row r="2" spans="1:10" ht="13.9">
      <c r="A2" s="247" t="s">
        <v>268</v>
      </c>
      <c r="B2" s="36"/>
      <c r="C2" s="36"/>
      <c r="D2" s="36"/>
      <c r="E2" s="36"/>
      <c r="F2" s="36"/>
      <c r="G2" s="22"/>
      <c r="H2" s="22"/>
      <c r="I2" s="22"/>
      <c r="J2" s="22"/>
    </row>
    <row r="4" spans="1:10">
      <c r="B4" s="45" t="str">
        <f>D5&amp;" Stock Information"</f>
        <v>KHC Stock Information</v>
      </c>
      <c r="C4" s="46"/>
      <c r="D4" s="5"/>
      <c r="E4" s="2"/>
      <c r="F4" s="2"/>
    </row>
    <row r="5" spans="1:10" ht="12.4">
      <c r="B5" s="4" t="s">
        <v>323</v>
      </c>
      <c r="C5" s="333" t="s">
        <v>424</v>
      </c>
      <c r="D5" s="49" t="s">
        <v>425</v>
      </c>
    </row>
    <row r="6" spans="1:10">
      <c r="B6" s="4" t="s">
        <v>95</v>
      </c>
      <c r="C6" s="50">
        <v>28.81</v>
      </c>
      <c r="D6" s="48" t="s">
        <v>426</v>
      </c>
      <c r="E6" s="48"/>
    </row>
    <row r="7" spans="1:10">
      <c r="B7" s="4" t="s">
        <v>0</v>
      </c>
      <c r="C7" s="51">
        <v>1193400064</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34381.85584384</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426</v>
      </c>
      <c r="D16" s="32"/>
      <c r="E16" s="5"/>
    </row>
    <row r="17" spans="1:6">
      <c r="B17" s="4" t="s">
        <v>1</v>
      </c>
      <c r="C17" s="50">
        <v>1</v>
      </c>
      <c r="D17" s="32" t="str">
        <f>IF(C16=D6,D6,C16&amp;"/"&amp;D6)</f>
        <v>USD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(USD):</v>
      </c>
      <c r="C20" s="252">
        <f>C133</f>
        <v>17.682685147645955</v>
      </c>
      <c r="D20" s="1" t="s">
        <v>315</v>
      </c>
      <c r="E20" s="330">
        <v>3</v>
      </c>
    </row>
    <row r="21" spans="1:6">
      <c r="B21" s="1" t="s">
        <v>407</v>
      </c>
      <c r="C21" s="280">
        <f ca="1">Scenarios!C87</f>
        <v>9.408289080523935E-2</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5023.2701205832382</v>
      </c>
      <c r="D30" s="1" t="str">
        <f>Reporting_currency</f>
        <v>USD</v>
      </c>
    </row>
    <row r="31" spans="1:6">
      <c r="B31" s="47"/>
      <c r="C31" s="76"/>
    </row>
    <row r="32" spans="1:6" ht="24.4" customHeight="1">
      <c r="B32" s="343" t="s">
        <v>234</v>
      </c>
      <c r="C32" s="343"/>
      <c r="D32" s="343"/>
      <c r="E32" s="343"/>
      <c r="F32" s="343"/>
    </row>
    <row r="33" spans="2:6">
      <c r="B33" s="47" t="s">
        <v>235</v>
      </c>
      <c r="C33" s="188">
        <f>Normalized_FCF!C9</f>
        <v>1164</v>
      </c>
      <c r="D33" s="1" t="str">
        <f>Reporting_currency</f>
        <v>USD</v>
      </c>
    </row>
    <row r="34" spans="2:6">
      <c r="B34" s="52" t="s">
        <v>236</v>
      </c>
      <c r="C34" s="188">
        <f>Normalized_FCF!C10</f>
        <v>-1164</v>
      </c>
      <c r="D34" s="1" t="str">
        <f>Reporting_currency</f>
        <v>USD</v>
      </c>
    </row>
    <row r="36" spans="2:6">
      <c r="B36" s="343" t="s">
        <v>237</v>
      </c>
      <c r="C36" s="343"/>
      <c r="D36" s="343"/>
      <c r="E36" s="343"/>
      <c r="F36" s="343"/>
    </row>
    <row r="37" spans="2:6">
      <c r="B37" s="47" t="s">
        <v>238</v>
      </c>
      <c r="C37" s="188">
        <f>Normalized_FCF!C11</f>
        <v>0</v>
      </c>
      <c r="D37" s="1" t="str">
        <f>Reporting_currency</f>
        <v>USD</v>
      </c>
    </row>
    <row r="39" spans="2:6">
      <c r="B39" s="343" t="s">
        <v>241</v>
      </c>
      <c r="C39" s="343"/>
      <c r="D39" s="343"/>
      <c r="E39" s="343"/>
      <c r="F39" s="343"/>
    </row>
    <row r="40" spans="2:6">
      <c r="B40" s="47" t="s">
        <v>348</v>
      </c>
      <c r="C40" s="322">
        <f>Normalized_FCF!C48</f>
        <v>0</v>
      </c>
      <c r="D40" s="1" t="str">
        <f>Reporting_currency</f>
        <v>USD</v>
      </c>
      <c r="E40" s="321"/>
      <c r="F40" s="321"/>
    </row>
    <row r="41" spans="2:6">
      <c r="B41" s="47" t="s">
        <v>349</v>
      </c>
      <c r="C41" s="322">
        <f>Normalized_FCF!C47</f>
        <v>-912</v>
      </c>
      <c r="D41" s="1" t="str">
        <f>Reporting_currency</f>
        <v>USD</v>
      </c>
      <c r="E41" s="321"/>
      <c r="F41" s="321"/>
    </row>
    <row r="42" spans="2:6">
      <c r="B42" s="47" t="s">
        <v>239</v>
      </c>
      <c r="C42" s="188">
        <f>Normalized_FCF!C12</f>
        <v>-912</v>
      </c>
      <c r="D42" s="1" t="str">
        <f>Reporting_currency</f>
        <v>USD</v>
      </c>
    </row>
    <row r="44" spans="2:6">
      <c r="B44" s="1" t="s">
        <v>247</v>
      </c>
    </row>
    <row r="45" spans="2:6">
      <c r="B45" s="47" t="s">
        <v>266</v>
      </c>
      <c r="C45" s="188">
        <f>Normalized_FCF!C15</f>
        <v>-12.097342754012749</v>
      </c>
      <c r="D45" s="1" t="str">
        <f>Reporting_currency</f>
        <v>USD</v>
      </c>
    </row>
    <row r="47" spans="2:6">
      <c r="B47" s="343" t="s">
        <v>242</v>
      </c>
      <c r="C47" s="343"/>
      <c r="D47" s="343"/>
      <c r="E47" s="343"/>
      <c r="F47" s="343"/>
    </row>
    <row r="48" spans="2:6">
      <c r="B48" s="47" t="s">
        <v>240</v>
      </c>
      <c r="C48" s="188">
        <f>Normalized_FCF!C14</f>
        <v>-1068.9302313516419</v>
      </c>
      <c r="D48" s="1" t="str">
        <f>Reporting_currency</f>
        <v>USD</v>
      </c>
    </row>
    <row r="50" spans="1:6">
      <c r="B50" s="343" t="s">
        <v>346</v>
      </c>
      <c r="C50" s="344"/>
      <c r="D50" s="344"/>
      <c r="E50" s="344"/>
      <c r="F50" s="344"/>
    </row>
    <row r="51" spans="1:6">
      <c r="B51" s="47" t="s">
        <v>243</v>
      </c>
      <c r="C51" s="1">
        <f>Normalized_FCF!C17</f>
        <v>0</v>
      </c>
      <c r="D51" s="1" t="str">
        <f>Reporting_currency</f>
        <v>USD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2548</v>
      </c>
      <c r="D56" s="1" t="str">
        <f>Reporting_currency</f>
        <v>USD</v>
      </c>
    </row>
    <row r="57" spans="1:6">
      <c r="B57" s="47" t="s">
        <v>249</v>
      </c>
      <c r="C57" s="188">
        <f>Normalized_FCF!C19</f>
        <v>3030.2425464775833</v>
      </c>
      <c r="D57" s="1" t="str">
        <f>Reporting_currency</f>
        <v>USD</v>
      </c>
    </row>
    <row r="58" spans="1:6">
      <c r="B58" s="254" t="s">
        <v>398</v>
      </c>
      <c r="C58" s="92">
        <f>Normalized_FCF!C125</f>
        <v>8.8134932571433455E-2</v>
      </c>
    </row>
    <row r="59" spans="1:6">
      <c r="B59" s="254" t="s">
        <v>316</v>
      </c>
      <c r="C59" s="92">
        <f>Normalized_FCF!C93</f>
        <v>5.5536272127733433E-2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428</v>
      </c>
    </row>
    <row r="69" spans="1:6">
      <c r="B69" s="1" t="s">
        <v>289</v>
      </c>
      <c r="C69" s="263">
        <f>IF(D69="Y",1%,0)</f>
        <v>0</v>
      </c>
      <c r="D69" s="286" t="s">
        <v>428</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31.739592592287465</v>
      </c>
      <c r="D77" s="1" t="str">
        <f>Market_currency</f>
        <v>USD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19869</v>
      </c>
      <c r="D86" s="1" t="str">
        <f>Reporting_currency</f>
        <v>USD</v>
      </c>
    </row>
    <row r="87" spans="2:6">
      <c r="B87" s="47" t="s">
        <v>285</v>
      </c>
      <c r="C87" s="248">
        <f>C86*scaling_factor*Exchange_Rate/Common_Shares</f>
        <v>16.649068991502919</v>
      </c>
      <c r="D87" s="1" t="str">
        <f>Market_currency</f>
        <v>USD</v>
      </c>
    </row>
    <row r="88" spans="2:6">
      <c r="B88" s="336" t="s">
        <v>412</v>
      </c>
      <c r="C88" s="337">
        <f>BS!G30/BS!G27</f>
        <v>0.78990369994931575</v>
      </c>
    </row>
    <row r="89" spans="2:6">
      <c r="B89" s="336" t="s">
        <v>413</v>
      </c>
      <c r="C89" s="337">
        <f>BS!G31/BS!G27</f>
        <v>0.40281804358844397</v>
      </c>
    </row>
    <row r="90" spans="2:6">
      <c r="B90" s="336" t="s">
        <v>415</v>
      </c>
      <c r="C90" s="338">
        <f>BS!C50</f>
        <v>3.955391512509995</v>
      </c>
    </row>
    <row r="92" spans="2:6">
      <c r="B92" s="1" t="s">
        <v>255</v>
      </c>
    </row>
    <row r="93" spans="2:6">
      <c r="B93" s="47" t="s">
        <v>265</v>
      </c>
      <c r="C93" s="188">
        <f>BS!C66</f>
        <v>1334</v>
      </c>
      <c r="D93" s="1" t="str">
        <f>Reporting_currency</f>
        <v>USD</v>
      </c>
    </row>
    <row r="94" spans="2:6">
      <c r="B94" s="47" t="s">
        <v>267</v>
      </c>
      <c r="C94" s="188">
        <f>Valuation_Model!C8</f>
        <v>-594.28499848473007</v>
      </c>
      <c r="D94" s="1" t="str">
        <f>Reporting_currency</f>
        <v>USD</v>
      </c>
    </row>
    <row r="95" spans="2:6">
      <c r="B95" s="47" t="s">
        <v>286</v>
      </c>
      <c r="C95" s="248">
        <f>C94*scaling_factor*Exchange_Rate/Common_Shares</f>
        <v>-0.49797634205986613</v>
      </c>
      <c r="D95" s="1" t="str">
        <f>Market_currency</f>
        <v>USD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USD</v>
      </c>
    </row>
    <row r="101" spans="1:6" ht="24.4" customHeight="1">
      <c r="B101" s="342" t="s">
        <v>374</v>
      </c>
      <c r="C101" s="342"/>
      <c r="D101" s="342"/>
      <c r="E101" s="342"/>
      <c r="F101" s="342"/>
    </row>
    <row r="103" spans="1:6">
      <c r="B103" s="47" t="s">
        <v>283</v>
      </c>
      <c r="C103" s="248">
        <f>Valuation_Model!C12</f>
        <v>14.592547258724681</v>
      </c>
      <c r="D103" s="1" t="str">
        <f>Market_currency</f>
        <v>USD</v>
      </c>
    </row>
    <row r="104" spans="1:6">
      <c r="B104" s="336" t="s">
        <v>414</v>
      </c>
      <c r="C104" s="248">
        <f>BS!D47</f>
        <v>-26.938493611476797</v>
      </c>
      <c r="D104" s="1" t="str">
        <f>Market_currency</f>
        <v>USD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30</v>
      </c>
      <c r="E111" s="258" t="str">
        <f>ROUND(Valuation_Model!E74,2)&amp;" "&amp;Market_currency</f>
        <v>62.43 USD</v>
      </c>
      <c r="F111" s="259">
        <f>Valuation_Model!F74</f>
        <v>0.05</v>
      </c>
    </row>
    <row r="112" spans="1:6">
      <c r="B112" s="242" t="str">
        <f>Valuation_Model!B75</f>
        <v>Optimistic</v>
      </c>
      <c r="C112" s="243">
        <f>Valuation_Model!C75</f>
        <v>0.06</v>
      </c>
      <c r="D112" s="244">
        <f>Valuation_Model!D75</f>
        <v>30</v>
      </c>
      <c r="E112" s="245" t="str">
        <f>ROUND(Valuation_Model!E75,2)&amp;" "&amp;Market_currency</f>
        <v>43.96 USD</v>
      </c>
      <c r="F112" s="246">
        <f>Valuation_Model!F75</f>
        <v>0.22499999999999998</v>
      </c>
    </row>
    <row r="113" spans="1:6">
      <c r="B113" s="242" t="str">
        <f>Valuation_Model!B76</f>
        <v>Base</v>
      </c>
      <c r="C113" s="243">
        <f>Valuation_Model!C76</f>
        <v>0.04</v>
      </c>
      <c r="D113" s="244">
        <f>Valuation_Model!D76</f>
        <v>30</v>
      </c>
      <c r="E113" s="245" t="str">
        <f>ROUND(Valuation_Model!E76,2)&amp;" "&amp;Market_currency</f>
        <v>30.87 USD</v>
      </c>
      <c r="F113" s="246">
        <f>Valuation_Model!F76</f>
        <v>0.44999999999999996</v>
      </c>
    </row>
    <row r="114" spans="1:6">
      <c r="B114" s="242" t="str">
        <f>Valuation_Model!B77</f>
        <v>Pessimistic</v>
      </c>
      <c r="C114" s="243">
        <f>Valuation_Model!C77</f>
        <v>0.02</v>
      </c>
      <c r="D114" s="244">
        <f>Valuation_Model!D77</f>
        <v>30</v>
      </c>
      <c r="E114" s="245" t="str">
        <f>ROUND(Valuation_Model!E77,2)&amp;" "&amp;Market_currency</f>
        <v>21.47 USD</v>
      </c>
      <c r="F114" s="246">
        <f>Valuation_Model!F77</f>
        <v>0.22499999999999998</v>
      </c>
    </row>
    <row r="115" spans="1:6">
      <c r="B115" s="242" t="str">
        <f>Valuation_Model!B78</f>
        <v>Devil's advocate</v>
      </c>
      <c r="C115" s="243">
        <f>Valuation_Model!C78</f>
        <v>0</v>
      </c>
      <c r="D115" s="244">
        <f>Valuation_Model!D78</f>
        <v>30</v>
      </c>
      <c r="E115" s="245" t="str">
        <f>ROUND(Valuation_Model!E78,2)&amp;" "&amp;Market_currency</f>
        <v>14.59 USD</v>
      </c>
      <c r="F115" s="246">
        <f>Valuation_Model!F78</f>
        <v>0.05</v>
      </c>
    </row>
    <row r="117" spans="1:6">
      <c r="B117" s="235" t="s">
        <v>259</v>
      </c>
      <c r="C117" s="241">
        <f>Scenarios!C60</f>
        <v>32.464859269378167</v>
      </c>
      <c r="D117" s="236" t="str">
        <f>Market_currency</f>
        <v>USD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1.6</v>
      </c>
      <c r="D128" s="236" t="str">
        <f>Market_currency</f>
        <v>USD</v>
      </c>
    </row>
    <row r="130" spans="2:4">
      <c r="B130" s="234" t="s">
        <v>420</v>
      </c>
      <c r="C130" s="337">
        <f>C19</f>
        <v>0.3</v>
      </c>
      <c r="D130" s="1" t="s">
        <v>416</v>
      </c>
    </row>
    <row r="131" spans="2:4">
      <c r="B131" s="236" t="str">
        <f>"PV("&amp;C126&amp;" yrs of Dividends)"</f>
        <v>PV(3 yrs of Dividends)</v>
      </c>
      <c r="C131" s="240">
        <f>Scenarios!C81</f>
        <v>2.9057806099226227</v>
      </c>
    </row>
    <row r="132" spans="2:4">
      <c r="B132" s="236" t="str">
        <f>"+ PV(Equity Value realized at year "&amp;C126&amp;")"</f>
        <v>+ PV(Equity Value realized at year 3)</v>
      </c>
      <c r="C132" s="240">
        <f>Scenarios!C82</f>
        <v>14.776904537723331</v>
      </c>
    </row>
    <row r="133" spans="2:4">
      <c r="B133" s="80" t="s">
        <v>261</v>
      </c>
      <c r="C133" s="239">
        <f>Scenarios!C83</f>
        <v>17.682685147645955</v>
      </c>
      <c r="D133" s="47" t="str">
        <f>Reporting_currency</f>
        <v>USD</v>
      </c>
    </row>
    <row r="134" spans="2:4">
      <c r="B134" s="238" t="s">
        <v>263</v>
      </c>
      <c r="C134" s="92">
        <f>Scenarios!F83</f>
        <v>0.45532845219123441</v>
      </c>
    </row>
    <row r="136" spans="2:4">
      <c r="B136" s="234" t="s">
        <v>420</v>
      </c>
      <c r="C136" s="337">
        <f>Scenarios!C90</f>
        <v>0.2</v>
      </c>
      <c r="D136" s="1" t="s">
        <v>422</v>
      </c>
    </row>
    <row r="137" spans="2:4">
      <c r="B137" s="236" t="str">
        <f>"PV("&amp;C126&amp;" yrs of Dividends)"</f>
        <v>PV(3 yrs of Dividends)</v>
      </c>
      <c r="C137" s="240">
        <f>Scenarios!C91</f>
        <v>3.3703703703703702</v>
      </c>
    </row>
    <row r="138" spans="2:4">
      <c r="B138" s="236" t="str">
        <f>"+ PV(Equity Value realized at year "&amp;C126&amp;")"</f>
        <v>+ PV(Equity Value realized at year 3)</v>
      </c>
      <c r="C138" s="240">
        <f>Scenarios!C92</f>
        <v>18.787534299408662</v>
      </c>
    </row>
    <row r="139" spans="2:4">
      <c r="B139" s="80" t="s">
        <v>261</v>
      </c>
      <c r="C139" s="239">
        <f>Scenarios!C93</f>
        <v>22.157904669779033</v>
      </c>
      <c r="D139" s="47" t="str">
        <f>Reporting_currency</f>
        <v>USD</v>
      </c>
    </row>
    <row r="140" spans="2:4">
      <c r="B140" s="238" t="s">
        <v>263</v>
      </c>
      <c r="C140" s="92">
        <f>Scenarios!F93</f>
        <v>0.31748034125381119</v>
      </c>
    </row>
    <row r="142" spans="2:4">
      <c r="B142" s="234" t="s">
        <v>408</v>
      </c>
      <c r="C142" s="92">
        <f>Scenarios!C96</f>
        <v>0.08</v>
      </c>
      <c r="D142" s="1" t="s">
        <v>421</v>
      </c>
    </row>
    <row r="143" spans="2:4">
      <c r="B143" s="236" t="str">
        <f>"PV("&amp;C126&amp;" yrs of Dividends)"</f>
        <v>PV(3 yrs of Dividends)</v>
      </c>
      <c r="C143" s="240">
        <f>Scenarios!C97</f>
        <v>4.1233551795966088</v>
      </c>
    </row>
    <row r="144" spans="2:4">
      <c r="B144" s="236" t="str">
        <f>"+ PV(Equity Value realized at year "&amp;C126&amp;")"</f>
        <v>+ PV(Equity Value realized at year 3)</v>
      </c>
      <c r="C144" s="240">
        <f>Scenarios!C98</f>
        <v>25.771651988214895</v>
      </c>
    </row>
    <row r="145" spans="1:6">
      <c r="B145" s="80" t="s">
        <v>409</v>
      </c>
      <c r="C145" s="239">
        <f>Scenarios!C99</f>
        <v>29.895007167811503</v>
      </c>
      <c r="D145" s="101" t="str">
        <f>Reporting_currency</f>
        <v>USD</v>
      </c>
    </row>
    <row r="146" spans="1:6">
      <c r="B146" s="238" t="s">
        <v>263</v>
      </c>
      <c r="C146" s="92">
        <f>Scenarios!F99</f>
        <v>7.9157962159738249E-2</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379</v>
      </c>
      <c r="C22" s="181">
        <v>4184</v>
      </c>
      <c r="D22" s="181">
        <v>3976</v>
      </c>
      <c r="E22" s="181">
        <v>2469</v>
      </c>
      <c r="F22" s="181">
        <v>5364</v>
      </c>
      <c r="G22" s="181">
        <v>4929</v>
      </c>
      <c r="H22" s="181">
        <v>3552</v>
      </c>
      <c r="I22" s="181">
        <v>2574</v>
      </c>
      <c r="J22" s="181">
        <v>527</v>
      </c>
      <c r="K22" s="181">
        <v>5238</v>
      </c>
      <c r="L22" s="181">
        <v>2467</v>
      </c>
      <c r="M22" s="181"/>
    </row>
    <row r="23" spans="2:13">
      <c r="B23" s="27" t="s">
        <v>381</v>
      </c>
      <c r="C23" s="181">
        <v>-1023</v>
      </c>
      <c r="D23" s="181">
        <v>-916</v>
      </c>
      <c r="E23" s="181">
        <v>-1091</v>
      </c>
      <c r="F23" s="181">
        <v>4038</v>
      </c>
      <c r="G23" s="181">
        <v>-522</v>
      </c>
      <c r="H23" s="181">
        <v>1511</v>
      </c>
      <c r="I23" s="181">
        <v>288</v>
      </c>
      <c r="J23" s="181">
        <v>1156</v>
      </c>
      <c r="K23" s="181">
        <v>-1113</v>
      </c>
      <c r="L23" s="181">
        <v>-9704</v>
      </c>
      <c r="M23" s="181"/>
    </row>
    <row r="24" spans="2:13">
      <c r="B24" s="27" t="s">
        <v>380</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429</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-1164</v>
      </c>
      <c r="D62" s="183">
        <f t="shared" ref="D62:M62" si="30">IF(D$4="","",-D20)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401</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4">
        <v>0.6</v>
      </c>
      <c r="E4" s="25"/>
      <c r="F4" s="4" t="s">
        <v>78</v>
      </c>
      <c r="G4" s="19">
        <v>1334</v>
      </c>
      <c r="H4" s="294">
        <v>0.9</v>
      </c>
    </row>
    <row r="5" spans="2:8" ht="15" customHeight="1">
      <c r="B5" s="1" t="s">
        <v>33</v>
      </c>
      <c r="C5" s="19">
        <v>0</v>
      </c>
      <c r="D5" s="294">
        <v>0.6</v>
      </c>
      <c r="E5" s="25"/>
      <c r="F5" s="1" t="s">
        <v>29</v>
      </c>
      <c r="G5" s="19">
        <v>0</v>
      </c>
      <c r="H5" s="294">
        <v>0.7</v>
      </c>
    </row>
    <row r="6" spans="2:8" ht="15" customHeight="1">
      <c r="B6" s="4" t="s">
        <v>10</v>
      </c>
      <c r="C6" s="19">
        <v>3376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215</v>
      </c>
      <c r="D9" s="294">
        <v>0.1</v>
      </c>
      <c r="E9" s="25"/>
      <c r="F9" s="4" t="s">
        <v>181</v>
      </c>
      <c r="G9" s="19">
        <v>0</v>
      </c>
      <c r="H9" s="294">
        <v>0.6</v>
      </c>
    </row>
    <row r="10" spans="2:8" ht="15" customHeight="1">
      <c r="B10" s="4" t="s">
        <v>11</v>
      </c>
      <c r="C10" s="19">
        <v>0</v>
      </c>
      <c r="D10" s="294">
        <v>0.9</v>
      </c>
      <c r="H10" s="295"/>
    </row>
    <row r="11" spans="2:8" ht="15" customHeight="1">
      <c r="B11" s="4" t="s">
        <v>12</v>
      </c>
      <c r="C11" s="19">
        <v>583</v>
      </c>
      <c r="D11" s="294">
        <v>0.05</v>
      </c>
      <c r="H11" s="295"/>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7152</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40099</v>
      </c>
      <c r="D21" s="294">
        <v>0.05</v>
      </c>
      <c r="F21" s="1" t="s">
        <v>181</v>
      </c>
      <c r="G21" s="19">
        <v>0</v>
      </c>
      <c r="H21" s="294">
        <v>0.1</v>
      </c>
    </row>
    <row r="22" spans="2:8" ht="15" customHeight="1">
      <c r="B22" s="4" t="s">
        <v>20</v>
      </c>
      <c r="C22" s="19">
        <v>0</v>
      </c>
      <c r="D22" s="294">
        <v>0.9</v>
      </c>
      <c r="H22" s="295"/>
    </row>
    <row r="23" spans="2:8" ht="15" customHeight="1">
      <c r="B23" s="4" t="s">
        <v>21</v>
      </c>
      <c r="C23" s="19">
        <f>28673+4708</f>
        <v>33381</v>
      </c>
      <c r="D23" s="294">
        <v>0</v>
      </c>
      <c r="H23" s="295"/>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81">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49191</v>
      </c>
      <c r="D46" s="188">
        <f>H29</f>
        <v>-32148.400000000001</v>
      </c>
      <c r="F46" s="283"/>
    </row>
    <row r="47" spans="2:8" ht="15" customHeight="1">
      <c r="B47" s="1" t="str">
        <f>"Equity per share ("&amp;Market_currency&amp;")"</f>
        <v>Equity per share (USD)</v>
      </c>
      <c r="C47" s="148">
        <f>C46*H1/Common_Shares*Exchange_Rate</f>
        <v>41.219203420454988</v>
      </c>
      <c r="D47" s="148">
        <f>D46*H1/Common_Shares*Exchange_Rate</f>
        <v>-26.938493611476797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3.955391512509995</v>
      </c>
      <c r="D50" s="95">
        <f>G31/Normalized_FCF!G8</f>
        <v>3.7124439461883409</v>
      </c>
      <c r="F50" s="283"/>
    </row>
    <row r="51" spans="2:8" ht="15" customHeight="1">
      <c r="B51" s="1" t="s">
        <v>177</v>
      </c>
      <c r="C51" s="202"/>
      <c r="D51" s="92">
        <f>G29/G32</f>
        <v>0.55717149750246353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5.7769946069523057E-2</v>
      </c>
      <c r="D54" s="92">
        <f>Normalized_FCF!G8/G35</f>
        <v>6.1550492794958195E-2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0.16275167785234898</v>
      </c>
      <c r="F58" s="5"/>
    </row>
    <row r="59" spans="2:8" ht="15" customHeight="1">
      <c r="B59" s="1" t="s">
        <v>93</v>
      </c>
      <c r="C59" s="98"/>
      <c r="D59" s="92">
        <f>G39/G32</f>
        <v>8.1008529002004823E-2</v>
      </c>
      <c r="F59" s="283"/>
    </row>
    <row r="60" spans="2:8" ht="15" customHeight="1">
      <c r="F60" s="283"/>
    </row>
    <row r="61" spans="2:8" ht="15" customHeight="1">
      <c r="B61" s="158" t="s">
        <v>275</v>
      </c>
      <c r="C61" s="262" t="s">
        <v>138</v>
      </c>
      <c r="D61" s="218" t="s">
        <v>96</v>
      </c>
      <c r="F61" s="283"/>
    </row>
    <row r="62" spans="2:8" ht="15" customHeight="1">
      <c r="B62" s="1" t="s">
        <v>246</v>
      </c>
      <c r="C62" s="92">
        <f>IF(G28&lt;=0,0,G28/G29)</f>
        <v>2.7240755422739934E-3</v>
      </c>
      <c r="D62" s="92">
        <f>G28/G29</f>
        <v>2.7240755422739934E-3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1334</v>
      </c>
      <c r="D66" s="188">
        <f>C66-D75</f>
        <v>-594.28499848473007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1334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-1866.9533418666667</v>
      </c>
      <c r="D73" s="188">
        <f>(Normalized_FCF!C25+Normalized_FCF!C35-Normalized_FCF!C91)/12</f>
        <v>-1928.2849984847301</v>
      </c>
      <c r="F73" s="1" t="s">
        <v>359</v>
      </c>
    </row>
    <row r="74" spans="2:6" ht="15" customHeight="1">
      <c r="B74" s="288" t="s">
        <v>329</v>
      </c>
      <c r="C74" s="289">
        <f>-$C$66/C73</f>
        <v>0.71453312200411223</v>
      </c>
      <c r="D74" s="289">
        <f>-$C$66/D73</f>
        <v>0.69180645031635546</v>
      </c>
      <c r="F74" s="283" t="s">
        <v>327</v>
      </c>
    </row>
    <row r="75" spans="2:6" ht="15" customHeight="1">
      <c r="B75" s="80" t="s">
        <v>328</v>
      </c>
      <c r="C75" s="293"/>
      <c r="D75" s="292">
        <f>MAX(-D73*D76,G5)</f>
        <v>1928.2849984847301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-19869</v>
      </c>
      <c r="D86" s="248">
        <f>C86*scaling_factor/Common_Shares</f>
        <v>-16.649068991502919</v>
      </c>
      <c r="E86" s="269" t="str">
        <f>Market_currency</f>
        <v>USD</v>
      </c>
    </row>
    <row r="87" spans="2:8" ht="15" customHeight="1">
      <c r="B87" s="267" t="s">
        <v>294</v>
      </c>
      <c r="C87" s="188">
        <f>Valuation_Model!C8*Exchange_Rate</f>
        <v>-594.28499848473007</v>
      </c>
      <c r="D87" s="248">
        <f>C87*scaling_factor/Common_Shares</f>
        <v>-0.49797634205986613</v>
      </c>
      <c r="E87" s="269" t="str">
        <f>Market_currency</f>
        <v>USD</v>
      </c>
    </row>
    <row r="88" spans="2:8" ht="15" customHeight="1">
      <c r="B88" s="268" t="s">
        <v>190</v>
      </c>
      <c r="C88" s="188">
        <f>Valuation_Model!C9*Exchange_Rate</f>
        <v>0</v>
      </c>
      <c r="D88" s="248">
        <f>C88*scaling_factor/Common_Shares</f>
        <v>0</v>
      </c>
      <c r="E88" s="269" t="str">
        <f>Market_currency</f>
        <v>USD</v>
      </c>
    </row>
    <row r="89" spans="2:8" ht="15" customHeight="1">
      <c r="B89" s="80" t="s">
        <v>298</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0.6694782504801029</v>
      </c>
      <c r="D28" s="26"/>
      <c r="E28" s="300" t="s">
        <v>341</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-3654</v>
      </c>
      <c r="E33" s="300" t="s">
        <v>341</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0.26</v>
      </c>
      <c r="D43" s="27"/>
      <c r="E43" s="299" t="s">
        <v>342</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9" t="s">
        <v>344</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300" t="s">
        <v>431</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302"/>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302"/>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5.5536272127733433E-2</v>
      </c>
      <c r="E93" s="302"/>
      <c r="G93" s="23">
        <f t="shared" ref="G93:Q93" si="39">IF(G$4="","",G90/Market_Price)</f>
        <v>5.5536272127733433E-2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c r="A114" s="10"/>
      <c r="B114" s="2" t="s">
        <v>400</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8.8134932571433455E-2</v>
      </c>
      <c r="D125" s="27"/>
      <c r="E125" s="299"/>
      <c r="F125" s="27"/>
      <c r="G125" s="77">
        <f t="shared" ref="G125" si="50">IF(G$4="","",G124/Market_Price)</f>
        <v>7.4108855891108355E-2</v>
      </c>
      <c r="H125" s="77">
        <f t="shared" ref="H125" si="51">IF(H$4="","",H124/Market_Price)</f>
        <v>6.8960791725988194E-2</v>
      </c>
      <c r="I125" s="77">
        <f t="shared" ref="I125" si="52">IF(I$4="","",I124/Market_Price)</f>
        <v>3.1906363780434009E-2</v>
      </c>
      <c r="J125" s="77">
        <f t="shared" ref="J125" si="53">IF(J$4="","",J124/Market_Price)</f>
        <v>-5.7879365472254954E-3</v>
      </c>
      <c r="K125" s="77">
        <f t="shared" ref="K125" si="54">IF(K$4="","",K124/Market_Price)</f>
        <v>-2.4576916494500219E-2</v>
      </c>
      <c r="L125" s="77">
        <f t="shared" ref="L125" si="55">IF(L$4="","",L124/Market_Price)</f>
        <v>2.8532491220242266E-2</v>
      </c>
      <c r="M125" s="77">
        <f t="shared" ref="M125" si="56">IF(M$4="","",M124/Market_Price)</f>
        <v>-0.30356127509242459</v>
      </c>
      <c r="N125" s="77">
        <f t="shared" ref="N125" si="57">IF(N$4="","",N124/Market_Price)</f>
        <v>0.31990710594438809</v>
      </c>
      <c r="O125" s="77">
        <f t="shared" ref="O125" si="58">IF(O$4="","",O124/Market_Price)</f>
        <v>0.10520083663977195</v>
      </c>
      <c r="P125" s="77">
        <f t="shared" ref="P125" si="59">IF(P$4="","",P124/Market_Price)</f>
        <v>2.7310916672586633E-2</v>
      </c>
      <c r="Q125" s="77" t="str">
        <f t="shared" ref="Q125" si="60">IF(Q$4="","",Q124/Market_Price)</f>
        <v/>
      </c>
    </row>
    <row r="126" spans="1:17" ht="15.75" customHeight="1">
      <c r="B126" s="2" t="s">
        <v>402</v>
      </c>
      <c r="C126" s="170"/>
      <c r="G126" s="23">
        <f>IF(G$4="","",(Data!C47*$C$3)/(Market_Price*Common_Shares))</f>
        <v>7.9867707330056339E-2</v>
      </c>
      <c r="H126" s="23">
        <f>IF(H$4="","",(Data!D47*$C$3)/(Market_Price*Common_Shares))</f>
        <v>8.2776218157807849E-2</v>
      </c>
      <c r="I126" s="23">
        <f>IF(I$4="","",(Data!E47*$C$3)/(Market_Price*Common_Shares))</f>
        <v>6.8873536401155649E-2</v>
      </c>
      <c r="J126" s="23">
        <f>IF(J$4="","",(Data!F47*$C$3)/(Market_Price*Common_Shares))</f>
        <v>2.9783150876175415E-2</v>
      </c>
      <c r="K126" s="23">
        <f>IF(K$4="","",(Data!G47*$C$3)/(Market_Price*Common_Shares))</f>
        <v>1.0499724088182935E-2</v>
      </c>
      <c r="L126" s="23">
        <f>IF(L$4="","",(Data!H47*$C$3)/(Market_Price*Common_Shares))</f>
        <v>5.6221514300436599E-2</v>
      </c>
      <c r="M126" s="23">
        <f>IF(M$4="","",(Data!I47*$C$3)/(Market_Price*Common_Shares))</f>
        <v>-0.29823870027763938</v>
      </c>
      <c r="N126" s="23">
        <f>IF(N$4="","",(Data!J47*$C$3)/(Market_Price*Common_Shares))</f>
        <v>0.31964533996989042</v>
      </c>
      <c r="O126" s="23">
        <f>IF(O$4="","",(Data!K47*$C$3)/(Market_Price*Common_Shares))</f>
        <v>0.10592796434670983</v>
      </c>
      <c r="P126" s="23">
        <f>IF(P$4="","",(Data!L47*$C$3)/(Market_Price*Common_Shares))</f>
        <v>1.8818065055552238E-2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37878.03183096979</v>
      </c>
      <c r="D6" t="str">
        <f>Reporting_currency</f>
        <v>USD</v>
      </c>
      <c r="E6" s="348" t="s">
        <v>250</v>
      </c>
      <c r="F6" s="348"/>
      <c r="H6" s="121"/>
    </row>
    <row r="7" spans="2:8">
      <c r="B7" s="149" t="s">
        <v>225</v>
      </c>
      <c r="C7" s="226">
        <f>BS!G31</f>
        <v>19869</v>
      </c>
      <c r="D7" t="str">
        <f>Reporting_currency</f>
        <v>USD</v>
      </c>
      <c r="E7" s="348"/>
      <c r="F7" s="348"/>
      <c r="H7" s="121"/>
    </row>
    <row r="8" spans="2:8">
      <c r="B8" s="149" t="s">
        <v>226</v>
      </c>
      <c r="C8" s="201">
        <f>BS!D66</f>
        <v>-594.28499848473007</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17414.74683248506</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4.2826760003620602E-2</v>
      </c>
      <c r="H16" s="121"/>
    </row>
    <row r="17" spans="2:8" ht="13.25" customHeight="1">
      <c r="B17" s="119" t="s">
        <v>135</v>
      </c>
      <c r="C17" s="163">
        <f>Scenarios!C64</f>
        <v>30</v>
      </c>
      <c r="H17" s="121"/>
    </row>
    <row r="18" spans="2:8" ht="13.2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-28.81</v>
      </c>
    </row>
    <row r="4" spans="2:9">
      <c r="B4" s="153" t="s">
        <v>147</v>
      </c>
      <c r="C4" s="121">
        <v>3</v>
      </c>
      <c r="D4" s="121"/>
      <c r="E4" s="156" t="s">
        <v>151</v>
      </c>
      <c r="F4" s="156"/>
      <c r="H4" s="276">
        <v>1</v>
      </c>
      <c r="I4" s="264">
        <f t="shared" ref="I4:I13" si="0">IF(ROW()-3 &lt; $C$76, $C$77, IF(ROW()-3 = $C$76, $C$77 + $C$60, ""))</f>
        <v>1.6</v>
      </c>
    </row>
    <row r="5" spans="2:9">
      <c r="H5" s="276">
        <v>2</v>
      </c>
      <c r="I5" s="264">
        <f t="shared" si="0"/>
        <v>1.6</v>
      </c>
    </row>
    <row r="6" spans="2:9" ht="13.15">
      <c r="B6" s="160" t="s">
        <v>96</v>
      </c>
      <c r="C6" s="107">
        <f>Valuation_Model!C3</f>
        <v>1000000</v>
      </c>
      <c r="E6" s="100" t="s">
        <v>282</v>
      </c>
      <c r="F6" s="100"/>
      <c r="H6" s="276">
        <v>3</v>
      </c>
      <c r="I6" s="264">
        <f t="shared" si="0"/>
        <v>34.064859269378168</v>
      </c>
    </row>
    <row r="7" spans="2:9" ht="12.75" customHeight="1">
      <c r="B7" s="100" t="s">
        <v>276</v>
      </c>
      <c r="C7" s="115">
        <f>Normalized_FCF!G8</f>
        <v>5352</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50"/>
      <c r="H7" s="276">
        <v>4</v>
      </c>
      <c r="I7" s="264" t="str">
        <f t="shared" si="0"/>
        <v/>
      </c>
    </row>
    <row r="8" spans="2:9">
      <c r="B8" s="100" t="s">
        <v>66</v>
      </c>
      <c r="C8" s="115">
        <f>Normalized_FCF!G19</f>
        <v>2548</v>
      </c>
      <c r="D8" t="str">
        <f>Reporting_currency</f>
        <v>USD</v>
      </c>
      <c r="E8" s="350"/>
      <c r="F8" s="350"/>
      <c r="H8" s="276">
        <v>5</v>
      </c>
      <c r="I8" s="264" t="str">
        <f t="shared" si="0"/>
        <v/>
      </c>
    </row>
    <row r="9" spans="2:9">
      <c r="B9" s="100" t="s">
        <v>57</v>
      </c>
      <c r="C9" s="201">
        <f>Normalized_FCF!C19</f>
        <v>3030.2425464775833</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-2.5150882534886732E-3</v>
      </c>
      <c r="D12" s="159"/>
      <c r="E12" s="350"/>
      <c r="F12" s="350"/>
      <c r="H12" s="276">
        <v>9</v>
      </c>
      <c r="I12" s="264" t="str">
        <f t="shared" si="0"/>
        <v/>
      </c>
    </row>
    <row r="13" spans="2:9">
      <c r="B13" s="149" t="s">
        <v>153</v>
      </c>
      <c r="C13" s="159">
        <f ca="1">(Normalized_FCF!G8/OFFSET(Normalized_FCF!G8, 0, $C$4))^(1/$C$4) - 1</f>
        <v>0.15650274695607269</v>
      </c>
      <c r="E13" s="350"/>
      <c r="F13" s="350"/>
      <c r="H13" s="276">
        <v>10</v>
      </c>
      <c r="I13" s="264" t="str">
        <f t="shared" si="0"/>
        <v/>
      </c>
    </row>
    <row r="14" spans="2:9">
      <c r="B14" s="100" t="s">
        <v>66</v>
      </c>
      <c r="C14" s="159">
        <f ca="1">(Normalized_FCF!G19/OFFSET(Normalized_FCF!G19, 0, $C$4))^(1/$C$4) - 1</f>
        <v>-3.3394590575448202</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28.81</v>
      </c>
      <c r="D21" t="str">
        <f>Market_currency</f>
        <v>USD</v>
      </c>
      <c r="E21" s="351"/>
      <c r="F21" s="351"/>
    </row>
    <row r="22" spans="2:6">
      <c r="B22" s="100" t="s">
        <v>281</v>
      </c>
      <c r="C22" s="161">
        <f>Valuation_Model!C12</f>
        <v>14.592547258724681</v>
      </c>
      <c r="D22" t="str">
        <f>Market_currency</f>
        <v>USD</v>
      </c>
      <c r="E22" s="351"/>
      <c r="F22" s="351"/>
    </row>
    <row r="24" spans="2:6" ht="13.15">
      <c r="B24" s="160" t="s">
        <v>116</v>
      </c>
      <c r="E24" s="160" t="s">
        <v>150</v>
      </c>
      <c r="F24" s="160"/>
    </row>
    <row r="25" spans="2:6">
      <c r="B25" s="153" t="s">
        <v>134</v>
      </c>
      <c r="C25" s="167">
        <f>C18</f>
        <v>30</v>
      </c>
      <c r="D25" s="164"/>
      <c r="E25" s="349"/>
      <c r="F25" s="349"/>
    </row>
    <row r="26" spans="2:6">
      <c r="B26" s="119" t="s">
        <v>135</v>
      </c>
      <c r="C26" s="165">
        <v>0.04</v>
      </c>
      <c r="D26" s="165"/>
      <c r="E26" s="349"/>
      <c r="F26" s="349"/>
    </row>
    <row r="27" spans="2:6">
      <c r="B27" s="100" t="s">
        <v>114</v>
      </c>
      <c r="C27" s="161">
        <f>Valuation_Model!E76</f>
        <v>30.872623002991254</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0.02</v>
      </c>
      <c r="D32" s="165"/>
      <c r="E32" s="349"/>
      <c r="F32" s="349"/>
    </row>
    <row r="33" spans="2:6">
      <c r="B33" s="100" t="s">
        <v>114</v>
      </c>
      <c r="C33" s="161">
        <f>Valuation_Model!E77</f>
        <v>21.465870772746047</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0.06</v>
      </c>
      <c r="D38" s="165"/>
      <c r="E38" s="349"/>
      <c r="F38" s="349"/>
    </row>
    <row r="39" spans="2:6">
      <c r="B39" s="100" t="s">
        <v>114</v>
      </c>
      <c r="C39" s="161">
        <f>Valuation_Model!E75</f>
        <v>43.960023112166873</v>
      </c>
      <c r="D39" t="str">
        <f>Market_currency</f>
        <v>USD</v>
      </c>
      <c r="E39" s="349"/>
      <c r="F39" s="349"/>
    </row>
    <row r="40" spans="2:6">
      <c r="B40" s="100" t="s">
        <v>148</v>
      </c>
      <c r="C40" s="168">
        <f>1-C28-C34</f>
        <v>0.25</v>
      </c>
      <c r="D40" s="166"/>
      <c r="E40" s="349"/>
      <c r="F40" s="349"/>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14.592547258724657</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0.08</v>
      </c>
      <c r="D56" s="165"/>
      <c r="E56" s="349"/>
      <c r="F56" s="349"/>
    </row>
    <row r="57" spans="2:6">
      <c r="B57" s="100" t="s">
        <v>114</v>
      </c>
      <c r="C57" s="161">
        <f>Valuation_Model!E74</f>
        <v>62.434508619809236</v>
      </c>
      <c r="D57" t="str">
        <f>Market_currency</f>
        <v>USD</v>
      </c>
      <c r="E57" s="349"/>
      <c r="F57" s="349"/>
    </row>
    <row r="58" spans="2:6">
      <c r="B58" s="100" t="s">
        <v>148</v>
      </c>
      <c r="C58" s="166">
        <v>0.05</v>
      </c>
      <c r="D58" s="166"/>
      <c r="E58" s="349"/>
      <c r="F58" s="349"/>
    </row>
    <row r="60" spans="2:6" ht="13.15">
      <c r="B60" s="100" t="s">
        <v>121</v>
      </c>
      <c r="C60" s="155">
        <f>C51*C52+C57*C58+C42*(1-C52-C58)</f>
        <v>32.464859269378167</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4.2826760003620602E-2</v>
      </c>
      <c r="D65" s="152"/>
      <c r="E65" s="281" t="s">
        <v>320</v>
      </c>
    </row>
    <row r="66" spans="2:6">
      <c r="B66" s="100" t="s">
        <v>103</v>
      </c>
      <c r="C66" s="161">
        <f>Valuation_Model!C18</f>
        <v>32.46666798264237</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-0.52817248309270792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1.6</v>
      </c>
      <c r="D77" t="str">
        <f>Market_currency</f>
        <v>USD</v>
      </c>
    </row>
    <row r="79" spans="2:6" ht="13.15">
      <c r="B79" s="109" t="s">
        <v>308</v>
      </c>
    </row>
    <row r="80" spans="2:6">
      <c r="B80" s="149" t="s">
        <v>306</v>
      </c>
      <c r="C80" s="168">
        <f>Thesis!C127</f>
        <v>0.3</v>
      </c>
    </row>
    <row r="81" spans="2:8">
      <c r="B81" s="100" t="s">
        <v>122</v>
      </c>
      <c r="C81" s="117">
        <f>PV(C80, C76, -C77, 0)</f>
        <v>2.9057806099226227</v>
      </c>
      <c r="D81" s="117"/>
      <c r="E81" s="100"/>
      <c r="F81" s="100"/>
    </row>
    <row r="82" spans="2:8">
      <c r="B82" s="100" t="s">
        <v>123</v>
      </c>
      <c r="C82" s="117">
        <f>C60/(1+C80)^C76</f>
        <v>14.776904537723331</v>
      </c>
      <c r="D82" s="117"/>
    </row>
    <row r="83" spans="2:8" ht="13.15">
      <c r="B83" s="111" t="s">
        <v>102</v>
      </c>
      <c r="C83" s="112">
        <f>C81+C82</f>
        <v>17.682685147645955</v>
      </c>
      <c r="D83" t="str">
        <f>Market_currency</f>
        <v>USD</v>
      </c>
      <c r="E83" s="147" t="s">
        <v>127</v>
      </c>
      <c r="F83" s="329">
        <f>(1-C83/C60)</f>
        <v>0.45532845219123441</v>
      </c>
    </row>
    <row r="84" spans="2:8">
      <c r="E84" s="121"/>
    </row>
    <row r="85" spans="2:8" ht="13.15">
      <c r="B85" s="109" t="s">
        <v>309</v>
      </c>
    </row>
    <row r="86" spans="2:8">
      <c r="B86" s="149" t="s">
        <v>307</v>
      </c>
      <c r="C86" s="266">
        <f>Market_Price</f>
        <v>28.81</v>
      </c>
      <c r="D86" t="str">
        <f>Market_currency</f>
        <v>USD</v>
      </c>
    </row>
    <row r="87" spans="2:8" ht="13.15">
      <c r="B87" s="100" t="s">
        <v>305</v>
      </c>
      <c r="C87" s="265">
        <f ca="1">IRR(OFFSET($I$3, 0, 0, $C$76 + 1, 1))</f>
        <v>9.408289080523935E-2</v>
      </c>
    </row>
    <row r="88" spans="2:8">
      <c r="B88" s="100"/>
    </row>
    <row r="89" spans="2:8" ht="13.15">
      <c r="B89" s="109" t="s">
        <v>418</v>
      </c>
    </row>
    <row r="90" spans="2:8">
      <c r="B90" s="149" t="s">
        <v>419</v>
      </c>
      <c r="C90" s="168">
        <f>Thesis!E19</f>
        <v>0.2</v>
      </c>
    </row>
    <row r="91" spans="2:8">
      <c r="B91" s="100" t="s">
        <v>122</v>
      </c>
      <c r="C91" s="117">
        <f>PV(C90, C76, -C77, 0)</f>
        <v>3.3703703703703702</v>
      </c>
      <c r="D91" s="117"/>
      <c r="E91" s="100"/>
      <c r="F91" s="100"/>
    </row>
    <row r="92" spans="2:8">
      <c r="B92" s="100" t="s">
        <v>123</v>
      </c>
      <c r="C92" s="117">
        <f>C60/(1+C90)^C76</f>
        <v>18.787534299408662</v>
      </c>
      <c r="D92" s="117"/>
    </row>
    <row r="93" spans="2:8" ht="13.15">
      <c r="B93" s="111" t="s">
        <v>102</v>
      </c>
      <c r="C93" s="112">
        <f>C91+C92</f>
        <v>22.157904669779033</v>
      </c>
      <c r="D93" t="str">
        <f>Market_currency</f>
        <v>USD</v>
      </c>
      <c r="E93" s="147" t="s">
        <v>127</v>
      </c>
      <c r="F93" s="329">
        <f>(1-C93/C60)</f>
        <v>0.31748034125381119</v>
      </c>
    </row>
    <row r="95" spans="2:8" ht="13.15">
      <c r="B95" s="109" t="s">
        <v>405</v>
      </c>
      <c r="G95" s="2"/>
      <c r="H95" s="316"/>
    </row>
    <row r="96" spans="2:8">
      <c r="B96" s="149" t="s">
        <v>411</v>
      </c>
      <c r="C96" s="135">
        <f>Thesis!C67</f>
        <v>0.08</v>
      </c>
      <c r="G96" s="2"/>
      <c r="H96" s="316"/>
    </row>
    <row r="97" spans="2:8">
      <c r="B97" s="100" t="s">
        <v>122</v>
      </c>
      <c r="C97" s="117">
        <f>PV(C96, C76, -C77, 0)</f>
        <v>4.1233551795966088</v>
      </c>
      <c r="D97" s="117"/>
      <c r="G97" s="2"/>
      <c r="H97" s="316"/>
    </row>
    <row r="98" spans="2:8">
      <c r="B98" s="100" t="s">
        <v>123</v>
      </c>
      <c r="C98" s="117">
        <f>C60/(1+C96)^C76</f>
        <v>25.771651988214895</v>
      </c>
      <c r="D98" s="117"/>
      <c r="G98" s="2"/>
      <c r="H98" s="316"/>
    </row>
    <row r="99" spans="2:8" ht="13.15">
      <c r="B99" s="111" t="s">
        <v>406</v>
      </c>
      <c r="C99" s="112">
        <f>C97+C98</f>
        <v>29.895007167811503</v>
      </c>
      <c r="D99" t="s">
        <v>404</v>
      </c>
      <c r="E99" s="147" t="s">
        <v>127</v>
      </c>
      <c r="F99" s="329">
        <f>(1-C99/C60)</f>
        <v>7.9157962159738249E-2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2025-05-02T07:42:38Z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