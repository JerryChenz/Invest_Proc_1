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3AE32C-E8DC-4035-ADD3-FA01BEA4099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<sst xmlns="http://schemas.openxmlformats.org/spreadsheetml/2006/main" count="685" uniqueCount="465">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</sst>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26.3</v>
      </c>
      <c r="D12" s="50"/>
      <c r="E12" s="48"/>
    </row>
    <row r="13" spans="1:10">
      <c r="B13" s="1" t="s">
        <v>415</v>
      </c>
      <c r="C13" s="48" t="s">
        <v>459</v>
      </c>
      <c r="D13" s="48"/>
      <c r="E13" s="5"/>
    </row>
    <row r="14" spans="1:10">
      <c r="B14" s="4" t="s">
        <v>419</v>
      </c>
      <c r="C14" s="35">
        <f>Thesis!C12*Common_Shares/1000000</f>
        <v>31386.421683200002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0.1668198949902282</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6"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9.6546289254106368E-2</v>
      </c>
      <c r="F69" s="314"/>
    </row>
    <row r="70" spans="1:6">
      <c r="B70" s="227" t="s">
        <v>308</v>
      </c>
      <c r="C70" s="92">
        <f>Normalized_FCF!C93</f>
        <v>6.0836501901140684E-2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6"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6.0836501901140684E-2</v>
      </c>
      <c r="E93" s="268"/>
      <c r="G93" s="23">
        <f t="shared" ref="G93:Q93" si="39">IF(G$4="","",G90/Market_Price)</f>
        <v>6.0836501901140684E-2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9.6546289254106368E-2</v>
      </c>
      <c r="D125" s="27"/>
      <c r="E125" s="265"/>
      <c r="F125" s="27"/>
      <c r="G125" s="77">
        <f t="shared" ref="G125" si="50">IF(G$4="","",G124/Market_Price)</f>
        <v>8.1181602213795875E-2</v>
      </c>
      <c r="H125" s="77">
        <f t="shared" ref="H125" si="51">IF(H$4="","",H124/Market_Price)</f>
        <v>7.5542220898316331E-2</v>
      </c>
      <c r="I125" s="77">
        <f t="shared" ref="I125" si="52">IF(I$4="","",I124/Market_Price)</f>
        <v>3.4951419791418394E-2</v>
      </c>
      <c r="J125" s="77">
        <f t="shared" ref="J125" si="53">IF(J$4="","",J124/Market_Price)</f>
        <v>-6.3403213659911214E-3</v>
      </c>
      <c r="K125" s="77">
        <f t="shared" ref="K125" si="54">IF(K$4="","",K124/Market_Price)</f>
        <v>-2.6922470121922101E-2</v>
      </c>
      <c r="L125" s="77">
        <f t="shared" ref="L125" si="55">IF(L$4="","",L124/Market_Price)</f>
        <v>3.1255554070539149E-2</v>
      </c>
      <c r="M125" s="77">
        <f t="shared" ref="M125" si="56">IF(M$4="","",M124/Market_Price)</f>
        <v>-0.33253233214497152</v>
      </c>
      <c r="N125" s="77">
        <f t="shared" ref="N125" si="57">IF(N$4="","",N124/Market_Price)</f>
        <v>0.35043816434440378</v>
      </c>
      <c r="O125" s="77">
        <f t="shared" ref="O125" si="58">IF(O$4="","",O124/Market_Price)</f>
        <v>0.11524091648638135</v>
      </c>
      <c r="P125" s="77">
        <f t="shared" ref="P125" si="59">IF(P$4="","",P124/Market_Price)</f>
        <v>2.9917395792289768E-2</v>
      </c>
      <c r="Q125" s="77" t="str">
        <f t="shared" ref="Q125" si="60">IF(Q$4="","",Q124/Market_Price)</f>
        <v/>
      </c>
    </row>
    <row r="126" spans="1:17" ht="15.75" customHeight="1">
      <c r="B126" s="2" t="s">
        <v>394</v>
      </c>
      <c r="C126" s="169"/>
      <c r="G126" s="23">
        <f>IF(G$4="","",(Data!C47*$C$3)/(Market_Price*Common_Shares))</f>
        <v>8.7490062668400106E-2</v>
      </c>
      <c r="H126" s="23">
        <f>IF(H$4="","",(Data!D47*$C$3)/(Market_Price*Common_Shares))</f>
        <v>9.0676153807089113E-2</v>
      </c>
      <c r="I126" s="23">
        <f>IF(I$4="","",(Data!E47*$C$3)/(Market_Price*Common_Shares))</f>
        <v>7.5446638164155658E-2</v>
      </c>
      <c r="J126" s="23">
        <f>IF(J$4="","",(Data!F47*$C$3)/(Market_Price*Common_Shares))</f>
        <v>3.2625573260175421E-2</v>
      </c>
      <c r="K126" s="23">
        <f>IF(K$4="","",(Data!G47*$C$3)/(Market_Price*Common_Shares))</f>
        <v>1.1501789010667313E-2</v>
      </c>
      <c r="L126" s="23">
        <f>IF(L$4="","",(Data!H47*$C$3)/(Market_Price*Common_Shares))</f>
        <v>6.1587141710858488E-2</v>
      </c>
      <c r="M126" s="23">
        <f>IF(M$4="","",(Data!I47*$C$3)/(Market_Price*Common_Shares))</f>
        <v>-0.32670178536117067</v>
      </c>
      <c r="N126" s="23">
        <f>IF(N$4="","",(Data!J47*$C$3)/(Market_Price*Common_Shares))</f>
        <v>0.35015141614192175</v>
      </c>
      <c r="O126" s="23">
        <f>IF(O$4="","",(Data!K47*$C$3)/(Market_Price*Common_Shares))</f>
        <v>0.1160374392710536</v>
      </c>
      <c r="P126" s="23">
        <f>IF(P$4="","",(Data!L47*$C$3)/(Market_Price*Common_Shares))</f>
        <v>2.061400966731787E-2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4.2826760003620602E-2</v>
      </c>
      <c r="H16" s="120"/>
    </row>
    <row r="17" spans="2:17" ht="13.35" customHeight="1">
      <c r="B17" s="118" t="s">
        <v>134</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4.2826760003620602E-2</v>
      </c>
      <c r="H11" s="120"/>
    </row>
    <row r="12" spans="2:8" ht="13.35" customHeight="1">
      <c r="B12" s="118" t="s">
        <v>134</v>
      </c>
      <c r="C12" s="162">
        <f>Scenarios!C64</f>
        <v>30</v>
      </c>
      <c r="H12" s="120"/>
    </row>
    <row r="13" spans="2:8" ht="13.3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-26.3</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26.3</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26.3</v>
      </c>
      <c r="D86" t="str">
        <f>Market_currency</f>
        <v>USD</v>
      </c>
    </row>
    <row r="87" spans="2:8" ht="13.15">
      <c r="B87" s="100" t="s">
        <v>298</v>
      </c>
      <c r="C87" s="237">
        <f ca="1">IRR(OFFSET($I$3, 0, 0, $C$76 + 1, 1))</f>
        <v>0.1668198949902282</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