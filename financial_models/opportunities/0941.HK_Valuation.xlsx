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C5A974-B6A9-440A-8400-B6643FF0FD42}"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G7" i="3"/>
  <c r="C11" i="3"/>
  <c r="C9" i="3"/>
  <c r="C4" i="3"/>
  <c r="C23" i="3"/>
  <c r="C19" i="3"/>
  <c r="G17" i="3"/>
  <c r="F25" i="4"/>
  <c r="E25" i="4"/>
  <c r="D25" i="4"/>
  <c r="C25" i="4"/>
  <c r="D6" i="4"/>
  <c r="C6" i="4"/>
  <c r="D7" i="4"/>
  <c r="C7" i="4"/>
  <c r="D5" i="4"/>
  <c r="C5" i="4"/>
  <c r="C9" i="6" l="1"/>
  <c r="E83" i="2" l="1"/>
  <c r="E84" i="2"/>
  <c r="C41"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<sst xmlns="http://schemas.openxmlformats.org/spreadsheetml/2006/main" count="768" uniqueCount="558">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</sst>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3" sqref="B33:F3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81.2</v>
      </c>
      <c r="E8" s="32"/>
    </row>
    <row r="9" spans="1:9">
      <c r="B9" s="4" t="s">
        <v>346</v>
      </c>
      <c r="C9" s="48">
        <f>20741838745+902767867</f>
        <v>21644606612</v>
      </c>
    </row>
    <row r="10" spans="1:9">
      <c r="B10" s="4" t="s">
        <v>352</v>
      </c>
      <c r="C10" s="33">
        <f>Thesis!C8*Common_Shares/1000000</f>
        <v>1757542.0568944002</v>
      </c>
      <c r="D10" s="1" t="s">
        <v>528</v>
      </c>
      <c r="E10" s="303">
        <f>Scenarios!F34</f>
        <v>0.19755880386409505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120.97362534323128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65.062158966285907</v>
      </c>
      <c r="D22" s="38" t="s">
        <v>406</v>
      </c>
      <c r="E22" s="79">
        <v>0.29465259038036601</v>
      </c>
    </row>
    <row r="23" spans="1:6">
      <c r="B23" s="1" t="s">
        <v>313</v>
      </c>
      <c r="C23" s="256">
        <f>E141</f>
        <v>80.585842383718784</v>
      </c>
      <c r="D23" s="38" t="s">
        <v>407</v>
      </c>
      <c r="E23" s="443">
        <v>0.20075184365903001</v>
      </c>
    </row>
    <row r="24" spans="1:6">
      <c r="B24" s="1" t="s">
        <v>315</v>
      </c>
      <c r="C24" s="256">
        <f>E144</f>
        <v>98.989253156467655</v>
      </c>
      <c r="D24" s="38" t="s">
        <v>408</v>
      </c>
      <c r="E24" s="443">
        <v>0.1174</v>
      </c>
    </row>
    <row r="25" spans="1:6">
      <c r="B25" s="1" t="s">
        <v>314</v>
      </c>
      <c r="C25" s="256">
        <f>E145</f>
        <v>111.35854885541431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160987.97999999998</v>
      </c>
      <c r="D34" s="1" t="str">
        <f>Reporting_currency</f>
        <v>HKD</v>
      </c>
    </row>
    <row r="35" spans="2:6">
      <c r="B35" s="44"/>
      <c r="C35" s="73"/>
    </row>
    <row r="36" spans="2:6" ht="24.5" customHeight="1">
      <c r="B36" s="463" t="s">
        <v>198</v>
      </c>
      <c r="C36" s="463"/>
      <c r="D36" s="463"/>
      <c r="E36" s="463"/>
      <c r="F36" s="463"/>
    </row>
    <row r="37" spans="2:6">
      <c r="B37" s="44" t="s">
        <v>199</v>
      </c>
      <c r="C37" s="285">
        <f>Normalized_FCF!C15</f>
        <v>191101</v>
      </c>
      <c r="D37" s="1" t="str">
        <f>Reporting_currency</f>
        <v>HKD</v>
      </c>
    </row>
    <row r="38" spans="2:6">
      <c r="B38" s="49" t="s">
        <v>200</v>
      </c>
      <c r="C38" s="285">
        <f>Normalized_FCF!C16</f>
        <v>-202343.60953731713</v>
      </c>
      <c r="D38" s="1" t="str">
        <f>Reporting_currency</f>
        <v>HKD</v>
      </c>
    </row>
    <row r="40" spans="2:6">
      <c r="B40" s="463" t="s">
        <v>201</v>
      </c>
      <c r="C40" s="463"/>
      <c r="D40" s="463"/>
      <c r="E40" s="463"/>
      <c r="F40" s="463"/>
    </row>
    <row r="41" spans="2:6">
      <c r="B41" s="44" t="s">
        <v>202</v>
      </c>
      <c r="C41" s="285">
        <f>Normalized_FCF!C9</f>
        <v>11097</v>
      </c>
      <c r="D41" s="1" t="str">
        <f>Reporting_currency</f>
        <v>HKD</v>
      </c>
    </row>
    <row r="43" spans="2:6">
      <c r="B43" s="463" t="s">
        <v>205</v>
      </c>
      <c r="C43" s="463"/>
      <c r="D43" s="463"/>
      <c r="E43" s="463"/>
      <c r="F43" s="463"/>
    </row>
    <row r="44" spans="2:6">
      <c r="B44" s="44" t="s">
        <v>267</v>
      </c>
      <c r="C44" s="286">
        <f>Normalized_FCF!C46</f>
        <v>989.94206765508</v>
      </c>
      <c r="D44" s="1" t="str">
        <f>Reporting_currency</f>
        <v>HKD</v>
      </c>
      <c r="E44" s="244"/>
      <c r="F44" s="244"/>
    </row>
    <row r="45" spans="2:6">
      <c r="B45" s="44" t="s">
        <v>268</v>
      </c>
      <c r="C45" s="286">
        <f>Normalized_FCF!C45</f>
        <v>-5515.92</v>
      </c>
      <c r="D45" s="1" t="str">
        <f>Reporting_currency</f>
        <v>HKD</v>
      </c>
      <c r="E45" s="244"/>
      <c r="F45" s="244"/>
    </row>
    <row r="46" spans="2:6">
      <c r="B46" s="44" t="s">
        <v>203</v>
      </c>
      <c r="C46" s="285">
        <f>Normalized_FCF!C10</f>
        <v>-4525.9779323449202</v>
      </c>
      <c r="D46" s="1" t="str">
        <f>Reporting_currency</f>
        <v>HKD</v>
      </c>
    </row>
    <row r="48" spans="2:6">
      <c r="B48" s="1" t="s">
        <v>211</v>
      </c>
    </row>
    <row r="49" spans="2:6">
      <c r="B49" s="44" t="s">
        <v>223</v>
      </c>
      <c r="C49" s="285">
        <f>Normalized_FCF!C13</f>
        <v>-174.26602854031819</v>
      </c>
      <c r="D49" s="1" t="str">
        <f>Reporting_currency</f>
        <v>HKD</v>
      </c>
    </row>
    <row r="51" spans="2:6">
      <c r="B51" s="463" t="s">
        <v>206</v>
      </c>
      <c r="C51" s="463"/>
      <c r="D51" s="463"/>
      <c r="E51" s="463"/>
      <c r="F51" s="463"/>
    </row>
    <row r="52" spans="2:6">
      <c r="B52" s="44" t="s">
        <v>204</v>
      </c>
      <c r="C52" s="285">
        <f>Normalized_FCF!C12</f>
        <v>-36192.744446613491</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125485.1812230568</v>
      </c>
      <c r="D60" s="1" t="str">
        <f>Reporting_currency</f>
        <v>HKD</v>
      </c>
    </row>
    <row r="61" spans="2:6">
      <c r="B61" s="44" t="s">
        <v>213</v>
      </c>
      <c r="C61" s="285">
        <f>Normalized_FCF!C19</f>
        <v>131191.99159250123</v>
      </c>
      <c r="D61" s="1" t="str">
        <f>Reporting_currency</f>
        <v>HKD</v>
      </c>
    </row>
    <row r="62" spans="2:6">
      <c r="B62" s="204" t="s">
        <v>302</v>
      </c>
      <c r="C62" s="89">
        <f>Normalized_FCF!C124</f>
        <v>7.4645150639706004E-2</v>
      </c>
      <c r="F62" s="257"/>
    </row>
    <row r="63" spans="2:6">
      <c r="B63" s="204" t="s">
        <v>332</v>
      </c>
      <c r="C63" s="89">
        <f>Normalized_FCF!C92</f>
        <v>6.2684729064039407E-2</v>
      </c>
      <c r="E63" s="44" t="s">
        <v>322</v>
      </c>
      <c r="F63" s="258">
        <f>Normalized_FCF!C90</f>
        <v>0.83976961030735076</v>
      </c>
    </row>
    <row r="65" spans="1:6">
      <c r="B65" s="192" t="s">
        <v>325</v>
      </c>
      <c r="C65" s="264" t="s">
        <v>327</v>
      </c>
      <c r="D65" s="264" t="s">
        <v>328</v>
      </c>
    </row>
    <row r="66" spans="1:6">
      <c r="B66" s="44" t="s">
        <v>326</v>
      </c>
      <c r="C66" s="89">
        <f>Normalized_FCF!E119</f>
        <v>0.11683147612363115</v>
      </c>
      <c r="D66" s="89">
        <f>Normalized_FCF!G119</f>
        <v>0.11539664872608364</v>
      </c>
    </row>
    <row r="67" spans="1:6">
      <c r="B67" s="229" t="str">
        <f>Normalized_FCF!B116</f>
        <v>Pre-tax Profit/Sales</v>
      </c>
      <c r="C67" s="263">
        <f>Normalized_FCF!E116</f>
        <v>0.16099692826836479</v>
      </c>
      <c r="D67" s="263">
        <f>Normalized_FCF!G116</f>
        <v>0.15901969737764152</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-91932</v>
      </c>
      <c r="D78" s="1" t="str">
        <f>Reporting_currency</f>
        <v>HKD</v>
      </c>
    </row>
    <row r="79" spans="1:6">
      <c r="A79" s="191"/>
      <c r="B79" s="44" t="s">
        <v>234</v>
      </c>
      <c r="C79" s="201">
        <f>C78*scaling_factor*Exchange_Rate/Common_Shares</f>
        <v>-4.2473398407265082</v>
      </c>
      <c r="D79" s="1" t="str">
        <f>Market_currency</f>
        <v>HKD</v>
      </c>
    </row>
    <row r="80" spans="1:6">
      <c r="A80" s="191"/>
      <c r="B80" s="229" t="s">
        <v>309</v>
      </c>
      <c r="C80" s="337">
        <f>IF(BS!G31/BS!G27&gt;300%,"nm",BS!G31/BS!G27)</f>
        <v>6.4100114768294941E-2</v>
      </c>
    </row>
    <row r="81" spans="1:6">
      <c r="A81" s="191"/>
      <c r="B81" s="229" t="s">
        <v>311</v>
      </c>
      <c r="C81" s="338">
        <f>IF(BS!C50&gt;30,"nm",BS!C50)</f>
        <v>0.57104884476468376</v>
      </c>
    </row>
    <row r="82" spans="1:6">
      <c r="A82" s="191"/>
    </row>
    <row r="83" spans="1:6">
      <c r="A83" s="191"/>
      <c r="B83" s="1" t="s">
        <v>466</v>
      </c>
    </row>
    <row r="84" spans="1:6">
      <c r="A84" s="191"/>
      <c r="B84" s="1" t="s">
        <v>224</v>
      </c>
      <c r="C84" s="285">
        <f>DCF!F5</f>
        <v>86587.65539082</v>
      </c>
      <c r="D84" s="1" t="str">
        <f>Reporting_currency</f>
        <v>HKD</v>
      </c>
    </row>
    <row r="85" spans="1:6">
      <c r="A85" s="191"/>
      <c r="B85" s="229" t="s">
        <v>222</v>
      </c>
      <c r="C85" s="291">
        <f>BS!C66</f>
        <v>251578</v>
      </c>
      <c r="D85" s="339" t="str">
        <f>Reporting_currency</f>
        <v>HKD</v>
      </c>
    </row>
    <row r="86" spans="1:6">
      <c r="A86" s="191"/>
      <c r="B86" s="44" t="s">
        <v>235</v>
      </c>
      <c r="C86" s="201">
        <f>C84*scaling_factor*Exchange_Rate/Common_Shares</f>
        <v>4.0004263853340207</v>
      </c>
      <c r="D86" s="1" t="str">
        <f>Market_currency</f>
        <v>HKD</v>
      </c>
    </row>
    <row r="87" spans="1:6">
      <c r="A87" s="191"/>
    </row>
    <row r="88" spans="1:6">
      <c r="A88" s="191"/>
      <c r="B88" s="1" t="s">
        <v>216</v>
      </c>
    </row>
    <row r="89" spans="1:6">
      <c r="A89" s="191"/>
      <c r="B89" s="1" t="s">
        <v>217</v>
      </c>
      <c r="C89" s="285">
        <f>DCF!F6</f>
        <v>262533.59999999998</v>
      </c>
      <c r="D89" s="1" t="str">
        <f>Reporting_currency</f>
        <v>HKD</v>
      </c>
    </row>
    <row r="90" spans="1:6">
      <c r="A90" s="191"/>
      <c r="B90" s="44" t="s">
        <v>236</v>
      </c>
      <c r="C90" s="201">
        <f>C89*scaling_factor*Exchange_Rate/Common_Shares</f>
        <v>12.129284893283694</v>
      </c>
      <c r="D90" s="1" t="str">
        <f>Market_currency</f>
        <v>HKD</v>
      </c>
    </row>
    <row r="91" spans="1:6">
      <c r="A91" s="191"/>
    </row>
    <row r="92" spans="1:6">
      <c r="A92" s="191"/>
      <c r="B92" s="44" t="s">
        <v>469</v>
      </c>
      <c r="C92" s="216">
        <f>DCF!F8</f>
        <v>11.882371437891207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1.2888383928647593</v>
      </c>
      <c r="D111" s="1" t="str">
        <f>Market_currency</f>
        <v>HKD</v>
      </c>
    </row>
    <row r="112" spans="2:6">
      <c r="B112" s="44" t="s">
        <v>323</v>
      </c>
      <c r="C112" s="216">
        <f>DCF!C11</f>
        <v>129.64256108709142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0.05</v>
      </c>
      <c r="D118" s="207" t="str">
        <f>ROUND(DCF!E90,2)&amp;" "&amp;Market_currency</f>
        <v>174.87 HKD</v>
      </c>
      <c r="E118" s="208">
        <f>DCF!F90</f>
        <v>0.15</v>
      </c>
      <c r="F118" s="208">
        <f>RATE(Holding_Period,Scenarios!C$58,-DCF!E90,C$18)</f>
        <v>-8.259842144731383E-2</v>
      </c>
    </row>
    <row r="119" spans="2:6">
      <c r="B119" s="205" t="str">
        <f>DCF!B91&amp;" ("&amp;DCF!D91&amp;"yrs)"</f>
        <v>Optimistic (30yrs)</v>
      </c>
      <c r="C119" s="198">
        <f>DCF!C91</f>
        <v>0.03</v>
      </c>
      <c r="D119" s="207" t="str">
        <f>ROUND(DCF!E91,2)&amp;" "&amp;Market_currency</f>
        <v>129.44 HKD</v>
      </c>
      <c r="E119" s="199">
        <f>DCF!F91</f>
        <v>0.15999999999999995</v>
      </c>
      <c r="F119" s="208">
        <f>RATE(Holding_Period,Scenarios!C$58,-DCF!E91,C$18)</f>
        <v>1.7909396933599855E-2</v>
      </c>
    </row>
    <row r="120" spans="2:6">
      <c r="B120" s="205" t="str">
        <f>DCF!B92&amp;" ("&amp;DCF!D92&amp;"yrs)"</f>
        <v>Base (30yrs)</v>
      </c>
      <c r="C120" s="198">
        <f>DCF!C92</f>
        <v>0.02</v>
      </c>
      <c r="D120" s="207" t="str">
        <f>ROUND(DCF!E92,2)&amp;" "&amp;Market_currency</f>
        <v>112.96 HKD</v>
      </c>
      <c r="E120" s="199">
        <f>DCF!F92</f>
        <v>0.44</v>
      </c>
      <c r="F120" s="208">
        <f>RATE(Holding_Period,Scenarios!C$58,-DCF!E92,C$18)</f>
        <v>6.7183407407964899E-2</v>
      </c>
    </row>
    <row r="121" spans="2:6">
      <c r="B121" s="205" t="str">
        <f>DCF!B93&amp;" ("&amp;DCF!D93&amp;"yrs)"</f>
        <v>Pessimistic (30yrs)</v>
      </c>
      <c r="C121" s="198">
        <f>DCF!C93</f>
        <v>0.01</v>
      </c>
      <c r="D121" s="207" t="str">
        <f>ROUND(DCF!E93,2)&amp;" "&amp;Market_currency</f>
        <v>99.52 HKD</v>
      </c>
      <c r="E121" s="199">
        <f>DCF!F93</f>
        <v>0.19999999999999998</v>
      </c>
      <c r="F121" s="208">
        <f>RATE(Holding_Period,Scenarios!C$58,-DCF!E93,C$18)</f>
        <v>0.1153011584223788</v>
      </c>
    </row>
    <row r="122" spans="2:6">
      <c r="B122" s="205" t="str">
        <f>DCF!B94&amp;" ("&amp;DCF!D94&amp;"yrs)"</f>
        <v>Devil's advocate (30yrs)</v>
      </c>
      <c r="C122" s="198">
        <f>DCF!C94</f>
        <v>0</v>
      </c>
      <c r="D122" s="207" t="str">
        <f>ROUND(DCF!E94,2)&amp;" "&amp;Market_currency</f>
        <v>88.51 HKD</v>
      </c>
      <c r="E122" s="199">
        <f>DCF!F94</f>
        <v>0.05</v>
      </c>
      <c r="F122" s="208">
        <f>RATE(Holding_Period,Scenarios!C$58,-DCF!E94,C$18)</f>
        <v>0.16195220096387539</v>
      </c>
    </row>
    <row r="124" spans="2:6">
      <c r="B124" s="463" t="s">
        <v>357</v>
      </c>
      <c r="C124" s="463"/>
      <c r="D124" s="463"/>
      <c r="E124" s="463"/>
      <c r="F124" s="463"/>
    </row>
    <row r="125" spans="2:6">
      <c r="B125" s="193" t="s">
        <v>218</v>
      </c>
      <c r="C125" s="197">
        <f>Scenarios!C36</f>
        <v>120.97362534323128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5.09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9.3139445224005097</v>
      </c>
      <c r="D140" s="333">
        <f>Scenarios!D62</f>
        <v>55.748214443885395</v>
      </c>
      <c r="E140" s="334">
        <f>Scenarios!E62</f>
        <v>65.062158966285907</v>
      </c>
      <c r="F140" s="335">
        <f>E22</f>
        <v>0.29465259038036601</v>
      </c>
    </row>
    <row r="141" spans="1:6">
      <c r="B141" s="336" t="s">
        <v>313</v>
      </c>
      <c r="C141" s="333">
        <f>Scenarios!C63</f>
        <v>10.709380091599613</v>
      </c>
      <c r="D141" s="333">
        <f>Scenarios!D63</f>
        <v>69.876462292119172</v>
      </c>
      <c r="E141" s="334">
        <f>Scenarios!E63</f>
        <v>80.585842383718784</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12.280149911027722</v>
      </c>
      <c r="D144" s="333">
        <f>Scenarios!D66</f>
        <v>86.709103245439934</v>
      </c>
      <c r="E144" s="334">
        <f>Scenarios!E66</f>
        <v>98.989253156467655</v>
      </c>
      <c r="F144" s="335">
        <f>E24</f>
        <v>0.1174</v>
      </c>
    </row>
    <row r="145" spans="1:6">
      <c r="B145" s="336" t="s">
        <v>314</v>
      </c>
      <c r="C145" s="333">
        <f>Scenarios!C67</f>
        <v>13.296989906310651</v>
      </c>
      <c r="D145" s="333">
        <f>Scenarios!D67</f>
        <v>98.061558949103656</v>
      </c>
      <c r="E145" s="334">
        <f>Scenarios!E67</f>
        <v>111.35854885541431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4" sqref="C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c r="F4" s="287"/>
      <c r="G4" s="287"/>
      <c r="H4" s="287"/>
      <c r="I4" s="287"/>
      <c r="J4" s="287"/>
      <c r="K4" s="287"/>
      <c r="L4" s="287"/>
      <c r="M4" s="287"/>
    </row>
    <row r="5" spans="2:13">
      <c r="B5" s="38" t="s">
        <v>40</v>
      </c>
      <c r="C5" s="287">
        <f>283341+191101+151944</f>
        <v>626386</v>
      </c>
      <c r="D5" s="287">
        <f>268895+207132+144333</f>
        <v>620360</v>
      </c>
      <c r="E5" s="287"/>
      <c r="F5" s="287"/>
      <c r="G5" s="287"/>
      <c r="H5" s="287"/>
      <c r="I5" s="287"/>
      <c r="J5" s="287"/>
      <c r="K5" s="287"/>
      <c r="L5" s="287"/>
      <c r="M5" s="287"/>
    </row>
    <row r="6" spans="2:13">
      <c r="B6" s="38" t="s">
        <v>51</v>
      </c>
      <c r="C6" s="287">
        <f>67979+C7</f>
        <v>271783</v>
      </c>
      <c r="D6" s="287">
        <f>D7+59319</f>
        <v>254603</v>
      </c>
      <c r="E6" s="287"/>
      <c r="F6" s="287"/>
      <c r="G6" s="287"/>
      <c r="H6" s="287"/>
      <c r="I6" s="287"/>
      <c r="J6" s="287"/>
      <c r="K6" s="287"/>
      <c r="L6" s="287"/>
      <c r="M6" s="287"/>
    </row>
    <row r="7" spans="2:13">
      <c r="B7" s="66" t="s">
        <v>58</v>
      </c>
      <c r="C7" s="288">
        <f>54564+149240</f>
        <v>203804</v>
      </c>
      <c r="D7" s="288">
        <f>52477+142807</f>
        <v>195284</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c r="F12" s="287"/>
      <c r="G12" s="287"/>
      <c r="H12" s="287"/>
      <c r="I12" s="287"/>
      <c r="J12" s="287"/>
      <c r="K12" s="287"/>
      <c r="L12" s="287"/>
      <c r="M12" s="287"/>
    </row>
    <row r="13" spans="2:13">
      <c r="B13" s="38" t="s">
        <v>64</v>
      </c>
      <c r="C13" s="287">
        <v>23005</v>
      </c>
      <c r="D13" s="287">
        <v>21134</v>
      </c>
      <c r="E13" s="287"/>
      <c r="F13" s="287"/>
      <c r="G13" s="287"/>
      <c r="H13" s="287"/>
      <c r="I13" s="287"/>
      <c r="J13" s="287"/>
      <c r="K13" s="287"/>
      <c r="L13" s="287"/>
      <c r="M13" s="287"/>
    </row>
    <row r="14" spans="2:13">
      <c r="B14" s="38" t="s">
        <v>47</v>
      </c>
      <c r="C14" s="287">
        <v>39863</v>
      </c>
      <c r="D14" s="287">
        <v>38596</v>
      </c>
      <c r="E14" s="287"/>
      <c r="F14" s="287"/>
      <c r="G14" s="287"/>
      <c r="H14" s="287"/>
      <c r="I14" s="287"/>
      <c r="J14" s="287"/>
      <c r="K14" s="287"/>
      <c r="L14" s="287"/>
      <c r="M14" s="287"/>
    </row>
    <row r="15" spans="2:13">
      <c r="B15" s="41" t="s">
        <v>39</v>
      </c>
      <c r="C15" s="289">
        <v>138526</v>
      </c>
      <c r="D15" s="289">
        <v>131935</v>
      </c>
      <c r="E15" s="289"/>
      <c r="F15" s="289"/>
      <c r="G15" s="289"/>
      <c r="H15" s="289"/>
      <c r="I15" s="289"/>
      <c r="J15" s="289"/>
      <c r="K15" s="289"/>
      <c r="L15" s="289"/>
      <c r="M15" s="289"/>
    </row>
    <row r="16" spans="2:13">
      <c r="B16" s="27" t="s">
        <v>41</v>
      </c>
      <c r="C16" s="287">
        <v>153</v>
      </c>
      <c r="D16" s="287">
        <v>169</v>
      </c>
      <c r="E16" s="287"/>
      <c r="F16" s="287"/>
      <c r="G16" s="287"/>
      <c r="H16" s="287"/>
      <c r="I16" s="287"/>
      <c r="J16" s="287"/>
      <c r="K16" s="287"/>
      <c r="L16" s="287"/>
      <c r="M16" s="287"/>
    </row>
    <row r="18" spans="2:13">
      <c r="B18" s="16" t="s">
        <v>48</v>
      </c>
      <c r="C18" s="9"/>
    </row>
    <row r="19" spans="2:13">
      <c r="B19" s="26" t="s">
        <v>44</v>
      </c>
      <c r="C19" s="287">
        <v>191101</v>
      </c>
      <c r="D19" s="287">
        <v>207132</v>
      </c>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c r="F22" s="287"/>
      <c r="G22" s="287"/>
      <c r="H22" s="287"/>
      <c r="I22" s="287"/>
      <c r="J22" s="287"/>
      <c r="K22" s="287"/>
      <c r="L22" s="287"/>
      <c r="M22" s="287"/>
    </row>
    <row r="23" spans="2:13">
      <c r="B23" s="26" t="s">
        <v>288</v>
      </c>
      <c r="C23" s="287">
        <v>-185194</v>
      </c>
      <c r="D23" s="287">
        <v>-205699</v>
      </c>
      <c r="E23" s="287"/>
      <c r="F23" s="287"/>
      <c r="G23" s="287"/>
      <c r="H23" s="287"/>
      <c r="I23" s="287"/>
      <c r="J23" s="287"/>
      <c r="K23" s="287"/>
      <c r="L23" s="287"/>
      <c r="M23" s="287"/>
    </row>
    <row r="24" spans="2:13">
      <c r="B24" s="26" t="s">
        <v>287</v>
      </c>
      <c r="C24" s="287">
        <v>-105167</v>
      </c>
      <c r="D24" s="287">
        <v>-123843</v>
      </c>
      <c r="E24" s="287"/>
      <c r="F24" s="287"/>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c r="E28" s="287"/>
      <c r="F28" s="287"/>
      <c r="G28" s="287"/>
      <c r="H28" s="287"/>
      <c r="I28" s="287"/>
      <c r="J28" s="287"/>
      <c r="K28" s="287"/>
      <c r="L28" s="287"/>
      <c r="M28" s="287"/>
    </row>
    <row r="29" spans="2:13">
      <c r="B29" s="25" t="s">
        <v>30</v>
      </c>
      <c r="C29" s="270">
        <f>BS!C6</f>
        <v>11378</v>
      </c>
      <c r="D29" s="287"/>
      <c r="E29" s="287"/>
      <c r="F29" s="287"/>
      <c r="G29" s="287"/>
      <c r="H29" s="287"/>
      <c r="I29" s="287"/>
      <c r="J29" s="287"/>
      <c r="K29" s="287"/>
      <c r="L29" s="287"/>
      <c r="M29" s="287"/>
    </row>
    <row r="30" spans="2:13">
      <c r="B30" s="28" t="s">
        <v>38</v>
      </c>
      <c r="C30" s="271">
        <f>BS!C33+BS!C42</f>
        <v>693546</v>
      </c>
      <c r="D30" s="289"/>
      <c r="E30" s="289"/>
      <c r="F30" s="289"/>
      <c r="G30" s="289"/>
      <c r="H30" s="289"/>
      <c r="I30" s="289"/>
      <c r="J30" s="289"/>
      <c r="K30" s="289"/>
      <c r="L30" s="289"/>
      <c r="M30" s="289"/>
    </row>
    <row r="31" spans="2:13">
      <c r="B31" s="28" t="s">
        <v>28</v>
      </c>
      <c r="C31" s="271">
        <f>BS!G27</f>
        <v>1434194</v>
      </c>
      <c r="D31" s="289"/>
      <c r="E31" s="289"/>
      <c r="F31" s="289"/>
      <c r="G31" s="289"/>
      <c r="H31" s="289"/>
      <c r="I31" s="289"/>
      <c r="J31" s="289"/>
      <c r="K31" s="289"/>
      <c r="L31" s="289"/>
      <c r="M31" s="289"/>
    </row>
    <row r="32" spans="2:13">
      <c r="B32" s="25" t="s">
        <v>143</v>
      </c>
      <c r="C32" s="270">
        <f>BS!G28</f>
        <v>4523</v>
      </c>
      <c r="D32" s="287"/>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0</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0</v>
      </c>
      <c r="E77" s="282" t="str">
        <f t="shared" si="40"/>
        <v/>
      </c>
      <c r="F77" s="282" t="str">
        <f t="shared" si="40"/>
        <v/>
      </c>
      <c r="G77" s="282" t="str">
        <f t="shared" si="40"/>
        <v/>
      </c>
      <c r="H77" s="282" t="str">
        <f t="shared" si="40"/>
        <v/>
      </c>
      <c r="I77" s="291"/>
      <c r="J77" s="291"/>
      <c r="K77" s="291"/>
      <c r="L77" s="291"/>
      <c r="M77" s="291"/>
    </row>
    <row r="78" spans="2:13">
      <c r="B78" s="90" t="s">
        <v>83</v>
      </c>
      <c r="C78" s="260">
        <f t="shared" si="40"/>
        <v>11378</v>
      </c>
      <c r="D78" s="282">
        <f t="shared" si="40"/>
        <v>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693546</v>
      </c>
      <c r="D79" s="270">
        <f t="shared" si="41"/>
        <v>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0</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42" sqref="D4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66.052066717044198</v>
      </c>
      <c r="D47" s="134">
        <f>D46*H1/Common_Shares*Exchange_Rate</f>
        <v>1.2888383928647593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0.57104884476468376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0.12990748444019815</v>
      </c>
      <c r="D54" s="89">
        <f>Normalized_FCF!G8/G35</f>
        <v>0.11506143630305725</v>
      </c>
      <c r="F54" s="223"/>
    </row>
    <row r="55" spans="2:8" ht="15" customHeight="1">
      <c r="B55" s="1" t="s">
        <v>118</v>
      </c>
      <c r="C55" s="89">
        <f>Normalized_FCF!C9/G40</f>
        <v>1.2489743823502599E-2</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86587.65539082</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-82495.17230459</v>
      </c>
      <c r="F73" s="1" t="s">
        <v>278</v>
      </c>
    </row>
    <row r="74" spans="2:6" ht="15" customHeight="1">
      <c r="B74" s="227" t="s">
        <v>259</v>
      </c>
      <c r="C74" s="228">
        <f>-$C$66/C73</f>
        <v>2.9939661793862213</v>
      </c>
      <c r="D74" s="228">
        <f>-$C$66/D73</f>
        <v>3.0496087585721945</v>
      </c>
      <c r="F74" s="223" t="s">
        <v>257</v>
      </c>
    </row>
    <row r="75" spans="2:6" ht="15" customHeight="1">
      <c r="B75" s="77" t="s">
        <v>258</v>
      </c>
      <c r="C75" s="261"/>
      <c r="D75" s="262">
        <f>MAX(-D73*D76,G5)</f>
        <v>164990.34460918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-91932</v>
      </c>
      <c r="D86" s="201">
        <f>C86*scaling_factor/Common_Shares</f>
        <v>-4.2473398407265082</v>
      </c>
      <c r="E86" s="214" t="str">
        <f>Market_currency</f>
        <v>HKD</v>
      </c>
    </row>
    <row r="87" spans="2:8" ht="15" customHeight="1">
      <c r="B87" s="212" t="s">
        <v>240</v>
      </c>
      <c r="C87" s="73">
        <f>DCF!F5*Exchange_Rate</f>
        <v>86587.65539082</v>
      </c>
      <c r="D87" s="201">
        <f>C87*scaling_factor/Common_Shares</f>
        <v>4.0004263853340207</v>
      </c>
      <c r="E87" s="214" t="str">
        <f>Market_currency</f>
        <v>HKD</v>
      </c>
    </row>
    <row r="88" spans="2:8" ht="15" customHeight="1">
      <c r="B88" s="213" t="s">
        <v>159</v>
      </c>
      <c r="C88" s="73">
        <f>DCF!F6*Exchange_Rate</f>
        <v>262533.59999999998</v>
      </c>
      <c r="D88" s="201">
        <f>C88*scaling_factor/Common_Shares</f>
        <v>12.129284893283694</v>
      </c>
      <c r="E88" s="214" t="str">
        <f>Market_currency</f>
        <v>HKD</v>
      </c>
    </row>
    <row r="89" spans="2:8" ht="15" customHeight="1">
      <c r="B89" s="77" t="s">
        <v>244</v>
      </c>
      <c r="C89" s="162">
        <f>SUM(C86:C88)</f>
        <v>257189.25539081998</v>
      </c>
      <c r="D89" s="216">
        <f>SUM(D86:D88)</f>
        <v>11.882371437891207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4" activePane="bottomRight" state="frozen"/>
      <selection activeCell="C17" sqref="C17"/>
      <selection pane="topRight" activeCell="C17" sqref="C17"/>
      <selection pane="bottomLeft" activeCell="C17" sqref="C17"/>
      <selection pane="bottomRight" activeCell="E118" sqref="E1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-811792.02</v>
      </c>
      <c r="E5" s="237"/>
      <c r="G5" s="270">
        <f t="shared" ref="G5:Q5" si="1">G26</f>
        <v>-830190</v>
      </c>
      <c r="H5" s="270">
        <f t="shared" si="1"/>
        <v>-815644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228966.97999999998</v>
      </c>
      <c r="E6" s="237"/>
      <c r="G6" s="267">
        <f>IF(G4="","",G4+G5)</f>
        <v>210569</v>
      </c>
      <c r="H6" s="267">
        <f t="shared" ref="H6:Q6" si="2">IF(H4="","",H4+H5)</f>
        <v>193665</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160987.97999999998</v>
      </c>
      <c r="D8" s="56"/>
      <c r="E8" s="241"/>
      <c r="F8" s="56"/>
      <c r="G8" s="267">
        <f>IF(G$4="","",G6+G7)</f>
        <v>142590</v>
      </c>
      <c r="H8" s="267">
        <f t="shared" ref="H8:Q8" si="4">IF(H$4="","",H6+H7)</f>
        <v>134346</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11097</v>
      </c>
      <c r="D9" s="55"/>
      <c r="E9" s="236"/>
      <c r="F9" s="55"/>
      <c r="G9" s="270">
        <f>G59</f>
        <v>11097</v>
      </c>
      <c r="H9" s="270">
        <f t="shared" ref="H9:Q9" si="5">H59</f>
        <v>8958</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-4525.9779323449202</v>
      </c>
      <c r="E10" s="237"/>
      <c r="G10" s="266">
        <f>G48</f>
        <v>11814.181223056808</v>
      </c>
      <c r="H10" s="266">
        <f t="shared" ref="H10:Q10" si="6">H48</f>
        <v>10130.138577182464</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167559.00206765506</v>
      </c>
      <c r="E11" s="237"/>
      <c r="G11" s="267">
        <f t="shared" ref="G11:Q11" si="7">IF(G$4="","",SUM(G8:G10))</f>
        <v>165501.1812230568</v>
      </c>
      <c r="H11" s="267">
        <f t="shared" si="7"/>
        <v>153434.13857718246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-36192.744446613491</v>
      </c>
      <c r="E12" s="237"/>
      <c r="G12" s="266">
        <f>Data!C46</f>
        <v>-39863</v>
      </c>
      <c r="H12" s="266">
        <f>Data!D46</f>
        <v>-38596</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-174.26602854031819</v>
      </c>
      <c r="D13" s="57"/>
      <c r="E13" s="242"/>
      <c r="F13" s="57"/>
      <c r="G13" s="270">
        <f>Data!C48</f>
        <v>-153</v>
      </c>
      <c r="H13" s="270">
        <f>Data!D48</f>
        <v>-169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131191.99159250123</v>
      </c>
      <c r="D14" s="58"/>
      <c r="E14" s="243"/>
      <c r="F14" s="58"/>
      <c r="G14" s="267">
        <f t="shared" ref="G14:Q14" si="8">IF(G$4="","",SUM(G11:G13))</f>
        <v>125485.1812230568</v>
      </c>
      <c r="H14" s="267">
        <f t="shared" si="8"/>
        <v>114669.13857718246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-202343.60953731713</v>
      </c>
      <c r="E16" s="237"/>
      <c r="G16" s="266">
        <f>Data!C62</f>
        <v>-191101</v>
      </c>
      <c r="H16" s="266">
        <f>Data!D62</f>
        <v>-207132</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131191.99159250123</v>
      </c>
      <c r="D19" s="26"/>
      <c r="E19" s="234"/>
      <c r="F19" s="26"/>
      <c r="G19" s="271">
        <f t="shared" ref="G19:Q19" si="9">IF(G$4="","",G14+G17)</f>
        <v>125485.1812230568</v>
      </c>
      <c r="H19" s="271">
        <f t="shared" si="9"/>
        <v>114669.13857718246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-489156.73</v>
      </c>
      <c r="D23" s="55"/>
      <c r="E23" s="236"/>
      <c r="F23" s="55"/>
      <c r="G23" s="270">
        <f>Data!C37</f>
        <v>-626386</v>
      </c>
      <c r="H23" s="270">
        <f>Data!D37</f>
        <v>-620360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-322635.28999999998</v>
      </c>
      <c r="D24" s="26"/>
      <c r="E24" s="234"/>
      <c r="F24" s="26"/>
      <c r="G24" s="270">
        <f>Data!C40</f>
        <v>-203804</v>
      </c>
      <c r="H24" s="270">
        <f>Data!D40</f>
        <v>-195284</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-811792.02</v>
      </c>
      <c r="D26" s="9"/>
      <c r="E26" s="240"/>
      <c r="F26" s="9"/>
      <c r="G26" s="267">
        <f>IF(G$4="","",SUM(G23:G25))</f>
        <v>-830190</v>
      </c>
      <c r="H26" s="267">
        <f t="shared" ref="H26:Q26" si="10">IF(H$4="","",SUM(H23:H25))</f>
        <v>-815644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0.60185499236614814</v>
      </c>
      <c r="H29" s="13">
        <f t="shared" si="11"/>
        <v>0.61463833176955718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v>0.31</v>
      </c>
      <c r="D30" s="25"/>
      <c r="E30" s="235"/>
      <c r="F30" s="25"/>
      <c r="G30" s="13">
        <f t="shared" ref="G30:Q30" si="12">IF(G$4="","",ABS(G24/G$4))</f>
        <v>0.19582247186908786</v>
      </c>
      <c r="H30" s="13">
        <f t="shared" si="12"/>
        <v>0.19348286798195596</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0.78</v>
      </c>
      <c r="E32" s="237"/>
      <c r="G32" s="29">
        <f t="shared" ref="G32:Q32" si="14">IF(G$4="","",ABS(G26/G$4))</f>
        <v>0.797677464235236</v>
      </c>
      <c r="H32" s="29">
        <f t="shared" si="14"/>
        <v>0.8081211997515132</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0.24086232923180179</v>
      </c>
      <c r="H41" s="6">
        <f t="shared" si="16"/>
        <v>0.25154766962493769</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989.94206765508</v>
      </c>
      <c r="E46" s="237"/>
      <c r="G46" s="274">
        <f t="shared" ref="G46:Q46" si="17">IFERROR(IF(G$4="","",($C$46/$C$47)*G47),0)</f>
        <v>15087.181223056808</v>
      </c>
      <c r="H46" s="274">
        <f t="shared" si="17"/>
        <v>13860.138577182464</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-4525.9779323449202</v>
      </c>
      <c r="E48" s="237"/>
      <c r="G48" s="267">
        <f>IF(G$4="","",(G45+G46))</f>
        <v>11814.181223056808</v>
      </c>
      <c r="H48" s="267">
        <f t="shared" ref="H48:Q48" si="18">IF(H$4="","",(H45+H46))</f>
        <v>10130.138577182464</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29.186061436714088</v>
      </c>
      <c r="E53" s="237"/>
      <c r="G53" s="40">
        <f t="shared" ref="G53:Q53" si="19">IF(G4="","",-G8/G45)</f>
        <v>43.565536205316221</v>
      </c>
      <c r="H53" s="40">
        <f t="shared" si="19"/>
        <v>36.017694369973192</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11097</v>
      </c>
      <c r="E57" s="237"/>
      <c r="G57" s="266">
        <f>Data!C55</f>
        <v>11097</v>
      </c>
      <c r="H57" s="266">
        <f>Data!D55</f>
        <v>8958</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11097</v>
      </c>
      <c r="E59" s="237"/>
      <c r="G59" s="267">
        <f t="shared" ref="G59:Q59" si="20">IF(G4="","",SUM(G56:G58))</f>
        <v>11097</v>
      </c>
      <c r="H59" s="267">
        <f t="shared" si="20"/>
        <v>8958</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11097</v>
      </c>
      <c r="E61" s="237"/>
      <c r="G61" s="267">
        <f t="shared" ref="G61:Q61" si="21">IF(G4="","",G59+G60)</f>
        <v>16067</v>
      </c>
      <c r="H61" s="267">
        <f t="shared" si="21"/>
        <v>18781</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5.5664518070778261E-2</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2.4608977386884525E-2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0.78</v>
      </c>
      <c r="D71" s="26"/>
      <c r="E71" s="234"/>
      <c r="F71" s="26"/>
      <c r="G71" s="6">
        <f t="shared" ref="G71:Q71" si="23">IF(G$4="","",ABS(G5/G$4))</f>
        <v>0.797677464235236</v>
      </c>
      <c r="H71" s="6">
        <f t="shared" si="23"/>
        <v>0.8081211997515132</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0.21999999999999997</v>
      </c>
      <c r="D72" s="26"/>
      <c r="E72" s="234"/>
      <c r="F72" s="26"/>
      <c r="G72" s="62">
        <f t="shared" ref="G72:Q72" si="24">IF(G$4="","",ABS(G6/G$4))</f>
        <v>0.20232253576476397</v>
      </c>
      <c r="H72" s="62">
        <f t="shared" si="24"/>
        <v>0.19187880024848683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0.1546832455928798</v>
      </c>
      <c r="D74" s="26"/>
      <c r="E74" s="234"/>
      <c r="F74" s="26"/>
      <c r="G74" s="62">
        <f t="shared" ref="G74:Q74" si="26">IF(G$4="","",ABS(G8/G$4))</f>
        <v>0.1370057813576438</v>
      </c>
      <c r="H74" s="62">
        <f t="shared" si="26"/>
        <v>0.13310690779533324</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1.0662410798273183E-2</v>
      </c>
      <c r="D75" s="26"/>
      <c r="E75" s="234"/>
      <c r="F75" s="26"/>
      <c r="G75" s="6">
        <f t="shared" ref="G75:Q75" si="27">IF(G$4="","",G9/G$4)</f>
        <v>1.0662410798273183E-2</v>
      </c>
      <c r="H75" s="6">
        <f t="shared" si="27"/>
        <v>8.8753790959953793E-3</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4.3487281227881959E-3</v>
      </c>
      <c r="D76" s="26"/>
      <c r="E76" s="234"/>
      <c r="F76" s="26"/>
      <c r="G76" s="6">
        <f t="shared" ref="G76:Q76" si="28">IF(G$4="","",ABS(G10/G$4))</f>
        <v>1.1351505221724538E-2</v>
      </c>
      <c r="H76" s="6">
        <f t="shared" si="28"/>
        <v>1.0036706872902614E-2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0.16099692826836479</v>
      </c>
      <c r="D77" s="26"/>
      <c r="E77" s="234"/>
      <c r="F77" s="26"/>
      <c r="G77" s="62">
        <f t="shared" ref="G77:Q77" si="29">IF(G$4="","",G11/G$4)</f>
        <v>0.15901969737764152</v>
      </c>
      <c r="H77" s="62">
        <f t="shared" si="29"/>
        <v>0.15201899376423123</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3.4775336505966793E-2</v>
      </c>
      <c r="D78" s="26"/>
      <c r="E78" s="234"/>
      <c r="F78" s="26"/>
      <c r="G78" s="6">
        <f t="shared" ref="G78:Q78" si="30">IF(G$4="","",ABS(G12/G$4))</f>
        <v>3.8301854704114978E-2</v>
      </c>
      <c r="H78" s="6">
        <f t="shared" si="30"/>
        <v>3.82400236201203E-2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1.6744128904032363E-4</v>
      </c>
      <c r="D79" s="26"/>
      <c r="E79" s="234"/>
      <c r="F79" s="26"/>
      <c r="G79" s="6">
        <f t="shared" ref="G79:Q79" si="31">IF(G$4="","",-G13/G$4)</f>
        <v>1.4700809697538046E-4</v>
      </c>
      <c r="H79" s="6">
        <f t="shared" si="31"/>
        <v>1.6744128904032363E-4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0.12605415047335763</v>
      </c>
      <c r="D80" s="26"/>
      <c r="E80" s="234"/>
      <c r="F80" s="26"/>
      <c r="G80" s="62">
        <f t="shared" ref="G80:Q80" si="32">IF(G$4="","",ABS(G14/G$4))</f>
        <v>0.12057083457655116</v>
      </c>
      <c r="H80" s="62">
        <f t="shared" si="32"/>
        <v>0.1136115288550706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0.19441927433470874</v>
      </c>
      <c r="D82" s="26"/>
      <c r="E82" s="235" t="s">
        <v>548</v>
      </c>
      <c r="F82" s="26"/>
      <c r="G82" s="6">
        <f t="shared" ref="G82:Q82" si="34">IF(G$4="","",-G16/G$4)</f>
        <v>0.18361695647119072</v>
      </c>
      <c r="H82" s="6">
        <f t="shared" si="34"/>
        <v>0.20522159219822672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0.12605415047335763</v>
      </c>
      <c r="D85" s="72"/>
      <c r="E85" s="234"/>
      <c r="F85" s="72"/>
      <c r="G85" s="62">
        <f t="shared" ref="G85:Q85" si="35">IF(G$4="","",ABS(G19/G$4))</f>
        <v>0.12057083457655116</v>
      </c>
      <c r="H85" s="62">
        <f t="shared" si="35"/>
        <v>0.1136115288550706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0.83976961030735076</v>
      </c>
      <c r="E90" s="237"/>
      <c r="G90" s="152">
        <f t="shared" ref="G90:Q90" si="37">IF(G$4="","",G88/(G19*scaling_factor/Common_Shares))</f>
        <v>0.87796062117681373</v>
      </c>
      <c r="H90" s="152">
        <f t="shared" si="37"/>
        <v>0.91169647939400045</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6.2684729064039407E-2</v>
      </c>
      <c r="E92" s="237"/>
      <c r="G92" s="22">
        <f t="shared" ref="G92:Q92" si="38">IF(G$4="","",(G88*(1-dividend_tax_rate))/Market_Price)</f>
        <v>6.2684729064039407E-2</v>
      </c>
      <c r="H92" s="22">
        <f t="shared" si="38"/>
        <v>5.9482758620689656E-2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1.2433874062957928E-2</v>
      </c>
      <c r="D96" s="26"/>
      <c r="E96" s="234"/>
      <c r="F96" s="26"/>
      <c r="G96" s="6">
        <f t="shared" ref="G96:Q96" si="40">IF(H5="","",G11/H11-1)</f>
        <v>7.8646400063074884E-2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0</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0</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0</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0</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0</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2.8241820790779029</v>
      </c>
      <c r="H113" s="251">
        <f>IF(H$4="","",Data!D$22/H19)</f>
        <v>3.156324399841786</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0.16099692826836479</v>
      </c>
      <c r="E116" s="22">
        <f>E119/E117/E118</f>
        <v>0.16099692826836479</v>
      </c>
      <c r="G116" s="22">
        <f t="shared" ref="G116:Q116" si="44">IF(G4="","",G77)</f>
        <v>0.15901969737764152</v>
      </c>
      <c r="H116" s="22">
        <f t="shared" si="44"/>
        <v>0.15201899376423123</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t="e">
        <f t="shared" si="45"/>
        <v>#DIV/0!</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t="e">
        <f t="shared" si="46"/>
        <v>#DIV/0!</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0.11683147612363115</v>
      </c>
      <c r="D119" s="100"/>
      <c r="E119" s="453">
        <f>C119</f>
        <v>0.11683147612363115</v>
      </c>
      <c r="F119" s="100"/>
      <c r="G119" s="99">
        <f t="shared" ref="G119:Q119" si="47">IF(G$4="","",G11/G104)</f>
        <v>0.11539664872608364</v>
      </c>
      <c r="H119" s="99" t="e">
        <f t="shared" si="47"/>
        <v>#DIV/0!</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6.0611862319441281</v>
      </c>
      <c r="D123" s="26"/>
      <c r="E123" s="234"/>
      <c r="F123" s="26"/>
      <c r="G123" s="159">
        <f t="shared" ref="G123:Q123" si="48">IF(G$4="","",G14*$C$3/Common_Shares*Exchange_Rate)</f>
        <v>5.797526537326231</v>
      </c>
      <c r="H123" s="159">
        <f t="shared" si="48"/>
        <v>5.2978157853702301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7.4645150639706004E-2</v>
      </c>
      <c r="D124" s="26"/>
      <c r="E124" s="234"/>
      <c r="F124" s="26"/>
      <c r="G124" s="74">
        <f t="shared" ref="G124" si="49">IF(G$4="","",G123/Market_Price)</f>
        <v>7.1398110065593975E-2</v>
      </c>
      <c r="H124" s="74">
        <f t="shared" ref="H124" si="50">IF(H$4="","",H123/Market_Price)</f>
        <v>6.5244036765643221E-2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7.8818028539685281E-2</v>
      </c>
      <c r="H125" s="22">
        <f>IF(H$4="","",(Data!D47*$C$3)/(Market_Price*Common_Shares))</f>
        <v>7.5067904908705782E-2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131191.99159250123</v>
      </c>
      <c r="D4" t="str">
        <f>Reporting_currency</f>
        <v>HKD</v>
      </c>
      <c r="E4" s="135" t="s">
        <v>431</v>
      </c>
      <c r="F4" s="275">
        <f>-BS!G31</f>
        <v>-91932</v>
      </c>
      <c r="G4" t="str">
        <f>Reporting_currency</f>
        <v>HKD</v>
      </c>
      <c r="H4" s="308" t="s">
        <v>394</v>
      </c>
      <c r="I4" s="305">
        <f>Normalized_FCF!C4</f>
        <v>1040759</v>
      </c>
      <c r="J4" s="305"/>
    </row>
    <row r="5" spans="2:15">
      <c r="B5" s="187" t="s">
        <v>105</v>
      </c>
      <c r="C5" s="188">
        <f>Equity_Cost</f>
        <v>7.2499999999999995E-2</v>
      </c>
      <c r="E5" s="135" t="s">
        <v>432</v>
      </c>
      <c r="F5" s="275">
        <f>BS!D66</f>
        <v>86587.65539082</v>
      </c>
      <c r="G5" t="str">
        <f>Reporting_currency</f>
        <v>HKD</v>
      </c>
      <c r="H5" s="308" t="s">
        <v>395</v>
      </c>
      <c r="I5" s="305">
        <f>Normalized_FCF!C7</f>
        <v>-67979</v>
      </c>
      <c r="J5" s="305"/>
    </row>
    <row r="6" spans="2:15" ht="13.25" customHeight="1">
      <c r="B6" s="136" t="s">
        <v>194</v>
      </c>
      <c r="C6" s="283">
        <f>(C4*(1+Terminal_Growth))/(Equity_Cost-Terminal_Growth)</f>
        <v>2548872.9795114528</v>
      </c>
      <c r="D6" t="str">
        <f>Reporting_currency</f>
        <v>HKD</v>
      </c>
      <c r="E6" s="187" t="s">
        <v>433</v>
      </c>
      <c r="F6" s="284">
        <f>BS!H42</f>
        <v>262533.59999999998</v>
      </c>
      <c r="G6" t="str">
        <f>Reporting_currency</f>
        <v>HKD</v>
      </c>
      <c r="H6" s="308" t="s">
        <v>416</v>
      </c>
      <c r="I6" s="305">
        <f>I7+I8</f>
        <v>6571.0220676550798</v>
      </c>
      <c r="J6" s="305"/>
      <c r="N6" s="135"/>
    </row>
    <row r="7" spans="2:15" ht="12.75" customHeight="1">
      <c r="B7" s="318" t="s">
        <v>430</v>
      </c>
      <c r="C7" s="275">
        <f>F7</f>
        <v>257189.25539081998</v>
      </c>
      <c r="E7" s="140" t="s">
        <v>424</v>
      </c>
      <c r="F7" s="283">
        <f>SUM(F4:F6)</f>
        <v>257189.25539081998</v>
      </c>
      <c r="G7" t="str">
        <f>Reporting_currency</f>
        <v>HKD</v>
      </c>
      <c r="H7" s="312" t="s">
        <v>417</v>
      </c>
      <c r="I7" s="313">
        <f>Normalized_FCF!C9</f>
        <v>11097</v>
      </c>
      <c r="J7" s="313"/>
      <c r="N7" s="304"/>
      <c r="O7" s="304"/>
    </row>
    <row r="8" spans="2:15" ht="13.15">
      <c r="B8" s="136" t="s">
        <v>426</v>
      </c>
      <c r="C8" s="283">
        <f>C6+C7</f>
        <v>2806062.2349022729</v>
      </c>
      <c r="D8" t="str">
        <f>Reporting_currency</f>
        <v>HKD</v>
      </c>
      <c r="E8" s="140" t="s">
        <v>464</v>
      </c>
      <c r="F8" s="108">
        <f>FV_adjustments*scaling_factor/Common_Shares*Exchange_Rate</f>
        <v>11.882371437891207</v>
      </c>
      <c r="G8" s="294" t="str">
        <f>Market_currency</f>
        <v>HKD</v>
      </c>
      <c r="H8" s="314" t="str">
        <f>Normalized_FCF!B10</f>
        <v>Net Interest Income</v>
      </c>
      <c r="I8" s="313">
        <f>Normalized_FCF!C10</f>
        <v>-4525.9779323449202</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1.6744128904032363E-4</v>
      </c>
      <c r="J9" s="306"/>
      <c r="N9" s="304"/>
      <c r="O9" s="304"/>
    </row>
    <row r="10" spans="2:15" ht="13.5" thickTop="1">
      <c r="B10" s="107" t="s">
        <v>427</v>
      </c>
      <c r="C10" s="283">
        <f>C8*Exchange_Rate</f>
        <v>2806062.2349022729</v>
      </c>
      <c r="D10" t="str">
        <f>Market_currency</f>
        <v>HKD</v>
      </c>
      <c r="H10" s="308" t="s">
        <v>397</v>
      </c>
      <c r="I10" s="306">
        <f>Normalized_FCF!C41</f>
        <v>0.216</v>
      </c>
      <c r="N10" s="304"/>
      <c r="O10" s="304"/>
    </row>
    <row r="11" spans="2:15" ht="13.15">
      <c r="B11" s="136" t="s">
        <v>425</v>
      </c>
      <c r="C11" s="108">
        <f>(C10*scaling_factor)/Common_Shares</f>
        <v>129.64256108709142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2.5118128298608065E-2</v>
      </c>
      <c r="E16" s="308" t="s">
        <v>400</v>
      </c>
      <c r="F16" s="311">
        <f>Scenarios!C41</f>
        <v>2.5118128298608065E-2</v>
      </c>
    </row>
    <row r="17" spans="1:21" ht="13.25" customHeight="1">
      <c r="B17" s="308" t="s">
        <v>549</v>
      </c>
      <c r="C17" s="306">
        <f>Normalized_FCF!C77</f>
        <v>0.16099692826836479</v>
      </c>
      <c r="E17" s="308" t="s">
        <v>550</v>
      </c>
      <c r="F17" s="311">
        <f>Scenarios!C40</f>
        <v>0.16099692826836479</v>
      </c>
      <c r="H17" s="106" t="s">
        <v>412</v>
      </c>
    </row>
    <row r="18" spans="1:21" ht="13.25" customHeight="1">
      <c r="B18" s="308" t="s">
        <v>423</v>
      </c>
      <c r="C18" s="306">
        <f>Normalized_FCF!C81-Normalized_FCF!C82</f>
        <v>-1.0802317863518013E-2</v>
      </c>
      <c r="E18" s="308" t="s">
        <v>423</v>
      </c>
      <c r="F18" s="144">
        <f>IF(F14="II",C18/2,C18)</f>
        <v>-1.0802317863518013E-2</v>
      </c>
      <c r="H18" s="140" t="s">
        <v>97</v>
      </c>
      <c r="I18" s="129">
        <f>(L52+FV_adjustments)*Exchange_Rate/Common_Shares*scaling_factor</f>
        <v>120.96976544293689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1066900.9180899311</v>
      </c>
      <c r="D21" s="299">
        <f t="shared" ref="D21:D50" si="1">IF(A21="",0,IF(A21="I",$C$16,$F$16))</f>
        <v>2.5118128298608065E-2</v>
      </c>
      <c r="E21" s="299">
        <f>$C$17</f>
        <v>0.16099692826836479</v>
      </c>
      <c r="F21" s="277">
        <f>C21*E21</f>
        <v>171767.77057917719</v>
      </c>
      <c r="G21" s="299">
        <f t="shared" ref="G21:G50" si="2">IF(A21="",0%,IF(A21="I",$C$18,$F$18))</f>
        <v>-1.0802317863518013E-2</v>
      </c>
      <c r="H21" s="277">
        <f>(F21*(1-$I$10)+C21*(G21-$I$9))</f>
        <v>122962.286022985</v>
      </c>
      <c r="I21" s="299">
        <f>H21/C4-1</f>
        <v>-6.2730243436495137E-2</v>
      </c>
      <c r="J21" s="299">
        <f>H21/C21</f>
        <v>0.11525183260983966</v>
      </c>
      <c r="K21" s="119">
        <f t="shared" ref="K21:K50" si="3">IF($C$15&lt;B21,0,1/(1+Equity_Cost)^B21)</f>
        <v>0.93240093240093236</v>
      </c>
      <c r="L21" s="277">
        <f t="shared" ref="L21:L51" si="4">H21*K21</f>
        <v>114650.15013798136</v>
      </c>
    </row>
    <row r="22" spans="1:21">
      <c r="A22" s="302" t="str">
        <f t="shared" si="0"/>
        <v>I</v>
      </c>
      <c r="B22" s="117">
        <v>2</v>
      </c>
      <c r="C22" s="277">
        <f t="shared" ref="C22:C50" si="5">IF(A22="",0,C21*(1+D22))</f>
        <v>1093699.4722324167</v>
      </c>
      <c r="D22" s="299">
        <f t="shared" si="1"/>
        <v>2.5118128298608065E-2</v>
      </c>
      <c r="E22" s="299">
        <f t="shared" ref="E22:E50" si="6">IF($C$15&lt;B22,0,IF(B22&gt;=$F$15,$F$17,$C$17))</f>
        <v>0.16099692826836479</v>
      </c>
      <c r="F22" s="277">
        <f t="shared" ref="F22:F50" si="7">IF(A22="", 0,C22*E22)</f>
        <v>176082.25547815082</v>
      </c>
      <c r="G22" s="299">
        <f t="shared" si="2"/>
        <v>-1.0802317863518013E-2</v>
      </c>
      <c r="H22" s="277">
        <f t="shared" ref="H22:H50" si="8">IF(A22="", 0,F22*(1-$I$10)+C22*(G22-$I$9))</f>
        <v>126050.86849920047</v>
      </c>
      <c r="I22" s="299">
        <f t="shared" ref="I22:I50" si="9">IF(A22="", 0,H22/H21-1)</f>
        <v>2.5118128298607934E-2</v>
      </c>
      <c r="J22" s="299">
        <f>IF(A22="", 0,H22/C22)</f>
        <v>0.11525183260983966</v>
      </c>
      <c r="K22" s="119">
        <f t="shared" si="3"/>
        <v>0.86937149874212816</v>
      </c>
      <c r="L22" s="277">
        <f t="shared" si="4"/>
        <v>109585.03246489682</v>
      </c>
    </row>
    <row r="23" spans="1:21">
      <c r="A23" s="302" t="str">
        <f t="shared" si="0"/>
        <v>I</v>
      </c>
      <c r="B23" s="117">
        <v>3</v>
      </c>
      <c r="C23" s="277">
        <f t="shared" si="5"/>
        <v>1121171.1558960706</v>
      </c>
      <c r="D23" s="299">
        <f t="shared" si="1"/>
        <v>2.5118128298608065E-2</v>
      </c>
      <c r="E23" s="299">
        <f t="shared" si="6"/>
        <v>0.16099692826836479</v>
      </c>
      <c r="F23" s="277">
        <f t="shared" si="7"/>
        <v>180505.11216235932</v>
      </c>
      <c r="G23" s="299">
        <f t="shared" si="2"/>
        <v>-1.0802317863518013E-2</v>
      </c>
      <c r="H23" s="277">
        <f t="shared" si="8"/>
        <v>129217.03038631438</v>
      </c>
      <c r="I23" s="299">
        <f t="shared" si="9"/>
        <v>2.5118128298608156E-2</v>
      </c>
      <c r="J23" s="299">
        <f t="shared" ref="J23:J50" si="10">IF(A23="", 0,H23/C23)</f>
        <v>0.11525183260983966</v>
      </c>
      <c r="K23" s="119">
        <f t="shared" si="3"/>
        <v>0.81060279602995633</v>
      </c>
      <c r="L23" s="277">
        <f t="shared" si="4"/>
        <v>104743.68612583427</v>
      </c>
      <c r="N23" s="275"/>
      <c r="O23" s="275"/>
      <c r="P23" s="275"/>
      <c r="Q23" s="275"/>
      <c r="R23" s="275"/>
      <c r="S23" s="275"/>
      <c r="T23" s="275"/>
      <c r="U23" s="275"/>
    </row>
    <row r="24" spans="1:21">
      <c r="A24" s="302" t="str">
        <f t="shared" si="0"/>
        <v>I</v>
      </c>
      <c r="B24" s="117">
        <v>4</v>
      </c>
      <c r="C24" s="277">
        <f t="shared" si="5"/>
        <v>1149332.8768345669</v>
      </c>
      <c r="D24" s="299">
        <f t="shared" si="1"/>
        <v>2.5118128298608065E-2</v>
      </c>
      <c r="E24" s="299">
        <f t="shared" si="6"/>
        <v>0.16099692826836479</v>
      </c>
      <c r="F24" s="277">
        <f t="shared" si="7"/>
        <v>185039.06272820811</v>
      </c>
      <c r="G24" s="299">
        <f t="shared" si="2"/>
        <v>-1.0802317863518013E-2</v>
      </c>
      <c r="H24" s="277">
        <f t="shared" si="8"/>
        <v>132462.72033392297</v>
      </c>
      <c r="I24" s="299">
        <f t="shared" si="9"/>
        <v>2.5118128298608156E-2</v>
      </c>
      <c r="J24" s="299">
        <f t="shared" si="10"/>
        <v>0.11525183260983966</v>
      </c>
      <c r="K24" s="119">
        <f t="shared" si="3"/>
        <v>0.75580680282513402</v>
      </c>
      <c r="L24" s="277">
        <f t="shared" si="4"/>
        <v>100116.22514910219</v>
      </c>
      <c r="N24" s="275"/>
      <c r="O24" s="275"/>
      <c r="P24" s="275"/>
      <c r="Q24" s="275"/>
      <c r="R24" s="275"/>
      <c r="S24" s="275"/>
      <c r="T24" s="275"/>
      <c r="U24" s="275"/>
    </row>
    <row r="25" spans="1:21">
      <c r="A25" s="302" t="str">
        <f t="shared" si="0"/>
        <v>I</v>
      </c>
      <c r="B25" s="117">
        <v>5</v>
      </c>
      <c r="C25" s="277">
        <f t="shared" si="5"/>
        <v>1178201.9674927059</v>
      </c>
      <c r="D25" s="299">
        <f t="shared" si="1"/>
        <v>2.5118128298608065E-2</v>
      </c>
      <c r="E25" s="299">
        <f t="shared" si="6"/>
        <v>0.16099692826836479</v>
      </c>
      <c r="F25" s="277">
        <f t="shared" si="7"/>
        <v>189686.89764606944</v>
      </c>
      <c r="G25" s="299">
        <f t="shared" si="2"/>
        <v>-1.0802317863518013E-2</v>
      </c>
      <c r="H25" s="277">
        <f t="shared" si="8"/>
        <v>135789.9359380531</v>
      </c>
      <c r="I25" s="299">
        <f t="shared" si="9"/>
        <v>2.5118128298608156E-2</v>
      </c>
      <c r="J25" s="299">
        <f t="shared" si="10"/>
        <v>0.11525183260983966</v>
      </c>
      <c r="K25" s="119">
        <f t="shared" si="3"/>
        <v>0.70471496766912267</v>
      </c>
      <c r="L25" s="277">
        <f t="shared" si="4"/>
        <v>95693.200314377333</v>
      </c>
      <c r="N25" s="275"/>
      <c r="O25" s="275"/>
      <c r="P25" s="275"/>
      <c r="Q25" s="275"/>
      <c r="R25" s="275"/>
      <c r="S25" s="275"/>
      <c r="T25" s="275"/>
      <c r="U25" s="275"/>
    </row>
    <row r="26" spans="1:21">
      <c r="A26" s="302" t="str">
        <f t="shared" si="0"/>
        <v>I</v>
      </c>
      <c r="B26" s="117">
        <v>6</v>
      </c>
      <c r="C26" s="277">
        <f t="shared" si="5"/>
        <v>1207796.1956738601</v>
      </c>
      <c r="D26" s="299">
        <f t="shared" si="1"/>
        <v>2.5118128298608065E-2</v>
      </c>
      <c r="E26" s="299">
        <f t="shared" si="6"/>
        <v>0.16099692826836479</v>
      </c>
      <c r="F26" s="277">
        <f t="shared" si="7"/>
        <v>194451.47747770834</v>
      </c>
      <c r="G26" s="299">
        <f t="shared" si="2"/>
        <v>-1.0802317863518013E-2</v>
      </c>
      <c r="H26" s="277">
        <f t="shared" si="8"/>
        <v>139200.72497060488</v>
      </c>
      <c r="I26" s="299">
        <f t="shared" si="9"/>
        <v>2.5118128298607934E-2</v>
      </c>
      <c r="J26" s="299">
        <f t="shared" si="10"/>
        <v>0.11525183260983966</v>
      </c>
      <c r="K26" s="119">
        <f t="shared" si="3"/>
        <v>0.65707689293158289</v>
      </c>
      <c r="L26" s="277">
        <f t="shared" si="4"/>
        <v>91465.579857508856</v>
      </c>
    </row>
    <row r="27" spans="1:21">
      <c r="A27" s="302" t="str">
        <f t="shared" si="0"/>
        <v>I</v>
      </c>
      <c r="B27" s="117">
        <v>7</v>
      </c>
      <c r="C27" s="277">
        <f t="shared" si="5"/>
        <v>1238133.775475367</v>
      </c>
      <c r="D27" s="299">
        <f t="shared" si="1"/>
        <v>2.5118128298608065E-2</v>
      </c>
      <c r="E27" s="299">
        <f t="shared" si="6"/>
        <v>0.16099692826836479</v>
      </c>
      <c r="F27" s="277">
        <f t="shared" si="7"/>
        <v>199335.73463684734</v>
      </c>
      <c r="G27" s="299">
        <f t="shared" si="2"/>
        <v>-1.0802317863518013E-2</v>
      </c>
      <c r="H27" s="277">
        <f t="shared" si="8"/>
        <v>142697.18663967581</v>
      </c>
      <c r="I27" s="299">
        <f t="shared" si="9"/>
        <v>2.5118128298608378E-2</v>
      </c>
      <c r="J27" s="299">
        <f t="shared" si="10"/>
        <v>0.11525183260983968</v>
      </c>
      <c r="K27" s="119">
        <f t="shared" si="3"/>
        <v>0.61265910762851561</v>
      </c>
      <c r="L27" s="277">
        <f t="shared" si="4"/>
        <v>87424.731027763526</v>
      </c>
    </row>
    <row r="28" spans="1:21">
      <c r="A28" s="302" t="str">
        <f t="shared" si="0"/>
        <v>I</v>
      </c>
      <c r="B28" s="117">
        <v>8</v>
      </c>
      <c r="C28" s="277">
        <f t="shared" si="5"/>
        <v>1269233.3784985973</v>
      </c>
      <c r="D28" s="299">
        <f t="shared" si="1"/>
        <v>2.5118128298608065E-2</v>
      </c>
      <c r="E28" s="299">
        <f t="shared" si="6"/>
        <v>0.16099692826836479</v>
      </c>
      <c r="F28" s="277">
        <f t="shared" si="7"/>
        <v>204342.67519395295</v>
      </c>
      <c r="G28" s="299">
        <f t="shared" si="2"/>
        <v>-1.0802317863518013E-2</v>
      </c>
      <c r="H28" s="277">
        <f t="shared" si="8"/>
        <v>146281.47288154159</v>
      </c>
      <c r="I28" s="299">
        <f t="shared" si="9"/>
        <v>2.5118128298607934E-2</v>
      </c>
      <c r="J28" s="299">
        <f t="shared" si="10"/>
        <v>0.11525183260983965</v>
      </c>
      <c r="K28" s="119">
        <f t="shared" si="3"/>
        <v>0.5712439231967511</v>
      </c>
      <c r="L28" s="277">
        <f t="shared" si="4"/>
        <v>83562.402459850971</v>
      </c>
    </row>
    <row r="29" spans="1:21">
      <c r="A29" s="302" t="str">
        <f t="shared" si="0"/>
        <v>I</v>
      </c>
      <c r="B29" s="117">
        <v>9</v>
      </c>
      <c r="C29" s="277">
        <f t="shared" si="5"/>
        <v>1301114.145340601</v>
      </c>
      <c r="D29" s="299">
        <f t="shared" si="1"/>
        <v>2.5118128298608065E-2</v>
      </c>
      <c r="E29" s="299">
        <f t="shared" si="6"/>
        <v>0.16099692826836479</v>
      </c>
      <c r="F29" s="277">
        <f t="shared" si="7"/>
        <v>209475.38072635548</v>
      </c>
      <c r="G29" s="299">
        <f t="shared" si="2"/>
        <v>-1.0802317863518013E-2</v>
      </c>
      <c r="H29" s="277">
        <f t="shared" si="8"/>
        <v>149955.78968508952</v>
      </c>
      <c r="I29" s="299">
        <f t="shared" si="9"/>
        <v>2.5118128298608156E-2</v>
      </c>
      <c r="J29" s="299">
        <f t="shared" si="10"/>
        <v>0.11525183260983965</v>
      </c>
      <c r="K29" s="119">
        <f t="shared" si="3"/>
        <v>0.53262836661701729</v>
      </c>
      <c r="L29" s="277">
        <f t="shared" si="4"/>
        <v>79870.707324734205</v>
      </c>
    </row>
    <row r="30" spans="1:21">
      <c r="A30" s="302" t="str">
        <f t="shared" si="0"/>
        <v>I</v>
      </c>
      <c r="B30" s="117">
        <v>10</v>
      </c>
      <c r="C30" s="277">
        <f t="shared" si="5"/>
        <v>1333795.6973744</v>
      </c>
      <c r="D30" s="299">
        <f t="shared" si="1"/>
        <v>2.5118128298608065E-2</v>
      </c>
      <c r="E30" s="299">
        <f t="shared" si="6"/>
        <v>0.16099692826836479</v>
      </c>
      <c r="F30" s="277">
        <f t="shared" si="7"/>
        <v>214737.01021483986</v>
      </c>
      <c r="G30" s="299">
        <f t="shared" si="2"/>
        <v>-1.0802317863518013E-2</v>
      </c>
      <c r="H30" s="277">
        <f t="shared" si="8"/>
        <v>153722.39844951872</v>
      </c>
      <c r="I30" s="299">
        <f t="shared" si="9"/>
        <v>2.5118128298608378E-2</v>
      </c>
      <c r="J30" s="299">
        <f t="shared" si="10"/>
        <v>0.11525183260983968</v>
      </c>
      <c r="K30" s="119">
        <f t="shared" si="3"/>
        <v>0.49662318565689262</v>
      </c>
      <c r="L30" s="277">
        <f t="shared" si="4"/>
        <v>76342.107224818159</v>
      </c>
    </row>
    <row r="31" spans="1:21">
      <c r="A31" s="302" t="str">
        <f t="shared" si="0"/>
        <v>I</v>
      </c>
      <c r="B31" s="117">
        <v>11</v>
      </c>
      <c r="C31" s="277">
        <f t="shared" si="5"/>
        <v>1367298.1488251816</v>
      </c>
      <c r="D31" s="299">
        <f t="shared" si="1"/>
        <v>2.5118128298608065E-2</v>
      </c>
      <c r="E31" s="299">
        <f t="shared" si="6"/>
        <v>0.16099692826836479</v>
      </c>
      <c r="F31" s="277">
        <f t="shared" si="7"/>
        <v>220130.80198787572</v>
      </c>
      <c r="G31" s="299">
        <f t="shared" si="2"/>
        <v>-1.0802317863518013E-2</v>
      </c>
      <c r="H31" s="277">
        <f t="shared" si="8"/>
        <v>157583.61737614346</v>
      </c>
      <c r="I31" s="299">
        <f t="shared" si="9"/>
        <v>2.5118128298607934E-2</v>
      </c>
      <c r="J31" s="299">
        <f t="shared" si="10"/>
        <v>0.11525183260983965</v>
      </c>
      <c r="K31" s="119">
        <f t="shared" si="3"/>
        <v>0.46305192135840806</v>
      </c>
      <c r="L31" s="277">
        <f t="shared" si="4"/>
        <v>72969.396800631454</v>
      </c>
    </row>
    <row r="32" spans="1:21">
      <c r="A32" s="302" t="str">
        <f t="shared" si="0"/>
        <v>I</v>
      </c>
      <c r="B32" s="117">
        <v>12</v>
      </c>
      <c r="C32" s="277">
        <f t="shared" si="5"/>
        <v>1401642.119149822</v>
      </c>
      <c r="D32" s="299">
        <f t="shared" si="1"/>
        <v>2.5118128298608065E-2</v>
      </c>
      <c r="E32" s="299">
        <f t="shared" si="6"/>
        <v>0.16099692826836479</v>
      </c>
      <c r="F32" s="277">
        <f t="shared" si="7"/>
        <v>225660.07571468269</v>
      </c>
      <c r="G32" s="299">
        <f t="shared" si="2"/>
        <v>-1.0802317863518013E-2</v>
      </c>
      <c r="H32" s="277">
        <f t="shared" si="8"/>
        <v>161541.82289515622</v>
      </c>
      <c r="I32" s="299">
        <f t="shared" si="9"/>
        <v>2.5118128298608156E-2</v>
      </c>
      <c r="J32" s="299">
        <f t="shared" si="10"/>
        <v>0.11525183260983965</v>
      </c>
      <c r="K32" s="119">
        <f t="shared" si="3"/>
        <v>0.43175004322462285</v>
      </c>
      <c r="L32" s="277">
        <f t="shared" si="4"/>
        <v>69745.68901756806</v>
      </c>
    </row>
    <row r="33" spans="1:21">
      <c r="A33" s="302" t="str">
        <f t="shared" si="0"/>
        <v>I</v>
      </c>
      <c r="B33" s="117">
        <v>13</v>
      </c>
      <c r="C33" s="277">
        <f t="shared" si="5"/>
        <v>1436848.7457273602</v>
      </c>
      <c r="D33" s="299">
        <f t="shared" si="1"/>
        <v>2.5118128298608065E-2</v>
      </c>
      <c r="E33" s="299">
        <f t="shared" si="6"/>
        <v>0.16099692826836479</v>
      </c>
      <c r="F33" s="277">
        <f t="shared" si="7"/>
        <v>231328.23444835772</v>
      </c>
      <c r="G33" s="299">
        <f t="shared" si="2"/>
        <v>-1.0802317863518013E-2</v>
      </c>
      <c r="H33" s="277">
        <f t="shared" si="8"/>
        <v>165599.45112822778</v>
      </c>
      <c r="I33" s="299">
        <f t="shared" si="9"/>
        <v>2.5118128298608156E-2</v>
      </c>
      <c r="J33" s="299">
        <f t="shared" si="10"/>
        <v>0.11525183260983965</v>
      </c>
      <c r="K33" s="119">
        <f t="shared" si="3"/>
        <v>0.40256414286678116</v>
      </c>
      <c r="L33" s="277">
        <f t="shared" si="4"/>
        <v>66664.401102644435</v>
      </c>
      <c r="N33" s="275"/>
      <c r="O33" s="275"/>
      <c r="P33" s="275"/>
      <c r="Q33" s="275"/>
      <c r="R33" s="275"/>
      <c r="S33" s="275"/>
      <c r="T33" s="275"/>
      <c r="U33" s="275"/>
    </row>
    <row r="34" spans="1:21">
      <c r="A34" s="302" t="str">
        <f t="shared" si="0"/>
        <v>I</v>
      </c>
      <c r="B34" s="117">
        <v>14</v>
      </c>
      <c r="C34" s="277">
        <f t="shared" si="5"/>
        <v>1472939.6968682343</v>
      </c>
      <c r="D34" s="299">
        <f t="shared" si="1"/>
        <v>2.5118128298608065E-2</v>
      </c>
      <c r="E34" s="299">
        <f t="shared" si="6"/>
        <v>0.16099692826836479</v>
      </c>
      <c r="F34" s="277">
        <f t="shared" si="7"/>
        <v>237138.76672032211</v>
      </c>
      <c r="G34" s="299">
        <f t="shared" si="2"/>
        <v>-1.0802317863518013E-2</v>
      </c>
      <c r="H34" s="277">
        <f t="shared" si="8"/>
        <v>169758.99938784572</v>
      </c>
      <c r="I34" s="299">
        <f t="shared" si="9"/>
        <v>2.5118128298608378E-2</v>
      </c>
      <c r="J34" s="299">
        <f t="shared" si="10"/>
        <v>0.11525183260983966</v>
      </c>
      <c r="K34" s="119">
        <f t="shared" si="3"/>
        <v>0.37535118216016894</v>
      </c>
      <c r="L34" s="277">
        <f t="shared" si="4"/>
        <v>63719.241102555286</v>
      </c>
      <c r="N34" s="275"/>
      <c r="O34" s="275"/>
      <c r="P34" s="275"/>
      <c r="Q34" s="275"/>
      <c r="R34" s="275"/>
      <c r="S34" s="275"/>
      <c r="T34" s="275"/>
      <c r="U34" s="275"/>
    </row>
    <row r="35" spans="1:21">
      <c r="A35" s="302" t="str">
        <f t="shared" si="0"/>
        <v>I</v>
      </c>
      <c r="B35" s="117">
        <v>15</v>
      </c>
      <c r="C35" s="277">
        <f t="shared" si="5"/>
        <v>1509937.1851502836</v>
      </c>
      <c r="D35" s="299">
        <f t="shared" si="1"/>
        <v>2.5118128298608065E-2</v>
      </c>
      <c r="E35" s="299">
        <f t="shared" si="6"/>
        <v>0.16099692826836479</v>
      </c>
      <c r="F35" s="277">
        <f t="shared" si="7"/>
        <v>243095.24868737685</v>
      </c>
      <c r="G35" s="299">
        <f t="shared" si="2"/>
        <v>-1.0802317863518013E-2</v>
      </c>
      <c r="H35" s="277">
        <f t="shared" si="8"/>
        <v>174023.02771431298</v>
      </c>
      <c r="I35" s="299">
        <f t="shared" si="9"/>
        <v>2.5118128298608156E-2</v>
      </c>
      <c r="J35" s="299">
        <f t="shared" si="10"/>
        <v>0.11525183260983968</v>
      </c>
      <c r="K35" s="119">
        <f t="shared" si="3"/>
        <v>0.34997779222393377</v>
      </c>
      <c r="L35" s="277">
        <f t="shared" si="4"/>
        <v>60904.195035579694</v>
      </c>
      <c r="N35" s="275"/>
      <c r="O35" s="275"/>
      <c r="P35" s="275"/>
      <c r="Q35" s="275"/>
      <c r="R35" s="275"/>
      <c r="S35" s="275"/>
      <c r="T35" s="275"/>
      <c r="U35" s="275"/>
    </row>
    <row r="36" spans="1:21">
      <c r="A36" s="302" t="str">
        <f t="shared" si="0"/>
        <v>I</v>
      </c>
      <c r="B36" s="117">
        <v>16</v>
      </c>
      <c r="C36" s="277">
        <f t="shared" si="5"/>
        <v>1547863.9810897277</v>
      </c>
      <c r="D36" s="299">
        <f t="shared" si="1"/>
        <v>2.5118128298608065E-2</v>
      </c>
      <c r="E36" s="299">
        <f t="shared" si="6"/>
        <v>0.16099692826836479</v>
      </c>
      <c r="F36" s="277">
        <f t="shared" si="7"/>
        <v>249201.34633268844</v>
      </c>
      <c r="G36" s="299">
        <f t="shared" si="2"/>
        <v>-1.0802317863518013E-2</v>
      </c>
      <c r="H36" s="277">
        <f t="shared" si="8"/>
        <v>178394.16045135332</v>
      </c>
      <c r="I36" s="299">
        <f t="shared" si="9"/>
        <v>2.5118128298608156E-2</v>
      </c>
      <c r="J36" s="299">
        <f t="shared" si="10"/>
        <v>0.11525183260983966</v>
      </c>
      <c r="K36" s="119">
        <f t="shared" si="3"/>
        <v>0.32631961978921564</v>
      </c>
      <c r="L36" s="277">
        <f t="shared" si="4"/>
        <v>58213.514611101949</v>
      </c>
    </row>
    <row r="37" spans="1:21">
      <c r="A37" s="302" t="str">
        <f t="shared" si="0"/>
        <v>I</v>
      </c>
      <c r="B37" s="117">
        <v>17</v>
      </c>
      <c r="C37" s="277">
        <f t="shared" si="5"/>
        <v>1586743.4271555338</v>
      </c>
      <c r="D37" s="299">
        <f t="shared" si="1"/>
        <v>2.5118128298608065E-2</v>
      </c>
      <c r="E37" s="299">
        <f t="shared" si="6"/>
        <v>0.16099692826836479</v>
      </c>
      <c r="F37" s="277">
        <f t="shared" si="7"/>
        <v>255460.81772205877</v>
      </c>
      <c r="G37" s="299">
        <f t="shared" si="2"/>
        <v>-1.0802317863518013E-2</v>
      </c>
      <c r="H37" s="277">
        <f t="shared" si="8"/>
        <v>182875.08786129288</v>
      </c>
      <c r="I37" s="299">
        <f t="shared" si="9"/>
        <v>2.5118128298607934E-2</v>
      </c>
      <c r="J37" s="299">
        <f t="shared" si="10"/>
        <v>0.11525183260983965</v>
      </c>
      <c r="K37" s="119">
        <f t="shared" si="3"/>
        <v>0.30426071775218239</v>
      </c>
      <c r="L37" s="277">
        <f t="shared" si="4"/>
        <v>55641.705491670386</v>
      </c>
    </row>
    <row r="38" spans="1:21">
      <c r="A38" s="302" t="str">
        <f t="shared" si="0"/>
        <v>I</v>
      </c>
      <c r="B38" s="117">
        <v>18</v>
      </c>
      <c r="C38" s="277">
        <f t="shared" si="5"/>
        <v>1626599.4521357997</v>
      </c>
      <c r="D38" s="299">
        <f t="shared" si="1"/>
        <v>2.5118128298608065E-2</v>
      </c>
      <c r="E38" s="299">
        <f t="shared" si="6"/>
        <v>0.16099692826836479</v>
      </c>
      <c r="F38" s="277">
        <f t="shared" si="7"/>
        <v>261877.51531686881</v>
      </c>
      <c r="G38" s="299">
        <f t="shared" si="2"/>
        <v>-1.0802317863518013E-2</v>
      </c>
      <c r="H38" s="277">
        <f t="shared" si="8"/>
        <v>187468.5677808121</v>
      </c>
      <c r="I38" s="299">
        <f t="shared" si="9"/>
        <v>2.5118128298608378E-2</v>
      </c>
      <c r="J38" s="299">
        <f t="shared" si="10"/>
        <v>0.11525183260983966</v>
      </c>
      <c r="K38" s="119">
        <f t="shared" si="3"/>
        <v>0.28369297692511181</v>
      </c>
      <c r="L38" s="277">
        <f t="shared" si="4"/>
        <v>53183.516073625688</v>
      </c>
    </row>
    <row r="39" spans="1:21">
      <c r="A39" s="302" t="str">
        <f t="shared" si="0"/>
        <v>I</v>
      </c>
      <c r="B39" s="117">
        <v>19</v>
      </c>
      <c r="C39" s="277">
        <f t="shared" si="5"/>
        <v>1667456.5858649923</v>
      </c>
      <c r="D39" s="299">
        <f t="shared" si="1"/>
        <v>2.5118128298608065E-2</v>
      </c>
      <c r="E39" s="299">
        <f t="shared" si="6"/>
        <v>0.16099692826836479</v>
      </c>
      <c r="F39" s="277">
        <f t="shared" si="7"/>
        <v>268455.38834511861</v>
      </c>
      <c r="G39" s="299">
        <f t="shared" si="2"/>
        <v>-1.0802317863518013E-2</v>
      </c>
      <c r="H39" s="277">
        <f t="shared" si="8"/>
        <v>192177.42731828682</v>
      </c>
      <c r="I39" s="299">
        <f t="shared" si="9"/>
        <v>2.5118128298607934E-2</v>
      </c>
      <c r="J39" s="299">
        <f t="shared" si="10"/>
        <v>0.11525183260983965</v>
      </c>
      <c r="K39" s="119">
        <f t="shared" si="3"/>
        <v>0.26451559620057047</v>
      </c>
      <c r="L39" s="277">
        <f t="shared" si="4"/>
        <v>50833.926763388437</v>
      </c>
    </row>
    <row r="40" spans="1:21">
      <c r="A40" s="302" t="str">
        <f t="shared" si="0"/>
        <v>I</v>
      </c>
      <c r="B40" s="117">
        <v>20</v>
      </c>
      <c r="C40" s="277">
        <f t="shared" si="5"/>
        <v>1709339.9743211083</v>
      </c>
      <c r="D40" s="299">
        <f t="shared" si="1"/>
        <v>2.5118128298608065E-2</v>
      </c>
      <c r="E40" s="299">
        <f t="shared" si="6"/>
        <v>0.16099692826836479</v>
      </c>
      <c r="F40" s="277">
        <f t="shared" si="7"/>
        <v>275198.48523202399</v>
      </c>
      <c r="G40" s="299">
        <f t="shared" si="2"/>
        <v>-1.0802317863518013E-2</v>
      </c>
      <c r="H40" s="277">
        <f t="shared" si="8"/>
        <v>197004.56459376399</v>
      </c>
      <c r="I40" s="299">
        <f t="shared" si="9"/>
        <v>2.5118128298608156E-2</v>
      </c>
      <c r="J40" s="299">
        <f t="shared" si="10"/>
        <v>0.11525183260983966</v>
      </c>
      <c r="K40" s="119">
        <f t="shared" si="3"/>
        <v>0.2466345885320004</v>
      </c>
      <c r="L40" s="277">
        <f t="shared" si="4"/>
        <v>48588.139727508875</v>
      </c>
    </row>
    <row r="41" spans="1:21">
      <c r="A41" s="302" t="str">
        <f t="shared" si="0"/>
        <v>I</v>
      </c>
      <c r="B41" s="117">
        <v>21</v>
      </c>
      <c r="C41" s="277">
        <f t="shared" si="5"/>
        <v>1752275.3951020455</v>
      </c>
      <c r="D41" s="299">
        <f t="shared" si="1"/>
        <v>2.5118128298608065E-2</v>
      </c>
      <c r="E41" s="299">
        <f t="shared" si="6"/>
        <v>0.16099692826836479</v>
      </c>
      <c r="F41" s="277">
        <f t="shared" si="7"/>
        <v>282110.95609166456</v>
      </c>
      <c r="G41" s="299">
        <f t="shared" si="2"/>
        <v>-1.0802317863518013E-2</v>
      </c>
      <c r="H41" s="277">
        <f t="shared" si="8"/>
        <v>201952.95052264156</v>
      </c>
      <c r="I41" s="299">
        <f t="shared" si="9"/>
        <v>2.5118128298607934E-2</v>
      </c>
      <c r="J41" s="299">
        <f t="shared" si="10"/>
        <v>0.11525183260983964</v>
      </c>
      <c r="K41" s="119">
        <f t="shared" si="3"/>
        <v>0.22996232030955746</v>
      </c>
      <c r="L41" s="277">
        <f t="shared" si="4"/>
        <v>46441.569095547908</v>
      </c>
    </row>
    <row r="42" spans="1:21">
      <c r="A42" s="302" t="str">
        <f t="shared" si="0"/>
        <v>I</v>
      </c>
      <c r="B42" s="117">
        <v>22</v>
      </c>
      <c r="C42" s="277">
        <f t="shared" si="5"/>
        <v>1796289.2732907131</v>
      </c>
      <c r="D42" s="299">
        <f t="shared" si="1"/>
        <v>2.5118128298608065E-2</v>
      </c>
      <c r="E42" s="299">
        <f t="shared" si="6"/>
        <v>0.16099692826836479</v>
      </c>
      <c r="F42" s="277">
        <f t="shared" si="7"/>
        <v>289197.05528121802</v>
      </c>
      <c r="G42" s="299">
        <f t="shared" si="2"/>
        <v>-1.0802317863518013E-2</v>
      </c>
      <c r="H42" s="277">
        <f t="shared" si="8"/>
        <v>207025.6306441518</v>
      </c>
      <c r="I42" s="299">
        <f t="shared" si="9"/>
        <v>2.5118128298608378E-2</v>
      </c>
      <c r="J42" s="299">
        <f t="shared" si="10"/>
        <v>0.11525183260983966</v>
      </c>
      <c r="K42" s="119">
        <f t="shared" si="3"/>
        <v>0.21441708187371325</v>
      </c>
      <c r="L42" s="277">
        <f t="shared" si="4"/>
        <v>44389.831595784213</v>
      </c>
    </row>
    <row r="43" spans="1:21">
      <c r="A43" s="302" t="str">
        <f t="shared" si="0"/>
        <v>I</v>
      </c>
      <c r="B43" s="117">
        <v>23</v>
      </c>
      <c r="C43" s="277">
        <f t="shared" si="5"/>
        <v>1841408.6977186429</v>
      </c>
      <c r="D43" s="299">
        <f t="shared" si="1"/>
        <v>2.5118128298608065E-2</v>
      </c>
      <c r="E43" s="299">
        <f t="shared" si="6"/>
        <v>0.16099692826836479</v>
      </c>
      <c r="F43" s="277">
        <f t="shared" si="7"/>
        <v>296461.14401935134</v>
      </c>
      <c r="G43" s="299">
        <f t="shared" si="2"/>
        <v>-1.0802317863518013E-2</v>
      </c>
      <c r="H43" s="277">
        <f t="shared" si="8"/>
        <v>212225.72699577184</v>
      </c>
      <c r="I43" s="299">
        <f t="shared" si="9"/>
        <v>2.5118128298607934E-2</v>
      </c>
      <c r="J43" s="299">
        <f t="shared" si="10"/>
        <v>0.11525183260983965</v>
      </c>
      <c r="K43" s="119">
        <f t="shared" si="3"/>
        <v>0.19992268706173733</v>
      </c>
      <c r="L43" s="277">
        <f t="shared" si="4"/>
        <v>42428.737604625392</v>
      </c>
    </row>
    <row r="44" spans="1:21">
      <c r="A44" s="302" t="str">
        <f t="shared" si="0"/>
        <v>I</v>
      </c>
      <c r="B44" s="117">
        <v>24</v>
      </c>
      <c r="C44" s="277">
        <f t="shared" si="5"/>
        <v>1887661.4376381128</v>
      </c>
      <c r="D44" s="299">
        <f t="shared" si="1"/>
        <v>2.5118128298608065E-2</v>
      </c>
      <c r="E44" s="299">
        <f t="shared" si="6"/>
        <v>0.16099692826836479</v>
      </c>
      <c r="F44" s="277">
        <f t="shared" si="7"/>
        <v>303907.69307038159</v>
      </c>
      <c r="G44" s="299">
        <f t="shared" si="2"/>
        <v>-1.0802317863518013E-2</v>
      </c>
      <c r="H44" s="277">
        <f t="shared" si="8"/>
        <v>217556.44003471706</v>
      </c>
      <c r="I44" s="299">
        <f t="shared" si="9"/>
        <v>2.5118128298608378E-2</v>
      </c>
      <c r="J44" s="299">
        <f t="shared" si="10"/>
        <v>0.11525183260983966</v>
      </c>
      <c r="K44" s="119">
        <f t="shared" si="3"/>
        <v>0.18640809982446369</v>
      </c>
      <c r="L44" s="277">
        <f t="shared" si="4"/>
        <v>40554.282591446485</v>
      </c>
    </row>
    <row r="45" spans="1:21">
      <c r="A45" s="302" t="str">
        <f t="shared" si="0"/>
        <v>I</v>
      </c>
      <c r="B45" s="117">
        <v>25</v>
      </c>
      <c r="C45" s="277">
        <f t="shared" si="5"/>
        <v>1935075.9598130421</v>
      </c>
      <c r="D45" s="299">
        <f t="shared" si="1"/>
        <v>2.5118128298608065E-2</v>
      </c>
      <c r="E45" s="299">
        <f t="shared" si="6"/>
        <v>0.16099692826836479</v>
      </c>
      <c r="F45" s="277">
        <f t="shared" si="7"/>
        <v>311541.28549585748</v>
      </c>
      <c r="G45" s="299">
        <f t="shared" si="2"/>
        <v>-1.0802317863518013E-2</v>
      </c>
      <c r="H45" s="277">
        <f t="shared" si="8"/>
        <v>223021.05060769754</v>
      </c>
      <c r="I45" s="299">
        <f t="shared" si="9"/>
        <v>2.5118128298608156E-2</v>
      </c>
      <c r="J45" s="299">
        <f t="shared" si="10"/>
        <v>0.11525183260983966</v>
      </c>
      <c r="K45" s="119">
        <f t="shared" si="3"/>
        <v>0.17380708608341602</v>
      </c>
      <c r="L45" s="277">
        <f t="shared" si="4"/>
        <v>38762.638941385965</v>
      </c>
    </row>
    <row r="46" spans="1:21">
      <c r="A46" s="302" t="str">
        <f t="shared" si="0"/>
        <v>I</v>
      </c>
      <c r="B46" s="117">
        <v>26</v>
      </c>
      <c r="C46" s="277">
        <f t="shared" si="5"/>
        <v>1983681.4460391784</v>
      </c>
      <c r="D46" s="299">
        <f t="shared" si="1"/>
        <v>2.5118128298608065E-2</v>
      </c>
      <c r="E46" s="299">
        <f t="shared" si="6"/>
        <v>0.16099692826836479</v>
      </c>
      <c r="F46" s="277">
        <f t="shared" si="7"/>
        <v>319366.61947525572</v>
      </c>
      <c r="G46" s="299">
        <f t="shared" si="2"/>
        <v>-1.0802317863518013E-2</v>
      </c>
      <c r="H46" s="277">
        <f t="shared" si="8"/>
        <v>228622.92197015206</v>
      </c>
      <c r="I46" s="299">
        <f t="shared" si="9"/>
        <v>2.5118128298608156E-2</v>
      </c>
      <c r="J46" s="299">
        <f t="shared" si="10"/>
        <v>0.11525183260983965</v>
      </c>
      <c r="K46" s="119">
        <f t="shared" si="3"/>
        <v>0.16205788912206626</v>
      </c>
      <c r="L46" s="277">
        <f t="shared" si="4"/>
        <v>37050.14813940171</v>
      </c>
    </row>
    <row r="47" spans="1:21">
      <c r="A47" s="302" t="str">
        <f t="shared" si="0"/>
        <v>I</v>
      </c>
      <c r="B47" s="117">
        <v>27</v>
      </c>
      <c r="C47" s="277">
        <f t="shared" si="5"/>
        <v>2033507.8111043591</v>
      </c>
      <c r="D47" s="299">
        <f t="shared" si="1"/>
        <v>2.5118128298608065E-2</v>
      </c>
      <c r="E47" s="299">
        <f t="shared" si="6"/>
        <v>0.16099692826836479</v>
      </c>
      <c r="F47" s="277">
        <f t="shared" si="7"/>
        <v>327388.51119752799</v>
      </c>
      <c r="G47" s="299">
        <f t="shared" si="2"/>
        <v>-1.0802317863518013E-2</v>
      </c>
      <c r="H47" s="277">
        <f t="shared" si="8"/>
        <v>234365.50185620104</v>
      </c>
      <c r="I47" s="299">
        <f t="shared" si="9"/>
        <v>2.5118128298608156E-2</v>
      </c>
      <c r="J47" s="299">
        <f t="shared" si="10"/>
        <v>0.11525183260983966</v>
      </c>
      <c r="K47" s="119">
        <f t="shared" si="3"/>
        <v>0.15110292692034147</v>
      </c>
      <c r="L47" s="277">
        <f t="shared" si="4"/>
        <v>35413.313299626701</v>
      </c>
      <c r="N47" s="275"/>
      <c r="O47" s="275"/>
      <c r="P47" s="275"/>
      <c r="Q47" s="275"/>
      <c r="R47" s="275"/>
      <c r="S47" s="275"/>
      <c r="T47" s="275"/>
      <c r="U47" s="275"/>
    </row>
    <row r="48" spans="1:21">
      <c r="A48" s="302" t="str">
        <f t="shared" si="0"/>
        <v>I</v>
      </c>
      <c r="B48" s="117">
        <v>28</v>
      </c>
      <c r="C48" s="277">
        <f t="shared" si="5"/>
        <v>2084585.7211999001</v>
      </c>
      <c r="D48" s="299">
        <f t="shared" si="1"/>
        <v>2.5118128298608065E-2</v>
      </c>
      <c r="E48" s="299">
        <f t="shared" si="6"/>
        <v>0.16099692826836479</v>
      </c>
      <c r="F48" s="277">
        <f t="shared" si="7"/>
        <v>335611.89782527782</v>
      </c>
      <c r="G48" s="299">
        <f t="shared" si="2"/>
        <v>-1.0802317863518013E-2</v>
      </c>
      <c r="H48" s="277">
        <f t="shared" si="8"/>
        <v>240252.32460059281</v>
      </c>
      <c r="I48" s="299">
        <f t="shared" si="9"/>
        <v>2.5118128298608156E-2</v>
      </c>
      <c r="J48" s="299">
        <f t="shared" si="10"/>
        <v>0.11525183260983968</v>
      </c>
      <c r="K48" s="119">
        <f t="shared" si="3"/>
        <v>0.14088850994903634</v>
      </c>
      <c r="L48" s="277">
        <f t="shared" si="4"/>
        <v>33848.792024769726</v>
      </c>
      <c r="N48" s="275"/>
      <c r="O48" s="275"/>
      <c r="P48" s="275"/>
      <c r="Q48" s="275"/>
      <c r="R48" s="275"/>
      <c r="S48" s="275"/>
      <c r="T48" s="275"/>
      <c r="U48" s="275"/>
    </row>
    <row r="49" spans="1:21">
      <c r="A49" s="302" t="str">
        <f t="shared" si="0"/>
        <v>I</v>
      </c>
      <c r="B49" s="117">
        <v>29</v>
      </c>
      <c r="C49" s="277">
        <f t="shared" si="5"/>
        <v>2136946.6127944458</v>
      </c>
      <c r="D49" s="299">
        <f t="shared" si="1"/>
        <v>2.5118128298608065E-2</v>
      </c>
      <c r="E49" s="299">
        <f t="shared" si="6"/>
        <v>0.16099692826836479</v>
      </c>
      <c r="F49" s="277">
        <f t="shared" si="7"/>
        <v>344041.8405333925</v>
      </c>
      <c r="G49" s="299">
        <f t="shared" si="2"/>
        <v>-1.0802317863518013E-2</v>
      </c>
      <c r="H49" s="277">
        <f t="shared" si="8"/>
        <v>246287.01331394931</v>
      </c>
      <c r="I49" s="299">
        <f t="shared" si="9"/>
        <v>2.5118128298607934E-2</v>
      </c>
      <c r="J49" s="299">
        <f t="shared" si="10"/>
        <v>0.11525183260983966</v>
      </c>
      <c r="K49" s="119">
        <f t="shared" si="3"/>
        <v>0.1313645780410595</v>
      </c>
      <c r="L49" s="277">
        <f t="shared" si="4"/>
        <v>32353.389580979754</v>
      </c>
      <c r="N49" s="275"/>
      <c r="O49" s="275"/>
      <c r="P49" s="275"/>
      <c r="Q49" s="275"/>
      <c r="R49" s="275"/>
      <c r="S49" s="275"/>
      <c r="T49" s="275"/>
      <c r="U49" s="275"/>
    </row>
    <row r="50" spans="1:21">
      <c r="A50" s="302" t="str">
        <f t="shared" si="0"/>
        <v>I</v>
      </c>
      <c r="B50" s="117">
        <v>30</v>
      </c>
      <c r="C50" s="277">
        <f t="shared" si="5"/>
        <v>2190622.7119818931</v>
      </c>
      <c r="D50" s="299">
        <f t="shared" si="1"/>
        <v>2.5118128298608065E-2</v>
      </c>
      <c r="E50" s="299">
        <f t="shared" si="6"/>
        <v>0.16099692826836479</v>
      </c>
      <c r="F50" s="277">
        <f t="shared" si="7"/>
        <v>352683.52762399957</v>
      </c>
      <c r="G50" s="299">
        <f t="shared" si="2"/>
        <v>-1.0802317863518013E-2</v>
      </c>
      <c r="H50" s="277">
        <f t="shared" si="8"/>
        <v>252473.28211265014</v>
      </c>
      <c r="I50" s="299">
        <f t="shared" si="9"/>
        <v>2.5118128298608378E-2</v>
      </c>
      <c r="J50" s="299">
        <f t="shared" si="10"/>
        <v>0.11525183260983966</v>
      </c>
      <c r="K50" s="119">
        <f t="shared" si="3"/>
        <v>0.12248445504993893</v>
      </c>
      <c r="L50" s="277">
        <f t="shared" si="4"/>
        <v>30924.052374237446</v>
      </c>
      <c r="N50" s="275"/>
      <c r="O50" s="275"/>
      <c r="P50" s="275"/>
      <c r="Q50" s="275"/>
      <c r="R50" s="275"/>
      <c r="S50" s="275"/>
      <c r="T50" s="275"/>
      <c r="U50" s="275"/>
    </row>
    <row r="51" spans="1:21">
      <c r="A51" s="315" t="s">
        <v>418</v>
      </c>
      <c r="B51" s="316">
        <f>C15+1</f>
        <v>31</v>
      </c>
      <c r="C51" s="277">
        <f>VLOOKUP(C15,B21:C50,2,FALSE)*(1+Terminal_Growth)</f>
        <v>2234435.1662215311</v>
      </c>
      <c r="D51" s="301">
        <f>Terminal_Growth</f>
        <v>0.02</v>
      </c>
      <c r="E51" s="301">
        <f>F17</f>
        <v>0.16099692826836479</v>
      </c>
      <c r="F51" s="277">
        <f>C51*E51</f>
        <v>359737.19817647961</v>
      </c>
      <c r="G51" s="299">
        <f>F18</f>
        <v>-1.0802317863518013E-2</v>
      </c>
      <c r="H51" s="277">
        <f>(F51*(1-$I$10)+C51*(G51-$I$9))/Equity_Cost</f>
        <v>3552037.9000676302</v>
      </c>
      <c r="I51" s="415">
        <f>(F51*(1-$I$10)+C51*(G51-$I$9))/VLOOKUP(C15,B21:H50,COLUMN(H20)-1,FALSE)-1</f>
        <v>2.000000000000024E-2</v>
      </c>
      <c r="J51" s="454"/>
      <c r="K51" s="119">
        <f>1/(1+Equity_Cost)^C15</f>
        <v>0.12248445504993893</v>
      </c>
      <c r="L51" s="277">
        <f t="shared" si="4"/>
        <v>435069.42650651315</v>
      </c>
    </row>
    <row r="52" spans="1:21" ht="13.15">
      <c r="G52" s="111"/>
      <c r="H52" s="111"/>
      <c r="I52" s="111"/>
      <c r="J52" s="468" t="s">
        <v>420</v>
      </c>
      <c r="K52" s="468"/>
      <c r="L52" s="317">
        <f>SUM(L21:L51)</f>
        <v>2361153.7295674607</v>
      </c>
    </row>
    <row r="53" spans="1:21">
      <c r="C53" s="111"/>
    </row>
    <row r="54" spans="1:21" ht="13.15">
      <c r="B54" s="115" t="s">
        <v>108</v>
      </c>
      <c r="C54" s="128"/>
      <c r="D54" s="128"/>
      <c r="E54" s="113"/>
      <c r="F54" s="113"/>
      <c r="G54" s="113"/>
      <c r="H54" s="113"/>
      <c r="I54" s="113"/>
      <c r="J54" s="113"/>
      <c r="K54" s="113"/>
      <c r="L54" s="113"/>
    </row>
    <row r="55" spans="1:21" ht="13.15">
      <c r="A55" s="125">
        <f>L52</f>
        <v>2361153.7295674607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1685326.9016354138</v>
      </c>
      <c r="C56" s="118">
        <v>1702180.1706517683</v>
      </c>
      <c r="D56" s="118">
        <v>1719033.439668122</v>
      </c>
      <c r="E56" s="118">
        <v>1735886.7086844763</v>
      </c>
      <c r="F56" s="118">
        <v>1769593.2467171843</v>
      </c>
      <c r="G56" s="295"/>
      <c r="H56" s="295"/>
      <c r="I56" s="295"/>
      <c r="J56" s="295"/>
      <c r="K56" s="295"/>
      <c r="L56" s="295"/>
    </row>
    <row r="57" spans="1:21" ht="13.15">
      <c r="A57" s="131">
        <v>2</v>
      </c>
      <c r="B57" s="118">
        <v>1683241.290154404</v>
      </c>
      <c r="C57" s="118">
        <v>1715944.8468382484</v>
      </c>
      <c r="D57" s="118">
        <v>1748962.6835969908</v>
      </c>
      <c r="E57" s="118">
        <v>1782294.8004306296</v>
      </c>
      <c r="F57" s="118">
        <v>1849901.8743225993</v>
      </c>
      <c r="G57" s="295"/>
      <c r="H57" s="295"/>
      <c r="I57" s="295"/>
      <c r="J57" s="295"/>
      <c r="K57" s="295"/>
      <c r="L57" s="295"/>
    </row>
    <row r="58" spans="1:21" ht="13.15">
      <c r="A58" s="131">
        <v>3</v>
      </c>
      <c r="B58" s="118">
        <v>1681296.664064884</v>
      </c>
      <c r="C58" s="118">
        <v>1728907.3857178248</v>
      </c>
      <c r="D58" s="118">
        <v>1777426.859641229</v>
      </c>
      <c r="E58" s="118">
        <v>1826863.8768861429</v>
      </c>
      <c r="F58" s="118">
        <v>1928525.7055446832</v>
      </c>
      <c r="G58" s="295"/>
      <c r="H58" s="295"/>
      <c r="I58" s="295"/>
      <c r="J58" s="295"/>
      <c r="K58" s="295"/>
      <c r="L58" s="295"/>
    </row>
    <row r="59" spans="1:21" ht="13.15">
      <c r="A59" s="131">
        <v>4</v>
      </c>
      <c r="B59" s="118">
        <v>1679483.4928858441</v>
      </c>
      <c r="C59" s="118">
        <v>1741114.5318888009</v>
      </c>
      <c r="D59" s="118">
        <v>1804497.6844105744</v>
      </c>
      <c r="E59" s="118">
        <v>1869666.8127828129</v>
      </c>
      <c r="F59" s="118">
        <v>2005500.0857621075</v>
      </c>
      <c r="G59" s="295"/>
      <c r="H59" s="295"/>
      <c r="I59" s="295"/>
      <c r="J59" s="295"/>
      <c r="K59" s="295"/>
      <c r="L59" s="295"/>
    </row>
    <row r="60" spans="1:21" ht="13.15">
      <c r="A60" s="131">
        <v>5</v>
      </c>
      <c r="B60" s="118">
        <v>1677792.8903879053</v>
      </c>
      <c r="C60" s="118">
        <v>1752610.3059052913</v>
      </c>
      <c r="D60" s="118">
        <v>1830243.3639114914</v>
      </c>
      <c r="E60" s="118">
        <v>1910773.5950425516</v>
      </c>
      <c r="F60" s="118">
        <v>2080859.618842104</v>
      </c>
      <c r="G60" s="295"/>
      <c r="H60" s="295"/>
      <c r="I60" s="295"/>
      <c r="J60" s="295"/>
      <c r="K60" s="295"/>
      <c r="L60" s="295"/>
    </row>
    <row r="61" spans="1:21" ht="13.15">
      <c r="A61" s="131">
        <v>6</v>
      </c>
      <c r="B61" s="118">
        <v>1676216.5710425074</v>
      </c>
      <c r="C61" s="118">
        <v>1763436.1630210537</v>
      </c>
      <c r="D61" s="118">
        <v>1854728.7653948802</v>
      </c>
      <c r="E61" s="118">
        <v>1950251.4372127438</v>
      </c>
      <c r="F61" s="118">
        <v>2154638.1826966461</v>
      </c>
      <c r="G61" s="295"/>
      <c r="H61" s="295"/>
      <c r="I61" s="295"/>
      <c r="J61" s="295"/>
      <c r="K61" s="295"/>
      <c r="L61" s="295"/>
    </row>
    <row r="62" spans="1:21" ht="13.15">
      <c r="A62" s="131">
        <v>7</v>
      </c>
      <c r="B62" s="118">
        <v>1674746.8094150973</v>
      </c>
      <c r="C62" s="118">
        <v>1773631.1426825176</v>
      </c>
      <c r="D62" s="118">
        <v>1878015.5807916697</v>
      </c>
      <c r="E62" s="118">
        <v>1988164.889366868</v>
      </c>
      <c r="F62" s="118">
        <v>2226868.9445122816</v>
      </c>
      <c r="G62" s="295"/>
      <c r="H62" s="295"/>
      <c r="I62" s="295"/>
      <c r="J62" s="295"/>
      <c r="K62" s="295"/>
      <c r="L62" s="295"/>
    </row>
    <row r="63" spans="1:21" ht="13.15">
      <c r="A63" s="131">
        <v>8</v>
      </c>
      <c r="B63" s="118">
        <v>1673376.4023032926</v>
      </c>
      <c r="C63" s="118">
        <v>1783232.009310097</v>
      </c>
      <c r="D63" s="118">
        <v>1900162.4821480571</v>
      </c>
      <c r="E63" s="118">
        <v>2024575.9436500827</v>
      </c>
      <c r="F63" s="118">
        <v>2297584.3756604558</v>
      </c>
      <c r="G63" s="295"/>
      <c r="H63" s="295"/>
      <c r="I63" s="295"/>
      <c r="J63" s="295"/>
      <c r="K63" s="295"/>
      <c r="L63" s="295"/>
    </row>
    <row r="64" spans="1:21" ht="13.15">
      <c r="A64" s="131">
        <v>9</v>
      </c>
      <c r="B64" s="118">
        <v>1672098.633434477</v>
      </c>
      <c r="C64" s="118">
        <v>1792273.3848754629</v>
      </c>
      <c r="D64" s="118">
        <v>1921225.2694520331</v>
      </c>
      <c r="E64" s="118">
        <v>2059544.1356423539</v>
      </c>
      <c r="F64" s="118">
        <v>2366816.2662950326</v>
      </c>
      <c r="G64" s="295"/>
      <c r="H64" s="295"/>
      <c r="I64" s="295"/>
      <c r="J64" s="295"/>
      <c r="K64" s="295"/>
      <c r="L64" s="295"/>
    </row>
    <row r="65" spans="1:21" ht="13.15">
      <c r="A65" s="131">
        <v>10</v>
      </c>
      <c r="B65" s="118">
        <v>1670907.2405498007</v>
      </c>
      <c r="C65" s="118">
        <v>1800787.8737528706</v>
      </c>
      <c r="D65" s="118">
        <v>1941257.0112236473</v>
      </c>
      <c r="E65" s="118">
        <v>2093126.6417048622</v>
      </c>
      <c r="F65" s="118">
        <v>2434595.7396435691</v>
      </c>
      <c r="G65" s="295"/>
      <c r="H65" s="295"/>
      <c r="I65" s="295"/>
      <c r="J65" s="295"/>
      <c r="K65" s="295"/>
      <c r="L65" s="295"/>
    </row>
    <row r="66" spans="1:21" ht="13.15">
      <c r="A66" s="131">
        <v>15</v>
      </c>
      <c r="B66" s="118">
        <v>1666054.8200467599</v>
      </c>
      <c r="C66" s="277">
        <v>1836471.1922480257</v>
      </c>
      <c r="D66" s="118">
        <v>2027632.5413782506</v>
      </c>
      <c r="E66" s="118">
        <v>2242101.3840322774</v>
      </c>
      <c r="F66" s="118">
        <v>2752751.2137071649</v>
      </c>
      <c r="G66" s="295"/>
      <c r="H66" s="295"/>
      <c r="I66" s="295"/>
      <c r="J66" s="295"/>
      <c r="K66" s="295"/>
      <c r="L66" s="295"/>
      <c r="M66" s="275"/>
      <c r="N66" s="275"/>
      <c r="O66" s="275"/>
      <c r="P66" s="275"/>
      <c r="Q66" s="275"/>
      <c r="R66" s="275"/>
      <c r="S66" s="275"/>
      <c r="T66" s="275"/>
      <c r="U66" s="275"/>
    </row>
    <row r="67" spans="1:21" ht="13.15">
      <c r="A67" s="132">
        <v>20</v>
      </c>
      <c r="B67" s="118">
        <v>1662635.2466888428</v>
      </c>
      <c r="C67" s="277">
        <v>1862900.4886138171</v>
      </c>
      <c r="D67" s="118">
        <v>2094838.0822295498</v>
      </c>
      <c r="E67" s="118">
        <v>2363807.460556563</v>
      </c>
      <c r="F67" s="118">
        <v>3038904.9303456852</v>
      </c>
      <c r="G67" s="295"/>
      <c r="H67" s="295"/>
      <c r="I67" s="295"/>
      <c r="J67" s="295"/>
      <c r="K67" s="295"/>
      <c r="L67" s="295"/>
      <c r="M67" s="275"/>
      <c r="N67" s="275"/>
      <c r="O67" s="275"/>
      <c r="P67" s="275"/>
      <c r="Q67" s="275"/>
      <c r="R67" s="275"/>
      <c r="S67" s="275"/>
      <c r="T67" s="275"/>
      <c r="U67" s="275"/>
    </row>
    <row r="68" spans="1:21" ht="13.15">
      <c r="A68" s="132">
        <v>25</v>
      </c>
      <c r="B68" s="118">
        <v>1660225.422160476</v>
      </c>
      <c r="C68" s="277">
        <v>1882475.6776895099</v>
      </c>
      <c r="D68" s="118">
        <v>2147128.177734971</v>
      </c>
      <c r="E68" s="118">
        <v>2463236.1880812659</v>
      </c>
      <c r="F68" s="118">
        <v>3296275.7952884985</v>
      </c>
      <c r="G68" s="295"/>
      <c r="H68" s="295"/>
      <c r="I68" s="295"/>
      <c r="J68" s="295"/>
      <c r="K68" s="295"/>
      <c r="L68" s="295"/>
      <c r="M68" s="275"/>
      <c r="N68" s="275"/>
      <c r="O68" s="275"/>
      <c r="P68" s="275"/>
      <c r="Q68" s="275"/>
      <c r="R68" s="275"/>
      <c r="S68" s="275"/>
      <c r="T68" s="275"/>
      <c r="U68" s="275"/>
    </row>
    <row r="69" spans="1:21" ht="13.15">
      <c r="A69" s="132">
        <v>30</v>
      </c>
      <c r="B69" s="118">
        <v>1658527.1827458795</v>
      </c>
      <c r="C69" s="277">
        <v>1896974.2864320837</v>
      </c>
      <c r="D69" s="118">
        <v>2187813.1280133422</v>
      </c>
      <c r="E69" s="118">
        <v>2544465.2617603345</v>
      </c>
      <c r="F69" s="118">
        <v>3527758.9397310656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129.64256108709142</v>
      </c>
      <c r="C73" s="119">
        <f>C11</f>
        <v>129.64256108709142</v>
      </c>
      <c r="D73" s="119">
        <f>C11</f>
        <v>129.64256108709142</v>
      </c>
      <c r="E73" s="119">
        <f>C11</f>
        <v>129.64256108709142</v>
      </c>
      <c r="F73" s="119">
        <f>C11</f>
        <v>129.64256108709142</v>
      </c>
      <c r="G73" s="296"/>
      <c r="H73" s="296"/>
      <c r="I73" s="296"/>
      <c r="J73" s="296"/>
      <c r="K73" s="296"/>
      <c r="L73" s="296"/>
    </row>
    <row r="74" spans="1:21" ht="13.15">
      <c r="A74" s="131">
        <v>1</v>
      </c>
      <c r="B74" s="119">
        <f t="shared" ref="B74:F87" si="11">(B56+FV_adjustments)/Common_Shares*scaling_factor*Exchange_Rate</f>
        <v>89.745967290959314</v>
      </c>
      <c r="C74" s="119">
        <f t="shared" si="11"/>
        <v>90.524603249490028</v>
      </c>
      <c r="D74" s="119">
        <f t="shared" si="11"/>
        <v>91.303239208020671</v>
      </c>
      <c r="E74" s="119">
        <f t="shared" si="11"/>
        <v>92.081875166551356</v>
      </c>
      <c r="F74" s="119">
        <f t="shared" si="11"/>
        <v>93.639147083612727</v>
      </c>
      <c r="G74" s="296"/>
      <c r="H74" s="296"/>
      <c r="I74" s="296"/>
      <c r="J74" s="296"/>
      <c r="K74" s="296"/>
      <c r="L74" s="296"/>
    </row>
    <row r="75" spans="1:21" ht="13.15">
      <c r="A75" s="131">
        <v>2</v>
      </c>
      <c r="B75" s="119">
        <f t="shared" si="11"/>
        <v>89.649610192935029</v>
      </c>
      <c r="C75" s="119">
        <f t="shared" si="11"/>
        <v>91.160543483157696</v>
      </c>
      <c r="D75" s="119">
        <f t="shared" si="11"/>
        <v>92.685996791255079</v>
      </c>
      <c r="E75" s="119">
        <f t="shared" si="11"/>
        <v>94.225970117227163</v>
      </c>
      <c r="F75" s="119">
        <f t="shared" si="11"/>
        <v>97.349476822795467</v>
      </c>
      <c r="G75" s="296"/>
      <c r="H75" s="296"/>
      <c r="I75" s="296"/>
      <c r="J75" s="296"/>
      <c r="K75" s="296"/>
      <c r="L75" s="296"/>
    </row>
    <row r="76" spans="1:21" ht="13.15">
      <c r="A76" s="131">
        <v>3</v>
      </c>
      <c r="B76" s="119">
        <f t="shared" si="11"/>
        <v>89.559766744893693</v>
      </c>
      <c r="C76" s="119">
        <f t="shared" si="11"/>
        <v>91.759424262648949</v>
      </c>
      <c r="D76" s="119">
        <f t="shared" si="11"/>
        <v>94.00106694034514</v>
      </c>
      <c r="E76" s="119">
        <f t="shared" si="11"/>
        <v>96.285100932328419</v>
      </c>
      <c r="F76" s="119">
        <f t="shared" si="11"/>
        <v>100.98196747654076</v>
      </c>
      <c r="G76" s="296"/>
      <c r="H76" s="296"/>
      <c r="I76" s="296"/>
      <c r="J76" s="296"/>
      <c r="K76" s="296"/>
      <c r="L76" s="296"/>
    </row>
    <row r="77" spans="1:21" ht="13.15">
      <c r="A77" s="131">
        <v>4</v>
      </c>
      <c r="B77" s="119">
        <f t="shared" si="11"/>
        <v>89.475996630169846</v>
      </c>
      <c r="C77" s="119">
        <f t="shared" si="11"/>
        <v>92.323405229815535</v>
      </c>
      <c r="D77" s="119">
        <f t="shared" si="11"/>
        <v>95.251763026193004</v>
      </c>
      <c r="E77" s="119">
        <f t="shared" si="11"/>
        <v>98.262634489022375</v>
      </c>
      <c r="F77" s="119">
        <f t="shared" si="11"/>
        <v>104.53825203265502</v>
      </c>
      <c r="G77" s="296"/>
      <c r="H77" s="296"/>
      <c r="I77" s="296"/>
      <c r="J77" s="296"/>
      <c r="K77" s="296"/>
      <c r="L77" s="296"/>
    </row>
    <row r="78" spans="1:21" ht="13.15">
      <c r="A78" s="131">
        <v>5</v>
      </c>
      <c r="B78" s="119">
        <f t="shared" si="11"/>
        <v>89.397889297094025</v>
      </c>
      <c r="C78" s="119">
        <f t="shared" si="11"/>
        <v>92.854520173254485</v>
      </c>
      <c r="D78" s="119">
        <f t="shared" si="11"/>
        <v>96.44123622671971</v>
      </c>
      <c r="E78" s="119">
        <f t="shared" si="11"/>
        <v>100.16180424510141</v>
      </c>
      <c r="F78" s="119">
        <f t="shared" si="11"/>
        <v>108.01992922045925</v>
      </c>
      <c r="G78" s="296"/>
      <c r="H78" s="296"/>
      <c r="I78" s="296"/>
      <c r="J78" s="296"/>
      <c r="K78" s="296"/>
      <c r="L78" s="296"/>
    </row>
    <row r="79" spans="1:21" ht="13.15">
      <c r="A79" s="131">
        <v>6</v>
      </c>
      <c r="B79" s="119">
        <f t="shared" si="11"/>
        <v>89.325061946906757</v>
      </c>
      <c r="C79" s="119">
        <f t="shared" si="11"/>
        <v>93.354684362413764</v>
      </c>
      <c r="D79" s="119">
        <f t="shared" si="11"/>
        <v>97.572483466381428</v>
      </c>
      <c r="E79" s="119">
        <f t="shared" si="11"/>
        <v>101.98571552599783</v>
      </c>
      <c r="F79" s="119">
        <f t="shared" si="11"/>
        <v>111.42856422949833</v>
      </c>
      <c r="G79" s="296"/>
      <c r="H79" s="296"/>
      <c r="I79" s="296"/>
      <c r="J79" s="296"/>
      <c r="K79" s="296"/>
      <c r="L79" s="296"/>
    </row>
    <row r="80" spans="1:21" ht="13.15">
      <c r="A80" s="131">
        <f t="shared" ref="A80" si="12">A62</f>
        <v>7</v>
      </c>
      <c r="B80" s="119">
        <f t="shared" si="11"/>
        <v>89.257157657687884</v>
      </c>
      <c r="C80" s="119">
        <f t="shared" si="11"/>
        <v>93.82570145430266</v>
      </c>
      <c r="D80" s="119">
        <f t="shared" si="11"/>
        <v>98.648354967038742</v>
      </c>
      <c r="E80" s="119">
        <f t="shared" si="11"/>
        <v>103.73735060228998</v>
      </c>
      <c r="F80" s="119">
        <f t="shared" si="11"/>
        <v>114.76568941317295</v>
      </c>
      <c r="G80" s="296"/>
      <c r="H80" s="296"/>
      <c r="I80" s="296"/>
      <c r="J80" s="296"/>
      <c r="K80" s="296"/>
      <c r="L80" s="296"/>
    </row>
    <row r="81" spans="1:12" ht="13.15">
      <c r="A81" s="131">
        <v>8</v>
      </c>
      <c r="B81" s="119">
        <f t="shared" si="11"/>
        <v>89.193843635106148</v>
      </c>
      <c r="C81" s="119">
        <f t="shared" si="11"/>
        <v>94.269269997713238</v>
      </c>
      <c r="D81" s="119">
        <f t="shared" si="11"/>
        <v>99.671561429202342</v>
      </c>
      <c r="E81" s="119">
        <f t="shared" si="11"/>
        <v>105.4195735660018</v>
      </c>
      <c r="F81" s="119">
        <f t="shared" si="11"/>
        <v>118.03280497760963</v>
      </c>
      <c r="G81" s="296"/>
      <c r="H81" s="296"/>
      <c r="I81" s="296"/>
      <c r="J81" s="296"/>
      <c r="K81" s="296"/>
      <c r="L81" s="296"/>
    </row>
    <row r="82" spans="1:12" ht="13.15">
      <c r="A82" s="131">
        <f t="shared" ref="A82" si="13">A64</f>
        <v>9</v>
      </c>
      <c r="B82" s="119">
        <f t="shared" si="11"/>
        <v>89.134809581416889</v>
      </c>
      <c r="C82" s="119">
        <f t="shared" si="11"/>
        <v>94.686989558407546</v>
      </c>
      <c r="D82" s="119">
        <f t="shared" si="11"/>
        <v>100.64468086174951</v>
      </c>
      <c r="E82" s="119">
        <f t="shared" si="11"/>
        <v>107.03513501366906</v>
      </c>
      <c r="F82" s="119">
        <f t="shared" si="11"/>
        <v>121.23137965607914</v>
      </c>
      <c r="G82" s="296"/>
      <c r="H82" s="296"/>
      <c r="I82" s="296"/>
      <c r="J82" s="296"/>
      <c r="K82" s="296"/>
      <c r="L82" s="296"/>
    </row>
    <row r="83" spans="1:12" ht="13.15">
      <c r="A83" s="131">
        <f t="shared" ref="A83:A87" si="14">A65</f>
        <v>10</v>
      </c>
      <c r="B83" s="119">
        <f t="shared" si="11"/>
        <v>89.079766174713626</v>
      </c>
      <c r="C83" s="119">
        <f t="shared" si="11"/>
        <v>95.080366487359782</v>
      </c>
      <c r="D83" s="119">
        <f t="shared" si="11"/>
        <v>101.57016507731886</v>
      </c>
      <c r="E83" s="119">
        <f t="shared" si="11"/>
        <v>108.58667654382973</v>
      </c>
      <c r="F83" s="119">
        <f t="shared" si="11"/>
        <v>124.36285136926607</v>
      </c>
      <c r="G83" s="296"/>
      <c r="H83" s="296"/>
      <c r="I83" s="296"/>
      <c r="J83" s="296"/>
      <c r="K83" s="296"/>
      <c r="L83" s="296"/>
    </row>
    <row r="84" spans="1:12" ht="13.15">
      <c r="A84" s="131">
        <f t="shared" si="14"/>
        <v>15</v>
      </c>
      <c r="B84" s="119">
        <f t="shared" si="11"/>
        <v>88.855580048810538</v>
      </c>
      <c r="C84" s="119">
        <f t="shared" si="11"/>
        <v>96.728967412976587</v>
      </c>
      <c r="D84" s="119">
        <f t="shared" si="11"/>
        <v>105.56079108882214</v>
      </c>
      <c r="E84" s="119">
        <f t="shared" si="11"/>
        <v>115.46944161311133</v>
      </c>
      <c r="F84" s="119">
        <f t="shared" si="11"/>
        <v>139.06191611859751</v>
      </c>
      <c r="G84" s="296"/>
      <c r="H84" s="296"/>
      <c r="I84" s="296"/>
      <c r="J84" s="296"/>
      <c r="K84" s="296"/>
      <c r="L84" s="296"/>
    </row>
    <row r="85" spans="1:12" ht="13.15">
      <c r="A85" s="132">
        <f t="shared" si="14"/>
        <v>20</v>
      </c>
      <c r="B85" s="119">
        <f t="shared" si="11"/>
        <v>88.69759273034289</v>
      </c>
      <c r="C85" s="119">
        <f t="shared" si="11"/>
        <v>97.950024318263047</v>
      </c>
      <c r="D85" s="119">
        <f t="shared" si="11"/>
        <v>108.66574661220133</v>
      </c>
      <c r="E85" s="119">
        <f t="shared" si="11"/>
        <v>121.0923701655208</v>
      </c>
      <c r="F85" s="119">
        <f t="shared" si="11"/>
        <v>152.2824713251714</v>
      </c>
      <c r="G85" s="296"/>
      <c r="H85" s="296"/>
      <c r="I85" s="296"/>
      <c r="J85" s="296"/>
      <c r="K85" s="296"/>
      <c r="L85" s="296"/>
    </row>
    <row r="86" spans="1:12" ht="13.15">
      <c r="A86" s="132">
        <f t="shared" si="14"/>
        <v>25</v>
      </c>
      <c r="B86" s="119">
        <f t="shared" si="11"/>
        <v>88.586256702316831</v>
      </c>
      <c r="C86" s="119">
        <f t="shared" si="11"/>
        <v>98.854415394829914</v>
      </c>
      <c r="D86" s="119">
        <f t="shared" si="11"/>
        <v>111.08159534730522</v>
      </c>
      <c r="E86" s="119">
        <f t="shared" si="11"/>
        <v>125.68606545909007</v>
      </c>
      <c r="F86" s="119">
        <f t="shared" si="11"/>
        <v>164.17323328524898</v>
      </c>
      <c r="G86" s="296"/>
      <c r="H86" s="296"/>
      <c r="I86" s="296"/>
      <c r="J86" s="296"/>
      <c r="K86" s="296"/>
      <c r="L86" s="296"/>
    </row>
    <row r="87" spans="1:12" ht="13.15">
      <c r="A87" s="132">
        <f t="shared" si="14"/>
        <v>30</v>
      </c>
      <c r="B87" s="119">
        <f t="shared" si="11"/>
        <v>88.507796536926008</v>
      </c>
      <c r="C87" s="119">
        <f t="shared" si="11"/>
        <v>99.524263962765332</v>
      </c>
      <c r="D87" s="119">
        <f t="shared" si="11"/>
        <v>112.96127609215253</v>
      </c>
      <c r="E87" s="119">
        <f t="shared" si="11"/>
        <v>129.43892062228045</v>
      </c>
      <c r="F87" s="119">
        <f t="shared" si="11"/>
        <v>174.86795962479957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30</v>
      </c>
      <c r="E90" s="127">
        <f>INDEX(B$73:F$87, MATCH(D90, A$73:A$87, 0), MATCH(C90, B$72:F$72, 0))</f>
        <v>174.86795962479957</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129.43892062228045</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112.96127609215253</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99.524263962765332</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88.507796536926008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9" zoomScaleNormal="100" workbookViewId="0">
      <selection activeCell="E52" sqref="E5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HKD</v>
      </c>
      <c r="D6" s="469"/>
      <c r="E6" s="469"/>
      <c r="F6" s="469"/>
      <c r="G6" s="469"/>
    </row>
    <row r="7" spans="2:7" ht="12.75" customHeight="1">
      <c r="B7" s="97" t="s">
        <v>232</v>
      </c>
      <c r="C7" s="447">
        <f>Normalized_FCF!G8</f>
        <v>142590</v>
      </c>
      <c r="D7" s="469"/>
      <c r="E7" s="469"/>
      <c r="F7" s="469"/>
      <c r="G7" s="469"/>
    </row>
    <row r="8" spans="2:7">
      <c r="B8" s="97" t="s">
        <v>63</v>
      </c>
      <c r="C8" s="447">
        <f>Normalized_FCF!G19</f>
        <v>125485.1812230568</v>
      </c>
      <c r="D8" s="469"/>
      <c r="E8" s="469"/>
      <c r="F8" s="469"/>
      <c r="G8" s="469"/>
    </row>
    <row r="9" spans="2:7">
      <c r="B9" s="97" t="s">
        <v>54</v>
      </c>
      <c r="C9" s="447">
        <f>Normalized_FCF!C19</f>
        <v>131191.99159250123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129.43892062228045</v>
      </c>
      <c r="F22" s="328">
        <f>1-F23-F24</f>
        <v>0.19999999999999996</v>
      </c>
      <c r="G22" s="328">
        <f>F22*(1-F$29-F$30)</f>
        <v>0.15999999999999995</v>
      </c>
    </row>
    <row r="23" spans="2:7">
      <c r="B23" s="302" t="s">
        <v>437</v>
      </c>
      <c r="C23" s="324">
        <v>0.02</v>
      </c>
      <c r="D23" s="325">
        <f>C18</f>
        <v>30</v>
      </c>
      <c r="E23" s="326">
        <f>DCF!E92</f>
        <v>112.96127609215253</v>
      </c>
      <c r="F23" s="327">
        <v>0.55000000000000004</v>
      </c>
      <c r="G23" s="328">
        <f t="shared" ref="G23:G24" si="0">F23*(1-F$29-F$30)</f>
        <v>0.44</v>
      </c>
    </row>
    <row r="24" spans="2:7">
      <c r="B24" s="302" t="s">
        <v>446</v>
      </c>
      <c r="C24" s="324">
        <v>0.01</v>
      </c>
      <c r="D24" s="325">
        <f>C18</f>
        <v>30</v>
      </c>
      <c r="E24" s="326">
        <f>DCF!E93</f>
        <v>99.524263962765332</v>
      </c>
      <c r="F24" s="327">
        <v>0.25</v>
      </c>
      <c r="G24" s="328">
        <f t="shared" si="0"/>
        <v>0.19999999999999998</v>
      </c>
    </row>
    <row r="25" spans="2:7">
      <c r="B25" s="141" t="s">
        <v>451</v>
      </c>
      <c r="C25" s="441">
        <f>E23*F23+E24*F24+E22*F22</f>
        <v>112.89755196583133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30</v>
      </c>
      <c r="E29" s="326">
        <f>DCF!E90</f>
        <v>174.86795962479957</v>
      </c>
      <c r="F29" s="327">
        <v>0.15</v>
      </c>
      <c r="G29" s="328">
        <f>F29</f>
        <v>0.15</v>
      </c>
    </row>
    <row r="30" spans="2:7">
      <c r="B30" s="315" t="s">
        <v>447</v>
      </c>
      <c r="C30" s="324">
        <v>0</v>
      </c>
      <c r="D30" s="325">
        <f>C18</f>
        <v>30</v>
      </c>
      <c r="E30" s="326">
        <f>DCF!E94</f>
        <v>88.507796536926008</v>
      </c>
      <c r="F30" s="327">
        <v>0.05</v>
      </c>
      <c r="G30" s="328">
        <f>F30</f>
        <v>0.05</v>
      </c>
    </row>
    <row r="31" spans="2:7">
      <c r="E31" s="329"/>
      <c r="F31" s="329"/>
    </row>
    <row r="32" spans="2:7" ht="13.15">
      <c r="B32" s="145" t="s">
        <v>456</v>
      </c>
    </row>
    <row r="33" spans="2:7">
      <c r="B33" s="97" t="s">
        <v>458</v>
      </c>
      <c r="C33" s="155">
        <f>Normalized_FCF!C88*(1-dividend_tax_rate)</f>
        <v>5.09</v>
      </c>
      <c r="D33" t="str">
        <f>Market_currency</f>
        <v>HKD</v>
      </c>
      <c r="E33" s="97" t="s">
        <v>455</v>
      </c>
      <c r="F33" s="219">
        <f>Holding_Period</f>
        <v>3</v>
      </c>
    </row>
    <row r="34" spans="2:7">
      <c r="B34" s="97" t="s">
        <v>233</v>
      </c>
      <c r="C34" s="146">
        <f>Market_Price</f>
        <v>81.2</v>
      </c>
      <c r="D34" t="str">
        <f>Market_currency</f>
        <v>HKD</v>
      </c>
      <c r="E34" s="97" t="s">
        <v>454</v>
      </c>
      <c r="F34" s="330">
        <f>RATE(Holding_Period,$C$33,-C34,$C$36)</f>
        <v>0.19755880386409505</v>
      </c>
    </row>
    <row r="35" spans="2:7">
      <c r="B35" s="97" t="s">
        <v>434</v>
      </c>
      <c r="C35" s="320">
        <f>DCF!C11</f>
        <v>129.64256108709142</v>
      </c>
      <c r="D35" s="97" t="str">
        <f>Market_currency</f>
        <v>HKD</v>
      </c>
      <c r="E35" s="97" t="s">
        <v>454</v>
      </c>
      <c r="F35" s="330">
        <f>RATE(Holding_Period,$C$33,-C35,$C$36)</f>
        <v>1.7354863351611165E-2</v>
      </c>
    </row>
    <row r="36" spans="2:7">
      <c r="B36" s="97" t="s">
        <v>435</v>
      </c>
      <c r="C36" s="321">
        <f>E22*G22+E23*G23+E24*G24+E30*G30+E29*G29</f>
        <v>120.97362534323128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0.16099692826836479</v>
      </c>
      <c r="E40" s="97" t="s">
        <v>401</v>
      </c>
    </row>
    <row r="41" spans="2:7">
      <c r="B41" s="97" t="s">
        <v>400</v>
      </c>
      <c r="C41" s="455">
        <f>DCF!C16</f>
        <v>2.5118128298608065E-2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2.5118128298608065E-2</v>
      </c>
      <c r="D46" s="138"/>
      <c r="E46" s="221" t="s">
        <v>252</v>
      </c>
    </row>
    <row r="47" spans="2:7">
      <c r="B47" s="97" t="s">
        <v>96</v>
      </c>
      <c r="C47" s="146">
        <f>DCF!I18</f>
        <v>120.96976544293689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9.8222826704399913E-2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5.09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9.3139445224005097</v>
      </c>
      <c r="D62" s="119">
        <f>C36/(1+F62)^Holding_Period</f>
        <v>55.748214443885395</v>
      </c>
      <c r="E62" s="332">
        <f>C62+D62</f>
        <v>65.062158966285907</v>
      </c>
      <c r="F62" s="301">
        <f>Thesis!E22</f>
        <v>0.29465259038036601</v>
      </c>
      <c r="G62" s="440">
        <f>(1-E62/C36)</f>
        <v>0.46217897676713493</v>
      </c>
    </row>
    <row r="63" spans="2:7" ht="13.15">
      <c r="B63" s="302" t="s">
        <v>313</v>
      </c>
      <c r="C63" s="119">
        <f>PV(F63, Holding_Period, -C58, 0)</f>
        <v>10.709380091599613</v>
      </c>
      <c r="D63" s="119">
        <f>C36/(1+F63)^Holding_Period</f>
        <v>69.876462292119172</v>
      </c>
      <c r="E63" s="332">
        <f>C63+D63</f>
        <v>80.585842383718784</v>
      </c>
      <c r="F63" s="301">
        <f>Thesis!E23</f>
        <v>0.20075184365903001</v>
      </c>
      <c r="G63" s="440">
        <f>(1-E63/C36)</f>
        <v>0.33385610164961688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12.280149911027722</v>
      </c>
      <c r="D66" s="119">
        <f>C36/(1+F66)^Holding_Period</f>
        <v>86.709103245439934</v>
      </c>
      <c r="E66" s="332">
        <f>C66+D66</f>
        <v>98.989253156467655</v>
      </c>
      <c r="F66" s="301">
        <f>Thesis!E24</f>
        <v>0.1174</v>
      </c>
      <c r="G66" s="440">
        <f>(1-E66/C36)</f>
        <v>0.18172863815884388</v>
      </c>
    </row>
    <row r="67" spans="2:7" ht="13.15">
      <c r="B67" s="302" t="s">
        <v>314</v>
      </c>
      <c r="C67" s="119">
        <f>PV(F67, Holding_Period, -C58, 0)</f>
        <v>13.296989906310651</v>
      </c>
      <c r="D67" s="119">
        <f>C36/(1+F67)^Holding_Period</f>
        <v>98.061558949103656</v>
      </c>
      <c r="E67" s="332">
        <f>C67+D67</f>
        <v>111.35854885541431</v>
      </c>
      <c r="F67" s="301">
        <f>Thesis!E25</f>
        <v>7.2499999999999995E-2</v>
      </c>
      <c r="G67" s="440">
        <f>(1-E67/C36)</f>
        <v>7.9480766659151381E-2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81.2</v>
      </c>
    </row>
    <row r="9" spans="1:10">
      <c r="B9" s="351" t="s">
        <v>361</v>
      </c>
      <c r="C9" s="353">
        <f>Common_Shares</f>
        <v>21644606612</v>
      </c>
    </row>
    <row r="10" spans="1:10">
      <c r="B10" s="351" t="s">
        <v>367</v>
      </c>
      <c r="C10" s="357">
        <f>投资主题!C8*Common_Shares/1000000</f>
        <v>1757542.0568944002</v>
      </c>
      <c r="D10" s="343" t="s">
        <v>529</v>
      </c>
      <c r="E10" s="360">
        <f>Scenarios!F34</f>
        <v>0.19755880386409505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120.97362534323128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65.062158966285907</v>
      </c>
      <c r="D22" s="365" t="s">
        <v>440</v>
      </c>
      <c r="E22" s="366">
        <f>Thesis!E22</f>
        <v>0.29465259038036601</v>
      </c>
    </row>
    <row r="23" spans="1:6">
      <c r="B23" s="343" t="s">
        <v>341</v>
      </c>
      <c r="C23" s="367">
        <f>E141</f>
        <v>80.585842383718784</v>
      </c>
      <c r="D23" s="365" t="s">
        <v>441</v>
      </c>
      <c r="E23" s="368">
        <f>Thesis!E23</f>
        <v>0.20075184365903001</v>
      </c>
    </row>
    <row r="24" spans="1:6">
      <c r="B24" s="343" t="s">
        <v>343</v>
      </c>
      <c r="C24" s="367">
        <f>E144</f>
        <v>98.989253156467655</v>
      </c>
      <c r="D24" s="365" t="s">
        <v>443</v>
      </c>
      <c r="E24" s="368">
        <f>Thesis!E24</f>
        <v>0.1174</v>
      </c>
    </row>
    <row r="25" spans="1:6">
      <c r="B25" s="343" t="s">
        <v>342</v>
      </c>
      <c r="C25" s="367">
        <f>E145</f>
        <v>111.35854885541431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160987.97999999998</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HKD</v>
      </c>
    </row>
    <row r="38" spans="2:6">
      <c r="B38" s="375" t="s">
        <v>200</v>
      </c>
      <c r="C38" s="373">
        <f>Normalized_FCF!C16</f>
        <v>-202343.60953731713</v>
      </c>
      <c r="D38" s="343" t="str">
        <f>Reporting_currency</f>
        <v>HKD</v>
      </c>
    </row>
    <row r="40" spans="2:6">
      <c r="B40" s="470" t="s">
        <v>503</v>
      </c>
      <c r="C40" s="470"/>
      <c r="D40" s="470"/>
      <c r="E40" s="470"/>
      <c r="F40" s="470"/>
    </row>
    <row r="41" spans="2:6">
      <c r="B41" s="372" t="s">
        <v>202</v>
      </c>
      <c r="C41" s="373">
        <f>Normalized_FCF!C9</f>
        <v>11097</v>
      </c>
      <c r="D41" s="343" t="str">
        <f>Reporting_currency</f>
        <v>HKD</v>
      </c>
    </row>
    <row r="43" spans="2:6">
      <c r="B43" s="470" t="s">
        <v>504</v>
      </c>
      <c r="C43" s="470"/>
      <c r="D43" s="470"/>
      <c r="E43" s="470"/>
      <c r="F43" s="470"/>
    </row>
    <row r="44" spans="2:6">
      <c r="B44" s="372" t="s">
        <v>267</v>
      </c>
      <c r="C44" s="376">
        <f>Normalized_FCF!C46</f>
        <v>989.94206765508</v>
      </c>
      <c r="D44" s="343" t="str">
        <f>Reporting_currency</f>
        <v>HKD</v>
      </c>
      <c r="E44" s="371"/>
      <c r="F44" s="371"/>
    </row>
    <row r="45" spans="2:6">
      <c r="B45" s="372" t="s">
        <v>268</v>
      </c>
      <c r="C45" s="376">
        <f>Normalized_FCF!C45</f>
        <v>-5515.92</v>
      </c>
      <c r="D45" s="343" t="str">
        <f>Reporting_currency</f>
        <v>HKD</v>
      </c>
      <c r="E45" s="371"/>
      <c r="F45" s="371"/>
    </row>
    <row r="46" spans="2:6">
      <c r="B46" s="372" t="s">
        <v>203</v>
      </c>
      <c r="C46" s="373">
        <f>Normalized_FCF!C10</f>
        <v>-4525.9779323449202</v>
      </c>
      <c r="D46" s="343" t="str">
        <f>Reporting_currency</f>
        <v>HKD</v>
      </c>
    </row>
    <row r="48" spans="2:6">
      <c r="B48" s="343" t="s">
        <v>505</v>
      </c>
    </row>
    <row r="49" spans="2:6">
      <c r="B49" s="372" t="s">
        <v>223</v>
      </c>
      <c r="C49" s="373">
        <f>Normalized_FCF!C13</f>
        <v>-174.26602854031819</v>
      </c>
      <c r="D49" s="343" t="str">
        <f>Reporting_currency</f>
        <v>HKD</v>
      </c>
    </row>
    <row r="51" spans="2:6">
      <c r="B51" s="470" t="s">
        <v>506</v>
      </c>
      <c r="C51" s="470"/>
      <c r="D51" s="470"/>
      <c r="E51" s="470"/>
      <c r="F51" s="470"/>
    </row>
    <row r="52" spans="2:6">
      <c r="B52" s="372" t="s">
        <v>496</v>
      </c>
      <c r="C52" s="373">
        <f>Normalized_FCF!C12</f>
        <v>-36192.744446613491</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125485.1812230568</v>
      </c>
      <c r="D60" s="343" t="str">
        <f>Reporting_currency</f>
        <v>HKD</v>
      </c>
    </row>
    <row r="61" spans="2:6">
      <c r="B61" s="372" t="s">
        <v>213</v>
      </c>
      <c r="C61" s="373">
        <f>Normalized_FCF!C19</f>
        <v>131191.99159250123</v>
      </c>
      <c r="D61" s="343" t="str">
        <f>Reporting_currency</f>
        <v>HKD</v>
      </c>
    </row>
    <row r="62" spans="2:6">
      <c r="B62" s="377" t="s">
        <v>302</v>
      </c>
      <c r="C62" s="378">
        <f>Normalized_FCF!C124</f>
        <v>7.4645150639706004E-2</v>
      </c>
      <c r="F62" s="379"/>
    </row>
    <row r="63" spans="2:6">
      <c r="B63" s="377" t="s">
        <v>332</v>
      </c>
      <c r="C63" s="378">
        <f>Normalized_FCF!C92</f>
        <v>6.2684729064039407E-2</v>
      </c>
      <c r="E63" s="372" t="s">
        <v>373</v>
      </c>
      <c r="F63" s="380">
        <f>Normalized_FCF!C90</f>
        <v>0.83976961030735076</v>
      </c>
    </row>
    <row r="65" spans="1:6">
      <c r="B65" s="369" t="s">
        <v>376</v>
      </c>
      <c r="C65" s="381" t="s">
        <v>327</v>
      </c>
      <c r="D65" s="381" t="s">
        <v>374</v>
      </c>
    </row>
    <row r="66" spans="1:6">
      <c r="B66" s="372" t="s">
        <v>326</v>
      </c>
      <c r="C66" s="378">
        <f>Normalized_FCF!E119</f>
        <v>0.11683147612363115</v>
      </c>
      <c r="D66" s="378">
        <f>Normalized_FCF!G119</f>
        <v>0.11539664872608364</v>
      </c>
    </row>
    <row r="67" spans="1:6">
      <c r="B67" s="382" t="str">
        <f>Normalized_FCF!B116</f>
        <v>Pre-tax Profit/Sales</v>
      </c>
      <c r="C67" s="383">
        <f>Normalized_FCF!E116</f>
        <v>0.16099692826836479</v>
      </c>
      <c r="D67" s="383">
        <f>Normalized_FCF!G116</f>
        <v>0.15901969737764152</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HKD</v>
      </c>
    </row>
    <row r="79" spans="1:6">
      <c r="B79" s="372" t="s">
        <v>234</v>
      </c>
      <c r="C79" s="387">
        <f>C78*scaling_factor*Exchange_Rate/Common_Shares</f>
        <v>-4.2473398407265082</v>
      </c>
      <c r="D79" s="343" t="str">
        <f>Market_currency</f>
        <v>HKD</v>
      </c>
    </row>
    <row r="80" spans="1:6">
      <c r="B80" s="382" t="s">
        <v>309</v>
      </c>
      <c r="C80" s="388">
        <f>IF(BS!G31/BS!G27&gt;300%,"nm",BS!G31/BS!G27)</f>
        <v>6.4100114768294941E-2</v>
      </c>
    </row>
    <row r="81" spans="1:6">
      <c r="B81" s="382" t="s">
        <v>311</v>
      </c>
      <c r="C81" s="389">
        <f>IF(BS!C50&gt;30,"nm",BS!C50)</f>
        <v>0.57104884476468376</v>
      </c>
    </row>
    <row r="83" spans="1:6">
      <c r="B83" s="343" t="s">
        <v>512</v>
      </c>
    </row>
    <row r="84" spans="1:6">
      <c r="B84" s="343" t="s">
        <v>224</v>
      </c>
      <c r="C84" s="373">
        <f>DCF!F5</f>
        <v>86587.65539082</v>
      </c>
      <c r="D84" s="343" t="str">
        <f>Reporting_currency</f>
        <v>HKD</v>
      </c>
    </row>
    <row r="85" spans="1:6">
      <c r="B85" s="382" t="s">
        <v>481</v>
      </c>
      <c r="C85" s="390">
        <f>BS!C66</f>
        <v>251578</v>
      </c>
      <c r="D85" s="391" t="str">
        <f>Reporting_currency</f>
        <v>HKD</v>
      </c>
    </row>
    <row r="86" spans="1:6">
      <c r="B86" s="372" t="s">
        <v>235</v>
      </c>
      <c r="C86" s="387">
        <f>C84*scaling_factor*Exchange_Rate/Common_Shares</f>
        <v>4.0004263853340207</v>
      </c>
      <c r="D86" s="343" t="str">
        <f>Market_currency</f>
        <v>HKD</v>
      </c>
    </row>
    <row r="88" spans="1:6">
      <c r="B88" s="343" t="s">
        <v>513</v>
      </c>
    </row>
    <row r="89" spans="1:6">
      <c r="B89" s="343" t="s">
        <v>217</v>
      </c>
      <c r="C89" s="373">
        <f>DCF!F6</f>
        <v>262533.59999999998</v>
      </c>
      <c r="D89" s="343" t="str">
        <f>Reporting_currency</f>
        <v>HKD</v>
      </c>
    </row>
    <row r="90" spans="1:6">
      <c r="B90" s="372" t="s">
        <v>236</v>
      </c>
      <c r="C90" s="387">
        <f>C89*scaling_factor*Exchange_Rate/Common_Shares</f>
        <v>12.129284893283694</v>
      </c>
      <c r="D90" s="343" t="str">
        <f>Market_currency</f>
        <v>HKD</v>
      </c>
    </row>
    <row r="92" spans="1:6">
      <c r="B92" s="372" t="s">
        <v>480</v>
      </c>
      <c r="C92" s="387">
        <f>DCF!F8</f>
        <v>11.882371437891207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1.2888383928647593</v>
      </c>
      <c r="D111" s="343" t="str">
        <f>Market_currency</f>
        <v>HKD</v>
      </c>
    </row>
    <row r="112" spans="1:6">
      <c r="A112" s="385"/>
      <c r="B112" s="372" t="s">
        <v>377</v>
      </c>
      <c r="C112" s="394">
        <f>DCF!C11</f>
        <v>129.64256108709142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30</v>
      </c>
      <c r="E118" s="398" t="str">
        <f>ROUND(DCF!E90,2)&amp;" "&amp;Market_currency</f>
        <v>174.87 HKD</v>
      </c>
      <c r="F118" s="399">
        <f>DCF!F90</f>
        <v>0.15</v>
      </c>
    </row>
    <row r="119" spans="1:6">
      <c r="A119" s="385"/>
      <c r="B119" s="400" t="str">
        <f>DCF!B91</f>
        <v>Optimistic</v>
      </c>
      <c r="C119" s="401">
        <f>DCF!C91</f>
        <v>0.03</v>
      </c>
      <c r="D119" s="402">
        <f>DCF!D91</f>
        <v>30</v>
      </c>
      <c r="E119" s="398" t="str">
        <f>ROUND(DCF!E91,2)&amp;" "&amp;Market_currency</f>
        <v>129.44 HKD</v>
      </c>
      <c r="F119" s="403">
        <f>DCF!F91</f>
        <v>0.15999999999999995</v>
      </c>
    </row>
    <row r="120" spans="1:6">
      <c r="B120" s="400" t="str">
        <f>DCF!B92</f>
        <v>Base</v>
      </c>
      <c r="C120" s="401">
        <f>DCF!C92</f>
        <v>0.02</v>
      </c>
      <c r="D120" s="402">
        <f>DCF!D92</f>
        <v>30</v>
      </c>
      <c r="E120" s="398" t="str">
        <f>ROUND(DCF!E92,2)&amp;" "&amp;Market_currency</f>
        <v>112.96 HKD</v>
      </c>
      <c r="F120" s="403">
        <f>DCF!F92</f>
        <v>0.44</v>
      </c>
    </row>
    <row r="121" spans="1:6">
      <c r="B121" s="400" t="str">
        <f>DCF!B93</f>
        <v>Pessimistic</v>
      </c>
      <c r="C121" s="401">
        <f>DCF!C93</f>
        <v>0.01</v>
      </c>
      <c r="D121" s="402">
        <f>DCF!D93</f>
        <v>30</v>
      </c>
      <c r="E121" s="398" t="str">
        <f>ROUND(DCF!E93,2)&amp;" "&amp;Market_currency</f>
        <v>99.52 HKD</v>
      </c>
      <c r="F121" s="403">
        <f>DCF!F93</f>
        <v>0.19999999999999998</v>
      </c>
    </row>
    <row r="122" spans="1:6">
      <c r="B122" s="400" t="str">
        <f>DCF!B94</f>
        <v>Devil's advocate</v>
      </c>
      <c r="C122" s="401">
        <f>DCF!C94</f>
        <v>0</v>
      </c>
      <c r="D122" s="402">
        <f>DCF!D94</f>
        <v>30</v>
      </c>
      <c r="E122" s="398" t="str">
        <f>ROUND(DCF!E94,2)&amp;" "&amp;Market_currency</f>
        <v>88.51 HKD</v>
      </c>
      <c r="F122" s="403">
        <f>DCF!F94</f>
        <v>0.05</v>
      </c>
    </row>
    <row r="124" spans="1:6">
      <c r="B124" s="470" t="s">
        <v>519</v>
      </c>
      <c r="C124" s="470"/>
      <c r="D124" s="470"/>
      <c r="E124" s="470"/>
      <c r="F124" s="470"/>
    </row>
    <row r="125" spans="1:6">
      <c r="B125" s="372" t="s">
        <v>218</v>
      </c>
      <c r="C125" s="404">
        <f>Scenarios!C36</f>
        <v>120.97362534323128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5.09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9.3139445224005097</v>
      </c>
      <c r="D140" s="409">
        <f>Scenarios!D62</f>
        <v>55.748214443885395</v>
      </c>
      <c r="E140" s="410">
        <f>Scenarios!E62</f>
        <v>65.062158966285907</v>
      </c>
      <c r="F140" s="411">
        <f>E22</f>
        <v>0.29465259038036601</v>
      </c>
    </row>
    <row r="141" spans="1:6">
      <c r="B141" s="408" t="s">
        <v>313</v>
      </c>
      <c r="C141" s="409">
        <f>Scenarios!C63</f>
        <v>10.709380091599613</v>
      </c>
      <c r="D141" s="409">
        <f>Scenarios!D63</f>
        <v>69.876462292119172</v>
      </c>
      <c r="E141" s="410">
        <f>Scenarios!E63</f>
        <v>80.585842383718784</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12.280149911027722</v>
      </c>
      <c r="D144" s="409">
        <f>Scenarios!D66</f>
        <v>86.709103245439934</v>
      </c>
      <c r="E144" s="410">
        <f>Scenarios!E66</f>
        <v>98.989253156467655</v>
      </c>
      <c r="F144" s="411">
        <f>E24</f>
        <v>0.1174</v>
      </c>
    </row>
    <row r="145" spans="1:6">
      <c r="B145" s="408" t="s">
        <v>314</v>
      </c>
      <c r="C145" s="409">
        <f>Scenarios!C67</f>
        <v>13.296989906310651</v>
      </c>
      <c r="D145" s="409">
        <f>Scenarios!D67</f>
        <v>98.061558949103656</v>
      </c>
      <c r="E145" s="410">
        <f>Scenarios!E67</f>
        <v>111.35854885541431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2026-01-28T06:35:52Z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