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AE4FAA19-0268-46B6-854D-ADBC74DEC144}" xr6:coauthVersionLast="47" xr6:coauthVersionMax="47" xr10:uidLastSave="{00000000-0000-0000-0000-000000000000}"/>
  <bookViews>
    <workbookView xWindow="-98" yWindow="-98" windowWidth="17115" windowHeight="10755" firstSheet="5" activeTab="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F28" i="4" l="1"/>
  <c r="E28" i="4"/>
  <c r="D28" i="4"/>
  <c r="F7" i="4"/>
  <c r="F6" i="4" s="1"/>
  <c r="E7" i="4"/>
  <c r="E6" i="4" s="1"/>
  <c r="E5" i="4"/>
  <c r="F5" i="4"/>
  <c r="G4" i="3"/>
  <c r="G7" i="3"/>
  <c r="C11" i="3"/>
  <c r="C9" i="3"/>
  <c r="C4" i="3"/>
  <c r="C23" i="3"/>
  <c r="C19" i="3"/>
  <c r="G17" i="3"/>
  <c r="F25" i="4"/>
  <c r="E25" i="4"/>
  <c r="D25" i="4"/>
  <c r="C25" i="4"/>
  <c r="D7" i="4"/>
  <c r="D6" i="4" s="1"/>
  <c r="C7" i="4"/>
  <c r="C6" i="4" s="1"/>
  <c r="D5" i="4"/>
  <c r="C5" i="4"/>
  <c r="C9" i="6" l="1"/>
  <c r="E83" i="2" l="1"/>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30" i="2" l="1"/>
  <c r="C118" i="2"/>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D73" i="3"/>
  <c r="C73" i="3"/>
  <c r="C74" i="3" s="1"/>
  <c r="F1" i="3"/>
  <c r="H1" i="2"/>
  <c r="E1" i="4"/>
  <c r="F1" i="4" s="1"/>
  <c r="G1" i="4" s="1"/>
  <c r="H1" i="4" s="1"/>
  <c r="I1" i="4" s="1"/>
  <c r="J1" i="4" s="1"/>
  <c r="K1" i="4" s="1"/>
  <c r="L1" i="4" s="1"/>
  <c r="M1" i="4" s="1"/>
  <c r="C49" i="6" l="1"/>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B74" i="8"/>
  <c r="C80" i="6"/>
  <c r="C80" i="12"/>
  <c r="D68" i="6"/>
  <c r="D68" i="12"/>
  <c r="O77" i="2"/>
  <c r="O116" i="2" s="1"/>
  <c r="O14" i="2"/>
  <c r="P77" i="2"/>
  <c r="P116" i="2" s="1"/>
  <c r="P14" i="2"/>
  <c r="O96" i="2"/>
  <c r="G52" i="2"/>
  <c r="D77" i="8" l="1"/>
  <c r="E79"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92" i="6"/>
  <c r="C7" i="8"/>
  <c r="D86" i="3"/>
  <c r="D89" i="3" s="1"/>
  <c r="C78" i="12"/>
  <c r="C79" i="12" s="1"/>
  <c r="C78" i="6"/>
  <c r="C79" i="6" s="1"/>
  <c r="O80" i="2"/>
  <c r="O19" i="2"/>
  <c r="O90" i="2" s="1"/>
  <c r="O123" i="2"/>
  <c r="O124" i="2" s="1"/>
  <c r="P80" i="2"/>
  <c r="P19" i="2"/>
  <c r="P90" i="2" s="1"/>
  <c r="P123" i="2"/>
  <c r="P124" i="2" s="1"/>
  <c r="C45" i="2"/>
  <c r="C45" i="12" s="1"/>
  <c r="C89" i="3" l="1"/>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E119" i="2" s="1"/>
  <c r="C12" i="2"/>
  <c r="C14" i="2" s="1"/>
  <c r="C19" i="2" s="1"/>
  <c r="C68" i="6"/>
  <c r="C68" i="12"/>
  <c r="C52" i="12" l="1"/>
  <c r="C52" i="6"/>
  <c r="C90" i="2"/>
  <c r="F63" i="12" s="1"/>
  <c r="C61" i="12"/>
  <c r="C4" i="8"/>
  <c r="F63" i="6" l="1"/>
  <c r="C72" i="8" l="1"/>
  <c r="E90" i="8" l="1"/>
  <c r="E91" i="8"/>
  <c r="E93" i="8"/>
  <c r="E92" i="8"/>
  <c r="D120" i="6" l="1"/>
  <c r="E120" i="12"/>
  <c r="D121" i="6"/>
  <c r="E121" i="12"/>
  <c r="E118" i="12"/>
  <c r="D118" i="6"/>
  <c r="E119" i="12"/>
  <c r="D119" i="6"/>
  <c r="E24" i="9"/>
  <c r="E29" i="9"/>
  <c r="E23" i="9"/>
  <c r="E22" i="9"/>
  <c r="C36" i="9" l="1"/>
  <c r="C25" i="9"/>
  <c r="F34" i="9" l="1"/>
  <c r="D62" i="9"/>
  <c r="D63" i="9"/>
  <c r="D67" i="9"/>
  <c r="D66" i="9"/>
  <c r="C125" i="12"/>
  <c r="C18" i="12" s="1"/>
  <c r="C125" i="6"/>
  <c r="C18" i="6" s="1"/>
  <c r="F53" i="9"/>
  <c r="C53" i="9" s="1"/>
  <c r="H74" i="2"/>
  <c r="H11" i="2"/>
  <c r="F122" i="6" l="1"/>
  <c r="F121" i="6"/>
  <c r="F119" i="6"/>
  <c r="F120" i="6"/>
  <c r="F118" i="6"/>
  <c r="E10" i="12"/>
  <c r="H119" i="2"/>
  <c r="H115" i="2" s="1"/>
  <c r="E66" i="9"/>
  <c r="G66" i="9" s="1"/>
  <c r="D144" i="12"/>
  <c r="E62" i="9"/>
  <c r="D140" i="12"/>
  <c r="D145" i="6"/>
  <c r="D145" i="12"/>
  <c r="D141" i="6"/>
  <c r="D141" i="12"/>
  <c r="D144" i="6"/>
  <c r="D140" i="6"/>
  <c r="E67" i="9"/>
  <c r="E63" i="9"/>
  <c r="E141" i="12" s="1"/>
  <c r="C23" i="12" s="1"/>
  <c r="H14" i="2"/>
  <c r="H19" i="2" s="1"/>
  <c r="H90" i="2" s="1"/>
  <c r="H77" i="2"/>
  <c r="H116" i="2" s="1"/>
  <c r="E10" i="6" l="1"/>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96" i="2" l="1"/>
  <c r="G119" i="2"/>
  <c r="C23" i="6"/>
  <c r="H85" i="2"/>
  <c r="G14" i="2"/>
  <c r="G19" i="2" s="1"/>
  <c r="G77" i="2"/>
  <c r="G116" i="2" s="1"/>
  <c r="D66" i="12"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K14" i="2" l="1"/>
  <c r="K19" i="2" s="1"/>
  <c r="K90" i="2" s="1"/>
  <c r="K119" i="2"/>
  <c r="K115" i="2" s="1"/>
  <c r="N96" i="2"/>
  <c r="N119" i="2"/>
  <c r="N115" i="2" s="1"/>
  <c r="D67" i="6"/>
  <c r="I119" i="2"/>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I115" i="2" l="1"/>
  <c r="K80" i="2"/>
  <c r="K123" i="2"/>
  <c r="K124" i="2" s="1"/>
  <c r="K113" i="2"/>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E116" i="2" l="1"/>
  <c r="C40" i="9" s="1"/>
  <c r="F17" i="8" s="1"/>
  <c r="E51" i="8" s="1"/>
  <c r="C66" i="6"/>
  <c r="C66" i="12"/>
  <c r="L85" i="2"/>
  <c r="L90" i="2"/>
  <c r="C81" i="6"/>
  <c r="C81" i="12"/>
  <c r="M113" i="2"/>
  <c r="L113" i="2"/>
  <c r="C14" i="9"/>
  <c r="M85" i="2"/>
  <c r="C77" i="2"/>
  <c r="C96" i="2"/>
  <c r="J85" i="2"/>
  <c r="C78" i="2"/>
  <c r="C17" i="8" l="1"/>
  <c r="F14" i="8" s="1"/>
  <c r="F18" i="8" s="1"/>
  <c r="C116" i="2"/>
  <c r="C67" i="12"/>
  <c r="C123" i="2"/>
  <c r="E21" i="8" l="1"/>
  <c r="B39" i="9"/>
  <c r="B14" i="6" s="1"/>
  <c r="G51" i="8"/>
  <c r="F15" i="8"/>
  <c r="E15" i="8"/>
  <c r="C67" i="6"/>
  <c r="C80" i="2"/>
  <c r="C9" i="9"/>
  <c r="E115" i="2" l="1"/>
  <c r="E42" i="8"/>
  <c r="A46" i="8"/>
  <c r="E38" i="8"/>
  <c r="A41" i="8"/>
  <c r="A47" i="8"/>
  <c r="A43" i="8"/>
  <c r="E40" i="8"/>
  <c r="E37" i="8"/>
  <c r="A50" i="8"/>
  <c r="A36" i="8"/>
  <c r="E49" i="8"/>
  <c r="A37" i="8"/>
  <c r="E46" i="8"/>
  <c r="A48" i="8"/>
  <c r="E47" i="8"/>
  <c r="E50" i="8"/>
  <c r="E45" i="8"/>
  <c r="A39" i="8"/>
  <c r="A40" i="8"/>
  <c r="E44" i="8"/>
  <c r="E41" i="8"/>
  <c r="A49" i="8"/>
  <c r="A38" i="8"/>
  <c r="E39" i="8"/>
  <c r="E36" i="8"/>
  <c r="A44" i="8"/>
  <c r="A42" i="8"/>
  <c r="A45" i="8"/>
  <c r="E48" i="8"/>
  <c r="E43" i="8"/>
  <c r="E33" i="8"/>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G41" i="8" l="1"/>
  <c r="D41" i="8"/>
  <c r="D38" i="8"/>
  <c r="G38" i="8"/>
  <c r="D48" i="8"/>
  <c r="G48" i="8"/>
  <c r="D49" i="8"/>
  <c r="G49" i="8"/>
  <c r="D37" i="8"/>
  <c r="G37" i="8"/>
  <c r="G40" i="8"/>
  <c r="D40" i="8"/>
  <c r="D44" i="8"/>
  <c r="G44" i="8"/>
  <c r="D39" i="8"/>
  <c r="G39" i="8"/>
  <c r="G36" i="8"/>
  <c r="D36" i="8"/>
  <c r="D46" i="8"/>
  <c r="G46" i="8"/>
  <c r="D47" i="8"/>
  <c r="G47" i="8"/>
  <c r="G45" i="8"/>
  <c r="D45" i="8"/>
  <c r="G42" i="8"/>
  <c r="D42" i="8"/>
  <c r="D50" i="8"/>
  <c r="G50" i="8"/>
  <c r="D43" i="8"/>
  <c r="G43" i="8"/>
  <c r="D32" i="8"/>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I34" i="8"/>
  <c r="J34" i="8"/>
  <c r="L34" i="8"/>
  <c r="C37" i="8" l="1"/>
  <c r="F36" i="8"/>
  <c r="H36" i="8" s="1"/>
  <c r="I35" i="8"/>
  <c r="J35" i="8"/>
  <c r="L35" i="8"/>
  <c r="I36" i="8" l="1"/>
  <c r="J36" i="8"/>
  <c r="L36" i="8"/>
  <c r="C38" i="8"/>
  <c r="F37" i="8"/>
  <c r="H37" i="8" s="1"/>
  <c r="J37" i="8" l="1"/>
  <c r="I37" i="8"/>
  <c r="L37" i="8"/>
  <c r="F38" i="8"/>
  <c r="H38" i="8" s="1"/>
  <c r="C39" i="8"/>
  <c r="J38" i="8" l="1"/>
  <c r="I38" i="8"/>
  <c r="L38" i="8"/>
  <c r="C40" i="8"/>
  <c r="F39" i="8"/>
  <c r="H39" i="8" s="1"/>
  <c r="J39" i="8" l="1"/>
  <c r="I39" i="8"/>
  <c r="L39" i="8"/>
  <c r="C41" i="8"/>
  <c r="F40" i="8"/>
  <c r="H40" i="8" s="1"/>
  <c r="J40" i="8" l="1"/>
  <c r="I40" i="8"/>
  <c r="L40" i="8"/>
  <c r="C42" i="8"/>
  <c r="F41" i="8"/>
  <c r="H41" i="8" s="1"/>
  <c r="F42" i="8" l="1"/>
  <c r="H42" i="8" s="1"/>
  <c r="C43" i="8"/>
  <c r="J41" i="8"/>
  <c r="I41" i="8"/>
  <c r="L41" i="8"/>
  <c r="F43" i="8" l="1"/>
  <c r="H43" i="8" s="1"/>
  <c r="C44" i="8"/>
  <c r="J42" i="8"/>
  <c r="I42" i="8"/>
  <c r="L42" i="8"/>
  <c r="C45" i="8" l="1"/>
  <c r="F44" i="8"/>
  <c r="H44" i="8" s="1"/>
  <c r="J43" i="8"/>
  <c r="I43" i="8"/>
  <c r="L43" i="8"/>
  <c r="J44" i="8" l="1"/>
  <c r="I44" i="8"/>
  <c r="L44" i="8"/>
  <c r="C46" i="8"/>
  <c r="F45" i="8"/>
  <c r="H45" i="8" s="1"/>
  <c r="J45" i="8" l="1"/>
  <c r="I45" i="8"/>
  <c r="L45" i="8"/>
  <c r="F46" i="8"/>
  <c r="H46" i="8" s="1"/>
  <c r="C47" i="8"/>
  <c r="C48" i="8" l="1"/>
  <c r="F47" i="8"/>
  <c r="H47" i="8" s="1"/>
  <c r="J46" i="8"/>
  <c r="I46" i="8"/>
  <c r="L46" i="8"/>
  <c r="J47" i="8" l="1"/>
  <c r="I47" i="8"/>
  <c r="L47" i="8"/>
  <c r="C49" i="8"/>
  <c r="F48" i="8"/>
  <c r="H48" i="8" s="1"/>
  <c r="I48" i="8" l="1"/>
  <c r="J48" i="8"/>
  <c r="L48" i="8"/>
  <c r="F49" i="8"/>
  <c r="H49" i="8" s="1"/>
  <c r="C50" i="8"/>
  <c r="F50" i="8" l="1"/>
  <c r="H50" i="8" s="1"/>
  <c r="C51" i="8"/>
  <c r="F51" i="8" s="1"/>
  <c r="I49" i="8"/>
  <c r="J49" i="8"/>
  <c r="L49" i="8"/>
  <c r="I51" i="8" l="1"/>
  <c r="H51" i="8"/>
  <c r="L51" i="8" s="1"/>
  <c r="J50" i="8"/>
  <c r="I50" i="8"/>
  <c r="L50" i="8"/>
  <c r="L52" i="8" l="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<sst xmlns="http://schemas.openxmlformats.org/spreadsheetml/2006/main" count="768" uniqueCount="559">
  <si>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</si>
  <si>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</si>
  <si>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</si>
  <si>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</si>
  <si>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</si>
  <si>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</si>
  <si>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</si>
  <si>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</si>
  <si>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</si>
  <si>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</si>
  <si>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</si>
  <si>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</si>
  <si>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</si>
  <si>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</si>
  <si>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</si>
  <si>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</si>
  <si>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</si>
  <si>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</si>
  <si>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</si>
  <si>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</si>
  <si>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</si>
  <si>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</si>
  <si>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</si>
  <si>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</si>
  <si>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</si>
  <si>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</si>
  <si>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</si>
  <si>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</si>
  <si>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</si>
  <si>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</si>
  <si>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</si>
  <si>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</si>
  <si>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</si>
  <si>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</si>
  <si>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</si>
  <si>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</si>
  <si>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</si>
  <si>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</si>
  <si>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</si>
  <si>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</si>
  <si>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</si>
  <si>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</si>
  <si>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</si>
  <si>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</si>
  <si>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</si>
  <si>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</si>
  <si>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</si>
  <si>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</si>
  <si>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</si>
  <si>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</si>
  <si>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</si>
  <si>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</si>
  <si>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</si>
  <si>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</si>
  <si>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</si>
  <si>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</si>
  <si>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</si>
  <si>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</si>
  <si>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</si>
  <si>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</si>
  <si>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</si>
  <si>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</si>
  <si>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</si>
  <si>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</si>
  <si>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</si>
  <si>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</si>
  <si>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</si>
  <si>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</si>
  <si>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</si>
  <si>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</si>
  <si>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</si>
  <si>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</si>
  <si>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</si>
  <si>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</si>
  <si>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</si>
  <si>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</si>
  <si>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</si>
  <si>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</si>
  <si>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</si>
  <si>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</si>
  <si>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</si>
  <si>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</si>
  <si>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</si>
  <si>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</si>
  <si>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</si>
  <si>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</si>
  <si>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</si>
  <si>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</si>
  <si>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</si>
  <si>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</si>
  <si>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</si>
  <si>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</si>
  <si>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</si>
  <si>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</si>
  <si>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</si>
  <si>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</si>
  <si>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</si>
  <si>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</si>
  <si>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</si>
  <si>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</si>
  <si>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</si>
  <si>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</si>
  <si>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</si>
  <si>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</si>
  <si>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</si>
  <si>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</si>
  <si>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</si>
  <si>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</si>
  <si>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</si>
  <si>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</si>
  <si>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</si>
  <si>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</si>
  <si>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</si>
  <si>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</si>
  <si>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</si>
  <si>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</si>
  <si>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</si>
  <si>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</si>
  <si>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</si>
  <si>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</si>
  <si>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</si>
  <si>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</si>
  <si>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</si>
  <si>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</si>
  <si>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</si>
  <si>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</si>
  <si>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</si>
  <si>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</si>
  <si>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</si>
  <si>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</si>
  <si>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</si>
  <si>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</si>
  <si>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</si>
  <si>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</si>
  <si>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</si>
  <si>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</si>
  <si>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</si>
  <si>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</si>
  <si>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</si>
  <si>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</si>
  <si>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</si>
  <si>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</si>
  <si>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</si>
  <si>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</si>
  <si>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</si>
  <si>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</si>
  <si>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</si>
  <si>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</si>
  <si>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</si>
  <si>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</si>
  <si>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</si>
  <si>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</si>
  <si>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</si>
  <si>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</si>
  <si>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</si>
  <si>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</si>
  <si>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</si>
  <si>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</si>
  <si>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</si>
  <si>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</si>
  <si>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</si>
  <si>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</si>
  <si>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</si>
  <si>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</si>
  <si>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</si>
  <si>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</si>
  <si>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</si>
  <si>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</si>
  <si>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</si>
  <si>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</si>
  <si>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</si>
  <si>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</si>
  <si>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</si>
  <si>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</si>
  <si>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</si>
  <si>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</si>
  <si>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</si>
  <si>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</si>
  <si>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</si>
  <si>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</si>
  <si>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</si>
  <si>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</si>
  <si>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</si>
  <si>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</si>
  <si>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</si>
  <si>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</si>
  <si>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</si>
  <si>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</si>
  <si>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</si>
  <si>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</si>
  <si>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</si>
  <si>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</si>
  <si>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</si>
  <si>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</si>
  <si>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</si>
  <si>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</si>
  <si>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</si>
  <si>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</si>
  <si>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</si>
  <si>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</si>
  <si>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</si>
  <si>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</si>
  <si>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</si>
  <si>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</si>
  <si>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</si>
  <si>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</si>
  <si>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</si>
  <si>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</si>
  <si>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</si>
  <si>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</si>
  <si>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</si>
  <si>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</si>
  <si>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</si>
  <si>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</si>
  <si>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</si>
  <si>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</si>
  <si>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</si>
  <si>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</si>
  <si>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</si>
  <si>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</si>
  <si>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</si>
  <si>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</si>
  <si>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</si>
  <si>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</si>
  <si>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</si>
  <si>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</si>
  <si>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</si>
  <si>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</si>
  <si>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</si>
  <si>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</si>
  <si>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</si>
  <si>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</si>
  <si>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</si>
  <si>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</si>
  <si>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</si>
  <si>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</si>
  <si>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</si>
  <si>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</si>
  <si>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</si>
  <si>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</si>
  <si>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</si>
  <si>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</si>
  <si>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</si>
  <si>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</si>
  <si>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</si>
  <si>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</si>
  <si>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</si>
  <si>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</si>
  <si>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</si>
  <si>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</si>
  <si>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</si>
  <si>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</si>
  <si>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</si>
  <si>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</si>
  <si>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</si>
  <si>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</si>
  <si>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</si>
  <si>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</si>
  <si>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</si>
  <si>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</si>
  <si>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</si>
  <si>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</si>
  <si>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</si>
  <si>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</si>
  <si>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</si>
  <si>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</si>
  <si>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</si>
  <si>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</si>
  <si>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</si>
  <si>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</si>
  <si>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</si>
  <si>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</si>
  <si>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</si>
  <si>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</si>
  <si>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</si>
  <si>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</si>
  <si>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</si>
  <si>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</si>
  <si>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</si>
  <si>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</si>
  <si>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</si>
  <si>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</si>
  <si>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</si>
  <si>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</si>
  <si>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</si>
  <si>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</si>
  <si>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</si>
  <si>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</si>
  <si>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</si>
  <si>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</si>
  <si>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</si>
  <si>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</si>
  <si>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</si>
  <si>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</si>
  <si>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</si>
  <si>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</si>
  <si>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</si>
  <si>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</si>
  <si>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</si>
  <si>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</si>
  <si>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</si>
  <si>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</si>
  <si>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</si>
  <si>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</si>
  <si>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</si>
  <si>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</si>
  <si>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</si>
  <si>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</si>
  <si>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</si>
  <si>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</si>
  <si>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</si>
  <si>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</si>
  <si>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</si>
  <si>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</si>
  <si>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</si>
  <si>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</si>
  <si>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</si>
  <si>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</si>
  <si>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</si>
  <si>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</si>
  <si>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</si>
  <si>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</si>
  <si>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</si>
  <si>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</si>
  <si>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</si>
  <si>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</si>
  <si>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</si>
  <si>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</si>
  <si>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</si>
  <si>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</si>
  <si>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</si>
  <si>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</si>
  <si>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</si>
  <si>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</si>
  <si>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</si>
  <si>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</si>
  <si>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</si>
  <si>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</si>
  <si>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</si>
  <si>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</si>
  <si>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</si>
  <si>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</si>
  <si>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</si>
  <si>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</si>
  <si>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</si>
  <si>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</si>
  <si>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</si>
  <si>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</si>
  <si>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</si>
  <si>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</si>
  <si>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</si>
  <si>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</si>
  <si>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</si>
  <si>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</si>
  <si>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</si>
  <si>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</si>
  <si>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</si>
  <si>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</si>
  <si>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</si>
  <si>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</si>
  <si>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</si>
  <si>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</si>
  <si>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</si>
  <si>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</si>
  <si>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</si>
  <si>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</si>
  <si>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</si>
  <si>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</si>
  <si>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</si>
  <si>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</si>
  <si>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</si>
  <si>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</si>
  <si>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</si>
  <si>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</si>
  <si>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</si>
  <si>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</si>
  <si>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</si>
  <si>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</si>
  <si>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</si>
  <si>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</si>
  <si>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</si>
  <si>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</si>
  <si>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</si>
  <si>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</si>
  <si>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</si>
  <si>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</si>
  <si>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</si>
  <si>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</si>
  <si>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</si>
  <si>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</si>
  <si>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</si>
  <si>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</si>
  <si>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</si>
  <si>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</si>
  <si>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</si>
  <si>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</si>
  <si>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</si>
  <si>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</si>
  <si>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</si>
  <si>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</si>
  <si>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</si>
  <si>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</si>
  <si>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</si>
  <si>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</si>
  <si>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</si>
  <si>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</si>
  <si>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</si>
  <si>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</si>
  <si>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</si>
  <si>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</si>
  <si>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</si>
  <si>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</si>
  <si>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</si>
  <si>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</si>
  <si>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</si>
  <si>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</si>
  <si>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</si>
  <si>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</si>
  <si>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</si>
  <si>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</si>
  <si>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</si>
  <si>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</si>
  <si>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</si>
  <si>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</si>
  <si>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</si>
  <si>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</si>
  <si>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</si>
  <si>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</si>
  <si>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</si>
  <si>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</si>
  <si>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</si>
  <si>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</si>
  <si>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</si>
  <si>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</si>
  <si>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</si>
  <si>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</si>
  <si>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</si>
  <si>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</si>
  <si>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</si>
  <si>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</si>
  <si>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</si>
  <si>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</si>
  <si>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</si>
  <si>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</si>
  <si>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</si>
  <si>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</si>
  <si>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</si>
  <si>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</si>
  <si>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</si>
  <si>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</si>
  <si>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</si>
  <si>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</si>
  <si>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</si>
  <si>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</si>
  <si>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</si>
  <si>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</si>
  <si>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</si>
  <si>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</si>
  <si>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</si>
  <si>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</si>
  <si>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</si>
  <si>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</si>
  <si>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</si>
  <si>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</si>
  <si>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</si>
  <si>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</si>
  <si>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</si>
  <si>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</si>
  <si>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</si>
  <si>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</si>
  <si>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</si>
  <si>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</si>
  <si>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</si>
  <si>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</si>
  <si>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</si>
  <si>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</si>
  <si>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</si>
  <si>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</si>
  <si>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</si>
  <si>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</si>
  <si>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</si>
  <si>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</si>
  <si>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</si>
  <si>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</si>
  <si>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</si>
  <si>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</si>
  <si>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</si>
  <si>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</si>
  <si>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</si>
  <si>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</si>
  <si>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</si>
  <si>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</si>
  <si>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</si>
  <si>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</si>
  <si>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</si>
  <si>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</si>
  <si>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</si>
  <si>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</si>
  <si>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</si>
  <si>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</si>
  <si>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</si>
  <si>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</si>
  <si>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</si>
  <si>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</si>
  <si>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</si>
  <si>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</si>
  <si>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</si>
  <si>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</si>
  <si>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</si>
  <si>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</si>
  <si>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</si>
  <si>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</si>
  <si>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</si>
  <si>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</si>
  <si>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</si>
  <si>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</si>
  <si>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</si>
  <si>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</si>
  <si>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</si>
  <si>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</si>
  <si>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</si>
  <si>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</si>
  <si>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</si>
  <si>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</si>
  <si>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</si>
  <si>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</si>
  <si>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</si>
  <si>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</si>
  <si>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</si>
  <si>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</si>
  <si>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</si>
  <si>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</si>
  <si>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</si>
  <si>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</si>
  <si>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</si>
  <si>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</si>
  <si>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</si>
  <si>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</si>
  <si>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</si>
  <si>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</si>
  <si>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</si>
  <si>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</si>
  <si>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</si>
  <si>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</si>
  <si>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</si>
  <si>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</si>
  <si>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</si>
  <si>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</si>
  <si>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</si>
  <si>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</si>
  <si>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</si>
  <si>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</si>
  <si>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</si>
  <si>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</si>
  <si>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</si>
  <si>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0941.HK</t>
  </si>
  <si>
    <t>中国移动</t>
  </si>
  <si>
    <t>TMT_01</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</si>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</sst>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 fillId="0" borderId="3" xfId="0" applyFont="1" applyBorder="1" applyAlignment="1">
      <alignment horizontal="left" vertical="center" wrapText="1"/>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D42" sqref="D42"/>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538</v>
      </c>
      <c r="F3" s="429">
        <v>46038</v>
      </c>
    </row>
    <row r="4" spans="1:9" ht="12.4">
      <c r="B4" s="421" t="s">
        <v>533</v>
      </c>
      <c r="C4" s="420" t="s">
        <v>556</v>
      </c>
      <c r="E4" s="430" t="s">
        <v>537</v>
      </c>
      <c r="F4" s="431" t="s">
        <v>324</v>
      </c>
    </row>
    <row r="5" spans="1:9">
      <c r="B5" s="1" t="s">
        <v>349</v>
      </c>
      <c r="C5" s="46" t="s">
        <v>555</v>
      </c>
      <c r="E5" s="433" t="s">
        <v>539</v>
      </c>
      <c r="F5" s="432" t="s">
        <v>497</v>
      </c>
    </row>
    <row r="6" spans="1:9">
      <c r="B6" s="2" t="s">
        <v>53</v>
      </c>
      <c r="C6" s="45" t="s">
        <v>557</v>
      </c>
      <c r="D6" s="45"/>
      <c r="E6" s="45"/>
    </row>
    <row r="7" spans="1:9">
      <c r="B7" s="1" t="s">
        <v>351</v>
      </c>
      <c r="C7" s="45" t="s">
        <v>308</v>
      </c>
      <c r="D7" s="45"/>
      <c r="E7" s="45"/>
    </row>
    <row r="8" spans="1:9">
      <c r="B8" s="4" t="s">
        <v>350</v>
      </c>
      <c r="C8" s="47">
        <v>79.95</v>
      </c>
      <c r="E8" s="32"/>
    </row>
    <row r="9" spans="1:9">
      <c r="B9" s="4" t="s">
        <v>346</v>
      </c>
      <c r="C9" s="48">
        <f>20741838745+902767867</f>
        <v>21644606612</v>
      </c>
    </row>
    <row r="10" spans="1:9">
      <c r="B10" s="4" t="s">
        <v>352</v>
      </c>
      <c r="C10" s="33">
        <f>Thesis!C8*Common_Shares/1000000</f>
        <v>1730486.2986294001</v>
      </c>
      <c r="D10" s="1" t="s">
        <v>528</v>
      </c>
      <c r="E10" s="303">
        <f>Scenarios!F34</f>
        <v>0.19891673811808264</v>
      </c>
    </row>
    <row r="11" spans="1:9">
      <c r="D11" s="5"/>
      <c r="E11" s="5"/>
    </row>
    <row r="12" spans="1:9" ht="24.5" customHeight="1">
      <c r="B12" s="461" t="s">
        <v>355</v>
      </c>
      <c r="C12" s="461"/>
      <c r="D12" s="461"/>
      <c r="E12" s="461"/>
      <c r="F12" s="461"/>
    </row>
    <row r="14" spans="1:9">
      <c r="B14" s="42" t="str">
        <f>Scenarios!B39&amp;" Valuation Conclusion"</f>
        <v>1-stage DCF Valuation Conclusion</v>
      </c>
      <c r="C14" s="43"/>
    </row>
    <row r="15" spans="1:9">
      <c r="B15" s="1" t="s">
        <v>319</v>
      </c>
      <c r="C15" s="417" t="s">
        <v>546</v>
      </c>
      <c r="D15" s="4" t="s">
        <v>353</v>
      </c>
      <c r="E15" s="253" t="str">
        <f>IF(E17=C7,C7,E17&amp;"/"&amp;C7)</f>
        <v>CNY/HKD</v>
      </c>
    </row>
    <row r="16" spans="1:9">
      <c r="B16" s="1" t="s">
        <v>320</v>
      </c>
      <c r="C16" s="417" t="s">
        <v>546</v>
      </c>
      <c r="D16" s="4" t="s">
        <v>354</v>
      </c>
      <c r="E16" s="416">
        <v>1.1348424911499022</v>
      </c>
    </row>
    <row r="17" spans="1:6">
      <c r="B17" s="1" t="s">
        <v>532</v>
      </c>
      <c r="C17" s="456">
        <v>0.02</v>
      </c>
      <c r="D17" s="4" t="s">
        <v>274</v>
      </c>
      <c r="E17" s="224" t="s">
        <v>558</v>
      </c>
    </row>
    <row r="18" spans="1:6">
      <c r="B18" s="1" t="str">
        <f>"Expected Equity Value ("&amp;C7&amp;") :"</f>
        <v>Expected Equity Value (HKD) :</v>
      </c>
      <c r="C18" s="252">
        <f>C125</f>
        <v>121.12182318226319</v>
      </c>
      <c r="D18" s="2" t="s">
        <v>347</v>
      </c>
      <c r="E18" s="418">
        <v>6</v>
      </c>
    </row>
    <row r="19" spans="1:6">
      <c r="B19" s="2" t="s">
        <v>275</v>
      </c>
      <c r="C19" s="31" t="str">
        <f>IF(Terminal_Growth&lt;2%, "Lower than Inflation rate", IF(Terminal_Growth&lt;5%, "Low growth", IF(Terminal_Growth&lt;8%, "Medium growth", "High growth")))</f>
        <v>Low growth</v>
      </c>
      <c r="D19" s="1" t="s">
        <v>348</v>
      </c>
      <c r="E19" s="419">
        <f>EOMONTH(EDATE(BS!C1,E18+2),0)</f>
        <v>46081</v>
      </c>
    </row>
    <row r="20" spans="1:6">
      <c r="D20" s="5"/>
      <c r="E20" s="5"/>
    </row>
    <row r="21" spans="1:6">
      <c r="B21" s="42" t="s">
        <v>404</v>
      </c>
      <c r="C21" s="254" t="str">
        <f>C138&amp;" ("&amp;Market_currency&amp;")"</f>
        <v xml:space="preserve"> (HKD)</v>
      </c>
      <c r="D21" s="31" t="s">
        <v>316</v>
      </c>
      <c r="E21" s="442">
        <v>3</v>
      </c>
    </row>
    <row r="22" spans="1:6">
      <c r="B22" s="1" t="s">
        <v>312</v>
      </c>
      <c r="C22" s="255">
        <f>E140</f>
        <v>64.199058449083594</v>
      </c>
      <c r="D22" s="38" t="s">
        <v>406</v>
      </c>
      <c r="E22" s="79">
        <v>0.29465259038036606</v>
      </c>
    </row>
    <row r="23" spans="1:6">
      <c r="B23" s="1" t="s">
        <v>313</v>
      </c>
      <c r="C23" s="256">
        <f>E141</f>
        <v>79.600506014432852</v>
      </c>
      <c r="D23" s="38" t="s">
        <v>407</v>
      </c>
      <c r="E23" s="443">
        <v>0.20075184365903009</v>
      </c>
    </row>
    <row r="24" spans="1:6">
      <c r="B24" s="1" t="s">
        <v>315</v>
      </c>
      <c r="C24" s="256">
        <f>E144</f>
        <v>97.867460506713343</v>
      </c>
      <c r="D24" s="38" t="s">
        <v>408</v>
      </c>
      <c r="E24" s="443">
        <v>0.1174</v>
      </c>
    </row>
    <row r="25" spans="1:6">
      <c r="B25" s="1" t="s">
        <v>314</v>
      </c>
      <c r="C25" s="256">
        <f>E145</f>
        <v>110.14897944746811</v>
      </c>
      <c r="D25" s="38" t="s">
        <v>409</v>
      </c>
      <c r="E25" s="444">
        <v>7.2499999999999995E-2</v>
      </c>
    </row>
    <row r="26" spans="1:6">
      <c r="D26" s="5"/>
      <c r="E26" s="5"/>
    </row>
    <row r="27" spans="1:6" ht="13.9">
      <c r="A27" s="200" t="s">
        <v>280</v>
      </c>
      <c r="B27" s="34"/>
      <c r="C27" s="34"/>
      <c r="D27" s="34"/>
      <c r="E27" s="34"/>
      <c r="F27" s="34"/>
    </row>
    <row r="29" spans="1:6">
      <c r="B29" s="461" t="s">
        <v>356</v>
      </c>
      <c r="C29" s="461"/>
      <c r="D29" s="461"/>
      <c r="E29" s="461"/>
      <c r="F29" s="461"/>
    </row>
    <row r="30" spans="1:6" ht="24.5" customHeight="1">
      <c r="B30" s="463" t="s">
        <v>266</v>
      </c>
      <c r="C30" s="463"/>
      <c r="D30" s="463"/>
      <c r="E30" s="463"/>
      <c r="F30" s="463"/>
    </row>
    <row r="32" spans="1:6">
      <c r="B32" s="192" t="s">
        <v>195</v>
      </c>
      <c r="C32" s="105">
        <f>scaling_factor</f>
        <v>1000000</v>
      </c>
    </row>
    <row r="33" spans="2:6" ht="24.5" customHeight="1">
      <c r="B33" s="462" t="s">
        <v>196</v>
      </c>
      <c r="C33" s="462"/>
      <c r="D33" s="462"/>
      <c r="E33" s="462"/>
      <c r="F33" s="462"/>
    </row>
    <row r="34" spans="2:6">
      <c r="B34" s="44" t="s">
        <v>197</v>
      </c>
      <c r="C34" s="285">
        <f>Normalized_FCF!C8</f>
        <v>135679.51550364122</v>
      </c>
      <c r="D34" s="1" t="str">
        <f>Reporting_currency</f>
        <v>CNY</v>
      </c>
    </row>
    <row r="35" spans="2:6">
      <c r="B35" s="44"/>
      <c r="C35" s="73"/>
    </row>
    <row r="36" spans="2:6" ht="24.5" customHeight="1">
      <c r="B36" s="462" t="s">
        <v>198</v>
      </c>
      <c r="C36" s="462"/>
      <c r="D36" s="462"/>
      <c r="E36" s="462"/>
      <c r="F36" s="462"/>
    </row>
    <row r="37" spans="2:6">
      <c r="B37" s="44" t="s">
        <v>199</v>
      </c>
      <c r="C37" s="285">
        <f>Normalized_FCF!C15</f>
        <v>191101</v>
      </c>
      <c r="D37" s="1" t="str">
        <f>Reporting_currency</f>
        <v>CNY</v>
      </c>
    </row>
    <row r="38" spans="2:6">
      <c r="B38" s="49" t="s">
        <v>200</v>
      </c>
      <c r="C38" s="285">
        <f>Normalized_FCF!C16</f>
        <v>-191101</v>
      </c>
      <c r="D38" s="1" t="str">
        <f>Reporting_currency</f>
        <v>CNY</v>
      </c>
    </row>
    <row r="40" spans="2:6">
      <c r="B40" s="462" t="s">
        <v>201</v>
      </c>
      <c r="C40" s="462"/>
      <c r="D40" s="462"/>
      <c r="E40" s="462"/>
      <c r="F40" s="462"/>
    </row>
    <row r="41" spans="2:6">
      <c r="B41" s="44" t="s">
        <v>202</v>
      </c>
      <c r="C41" s="285">
        <f>Normalized_FCF!C9</f>
        <v>7974.2</v>
      </c>
      <c r="D41" s="1" t="str">
        <f>Reporting_currency</f>
        <v>CNY</v>
      </c>
    </row>
    <row r="43" spans="2:6">
      <c r="B43" s="462" t="s">
        <v>205</v>
      </c>
      <c r="C43" s="462"/>
      <c r="D43" s="462"/>
      <c r="E43" s="462"/>
      <c r="F43" s="462"/>
    </row>
    <row r="44" spans="2:6">
      <c r="B44" s="44" t="s">
        <v>267</v>
      </c>
      <c r="C44" s="286">
        <f>Normalized_FCF!C46</f>
        <v>507.62526607571937</v>
      </c>
      <c r="D44" s="1" t="str">
        <f>Reporting_currency</f>
        <v>CNY</v>
      </c>
      <c r="E44" s="244"/>
      <c r="F44" s="244"/>
    </row>
    <row r="45" spans="2:6">
      <c r="B45" s="44" t="s">
        <v>268</v>
      </c>
      <c r="C45" s="286">
        <f>Normalized_FCF!C45</f>
        <v>-5515.92</v>
      </c>
      <c r="D45" s="1" t="str">
        <f>Reporting_currency</f>
        <v>CNY</v>
      </c>
      <c r="E45" s="244"/>
      <c r="F45" s="244"/>
    </row>
    <row r="46" spans="2:6">
      <c r="B46" s="44" t="s">
        <v>203</v>
      </c>
      <c r="C46" s="285">
        <f>Normalized_FCF!C10</f>
        <v>-5008.294733924281</v>
      </c>
      <c r="D46" s="1" t="str">
        <f>Reporting_currency</f>
        <v>CNY</v>
      </c>
    </row>
    <row r="48" spans="2:6">
      <c r="B48" s="1" t="s">
        <v>211</v>
      </c>
    </row>
    <row r="49" spans="2:6">
      <c r="B49" s="44" t="s">
        <v>223</v>
      </c>
      <c r="C49" s="285">
        <f>Normalized_FCF!C13</f>
        <v>-193.8560225780364</v>
      </c>
      <c r="D49" s="1" t="str">
        <f>Reporting_currency</f>
        <v>CNY</v>
      </c>
    </row>
    <row r="51" spans="2:6">
      <c r="B51" s="462" t="s">
        <v>206</v>
      </c>
      <c r="C51" s="462"/>
      <c r="D51" s="462"/>
      <c r="E51" s="462"/>
      <c r="F51" s="462"/>
    </row>
    <row r="52" spans="2:6">
      <c r="B52" s="44" t="s">
        <v>204</v>
      </c>
      <c r="C52" s="285">
        <f>Normalized_FCF!C12</f>
        <v>-34661.355192429241</v>
      </c>
      <c r="D52" s="1" t="str">
        <f>Reporting_currency</f>
        <v>CNY</v>
      </c>
    </row>
    <row r="54" spans="2:6">
      <c r="B54" s="462" t="s">
        <v>265</v>
      </c>
      <c r="C54" s="465"/>
      <c r="D54" s="465"/>
      <c r="E54" s="465"/>
      <c r="F54" s="465"/>
    </row>
    <row r="55" spans="2:6">
      <c r="B55" s="44" t="s">
        <v>207</v>
      </c>
      <c r="C55" s="285">
        <f>Normalized_FCF!C17</f>
        <v>0</v>
      </c>
      <c r="D55" s="1" t="str">
        <f>Reporting_currency</f>
        <v>CNY</v>
      </c>
    </row>
    <row r="57" spans="2:6" ht="24.5" customHeight="1">
      <c r="B57" s="461" t="s">
        <v>270</v>
      </c>
      <c r="C57" s="461"/>
      <c r="D57" s="461"/>
      <c r="E57" s="461"/>
      <c r="F57" s="461"/>
    </row>
    <row r="58" spans="2:6" ht="24.5" customHeight="1">
      <c r="B58" s="461" t="s">
        <v>282</v>
      </c>
      <c r="C58" s="461"/>
      <c r="D58" s="461"/>
      <c r="E58" s="461"/>
      <c r="F58" s="461"/>
    </row>
    <row r="60" spans="2:6">
      <c r="B60" s="44" t="s">
        <v>227</v>
      </c>
      <c r="C60" s="285">
        <f>Normalized_FCF!G19</f>
        <v>118134.44704364182</v>
      </c>
      <c r="D60" s="1" t="str">
        <f>Reporting_currency</f>
        <v>CNY</v>
      </c>
    </row>
    <row r="61" spans="2:6">
      <c r="B61" s="44" t="s">
        <v>213</v>
      </c>
      <c r="C61" s="285">
        <f>Normalized_FCF!C19</f>
        <v>103790.20955470968</v>
      </c>
      <c r="D61" s="1" t="str">
        <f>Reporting_currency</f>
        <v>CNY</v>
      </c>
    </row>
    <row r="62" spans="2:6">
      <c r="B62" s="204" t="s">
        <v>302</v>
      </c>
      <c r="C62" s="89">
        <f>Normalized_FCF!C124</f>
        <v>6.8064994251226946E-2</v>
      </c>
      <c r="F62" s="257"/>
    </row>
    <row r="63" spans="2:6">
      <c r="B63" s="204" t="s">
        <v>332</v>
      </c>
      <c r="C63" s="89">
        <f>Normalized_FCF!C92</f>
        <v>5.7298311444652909E-2</v>
      </c>
      <c r="E63" s="44" t="s">
        <v>322</v>
      </c>
      <c r="F63" s="258">
        <f>Normalized_FCF!C90</f>
        <v>1.0614782273563756</v>
      </c>
    </row>
    <row r="65" spans="1:6">
      <c r="B65" s="192" t="s">
        <v>325</v>
      </c>
      <c r="C65" s="264" t="s">
        <v>327</v>
      </c>
      <c r="D65" s="264" t="s">
        <v>328</v>
      </c>
    </row>
    <row r="66" spans="1:6">
      <c r="B66" s="44" t="s">
        <v>326</v>
      </c>
      <c r="C66" s="89">
        <f>Normalized_FCF!E119</f>
        <v>9.6671315574961933E-2</v>
      </c>
      <c r="D66" s="89">
        <f>Normalized_FCF!G119</f>
        <v>0.11027130711998644</v>
      </c>
    </row>
    <row r="67" spans="1:6">
      <c r="B67" s="229" t="str">
        <f>Normalized_FCF!B116</f>
        <v>Pre-tax Profit/Sales</v>
      </c>
      <c r="C67" s="263">
        <f>Normalized_FCF!E116</f>
        <v>0.13321568275625476</v>
      </c>
      <c r="D67" s="263">
        <f>Normalized_FCF!G116</f>
        <v>0.15195683827249326</v>
      </c>
    </row>
    <row r="68" spans="1:6">
      <c r="B68" s="229" t="str">
        <f>Normalized_FCF!B117</f>
        <v>Sales/Total Assets</v>
      </c>
      <c r="C68" s="265">
        <f>Normalized_FCF!E117</f>
        <v>0.48913824057450628</v>
      </c>
      <c r="D68" s="265">
        <f>Normalized_FCF!G117</f>
        <v>0.48913824057450628</v>
      </c>
    </row>
    <row r="69" spans="1:6">
      <c r="B69" s="229" t="str">
        <f>Normalized_FCF!B118</f>
        <v>Total Assets/Equity</v>
      </c>
      <c r="C69" s="265">
        <f>Normalized_FCF!E118</f>
        <v>1.4835789300471205</v>
      </c>
      <c r="D69" s="265">
        <f>Normalized_FCF!G118</f>
        <v>1.4835789300471205</v>
      </c>
    </row>
    <row r="71" spans="1:6" ht="13.9">
      <c r="A71" s="200" t="s">
        <v>477</v>
      </c>
      <c r="B71" s="34"/>
      <c r="C71" s="34"/>
      <c r="D71" s="34"/>
      <c r="E71" s="34"/>
      <c r="F71" s="34"/>
    </row>
    <row r="72" spans="1:6">
      <c r="A72" s="191"/>
    </row>
    <row r="73" spans="1:6">
      <c r="A73" s="191"/>
      <c r="B73" s="461" t="s">
        <v>478</v>
      </c>
      <c r="C73" s="461"/>
      <c r="D73" s="461"/>
      <c r="E73" s="461"/>
      <c r="F73" s="461"/>
    </row>
    <row r="74" spans="1:6">
      <c r="A74" s="191"/>
      <c r="B74" s="1" t="s">
        <v>465</v>
      </c>
    </row>
    <row r="75" spans="1:6">
      <c r="A75" s="191"/>
    </row>
    <row r="76" spans="1:6">
      <c r="A76" s="191"/>
      <c r="B76" s="192" t="s">
        <v>195</v>
      </c>
    </row>
    <row r="77" spans="1:6">
      <c r="A77" s="191"/>
      <c r="B77" s="461" t="s">
        <v>271</v>
      </c>
      <c r="C77" s="461"/>
      <c r="D77" s="461"/>
      <c r="E77" s="461"/>
      <c r="F77" s="461"/>
    </row>
    <row r="78" spans="1:6">
      <c r="A78" s="191"/>
      <c r="B78" s="1" t="s">
        <v>215</v>
      </c>
      <c r="C78" s="285">
        <f>DCF!F4</f>
        <v>-91932</v>
      </c>
      <c r="D78" s="1" t="str">
        <f>Reporting_currency</f>
        <v>CNY</v>
      </c>
    </row>
    <row r="79" spans="1:6">
      <c r="A79" s="191"/>
      <c r="B79" s="44" t="s">
        <v>234</v>
      </c>
      <c r="C79" s="201">
        <f>C78*scaling_factor*Exchange_Rate/Common_Shares</f>
        <v>-4.8200617256102989</v>
      </c>
      <c r="D79" s="1" t="str">
        <f>Market_currency</f>
        <v>HKD</v>
      </c>
    </row>
    <row r="80" spans="1:6">
      <c r="A80" s="191"/>
      <c r="B80" s="229" t="s">
        <v>309</v>
      </c>
      <c r="C80" s="337">
        <f>IF(BS!G31/BS!G27&gt;300%,"nm",BS!G31/BS!G27)</f>
        <v>6.4100114768294941E-2</v>
      </c>
    </row>
    <row r="81" spans="1:6">
      <c r="A81" s="191"/>
      <c r="B81" s="229" t="s">
        <v>311</v>
      </c>
      <c r="C81" s="338">
        <f>IF(BS!C50&gt;30,"nm",BS!C50)</f>
        <v>0.67756727799881356</v>
      </c>
    </row>
    <row r="82" spans="1:6">
      <c r="A82" s="191"/>
    </row>
    <row r="83" spans="1:6">
      <c r="A83" s="191"/>
      <c r="B83" s="1" t="s">
        <v>466</v>
      </c>
    </row>
    <row r="84" spans="1:6">
      <c r="A84" s="191"/>
      <c r="B84" s="1" t="s">
        <v>224</v>
      </c>
      <c r="C84" s="285">
        <f>DCF!F5</f>
        <v>166973.7889873801</v>
      </c>
      <c r="D84" s="1" t="str">
        <f>Reporting_currency</f>
        <v>CNY</v>
      </c>
    </row>
    <row r="85" spans="1:6">
      <c r="A85" s="191"/>
      <c r="B85" s="229" t="s">
        <v>222</v>
      </c>
      <c r="C85" s="291">
        <f>BS!C66</f>
        <v>251578</v>
      </c>
      <c r="D85" s="339" t="str">
        <f>Reporting_currency</f>
        <v>CNY</v>
      </c>
    </row>
    <row r="86" spans="1:6">
      <c r="A86" s="191"/>
      <c r="B86" s="44" t="s">
        <v>235</v>
      </c>
      <c r="C86" s="201">
        <f>C84*scaling_factor*Exchange_Rate/Common_Shares</f>
        <v>8.7545573845690434</v>
      </c>
      <c r="D86" s="1" t="str">
        <f>Market_currency</f>
        <v>HKD</v>
      </c>
    </row>
    <row r="87" spans="1:6">
      <c r="A87" s="191"/>
    </row>
    <row r="88" spans="1:6">
      <c r="A88" s="191"/>
      <c r="B88" s="1" t="s">
        <v>216</v>
      </c>
    </row>
    <row r="89" spans="1:6">
      <c r="A89" s="191"/>
      <c r="B89" s="1" t="s">
        <v>217</v>
      </c>
      <c r="C89" s="285">
        <f>DCF!F6</f>
        <v>262533.59999999998</v>
      </c>
      <c r="D89" s="1" t="str">
        <f>Reporting_currency</f>
        <v>CNY</v>
      </c>
    </row>
    <row r="90" spans="1:6">
      <c r="A90" s="191"/>
      <c r="B90" s="44" t="s">
        <v>236</v>
      </c>
      <c r="C90" s="201">
        <f>C89*scaling_factor*Exchange_Rate/Common_Shares</f>
        <v>13.764827884160944</v>
      </c>
      <c r="D90" s="1" t="str">
        <f>Market_currency</f>
        <v>HKD</v>
      </c>
    </row>
    <row r="91" spans="1:6">
      <c r="A91" s="191"/>
    </row>
    <row r="92" spans="1:6">
      <c r="A92" s="191"/>
      <c r="B92" s="44" t="s">
        <v>469</v>
      </c>
      <c r="C92" s="216">
        <f>DCF!F8</f>
        <v>17.699323543119686</v>
      </c>
      <c r="D92" s="44" t="str">
        <f>Market_currency</f>
        <v>HKD</v>
      </c>
    </row>
    <row r="94" spans="1:6" ht="13.9">
      <c r="A94" s="200" t="s">
        <v>470</v>
      </c>
      <c r="B94" s="34"/>
      <c r="C94" s="34"/>
      <c r="D94" s="34"/>
      <c r="E94" s="34"/>
      <c r="F94" s="34"/>
    </row>
    <row r="95" spans="1:6">
      <c r="A95" s="191"/>
    </row>
    <row r="96" spans="1:6" ht="11.75" customHeight="1">
      <c r="B96" s="461" t="s">
        <v>485</v>
      </c>
      <c r="C96" s="461"/>
      <c r="D96" s="461"/>
      <c r="E96" s="461"/>
      <c r="F96" s="461"/>
    </row>
    <row r="97" spans="2:6">
      <c r="B97" s="463" t="s">
        <v>484</v>
      </c>
      <c r="C97" s="463"/>
      <c r="D97" s="463"/>
      <c r="E97" s="463"/>
      <c r="F97" s="463"/>
    </row>
    <row r="98" spans="2:6">
      <c r="B98" s="463" t="s">
        <v>483</v>
      </c>
      <c r="C98" s="463"/>
      <c r="D98" s="463"/>
      <c r="E98" s="463"/>
      <c r="F98" s="463"/>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0.02</v>
      </c>
    </row>
    <row r="106" spans="2:6">
      <c r="B106" s="250" t="s">
        <v>281</v>
      </c>
      <c r="C106" s="116"/>
    </row>
    <row r="107" spans="2:6">
      <c r="B107" s="461" t="s">
        <v>283</v>
      </c>
      <c r="C107" s="461"/>
      <c r="D107" s="461"/>
      <c r="E107" s="461"/>
      <c r="F107" s="461"/>
    </row>
    <row r="108" spans="2:6">
      <c r="B108" s="461" t="s">
        <v>284</v>
      </c>
      <c r="C108" s="461"/>
      <c r="D108" s="461"/>
      <c r="E108" s="461"/>
      <c r="F108" s="461"/>
    </row>
    <row r="110" spans="2:6">
      <c r="B110" s="192" t="s">
        <v>487</v>
      </c>
    </row>
    <row r="111" spans="2:6">
      <c r="B111" s="49" t="s">
        <v>468</v>
      </c>
      <c r="C111" s="216">
        <f>BS!D47</f>
        <v>1.4626285724482797</v>
      </c>
      <c r="D111" s="1" t="str">
        <f>Market_currency</f>
        <v>HKD</v>
      </c>
    </row>
    <row r="112" spans="2:6">
      <c r="B112" s="44" t="s">
        <v>323</v>
      </c>
      <c r="C112" s="216">
        <f>DCF!C11</f>
        <v>123.42565147061129</v>
      </c>
      <c r="D112" s="1" t="str">
        <f>Market_currency</f>
        <v>HKD</v>
      </c>
    </row>
    <row r="114" spans="2:6" ht="24.5" customHeight="1">
      <c r="B114" s="461" t="s">
        <v>491</v>
      </c>
      <c r="C114" s="461"/>
      <c r="D114" s="461"/>
      <c r="E114" s="461"/>
      <c r="F114" s="461"/>
    </row>
    <row r="116" spans="2:6">
      <c r="B116" s="192" t="s">
        <v>488</v>
      </c>
    </row>
    <row r="117" spans="2:6" ht="12.4">
      <c r="B117" s="342" t="s">
        <v>101</v>
      </c>
      <c r="C117" s="342" t="s">
        <v>110</v>
      </c>
      <c r="D117" s="342" t="s">
        <v>219</v>
      </c>
      <c r="E117" s="342" t="s">
        <v>124</v>
      </c>
      <c r="F117" s="342" t="s">
        <v>545</v>
      </c>
    </row>
    <row r="118" spans="2:6">
      <c r="B118" s="205" t="str">
        <f>DCF!B90&amp;" ("&amp;DCF!D90&amp;"yrs)"</f>
        <v>Snowball Scenario (30yrs)</v>
      </c>
      <c r="C118" s="206">
        <f>DCF!C90</f>
        <v>0.04</v>
      </c>
      <c r="D118" s="207" t="str">
        <f>ROUND(DCF!E90,2)&amp;" "&amp;Market_currency</f>
        <v>153.07 HKD</v>
      </c>
      <c r="E118" s="208">
        <f>DCF!F90</f>
        <v>0.15</v>
      </c>
      <c r="F118" s="208">
        <f>RATE(Holding_Period,Scenarios!C$58,-DCF!E90,C$18)</f>
        <v>-4.2707815493214861E-2</v>
      </c>
    </row>
    <row r="119" spans="2:6">
      <c r="B119" s="205" t="str">
        <f>DCF!B91&amp;" ("&amp;DCF!D91&amp;"yrs)"</f>
        <v>Optimistic (30yrs)</v>
      </c>
      <c r="C119" s="198">
        <f>DCF!C91</f>
        <v>0.03</v>
      </c>
      <c r="D119" s="207" t="str">
        <f>ROUND(DCF!E91,2)&amp;" "&amp;Market_currency</f>
        <v>133.14 HKD</v>
      </c>
      <c r="E119" s="199">
        <f>DCF!F91</f>
        <v>0.15999999999999995</v>
      </c>
      <c r="F119" s="208">
        <f>RATE(Holding_Period,Scenarios!C$58,-DCF!E91,C$18)</f>
        <v>4.4643836154445995E-3</v>
      </c>
    </row>
    <row r="120" spans="2:6">
      <c r="B120" s="205" t="str">
        <f>DCF!B92&amp;" ("&amp;DCF!D92&amp;"yrs)"</f>
        <v>Base (30yrs)</v>
      </c>
      <c r="C120" s="198">
        <f>DCF!C92</f>
        <v>0.02</v>
      </c>
      <c r="D120" s="207" t="str">
        <f>ROUND(DCF!E92,2)&amp;" "&amp;Market_currency</f>
        <v>116.95 HKD</v>
      </c>
      <c r="E120" s="199">
        <f>DCF!F92</f>
        <v>0.44</v>
      </c>
      <c r="F120" s="208">
        <f>RATE(Holding_Period,Scenarios!C$58,-DCF!E92,C$18)</f>
        <v>5.0465730009150445E-2</v>
      </c>
    </row>
    <row r="121" spans="2:6">
      <c r="B121" s="205" t="str">
        <f>DCF!B93&amp;" ("&amp;DCF!D93&amp;"yrs)"</f>
        <v>Pessimistic (30yrs)</v>
      </c>
      <c r="C121" s="198">
        <f>DCF!C93</f>
        <v>0.01</v>
      </c>
      <c r="D121" s="207" t="str">
        <f>ROUND(DCF!E93,2)&amp;" "&amp;Market_currency</f>
        <v>103.76 HKD</v>
      </c>
      <c r="E121" s="199">
        <f>DCF!F93</f>
        <v>0.19999999999999998</v>
      </c>
      <c r="F121" s="208">
        <f>RATE(Holding_Period,Scenarios!C$58,-DCF!E93,C$18)</f>
        <v>9.4948802061391502E-2</v>
      </c>
    </row>
    <row r="122" spans="2:6">
      <c r="B122" s="205" t="str">
        <f>DCF!B94&amp;" ("&amp;DCF!D94&amp;"yrs)"</f>
        <v>Devil's advocate (30yrs)</v>
      </c>
      <c r="C122" s="198">
        <f>DCF!C94</f>
        <v>0</v>
      </c>
      <c r="D122" s="207" t="str">
        <f>ROUND(DCF!E94,2)&amp;" "&amp;Market_currency</f>
        <v>92.94 HKD</v>
      </c>
      <c r="E122" s="199">
        <f>DCF!F94</f>
        <v>0.05</v>
      </c>
      <c r="F122" s="208">
        <f>RATE(Holding_Period,Scenarios!C$58,-DCF!E94,C$18)</f>
        <v>0.13763499730306819</v>
      </c>
    </row>
    <row r="124" spans="2:6">
      <c r="B124" s="462" t="s">
        <v>357</v>
      </c>
      <c r="C124" s="462"/>
      <c r="D124" s="462"/>
      <c r="E124" s="462"/>
      <c r="F124" s="462"/>
    </row>
    <row r="125" spans="2:6">
      <c r="B125" s="193" t="s">
        <v>218</v>
      </c>
      <c r="C125" s="197">
        <f>Scenarios!C36</f>
        <v>121.12182318226319</v>
      </c>
      <c r="D125" s="194" t="str">
        <f>Market_currency</f>
        <v>HKD</v>
      </c>
    </row>
    <row r="127" spans="2:6" ht="24.5" customHeight="1">
      <c r="B127" s="466" t="s">
        <v>358</v>
      </c>
      <c r="C127" s="466"/>
      <c r="D127" s="466"/>
      <c r="E127" s="466"/>
      <c r="F127" s="466"/>
    </row>
    <row r="129" spans="1:6" ht="13.9">
      <c r="A129" s="200" t="s">
        <v>474</v>
      </c>
      <c r="B129" s="34"/>
      <c r="C129" s="34"/>
      <c r="D129" s="34"/>
      <c r="E129" s="34"/>
      <c r="F129" s="34"/>
    </row>
    <row r="131" spans="1:6">
      <c r="B131" s="464" t="s">
        <v>285</v>
      </c>
      <c r="C131" s="464"/>
      <c r="D131" s="464"/>
      <c r="E131" s="464"/>
      <c r="F131" s="464"/>
    </row>
    <row r="132" spans="1:6">
      <c r="B132" s="461" t="s">
        <v>359</v>
      </c>
      <c r="C132" s="461"/>
      <c r="D132" s="461"/>
      <c r="E132" s="461"/>
      <c r="F132" s="461"/>
    </row>
    <row r="134" spans="1:6">
      <c r="B134" s="192" t="s">
        <v>195</v>
      </c>
    </row>
    <row r="135" spans="1:6">
      <c r="B135" s="1" t="s">
        <v>221</v>
      </c>
      <c r="C135" s="202">
        <f>E21</f>
        <v>3</v>
      </c>
    </row>
    <row r="136" spans="1:6">
      <c r="B136" s="194" t="s">
        <v>220</v>
      </c>
      <c r="C136" s="195">
        <f>Scenarios!C58</f>
        <v>4.5810000000000004</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8.3825500701604572</v>
      </c>
      <c r="D140" s="333">
        <f>Scenarios!D62</f>
        <v>55.816508378923139</v>
      </c>
      <c r="E140" s="334">
        <f>Scenarios!E62</f>
        <v>64.199058449083594</v>
      </c>
      <c r="F140" s="335">
        <f>E22</f>
        <v>0.29465259038036606</v>
      </c>
    </row>
    <row r="141" spans="1:6">
      <c r="B141" s="336" t="s">
        <v>313</v>
      </c>
      <c r="C141" s="333">
        <f>Scenarios!C63</f>
        <v>9.6384420824396493</v>
      </c>
      <c r="D141" s="333">
        <f>Scenarios!D63</f>
        <v>69.9620639319932</v>
      </c>
      <c r="E141" s="334">
        <f>Scenarios!E63</f>
        <v>79.600506014432852</v>
      </c>
      <c r="F141" s="335">
        <f>Scenarios!F63</f>
        <v>0.20075184365903009</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11.052134919924953</v>
      </c>
      <c r="D144" s="333">
        <f>Scenarios!D66</f>
        <v>86.81532558678839</v>
      </c>
      <c r="E144" s="334">
        <f>Scenarios!E66</f>
        <v>97.867460506713343</v>
      </c>
      <c r="F144" s="335">
        <f>E24</f>
        <v>0.1174</v>
      </c>
    </row>
    <row r="145" spans="1:6">
      <c r="B145" s="336" t="s">
        <v>314</v>
      </c>
      <c r="C145" s="333">
        <f>Scenarios!C67</f>
        <v>11.967290915679589</v>
      </c>
      <c r="D145" s="333">
        <f>Scenarios!D67</f>
        <v>98.181688531788524</v>
      </c>
      <c r="E145" s="334">
        <f>Scenarios!E67</f>
        <v>110.14897944746811</v>
      </c>
      <c r="F145" s="335">
        <f>Scenarios!F67</f>
        <v>7.2499999999999995E-2</v>
      </c>
    </row>
    <row r="147" spans="1:6" ht="13.9">
      <c r="A147" s="200" t="s">
        <v>475</v>
      </c>
      <c r="B147" s="34"/>
      <c r="C147" s="34"/>
      <c r="D147" s="34"/>
      <c r="E147" s="34"/>
      <c r="F147" s="34"/>
    </row>
    <row r="149" spans="1:6">
      <c r="B149" s="468" t="s">
        <v>360</v>
      </c>
      <c r="C149" s="461"/>
      <c r="D149" s="461"/>
      <c r="E149" s="461"/>
      <c r="F149" s="461"/>
    </row>
    <row r="151" spans="1:6">
      <c r="B151" s="192" t="s">
        <v>289</v>
      </c>
    </row>
    <row r="152" spans="1:6">
      <c r="B152" s="465" t="s">
        <v>293</v>
      </c>
      <c r="C152" s="465"/>
      <c r="D152" s="465"/>
      <c r="E152" s="465"/>
      <c r="F152" s="465"/>
    </row>
    <row r="153" spans="1:6">
      <c r="B153" s="196" t="s">
        <v>290</v>
      </c>
    </row>
    <row r="154" spans="1:6">
      <c r="B154" s="196" t="s">
        <v>291</v>
      </c>
    </row>
    <row r="155" spans="1:6">
      <c r="B155" s="196" t="s">
        <v>292</v>
      </c>
    </row>
    <row r="157" spans="1:6">
      <c r="B157" s="1" t="s">
        <v>296</v>
      </c>
    </row>
    <row r="158" spans="1:6" ht="34.25" customHeight="1">
      <c r="B158" s="462" t="s">
        <v>438</v>
      </c>
      <c r="C158" s="462"/>
      <c r="D158" s="462"/>
      <c r="E158" s="462"/>
      <c r="F158" s="462"/>
    </row>
    <row r="160" spans="1:6">
      <c r="B160" s="1" t="s">
        <v>297</v>
      </c>
    </row>
    <row r="161" spans="2:6" ht="24.5" customHeight="1">
      <c r="B161" s="467" t="s">
        <v>294</v>
      </c>
      <c r="C161" s="467"/>
      <c r="D161" s="467"/>
      <c r="E161" s="467"/>
      <c r="F161" s="467"/>
    </row>
    <row r="162" spans="2:6" ht="24.5" customHeight="1">
      <c r="B162" s="467" t="s">
        <v>295</v>
      </c>
      <c r="C162" s="467"/>
      <c r="D162" s="467"/>
      <c r="E162" s="467"/>
      <c r="F162" s="467"/>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17" activePane="bottomRight" state="frozen"/>
      <selection pane="topRight" activeCell="C1" sqref="C1"/>
      <selection pane="bottomLeft" activeCell="A2" sqref="A2"/>
      <selection pane="bottomRight" activeCell="F36" sqref="F3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1000000</v>
      </c>
    </row>
    <row r="4" spans="2:13">
      <c r="B4" s="31" t="s">
        <v>0</v>
      </c>
      <c r="C4" s="287">
        <v>1040759</v>
      </c>
      <c r="D4" s="287">
        <v>1009309</v>
      </c>
      <c r="E4" s="287">
        <v>937259</v>
      </c>
      <c r="F4" s="287">
        <v>848258</v>
      </c>
      <c r="G4" s="287"/>
      <c r="H4" s="287"/>
      <c r="I4" s="287"/>
      <c r="J4" s="287"/>
      <c r="K4" s="287"/>
      <c r="L4" s="287"/>
      <c r="M4" s="287"/>
    </row>
    <row r="5" spans="2:13">
      <c r="B5" s="38" t="s">
        <v>40</v>
      </c>
      <c r="C5" s="287">
        <f>283341+191101+151944</f>
        <v>626386</v>
      </c>
      <c r="D5" s="287">
        <f>268895+207132+144333</f>
        <v>620360</v>
      </c>
      <c r="E5" s="287">
        <f>254182+200077+130157</f>
        <v>584416</v>
      </c>
      <c r="F5" s="287">
        <f>225010+193045+118680</f>
        <v>536735</v>
      </c>
      <c r="G5" s="287"/>
      <c r="H5" s="287"/>
      <c r="I5" s="287"/>
      <c r="J5" s="287"/>
      <c r="K5" s="287"/>
      <c r="L5" s="287"/>
      <c r="M5" s="287"/>
    </row>
    <row r="6" spans="2:13">
      <c r="B6" s="38" t="s">
        <v>51</v>
      </c>
      <c r="C6" s="287">
        <f>67979+C7</f>
        <v>271783</v>
      </c>
      <c r="D6" s="287">
        <f>D7+59319</f>
        <v>254603</v>
      </c>
      <c r="E6" s="287">
        <f>51409+E7</f>
        <v>223744</v>
      </c>
      <c r="F6" s="287">
        <f>49234+F7</f>
        <v>194551</v>
      </c>
      <c r="G6" s="287"/>
      <c r="H6" s="287"/>
      <c r="I6" s="287"/>
      <c r="J6" s="287"/>
      <c r="K6" s="287"/>
      <c r="L6" s="287"/>
      <c r="M6" s="287"/>
    </row>
    <row r="7" spans="2:13">
      <c r="B7" s="66" t="s">
        <v>58</v>
      </c>
      <c r="C7" s="288">
        <f>54564+149240</f>
        <v>203804</v>
      </c>
      <c r="D7" s="288">
        <f>52477+142807</f>
        <v>195284</v>
      </c>
      <c r="E7" s="288">
        <f>49592+122743</f>
        <v>172335</v>
      </c>
      <c r="F7" s="288">
        <f>96083+49234</f>
        <v>145317</v>
      </c>
      <c r="G7" s="288"/>
      <c r="H7" s="288"/>
      <c r="I7" s="288"/>
      <c r="J7" s="288"/>
      <c r="K7" s="288"/>
      <c r="L7" s="288"/>
      <c r="M7" s="288"/>
    </row>
    <row r="8" spans="2:13">
      <c r="B8" s="38" t="s">
        <v>46</v>
      </c>
      <c r="C8" s="287"/>
      <c r="D8" s="287"/>
      <c r="E8" s="287"/>
      <c r="F8" s="287"/>
      <c r="G8" s="287"/>
      <c r="H8" s="287"/>
      <c r="I8" s="287"/>
      <c r="J8" s="287"/>
      <c r="K8" s="287"/>
      <c r="L8" s="287"/>
      <c r="M8" s="287"/>
    </row>
    <row r="9" spans="2:13">
      <c r="B9" s="38" t="s">
        <v>134</v>
      </c>
      <c r="C9" s="287">
        <v>11097</v>
      </c>
      <c r="D9" s="287">
        <v>8958</v>
      </c>
      <c r="E9" s="287">
        <v>10986</v>
      </c>
      <c r="F9" s="287">
        <v>11914</v>
      </c>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3273</v>
      </c>
      <c r="D12" s="287">
        <v>3730</v>
      </c>
      <c r="E12" s="287">
        <v>2330</v>
      </c>
      <c r="F12" s="287">
        <v>2679</v>
      </c>
      <c r="G12" s="287"/>
      <c r="H12" s="287"/>
      <c r="I12" s="287"/>
      <c r="J12" s="287"/>
      <c r="K12" s="287"/>
      <c r="L12" s="287"/>
      <c r="M12" s="287"/>
    </row>
    <row r="13" spans="2:13">
      <c r="B13" s="38" t="s">
        <v>64</v>
      </c>
      <c r="C13" s="287">
        <v>23005</v>
      </c>
      <c r="D13" s="287">
        <v>21134</v>
      </c>
      <c r="E13" s="287">
        <v>15729</v>
      </c>
      <c r="F13" s="287">
        <v>16729</v>
      </c>
      <c r="G13" s="287"/>
      <c r="H13" s="287"/>
      <c r="I13" s="287"/>
      <c r="J13" s="287"/>
      <c r="K13" s="287"/>
      <c r="L13" s="287"/>
      <c r="M13" s="287"/>
    </row>
    <row r="14" spans="2:13">
      <c r="B14" s="38" t="s">
        <v>47</v>
      </c>
      <c r="C14" s="287">
        <v>39863</v>
      </c>
      <c r="D14" s="287">
        <v>38596</v>
      </c>
      <c r="E14" s="287">
        <v>37278</v>
      </c>
      <c r="F14" s="287">
        <v>35878</v>
      </c>
      <c r="G14" s="287"/>
      <c r="H14" s="287"/>
      <c r="I14" s="287"/>
      <c r="J14" s="287"/>
      <c r="K14" s="287"/>
      <c r="L14" s="287"/>
      <c r="M14" s="287"/>
    </row>
    <row r="15" spans="2:13">
      <c r="B15" s="41" t="s">
        <v>39</v>
      </c>
      <c r="C15" s="289">
        <v>138526</v>
      </c>
      <c r="D15" s="289">
        <v>131935</v>
      </c>
      <c r="E15" s="289">
        <v>125594</v>
      </c>
      <c r="F15" s="289">
        <v>116306</v>
      </c>
      <c r="G15" s="289"/>
      <c r="H15" s="289"/>
      <c r="I15" s="289"/>
      <c r="J15" s="289"/>
      <c r="K15" s="289"/>
      <c r="L15" s="289"/>
      <c r="M15" s="289"/>
    </row>
    <row r="16" spans="2:13">
      <c r="B16" s="27" t="s">
        <v>41</v>
      </c>
      <c r="C16" s="287">
        <v>153</v>
      </c>
      <c r="D16" s="287">
        <v>169</v>
      </c>
      <c r="E16" s="287">
        <v>135</v>
      </c>
      <c r="F16" s="287">
        <v>158</v>
      </c>
      <c r="G16" s="287"/>
      <c r="H16" s="287"/>
      <c r="I16" s="287"/>
      <c r="J16" s="287"/>
      <c r="K16" s="287"/>
      <c r="L16" s="287"/>
      <c r="M16" s="287"/>
    </row>
    <row r="18" spans="2:13">
      <c r="B18" s="16" t="s">
        <v>48</v>
      </c>
      <c r="C18" s="9"/>
    </row>
    <row r="19" spans="2:13">
      <c r="B19" s="26" t="s">
        <v>44</v>
      </c>
      <c r="C19" s="287">
        <v>191101</v>
      </c>
      <c r="D19" s="287">
        <v>207132</v>
      </c>
      <c r="E19" s="287">
        <v>200077</v>
      </c>
      <c r="F19" s="287">
        <v>193045</v>
      </c>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354393</v>
      </c>
      <c r="D22" s="287">
        <v>361933</v>
      </c>
      <c r="E22" s="287">
        <v>280750</v>
      </c>
      <c r="F22" s="287">
        <v>314764</v>
      </c>
      <c r="G22" s="287"/>
      <c r="H22" s="287"/>
      <c r="I22" s="287"/>
      <c r="J22" s="287"/>
      <c r="K22" s="287"/>
      <c r="L22" s="287"/>
      <c r="M22" s="287"/>
    </row>
    <row r="23" spans="2:13">
      <c r="B23" s="26" t="s">
        <v>288</v>
      </c>
      <c r="C23" s="287">
        <v>-185194</v>
      </c>
      <c r="D23" s="287">
        <v>-205699</v>
      </c>
      <c r="E23" s="287">
        <v>-238053</v>
      </c>
      <c r="F23" s="287">
        <v>-238296</v>
      </c>
      <c r="G23" s="287"/>
      <c r="H23" s="287"/>
      <c r="I23" s="287"/>
      <c r="J23" s="287"/>
      <c r="K23" s="287"/>
      <c r="L23" s="287"/>
      <c r="M23" s="287"/>
    </row>
    <row r="24" spans="2:13">
      <c r="B24" s="26" t="s">
        <v>287</v>
      </c>
      <c r="C24" s="287">
        <v>-105167</v>
      </c>
      <c r="D24" s="287">
        <v>-123843</v>
      </c>
      <c r="E24" s="287">
        <v>-120514</v>
      </c>
      <c r="F24" s="287">
        <v>-45201</v>
      </c>
      <c r="G24" s="287"/>
      <c r="H24" s="287"/>
      <c r="I24" s="287"/>
      <c r="J24" s="287"/>
      <c r="K24" s="287"/>
      <c r="L24" s="287"/>
      <c r="M24" s="287"/>
    </row>
    <row r="25" spans="2:13">
      <c r="B25" s="23" t="str">
        <f>"Dividend per share ("&amp;Market_currency&amp;")"</f>
        <v>Dividend per share (HKD)</v>
      </c>
      <c r="C25" s="37">
        <f>2.49+2.6</f>
        <v>5.09</v>
      </c>
      <c r="D25" s="37">
        <f>2.4+2.43</f>
        <v>4.83</v>
      </c>
      <c r="E25" s="37">
        <f>2.21+2.2</f>
        <v>4.41</v>
      </c>
      <c r="F25" s="37">
        <f>2.43+1.63</f>
        <v>4.0600000000000005</v>
      </c>
      <c r="G25" s="37"/>
      <c r="H25" s="37"/>
      <c r="I25" s="37"/>
      <c r="J25" s="37"/>
      <c r="K25" s="37"/>
      <c r="L25" s="37"/>
      <c r="M25" s="37"/>
    </row>
    <row r="27" spans="2:13">
      <c r="B27" s="16" t="s">
        <v>26</v>
      </c>
      <c r="C27" s="94" t="s">
        <v>547</v>
      </c>
    </row>
    <row r="28" spans="2:13">
      <c r="B28" s="25" t="s">
        <v>22</v>
      </c>
      <c r="C28" s="270">
        <f>BS!C4</f>
        <v>125999</v>
      </c>
      <c r="D28" s="287">
        <f>54881+12342+1205</f>
        <v>68428</v>
      </c>
      <c r="E28" s="287">
        <f>40245+12838+2537</f>
        <v>55620</v>
      </c>
      <c r="F28" s="287">
        <f>34668+10137+2612</f>
        <v>47417</v>
      </c>
      <c r="G28" s="287"/>
      <c r="H28" s="287"/>
      <c r="I28" s="287"/>
      <c r="J28" s="287"/>
      <c r="K28" s="287"/>
      <c r="L28" s="287"/>
      <c r="M28" s="287"/>
    </row>
    <row r="29" spans="2:13">
      <c r="B29" s="25" t="s">
        <v>30</v>
      </c>
      <c r="C29" s="270">
        <f>BS!C6</f>
        <v>11378</v>
      </c>
      <c r="D29" s="287">
        <v>12026</v>
      </c>
      <c r="E29" s="287">
        <v>11696</v>
      </c>
      <c r="F29" s="287">
        <v>10203</v>
      </c>
      <c r="G29" s="287"/>
      <c r="H29" s="287"/>
      <c r="I29" s="287"/>
      <c r="J29" s="287"/>
      <c r="K29" s="287"/>
      <c r="L29" s="287"/>
      <c r="M29" s="287"/>
    </row>
    <row r="30" spans="2:13">
      <c r="B30" s="28" t="s">
        <v>38</v>
      </c>
      <c r="C30" s="271">
        <f>BS!C33+BS!C42</f>
        <v>693546</v>
      </c>
      <c r="D30" s="289">
        <v>646672</v>
      </c>
      <c r="E30" s="289">
        <v>634115</v>
      </c>
      <c r="F30" s="289">
        <v>631035</v>
      </c>
      <c r="G30" s="289"/>
      <c r="H30" s="289"/>
      <c r="I30" s="289"/>
      <c r="J30" s="289"/>
      <c r="K30" s="289"/>
      <c r="L30" s="289"/>
      <c r="M30" s="289"/>
    </row>
    <row r="31" spans="2:13">
      <c r="B31" s="28" t="s">
        <v>28</v>
      </c>
      <c r="C31" s="271">
        <f>BS!G27</f>
        <v>1434194</v>
      </c>
      <c r="D31" s="289">
        <v>1345985</v>
      </c>
      <c r="E31" s="289">
        <v>1301423</v>
      </c>
      <c r="F31" s="289">
        <v>1210292</v>
      </c>
      <c r="G31" s="289"/>
      <c r="H31" s="289"/>
      <c r="I31" s="289"/>
      <c r="J31" s="289"/>
      <c r="K31" s="289"/>
      <c r="L31" s="289"/>
      <c r="M31" s="289"/>
    </row>
    <row r="32" spans="2:13">
      <c r="B32" s="25" t="s">
        <v>143</v>
      </c>
      <c r="C32" s="270">
        <f>BS!G28</f>
        <v>4523</v>
      </c>
      <c r="D32" s="287">
        <v>4253</v>
      </c>
      <c r="E32" s="287">
        <v>4075</v>
      </c>
      <c r="F32" s="287">
        <v>3942</v>
      </c>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1040759</v>
      </c>
      <c r="D36" s="270">
        <f t="shared" si="1"/>
        <v>1009309</v>
      </c>
      <c r="E36" s="270">
        <f t="shared" si="1"/>
        <v>937259</v>
      </c>
      <c r="F36" s="270">
        <f t="shared" si="1"/>
        <v>848258</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-626386</v>
      </c>
      <c r="D37" s="270">
        <f t="shared" si="2"/>
        <v>-620360</v>
      </c>
      <c r="E37" s="270">
        <f t="shared" si="2"/>
        <v>-584416</v>
      </c>
      <c r="F37" s="270">
        <f t="shared" si="2"/>
        <v>-536735</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414373</v>
      </c>
      <c r="D38" s="267">
        <f t="shared" ref="D38" si="3">IF(D36="","",D36+D37)</f>
        <v>388949</v>
      </c>
      <c r="E38" s="267">
        <f t="shared" ref="E38" si="4">IF(E36="","",E36+E37)</f>
        <v>352843</v>
      </c>
      <c r="F38" s="267">
        <f t="shared" ref="F38" si="5">IF(F36="","",F36+F37)</f>
        <v>311523</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-271783</v>
      </c>
      <c r="D39" s="270">
        <f t="shared" si="13"/>
        <v>-254603</v>
      </c>
      <c r="E39" s="270">
        <f t="shared" si="13"/>
        <v>-223744</v>
      </c>
      <c r="F39" s="270">
        <f t="shared" si="13"/>
        <v>-194551</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-203804</v>
      </c>
      <c r="D40" s="282">
        <f t="shared" si="14"/>
        <v>-195284</v>
      </c>
      <c r="E40" s="282">
        <f t="shared" si="14"/>
        <v>-172335</v>
      </c>
      <c r="F40" s="282">
        <f t="shared" si="14"/>
        <v>-145317</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-67979</v>
      </c>
      <c r="D41" s="282">
        <f t="shared" ref="D41:M41" si="15">IF(D$4="","",D39-D40)</f>
        <v>-59319</v>
      </c>
      <c r="E41" s="282">
        <f t="shared" si="15"/>
        <v>-51409</v>
      </c>
      <c r="F41" s="282">
        <f t="shared" si="15"/>
        <v>-49234</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0</v>
      </c>
      <c r="D42" s="270">
        <f t="shared" si="16"/>
        <v>0</v>
      </c>
      <c r="E42" s="270">
        <f t="shared" si="16"/>
        <v>0</v>
      </c>
      <c r="F42" s="270">
        <f t="shared" si="16"/>
        <v>0</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142590</v>
      </c>
      <c r="D43" s="271">
        <f t="shared" ref="D43:M43" si="17">IF(D$4="","",D38+D39+D42)</f>
        <v>134346</v>
      </c>
      <c r="E43" s="271">
        <f t="shared" si="17"/>
        <v>129099</v>
      </c>
      <c r="F43" s="271">
        <f t="shared" si="17"/>
        <v>116972</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16067</v>
      </c>
      <c r="D44" s="290">
        <f t="shared" si="18"/>
        <v>18781</v>
      </c>
      <c r="E44" s="290">
        <f t="shared" si="18"/>
        <v>20374</v>
      </c>
      <c r="F44" s="290">
        <f t="shared" si="18"/>
        <v>21162</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19732</v>
      </c>
      <c r="D45" s="285">
        <f t="shared" si="19"/>
        <v>17404</v>
      </c>
      <c r="E45" s="285">
        <f t="shared" si="19"/>
        <v>13399</v>
      </c>
      <c r="F45" s="285">
        <f t="shared" si="19"/>
        <v>14050</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-39863</v>
      </c>
      <c r="D46" s="270">
        <f t="shared" ref="D46:M46" si="20">IF(D$4="","",-D14)</f>
        <v>-38596</v>
      </c>
      <c r="E46" s="270">
        <f t="shared" si="20"/>
        <v>-37278</v>
      </c>
      <c r="F46" s="270">
        <f t="shared" si="20"/>
        <v>-35878</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138526</v>
      </c>
      <c r="D47" s="271">
        <f t="shared" si="21"/>
        <v>131935</v>
      </c>
      <c r="E47" s="271">
        <f t="shared" si="21"/>
        <v>125594</v>
      </c>
      <c r="F47" s="271">
        <f t="shared" si="21"/>
        <v>116306</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-153</v>
      </c>
      <c r="D48" s="270">
        <f t="shared" si="22"/>
        <v>-169</v>
      </c>
      <c r="E48" s="270">
        <f t="shared" si="22"/>
        <v>-135</v>
      </c>
      <c r="F48" s="270">
        <f t="shared" si="22"/>
        <v>-158</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-3273</v>
      </c>
      <c r="D51" s="270">
        <f t="shared" si="23"/>
        <v>-3730</v>
      </c>
      <c r="E51" s="270">
        <f t="shared" si="23"/>
        <v>-2330</v>
      </c>
      <c r="F51" s="270">
        <f t="shared" si="23"/>
        <v>-2679</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23005</v>
      </c>
      <c r="D52" s="270">
        <f t="shared" ref="D52:M52" si="24">IF(D$4="","",D13)</f>
        <v>21134</v>
      </c>
      <c r="E52" s="270">
        <f t="shared" si="24"/>
        <v>15729</v>
      </c>
      <c r="F52" s="270">
        <f t="shared" si="24"/>
        <v>16729</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11097</v>
      </c>
      <c r="D55" s="285">
        <f t="shared" si="25"/>
        <v>8958</v>
      </c>
      <c r="E55" s="285">
        <f t="shared" si="25"/>
        <v>10986</v>
      </c>
      <c r="F55" s="285">
        <f t="shared" si="25"/>
        <v>11914</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f t="shared" si="26"/>
        <v>0</v>
      </c>
      <c r="F56" s="285">
        <f t="shared" si="26"/>
        <v>0</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f t="shared" si="27"/>
        <v>0</v>
      </c>
      <c r="F57" s="285">
        <f t="shared" si="27"/>
        <v>0</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4970</v>
      </c>
      <c r="D58" s="285">
        <f t="shared" ref="D58:M58" si="28">IF(D$4="","",D44-D55-D56-D57)</f>
        <v>9823</v>
      </c>
      <c r="E58" s="285">
        <f t="shared" si="28"/>
        <v>9388</v>
      </c>
      <c r="F58" s="285">
        <f t="shared" si="28"/>
        <v>9248</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-191101</v>
      </c>
      <c r="D61" s="270">
        <f t="shared" ref="D61:M61" si="29">IF(D$4="","",-D19)</f>
        <v>-207132</v>
      </c>
      <c r="E61" s="270">
        <f t="shared" si="29"/>
        <v>-200077</v>
      </c>
      <c r="F61" s="270">
        <f t="shared" si="29"/>
        <v>-193045</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-191101</v>
      </c>
      <c r="D62" s="270">
        <f t="shared" ref="D62:M62" si="30">IF(D$4="","",IF(D20=0,D61,-D20))</f>
        <v>-207132</v>
      </c>
      <c r="E62" s="270">
        <f t="shared" si="30"/>
        <v>-200077</v>
      </c>
      <c r="F62" s="270">
        <f t="shared" si="30"/>
        <v>-193045</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f t="shared" si="31"/>
        <v>0</v>
      </c>
      <c r="F63" s="270">
        <f t="shared" si="31"/>
        <v>0</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64032</v>
      </c>
      <c r="D64" s="270">
        <f t="shared" ref="D64:M64" si="32">IF(D$4="","",D22+D23+D24)</f>
        <v>32391</v>
      </c>
      <c r="E64" s="270">
        <f t="shared" si="32"/>
        <v>-77817</v>
      </c>
      <c r="F64" s="270">
        <f t="shared" si="32"/>
        <v>31267</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5.09</v>
      </c>
      <c r="D65" s="70">
        <f t="shared" ref="D65:M65" si="33">IF(D$4="","",D25)</f>
        <v>4.83</v>
      </c>
      <c r="E65" s="70">
        <f t="shared" si="33"/>
        <v>4.41</v>
      </c>
      <c r="F65" s="70">
        <f t="shared" si="33"/>
        <v>4.0600000000000005</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3.115993219123192E-2</v>
      </c>
      <c r="D68" s="89">
        <f t="shared" si="34"/>
        <v>7.687309484358118E-2</v>
      </c>
      <c r="E68" s="89">
        <f t="shared" si="34"/>
        <v>0.10492208738379127</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6.5365896300028981E-2</v>
      </c>
      <c r="D69" s="89">
        <f t="shared" ref="D69:M69" si="35">IF(E$36="","",D38/E38-1)</f>
        <v>0.10232879779391957</v>
      </c>
      <c r="E69" s="89">
        <f t="shared" si="35"/>
        <v>0.13263868157407321</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6.1363940869099132E-2</v>
      </c>
      <c r="D70" s="98">
        <f t="shared" ref="D70:M70" si="36">IF(E$36="","",D43/E43-1)</f>
        <v>4.0643227290683814E-2</v>
      </c>
      <c r="E70" s="98">
        <f t="shared" si="36"/>
        <v>0.10367438361317238</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-0.14450774719131032</v>
      </c>
      <c r="D71" s="98">
        <f t="shared" ref="D71:M71" si="37">IF(E$36="","",D44/E44-1)</f>
        <v>-7.8187886522037897E-2</v>
      </c>
      <c r="E71" s="98">
        <f t="shared" si="37"/>
        <v>-3.7236556091106654E-2</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4.9956417933073149E-2</v>
      </c>
      <c r="D72" s="98">
        <f t="shared" ref="D72:M72" si="38">IF(E$36="","",D47/E47-1)</f>
        <v>5.0488080640795019E-2</v>
      </c>
      <c r="E72" s="98">
        <f t="shared" si="38"/>
        <v>7.9858304816604386E-2</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2127740</v>
      </c>
      <c r="D76" s="285">
        <f t="shared" ref="D76:M76" si="39">IF(D$4="","",D79+D80)</f>
        <v>1992657</v>
      </c>
      <c r="E76" s="285">
        <f t="shared" si="39"/>
        <v>1935538</v>
      </c>
      <c r="F76" s="285">
        <f t="shared" si="39"/>
        <v>1841327</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125999</v>
      </c>
      <c r="D77" s="282">
        <f t="shared" si="40"/>
        <v>68428</v>
      </c>
      <c r="E77" s="282">
        <f t="shared" si="40"/>
        <v>55620</v>
      </c>
      <c r="F77" s="282">
        <f t="shared" si="40"/>
        <v>47417</v>
      </c>
      <c r="G77" s="282" t="str">
        <f t="shared" si="40"/>
        <v/>
      </c>
      <c r="H77" s="282" t="str">
        <f t="shared" si="40"/>
        <v/>
      </c>
      <c r="I77" s="291"/>
      <c r="J77" s="291"/>
      <c r="K77" s="291"/>
      <c r="L77" s="291"/>
      <c r="M77" s="291"/>
    </row>
    <row r="78" spans="2:13">
      <c r="B78" s="90" t="s">
        <v>83</v>
      </c>
      <c r="C78" s="260">
        <f t="shared" si="40"/>
        <v>11378</v>
      </c>
      <c r="D78" s="282">
        <f t="shared" si="40"/>
        <v>12026</v>
      </c>
      <c r="E78" s="282">
        <f t="shared" si="40"/>
        <v>11696</v>
      </c>
      <c r="F78" s="282">
        <f t="shared" si="40"/>
        <v>10203</v>
      </c>
      <c r="G78" s="282" t="str">
        <f t="shared" si="40"/>
        <v/>
      </c>
      <c r="H78" s="282" t="str">
        <f t="shared" si="40"/>
        <v/>
      </c>
      <c r="I78" s="291"/>
      <c r="J78" s="291"/>
      <c r="K78" s="291"/>
      <c r="L78" s="291"/>
      <c r="M78" s="291"/>
    </row>
    <row r="79" spans="2:13">
      <c r="B79" s="25" t="s">
        <v>38</v>
      </c>
      <c r="C79" s="259">
        <f t="shared" ref="C79:M79" si="41">IF(C$4="","",C30)</f>
        <v>693546</v>
      </c>
      <c r="D79" s="270">
        <f t="shared" si="41"/>
        <v>646672</v>
      </c>
      <c r="E79" s="270">
        <f t="shared" si="41"/>
        <v>634115</v>
      </c>
      <c r="F79" s="270">
        <f t="shared" si="41"/>
        <v>631035</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1434194</v>
      </c>
      <c r="D80" s="270">
        <f t="shared" si="42"/>
        <v>1345985</v>
      </c>
      <c r="E80" s="270">
        <f t="shared" si="42"/>
        <v>1301423</v>
      </c>
      <c r="F80" s="270">
        <f t="shared" si="42"/>
        <v>1210292</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G18" sqref="G18"/>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105822+19725+452</f>
        <v>125999</v>
      </c>
      <c r="D4" s="231">
        <v>0.6</v>
      </c>
      <c r="E4" s="24"/>
      <c r="F4" s="4" t="s">
        <v>74</v>
      </c>
      <c r="G4" s="18">
        <f>95696+94566</f>
        <v>190262</v>
      </c>
      <c r="H4" s="231">
        <v>0.9</v>
      </c>
    </row>
    <row r="5" spans="2:8" ht="15" customHeight="1">
      <c r="B5" s="1" t="s">
        <v>31</v>
      </c>
      <c r="C5" s="18">
        <v>0</v>
      </c>
      <c r="D5" s="231">
        <v>0.6</v>
      </c>
      <c r="E5" s="24"/>
      <c r="F5" s="1" t="s">
        <v>27</v>
      </c>
      <c r="G5" s="18">
        <v>0</v>
      </c>
      <c r="H5" s="231">
        <v>0.7</v>
      </c>
    </row>
    <row r="6" spans="2:8" ht="15" customHeight="1">
      <c r="B6" s="4" t="s">
        <v>8</v>
      </c>
      <c r="C6" s="18">
        <v>11378</v>
      </c>
      <c r="D6" s="231">
        <v>0.5</v>
      </c>
      <c r="E6" s="24"/>
      <c r="F6" s="4" t="s">
        <v>147</v>
      </c>
      <c r="G6" s="18">
        <v>0</v>
      </c>
      <c r="H6" s="231">
        <v>0.6</v>
      </c>
    </row>
    <row r="7" spans="2:8" ht="15" customHeight="1">
      <c r="B7" s="1" t="s">
        <v>66</v>
      </c>
      <c r="C7" s="18">
        <v>0</v>
      </c>
      <c r="D7" s="231">
        <v>0.6</v>
      </c>
      <c r="E7" s="24"/>
      <c r="F7" s="4" t="s">
        <v>148</v>
      </c>
      <c r="G7" s="18">
        <f>145688+12656</f>
        <v>158344</v>
      </c>
      <c r="H7" s="231">
        <v>0.6</v>
      </c>
    </row>
    <row r="8" spans="2:8" ht="15" customHeight="1">
      <c r="B8" s="1" t="s">
        <v>144</v>
      </c>
      <c r="C8" s="18">
        <v>0</v>
      </c>
      <c r="D8" s="231">
        <v>0.6</v>
      </c>
      <c r="E8" s="24"/>
      <c r="F8" s="1" t="s">
        <v>149</v>
      </c>
      <c r="G8" s="18">
        <v>0</v>
      </c>
      <c r="H8" s="231">
        <v>0.6</v>
      </c>
    </row>
    <row r="9" spans="2:8" ht="15" customHeight="1">
      <c r="B9" s="4" t="s">
        <v>23</v>
      </c>
      <c r="C9" s="18">
        <f>21813+9977</f>
        <v>31790</v>
      </c>
      <c r="D9" s="231">
        <v>0.1</v>
      </c>
      <c r="E9" s="24"/>
      <c r="F9" s="4" t="s">
        <v>150</v>
      </c>
      <c r="G9" s="18">
        <v>0</v>
      </c>
      <c r="H9" s="231">
        <v>0.6</v>
      </c>
    </row>
    <row r="10" spans="2:8" ht="15" customHeight="1">
      <c r="B10" s="4" t="s">
        <v>9</v>
      </c>
      <c r="C10" s="18">
        <v>410</v>
      </c>
      <c r="D10" s="231">
        <v>0.9</v>
      </c>
      <c r="F10" s="1" t="s">
        <v>402</v>
      </c>
      <c r="G10" s="18">
        <v>0</v>
      </c>
      <c r="H10" s="231">
        <v>0.6</v>
      </c>
    </row>
    <row r="11" spans="2:8" ht="15" customHeight="1">
      <c r="B11" s="4" t="s">
        <v>10</v>
      </c>
      <c r="C11" s="18">
        <f>26591</f>
        <v>26591</v>
      </c>
      <c r="D11" s="231">
        <v>0.05</v>
      </c>
      <c r="H11" s="232"/>
    </row>
    <row r="12" spans="2:8" ht="15" customHeight="1">
      <c r="B12" s="77" t="s">
        <v>69</v>
      </c>
      <c r="C12" s="78">
        <f>SUM(C4:C11)</f>
        <v>196168</v>
      </c>
      <c r="D12" s="19">
        <f>C4*D4+C5*D5+C9*D9+C6*D6+C8*D8+C7*D7+C10*D10+C11*D11</f>
        <v>86165.95</v>
      </c>
      <c r="F12" s="77" t="s">
        <v>67</v>
      </c>
      <c r="G12" s="78">
        <f>SUM(G4:G10)</f>
        <v>348606</v>
      </c>
      <c r="H12" s="19">
        <f>G4*H4+G5*H5+G6*H6+G7*H7+G8*H8+G9*H9+G10*H10</f>
        <v>266242.2</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0</v>
      </c>
      <c r="D15" s="231">
        <v>0.4</v>
      </c>
      <c r="F15" s="4" t="s">
        <v>75</v>
      </c>
      <c r="G15" s="18">
        <v>61316</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f>29456+242399+7357</f>
        <v>279212</v>
      </c>
      <c r="H17" s="231">
        <v>0.6</v>
      </c>
    </row>
    <row r="18" spans="2:8" ht="15" customHeight="1">
      <c r="B18" s="4" t="s">
        <v>144</v>
      </c>
      <c r="C18" s="18">
        <v>0</v>
      </c>
      <c r="D18" s="231">
        <v>0.6</v>
      </c>
      <c r="F18" s="4" t="s">
        <v>151</v>
      </c>
      <c r="G18" s="18">
        <v>199355</v>
      </c>
      <c r="H18" s="231">
        <v>0.1</v>
      </c>
    </row>
    <row r="19" spans="2:8" ht="15" customHeight="1">
      <c r="B19" s="4" t="s">
        <v>24</v>
      </c>
      <c r="C19" s="18">
        <f>673565+95328+81508+14255</f>
        <v>864656</v>
      </c>
      <c r="D19" s="231">
        <v>0.1</v>
      </c>
      <c r="F19" s="4" t="s">
        <v>152</v>
      </c>
      <c r="G19" s="18">
        <v>0</v>
      </c>
      <c r="H19" s="231">
        <v>0.1</v>
      </c>
    </row>
    <row r="20" spans="2:8" ht="15" customHeight="1">
      <c r="B20" s="4" t="s">
        <v>16</v>
      </c>
      <c r="C20" s="18">
        <v>0</v>
      </c>
      <c r="D20" s="231">
        <v>0.05</v>
      </c>
      <c r="F20" s="4" t="s">
        <v>149</v>
      </c>
      <c r="G20" s="18">
        <v>0</v>
      </c>
      <c r="H20" s="231">
        <v>0.2</v>
      </c>
    </row>
    <row r="21" spans="2:8" ht="15" customHeight="1">
      <c r="B21" s="4" t="s">
        <v>17</v>
      </c>
      <c r="C21" s="18">
        <v>33529</v>
      </c>
      <c r="D21" s="231">
        <v>0.05</v>
      </c>
      <c r="F21" s="1" t="s">
        <v>150</v>
      </c>
      <c r="G21" s="18">
        <v>0</v>
      </c>
      <c r="H21" s="231">
        <v>0.1</v>
      </c>
    </row>
    <row r="22" spans="2:8" ht="15" customHeight="1">
      <c r="B22" s="4" t="s">
        <v>18</v>
      </c>
      <c r="C22" s="18">
        <v>54333</v>
      </c>
      <c r="D22" s="231">
        <v>0.9</v>
      </c>
      <c r="H22" s="232"/>
    </row>
    <row r="23" spans="2:8" ht="15" customHeight="1">
      <c r="B23" s="4" t="s">
        <v>19</v>
      </c>
      <c r="C23" s="18">
        <f>35305+3141+52119</f>
        <v>90565</v>
      </c>
      <c r="D23" s="231">
        <v>0</v>
      </c>
      <c r="H23" s="232"/>
    </row>
    <row r="24" spans="2:8" ht="15" customHeight="1">
      <c r="B24" s="77" t="s">
        <v>70</v>
      </c>
      <c r="C24" s="78">
        <f>SUM(C15:C23)</f>
        <v>1043083</v>
      </c>
      <c r="D24" s="19">
        <f>C15*D15+C16*D16+C18*D18+C17*D17+C19*D19+C20*D20+C21*D21+C22*D22+C23*D23</f>
        <v>137041.75</v>
      </c>
      <c r="F24" s="77" t="s">
        <v>68</v>
      </c>
      <c r="G24" s="78">
        <f>SUM(G15:G21)</f>
        <v>539883</v>
      </c>
      <c r="H24" s="19">
        <f>G15*H15+G16*H16+G17*H17+G18*H18+G19*H19+G20*H20+G21*H21</f>
        <v>236515.5</v>
      </c>
    </row>
    <row r="26" spans="2:8" ht="15" customHeight="1">
      <c r="B26" s="16" t="s">
        <v>169</v>
      </c>
      <c r="C26" s="164" t="s">
        <v>113</v>
      </c>
      <c r="F26" s="166" t="s">
        <v>165</v>
      </c>
      <c r="G26" s="167" t="s">
        <v>113</v>
      </c>
      <c r="H26" s="168" t="s">
        <v>33</v>
      </c>
    </row>
    <row r="27" spans="2:8" ht="15" customHeight="1">
      <c r="B27" s="4" t="s">
        <v>3</v>
      </c>
      <c r="C27" s="18">
        <v>0</v>
      </c>
      <c r="F27" s="169" t="s">
        <v>28</v>
      </c>
      <c r="G27" s="82">
        <f>G32-G30</f>
        <v>1434194</v>
      </c>
      <c r="H27" s="170">
        <f>H32-G30</f>
        <v>32419.400000000023</v>
      </c>
    </row>
    <row r="28" spans="2:8" ht="15" customHeight="1">
      <c r="B28" s="4" t="s">
        <v>4</v>
      </c>
      <c r="C28" s="18">
        <v>37495</v>
      </c>
      <c r="F28" s="171" t="s">
        <v>209</v>
      </c>
      <c r="G28" s="287">
        <v>4523</v>
      </c>
      <c r="H28" s="170"/>
    </row>
    <row r="29" spans="2:8" ht="15" customHeight="1">
      <c r="B29" s="4" t="s">
        <v>5</v>
      </c>
      <c r="C29" s="18">
        <v>0</v>
      </c>
      <c r="F29" s="172" t="s">
        <v>72</v>
      </c>
      <c r="G29" s="14">
        <f>G27-G28</f>
        <v>1429671</v>
      </c>
      <c r="H29" s="170">
        <f>H27-G28</f>
        <v>27896.400000000023</v>
      </c>
    </row>
    <row r="30" spans="2:8" ht="15" customHeight="1">
      <c r="B30" s="2" t="s">
        <v>6</v>
      </c>
      <c r="C30" s="18">
        <v>0</v>
      </c>
      <c r="F30" s="169" t="s">
        <v>21</v>
      </c>
      <c r="G30" s="82">
        <f>C33+C42</f>
        <v>693546</v>
      </c>
      <c r="H30" s="170"/>
    </row>
    <row r="31" spans="2:8" ht="15" customHeight="1">
      <c r="B31" s="77" t="s">
        <v>172</v>
      </c>
      <c r="C31" s="78">
        <f>SUM(C27:C30)</f>
        <v>37495</v>
      </c>
      <c r="F31" s="172" t="s">
        <v>73</v>
      </c>
      <c r="G31" s="173">
        <f>C31+C40</f>
        <v>91932</v>
      </c>
      <c r="H31" s="170"/>
    </row>
    <row r="32" spans="2:8" ht="15" customHeight="1">
      <c r="B32" s="4" t="s">
        <v>7</v>
      </c>
      <c r="C32" s="20">
        <f>C33-C31</f>
        <v>578929</v>
      </c>
      <c r="F32" s="174" t="s">
        <v>71</v>
      </c>
      <c r="G32" s="175">
        <f>G35+G40</f>
        <v>2127740</v>
      </c>
      <c r="H32" s="170">
        <f>H35+H40</f>
        <v>725965.4</v>
      </c>
    </row>
    <row r="33" spans="2:8" ht="15" customHeight="1">
      <c r="B33" s="80" t="s">
        <v>2</v>
      </c>
      <c r="C33" s="81">
        <v>616424</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1239251</v>
      </c>
      <c r="H35" s="182">
        <f>D12+D24</f>
        <v>223207.7</v>
      </c>
    </row>
    <row r="36" spans="2:8" ht="15" customHeight="1">
      <c r="B36" s="4" t="s">
        <v>11</v>
      </c>
      <c r="C36" s="18">
        <v>0</v>
      </c>
      <c r="F36" s="172" t="s">
        <v>166</v>
      </c>
      <c r="G36" s="173">
        <f>C4+C15</f>
        <v>125999</v>
      </c>
      <c r="H36" s="177"/>
    </row>
    <row r="37" spans="2:8" ht="15" customHeight="1">
      <c r="B37" s="4" t="s">
        <v>12</v>
      </c>
      <c r="C37" s="18">
        <v>54437</v>
      </c>
      <c r="F37" s="172" t="s">
        <v>167</v>
      </c>
      <c r="G37" s="173">
        <f>C6</f>
        <v>11378</v>
      </c>
      <c r="H37" s="177"/>
    </row>
    <row r="38" spans="2:8" ht="15" customHeight="1">
      <c r="B38" s="4" t="s">
        <v>13</v>
      </c>
      <c r="C38" s="18">
        <v>0</v>
      </c>
      <c r="F38" s="172" t="s">
        <v>168</v>
      </c>
      <c r="G38" s="173">
        <f>C7+C17</f>
        <v>0</v>
      </c>
      <c r="H38" s="177"/>
    </row>
    <row r="39" spans="2:8" ht="15" customHeight="1">
      <c r="B39" s="2" t="s">
        <v>14</v>
      </c>
      <c r="C39" s="18">
        <v>0</v>
      </c>
      <c r="F39" s="172" t="s">
        <v>76</v>
      </c>
      <c r="G39" s="173">
        <f>C7+C17+C19+C20</f>
        <v>864656</v>
      </c>
      <c r="H39" s="170">
        <f>C7*D7+C17*D17+C19*D19+C20*D20</f>
        <v>86465.600000000006</v>
      </c>
    </row>
    <row r="40" spans="2:8" ht="15" customHeight="1">
      <c r="B40" s="77" t="s">
        <v>173</v>
      </c>
      <c r="C40" s="78">
        <f>SUM(C36:C39)</f>
        <v>54437</v>
      </c>
      <c r="F40" s="181" t="s">
        <v>115</v>
      </c>
      <c r="G40" s="175">
        <f>G12+G24</f>
        <v>888489</v>
      </c>
      <c r="H40" s="182">
        <f>H12+H24</f>
        <v>502757.7</v>
      </c>
    </row>
    <row r="41" spans="2:8" ht="15" customHeight="1">
      <c r="B41" s="4" t="s">
        <v>15</v>
      </c>
      <c r="C41" s="20">
        <f>C42-C40</f>
        <v>22685</v>
      </c>
      <c r="F41" s="172" t="s">
        <v>160</v>
      </c>
      <c r="G41" s="173">
        <f>C70</f>
        <v>450933</v>
      </c>
      <c r="H41" s="182">
        <f>H40-H42</f>
        <v>240224.10000000003</v>
      </c>
    </row>
    <row r="42" spans="2:8" ht="15" customHeight="1">
      <c r="B42" s="80" t="s">
        <v>20</v>
      </c>
      <c r="C42" s="81">
        <v>77122</v>
      </c>
      <c r="F42" s="183" t="s">
        <v>161</v>
      </c>
      <c r="G42" s="184">
        <f>C82</f>
        <v>437556</v>
      </c>
      <c r="H42" s="185">
        <f>D82</f>
        <v>262533.59999999998</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1429671</v>
      </c>
      <c r="D46" s="73">
        <f>H29</f>
        <v>27896.400000000023</v>
      </c>
      <c r="F46" s="223"/>
    </row>
    <row r="47" spans="2:8" ht="15" customHeight="1">
      <c r="B47" s="1" t="str">
        <f>"Equity per share ("&amp;Market_currency&amp;")"</f>
        <v>Equity per share (HKD)</v>
      </c>
      <c r="C47" s="134">
        <f>C46*H1/Common_Shares*Exchange_Rate</f>
        <v>74.958691938769988</v>
      </c>
      <c r="D47" s="134">
        <f>D46*H1/Common_Shares*Exchange_Rate</f>
        <v>1.4626285724482797</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0.67756727799881356</v>
      </c>
      <c r="D50" s="92">
        <f>G31/Normalized_FCF!G8</f>
        <v>0.64472964443509362</v>
      </c>
      <c r="F50" s="223"/>
    </row>
    <row r="51" spans="2:8" ht="15" customHeight="1">
      <c r="B51" s="1" t="s">
        <v>146</v>
      </c>
      <c r="C51" s="163"/>
      <c r="D51" s="89">
        <f>G29/G32</f>
        <v>0.67191997142508009</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0.10948509664599118</v>
      </c>
      <c r="D54" s="89">
        <f>Normalized_FCF!G8/G35</f>
        <v>0.11506143630305725</v>
      </c>
      <c r="F54" s="223"/>
    </row>
    <row r="55" spans="2:8" ht="15" customHeight="1">
      <c r="B55" s="1" t="s">
        <v>118</v>
      </c>
      <c r="C55" s="89">
        <f>Normalized_FCF!C9/G40</f>
        <v>8.975012633808635E-3</v>
      </c>
      <c r="D55" s="89">
        <f>Normalized_FCF!G9/G40</f>
        <v>1.2489743823502599E-2</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0.22101390610832516</v>
      </c>
      <c r="F58" s="5"/>
    </row>
    <row r="59" spans="2:8" ht="15" customHeight="1">
      <c r="B59" s="1" t="s">
        <v>89</v>
      </c>
      <c r="C59" s="95"/>
      <c r="D59" s="89">
        <f>G39/G32</f>
        <v>0.40637295910214594</v>
      </c>
      <c r="F59" s="223"/>
    </row>
    <row r="60" spans="2:8" ht="15" customHeight="1">
      <c r="F60" s="223"/>
    </row>
    <row r="61" spans="2:8" ht="15" customHeight="1">
      <c r="B61" s="143" t="s">
        <v>231</v>
      </c>
      <c r="C61" s="210" t="s">
        <v>114</v>
      </c>
      <c r="D61" s="179" t="s">
        <v>91</v>
      </c>
      <c r="F61" s="223"/>
    </row>
    <row r="62" spans="2:8" ht="15" customHeight="1">
      <c r="B62" s="1" t="s">
        <v>210</v>
      </c>
      <c r="C62" s="89">
        <f>IF(G28&lt;=0,0,G28/G29)</f>
        <v>3.1636649271056068E-3</v>
      </c>
      <c r="D62" s="89">
        <f>G28/G29</f>
        <v>3.1636649271056068E-3</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251578</v>
      </c>
      <c r="D66" s="73">
        <f>C66-D75</f>
        <v>166973.7889873801</v>
      </c>
      <c r="F66" s="5" t="s">
        <v>193</v>
      </c>
    </row>
    <row r="67" spans="2:6" ht="15" customHeight="1">
      <c r="B67" s="102" t="s">
        <v>147</v>
      </c>
      <c r="C67" s="19">
        <f>G6+G16</f>
        <v>0</v>
      </c>
      <c r="F67" s="223"/>
    </row>
    <row r="68" spans="2:6" ht="15" customHeight="1">
      <c r="B68" s="102" t="s">
        <v>151</v>
      </c>
      <c r="C68" s="19">
        <f>G18</f>
        <v>199355</v>
      </c>
      <c r="F68" s="223"/>
    </row>
    <row r="69" spans="2:6" ht="15" customHeight="1">
      <c r="B69" s="102" t="s">
        <v>149</v>
      </c>
      <c r="C69" s="19">
        <f>G8+G20</f>
        <v>0</v>
      </c>
      <c r="F69" s="223"/>
    </row>
    <row r="70" spans="2:6" ht="15" customHeight="1">
      <c r="B70" s="77" t="s">
        <v>158</v>
      </c>
      <c r="C70" s="78">
        <f>SUM(C66:C69)</f>
        <v>450933</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-84028.337304589993</v>
      </c>
      <c r="D73" s="285">
        <f>(Normalized_FCF!C26+Normalized_FCF!C35-Normalized_FCF!C89)/12</f>
        <v>-84604.211012619897</v>
      </c>
      <c r="F73" s="1" t="s">
        <v>278</v>
      </c>
    </row>
    <row r="74" spans="2:6" ht="15" customHeight="1">
      <c r="B74" s="227" t="s">
        <v>259</v>
      </c>
      <c r="C74" s="228">
        <f>-$C$66/C73</f>
        <v>2.9939661793862213</v>
      </c>
      <c r="D74" s="228">
        <f>-$C$66/D73</f>
        <v>2.9735872126089995</v>
      </c>
      <c r="F74" s="223" t="s">
        <v>257</v>
      </c>
    </row>
    <row r="75" spans="2:6" ht="15" customHeight="1">
      <c r="B75" s="77" t="s">
        <v>258</v>
      </c>
      <c r="C75" s="261"/>
      <c r="D75" s="262">
        <f>MAX(-D73*D76,G5)</f>
        <v>84604.211012619897</v>
      </c>
      <c r="F75" s="223" t="s">
        <v>279</v>
      </c>
    </row>
    <row r="76" spans="2:6" ht="15" customHeight="1">
      <c r="B76" s="229" t="s">
        <v>260</v>
      </c>
      <c r="C76" s="230"/>
      <c r="D76" s="248">
        <f>IF(D74&lt;=3,1,IF(D74&gt;18,6,2))</f>
        <v>1</v>
      </c>
      <c r="F76" s="223" t="s">
        <v>261</v>
      </c>
    </row>
    <row r="77" spans="2:6" ht="15" customHeight="1">
      <c r="F77" s="223"/>
    </row>
    <row r="78" spans="2:6" ht="15" customHeight="1">
      <c r="B78" s="16" t="s">
        <v>159</v>
      </c>
      <c r="C78" s="209" t="s">
        <v>113</v>
      </c>
      <c r="D78" s="165" t="s">
        <v>33</v>
      </c>
      <c r="F78" s="223"/>
    </row>
    <row r="79" spans="2:6" ht="15" customHeight="1">
      <c r="B79" s="102" t="s">
        <v>148</v>
      </c>
      <c r="C79" s="19">
        <f>G7+G17</f>
        <v>437556</v>
      </c>
      <c r="D79" s="73">
        <f>G7*H7+G17*H17</f>
        <v>262533.59999999998</v>
      </c>
      <c r="F79" s="223"/>
    </row>
    <row r="80" spans="2:6" ht="15" customHeight="1">
      <c r="B80" s="102" t="s">
        <v>152</v>
      </c>
      <c r="C80" s="19">
        <f>G19</f>
        <v>0</v>
      </c>
      <c r="D80" s="73">
        <f>G19*H19</f>
        <v>0</v>
      </c>
      <c r="F80" s="223"/>
    </row>
    <row r="81" spans="2:8" ht="15" customHeight="1">
      <c r="B81" s="102" t="s">
        <v>150</v>
      </c>
      <c r="C81" s="19">
        <f>G9+G21</f>
        <v>0</v>
      </c>
      <c r="D81" s="73">
        <f>G9*H9+G21*H21</f>
        <v>0</v>
      </c>
      <c r="F81" s="223"/>
    </row>
    <row r="82" spans="2:8" ht="15" customHeight="1">
      <c r="B82" s="77" t="s">
        <v>159</v>
      </c>
      <c r="C82" s="78">
        <f>SUM(C79:C81)</f>
        <v>437556</v>
      </c>
      <c r="D82" s="78">
        <f>SUM(D79:D81)</f>
        <v>262533.59999999998</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-104328.3398963928</v>
      </c>
      <c r="D86" s="201">
        <f>C86*scaling_factor/Common_Shares</f>
        <v>-4.8200617256102989</v>
      </c>
      <c r="E86" s="214" t="str">
        <f>Market_currency</f>
        <v>HKD</v>
      </c>
    </row>
    <row r="87" spans="2:8" ht="15" customHeight="1">
      <c r="B87" s="212" t="s">
        <v>240</v>
      </c>
      <c r="C87" s="73">
        <f>DCF!F5*Exchange_Rate</f>
        <v>189488.95065117654</v>
      </c>
      <c r="D87" s="201">
        <f>C87*scaling_factor/Common_Shares</f>
        <v>8.7545573845690434</v>
      </c>
      <c r="E87" s="214" t="str">
        <f>Market_currency</f>
        <v>HKD</v>
      </c>
    </row>
    <row r="88" spans="2:8" ht="15" customHeight="1">
      <c r="B88" s="213" t="s">
        <v>159</v>
      </c>
      <c r="C88" s="73">
        <f>DCF!F6*Exchange_Rate</f>
        <v>297934.28463455196</v>
      </c>
      <c r="D88" s="201">
        <f>C88*scaling_factor/Common_Shares</f>
        <v>13.764827884160944</v>
      </c>
      <c r="E88" s="214" t="str">
        <f>Market_currency</f>
        <v>HKD</v>
      </c>
    </row>
    <row r="89" spans="2:8" ht="15" customHeight="1">
      <c r="B89" s="77" t="s">
        <v>244</v>
      </c>
      <c r="C89" s="162">
        <f>SUM(C86:C88)</f>
        <v>383094.8953893357</v>
      </c>
      <c r="D89" s="216">
        <f>SUM(D86:D88)</f>
        <v>17.699323543119689</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101" activePane="bottomRight" state="frozen"/>
      <selection activeCell="C17" sqref="C17"/>
      <selection pane="topRight" activeCell="C17" sqref="C17"/>
      <selection pane="bottomLeft" activeCell="C17" sqref="C17"/>
      <selection pane="bottomRight" activeCell="E119" sqref="C116:E119"/>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1000000</v>
      </c>
      <c r="D3" s="9"/>
      <c r="E3" s="237"/>
      <c r="F3" s="9"/>
      <c r="G3" s="16" t="s">
        <v>410</v>
      </c>
      <c r="H3" s="104">
        <f>scaling_factor</f>
        <v>1000000</v>
      </c>
    </row>
    <row r="4" spans="1:17" ht="15.75" customHeight="1">
      <c r="A4" s="10"/>
      <c r="B4" s="25" t="s">
        <v>0</v>
      </c>
      <c r="C4" s="458">
        <f>C100*C117</f>
        <v>1040759</v>
      </c>
      <c r="D4" s="54"/>
      <c r="E4" s="235"/>
      <c r="F4" s="54"/>
      <c r="G4" s="270">
        <f>Data!C36</f>
        <v>1040759</v>
      </c>
      <c r="H4" s="270">
        <f>Data!D36</f>
        <v>1009309</v>
      </c>
      <c r="I4" s="270">
        <f>Data!E36</f>
        <v>937259</v>
      </c>
      <c r="J4" s="270">
        <f>Data!F36</f>
        <v>848258</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-837100.48449635878</v>
      </c>
      <c r="E5" s="237"/>
      <c r="G5" s="270">
        <f t="shared" ref="G5:Q5" si="1">G26</f>
        <v>-830190</v>
      </c>
      <c r="H5" s="270">
        <f t="shared" si="1"/>
        <v>-815644</v>
      </c>
      <c r="I5" s="270">
        <f t="shared" si="1"/>
        <v>-756751</v>
      </c>
      <c r="J5" s="270">
        <f t="shared" si="1"/>
        <v>-682052</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203658.51550364122</v>
      </c>
      <c r="E6" s="237"/>
      <c r="G6" s="267">
        <f>IF(G4="","",G4+G5)</f>
        <v>210569</v>
      </c>
      <c r="H6" s="267">
        <f t="shared" ref="H6:Q6" si="2">IF(H4="","",H4+H5)</f>
        <v>193665</v>
      </c>
      <c r="I6" s="267">
        <f t="shared" si="2"/>
        <v>180508</v>
      </c>
      <c r="J6" s="267">
        <f t="shared" si="2"/>
        <v>166206</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-67979</v>
      </c>
      <c r="E7" s="237"/>
      <c r="G7" s="266">
        <f t="shared" ref="G7:Q7" si="3">G35</f>
        <v>-67979</v>
      </c>
      <c r="H7" s="266">
        <f t="shared" si="3"/>
        <v>-59319</v>
      </c>
      <c r="I7" s="266">
        <f t="shared" si="3"/>
        <v>-51409</v>
      </c>
      <c r="J7" s="266">
        <f t="shared" si="3"/>
        <v>-49234</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135679.51550364122</v>
      </c>
      <c r="D8" s="56"/>
      <c r="E8" s="241"/>
      <c r="F8" s="56"/>
      <c r="G8" s="267">
        <f>IF(G$4="","",G6+G7)</f>
        <v>142590</v>
      </c>
      <c r="H8" s="267">
        <f t="shared" ref="H8:Q8" si="4">IF(H$4="","",H6+H7)</f>
        <v>134346</v>
      </c>
      <c r="I8" s="267">
        <f t="shared" si="4"/>
        <v>129099</v>
      </c>
      <c r="J8" s="267">
        <f t="shared" si="4"/>
        <v>116972</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415</v>
      </c>
      <c r="C9" s="300">
        <f>C61</f>
        <v>7974.2</v>
      </c>
      <c r="D9" s="55"/>
      <c r="E9" s="236"/>
      <c r="F9" s="55"/>
      <c r="G9" s="270">
        <f>G59</f>
        <v>11097</v>
      </c>
      <c r="H9" s="270">
        <f t="shared" ref="H9:Q9" si="5">H59</f>
        <v>8958</v>
      </c>
      <c r="I9" s="270">
        <f t="shared" si="5"/>
        <v>10986</v>
      </c>
      <c r="J9" s="270">
        <f t="shared" si="5"/>
        <v>11914</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-5008.294733924281</v>
      </c>
      <c r="E10" s="237"/>
      <c r="G10" s="266">
        <f>G48</f>
        <v>4463.4470436418151</v>
      </c>
      <c r="H10" s="266">
        <f t="shared" ref="H10:Q10" si="6">H48</f>
        <v>3377.2406789970064</v>
      </c>
      <c r="I10" s="266">
        <f t="shared" si="6"/>
        <v>2959.5707693737058</v>
      </c>
      <c r="J10" s="266">
        <f t="shared" si="6"/>
        <v>2946.8649247156673</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138645.42076971696</v>
      </c>
      <c r="E11" s="237"/>
      <c r="G11" s="267">
        <f t="shared" ref="G11:Q11" si="7">IF(G$4="","",SUM(G8:G10))</f>
        <v>158150.44704364182</v>
      </c>
      <c r="H11" s="267">
        <f t="shared" si="7"/>
        <v>146681.24067899701</v>
      </c>
      <c r="I11" s="267">
        <f t="shared" si="7"/>
        <v>143044.57076937371</v>
      </c>
      <c r="J11" s="267">
        <f t="shared" si="7"/>
        <v>131832.86492471566</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-34661.355192429241</v>
      </c>
      <c r="E12" s="237"/>
      <c r="G12" s="266">
        <f>Data!C46</f>
        <v>-39863</v>
      </c>
      <c r="H12" s="266">
        <f>Data!D46</f>
        <v>-38596</v>
      </c>
      <c r="I12" s="266">
        <f>Data!E46</f>
        <v>-37278</v>
      </c>
      <c r="J12" s="266">
        <f>Data!F46</f>
        <v>-35878</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-193.8560225780364</v>
      </c>
      <c r="D13" s="57"/>
      <c r="E13" s="242"/>
      <c r="F13" s="57"/>
      <c r="G13" s="270">
        <f>Data!C48</f>
        <v>-153</v>
      </c>
      <c r="H13" s="270">
        <f>Data!D48</f>
        <v>-169</v>
      </c>
      <c r="I13" s="270">
        <f>Data!E48</f>
        <v>-135</v>
      </c>
      <c r="J13" s="270">
        <f>Data!F48</f>
        <v>-158</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103790.20955470968</v>
      </c>
      <c r="D14" s="58"/>
      <c r="E14" s="243"/>
      <c r="F14" s="58"/>
      <c r="G14" s="267">
        <f t="shared" ref="G14:Q14" si="8">IF(G$4="","",SUM(G11:G13))</f>
        <v>118134.44704364182</v>
      </c>
      <c r="H14" s="267">
        <f t="shared" si="8"/>
        <v>107916.24067899701</v>
      </c>
      <c r="I14" s="267">
        <f t="shared" si="8"/>
        <v>105631.57076937371</v>
      </c>
      <c r="J14" s="267">
        <f t="shared" si="8"/>
        <v>95796.864924715657</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191101</v>
      </c>
      <c r="E15" s="237"/>
      <c r="G15" s="266">
        <f>IF(Data!C61="","",-Data!C61)</f>
        <v>191101</v>
      </c>
      <c r="H15" s="266">
        <f>IF(Data!D61="","",-Data!D61)</f>
        <v>207132</v>
      </c>
      <c r="I15" s="266">
        <f>IF(Data!E61="","",-Data!E61)</f>
        <v>200077</v>
      </c>
      <c r="J15" s="266">
        <f>IF(Data!F61="","",-Data!F61)</f>
        <v>193045</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398</v>
      </c>
      <c r="C16" s="266">
        <f>-C4*C82</f>
        <v>-191101</v>
      </c>
      <c r="E16" s="237"/>
      <c r="G16" s="266">
        <f>Data!C62</f>
        <v>-191101</v>
      </c>
      <c r="H16" s="266">
        <f>Data!D62</f>
        <v>-207132</v>
      </c>
      <c r="I16" s="266">
        <f>Data!E62</f>
        <v>-200077</v>
      </c>
      <c r="J16" s="266">
        <f>Data!F62</f>
        <v>-193045</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103790.20955470968</v>
      </c>
      <c r="D19" s="26"/>
      <c r="E19" s="234"/>
      <c r="F19" s="26"/>
      <c r="G19" s="271">
        <f t="shared" ref="G19:Q19" si="9">IF(G$4="","",G14+G17)</f>
        <v>118134.44704364182</v>
      </c>
      <c r="H19" s="271">
        <f t="shared" si="9"/>
        <v>107916.24067899701</v>
      </c>
      <c r="I19" s="271">
        <f t="shared" si="9"/>
        <v>105631.57076937371</v>
      </c>
      <c r="J19" s="271">
        <f t="shared" si="9"/>
        <v>95796.864924715657</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-643392.11078693799</v>
      </c>
      <c r="D23" s="55"/>
      <c r="E23" s="236"/>
      <c r="F23" s="55"/>
      <c r="G23" s="270">
        <f>Data!C37</f>
        <v>-626386</v>
      </c>
      <c r="H23" s="270">
        <f>Data!D37</f>
        <v>-620360</v>
      </c>
      <c r="I23" s="270">
        <f>Data!E37</f>
        <v>-584416</v>
      </c>
      <c r="J23" s="270">
        <f>Data!F37</f>
        <v>-536735</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-193708.37370942079</v>
      </c>
      <c r="D24" s="26"/>
      <c r="E24" s="234"/>
      <c r="F24" s="26"/>
      <c r="G24" s="270">
        <f>Data!C40</f>
        <v>-203804</v>
      </c>
      <c r="H24" s="270">
        <f>Data!D40</f>
        <v>-195284</v>
      </c>
      <c r="I24" s="270">
        <f>Data!E40</f>
        <v>-172335</v>
      </c>
      <c r="J24" s="270">
        <f>Data!F40</f>
        <v>-145317</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0</v>
      </c>
      <c r="D25" s="55"/>
      <c r="E25" s="235"/>
      <c r="F25" s="55"/>
      <c r="G25" s="270">
        <f>Data!C42</f>
        <v>0</v>
      </c>
      <c r="H25" s="270">
        <f>Data!D42</f>
        <v>0</v>
      </c>
      <c r="I25" s="270">
        <f>Data!E42</f>
        <v>0</v>
      </c>
      <c r="J25" s="270">
        <f>Data!F42</f>
        <v>0</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-837100.48449635878</v>
      </c>
      <c r="D26" s="9"/>
      <c r="E26" s="240"/>
      <c r="F26" s="9"/>
      <c r="G26" s="267">
        <f>IF(G$4="","",SUM(G23:G25))</f>
        <v>-830190</v>
      </c>
      <c r="H26" s="267">
        <f t="shared" ref="H26:Q26" si="10">IF(H$4="","",SUM(H23:H25))</f>
        <v>-815644</v>
      </c>
      <c r="I26" s="267">
        <f t="shared" si="10"/>
        <v>-756751</v>
      </c>
      <c r="J26" s="267">
        <f t="shared" si="10"/>
        <v>-682052</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AVERAGE(G29:J29)</f>
        <v>0.6181950968350387</v>
      </c>
      <c r="D29" s="25"/>
      <c r="E29" s="235"/>
      <c r="F29" s="25"/>
      <c r="G29" s="13">
        <f t="shared" ref="G29:Q29" si="11">IF(G$4="","",ABS(G23/G$4))</f>
        <v>0.60185499236614814</v>
      </c>
      <c r="H29" s="13">
        <f t="shared" si="11"/>
        <v>0.61463833176955718</v>
      </c>
      <c r="I29" s="13">
        <f t="shared" si="11"/>
        <v>0.62353735733665938</v>
      </c>
      <c r="J29" s="13">
        <f t="shared" si="11"/>
        <v>0.63274970586779022</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AVERAGE(G30:J30)</f>
        <v>0.18612221821710961</v>
      </c>
      <c r="D30" s="25"/>
      <c r="E30" s="235"/>
      <c r="F30" s="25"/>
      <c r="G30" s="13">
        <f t="shared" ref="G30:Q30" si="12">IF(G$4="","",ABS(G24/G$4))</f>
        <v>0.19582247186908786</v>
      </c>
      <c r="H30" s="13">
        <f t="shared" si="12"/>
        <v>0.19348286798195596</v>
      </c>
      <c r="I30" s="13">
        <f t="shared" si="12"/>
        <v>0.18387126717374813</v>
      </c>
      <c r="J30" s="13">
        <f t="shared" si="12"/>
        <v>0.17131226584364662</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v>0</v>
      </c>
      <c r="D31" s="26"/>
      <c r="E31" s="234"/>
      <c r="F31" s="26"/>
      <c r="G31" s="13">
        <f t="shared" ref="G31:Q31" si="13">IF(G$4="","",ABS(G25/G$4))</f>
        <v>0</v>
      </c>
      <c r="H31" s="13">
        <f t="shared" si="13"/>
        <v>0</v>
      </c>
      <c r="I31" s="13">
        <f t="shared" si="13"/>
        <v>0</v>
      </c>
      <c r="J31" s="13">
        <f t="shared" si="13"/>
        <v>0</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0.80431731505214832</v>
      </c>
      <c r="E32" s="237"/>
      <c r="G32" s="29">
        <f t="shared" ref="G32:Q32" si="14">IF(G$4="","",ABS(G26/G$4))</f>
        <v>0.797677464235236</v>
      </c>
      <c r="H32" s="29">
        <f t="shared" si="14"/>
        <v>0.8081211997515132</v>
      </c>
      <c r="I32" s="29">
        <f t="shared" si="14"/>
        <v>0.80740862451040751</v>
      </c>
      <c r="J32" s="29">
        <f t="shared" si="14"/>
        <v>0.8040619717114369</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-67979</v>
      </c>
      <c r="D35" s="55"/>
      <c r="E35" s="236"/>
      <c r="F35" s="55"/>
      <c r="G35" s="267">
        <f>IF(G4="","",Data!C41)</f>
        <v>-67979</v>
      </c>
      <c r="H35" s="267">
        <f>IF(H4="","",Data!D41)</f>
        <v>-59319</v>
      </c>
      <c r="I35" s="267">
        <f>IF(I4="","",Data!E41)</f>
        <v>-51409</v>
      </c>
      <c r="J35" s="267">
        <f>IF(J4="","",Data!F41)</f>
        <v>-49234</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6.5316754407120189E-2</v>
      </c>
      <c r="E38" s="237"/>
      <c r="G38" s="29">
        <f t="shared" ref="G38:Q38" si="15">IF(G$4="","",ABS(G35/G$4))</f>
        <v>6.5316754407120189E-2</v>
      </c>
      <c r="H38" s="29">
        <f t="shared" si="15"/>
        <v>5.877189245315359E-2</v>
      </c>
      <c r="I38" s="29">
        <f t="shared" si="15"/>
        <v>5.4850366867642775E-2</v>
      </c>
      <c r="J38" s="29">
        <f t="shared" si="15"/>
        <v>5.8041303471349517E-2</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0.25205746012845448</v>
      </c>
      <c r="H41" s="6">
        <f t="shared" si="16"/>
        <v>0.26312839884184647</v>
      </c>
      <c r="I41" s="6">
        <f t="shared" si="16"/>
        <v>0.26060408863823398</v>
      </c>
      <c r="J41" s="6">
        <f t="shared" si="16"/>
        <v>0.27214761676072546</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-5515.92</v>
      </c>
      <c r="E45" s="237"/>
      <c r="G45" s="266">
        <f>Data!C51</f>
        <v>-3273</v>
      </c>
      <c r="H45" s="266">
        <f>Data!D51</f>
        <v>-3730</v>
      </c>
      <c r="I45" s="266">
        <f>Data!E51</f>
        <v>-2330</v>
      </c>
      <c r="J45" s="266">
        <f>Data!F51</f>
        <v>-2679</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507.62526607571937</v>
      </c>
      <c r="E46" s="237"/>
      <c r="G46" s="274">
        <f t="shared" ref="G46:Q46" si="17">IFERROR(IF(G$4="","",($C$46/$C$47)*G47),0)</f>
        <v>7736.4470436418151</v>
      </c>
      <c r="H46" s="274">
        <f t="shared" si="17"/>
        <v>7107.2406789970064</v>
      </c>
      <c r="I46" s="274">
        <f t="shared" si="17"/>
        <v>5289.5707693737058</v>
      </c>
      <c r="J46" s="274">
        <f t="shared" si="17"/>
        <v>5625.8649247156673</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1509.4680000000001</v>
      </c>
      <c r="D47" s="246"/>
      <c r="E47" s="247"/>
      <c r="F47" s="246"/>
      <c r="G47" s="278">
        <f>Data!C52</f>
        <v>23005</v>
      </c>
      <c r="H47" s="278">
        <f>Data!D52</f>
        <v>21134</v>
      </c>
      <c r="I47" s="278">
        <f>Data!E52</f>
        <v>15729</v>
      </c>
      <c r="J47" s="278">
        <f>Data!F52</f>
        <v>16729</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-5008.294733924281</v>
      </c>
      <c r="E48" s="237"/>
      <c r="G48" s="267">
        <f>IF(G$4="","",(G45+G46))</f>
        <v>4463.4470436418151</v>
      </c>
      <c r="H48" s="267">
        <f t="shared" ref="H48:Q48" si="18">IF(H$4="","",(H45+H46))</f>
        <v>3377.2406789970064</v>
      </c>
      <c r="I48" s="267">
        <f t="shared" si="18"/>
        <v>2959.5707693737058</v>
      </c>
      <c r="J48" s="267">
        <f t="shared" si="18"/>
        <v>2946.8649247156673</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9.1442812964567646E-2</v>
      </c>
      <c r="H51" s="151"/>
      <c r="I51" s="151"/>
      <c r="J51" s="151"/>
      <c r="K51" s="151"/>
      <c r="L51" s="151"/>
      <c r="M51" s="151"/>
      <c r="N51" s="151"/>
      <c r="O51" s="151"/>
      <c r="P51" s="151"/>
      <c r="Q51" s="151"/>
    </row>
    <row r="52" spans="1:17" ht="15.75" customHeight="1">
      <c r="A52" s="10"/>
      <c r="B52" s="8" t="s">
        <v>84</v>
      </c>
      <c r="C52" s="79">
        <v>0.06</v>
      </c>
      <c r="E52" s="234"/>
      <c r="G52" s="22">
        <f>IFERROR(ABS(Normalized_FCF!G45/BS!$G$31),0)</f>
        <v>3.5602401775225168E-2</v>
      </c>
      <c r="H52" s="151"/>
      <c r="I52" s="151"/>
      <c r="J52" s="151"/>
      <c r="K52" s="151"/>
      <c r="L52" s="151"/>
      <c r="M52" s="151"/>
      <c r="N52" s="151"/>
      <c r="O52" s="151"/>
      <c r="P52" s="151"/>
      <c r="Q52" s="151"/>
    </row>
    <row r="53" spans="1:17" ht="15.75" customHeight="1">
      <c r="A53" s="10"/>
      <c r="B53" s="25" t="s">
        <v>87</v>
      </c>
      <c r="C53" s="40">
        <f>-C8/C45</f>
        <v>24.597803358939437</v>
      </c>
      <c r="E53" s="237"/>
      <c r="G53" s="40">
        <f t="shared" ref="G53:Q53" si="19">IF(G4="","",-G8/G45)</f>
        <v>43.565536205316221</v>
      </c>
      <c r="H53" s="40">
        <f t="shared" si="19"/>
        <v>36.017694369973192</v>
      </c>
      <c r="I53" s="40">
        <f t="shared" si="19"/>
        <v>55.407296137339053</v>
      </c>
      <c r="J53" s="40">
        <f t="shared" si="19"/>
        <v>43.662560656961553</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f>Data!E56</f>
        <v>0</v>
      </c>
      <c r="J56" s="266">
        <f>Data!F56</f>
        <v>0</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7974.2</v>
      </c>
      <c r="E57" s="237"/>
      <c r="G57" s="266">
        <f>Data!C55</f>
        <v>11097</v>
      </c>
      <c r="H57" s="266">
        <f>Data!D55</f>
        <v>8958</v>
      </c>
      <c r="I57" s="266">
        <f>Data!E55</f>
        <v>10986</v>
      </c>
      <c r="J57" s="266">
        <f>Data!F55</f>
        <v>11914</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f>Data!E57</f>
        <v>0</v>
      </c>
      <c r="J58" s="266">
        <f>Data!F57</f>
        <v>0</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7974.2</v>
      </c>
      <c r="E59" s="237"/>
      <c r="G59" s="267">
        <f t="shared" ref="G59:Q59" si="20">IF(G4="","",SUM(G56:G58))</f>
        <v>11097</v>
      </c>
      <c r="H59" s="267">
        <f t="shared" si="20"/>
        <v>8958</v>
      </c>
      <c r="I59" s="267">
        <f t="shared" si="20"/>
        <v>10986</v>
      </c>
      <c r="J59" s="267">
        <f t="shared" si="20"/>
        <v>11914</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4970</v>
      </c>
      <c r="H60" s="266">
        <f>Data!D58</f>
        <v>9823</v>
      </c>
      <c r="I60" s="266">
        <f>Data!E58</f>
        <v>9388</v>
      </c>
      <c r="J60" s="266">
        <f>Data!F58</f>
        <v>9248</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7974.2</v>
      </c>
      <c r="E61" s="237"/>
      <c r="G61" s="267">
        <f t="shared" ref="G61:Q61" si="21">IF(G4="","",G59+G60)</f>
        <v>16067</v>
      </c>
      <c r="H61" s="267">
        <f t="shared" si="21"/>
        <v>18781</v>
      </c>
      <c r="I61" s="267">
        <f t="shared" si="21"/>
        <v>20374</v>
      </c>
      <c r="J61" s="267">
        <f t="shared" si="21"/>
        <v>21162</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v>0.04</v>
      </c>
      <c r="E65" s="237"/>
      <c r="G65" s="22">
        <f>IFERROR(G57/BS!$C$68,0)</f>
        <v>5.5664518070778261E-2</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1.7683780073758187E-2</v>
      </c>
      <c r="D67" s="9"/>
      <c r="E67" s="240"/>
      <c r="F67" s="9"/>
      <c r="G67" s="68">
        <f>G59/BS!C70</f>
        <v>2.4608977386884525E-2</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0.80431731505214832</v>
      </c>
      <c r="D71" s="26"/>
      <c r="E71" s="234"/>
      <c r="F71" s="26"/>
      <c r="G71" s="6">
        <f t="shared" ref="G71:Q71" si="23">IF(G$4="","",ABS(G5/G$4))</f>
        <v>0.797677464235236</v>
      </c>
      <c r="H71" s="6">
        <f t="shared" si="23"/>
        <v>0.8081211997515132</v>
      </c>
      <c r="I71" s="6">
        <f t="shared" si="23"/>
        <v>0.80740862451040751</v>
      </c>
      <c r="J71" s="6">
        <f t="shared" si="23"/>
        <v>0.8040619717114369</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0.19568268494785174</v>
      </c>
      <c r="D72" s="26"/>
      <c r="E72" s="234"/>
      <c r="F72" s="26"/>
      <c r="G72" s="62">
        <f t="shared" ref="G72:Q72" si="24">IF(G$4="","",ABS(G6/G$4))</f>
        <v>0.20232253576476397</v>
      </c>
      <c r="H72" s="62">
        <f t="shared" si="24"/>
        <v>0.19187880024848683</v>
      </c>
      <c r="I72" s="62">
        <f t="shared" si="24"/>
        <v>0.19259137548959251</v>
      </c>
      <c r="J72" s="62">
        <f t="shared" si="24"/>
        <v>0.19593802828856316</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6.5316754407120189E-2</v>
      </c>
      <c r="D73" s="26"/>
      <c r="E73" s="234"/>
      <c r="F73" s="26"/>
      <c r="G73" s="6">
        <f t="shared" ref="G73:Q73" si="25">IF(G$4="","",ABS(G7/G$4))</f>
        <v>6.5316754407120189E-2</v>
      </c>
      <c r="H73" s="6">
        <f t="shared" si="25"/>
        <v>5.877189245315359E-2</v>
      </c>
      <c r="I73" s="6">
        <f t="shared" si="25"/>
        <v>5.4850366867642775E-2</v>
      </c>
      <c r="J73" s="6">
        <f t="shared" si="25"/>
        <v>5.8041303471349517E-2</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0.13036593054073153</v>
      </c>
      <c r="D74" s="26"/>
      <c r="E74" s="234"/>
      <c r="F74" s="26"/>
      <c r="G74" s="62">
        <f t="shared" ref="G74:Q74" si="26">IF(G$4="","",ABS(G8/G$4))</f>
        <v>0.1370057813576438</v>
      </c>
      <c r="H74" s="62">
        <f t="shared" si="26"/>
        <v>0.13310690779533324</v>
      </c>
      <c r="I74" s="62">
        <f t="shared" si="26"/>
        <v>0.13774100862194974</v>
      </c>
      <c r="J74" s="62">
        <f t="shared" si="26"/>
        <v>0.13789672481721363</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7.6619082803992085E-3</v>
      </c>
      <c r="D75" s="26"/>
      <c r="E75" s="234"/>
      <c r="F75" s="26"/>
      <c r="G75" s="6">
        <f t="shared" ref="G75:Q75" si="27">IF(G$4="","",G9/G$4)</f>
        <v>1.0662410798273183E-2</v>
      </c>
      <c r="H75" s="6">
        <f t="shared" si="27"/>
        <v>8.8753790959953793E-3</v>
      </c>
      <c r="I75" s="6">
        <f t="shared" si="27"/>
        <v>1.1721413184615993E-2</v>
      </c>
      <c r="J75" s="6">
        <f t="shared" si="27"/>
        <v>1.4045255099274042E-2</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4.8121560648760001E-3</v>
      </c>
      <c r="D76" s="26"/>
      <c r="E76" s="234"/>
      <c r="F76" s="26"/>
      <c r="G76" s="6">
        <f t="shared" ref="G76:Q76" si="28">IF(G$4="","",ABS(G10/G$4))</f>
        <v>4.2886461165762826E-3</v>
      </c>
      <c r="H76" s="6">
        <f t="shared" si="28"/>
        <v>3.3460919094122875E-3</v>
      </c>
      <c r="I76" s="6">
        <f t="shared" si="28"/>
        <v>3.1576872234608637E-3</v>
      </c>
      <c r="J76" s="6">
        <f t="shared" si="28"/>
        <v>3.474019608085827E-3</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0.13321568275625478</v>
      </c>
      <c r="D77" s="26"/>
      <c r="E77" s="234"/>
      <c r="F77" s="26"/>
      <c r="G77" s="62">
        <f t="shared" ref="G77:Q77" si="29">IF(G$4="","",G11/G$4)</f>
        <v>0.15195683827249326</v>
      </c>
      <c r="H77" s="62">
        <f t="shared" si="29"/>
        <v>0.14532837880074093</v>
      </c>
      <c r="I77" s="62">
        <f t="shared" si="29"/>
        <v>0.1526201090300266</v>
      </c>
      <c r="J77" s="62">
        <f t="shared" si="29"/>
        <v>0.15541599952457349</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3.3303920689063696E-2</v>
      </c>
      <c r="D78" s="26"/>
      <c r="E78" s="234"/>
      <c r="F78" s="26"/>
      <c r="G78" s="6">
        <f t="shared" ref="G78:Q78" si="30">IF(G$4="","",ABS(G12/G$4))</f>
        <v>3.8301854704114978E-2</v>
      </c>
      <c r="H78" s="6">
        <f t="shared" si="30"/>
        <v>3.82400236201203E-2</v>
      </c>
      <c r="I78" s="6">
        <f t="shared" si="30"/>
        <v>3.977342442163799E-2</v>
      </c>
      <c r="J78" s="6">
        <f t="shared" si="30"/>
        <v>4.2296093877098713E-2</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1.862640847478008E-4</v>
      </c>
      <c r="D79" s="26"/>
      <c r="E79" s="234"/>
      <c r="F79" s="26"/>
      <c r="G79" s="6">
        <f t="shared" ref="G79:Q79" si="31">IF(G$4="","",-G13/G$4)</f>
        <v>1.4700809697538046E-4</v>
      </c>
      <c r="H79" s="6">
        <f t="shared" si="31"/>
        <v>1.6744128904032363E-4</v>
      </c>
      <c r="I79" s="6">
        <f t="shared" si="31"/>
        <v>1.4403702711843791E-4</v>
      </c>
      <c r="J79" s="6">
        <f t="shared" si="31"/>
        <v>1.862640847478008E-4</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9.9725497982443276E-2</v>
      </c>
      <c r="D80" s="26"/>
      <c r="E80" s="234"/>
      <c r="F80" s="26"/>
      <c r="G80" s="62">
        <f t="shared" ref="G80:Q80" si="32">IF(G$4="","",ABS(G14/G$4))</f>
        <v>0.11350797547140291</v>
      </c>
      <c r="H80" s="62">
        <f t="shared" si="32"/>
        <v>0.10692091389158029</v>
      </c>
      <c r="I80" s="62">
        <f t="shared" si="32"/>
        <v>0.11270264758127017</v>
      </c>
      <c r="J80" s="62">
        <f t="shared" si="32"/>
        <v>0.11293364156272698</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0.18361695647119072</v>
      </c>
      <c r="D81" s="26"/>
      <c r="E81" s="234"/>
      <c r="F81" s="26"/>
      <c r="G81" s="6">
        <f t="shared" ref="G81:Q81" si="33">IF(G$4="","",G15/G$4)</f>
        <v>0.18361695647119072</v>
      </c>
      <c r="H81" s="6">
        <f t="shared" si="33"/>
        <v>0.20522159219822672</v>
      </c>
      <c r="I81" s="6">
        <f t="shared" si="33"/>
        <v>0.21347034277611632</v>
      </c>
      <c r="J81" s="6">
        <f t="shared" si="33"/>
        <v>0.2275781660768304</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C81</f>
        <v>0.18361695647119072</v>
      </c>
      <c r="D82" s="26"/>
      <c r="E82" s="235" t="s">
        <v>548</v>
      </c>
      <c r="F82" s="26"/>
      <c r="G82" s="6">
        <f t="shared" ref="G82:Q82" si="34">IF(G$4="","",-G16/G$4)</f>
        <v>0.18361695647119072</v>
      </c>
      <c r="H82" s="6">
        <f t="shared" si="34"/>
        <v>0.20522159219822672</v>
      </c>
      <c r="I82" s="6">
        <f t="shared" si="34"/>
        <v>0.21347034277611632</v>
      </c>
      <c r="J82" s="6">
        <f t="shared" si="34"/>
        <v>0.2275781660768304</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9.9725497982443276E-2</v>
      </c>
      <c r="D85" s="72"/>
      <c r="E85" s="234"/>
      <c r="F85" s="72"/>
      <c r="G85" s="62">
        <f t="shared" ref="G85:Q85" si="35">IF(G$4="","",ABS(G19/G$4))</f>
        <v>0.11350797547140291</v>
      </c>
      <c r="H85" s="62">
        <f t="shared" si="35"/>
        <v>0.10692091389158029</v>
      </c>
      <c r="I85" s="62">
        <f t="shared" si="35"/>
        <v>0.11270264758127017</v>
      </c>
      <c r="J85" s="62">
        <f t="shared" si="35"/>
        <v>0.11293364156272698</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f>
        <v>5.09</v>
      </c>
      <c r="E88" s="237"/>
      <c r="G88" s="109">
        <f>Data!C65</f>
        <v>5.09</v>
      </c>
      <c r="H88" s="109">
        <f>Data!D65</f>
        <v>4.83</v>
      </c>
      <c r="I88" s="109">
        <f>Data!E65</f>
        <v>4.41</v>
      </c>
      <c r="J88" s="109">
        <f>Data!F65</f>
        <v>4.0600000000000005</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110171.04765508001</v>
      </c>
      <c r="E89" s="237"/>
      <c r="G89" s="71">
        <f t="shared" ref="G89:Q89" si="36">IF(G$4="","",G88*Common_Shares/scaling_factor)</f>
        <v>110171.04765508001</v>
      </c>
      <c r="H89" s="71">
        <f t="shared" si="36"/>
        <v>104543.44993596</v>
      </c>
      <c r="I89" s="71">
        <f t="shared" si="36"/>
        <v>95452.715158919993</v>
      </c>
      <c r="J89" s="71">
        <f t="shared" si="36"/>
        <v>87877.102844720022</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1.0614782273563756</v>
      </c>
      <c r="E90" s="237"/>
      <c r="G90" s="152">
        <f t="shared" ref="G90:Q90" si="37">IF(G$4="","",G88/(G19*scaling_factor/Common_Shares))</f>
        <v>0.93259036980449961</v>
      </c>
      <c r="H90" s="152">
        <f t="shared" si="37"/>
        <v>0.96874621723462762</v>
      </c>
      <c r="I90" s="152">
        <f t="shared" si="37"/>
        <v>0.9036381307565966</v>
      </c>
      <c r="J90" s="152">
        <f t="shared" si="37"/>
        <v>0.91732754421327267</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331</v>
      </c>
      <c r="C91" s="292">
        <v>0.1</v>
      </c>
      <c r="E91" s="237"/>
      <c r="G91" s="293"/>
      <c r="H91" s="293"/>
      <c r="I91" s="293"/>
      <c r="J91" s="293"/>
      <c r="K91" s="293"/>
      <c r="L91" s="293"/>
      <c r="M91" s="293"/>
      <c r="N91" s="293"/>
      <c r="O91" s="293"/>
      <c r="P91" s="293"/>
      <c r="Q91" s="293"/>
    </row>
    <row r="92" spans="1:17" ht="15.75" customHeight="1">
      <c r="A92" s="10"/>
      <c r="B92" s="2" t="s">
        <v>330</v>
      </c>
      <c r="C92" s="22">
        <f>(C88*(1-dividend_tax_rate))/Market_Price</f>
        <v>5.7298311444652909E-2</v>
      </c>
      <c r="E92" s="237"/>
      <c r="G92" s="22">
        <f t="shared" ref="G92:Q92" si="38">IF(G$4="","",(G88*(1-dividend_tax_rate))/Market_Price)</f>
        <v>5.7298311444652909E-2</v>
      </c>
      <c r="H92" s="22">
        <f t="shared" si="38"/>
        <v>5.4371482176360231E-2</v>
      </c>
      <c r="I92" s="22">
        <f t="shared" si="38"/>
        <v>4.9643527204502817E-2</v>
      </c>
      <c r="J92" s="22">
        <f t="shared" si="38"/>
        <v>4.5703564727954976E-2</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3.115993219123192E-2</v>
      </c>
      <c r="H95" s="6">
        <f t="shared" si="39"/>
        <v>7.687309484358118E-2</v>
      </c>
      <c r="I95" s="6">
        <f t="shared" si="39"/>
        <v>0.10492208738379127</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-0.12333209699080028</v>
      </c>
      <c r="D96" s="26"/>
      <c r="E96" s="234"/>
      <c r="F96" s="26"/>
      <c r="G96" s="6">
        <f t="shared" ref="G96:Q96" si="40">IF(H5="","",G11/H11-1)</f>
        <v>7.8191364564092147E-2</v>
      </c>
      <c r="H96" s="6">
        <f t="shared" si="40"/>
        <v>2.542333407037578E-2</v>
      </c>
      <c r="I96" s="6">
        <f t="shared" si="40"/>
        <v>8.5044847133228796E-2</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2127740</v>
      </c>
      <c r="D100" s="25"/>
      <c r="E100" s="238"/>
      <c r="F100" s="25"/>
      <c r="G100" s="270">
        <f t="shared" ref="G100:Q100" si="41">IF(G$4="","",G104+G103)</f>
        <v>2127740</v>
      </c>
      <c r="H100" s="270">
        <f t="shared" si="41"/>
        <v>1992657</v>
      </c>
      <c r="I100" s="270">
        <f t="shared" si="41"/>
        <v>1935538</v>
      </c>
      <c r="J100" s="270">
        <f t="shared" si="41"/>
        <v>1841327</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125999</v>
      </c>
      <c r="D101" s="86"/>
      <c r="E101" s="239"/>
      <c r="F101" s="86"/>
      <c r="G101" s="282">
        <f>IF(G$4="","",Data!D77)</f>
        <v>68428</v>
      </c>
      <c r="H101" s="282">
        <f>IF(H$4="","",Data!E77)</f>
        <v>55620</v>
      </c>
      <c r="I101" s="282">
        <f>IF(I$4="","",Data!F77)</f>
        <v>47417</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11378</v>
      </c>
      <c r="D102" s="86"/>
      <c r="E102" s="239"/>
      <c r="F102" s="86"/>
      <c r="G102" s="282">
        <f>IF(G$4="","",Data!D78)</f>
        <v>12026</v>
      </c>
      <c r="H102" s="282">
        <f>IF(H$4="","",Data!E78)</f>
        <v>11696</v>
      </c>
      <c r="I102" s="282">
        <f>IF(I$4="","",Data!F78)</f>
        <v>10203</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693546</v>
      </c>
      <c r="D103" s="25"/>
      <c r="E103" s="238"/>
      <c r="F103" s="25"/>
      <c r="G103" s="270">
        <f>Data!C79</f>
        <v>693546</v>
      </c>
      <c r="H103" s="270">
        <f>Data!D79</f>
        <v>646672</v>
      </c>
      <c r="I103" s="270">
        <f>Data!E79</f>
        <v>634115</v>
      </c>
      <c r="J103" s="270">
        <f>Data!F79</f>
        <v>631035</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1434194</v>
      </c>
      <c r="D104" s="25"/>
      <c r="E104" s="238"/>
      <c r="F104" s="25"/>
      <c r="G104" s="270">
        <f>Data!C80</f>
        <v>1434194</v>
      </c>
      <c r="H104" s="270">
        <f>Data!D80</f>
        <v>1345985</v>
      </c>
      <c r="I104" s="270">
        <f>Data!E80</f>
        <v>1301423</v>
      </c>
      <c r="J104" s="270">
        <f>Data!F80</f>
        <v>1210292</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0.12106453078954878</v>
      </c>
      <c r="D107" s="25"/>
      <c r="E107" s="238"/>
      <c r="F107" s="25"/>
      <c r="G107" s="91">
        <f t="shared" ref="G107:Q107" si="42">IF(G$4="","",G101/G$4)</f>
        <v>6.5748170325694993E-2</v>
      </c>
      <c r="H107" s="91">
        <f t="shared" si="42"/>
        <v>5.510700885457278E-2</v>
      </c>
      <c r="I107" s="91">
        <f t="shared" si="42"/>
        <v>5.0591138628703486E-2</v>
      </c>
      <c r="J107" s="91" t="e">
        <f t="shared" si="42"/>
        <v>#VALUE!</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1.0932406061345615E-2</v>
      </c>
      <c r="D108" s="25"/>
      <c r="E108" s="238"/>
      <c r="F108" s="25"/>
      <c r="G108" s="91">
        <f t="shared" ref="G108:Q108" si="43">IF(G$4="","",G102/G$4)</f>
        <v>1.1555028589711932E-2</v>
      </c>
      <c r="H108" s="91">
        <f t="shared" si="43"/>
        <v>1.1588126133820266E-2</v>
      </c>
      <c r="I108" s="91">
        <f t="shared" si="43"/>
        <v>1.0885998427329052E-2</v>
      </c>
      <c r="J108" s="91" t="e">
        <f t="shared" si="43"/>
        <v>#VALUE!</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554</v>
      </c>
      <c r="G112" s="251">
        <f>IF(G$4="","",Data!C$22/Data!C15)</f>
        <v>2.5583139627217997</v>
      </c>
      <c r="H112" s="251">
        <f>IF(H$4="","",Data!D$22/Data!D15)</f>
        <v>2.7432675180960322</v>
      </c>
      <c r="I112" s="251">
        <f>IF(I$4="","",Data!E$22/Data!E15)</f>
        <v>2.2353774861856457</v>
      </c>
      <c r="J112" s="251">
        <f>IF(J$4="","",Data!F$22/Data!F15)</f>
        <v>2.7063436108197343</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2.99991246303526</v>
      </c>
      <c r="H113" s="251">
        <f>IF(H$4="","",Data!D$22/H19)</f>
        <v>3.3538325438576968</v>
      </c>
      <c r="I113" s="251">
        <f>IF(I$4="","",Data!E$22/I19)</f>
        <v>2.6578228265956949</v>
      </c>
      <c r="J113" s="251">
        <f>IF(J$4="","",Data!F$22/J19)</f>
        <v>3.2857442698919752</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327</v>
      </c>
      <c r="D115" s="52"/>
      <c r="E115" s="451" t="str">
        <f>DCF!F15&amp;"yrs Projection"</f>
        <v>31yrs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0.13321568275625478</v>
      </c>
      <c r="E116" s="22">
        <f>E119/E117/E118</f>
        <v>0.13321568275625476</v>
      </c>
      <c r="G116" s="22">
        <f t="shared" ref="G116:Q116" si="44">IF(G4="","",G77)</f>
        <v>0.15195683827249326</v>
      </c>
      <c r="H116" s="22">
        <f t="shared" si="44"/>
        <v>0.14532837880074093</v>
      </c>
      <c r="I116" s="22">
        <f t="shared" si="44"/>
        <v>0.1526201090300266</v>
      </c>
      <c r="J116" s="22">
        <f t="shared" si="44"/>
        <v>0.15541599952457349</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0.48913824057450628</v>
      </c>
      <c r="E117" s="452">
        <f>C117</f>
        <v>0.48913824057450628</v>
      </c>
      <c r="G117" s="40">
        <f t="shared" ref="G117:Q117" si="45">IF(G4="","",G4/G100)</f>
        <v>0.48913824057450628</v>
      </c>
      <c r="H117" s="40">
        <f t="shared" si="45"/>
        <v>0.50651416676327132</v>
      </c>
      <c r="I117" s="40">
        <f t="shared" si="45"/>
        <v>0.48423694084022118</v>
      </c>
      <c r="J117" s="40">
        <f t="shared" si="45"/>
        <v>0.46067754396693256</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1.4835789300471205</v>
      </c>
      <c r="D118" s="11"/>
      <c r="E118" s="15">
        <f>C100/C104</f>
        <v>1.4835789300471205</v>
      </c>
      <c r="F118" s="11"/>
      <c r="G118" s="15">
        <f t="shared" ref="G118:Q118" si="46">IF(G$4="","",G100/G104)</f>
        <v>1.4835789300471205</v>
      </c>
      <c r="H118" s="15">
        <f t="shared" si="46"/>
        <v>1.4804451758377695</v>
      </c>
      <c r="I118" s="15">
        <f t="shared" si="46"/>
        <v>1.4872474207079482</v>
      </c>
      <c r="J118" s="15">
        <f t="shared" si="46"/>
        <v>1.521390705713993</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9.6671315574961933E-2</v>
      </c>
      <c r="D119" s="100"/>
      <c r="E119" s="453">
        <f>C119</f>
        <v>9.6671315574961933E-2</v>
      </c>
      <c r="F119" s="100"/>
      <c r="G119" s="99">
        <f t="shared" ref="G119:Q119" si="47">IF(G$4="","",G11/G104)</f>
        <v>0.11027130711998644</v>
      </c>
      <c r="H119" s="99">
        <f t="shared" si="47"/>
        <v>0.10897687617543807</v>
      </c>
      <c r="I119" s="99">
        <f t="shared" si="47"/>
        <v>0.10991397168282234</v>
      </c>
      <c r="J119" s="99">
        <f t="shared" si="47"/>
        <v>0.10892649453579438</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5.4417962903855948</v>
      </c>
      <c r="D123" s="26"/>
      <c r="E123" s="234"/>
      <c r="F123" s="26"/>
      <c r="G123" s="159">
        <f t="shared" ref="G123:Q123" si="48">IF(G$4="","",G14*$C$3/Common_Shares*Exchange_Rate)</f>
        <v>6.1938751106382393</v>
      </c>
      <c r="H123" s="159">
        <f t="shared" si="48"/>
        <v>5.6581271077381405</v>
      </c>
      <c r="I123" s="159">
        <f t="shared" si="48"/>
        <v>5.5383402001648374</v>
      </c>
      <c r="J123" s="159">
        <f t="shared" si="48"/>
        <v>5.0226994088791903</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6.8064994251226946E-2</v>
      </c>
      <c r="D124" s="26"/>
      <c r="E124" s="234"/>
      <c r="F124" s="26"/>
      <c r="G124" s="74">
        <f t="shared" ref="G124" si="49">IF(G$4="","",G123/Market_Price)</f>
        <v>7.7471858794724693E-2</v>
      </c>
      <c r="H124" s="74">
        <f t="shared" ref="H124" si="50">IF(H$4="","",H123/Market_Price)</f>
        <v>7.0770820609607765E-2</v>
      </c>
      <c r="I124" s="74">
        <f t="shared" ref="I124" si="51">IF(I$4="","",I123/Market_Price)</f>
        <v>6.9272547844463253E-2</v>
      </c>
      <c r="J124" s="74">
        <f t="shared" ref="J124" si="52">IF(J$4="","",J123/Market_Price)</f>
        <v>6.2823006990358851E-2</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8.005033042429574E-2</v>
      </c>
      <c r="H125" s="22">
        <f>IF(H$4="","",(Data!D47*$C$3)/(Market_Price*Common_Shares))</f>
        <v>7.6241574466377859E-2</v>
      </c>
      <c r="I125" s="22">
        <f>IF(I$4="","",(Data!E47*$C$3)/(Market_Price*Common_Shares))</f>
        <v>7.2577286569373262E-2</v>
      </c>
      <c r="J125" s="22">
        <f>IF(J$4="","",(Data!F47*$C$3)/(Market_Price*Common_Shares))</f>
        <v>6.7210009170322826E-2</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zoomScaleNormal="100" workbookViewId="0">
      <selection activeCell="F18" sqref="F18"/>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1000000</v>
      </c>
      <c r="E3" s="106" t="s">
        <v>424</v>
      </c>
      <c r="H3" s="106" t="s">
        <v>414</v>
      </c>
    </row>
    <row r="4" spans="2:15">
      <c r="B4" s="97" t="s">
        <v>393</v>
      </c>
      <c r="C4" s="275">
        <f>Normalized_FCF!C19</f>
        <v>103790.20955470968</v>
      </c>
      <c r="D4" t="str">
        <f>Reporting_currency</f>
        <v>CNY</v>
      </c>
      <c r="E4" s="135" t="s">
        <v>431</v>
      </c>
      <c r="F4" s="275">
        <f>-BS!G31</f>
        <v>-91932</v>
      </c>
      <c r="G4" t="str">
        <f>Reporting_currency</f>
        <v>CNY</v>
      </c>
      <c r="H4" s="308" t="s">
        <v>394</v>
      </c>
      <c r="I4" s="305">
        <f>Normalized_FCF!C4</f>
        <v>1040759</v>
      </c>
      <c r="J4" s="305"/>
    </row>
    <row r="5" spans="2:15">
      <c r="B5" s="187" t="s">
        <v>105</v>
      </c>
      <c r="C5" s="188">
        <f>Equity_Cost</f>
        <v>7.2499999999999995E-2</v>
      </c>
      <c r="E5" s="135" t="s">
        <v>432</v>
      </c>
      <c r="F5" s="275">
        <f>BS!D66</f>
        <v>166973.7889873801</v>
      </c>
      <c r="G5" t="str">
        <f>Reporting_currency</f>
        <v>CNY</v>
      </c>
      <c r="H5" s="308" t="s">
        <v>395</v>
      </c>
      <c r="I5" s="305">
        <f>Normalized_FCF!C7</f>
        <v>-67979</v>
      </c>
      <c r="J5" s="305"/>
    </row>
    <row r="6" spans="2:15" ht="13.25" customHeight="1">
      <c r="B6" s="136" t="s">
        <v>194</v>
      </c>
      <c r="C6" s="283">
        <f>(C4*(1+Terminal_Growth))/(Equity_Cost-Terminal_Growth)</f>
        <v>2016495.4999200744</v>
      </c>
      <c r="D6" t="str">
        <f>Reporting_currency</f>
        <v>CNY</v>
      </c>
      <c r="E6" s="187" t="s">
        <v>433</v>
      </c>
      <c r="F6" s="284">
        <f>BS!H42</f>
        <v>262533.59999999998</v>
      </c>
      <c r="G6" t="str">
        <f>Reporting_currency</f>
        <v>CNY</v>
      </c>
      <c r="H6" s="308" t="s">
        <v>416</v>
      </c>
      <c r="I6" s="305">
        <f>I7+I8</f>
        <v>2965.9052660757188</v>
      </c>
      <c r="J6" s="305"/>
      <c r="N6" s="135"/>
    </row>
    <row r="7" spans="2:15" ht="12.75" customHeight="1">
      <c r="B7" s="318" t="s">
        <v>430</v>
      </c>
      <c r="C7" s="275">
        <f>F7</f>
        <v>337575.38898738008</v>
      </c>
      <c r="E7" s="140" t="s">
        <v>424</v>
      </c>
      <c r="F7" s="283">
        <f>SUM(F4:F6)</f>
        <v>337575.38898738008</v>
      </c>
      <c r="G7" t="str">
        <f>Reporting_currency</f>
        <v>CNY</v>
      </c>
      <c r="H7" s="312" t="s">
        <v>417</v>
      </c>
      <c r="I7" s="313">
        <f>Normalized_FCF!C9</f>
        <v>7974.2</v>
      </c>
      <c r="J7" s="313"/>
      <c r="N7" s="304"/>
      <c r="O7" s="304"/>
    </row>
    <row r="8" spans="2:15" ht="13.15">
      <c r="B8" s="136" t="s">
        <v>426</v>
      </c>
      <c r="C8" s="283">
        <f>C6+C7</f>
        <v>2354070.8889074544</v>
      </c>
      <c r="D8" t="str">
        <f>Reporting_currency</f>
        <v>CNY</v>
      </c>
      <c r="E8" s="140" t="s">
        <v>464</v>
      </c>
      <c r="F8" s="108">
        <f>FV_adjustments*scaling_factor/Common_Shares*Exchange_Rate</f>
        <v>17.699323543119686</v>
      </c>
      <c r="G8" s="294" t="str">
        <f>Market_currency</f>
        <v>HKD</v>
      </c>
      <c r="H8" s="314" t="str">
        <f>Normalized_FCF!B10</f>
        <v>Net Interest Income</v>
      </c>
      <c r="I8" s="313">
        <f>Normalized_FCF!C10</f>
        <v>-5008.294733924281</v>
      </c>
      <c r="J8" s="313"/>
      <c r="N8" s="304"/>
      <c r="O8" s="304"/>
    </row>
    <row r="9" spans="2:15" ht="13.15" thickBot="1">
      <c r="B9" s="189" t="str">
        <f>"*"&amp;Thesis!E15</f>
        <v>*CNY/HKD</v>
      </c>
      <c r="C9" s="190">
        <f>Exchange_Rate</f>
        <v>1.1348424911499022</v>
      </c>
      <c r="D9" t="str">
        <f>Thesis!E15</f>
        <v>CNY/HKD</v>
      </c>
      <c r="F9" s="322"/>
      <c r="H9" s="308" t="str">
        <f>Normalized_FCF!B79</f>
        <v>NCI’s Share of Profits</v>
      </c>
      <c r="I9" s="144">
        <f>Normalized_FCF!C79</f>
        <v>1.862640847478008E-4</v>
      </c>
      <c r="J9" s="306"/>
      <c r="N9" s="304"/>
      <c r="O9" s="304"/>
    </row>
    <row r="10" spans="2:15" ht="13.5" thickTop="1">
      <c r="B10" s="107" t="s">
        <v>427</v>
      </c>
      <c r="C10" s="283">
        <f>C8*Exchange_Rate</f>
        <v>2671499.6719112005</v>
      </c>
      <c r="D10" t="str">
        <f>Market_currency</f>
        <v>HKD</v>
      </c>
      <c r="H10" s="308" t="s">
        <v>397</v>
      </c>
      <c r="I10" s="306">
        <f>Normalized_FCF!C41</f>
        <v>0.25</v>
      </c>
      <c r="N10" s="304"/>
      <c r="O10" s="304"/>
    </row>
    <row r="11" spans="2:15" ht="13.15">
      <c r="B11" s="136" t="s">
        <v>425</v>
      </c>
      <c r="C11" s="108">
        <f>(C10*scaling_factor)/Common_Shares</f>
        <v>123.42565147061129</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v>
      </c>
      <c r="H14" s="106" t="s">
        <v>413</v>
      </c>
    </row>
    <row r="15" spans="2:15">
      <c r="B15" s="139" t="s">
        <v>421</v>
      </c>
      <c r="C15" s="148">
        <f>Scenarios!C45</f>
        <v>30</v>
      </c>
      <c r="E15" s="308" t="str">
        <f>IF(F14="II","Change year","Terminal Year")</f>
        <v>Terminal Year</v>
      </c>
      <c r="F15" s="310">
        <f>IF(F14="II",_xlfn.CEILING.MATH(C15/2),C15+1)</f>
        <v>31</v>
      </c>
      <c r="H15" s="97" t="s">
        <v>429</v>
      </c>
      <c r="I15" s="126">
        <f>Terminal_Growth</f>
        <v>0.02</v>
      </c>
      <c r="J15" s="126"/>
    </row>
    <row r="16" spans="2:15" ht="13.25" customHeight="1">
      <c r="B16" s="114" t="s">
        <v>422</v>
      </c>
      <c r="C16" s="147">
        <f>Scenarios!C46</f>
        <v>2.2781556385229107E-2</v>
      </c>
      <c r="E16" s="308" t="s">
        <v>400</v>
      </c>
      <c r="F16" s="311">
        <f>Scenarios!C41</f>
        <v>2.2781556385229107E-2</v>
      </c>
    </row>
    <row r="17" spans="1:21" ht="13.25" customHeight="1">
      <c r="B17" s="308" t="s">
        <v>549</v>
      </c>
      <c r="C17" s="306">
        <f>Normalized_FCF!C77</f>
        <v>0.13321568275625478</v>
      </c>
      <c r="E17" s="308" t="s">
        <v>550</v>
      </c>
      <c r="F17" s="311">
        <f>Scenarios!C40</f>
        <v>0.13321568275625476</v>
      </c>
      <c r="H17" s="106" t="s">
        <v>412</v>
      </c>
    </row>
    <row r="18" spans="1:21" ht="13.25" customHeight="1">
      <c r="B18" s="308" t="s">
        <v>423</v>
      </c>
      <c r="C18" s="306">
        <f>Normalized_FCF!C81-Normalized_FCF!C82</f>
        <v>0</v>
      </c>
      <c r="E18" s="308" t="s">
        <v>423</v>
      </c>
      <c r="F18" s="144">
        <f>IF(F14="II",C18/2,C18)</f>
        <v>0</v>
      </c>
      <c r="H18" s="140" t="s">
        <v>97</v>
      </c>
      <c r="I18" s="129">
        <f>(L52+FV_adjustments)*Exchange_Rate/Common_Shares*scaling_factor</f>
        <v>121.12604183374607</v>
      </c>
      <c r="J18" t="str">
        <f>Market_currency</f>
        <v>HKD</v>
      </c>
    </row>
    <row r="19" spans="1:21">
      <c r="L19" s="275"/>
    </row>
    <row r="20" spans="1:21" ht="13.15">
      <c r="A20" s="121" t="s">
        <v>399</v>
      </c>
      <c r="B20" s="121" t="s">
        <v>98</v>
      </c>
      <c r="C20" s="121" t="s">
        <v>394</v>
      </c>
      <c r="D20" s="121" t="s">
        <v>102</v>
      </c>
      <c r="E20" s="121" t="s">
        <v>549</v>
      </c>
      <c r="F20" s="121" t="s">
        <v>551</v>
      </c>
      <c r="G20" s="121" t="str">
        <f>B18</f>
        <v>D&amp;A - maint. Capx</v>
      </c>
      <c r="H20" s="121" t="s">
        <v>553</v>
      </c>
      <c r="I20" s="121" t="s">
        <v>530</v>
      </c>
      <c r="J20" s="121" t="s">
        <v>552</v>
      </c>
      <c r="K20" s="121" t="s">
        <v>531</v>
      </c>
      <c r="L20" s="122" t="s">
        <v>419</v>
      </c>
    </row>
    <row r="21" spans="1:21">
      <c r="A21" s="302" t="str">
        <f t="shared" ref="A21:A50" si="0">IF($C$15&lt;B21,"",IF(B21&gt;=$F$15,"II","I"))</f>
        <v>I</v>
      </c>
      <c r="B21" s="117">
        <v>1</v>
      </c>
      <c r="C21" s="277">
        <f>I4*(1+D21)</f>
        <v>1064469.1098419346</v>
      </c>
      <c r="D21" s="299">
        <f t="shared" ref="D21:D50" si="1">IF(A21="",0,IF(A21="I",$C$16,$F$16))</f>
        <v>2.2781556385229107E-2</v>
      </c>
      <c r="E21" s="299">
        <f>$C$17</f>
        <v>0.13321568275625478</v>
      </c>
      <c r="F21" s="277">
        <f>C21*E21</f>
        <v>141803.97924053608</v>
      </c>
      <c r="G21" s="299">
        <f t="shared" ref="G21:G50" si="2">IF(A21="",0%,IF(A21="I",$C$18,$F$18))</f>
        <v>0</v>
      </c>
      <c r="H21" s="277">
        <f>(F21*(1-$I$10)+C21*(G21-$I$9))</f>
        <v>106154.71206591504</v>
      </c>
      <c r="I21" s="299">
        <f>H21/C4-1</f>
        <v>2.278155638522894E-2</v>
      </c>
      <c r="J21" s="299">
        <f>H21/C21</f>
        <v>9.9725497982443276E-2</v>
      </c>
      <c r="K21" s="119">
        <f t="shared" ref="K21:K50" si="3">IF($C$15&lt;B21,0,1/(1+Equity_Cost)^B21)</f>
        <v>0.93240093240093236</v>
      </c>
      <c r="L21" s="277">
        <f t="shared" ref="L21:L51" si="4">H21*K21</f>
        <v>98978.752509011683</v>
      </c>
    </row>
    <row r="22" spans="1:21">
      <c r="A22" s="302" t="str">
        <f t="shared" si="0"/>
        <v>I</v>
      </c>
      <c r="B22" s="117">
        <v>2</v>
      </c>
      <c r="C22" s="277">
        <f t="shared" ref="C22:C50" si="5">IF(A22="",0,C21*(1+D22))</f>
        <v>1088719.3728881334</v>
      </c>
      <c r="D22" s="299">
        <f t="shared" si="1"/>
        <v>2.2781556385229107E-2</v>
      </c>
      <c r="E22" s="299">
        <f t="shared" ref="E22:E50" si="6">IF($C$15&lt;B22,0,IF(B22&gt;=$F$15,$F$17,$C$17))</f>
        <v>0.13321568275625478</v>
      </c>
      <c r="F22" s="277">
        <f t="shared" ref="F22:F50" si="7">IF(A22="", 0,C22*E22)</f>
        <v>145034.49458925423</v>
      </c>
      <c r="G22" s="299">
        <f t="shared" si="2"/>
        <v>0</v>
      </c>
      <c r="H22" s="277">
        <f t="shared" ref="H22:H50" si="8">IF(A22="", 0,F22*(1-$I$10)+C22*(G22-$I$9))</f>
        <v>108573.08162440246</v>
      </c>
      <c r="I22" s="299">
        <f t="shared" ref="I22:I50" si="9">IF(A22="", 0,H22/H21-1)</f>
        <v>2.2781556385229385E-2</v>
      </c>
      <c r="J22" s="299">
        <f>IF(A22="", 0,H22/C22)</f>
        <v>9.9725497982443276E-2</v>
      </c>
      <c r="K22" s="119">
        <f t="shared" si="3"/>
        <v>0.86937149874212816</v>
      </c>
      <c r="L22" s="277">
        <f t="shared" si="4"/>
        <v>94390.342694858176</v>
      </c>
    </row>
    <row r="23" spans="1:21">
      <c r="A23" s="302" t="str">
        <f t="shared" si="0"/>
        <v>I</v>
      </c>
      <c r="B23" s="117">
        <v>3</v>
      </c>
      <c r="C23" s="277">
        <f t="shared" si="5"/>
        <v>1113522.0946692757</v>
      </c>
      <c r="D23" s="299">
        <f t="shared" si="1"/>
        <v>2.2781556385229107E-2</v>
      </c>
      <c r="E23" s="299">
        <f t="shared" si="6"/>
        <v>0.13321568275625478</v>
      </c>
      <c r="F23" s="277">
        <f t="shared" si="7"/>
        <v>148338.60610554254</v>
      </c>
      <c r="G23" s="299">
        <f t="shared" si="2"/>
        <v>0</v>
      </c>
      <c r="H23" s="277">
        <f t="shared" si="8"/>
        <v>111046.54540534689</v>
      </c>
      <c r="I23" s="299">
        <f t="shared" si="9"/>
        <v>2.2781556385229162E-2</v>
      </c>
      <c r="J23" s="299">
        <f t="shared" ref="J23:J50" si="10">IF(A23="", 0,H23/C23)</f>
        <v>9.972549798244329E-2</v>
      </c>
      <c r="K23" s="119">
        <f t="shared" si="3"/>
        <v>0.81060279602995633</v>
      </c>
      <c r="L23" s="277">
        <f t="shared" si="4"/>
        <v>90014.640195041691</v>
      </c>
      <c r="N23" s="275"/>
      <c r="O23" s="275"/>
      <c r="P23" s="275"/>
      <c r="Q23" s="275"/>
      <c r="R23" s="275"/>
      <c r="S23" s="275"/>
      <c r="T23" s="275"/>
      <c r="U23" s="275"/>
    </row>
    <row r="24" spans="1:21">
      <c r="A24" s="302" t="str">
        <f t="shared" si="0"/>
        <v>I</v>
      </c>
      <c r="B24" s="117">
        <v>4</v>
      </c>
      <c r="C24" s="277">
        <f t="shared" si="5"/>
        <v>1138889.8610551823</v>
      </c>
      <c r="D24" s="299">
        <f t="shared" si="1"/>
        <v>2.2781556385229107E-2</v>
      </c>
      <c r="E24" s="299">
        <f t="shared" si="6"/>
        <v>0.13321568275625478</v>
      </c>
      <c r="F24" s="277">
        <f t="shared" si="7"/>
        <v>151717.99042464225</v>
      </c>
      <c r="G24" s="299">
        <f t="shared" si="2"/>
        <v>0</v>
      </c>
      <c r="H24" s="277">
        <f t="shared" si="8"/>
        <v>113576.35854088371</v>
      </c>
      <c r="I24" s="299">
        <f t="shared" si="9"/>
        <v>2.2781556385229162E-2</v>
      </c>
      <c r="J24" s="299">
        <f t="shared" si="10"/>
        <v>9.9725497982443304E-2</v>
      </c>
      <c r="K24" s="119">
        <f t="shared" si="3"/>
        <v>0.75580680282513402</v>
      </c>
      <c r="L24" s="277">
        <f t="shared" si="4"/>
        <v>85841.784425306425</v>
      </c>
      <c r="N24" s="275"/>
      <c r="O24" s="275"/>
      <c r="P24" s="275"/>
      <c r="Q24" s="275"/>
      <c r="R24" s="275"/>
      <c r="S24" s="275"/>
      <c r="T24" s="275"/>
      <c r="U24" s="275"/>
    </row>
    <row r="25" spans="1:21">
      <c r="A25" s="302" t="str">
        <f t="shared" si="0"/>
        <v>I</v>
      </c>
      <c r="B25" s="117">
        <v>5</v>
      </c>
      <c r="C25" s="277">
        <f t="shared" si="5"/>
        <v>1164835.5446413767</v>
      </c>
      <c r="D25" s="299">
        <f t="shared" si="1"/>
        <v>2.2781556385229107E-2</v>
      </c>
      <c r="E25" s="299">
        <f t="shared" si="6"/>
        <v>0.13321568275625478</v>
      </c>
      <c r="F25" s="277">
        <f t="shared" si="7"/>
        <v>155174.36237815488</v>
      </c>
      <c r="G25" s="299">
        <f t="shared" si="2"/>
        <v>0</v>
      </c>
      <c r="H25" s="277">
        <f t="shared" si="8"/>
        <v>116163.80475701184</v>
      </c>
      <c r="I25" s="299">
        <f t="shared" si="9"/>
        <v>2.278155638522894E-2</v>
      </c>
      <c r="J25" s="299">
        <f t="shared" si="10"/>
        <v>9.972549798244329E-2</v>
      </c>
      <c r="K25" s="119">
        <f t="shared" si="3"/>
        <v>0.70471496766912267</v>
      </c>
      <c r="L25" s="277">
        <f t="shared" si="4"/>
        <v>81862.371913659881</v>
      </c>
      <c r="N25" s="275"/>
      <c r="O25" s="275"/>
      <c r="P25" s="275"/>
      <c r="Q25" s="275"/>
      <c r="R25" s="275"/>
      <c r="S25" s="275"/>
      <c r="T25" s="275"/>
      <c r="U25" s="275"/>
    </row>
    <row r="26" spans="1:21">
      <c r="A26" s="302" t="str">
        <f t="shared" si="0"/>
        <v>I</v>
      </c>
      <c r="B26" s="117">
        <v>6</v>
      </c>
      <c r="C26" s="277">
        <f t="shared" si="5"/>
        <v>1191372.3112811435</v>
      </c>
      <c r="D26" s="299">
        <f t="shared" si="1"/>
        <v>2.2781556385229107E-2</v>
      </c>
      <c r="E26" s="299">
        <f t="shared" si="6"/>
        <v>0.13321568275625478</v>
      </c>
      <c r="F26" s="277">
        <f t="shared" si="7"/>
        <v>158709.47586421482</v>
      </c>
      <c r="G26" s="299">
        <f t="shared" si="2"/>
        <v>0</v>
      </c>
      <c r="H26" s="277">
        <f t="shared" si="8"/>
        <v>118810.19702500646</v>
      </c>
      <c r="I26" s="299">
        <f t="shared" si="9"/>
        <v>2.2781556385229162E-2</v>
      </c>
      <c r="J26" s="299">
        <f t="shared" si="10"/>
        <v>9.972549798244329E-2</v>
      </c>
      <c r="K26" s="119">
        <f t="shared" si="3"/>
        <v>0.65707689293158289</v>
      </c>
      <c r="L26" s="277">
        <f t="shared" si="4"/>
        <v>78067.435109780447</v>
      </c>
    </row>
    <row r="27" spans="1:21">
      <c r="A27" s="302" t="str">
        <f t="shared" si="0"/>
        <v>I</v>
      </c>
      <c r="B27" s="117">
        <v>7</v>
      </c>
      <c r="C27" s="277">
        <f t="shared" si="5"/>
        <v>1218513.6267663955</v>
      </c>
      <c r="D27" s="299">
        <f t="shared" si="1"/>
        <v>2.2781556385229107E-2</v>
      </c>
      <c r="E27" s="299">
        <f t="shared" si="6"/>
        <v>0.13321568275625478</v>
      </c>
      <c r="F27" s="277">
        <f t="shared" si="7"/>
        <v>162325.1247374856</v>
      </c>
      <c r="G27" s="299">
        <f t="shared" si="2"/>
        <v>0</v>
      </c>
      <c r="H27" s="277">
        <f t="shared" si="8"/>
        <v>121516.87822767184</v>
      </c>
      <c r="I27" s="299">
        <f t="shared" si="9"/>
        <v>2.2781556385229162E-2</v>
      </c>
      <c r="J27" s="299">
        <f t="shared" si="10"/>
        <v>9.9725497982443304E-2</v>
      </c>
      <c r="K27" s="119">
        <f t="shared" si="3"/>
        <v>0.61265910762851561</v>
      </c>
      <c r="L27" s="277">
        <f t="shared" si="4"/>
        <v>74448.422176768421</v>
      </c>
    </row>
    <row r="28" spans="1:21">
      <c r="A28" s="302" t="str">
        <f t="shared" si="0"/>
        <v>I</v>
      </c>
      <c r="B28" s="117">
        <v>8</v>
      </c>
      <c r="C28" s="277">
        <f t="shared" si="5"/>
        <v>1246273.2636607443</v>
      </c>
      <c r="D28" s="299">
        <f t="shared" si="1"/>
        <v>2.2781556385229107E-2</v>
      </c>
      <c r="E28" s="299">
        <f t="shared" si="6"/>
        <v>0.13321568275625478</v>
      </c>
      <c r="F28" s="277">
        <f t="shared" si="7"/>
        <v>166023.14371943197</v>
      </c>
      <c r="G28" s="299">
        <f t="shared" si="2"/>
        <v>0</v>
      </c>
      <c r="H28" s="277">
        <f t="shared" si="8"/>
        <v>124285.22184077256</v>
      </c>
      <c r="I28" s="299">
        <f t="shared" si="9"/>
        <v>2.278155638522894E-2</v>
      </c>
      <c r="J28" s="299">
        <f t="shared" si="10"/>
        <v>9.9725497982443276E-2</v>
      </c>
      <c r="K28" s="119">
        <f t="shared" si="3"/>
        <v>0.5712439231967511</v>
      </c>
      <c r="L28" s="277">
        <f t="shared" si="4"/>
        <v>70997.17771970146</v>
      </c>
    </row>
    <row r="29" spans="1:21">
      <c r="A29" s="302" t="str">
        <f t="shared" si="0"/>
        <v>I</v>
      </c>
      <c r="B29" s="117">
        <v>9</v>
      </c>
      <c r="C29" s="277">
        <f t="shared" si="5"/>
        <v>1274665.3082882352</v>
      </c>
      <c r="D29" s="299">
        <f t="shared" si="1"/>
        <v>2.2781556385229107E-2</v>
      </c>
      <c r="E29" s="299">
        <f t="shared" si="6"/>
        <v>0.13321568275625478</v>
      </c>
      <c r="F29" s="277">
        <f t="shared" si="7"/>
        <v>169805.40932932924</v>
      </c>
      <c r="G29" s="299">
        <f t="shared" si="2"/>
        <v>0</v>
      </c>
      <c r="H29" s="277">
        <f t="shared" si="8"/>
        <v>127116.63262998885</v>
      </c>
      <c r="I29" s="299">
        <f t="shared" si="9"/>
        <v>2.2781556385229162E-2</v>
      </c>
      <c r="J29" s="299">
        <f t="shared" si="10"/>
        <v>9.9725497982443276E-2</v>
      </c>
      <c r="K29" s="119">
        <f t="shared" si="3"/>
        <v>0.53262836661701729</v>
      </c>
      <c r="L29" s="277">
        <f t="shared" si="4"/>
        <v>67705.924407566403</v>
      </c>
    </row>
    <row r="30" spans="1:21">
      <c r="A30" s="302" t="str">
        <f t="shared" si="0"/>
        <v>I</v>
      </c>
      <c r="B30" s="117">
        <v>10</v>
      </c>
      <c r="C30" s="277">
        <f t="shared" si="5"/>
        <v>1303704.1678812993</v>
      </c>
      <c r="D30" s="299">
        <f t="shared" si="1"/>
        <v>2.2781556385229107E-2</v>
      </c>
      <c r="E30" s="299">
        <f t="shared" si="6"/>
        <v>0.13321568275625478</v>
      </c>
      <c r="F30" s="277">
        <f t="shared" si="7"/>
        <v>173673.8408364823</v>
      </c>
      <c r="G30" s="299">
        <f t="shared" si="2"/>
        <v>0</v>
      </c>
      <c r="H30" s="277">
        <f t="shared" si="8"/>
        <v>130012.54736374941</v>
      </c>
      <c r="I30" s="299">
        <f t="shared" si="9"/>
        <v>2.2781556385229385E-2</v>
      </c>
      <c r="J30" s="299">
        <f t="shared" si="10"/>
        <v>9.972549798244329E-2</v>
      </c>
      <c r="K30" s="119">
        <f t="shared" si="3"/>
        <v>0.49662318565689262</v>
      </c>
      <c r="L30" s="277">
        <f t="shared" si="4"/>
        <v>64567.245447152869</v>
      </c>
    </row>
    <row r="31" spans="1:21">
      <c r="A31" s="302" t="str">
        <f t="shared" si="0"/>
        <v>I</v>
      </c>
      <c r="B31" s="117">
        <v>11</v>
      </c>
      <c r="C31" s="277">
        <f t="shared" si="5"/>
        <v>1333404.5778915454</v>
      </c>
      <c r="D31" s="299">
        <f t="shared" si="1"/>
        <v>2.2781556385229107E-2</v>
      </c>
      <c r="E31" s="299">
        <f t="shared" si="6"/>
        <v>0.13321568275625478</v>
      </c>
      <c r="F31" s="277">
        <f t="shared" si="7"/>
        <v>177630.40123413794</v>
      </c>
      <c r="G31" s="299">
        <f t="shared" si="2"/>
        <v>0</v>
      </c>
      <c r="H31" s="277">
        <f t="shared" si="8"/>
        <v>132974.43554230395</v>
      </c>
      <c r="I31" s="299">
        <f t="shared" si="9"/>
        <v>2.2781556385229162E-2</v>
      </c>
      <c r="J31" s="299">
        <f t="shared" si="10"/>
        <v>9.972549798244329E-2</v>
      </c>
      <c r="K31" s="119">
        <f t="shared" si="3"/>
        <v>0.46305192135840806</v>
      </c>
      <c r="L31" s="277">
        <f t="shared" si="4"/>
        <v>61574.06786941363</v>
      </c>
    </row>
    <row r="32" spans="1:21">
      <c r="A32" s="302" t="str">
        <f t="shared" si="0"/>
        <v>I</v>
      </c>
      <c r="B32" s="117">
        <v>12</v>
      </c>
      <c r="C32" s="277">
        <f t="shared" si="5"/>
        <v>1363781.6094671043</v>
      </c>
      <c r="D32" s="299">
        <f t="shared" si="1"/>
        <v>2.2781556385229107E-2</v>
      </c>
      <c r="E32" s="299">
        <f t="shared" si="6"/>
        <v>0.13321568275625478</v>
      </c>
      <c r="F32" s="277">
        <f t="shared" si="7"/>
        <v>181677.09823558433</v>
      </c>
      <c r="G32" s="299">
        <f t="shared" si="2"/>
        <v>0</v>
      </c>
      <c r="H32" s="277">
        <f t="shared" si="8"/>
        <v>136003.80014340498</v>
      </c>
      <c r="I32" s="299">
        <f t="shared" si="9"/>
        <v>2.2781556385229162E-2</v>
      </c>
      <c r="J32" s="299">
        <f t="shared" si="10"/>
        <v>9.972549798244329E-2</v>
      </c>
      <c r="K32" s="119">
        <f t="shared" si="3"/>
        <v>0.43175004322462285</v>
      </c>
      <c r="L32" s="277">
        <f t="shared" si="4"/>
        <v>58719.646590628065</v>
      </c>
    </row>
    <row r="33" spans="1:21">
      <c r="A33" s="302" t="str">
        <f t="shared" si="0"/>
        <v>I</v>
      </c>
      <c r="B33" s="117">
        <v>13</v>
      </c>
      <c r="C33" s="277">
        <f t="shared" si="5"/>
        <v>1394850.6771003178</v>
      </c>
      <c r="D33" s="299">
        <f t="shared" si="1"/>
        <v>2.2781556385229107E-2</v>
      </c>
      <c r="E33" s="299">
        <f t="shared" si="6"/>
        <v>0.13321568275625478</v>
      </c>
      <c r="F33" s="277">
        <f t="shared" si="7"/>
        <v>185815.98529294311</v>
      </c>
      <c r="G33" s="299">
        <f t="shared" si="2"/>
        <v>0</v>
      </c>
      <c r="H33" s="277">
        <f t="shared" si="8"/>
        <v>139102.17838497739</v>
      </c>
      <c r="I33" s="299">
        <f t="shared" si="9"/>
        <v>2.2781556385229162E-2</v>
      </c>
      <c r="J33" s="299">
        <f t="shared" si="10"/>
        <v>9.972549798244329E-2</v>
      </c>
      <c r="K33" s="119">
        <f t="shared" si="3"/>
        <v>0.40256414286678116</v>
      </c>
      <c r="L33" s="277">
        <f t="shared" si="4"/>
        <v>55997.549212450518</v>
      </c>
      <c r="N33" s="275"/>
      <c r="O33" s="275"/>
      <c r="P33" s="275"/>
      <c r="Q33" s="275"/>
      <c r="R33" s="275"/>
      <c r="S33" s="275"/>
      <c r="T33" s="275"/>
      <c r="U33" s="275"/>
    </row>
    <row r="34" spans="1:21">
      <c r="A34" s="302" t="str">
        <f t="shared" si="0"/>
        <v>I</v>
      </c>
      <c r="B34" s="117">
        <v>14</v>
      </c>
      <c r="C34" s="277">
        <f t="shared" si="5"/>
        <v>1426627.5464496538</v>
      </c>
      <c r="D34" s="299">
        <f t="shared" si="1"/>
        <v>2.2781556385229107E-2</v>
      </c>
      <c r="E34" s="299">
        <f t="shared" si="6"/>
        <v>0.13321568275625478</v>
      </c>
      <c r="F34" s="277">
        <f t="shared" si="7"/>
        <v>190049.16263917121</v>
      </c>
      <c r="G34" s="299">
        <f t="shared" si="2"/>
        <v>0</v>
      </c>
      <c r="H34" s="277">
        <f t="shared" si="8"/>
        <v>142271.14250516295</v>
      </c>
      <c r="I34" s="299">
        <f t="shared" si="9"/>
        <v>2.2781556385229162E-2</v>
      </c>
      <c r="J34" s="299">
        <f t="shared" si="10"/>
        <v>9.9725497982443276E-2</v>
      </c>
      <c r="K34" s="119">
        <f t="shared" si="3"/>
        <v>0.37535118216016894</v>
      </c>
      <c r="L34" s="277">
        <f t="shared" si="4"/>
        <v>53401.641526590771</v>
      </c>
      <c r="N34" s="275"/>
      <c r="O34" s="275"/>
      <c r="P34" s="275"/>
      <c r="Q34" s="275"/>
      <c r="R34" s="275"/>
      <c r="S34" s="275"/>
      <c r="T34" s="275"/>
      <c r="U34" s="275"/>
    </row>
    <row r="35" spans="1:21">
      <c r="A35" s="302" t="str">
        <f t="shared" si="0"/>
        <v>I</v>
      </c>
      <c r="B35" s="117">
        <v>15</v>
      </c>
      <c r="C35" s="277">
        <f t="shared" si="5"/>
        <v>1459128.3423398177</v>
      </c>
      <c r="D35" s="299">
        <f t="shared" si="1"/>
        <v>2.2781556385229107E-2</v>
      </c>
      <c r="E35" s="299">
        <f t="shared" si="6"/>
        <v>0.13321568275625478</v>
      </c>
      <c r="F35" s="277">
        <f t="shared" si="7"/>
        <v>194378.77835380108</v>
      </c>
      <c r="G35" s="299">
        <f t="shared" si="2"/>
        <v>0</v>
      </c>
      <c r="H35" s="277">
        <f t="shared" si="8"/>
        <v>145512.30056013531</v>
      </c>
      <c r="I35" s="299">
        <f t="shared" si="9"/>
        <v>2.2781556385229162E-2</v>
      </c>
      <c r="J35" s="299">
        <f t="shared" si="10"/>
        <v>9.972549798244329E-2</v>
      </c>
      <c r="K35" s="119">
        <f t="shared" si="3"/>
        <v>0.34997779222393377</v>
      </c>
      <c r="L35" s="277">
        <f t="shared" si="4"/>
        <v>50926.073691461635</v>
      </c>
      <c r="N35" s="275"/>
      <c r="O35" s="275"/>
      <c r="P35" s="275"/>
      <c r="Q35" s="275"/>
      <c r="R35" s="275"/>
      <c r="S35" s="275"/>
      <c r="T35" s="275"/>
      <c r="U35" s="275"/>
    </row>
    <row r="36" spans="1:21">
      <c r="A36" s="302" t="str">
        <f t="shared" si="0"/>
        <v>I</v>
      </c>
      <c r="B36" s="117">
        <v>16</v>
      </c>
      <c r="C36" s="277">
        <f t="shared" si="5"/>
        <v>1492369.5569441181</v>
      </c>
      <c r="D36" s="299">
        <f t="shared" si="1"/>
        <v>2.2781556385229107E-2</v>
      </c>
      <c r="E36" s="299">
        <f t="shared" si="6"/>
        <v>0.13321568275625478</v>
      </c>
      <c r="F36" s="277">
        <f t="shared" si="7"/>
        <v>198807.02945296015</v>
      </c>
      <c r="G36" s="299">
        <f t="shared" si="2"/>
        <v>0</v>
      </c>
      <c r="H36" s="277">
        <f t="shared" si="8"/>
        <v>148827.29724009044</v>
      </c>
      <c r="I36" s="299">
        <f t="shared" si="9"/>
        <v>2.2781556385229162E-2</v>
      </c>
      <c r="J36" s="299">
        <f t="shared" si="10"/>
        <v>9.972549798244329E-2</v>
      </c>
      <c r="K36" s="119">
        <f t="shared" si="3"/>
        <v>0.32631961978921564</v>
      </c>
      <c r="L36" s="277">
        <f t="shared" si="4"/>
        <v>48565.267049642898</v>
      </c>
    </row>
    <row r="37" spans="1:21">
      <c r="A37" s="302" t="str">
        <f t="shared" si="0"/>
        <v>I</v>
      </c>
      <c r="B37" s="117">
        <v>17</v>
      </c>
      <c r="C37" s="277">
        <f t="shared" si="5"/>
        <v>1526368.05815324</v>
      </c>
      <c r="D37" s="299">
        <f t="shared" si="1"/>
        <v>2.2781556385229107E-2</v>
      </c>
      <c r="E37" s="299">
        <f t="shared" si="6"/>
        <v>0.13321568275625478</v>
      </c>
      <c r="F37" s="277">
        <f t="shared" si="7"/>
        <v>203336.16300422268</v>
      </c>
      <c r="G37" s="299">
        <f t="shared" si="2"/>
        <v>0</v>
      </c>
      <c r="H37" s="277">
        <f t="shared" si="8"/>
        <v>152217.81470382682</v>
      </c>
      <c r="I37" s="299">
        <f t="shared" si="9"/>
        <v>2.2781556385229162E-2</v>
      </c>
      <c r="J37" s="299">
        <f t="shared" si="10"/>
        <v>9.972549798244329E-2</v>
      </c>
      <c r="K37" s="119">
        <f t="shared" si="3"/>
        <v>0.30426071775218239</v>
      </c>
      <c r="L37" s="277">
        <f t="shared" si="4"/>
        <v>46313.90155645505</v>
      </c>
    </row>
    <row r="38" spans="1:21">
      <c r="A38" s="302" t="str">
        <f t="shared" si="0"/>
        <v>I</v>
      </c>
      <c r="B38" s="117">
        <v>18</v>
      </c>
      <c r="C38" s="277">
        <f t="shared" si="5"/>
        <v>1561141.0981346709</v>
      </c>
      <c r="D38" s="299">
        <f t="shared" si="1"/>
        <v>2.2781556385229107E-2</v>
      </c>
      <c r="E38" s="299">
        <f t="shared" si="6"/>
        <v>0.13321568275625478</v>
      </c>
      <c r="F38" s="277">
        <f t="shared" si="7"/>
        <v>207968.47726685953</v>
      </c>
      <c r="G38" s="299">
        <f t="shared" si="2"/>
        <v>0</v>
      </c>
      <c r="H38" s="277">
        <f t="shared" si="8"/>
        <v>155685.57343233842</v>
      </c>
      <c r="I38" s="299">
        <f t="shared" si="9"/>
        <v>2.2781556385229162E-2</v>
      </c>
      <c r="J38" s="299">
        <f t="shared" si="10"/>
        <v>9.972549798244329E-2</v>
      </c>
      <c r="K38" s="119">
        <f t="shared" si="3"/>
        <v>0.28369297692511181</v>
      </c>
      <c r="L38" s="277">
        <f t="shared" si="4"/>
        <v>44166.903791313183</v>
      </c>
    </row>
    <row r="39" spans="1:21">
      <c r="A39" s="302" t="str">
        <f t="shared" si="0"/>
        <v>I</v>
      </c>
      <c r="B39" s="117">
        <v>19</v>
      </c>
      <c r="C39" s="277">
        <f t="shared" si="5"/>
        <v>1596706.3220871245</v>
      </c>
      <c r="D39" s="299">
        <f t="shared" si="1"/>
        <v>2.2781556385229107E-2</v>
      </c>
      <c r="E39" s="299">
        <f t="shared" si="6"/>
        <v>0.13321568275625478</v>
      </c>
      <c r="F39" s="277">
        <f t="shared" si="7"/>
        <v>212706.32285806473</v>
      </c>
      <c r="G39" s="299">
        <f t="shared" si="2"/>
        <v>0</v>
      </c>
      <c r="H39" s="277">
        <f t="shared" si="8"/>
        <v>159232.33310185396</v>
      </c>
      <c r="I39" s="299">
        <f t="shared" si="9"/>
        <v>2.2781556385229162E-2</v>
      </c>
      <c r="J39" s="299">
        <f t="shared" si="10"/>
        <v>9.9725497982443276E-2</v>
      </c>
      <c r="K39" s="119">
        <f t="shared" si="3"/>
        <v>0.26451559620057047</v>
      </c>
      <c r="L39" s="277">
        <f t="shared" si="4"/>
        <v>42119.435524844732</v>
      </c>
    </row>
    <row r="40" spans="1:21">
      <c r="A40" s="302" t="str">
        <f t="shared" si="0"/>
        <v>I</v>
      </c>
      <c r="B40" s="117">
        <v>20</v>
      </c>
      <c r="C40" s="277">
        <f t="shared" si="5"/>
        <v>1633081.777194404</v>
      </c>
      <c r="D40" s="299">
        <f t="shared" si="1"/>
        <v>2.2781556385229107E-2</v>
      </c>
      <c r="E40" s="299">
        <f t="shared" si="6"/>
        <v>0.13321568275625478</v>
      </c>
      <c r="F40" s="277">
        <f t="shared" si="7"/>
        <v>217552.10394575048</v>
      </c>
      <c r="G40" s="299">
        <f t="shared" si="2"/>
        <v>0</v>
      </c>
      <c r="H40" s="277">
        <f t="shared" si="8"/>
        <v>162859.89347676543</v>
      </c>
      <c r="I40" s="299">
        <f t="shared" si="9"/>
        <v>2.2781556385229162E-2</v>
      </c>
      <c r="J40" s="299">
        <f t="shared" si="10"/>
        <v>9.9725497982443276E-2</v>
      </c>
      <c r="K40" s="119">
        <f t="shared" si="3"/>
        <v>0.2466345885320004</v>
      </c>
      <c r="L40" s="277">
        <f t="shared" si="4"/>
        <v>40166.882816007455</v>
      </c>
    </row>
    <row r="41" spans="1:21">
      <c r="A41" s="302" t="str">
        <f t="shared" si="0"/>
        <v>I</v>
      </c>
      <c r="B41" s="117">
        <v>21</v>
      </c>
      <c r="C41" s="277">
        <f t="shared" si="5"/>
        <v>1670285.9217832487</v>
      </c>
      <c r="D41" s="299">
        <f t="shared" si="1"/>
        <v>2.2781556385229107E-2</v>
      </c>
      <c r="E41" s="299">
        <f t="shared" si="6"/>
        <v>0.13321568275625478</v>
      </c>
      <c r="F41" s="277">
        <f t="shared" si="7"/>
        <v>222508.27946851583</v>
      </c>
      <c r="G41" s="299">
        <f t="shared" si="2"/>
        <v>0</v>
      </c>
      <c r="H41" s="277">
        <f t="shared" si="8"/>
        <v>166570.09532289876</v>
      </c>
      <c r="I41" s="299">
        <f t="shared" si="9"/>
        <v>2.2781556385229162E-2</v>
      </c>
      <c r="J41" s="299">
        <f t="shared" si="10"/>
        <v>9.9725497982443276E-2</v>
      </c>
      <c r="K41" s="119">
        <f t="shared" si="3"/>
        <v>0.22996232030955746</v>
      </c>
      <c r="L41" s="277">
        <f t="shared" si="4"/>
        <v>38304.845614637961</v>
      </c>
    </row>
    <row r="42" spans="1:21">
      <c r="A42" s="302" t="str">
        <f t="shared" si="0"/>
        <v>I</v>
      </c>
      <c r="B42" s="117">
        <v>22</v>
      </c>
      <c r="C42" s="277">
        <f t="shared" si="5"/>
        <v>1708337.6346898081</v>
      </c>
      <c r="D42" s="299">
        <f t="shared" si="1"/>
        <v>2.2781556385229107E-2</v>
      </c>
      <c r="E42" s="299">
        <f t="shared" si="6"/>
        <v>0.13321568275625478</v>
      </c>
      <c r="F42" s="277">
        <f t="shared" si="7"/>
        <v>227577.36438340816</v>
      </c>
      <c r="G42" s="299">
        <f t="shared" si="2"/>
        <v>0</v>
      </c>
      <c r="H42" s="277">
        <f t="shared" si="8"/>
        <v>170364.8213415904</v>
      </c>
      <c r="I42" s="299">
        <f t="shared" si="9"/>
        <v>2.2781556385229385E-2</v>
      </c>
      <c r="J42" s="299">
        <f t="shared" si="10"/>
        <v>9.972549798244329E-2</v>
      </c>
      <c r="K42" s="119">
        <f t="shared" si="3"/>
        <v>0.21441708187371325</v>
      </c>
      <c r="L42" s="277">
        <f t="shared" si="4"/>
        <v>36529.127846000323</v>
      </c>
    </row>
    <row r="43" spans="1:21">
      <c r="A43" s="302" t="str">
        <f t="shared" si="0"/>
        <v>I</v>
      </c>
      <c r="B43" s="117">
        <v>23</v>
      </c>
      <c r="C43" s="277">
        <f t="shared" si="5"/>
        <v>1747256.2248395029</v>
      </c>
      <c r="D43" s="299">
        <f t="shared" si="1"/>
        <v>2.2781556385229107E-2</v>
      </c>
      <c r="E43" s="299">
        <f t="shared" si="6"/>
        <v>0.13321568275625478</v>
      </c>
      <c r="F43" s="277">
        <f t="shared" si="7"/>
        <v>232761.9309421106</v>
      </c>
      <c r="G43" s="299">
        <f t="shared" si="2"/>
        <v>0</v>
      </c>
      <c r="H43" s="277">
        <f t="shared" si="8"/>
        <v>174245.99712504333</v>
      </c>
      <c r="I43" s="299">
        <f t="shared" si="9"/>
        <v>2.2781556385229162E-2</v>
      </c>
      <c r="J43" s="299">
        <f t="shared" si="10"/>
        <v>9.972549798244329E-2</v>
      </c>
      <c r="K43" s="119">
        <f t="shared" si="3"/>
        <v>0.19992268706173733</v>
      </c>
      <c r="L43" s="277">
        <f t="shared" si="4"/>
        <v>34835.72795499042</v>
      </c>
    </row>
    <row r="44" spans="1:21">
      <c r="A44" s="302" t="str">
        <f t="shared" si="0"/>
        <v>I</v>
      </c>
      <c r="B44" s="117">
        <v>24</v>
      </c>
      <c r="C44" s="277">
        <f t="shared" si="5"/>
        <v>1787061.4410451266</v>
      </c>
      <c r="D44" s="299">
        <f t="shared" si="1"/>
        <v>2.2781556385229107E-2</v>
      </c>
      <c r="E44" s="299">
        <f t="shared" si="6"/>
        <v>0.13321568275625478</v>
      </c>
      <c r="F44" s="277">
        <f t="shared" si="7"/>
        <v>238064.6099962031</v>
      </c>
      <c r="G44" s="299">
        <f t="shared" si="2"/>
        <v>0</v>
      </c>
      <c r="H44" s="277">
        <f t="shared" si="8"/>
        <v>178215.59213344796</v>
      </c>
      <c r="I44" s="299">
        <f t="shared" si="9"/>
        <v>2.2781556385229162E-2</v>
      </c>
      <c r="J44" s="299">
        <f t="shared" si="10"/>
        <v>9.972549798244329E-2</v>
      </c>
      <c r="K44" s="119">
        <f t="shared" si="3"/>
        <v>0.18640809982446369</v>
      </c>
      <c r="L44" s="277">
        <f t="shared" si="4"/>
        <v>33220.829888687673</v>
      </c>
    </row>
    <row r="45" spans="1:21">
      <c r="A45" s="302" t="str">
        <f t="shared" si="0"/>
        <v>I</v>
      </c>
      <c r="B45" s="117">
        <v>25</v>
      </c>
      <c r="C45" s="277">
        <f t="shared" si="5"/>
        <v>1827773.4820281651</v>
      </c>
      <c r="D45" s="299">
        <f t="shared" si="1"/>
        <v>2.2781556385229107E-2</v>
      </c>
      <c r="E45" s="299">
        <f t="shared" si="6"/>
        <v>0.13321568275625478</v>
      </c>
      <c r="F45" s="277">
        <f t="shared" si="7"/>
        <v>243488.0923321592</v>
      </c>
      <c r="G45" s="299">
        <f t="shared" si="2"/>
        <v>0</v>
      </c>
      <c r="H45" s="277">
        <f t="shared" si="8"/>
        <v>182275.62069436314</v>
      </c>
      <c r="I45" s="299">
        <f t="shared" si="9"/>
        <v>2.2781556385229385E-2</v>
      </c>
      <c r="J45" s="299">
        <f t="shared" si="10"/>
        <v>9.972549798244329E-2</v>
      </c>
      <c r="K45" s="119">
        <f t="shared" si="3"/>
        <v>0.17380708608341602</v>
      </c>
      <c r="L45" s="277">
        <f t="shared" si="4"/>
        <v>31680.79449693326</v>
      </c>
    </row>
    <row r="46" spans="1:21">
      <c r="A46" s="302" t="str">
        <f t="shared" si="0"/>
        <v>I</v>
      </c>
      <c r="B46" s="117">
        <v>26</v>
      </c>
      <c r="C46" s="277">
        <f t="shared" si="5"/>
        <v>1869413.0066684163</v>
      </c>
      <c r="D46" s="299">
        <f t="shared" si="1"/>
        <v>2.2781556385229107E-2</v>
      </c>
      <c r="E46" s="299">
        <f t="shared" si="6"/>
        <v>0.13321568275625478</v>
      </c>
      <c r="F46" s="277">
        <f t="shared" si="7"/>
        <v>249035.13003675616</v>
      </c>
      <c r="G46" s="299">
        <f t="shared" si="2"/>
        <v>0</v>
      </c>
      <c r="H46" s="277">
        <f t="shared" si="8"/>
        <v>186428.1430248644</v>
      </c>
      <c r="I46" s="299">
        <f t="shared" si="9"/>
        <v>2.2781556385229162E-2</v>
      </c>
      <c r="J46" s="299">
        <f t="shared" si="10"/>
        <v>9.972549798244329E-2</v>
      </c>
      <c r="K46" s="119">
        <f t="shared" si="3"/>
        <v>0.16205788912206626</v>
      </c>
      <c r="L46" s="277">
        <f t="shared" si="4"/>
        <v>30212.151331556186</v>
      </c>
    </row>
    <row r="47" spans="1:21">
      <c r="A47" s="302" t="str">
        <f t="shared" si="0"/>
        <v>I</v>
      </c>
      <c r="B47" s="117">
        <v>27</v>
      </c>
      <c r="C47" s="277">
        <f t="shared" si="5"/>
        <v>1912001.1444871137</v>
      </c>
      <c r="D47" s="299">
        <f t="shared" si="1"/>
        <v>2.2781556385229107E-2</v>
      </c>
      <c r="E47" s="299">
        <f t="shared" si="6"/>
        <v>0.13321568275625478</v>
      </c>
      <c r="F47" s="277">
        <f t="shared" si="7"/>
        <v>254708.53789359139</v>
      </c>
      <c r="G47" s="299">
        <f t="shared" si="2"/>
        <v>0</v>
      </c>
      <c r="H47" s="277">
        <f t="shared" si="8"/>
        <v>190675.26627697889</v>
      </c>
      <c r="I47" s="299">
        <f t="shared" si="9"/>
        <v>2.278155638522894E-2</v>
      </c>
      <c r="J47" s="299">
        <f t="shared" si="10"/>
        <v>9.9725497982443276E-2</v>
      </c>
      <c r="K47" s="119">
        <f t="shared" si="3"/>
        <v>0.15110292692034147</v>
      </c>
      <c r="L47" s="277">
        <f t="shared" si="4"/>
        <v>28811.590825766991</v>
      </c>
      <c r="N47" s="275"/>
      <c r="O47" s="275"/>
      <c r="P47" s="275"/>
      <c r="Q47" s="275"/>
      <c r="R47" s="275"/>
      <c r="S47" s="275"/>
      <c r="T47" s="275"/>
      <c r="U47" s="275"/>
    </row>
    <row r="48" spans="1:21">
      <c r="A48" s="302" t="str">
        <f t="shared" si="0"/>
        <v>I</v>
      </c>
      <c r="B48" s="117">
        <v>28</v>
      </c>
      <c r="C48" s="277">
        <f t="shared" si="5"/>
        <v>1955559.5063688694</v>
      </c>
      <c r="D48" s="299">
        <f t="shared" si="1"/>
        <v>2.2781556385229107E-2</v>
      </c>
      <c r="E48" s="299">
        <f t="shared" si="6"/>
        <v>0.13321568275625478</v>
      </c>
      <c r="F48" s="277">
        <f t="shared" si="7"/>
        <v>260511.19481141353</v>
      </c>
      <c r="G48" s="299">
        <f t="shared" si="2"/>
        <v>0</v>
      </c>
      <c r="H48" s="277">
        <f t="shared" si="8"/>
        <v>195019.14560693648</v>
      </c>
      <c r="I48" s="299">
        <f t="shared" si="9"/>
        <v>2.2781556385229162E-2</v>
      </c>
      <c r="J48" s="299">
        <f t="shared" si="10"/>
        <v>9.972549798244329E-2</v>
      </c>
      <c r="K48" s="119">
        <f t="shared" si="3"/>
        <v>0.14088850994903634</v>
      </c>
      <c r="L48" s="277">
        <f t="shared" si="4"/>
        <v>27475.956836095436</v>
      </c>
      <c r="N48" s="275"/>
      <c r="O48" s="275"/>
      <c r="P48" s="275"/>
      <c r="Q48" s="275"/>
      <c r="R48" s="275"/>
      <c r="S48" s="275"/>
      <c r="T48" s="275"/>
      <c r="U48" s="275"/>
    </row>
    <row r="49" spans="1:21">
      <c r="A49" s="302" t="str">
        <f t="shared" si="0"/>
        <v>I</v>
      </c>
      <c r="B49" s="117">
        <v>29</v>
      </c>
      <c r="C49" s="277">
        <f t="shared" si="5"/>
        <v>2000110.1955278828</v>
      </c>
      <c r="D49" s="299">
        <f t="shared" si="1"/>
        <v>2.2781556385229107E-2</v>
      </c>
      <c r="E49" s="299">
        <f t="shared" si="6"/>
        <v>0.13321568275625478</v>
      </c>
      <c r="F49" s="277">
        <f t="shared" si="7"/>
        <v>266446.04528499313</v>
      </c>
      <c r="G49" s="299">
        <f t="shared" si="2"/>
        <v>0</v>
      </c>
      <c r="H49" s="277">
        <f t="shared" si="8"/>
        <v>199461.98526878009</v>
      </c>
      <c r="I49" s="299">
        <f t="shared" si="9"/>
        <v>2.278155638522894E-2</v>
      </c>
      <c r="J49" s="299">
        <f t="shared" si="10"/>
        <v>9.9725497982443276E-2</v>
      </c>
      <c r="K49" s="119">
        <f t="shared" si="3"/>
        <v>0.1313645780410595</v>
      </c>
      <c r="L49" s="277">
        <f t="shared" si="4"/>
        <v>26202.239530065322</v>
      </c>
      <c r="N49" s="275"/>
      <c r="O49" s="275"/>
      <c r="P49" s="275"/>
      <c r="Q49" s="275"/>
      <c r="R49" s="275"/>
      <c r="S49" s="275"/>
      <c r="T49" s="275"/>
      <c r="U49" s="275"/>
    </row>
    <row r="50" spans="1:21">
      <c r="A50" s="302" t="str">
        <f t="shared" si="0"/>
        <v>I</v>
      </c>
      <c r="B50" s="117">
        <v>30</v>
      </c>
      <c r="C50" s="277">
        <f t="shared" si="5"/>
        <v>2045675.8187239729</v>
      </c>
      <c r="D50" s="299">
        <f t="shared" si="1"/>
        <v>2.2781556385229107E-2</v>
      </c>
      <c r="E50" s="299">
        <f t="shared" si="6"/>
        <v>0.13321568275625478</v>
      </c>
      <c r="F50" s="277">
        <f t="shared" si="7"/>
        <v>272516.10088927456</v>
      </c>
      <c r="G50" s="299">
        <f t="shared" si="2"/>
        <v>0</v>
      </c>
      <c r="H50" s="277">
        <f t="shared" si="8"/>
        <v>204006.03973289058</v>
      </c>
      <c r="I50" s="299">
        <f t="shared" si="9"/>
        <v>2.2781556385229385E-2</v>
      </c>
      <c r="J50" s="299">
        <f t="shared" si="10"/>
        <v>9.972549798244329E-2</v>
      </c>
      <c r="K50" s="119">
        <f t="shared" si="3"/>
        <v>0.12248445504993893</v>
      </c>
      <c r="L50" s="277">
        <f t="shared" si="4"/>
        <v>24987.568603579293</v>
      </c>
      <c r="N50" s="275"/>
      <c r="O50" s="275"/>
      <c r="P50" s="275"/>
      <c r="Q50" s="275"/>
      <c r="R50" s="275"/>
      <c r="S50" s="275"/>
      <c r="T50" s="275"/>
      <c r="U50" s="275"/>
    </row>
    <row r="51" spans="1:21">
      <c r="A51" s="315" t="s">
        <v>418</v>
      </c>
      <c r="B51" s="316">
        <f>C15+1</f>
        <v>31</v>
      </c>
      <c r="C51" s="277">
        <f>VLOOKUP(C15,B21:C50,2,FALSE)*(1+Terminal_Growth)</f>
        <v>2086589.3350984524</v>
      </c>
      <c r="D51" s="301">
        <f>Terminal_Growth</f>
        <v>0.02</v>
      </c>
      <c r="E51" s="301">
        <f>F17</f>
        <v>0.13321568275625476</v>
      </c>
      <c r="F51" s="277">
        <f>C51*E51</f>
        <v>277966.42290705995</v>
      </c>
      <c r="G51" s="299">
        <f>F18</f>
        <v>0</v>
      </c>
      <c r="H51" s="277">
        <f>(F51*(1-$I$10)+C51*(G51-$I$9))/Equity_Cost</f>
        <v>2870153.9383110115</v>
      </c>
      <c r="I51" s="415">
        <f>(F51*(1-$I$10)+C51*(G51-$I$9))/VLOOKUP(C15,B21:H50,COLUMN(H20)-1,FALSE)-1</f>
        <v>1.9999999999999574E-2</v>
      </c>
      <c r="J51" s="454"/>
      <c r="K51" s="119">
        <f>1/(1+Equity_Cost)^C15</f>
        <v>0.12248445504993893</v>
      </c>
      <c r="L51" s="277">
        <f t="shared" si="4"/>
        <v>351549.24104346032</v>
      </c>
    </row>
    <row r="52" spans="1:21" ht="13.15">
      <c r="G52" s="111"/>
      <c r="H52" s="111"/>
      <c r="I52" s="111"/>
      <c r="J52" s="469" t="s">
        <v>420</v>
      </c>
      <c r="K52" s="469"/>
      <c r="L52" s="317">
        <f>SUM(L21:L51)</f>
        <v>1972635.5401994288</v>
      </c>
    </row>
    <row r="53" spans="1:21">
      <c r="C53" s="111"/>
    </row>
    <row r="54" spans="1:21" ht="13.15">
      <c r="B54" s="115" t="s">
        <v>108</v>
      </c>
      <c r="C54" s="128"/>
      <c r="D54" s="128"/>
      <c r="E54" s="113"/>
      <c r="F54" s="113"/>
      <c r="G54" s="113"/>
      <c r="H54" s="113"/>
      <c r="I54" s="113"/>
      <c r="J54" s="113"/>
      <c r="K54" s="113"/>
      <c r="L54" s="113"/>
    </row>
    <row r="55" spans="1:21" ht="13.15">
      <c r="A55" s="125">
        <f>L52</f>
        <v>1972635.5401994288</v>
      </c>
      <c r="B55" s="123">
        <f>C94</f>
        <v>0</v>
      </c>
      <c r="C55" s="123">
        <f>C93</f>
        <v>0.01</v>
      </c>
      <c r="D55" s="123">
        <f>C92</f>
        <v>0.02</v>
      </c>
      <c r="E55" s="123">
        <f>C91</f>
        <v>0.03</v>
      </c>
      <c r="F55" s="123">
        <f>C90</f>
        <v>0.04</v>
      </c>
      <c r="G55" s="123"/>
      <c r="H55" s="123"/>
      <c r="I55" s="123"/>
      <c r="J55" s="123"/>
      <c r="K55" s="123"/>
      <c r="L55" s="123"/>
    </row>
    <row r="56" spans="1:21" ht="13.15">
      <c r="A56" s="131">
        <v>1</v>
      </c>
      <c r="B56" s="118">
        <f t="dataTable" ref="B56:F69" dt2D="1" dtr="1" r1="C16" r2="C15"/>
        <v>1458285.397489209</v>
      </c>
      <c r="C56" s="118">
        <v>1472868.2514641015</v>
      </c>
      <c r="D56" s="118">
        <v>1487451.1054389931</v>
      </c>
      <c r="E56" s="118">
        <v>1502033.9594138854</v>
      </c>
      <c r="F56" s="118">
        <v>1516616.8133887777</v>
      </c>
      <c r="G56" s="295"/>
      <c r="H56" s="295"/>
      <c r="I56" s="295"/>
      <c r="J56" s="295"/>
      <c r="K56" s="295"/>
      <c r="L56" s="295"/>
    </row>
    <row r="57" spans="1:21" ht="13.15">
      <c r="A57" s="131">
        <v>2</v>
      </c>
      <c r="B57" s="118">
        <v>1456480.7524885023</v>
      </c>
      <c r="C57" s="118">
        <v>1484778.5973230759</v>
      </c>
      <c r="D57" s="118">
        <v>1513348.3834905147</v>
      </c>
      <c r="E57" s="118">
        <v>1542190.1109908191</v>
      </c>
      <c r="F57" s="118">
        <v>1571303.779823988</v>
      </c>
      <c r="G57" s="295"/>
      <c r="H57" s="295"/>
      <c r="I57" s="295"/>
      <c r="J57" s="295"/>
      <c r="K57" s="295"/>
      <c r="L57" s="295"/>
    </row>
    <row r="58" spans="1:21" ht="13.15">
      <c r="A58" s="131">
        <v>3</v>
      </c>
      <c r="B58" s="118">
        <v>1454798.0998071909</v>
      </c>
      <c r="C58" s="118">
        <v>1495994.8670830433</v>
      </c>
      <c r="D58" s="118">
        <v>1537977.9626164376</v>
      </c>
      <c r="E58" s="118">
        <v>1580754.9931579432</v>
      </c>
      <c r="F58" s="118">
        <v>1624333.565458131</v>
      </c>
      <c r="G58" s="295"/>
      <c r="H58" s="295"/>
      <c r="I58" s="295"/>
      <c r="J58" s="295"/>
      <c r="K58" s="295"/>
      <c r="L58" s="295"/>
    </row>
    <row r="59" spans="1:21" ht="13.15">
      <c r="A59" s="131">
        <v>4</v>
      </c>
      <c r="B59" s="118">
        <v>1453229.1928782286</v>
      </c>
      <c r="C59" s="118">
        <v>1506557.5080691192</v>
      </c>
      <c r="D59" s="118">
        <v>1561401.8980089228</v>
      </c>
      <c r="E59" s="118">
        <v>1617791.6632112195</v>
      </c>
      <c r="F59" s="118">
        <v>1675756.3878912393</v>
      </c>
      <c r="G59" s="295"/>
      <c r="H59" s="295"/>
      <c r="I59" s="295"/>
      <c r="J59" s="295"/>
      <c r="K59" s="295"/>
      <c r="L59" s="295"/>
    </row>
    <row r="60" spans="1:21" ht="13.15">
      <c r="A60" s="131">
        <v>5</v>
      </c>
      <c r="B60" s="118">
        <v>1451766.3425948145</v>
      </c>
      <c r="C60" s="118">
        <v>1516504.610536193</v>
      </c>
      <c r="D60" s="118">
        <v>1583679.2071933849</v>
      </c>
      <c r="E60" s="118">
        <v>1653360.6796726405</v>
      </c>
      <c r="F60" s="118">
        <v>1725620.9429778901</v>
      </c>
      <c r="G60" s="295"/>
      <c r="H60" s="295"/>
      <c r="I60" s="295"/>
      <c r="J60" s="295"/>
      <c r="K60" s="295"/>
      <c r="L60" s="295"/>
    </row>
    <row r="61" spans="1:21" ht="13.15">
      <c r="A61" s="131">
        <v>6</v>
      </c>
      <c r="B61" s="118">
        <v>1450402.3796265959</v>
      </c>
      <c r="C61" s="118">
        <v>1525872.0450273303</v>
      </c>
      <c r="D61" s="118">
        <v>1604866.0187254604</v>
      </c>
      <c r="E61" s="118">
        <v>1687520.2013092497</v>
      </c>
      <c r="F61" s="118">
        <v>1773974.450940703</v>
      </c>
      <c r="G61" s="295"/>
      <c r="H61" s="295"/>
      <c r="I61" s="295"/>
      <c r="J61" s="295"/>
      <c r="K61" s="295"/>
      <c r="L61" s="295"/>
    </row>
    <row r="62" spans="1:21" ht="13.15">
      <c r="A62" s="131">
        <v>7</v>
      </c>
      <c r="B62" s="118">
        <v>1449130.6192832687</v>
      </c>
      <c r="C62" s="118">
        <v>1534693.5917276088</v>
      </c>
      <c r="D62" s="118">
        <v>1625015.7136091131</v>
      </c>
      <c r="E62" s="118">
        <v>1720326.0822283251</v>
      </c>
      <c r="F62" s="118">
        <v>1820862.7010864606</v>
      </c>
      <c r="G62" s="295"/>
      <c r="H62" s="295"/>
      <c r="I62" s="295"/>
      <c r="J62" s="295"/>
      <c r="K62" s="295"/>
      <c r="L62" s="295"/>
    </row>
    <row r="63" spans="1:21" ht="13.15">
      <c r="A63" s="131">
        <v>8</v>
      </c>
      <c r="B63" s="118">
        <v>1447944.8287533598</v>
      </c>
      <c r="C63" s="118">
        <v>1543001.0622798526</v>
      </c>
      <c r="D63" s="118">
        <v>1644179.0597921673</v>
      </c>
      <c r="E63" s="118">
        <v>1751831.9632042199</v>
      </c>
      <c r="F63" s="118">
        <v>1866330.0951671959</v>
      </c>
      <c r="G63" s="295"/>
      <c r="H63" s="295"/>
      <c r="I63" s="295"/>
      <c r="J63" s="295"/>
      <c r="K63" s="295"/>
      <c r="L63" s="295"/>
    </row>
    <row r="64" spans="1:21" ht="13.15">
      <c r="A64" s="131">
        <v>9</v>
      </c>
      <c r="B64" s="118">
        <v>1446839.1965576406</v>
      </c>
      <c r="C64" s="118">
        <v>1550824.4145015455</v>
      </c>
      <c r="D64" s="118">
        <v>1662404.3400781485</v>
      </c>
      <c r="E64" s="118">
        <v>1782089.3593861978</v>
      </c>
      <c r="F64" s="118">
        <v>1910419.6894273022</v>
      </c>
      <c r="G64" s="295"/>
      <c r="H64" s="295"/>
      <c r="I64" s="295"/>
      <c r="J64" s="295"/>
      <c r="K64" s="295"/>
      <c r="L64" s="295"/>
    </row>
    <row r="65" spans="1:21" ht="13.15">
      <c r="A65" s="131">
        <v>10</v>
      </c>
      <c r="B65" s="118">
        <v>1445808.3040674594</v>
      </c>
      <c r="C65" s="118">
        <v>1558191.8604166135</v>
      </c>
      <c r="D65" s="118">
        <v>1679737.4737767042</v>
      </c>
      <c r="E65" s="118">
        <v>1811147.744530662</v>
      </c>
      <c r="F65" s="118">
        <v>1953173.2353764968</v>
      </c>
      <c r="G65" s="295"/>
      <c r="H65" s="295"/>
      <c r="I65" s="295"/>
      <c r="J65" s="295"/>
      <c r="K65" s="295"/>
      <c r="L65" s="295"/>
    </row>
    <row r="66" spans="1:21" ht="13.15">
      <c r="A66" s="131">
        <v>15</v>
      </c>
      <c r="B66" s="118">
        <v>1441609.585139283</v>
      </c>
      <c r="C66" s="277">
        <v>1589068.0436929537</v>
      </c>
      <c r="D66" s="118">
        <v>1754476.7864896371</v>
      </c>
      <c r="E66" s="118">
        <v>1940053.1166100926</v>
      </c>
      <c r="F66" s="118">
        <v>2148275.0942420294</v>
      </c>
      <c r="G66" s="295"/>
      <c r="H66" s="295"/>
      <c r="I66" s="295"/>
      <c r="J66" s="295"/>
      <c r="K66" s="295"/>
      <c r="L66" s="295"/>
      <c r="M66" s="275"/>
      <c r="N66" s="275"/>
      <c r="O66" s="275"/>
      <c r="P66" s="275"/>
      <c r="Q66" s="275"/>
      <c r="R66" s="275"/>
      <c r="S66" s="275"/>
      <c r="T66" s="275"/>
      <c r="U66" s="275"/>
    </row>
    <row r="67" spans="1:21" ht="13.15">
      <c r="A67" s="132">
        <v>20</v>
      </c>
      <c r="B67" s="118">
        <v>1438650.6850655614</v>
      </c>
      <c r="C67" s="277">
        <v>1611936.875204958</v>
      </c>
      <c r="D67" s="118">
        <v>1812628.6256127842</v>
      </c>
      <c r="E67" s="118">
        <v>2045363.3647339698</v>
      </c>
      <c r="F67" s="118">
        <v>2315554.1619743276</v>
      </c>
      <c r="G67" s="295"/>
      <c r="H67" s="295"/>
      <c r="I67" s="295"/>
      <c r="J67" s="295"/>
      <c r="K67" s="295"/>
      <c r="L67" s="295"/>
      <c r="M67" s="275"/>
      <c r="N67" s="275"/>
      <c r="O67" s="275"/>
      <c r="P67" s="275"/>
      <c r="Q67" s="275"/>
      <c r="R67" s="275"/>
      <c r="S67" s="275"/>
      <c r="T67" s="275"/>
      <c r="U67" s="275"/>
    </row>
    <row r="68" spans="1:21" ht="13.15">
      <c r="A68" s="132">
        <v>25</v>
      </c>
      <c r="B68" s="118">
        <v>1436565.5038957726</v>
      </c>
      <c r="C68" s="277">
        <v>1628874.9614329012</v>
      </c>
      <c r="D68" s="118">
        <v>1857874.377422048</v>
      </c>
      <c r="E68" s="118">
        <v>2131397.3924941071</v>
      </c>
      <c r="F68" s="118">
        <v>2458978.1491372208</v>
      </c>
      <c r="G68" s="295"/>
      <c r="H68" s="295"/>
      <c r="I68" s="295"/>
      <c r="J68" s="295"/>
      <c r="K68" s="295"/>
      <c r="L68" s="295"/>
      <c r="M68" s="275"/>
      <c r="N68" s="275"/>
      <c r="O68" s="275"/>
      <c r="P68" s="275"/>
      <c r="Q68" s="275"/>
      <c r="R68" s="275"/>
      <c r="S68" s="275"/>
      <c r="T68" s="275"/>
      <c r="U68" s="275"/>
    </row>
    <row r="69" spans="1:21" ht="13.15">
      <c r="A69" s="132">
        <v>30</v>
      </c>
      <c r="B69" s="118">
        <v>1435096.0455151205</v>
      </c>
      <c r="C69" s="277">
        <v>1641420.3669519655</v>
      </c>
      <c r="D69" s="118">
        <v>1893078.389670918</v>
      </c>
      <c r="E69" s="118">
        <v>2201683.5618318268</v>
      </c>
      <c r="F69" s="118">
        <v>2581948.9450207883</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0.04</v>
      </c>
      <c r="G72" s="124"/>
      <c r="H72" s="124"/>
      <c r="I72" s="124"/>
      <c r="J72" s="124"/>
      <c r="K72" s="124"/>
      <c r="L72" s="124"/>
    </row>
    <row r="73" spans="1:21" ht="13.15">
      <c r="A73" s="131">
        <v>0</v>
      </c>
      <c r="B73" s="119">
        <f>C11</f>
        <v>123.42565147061129</v>
      </c>
      <c r="C73" s="119">
        <f>C11</f>
        <v>123.42565147061129</v>
      </c>
      <c r="D73" s="119">
        <f>C11</f>
        <v>123.42565147061129</v>
      </c>
      <c r="E73" s="119">
        <f>C11</f>
        <v>123.42565147061129</v>
      </c>
      <c r="F73" s="119">
        <f>C11</f>
        <v>123.42565147061129</v>
      </c>
      <c r="G73" s="296"/>
      <c r="H73" s="296"/>
      <c r="I73" s="296"/>
      <c r="J73" s="296"/>
      <c r="K73" s="296"/>
      <c r="L73" s="296"/>
    </row>
    <row r="74" spans="1:21" ht="13.15">
      <c r="A74" s="131">
        <v>1</v>
      </c>
      <c r="B74" s="119">
        <f t="shared" ref="B74:F87" si="11">(B56+FV_adjustments)/Common_Shares*scaling_factor*Exchange_Rate</f>
        <v>94.158289185704831</v>
      </c>
      <c r="C74" s="119">
        <f t="shared" si="11"/>
        <v>94.9228788421307</v>
      </c>
      <c r="D74" s="119">
        <f t="shared" si="11"/>
        <v>95.687468498556541</v>
      </c>
      <c r="E74" s="119">
        <f t="shared" si="11"/>
        <v>96.452058154982396</v>
      </c>
      <c r="F74" s="119">
        <f t="shared" si="11"/>
        <v>97.216647811408251</v>
      </c>
      <c r="G74" s="296"/>
      <c r="H74" s="296"/>
      <c r="I74" s="296"/>
      <c r="J74" s="296"/>
      <c r="K74" s="296"/>
      <c r="L74" s="296"/>
    </row>
    <row r="75" spans="1:21" ht="13.15">
      <c r="A75" s="131">
        <v>2</v>
      </c>
      <c r="B75" s="119">
        <f t="shared" si="11"/>
        <v>94.0636703337684</v>
      </c>
      <c r="C75" s="119">
        <f t="shared" si="11"/>
        <v>95.547346951316015</v>
      </c>
      <c r="D75" s="119">
        <f t="shared" si="11"/>
        <v>97.045281651034728</v>
      </c>
      <c r="E75" s="119">
        <f t="shared" si="11"/>
        <v>98.557474432924607</v>
      </c>
      <c r="F75" s="119">
        <f t="shared" si="11"/>
        <v>100.08392529698554</v>
      </c>
      <c r="G75" s="296"/>
      <c r="H75" s="296"/>
      <c r="I75" s="296"/>
      <c r="J75" s="296"/>
      <c r="K75" s="296"/>
      <c r="L75" s="296"/>
    </row>
    <row r="76" spans="1:21" ht="13.15">
      <c r="A76" s="131">
        <v>3</v>
      </c>
      <c r="B76" s="119">
        <f t="shared" si="11"/>
        <v>93.975447628000168</v>
      </c>
      <c r="C76" s="119">
        <f t="shared" si="11"/>
        <v>96.135424145047665</v>
      </c>
      <c r="D76" s="119">
        <f t="shared" si="11"/>
        <v>98.336628425419619</v>
      </c>
      <c r="E76" s="119">
        <f t="shared" si="11"/>
        <v>100.57945929658935</v>
      </c>
      <c r="F76" s="119">
        <f t="shared" si="11"/>
        <v>102.86431558603019</v>
      </c>
      <c r="G76" s="296"/>
      <c r="H76" s="296"/>
      <c r="I76" s="296"/>
      <c r="J76" s="296"/>
      <c r="K76" s="296"/>
      <c r="L76" s="296"/>
    </row>
    <row r="77" spans="1:21" ht="13.15">
      <c r="A77" s="131">
        <v>4</v>
      </c>
      <c r="B77" s="119">
        <f t="shared" si="11"/>
        <v>93.893188694882923</v>
      </c>
      <c r="C77" s="119">
        <f t="shared" si="11"/>
        <v>96.68923110604436</v>
      </c>
      <c r="D77" s="119">
        <f t="shared" si="11"/>
        <v>99.564762420638786</v>
      </c>
      <c r="E77" s="119">
        <f t="shared" si="11"/>
        <v>102.52131888593641</v>
      </c>
      <c r="F77" s="119">
        <f t="shared" si="11"/>
        <v>105.56045162389165</v>
      </c>
      <c r="G77" s="296"/>
      <c r="H77" s="296"/>
      <c r="I77" s="296"/>
      <c r="J77" s="296"/>
      <c r="K77" s="296"/>
      <c r="L77" s="296"/>
    </row>
    <row r="78" spans="1:21" ht="13.15">
      <c r="A78" s="131">
        <v>5</v>
      </c>
      <c r="B78" s="119">
        <f t="shared" si="11"/>
        <v>93.816490388946121</v>
      </c>
      <c r="C78" s="119">
        <f t="shared" si="11"/>
        <v>97.210764934115829</v>
      </c>
      <c r="D78" s="119">
        <f t="shared" si="11"/>
        <v>100.73277796853952</v>
      </c>
      <c r="E78" s="119">
        <f t="shared" si="11"/>
        <v>104.38622832838624</v>
      </c>
      <c r="F78" s="119">
        <f t="shared" si="11"/>
        <v>108.17488656969674</v>
      </c>
      <c r="G78" s="296"/>
      <c r="H78" s="296"/>
      <c r="I78" s="296"/>
      <c r="J78" s="296"/>
      <c r="K78" s="296"/>
      <c r="L78" s="296"/>
    </row>
    <row r="79" spans="1:21" ht="13.15">
      <c r="A79" s="131">
        <v>6</v>
      </c>
      <c r="B79" s="119">
        <f t="shared" si="11"/>
        <v>93.744976816977044</v>
      </c>
      <c r="C79" s="119">
        <f t="shared" si="11"/>
        <v>97.701906347964012</v>
      </c>
      <c r="D79" s="119">
        <f t="shared" si="11"/>
        <v>101.84361793017939</v>
      </c>
      <c r="E79" s="119">
        <f t="shared" si="11"/>
        <v>106.17723693045926</v>
      </c>
      <c r="F79" s="119">
        <f t="shared" si="11"/>
        <v>110.71009621411378</v>
      </c>
      <c r="G79" s="296"/>
      <c r="H79" s="296"/>
      <c r="I79" s="296"/>
      <c r="J79" s="296"/>
      <c r="K79" s="296"/>
      <c r="L79" s="296"/>
    </row>
    <row r="80" spans="1:21" ht="13.15">
      <c r="A80" s="131">
        <f t="shared" ref="A80" si="12">A62</f>
        <v>7</v>
      </c>
      <c r="B80" s="119">
        <f t="shared" si="11"/>
        <v>93.678297495793771</v>
      </c>
      <c r="C80" s="119">
        <f t="shared" si="11"/>
        <v>98.164426467298938</v>
      </c>
      <c r="D80" s="119">
        <f t="shared" si="11"/>
        <v>102.90008111048027</v>
      </c>
      <c r="E80" s="119">
        <f t="shared" si="11"/>
        <v>107.89727316368561</v>
      </c>
      <c r="F80" s="119">
        <f t="shared" si="11"/>
        <v>113.16848132385148</v>
      </c>
      <c r="G80" s="296"/>
      <c r="H80" s="296"/>
      <c r="I80" s="296"/>
      <c r="J80" s="296"/>
      <c r="K80" s="296"/>
      <c r="L80" s="296"/>
    </row>
    <row r="81" spans="1:12" ht="13.15">
      <c r="A81" s="131">
        <v>8</v>
      </c>
      <c r="B81" s="119">
        <f t="shared" si="11"/>
        <v>93.616125634550627</v>
      </c>
      <c r="C81" s="119">
        <f t="shared" si="11"/>
        <v>98.599993199726214</v>
      </c>
      <c r="D81" s="119">
        <f t="shared" si="11"/>
        <v>103.90482930992727</v>
      </c>
      <c r="E81" s="119">
        <f t="shared" si="11"/>
        <v>109.54914945293794</v>
      </c>
      <c r="F81" s="119">
        <f t="shared" si="11"/>
        <v>115.55236991511232</v>
      </c>
      <c r="G81" s="296"/>
      <c r="H81" s="296"/>
      <c r="I81" s="296"/>
      <c r="J81" s="296"/>
      <c r="K81" s="296"/>
      <c r="L81" s="296"/>
    </row>
    <row r="82" spans="1:12" ht="13.15">
      <c r="A82" s="131">
        <f t="shared" ref="A82" si="13">A64</f>
        <v>9</v>
      </c>
      <c r="B82" s="119">
        <f t="shared" si="11"/>
        <v>93.558156533158424</v>
      </c>
      <c r="C82" s="119">
        <f t="shared" si="11"/>
        <v>99.010177255438592</v>
      </c>
      <c r="D82" s="119">
        <f t="shared" si="11"/>
        <v>104.86039403107959</v>
      </c>
      <c r="E82" s="119">
        <f t="shared" si="11"/>
        <v>111.13556677501705</v>
      </c>
      <c r="F82" s="119">
        <f t="shared" si="11"/>
        <v>117.86401945815312</v>
      </c>
      <c r="G82" s="296"/>
      <c r="H82" s="296"/>
      <c r="I82" s="296"/>
      <c r="J82" s="296"/>
      <c r="K82" s="296"/>
      <c r="L82" s="296"/>
    </row>
    <row r="83" spans="1:12" ht="13.15">
      <c r="A83" s="131">
        <f t="shared" ref="A83:A87" si="14">A65</f>
        <v>10</v>
      </c>
      <c r="B83" s="119">
        <f t="shared" si="11"/>
        <v>93.504106088969863</v>
      </c>
      <c r="C83" s="119">
        <f t="shared" si="11"/>
        <v>99.396457811400865</v>
      </c>
      <c r="D83" s="119">
        <f t="shared" si="11"/>
        <v>105.76918285679093</v>
      </c>
      <c r="E83" s="119">
        <f t="shared" si="11"/>
        <v>112.65911907500917</v>
      </c>
      <c r="F83" s="119">
        <f t="shared" si="11"/>
        <v>120.1056190150412</v>
      </c>
      <c r="G83" s="296"/>
      <c r="H83" s="296"/>
      <c r="I83" s="296"/>
      <c r="J83" s="296"/>
      <c r="K83" s="296"/>
      <c r="L83" s="296"/>
    </row>
    <row r="84" spans="1:12" ht="13.15">
      <c r="A84" s="131">
        <f t="shared" si="14"/>
        <v>15</v>
      </c>
      <c r="B84" s="119">
        <f t="shared" si="11"/>
        <v>93.283964197111771</v>
      </c>
      <c r="C84" s="119">
        <f t="shared" si="11"/>
        <v>101.01531859157768</v>
      </c>
      <c r="D84" s="119">
        <f t="shared" si="11"/>
        <v>109.68781946434899</v>
      </c>
      <c r="E84" s="119">
        <f t="shared" si="11"/>
        <v>119.41772163108993</v>
      </c>
      <c r="F84" s="119">
        <f t="shared" si="11"/>
        <v>130.33495159252428</v>
      </c>
      <c r="G84" s="296"/>
      <c r="H84" s="296"/>
      <c r="I84" s="296"/>
      <c r="J84" s="296"/>
      <c r="K84" s="296"/>
      <c r="L84" s="296"/>
    </row>
    <row r="85" spans="1:12" ht="13.15">
      <c r="A85" s="132">
        <f t="shared" si="14"/>
        <v>20</v>
      </c>
      <c r="B85" s="119">
        <f t="shared" si="11"/>
        <v>93.128826910908359</v>
      </c>
      <c r="C85" s="119">
        <f t="shared" si="11"/>
        <v>102.21434808599142</v>
      </c>
      <c r="D85" s="119">
        <f t="shared" si="11"/>
        <v>112.73676274885634</v>
      </c>
      <c r="E85" s="119">
        <f t="shared" si="11"/>
        <v>124.9392146508918</v>
      </c>
      <c r="F85" s="119">
        <f t="shared" si="11"/>
        <v>139.10551496406222</v>
      </c>
      <c r="G85" s="296"/>
      <c r="H85" s="296"/>
      <c r="I85" s="296"/>
      <c r="J85" s="296"/>
      <c r="K85" s="296"/>
      <c r="L85" s="296"/>
    </row>
    <row r="86" spans="1:12" ht="13.15">
      <c r="A86" s="132">
        <f t="shared" si="14"/>
        <v>25</v>
      </c>
      <c r="B86" s="119">
        <f t="shared" si="11"/>
        <v>93.019499343277289</v>
      </c>
      <c r="C86" s="119">
        <f t="shared" si="11"/>
        <v>103.1024242850559</v>
      </c>
      <c r="D86" s="119">
        <f t="shared" si="11"/>
        <v>115.10903047437405</v>
      </c>
      <c r="E86" s="119">
        <f t="shared" si="11"/>
        <v>129.45004139573291</v>
      </c>
      <c r="F86" s="119">
        <f t="shared" si="11"/>
        <v>146.62533908469791</v>
      </c>
      <c r="G86" s="296"/>
      <c r="H86" s="296"/>
      <c r="I86" s="296"/>
      <c r="J86" s="296"/>
      <c r="K86" s="296"/>
      <c r="L86" s="296"/>
    </row>
    <row r="87" spans="1:12" ht="13.15">
      <c r="A87" s="132">
        <f t="shared" si="14"/>
        <v>30</v>
      </c>
      <c r="B87" s="119">
        <f t="shared" si="11"/>
        <v>92.942454569988769</v>
      </c>
      <c r="C87" s="119">
        <f t="shared" si="11"/>
        <v>103.76018903481335</v>
      </c>
      <c r="D87" s="119">
        <f t="shared" si="11"/>
        <v>116.95480248008147</v>
      </c>
      <c r="E87" s="119">
        <f t="shared" si="11"/>
        <v>133.13519645234547</v>
      </c>
      <c r="F87" s="119">
        <f t="shared" si="11"/>
        <v>153.07278748793317</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0.04</v>
      </c>
      <c r="D90" s="133">
        <f>Scenarios!D29</f>
        <v>30</v>
      </c>
      <c r="E90" s="127">
        <f>INDEX(B$73:F$87, MATCH(D90, A$73:A$87, 0), MATCH(C90, B$72:F$72, 0))</f>
        <v>153.07278748793317</v>
      </c>
      <c r="F90" s="130">
        <f>Scenarios!F29</f>
        <v>0.15</v>
      </c>
      <c r="G90" s="297"/>
      <c r="H90" s="297"/>
      <c r="I90" s="297"/>
      <c r="J90" s="297"/>
      <c r="K90" s="297"/>
      <c r="L90" s="297"/>
    </row>
    <row r="91" spans="1:12">
      <c r="B91" s="120" t="str">
        <f>Scenarios!B22</f>
        <v>Optimistic</v>
      </c>
      <c r="C91" s="130">
        <f>Scenarios!C22</f>
        <v>0.03</v>
      </c>
      <c r="D91" s="133">
        <f>Scenarios!D22</f>
        <v>30</v>
      </c>
      <c r="E91" s="127">
        <f>INDEX(B$73:F$87, MATCH(D91, A$73:A$87, 0), MATCH(C91, B$72:F$72, 0))</f>
        <v>133.13519645234547</v>
      </c>
      <c r="F91" s="130">
        <f>Scenarios!F22*(1-F$90-F$94)</f>
        <v>0.15999999999999995</v>
      </c>
      <c r="G91" s="297"/>
      <c r="H91" s="297"/>
      <c r="I91" s="297"/>
      <c r="J91" s="297"/>
      <c r="K91" s="297"/>
      <c r="L91" s="297"/>
    </row>
    <row r="92" spans="1:12">
      <c r="B92" s="120" t="str">
        <f>Scenarios!B23</f>
        <v>Base</v>
      </c>
      <c r="C92" s="130">
        <f>Scenarios!C23</f>
        <v>0.02</v>
      </c>
      <c r="D92" s="133">
        <f>Scenarios!D23</f>
        <v>30</v>
      </c>
      <c r="E92" s="127">
        <f>INDEX(B$73:F$87, MATCH(D92, A$73:A$87, 0), MATCH(C92, B$72:F$72, 0))</f>
        <v>116.95480248008147</v>
      </c>
      <c r="F92" s="130">
        <f>Scenarios!F23*(1-F$90-F$94)</f>
        <v>0.44</v>
      </c>
      <c r="G92" s="297"/>
      <c r="H92" s="297"/>
      <c r="I92" s="297"/>
      <c r="J92" s="297"/>
      <c r="K92" s="297"/>
      <c r="L92" s="297"/>
    </row>
    <row r="93" spans="1:12">
      <c r="B93" s="120" t="str">
        <f>Scenarios!B24</f>
        <v>Pessimistic</v>
      </c>
      <c r="C93" s="130">
        <f>Scenarios!C24</f>
        <v>0.01</v>
      </c>
      <c r="D93" s="133">
        <f>Scenarios!D24</f>
        <v>30</v>
      </c>
      <c r="E93" s="127">
        <f>INDEX(B$73:F$87, MATCH(D93, A$73:A$87, 0), MATCH(C93, B$72:F$72, 0))</f>
        <v>103.76018903481335</v>
      </c>
      <c r="F93" s="130">
        <f>Scenarios!F24*(1-F$90-F$94)</f>
        <v>0.19999999999999998</v>
      </c>
      <c r="G93" s="297"/>
      <c r="H93" s="297"/>
      <c r="I93" s="297"/>
      <c r="J93" s="297"/>
      <c r="K93" s="297"/>
      <c r="L93" s="297"/>
    </row>
    <row r="94" spans="1:12">
      <c r="B94" s="120" t="str">
        <f>Scenarios!B30</f>
        <v>Devil's advocate</v>
      </c>
      <c r="C94" s="130">
        <f>Scenarios!C30</f>
        <v>0</v>
      </c>
      <c r="D94" s="133">
        <f>Scenarios!D30</f>
        <v>30</v>
      </c>
      <c r="E94" s="127">
        <f>INDEX(B$73:F$87, MATCH(D94, A$73:A$87, 0), MATCH(C94, B$72:F$72, 0))</f>
        <v>92.942454569988769</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abSelected="1" topLeftCell="A16" zoomScaleNormal="100" workbookViewId="0">
      <selection activeCell="D49" sqref="D49"/>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543</v>
      </c>
      <c r="E3" s="97"/>
    </row>
    <row r="4" spans="2:7" ht="12.75" customHeight="1">
      <c r="B4" s="139" t="s">
        <v>123</v>
      </c>
      <c r="C4" s="449">
        <v>2</v>
      </c>
      <c r="D4" s="460"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0941.HK – 中国移动: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0"/>
      <c r="F4" s="460"/>
      <c r="G4" s="460"/>
    </row>
    <row r="5" spans="2:7">
      <c r="C5" s="445"/>
      <c r="D5" s="460"/>
      <c r="E5" s="460"/>
      <c r="F5" s="460"/>
      <c r="G5" s="460"/>
    </row>
    <row r="6" spans="2:7" ht="13.15">
      <c r="B6" s="145" t="s">
        <v>91</v>
      </c>
      <c r="C6" s="446" t="str">
        <f>DCF!C3&amp;" "&amp;Reporting_currency</f>
        <v>1000000 CNY</v>
      </c>
      <c r="D6" s="460"/>
      <c r="E6" s="460"/>
      <c r="F6" s="460"/>
      <c r="G6" s="460"/>
    </row>
    <row r="7" spans="2:7" ht="12.75" customHeight="1">
      <c r="B7" s="97" t="s">
        <v>232</v>
      </c>
      <c r="C7" s="447">
        <f>Normalized_FCF!G8</f>
        <v>142590</v>
      </c>
      <c r="D7" s="460"/>
      <c r="E7" s="460"/>
      <c r="F7" s="460"/>
      <c r="G7" s="460"/>
    </row>
    <row r="8" spans="2:7">
      <c r="B8" s="97" t="s">
        <v>63</v>
      </c>
      <c r="C8" s="447">
        <f>Normalized_FCF!G19</f>
        <v>118134.44704364182</v>
      </c>
      <c r="D8" s="460"/>
      <c r="E8" s="460"/>
      <c r="F8" s="460"/>
      <c r="G8" s="460"/>
    </row>
    <row r="9" spans="2:7">
      <c r="B9" s="97" t="s">
        <v>54</v>
      </c>
      <c r="C9" s="447">
        <f>Normalized_FCF!C19</f>
        <v>103790.20955470968</v>
      </c>
      <c r="D9" s="460"/>
      <c r="E9" s="460"/>
      <c r="F9" s="460"/>
      <c r="G9" s="460"/>
    </row>
    <row r="10" spans="2:7">
      <c r="C10" s="448"/>
      <c r="D10" s="460"/>
      <c r="E10" s="460"/>
      <c r="F10" s="460"/>
      <c r="G10" s="460"/>
    </row>
    <row r="11" spans="2:7" ht="13.15">
      <c r="B11" s="145" t="s">
        <v>321</v>
      </c>
      <c r="C11" s="448"/>
      <c r="D11" s="460"/>
      <c r="E11" s="460"/>
      <c r="F11" s="460"/>
      <c r="G11" s="460"/>
    </row>
    <row r="12" spans="2:7">
      <c r="B12" s="114" t="s">
        <v>121</v>
      </c>
      <c r="C12" s="249">
        <f ca="1">(Normalized_FCF!G4/OFFSET(Normalized_FCF!G4, 0, $C$4))^(1/$C$4) - 1</f>
        <v>5.3768659363842009E-2</v>
      </c>
      <c r="D12" s="460"/>
      <c r="E12" s="460"/>
      <c r="F12" s="460"/>
      <c r="G12" s="460"/>
    </row>
    <row r="13" spans="2:7">
      <c r="B13" s="135" t="s">
        <v>127</v>
      </c>
      <c r="C13" s="249">
        <f ca="1">(Normalized_FCF!G8/OFFSET(Normalized_FCF!G8, 0, $C$4))^(1/$C$4) - 1</f>
        <v>5.0952518792346746E-2</v>
      </c>
      <c r="D13" s="460"/>
      <c r="E13" s="460"/>
      <c r="F13" s="460"/>
      <c r="G13" s="460"/>
    </row>
    <row r="14" spans="2:7">
      <c r="B14" s="97" t="s">
        <v>63</v>
      </c>
      <c r="C14" s="249">
        <f ca="1">(Normalized_FCF!G19/OFFSET(Normalized_FCF!G19, 0, $C$4))^(1/$C$4) - 1</f>
        <v>5.7526861635440518E-2</v>
      </c>
      <c r="D14" s="460"/>
      <c r="E14" s="460"/>
      <c r="F14" s="460"/>
      <c r="G14" s="460"/>
    </row>
    <row r="16" spans="2:7" ht="13.9">
      <c r="B16" s="34" t="s">
        <v>453</v>
      </c>
      <c r="C16" s="35"/>
      <c r="D16" s="35"/>
      <c r="E16" s="35"/>
      <c r="F16" s="35"/>
      <c r="G16" s="35"/>
    </row>
    <row r="17" spans="2:7" ht="13.15">
      <c r="B17" s="106" t="s">
        <v>126</v>
      </c>
      <c r="E17" s="222" t="s">
        <v>251</v>
      </c>
    </row>
    <row r="18" spans="2:7" ht="12.75" customHeight="1">
      <c r="B18" s="139" t="s">
        <v>111</v>
      </c>
      <c r="C18" s="137">
        <v>30</v>
      </c>
      <c r="E18" s="450" t="s">
        <v>544</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0.03</v>
      </c>
      <c r="D22" s="325">
        <f>C18</f>
        <v>30</v>
      </c>
      <c r="E22" s="326">
        <f>DCF!E91</f>
        <v>133.13519645234547</v>
      </c>
      <c r="F22" s="328">
        <f>1-F23-F24</f>
        <v>0.19999999999999996</v>
      </c>
      <c r="G22" s="328">
        <f>F22*(1-F$29-F$30)</f>
        <v>0.15999999999999995</v>
      </c>
    </row>
    <row r="23" spans="2:7">
      <c r="B23" s="302" t="s">
        <v>437</v>
      </c>
      <c r="C23" s="324">
        <v>0.02</v>
      </c>
      <c r="D23" s="325">
        <f>C18</f>
        <v>30</v>
      </c>
      <c r="E23" s="326">
        <f>DCF!E92</f>
        <v>116.95480248008147</v>
      </c>
      <c r="F23" s="327">
        <v>0.55000000000000004</v>
      </c>
      <c r="G23" s="328">
        <f t="shared" ref="G23:G24" si="0">F23*(1-F$29-F$30)</f>
        <v>0.44</v>
      </c>
    </row>
    <row r="24" spans="2:7">
      <c r="B24" s="302" t="s">
        <v>446</v>
      </c>
      <c r="C24" s="324">
        <v>0.01</v>
      </c>
      <c r="D24" s="325">
        <f>C18</f>
        <v>30</v>
      </c>
      <c r="E24" s="326">
        <f>DCF!E93</f>
        <v>103.76018903481335</v>
      </c>
      <c r="F24" s="327">
        <v>0.25</v>
      </c>
      <c r="G24" s="328">
        <f t="shared" si="0"/>
        <v>0.19999999999999998</v>
      </c>
    </row>
    <row r="25" spans="2:7">
      <c r="B25" s="141" t="s">
        <v>451</v>
      </c>
      <c r="C25" s="441">
        <f>E23*F23+E24*F24+E22*F22</f>
        <v>116.89222791321724</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0.04</v>
      </c>
      <c r="D29" s="325">
        <f>C18</f>
        <v>30</v>
      </c>
      <c r="E29" s="326">
        <f>DCF!E90</f>
        <v>153.07278748793317</v>
      </c>
      <c r="F29" s="327">
        <v>0.15</v>
      </c>
      <c r="G29" s="328">
        <f>F29</f>
        <v>0.15</v>
      </c>
    </row>
    <row r="30" spans="2:7">
      <c r="B30" s="315" t="s">
        <v>447</v>
      </c>
      <c r="C30" s="324">
        <v>0</v>
      </c>
      <c r="D30" s="325">
        <f>C18</f>
        <v>30</v>
      </c>
      <c r="E30" s="326">
        <f>DCF!E94</f>
        <v>92.942454569988769</v>
      </c>
      <c r="F30" s="327">
        <v>0.05</v>
      </c>
      <c r="G30" s="328">
        <f>F30</f>
        <v>0.05</v>
      </c>
    </row>
    <row r="31" spans="2:7">
      <c r="E31" s="329"/>
      <c r="F31" s="329"/>
    </row>
    <row r="32" spans="2:7" ht="13.15">
      <c r="B32" s="145" t="s">
        <v>456</v>
      </c>
    </row>
    <row r="33" spans="2:7">
      <c r="B33" s="97" t="s">
        <v>458</v>
      </c>
      <c r="C33" s="155">
        <f>Normalized_FCF!C88*(1-dividend_tax_rate)</f>
        <v>4.5810000000000004</v>
      </c>
      <c r="D33" t="str">
        <f>Market_currency</f>
        <v>HKD</v>
      </c>
      <c r="E33" s="97" t="s">
        <v>455</v>
      </c>
      <c r="F33" s="219">
        <f>Holding_Period</f>
        <v>3</v>
      </c>
    </row>
    <row r="34" spans="2:7">
      <c r="B34" s="97" t="s">
        <v>233</v>
      </c>
      <c r="C34" s="146">
        <f>Market_Price</f>
        <v>79.95</v>
      </c>
      <c r="D34" t="str">
        <f>Market_currency</f>
        <v>HKD</v>
      </c>
      <c r="E34" s="97" t="s">
        <v>454</v>
      </c>
      <c r="F34" s="330">
        <f>RATE(Holding_Period,$C$33,-C34,$C$36)</f>
        <v>0.19891673811808264</v>
      </c>
    </row>
    <row r="35" spans="2:7">
      <c r="B35" s="97" t="s">
        <v>434</v>
      </c>
      <c r="C35" s="320">
        <f>DCF!C11</f>
        <v>123.42565147061129</v>
      </c>
      <c r="D35" s="97" t="str">
        <f>Market_currency</f>
        <v>HKD</v>
      </c>
      <c r="E35" s="97" t="s">
        <v>454</v>
      </c>
      <c r="F35" s="330">
        <f>RATE(Holding_Period,$C$33,-C35,$C$36)</f>
        <v>3.1083005312308905E-2</v>
      </c>
    </row>
    <row r="36" spans="2:7">
      <c r="B36" s="97" t="s">
        <v>435</v>
      </c>
      <c r="C36" s="321">
        <f>E22*G22+E23*G23+E24*G24+E30*G30+E29*G29</f>
        <v>121.12182318226319</v>
      </c>
      <c r="D36" t="str">
        <f>Market_currency</f>
        <v>HKD</v>
      </c>
      <c r="E36" s="97" t="s">
        <v>460</v>
      </c>
      <c r="F36" s="331" t="s">
        <v>459</v>
      </c>
    </row>
    <row r="38" spans="2:7" ht="13.9">
      <c r="B38" s="34" t="s">
        <v>411</v>
      </c>
      <c r="C38" s="35"/>
      <c r="D38" s="35"/>
      <c r="E38" s="35"/>
      <c r="F38" s="35"/>
      <c r="G38" s="35"/>
    </row>
    <row r="39" spans="2:7" ht="13.15">
      <c r="B39" s="414" t="str">
        <f>IF(DCF!F14="II","2","1")&amp;"-stage DCF"</f>
        <v>1-stage DCF</v>
      </c>
      <c r="E39" s="222" t="s">
        <v>251</v>
      </c>
    </row>
    <row r="40" spans="2:7">
      <c r="B40" t="s">
        <v>550</v>
      </c>
      <c r="C40" s="126">
        <f>Normalized_FCF!E116</f>
        <v>0.13321568275625476</v>
      </c>
      <c r="E40" s="97" t="s">
        <v>401</v>
      </c>
    </row>
    <row r="41" spans="2:7">
      <c r="B41" s="97" t="s">
        <v>400</v>
      </c>
      <c r="C41" s="455">
        <f>DCF!C16</f>
        <v>2.2781556385229107E-2</v>
      </c>
      <c r="E41" s="97"/>
    </row>
    <row r="43" spans="2:7" ht="13.9">
      <c r="B43" s="34" t="s">
        <v>276</v>
      </c>
      <c r="C43" s="35"/>
      <c r="D43" s="35"/>
      <c r="E43" s="35"/>
      <c r="F43" s="35"/>
      <c r="G43" s="35"/>
    </row>
    <row r="44" spans="2:7" ht="13.15">
      <c r="B44" s="106" t="s">
        <v>249</v>
      </c>
      <c r="E44" s="222" t="s">
        <v>251</v>
      </c>
    </row>
    <row r="45" spans="2:7">
      <c r="B45" s="139" t="s">
        <v>111</v>
      </c>
      <c r="C45" s="150">
        <f>C18</f>
        <v>30</v>
      </c>
      <c r="D45" s="137"/>
      <c r="E45" s="221" t="s">
        <v>307</v>
      </c>
    </row>
    <row r="46" spans="2:7">
      <c r="B46" s="114" t="s">
        <v>112</v>
      </c>
      <c r="C46" s="138">
        <v>2.2781556385229107E-2</v>
      </c>
      <c r="D46" s="138"/>
      <c r="E46" s="221" t="s">
        <v>252</v>
      </c>
    </row>
    <row r="47" spans="2:7">
      <c r="B47" s="97" t="s">
        <v>96</v>
      </c>
      <c r="C47" s="146">
        <f>DCF!I18</f>
        <v>121.12604183374607</v>
      </c>
      <c r="D47" s="146" t="str">
        <f>Market_currency</f>
        <v>HKD</v>
      </c>
      <c r="E47" s="221" t="s">
        <v>253</v>
      </c>
    </row>
    <row r="49" spans="2:7" ht="13.15">
      <c r="B49" s="106" t="s">
        <v>277</v>
      </c>
      <c r="C49" s="218" t="str">
        <f>IF(Scenarios!C50="Y",Scenarios!B50,"")&amp;IF(Scenarios!C51="Y",Scenarios!B51,"")&amp;IF(Scenarios!C52="Y",Scenarios!B52,"")&amp;" "&amp;IF(Scenarios!C53="Y",Scenarios!B53,"")</f>
        <v xml:space="preserve">Negative Growth </v>
      </c>
      <c r="E49" s="222" t="s">
        <v>254</v>
      </c>
    </row>
    <row r="50" spans="2:7">
      <c r="B50" s="97" t="s">
        <v>250</v>
      </c>
      <c r="C50" s="218" t="str">
        <f>IF(C36&lt;C35,"Y","N")</f>
        <v>Y</v>
      </c>
      <c r="E50" s="126"/>
    </row>
    <row r="51" spans="2:7">
      <c r="B51" s="97" t="s">
        <v>246</v>
      </c>
      <c r="C51" s="218" t="str">
        <f>IF(C50="Y","N",IF(C46&gt;8%,"N","Y"))</f>
        <v>N</v>
      </c>
      <c r="E51" s="221" t="s">
        <v>247</v>
      </c>
    </row>
    <row r="52" spans="2:7">
      <c r="B52" s="97" t="s">
        <v>245</v>
      </c>
      <c r="C52" s="218" t="str">
        <f>IF(C46&gt;8%,"Y","N")</f>
        <v>N</v>
      </c>
      <c r="E52" s="221"/>
    </row>
    <row r="53" spans="2:7">
      <c r="B53" s="97" t="s">
        <v>237</v>
      </c>
      <c r="C53" s="217" t="str">
        <f>IF(F53&gt;50%,"Y","N")</f>
        <v>N</v>
      </c>
      <c r="E53" s="126" t="s">
        <v>273</v>
      </c>
      <c r="F53" s="249">
        <f>BS!D89/C36</f>
        <v>0.14612827877009318</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4.5810000000000004</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8.3825500701604572</v>
      </c>
      <c r="D62" s="119">
        <f>C36/(1+F62)^Holding_Period</f>
        <v>55.816508378923139</v>
      </c>
      <c r="E62" s="332">
        <f>C62+D62</f>
        <v>64.199058449083594</v>
      </c>
      <c r="F62" s="301">
        <f>Thesis!E22</f>
        <v>0.29465259038036606</v>
      </c>
      <c r="G62" s="440">
        <f>(1-E62/C36)</f>
        <v>0.46996291203049889</v>
      </c>
    </row>
    <row r="63" spans="2:7" ht="13.15">
      <c r="B63" s="302" t="s">
        <v>313</v>
      </c>
      <c r="C63" s="119">
        <f>PV(F63, Holding_Period, -C58, 0)</f>
        <v>9.6384420824396493</v>
      </c>
      <c r="D63" s="119">
        <f>C36/(1+F63)^Holding_Period</f>
        <v>69.9620639319932</v>
      </c>
      <c r="E63" s="332">
        <f>C63+D63</f>
        <v>79.600506014432852</v>
      </c>
      <c r="F63" s="301">
        <f>Thesis!E23</f>
        <v>0.20075184365903009</v>
      </c>
      <c r="G63" s="440">
        <f>(1-E63/C36)</f>
        <v>0.34280624314372621</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11.052134919924953</v>
      </c>
      <c r="D66" s="119">
        <f>C36/(1+F66)^Holding_Period</f>
        <v>86.81532558678839</v>
      </c>
      <c r="E66" s="332">
        <f>C66+D66</f>
        <v>97.867460506713343</v>
      </c>
      <c r="F66" s="301">
        <f>Thesis!E24</f>
        <v>0.1174</v>
      </c>
      <c r="G66" s="440">
        <f>(1-E66/C36)</f>
        <v>0.19199151783371737</v>
      </c>
    </row>
    <row r="67" spans="2:7" ht="13.15">
      <c r="B67" s="302" t="s">
        <v>314</v>
      </c>
      <c r="C67" s="119">
        <f>PV(F67, Holding_Period, -C58, 0)</f>
        <v>11.967290915679589</v>
      </c>
      <c r="D67" s="119">
        <f>C36/(1+F67)^Holding_Period</f>
        <v>98.181688531788524</v>
      </c>
      <c r="E67" s="332">
        <f>C67+D67</f>
        <v>110.14897944746811</v>
      </c>
      <c r="F67" s="301">
        <f>Thesis!E25</f>
        <v>7.2499999999999995E-2</v>
      </c>
      <c r="G67" s="440">
        <f>(1-E67/C36)</f>
        <v>9.0593449194396825E-2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542</v>
      </c>
      <c r="F3" s="436">
        <f>Thesis!F3</f>
        <v>46038</v>
      </c>
    </row>
    <row r="4" spans="1:10">
      <c r="B4" s="422" t="s">
        <v>534</v>
      </c>
      <c r="C4" s="423" t="str">
        <f>Thesis!C4</f>
        <v>中国移动</v>
      </c>
      <c r="D4" s="349"/>
      <c r="E4" s="434" t="s">
        <v>540</v>
      </c>
      <c r="F4" s="437" t="str">
        <f>Thesis!F4</f>
        <v>INT</v>
      </c>
    </row>
    <row r="5" spans="1:10">
      <c r="B5" s="343" t="s">
        <v>364</v>
      </c>
      <c r="C5" s="355" t="str">
        <f>Thesis!C5</f>
        <v>0941.HK</v>
      </c>
      <c r="E5" s="438" t="s">
        <v>541</v>
      </c>
      <c r="F5" s="439" t="str">
        <f>Thesis!F5</f>
        <v>Y</v>
      </c>
    </row>
    <row r="6" spans="1:10">
      <c r="B6" s="350" t="s">
        <v>336</v>
      </c>
      <c r="C6" s="352" t="str">
        <f>Thesis!C6</f>
        <v>TMT_01</v>
      </c>
      <c r="E6" s="354"/>
    </row>
    <row r="7" spans="1:10">
      <c r="B7" s="343" t="s">
        <v>366</v>
      </c>
      <c r="C7" s="352" t="str">
        <f>Market_currency</f>
        <v>HKD</v>
      </c>
      <c r="D7" s="354"/>
      <c r="E7" s="354"/>
    </row>
    <row r="8" spans="1:10">
      <c r="B8" s="351" t="s">
        <v>365</v>
      </c>
      <c r="C8" s="356">
        <f>Market_Price</f>
        <v>79.95</v>
      </c>
    </row>
    <row r="9" spans="1:10">
      <c r="B9" s="351" t="s">
        <v>361</v>
      </c>
      <c r="C9" s="353">
        <f>Common_Shares</f>
        <v>21644606612</v>
      </c>
    </row>
    <row r="10" spans="1:10">
      <c r="B10" s="351" t="s">
        <v>367</v>
      </c>
      <c r="C10" s="357">
        <f>投资主题!C8*Common_Shares/1000000</f>
        <v>1730486.2986294001</v>
      </c>
      <c r="D10" s="343" t="s">
        <v>529</v>
      </c>
      <c r="E10" s="360">
        <f>Scenarios!F34</f>
        <v>0.19891673811808264</v>
      </c>
    </row>
    <row r="11" spans="1:10">
      <c r="D11" s="349"/>
      <c r="E11" s="349"/>
    </row>
    <row r="12" spans="1:10" ht="24.5" customHeight="1">
      <c r="B12" s="471" t="s">
        <v>498</v>
      </c>
      <c r="C12" s="471"/>
      <c r="D12" s="471"/>
      <c r="E12" s="471"/>
      <c r="F12" s="471"/>
    </row>
    <row r="14" spans="1:10">
      <c r="B14" s="347" t="s">
        <v>370</v>
      </c>
      <c r="C14" s="348"/>
      <c r="D14" s="349"/>
    </row>
    <row r="15" spans="1:10">
      <c r="B15" s="343" t="s">
        <v>337</v>
      </c>
      <c r="C15" s="358" t="str">
        <f>Thesis!C15</f>
        <v>N</v>
      </c>
      <c r="D15" s="351" t="s">
        <v>368</v>
      </c>
      <c r="E15" s="344" t="str">
        <f>IF(E17=C7,C7,E17&amp;"/"&amp;C7)</f>
        <v>CNY/HKD</v>
      </c>
    </row>
    <row r="16" spans="1:10">
      <c r="B16" s="343" t="s">
        <v>338</v>
      </c>
      <c r="C16" s="358" t="str">
        <f>Thesis!C16</f>
        <v>N</v>
      </c>
      <c r="D16" s="351" t="s">
        <v>369</v>
      </c>
      <c r="E16" s="425">
        <f>Exchange_Rate</f>
        <v>1.1348424911499022</v>
      </c>
    </row>
    <row r="17" spans="1:6">
      <c r="B17" s="343" t="s">
        <v>535</v>
      </c>
      <c r="C17" s="424">
        <f>Terminal_Growth</f>
        <v>0.02</v>
      </c>
      <c r="D17" s="351" t="s">
        <v>339</v>
      </c>
      <c r="E17" s="344" t="str">
        <f>Reporting_currency</f>
        <v>CNY</v>
      </c>
    </row>
    <row r="18" spans="1:6">
      <c r="B18" s="343" t="str">
        <f>"预期股权价值 ("&amp;C7&amp;") :"</f>
        <v>预期股权价值 (HKD) :</v>
      </c>
      <c r="C18" s="359">
        <f>C125</f>
        <v>121.12182318226319</v>
      </c>
      <c r="D18" s="350" t="s">
        <v>362</v>
      </c>
      <c r="E18" s="426">
        <f>Thesis!E18</f>
        <v>6</v>
      </c>
    </row>
    <row r="19" spans="1:6">
      <c r="B19" s="350" t="s">
        <v>335</v>
      </c>
      <c r="C19" s="352" t="str">
        <f>IF(Scenarios!C50="Y",Scenarios!B50,"")&amp;IF(Scenarios!C51="Y",Scenarios!B51,"")&amp;IF(Scenarios!C52="Y",Scenarios!B52,"")&amp;" "&amp;IF(Scenarios!C53="Y",Scenarios!B53,"")</f>
        <v xml:space="preserve">Negative Growth </v>
      </c>
      <c r="D19" s="343" t="s">
        <v>363</v>
      </c>
      <c r="E19" s="427">
        <f>EOMONTH(EDATE(BS!C1,E18+2),0)</f>
        <v>46081</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64.199058449083594</v>
      </c>
      <c r="D22" s="365" t="s">
        <v>440</v>
      </c>
      <c r="E22" s="366">
        <f>Thesis!E22</f>
        <v>0.29465259038036606</v>
      </c>
    </row>
    <row r="23" spans="1:6">
      <c r="B23" s="343" t="s">
        <v>341</v>
      </c>
      <c r="C23" s="367">
        <f>E141</f>
        <v>79.600506014432852</v>
      </c>
      <c r="D23" s="365" t="s">
        <v>441</v>
      </c>
      <c r="E23" s="368">
        <f>Thesis!E23</f>
        <v>0.20075184365903009</v>
      </c>
    </row>
    <row r="24" spans="1:6">
      <c r="B24" s="343" t="s">
        <v>343</v>
      </c>
      <c r="C24" s="367">
        <f>E144</f>
        <v>97.867460506713343</v>
      </c>
      <c r="D24" s="365" t="s">
        <v>443</v>
      </c>
      <c r="E24" s="368">
        <f>Thesis!E24</f>
        <v>0.1174</v>
      </c>
    </row>
    <row r="25" spans="1:6">
      <c r="B25" s="343" t="s">
        <v>342</v>
      </c>
      <c r="C25" s="367">
        <f>E145</f>
        <v>110.14897944746811</v>
      </c>
      <c r="D25" s="365" t="s">
        <v>442</v>
      </c>
      <c r="E25" s="368">
        <f>Thesis!E25</f>
        <v>7.2499999999999995E-2</v>
      </c>
    </row>
    <row r="27" spans="1:6" ht="13.9">
      <c r="A27" s="345" t="s">
        <v>345</v>
      </c>
      <c r="B27" s="345"/>
      <c r="C27" s="345"/>
      <c r="D27" s="345"/>
      <c r="E27" s="345"/>
      <c r="F27" s="345"/>
    </row>
    <row r="29" spans="1:6">
      <c r="B29" s="471" t="s">
        <v>499</v>
      </c>
      <c r="C29" s="471"/>
      <c r="D29" s="471"/>
      <c r="E29" s="471"/>
      <c r="F29" s="471"/>
    </row>
    <row r="30" spans="1:6" ht="24.5" customHeight="1">
      <c r="B30" s="472" t="s">
        <v>500</v>
      </c>
      <c r="C30" s="472"/>
      <c r="D30" s="472"/>
      <c r="E30" s="472"/>
      <c r="F30" s="472"/>
    </row>
    <row r="32" spans="1:6">
      <c r="B32" s="369" t="s">
        <v>371</v>
      </c>
      <c r="C32" s="370">
        <f>scaling_factor</f>
        <v>1000000</v>
      </c>
    </row>
    <row r="33" spans="2:6">
      <c r="B33" s="470" t="s">
        <v>501</v>
      </c>
      <c r="C33" s="470"/>
      <c r="D33" s="470"/>
      <c r="E33" s="470"/>
      <c r="F33" s="470"/>
    </row>
    <row r="34" spans="2:6">
      <c r="B34" s="372" t="s">
        <v>197</v>
      </c>
      <c r="C34" s="373">
        <f>Normalized_FCF!C8</f>
        <v>135679.51550364122</v>
      </c>
      <c r="D34" s="343" t="str">
        <f>Reporting_currency</f>
        <v>CNY</v>
      </c>
    </row>
    <row r="35" spans="2:6">
      <c r="B35" s="372"/>
      <c r="C35" s="374"/>
    </row>
    <row r="36" spans="2:6" ht="24.5" customHeight="1">
      <c r="B36" s="470" t="s">
        <v>502</v>
      </c>
      <c r="C36" s="470"/>
      <c r="D36" s="470"/>
      <c r="E36" s="470"/>
      <c r="F36" s="470"/>
    </row>
    <row r="37" spans="2:6">
      <c r="B37" s="372" t="s">
        <v>199</v>
      </c>
      <c r="C37" s="373">
        <f>Normalized_FCF!C15</f>
        <v>191101</v>
      </c>
      <c r="D37" s="343" t="str">
        <f>Reporting_currency</f>
        <v>CNY</v>
      </c>
    </row>
    <row r="38" spans="2:6">
      <c r="B38" s="375" t="s">
        <v>200</v>
      </c>
      <c r="C38" s="373">
        <f>Normalized_FCF!C16</f>
        <v>-191101</v>
      </c>
      <c r="D38" s="343" t="str">
        <f>Reporting_currency</f>
        <v>CNY</v>
      </c>
    </row>
    <row r="40" spans="2:6">
      <c r="B40" s="470" t="s">
        <v>503</v>
      </c>
      <c r="C40" s="470"/>
      <c r="D40" s="470"/>
      <c r="E40" s="470"/>
      <c r="F40" s="470"/>
    </row>
    <row r="41" spans="2:6">
      <c r="B41" s="372" t="s">
        <v>202</v>
      </c>
      <c r="C41" s="373">
        <f>Normalized_FCF!C9</f>
        <v>7974.2</v>
      </c>
      <c r="D41" s="343" t="str">
        <f>Reporting_currency</f>
        <v>CNY</v>
      </c>
    </row>
    <row r="43" spans="2:6">
      <c r="B43" s="470" t="s">
        <v>504</v>
      </c>
      <c r="C43" s="470"/>
      <c r="D43" s="470"/>
      <c r="E43" s="470"/>
      <c r="F43" s="470"/>
    </row>
    <row r="44" spans="2:6">
      <c r="B44" s="372" t="s">
        <v>267</v>
      </c>
      <c r="C44" s="376">
        <f>Normalized_FCF!C46</f>
        <v>507.62526607571937</v>
      </c>
      <c r="D44" s="343" t="str">
        <f>Reporting_currency</f>
        <v>CNY</v>
      </c>
      <c r="E44" s="371"/>
      <c r="F44" s="371"/>
    </row>
    <row r="45" spans="2:6">
      <c r="B45" s="372" t="s">
        <v>268</v>
      </c>
      <c r="C45" s="376">
        <f>Normalized_FCF!C45</f>
        <v>-5515.92</v>
      </c>
      <c r="D45" s="343" t="str">
        <f>Reporting_currency</f>
        <v>CNY</v>
      </c>
      <c r="E45" s="371"/>
      <c r="F45" s="371"/>
    </row>
    <row r="46" spans="2:6">
      <c r="B46" s="372" t="s">
        <v>203</v>
      </c>
      <c r="C46" s="373">
        <f>Normalized_FCF!C10</f>
        <v>-5008.294733924281</v>
      </c>
      <c r="D46" s="343" t="str">
        <f>Reporting_currency</f>
        <v>CNY</v>
      </c>
    </row>
    <row r="48" spans="2:6">
      <c r="B48" s="343" t="s">
        <v>505</v>
      </c>
    </row>
    <row r="49" spans="2:6">
      <c r="B49" s="372" t="s">
        <v>223</v>
      </c>
      <c r="C49" s="373">
        <f>Normalized_FCF!C13</f>
        <v>-193.8560225780364</v>
      </c>
      <c r="D49" s="343" t="str">
        <f>Reporting_currency</f>
        <v>CNY</v>
      </c>
    </row>
    <row r="51" spans="2:6">
      <c r="B51" s="470" t="s">
        <v>506</v>
      </c>
      <c r="C51" s="470"/>
      <c r="D51" s="470"/>
      <c r="E51" s="470"/>
      <c r="F51" s="470"/>
    </row>
    <row r="52" spans="2:6">
      <c r="B52" s="372" t="s">
        <v>496</v>
      </c>
      <c r="C52" s="373">
        <f>Normalized_FCF!C12</f>
        <v>-34661.355192429241</v>
      </c>
      <c r="D52" s="343" t="str">
        <f>Reporting_currency</f>
        <v>CNY</v>
      </c>
    </row>
    <row r="54" spans="2:6">
      <c r="B54" s="470" t="s">
        <v>507</v>
      </c>
      <c r="C54" s="473"/>
      <c r="D54" s="473"/>
      <c r="E54" s="473"/>
      <c r="F54" s="473"/>
    </row>
    <row r="55" spans="2:6">
      <c r="B55" s="372" t="s">
        <v>207</v>
      </c>
      <c r="C55" s="373">
        <f>Normalized_FCF!C17</f>
        <v>0</v>
      </c>
      <c r="D55" s="343" t="str">
        <f>Reporting_currency</f>
        <v>CNY</v>
      </c>
    </row>
    <row r="57" spans="2:6">
      <c r="B57" s="471" t="s">
        <v>508</v>
      </c>
      <c r="C57" s="471"/>
      <c r="D57" s="471"/>
      <c r="E57" s="471"/>
      <c r="F57" s="471"/>
    </row>
    <row r="58" spans="2:6">
      <c r="B58" s="471" t="s">
        <v>509</v>
      </c>
      <c r="C58" s="471"/>
      <c r="D58" s="471"/>
      <c r="E58" s="471"/>
      <c r="F58" s="471"/>
    </row>
    <row r="60" spans="2:6">
      <c r="B60" s="372" t="s">
        <v>372</v>
      </c>
      <c r="C60" s="373">
        <f>Normalized_FCF!G19</f>
        <v>118134.44704364182</v>
      </c>
      <c r="D60" s="343" t="str">
        <f>Reporting_currency</f>
        <v>CNY</v>
      </c>
    </row>
    <row r="61" spans="2:6">
      <c r="B61" s="372" t="s">
        <v>213</v>
      </c>
      <c r="C61" s="373">
        <f>Normalized_FCF!C19</f>
        <v>103790.20955470968</v>
      </c>
      <c r="D61" s="343" t="str">
        <f>Reporting_currency</f>
        <v>CNY</v>
      </c>
    </row>
    <row r="62" spans="2:6">
      <c r="B62" s="377" t="s">
        <v>302</v>
      </c>
      <c r="C62" s="378">
        <f>Normalized_FCF!C124</f>
        <v>6.8064994251226946E-2</v>
      </c>
      <c r="F62" s="379"/>
    </row>
    <row r="63" spans="2:6">
      <c r="B63" s="377" t="s">
        <v>332</v>
      </c>
      <c r="C63" s="378">
        <f>Normalized_FCF!C92</f>
        <v>5.7298311444652909E-2</v>
      </c>
      <c r="E63" s="372" t="s">
        <v>373</v>
      </c>
      <c r="F63" s="380">
        <f>Normalized_FCF!C90</f>
        <v>1.0614782273563756</v>
      </c>
    </row>
    <row r="65" spans="1:6">
      <c r="B65" s="369" t="s">
        <v>376</v>
      </c>
      <c r="C65" s="381" t="s">
        <v>327</v>
      </c>
      <c r="D65" s="381" t="s">
        <v>374</v>
      </c>
    </row>
    <row r="66" spans="1:6">
      <c r="B66" s="372" t="s">
        <v>326</v>
      </c>
      <c r="C66" s="378">
        <f>Normalized_FCF!E119</f>
        <v>9.6671315574961933E-2</v>
      </c>
      <c r="D66" s="378">
        <f>Normalized_FCF!G119</f>
        <v>0.11027130711998644</v>
      </c>
    </row>
    <row r="67" spans="1:6">
      <c r="B67" s="382" t="str">
        <f>Normalized_FCF!B116</f>
        <v>Pre-tax Profit/Sales</v>
      </c>
      <c r="C67" s="383">
        <f>Normalized_FCF!E116</f>
        <v>0.13321568275625476</v>
      </c>
      <c r="D67" s="383">
        <f>Normalized_FCF!G116</f>
        <v>0.15195683827249326</v>
      </c>
    </row>
    <row r="68" spans="1:6">
      <c r="B68" s="382" t="str">
        <f>Normalized_FCF!B117</f>
        <v>Sales/Total Assets</v>
      </c>
      <c r="C68" s="384">
        <f>Normalized_FCF!E117</f>
        <v>0.48913824057450628</v>
      </c>
      <c r="D68" s="384">
        <f>Normalized_FCF!G117</f>
        <v>0.48913824057450628</v>
      </c>
    </row>
    <row r="69" spans="1:6">
      <c r="B69" s="382" t="str">
        <f>Normalized_FCF!B118</f>
        <v>Total Assets/Equity</v>
      </c>
      <c r="C69" s="384">
        <f>Normalized_FCF!E118</f>
        <v>1.4835789300471205</v>
      </c>
      <c r="D69" s="384">
        <f>Normalized_FCF!G118</f>
        <v>1.4835789300471205</v>
      </c>
    </row>
    <row r="71" spans="1:6" ht="13.9">
      <c r="A71" s="345" t="s">
        <v>476</v>
      </c>
      <c r="B71" s="345"/>
      <c r="C71" s="345"/>
      <c r="D71" s="345"/>
      <c r="E71" s="345"/>
      <c r="F71" s="345"/>
    </row>
    <row r="72" spans="1:6">
      <c r="A72" s="385"/>
    </row>
    <row r="73" spans="1:6">
      <c r="A73" s="386"/>
      <c r="B73" s="471" t="s">
        <v>510</v>
      </c>
      <c r="C73" s="471"/>
      <c r="D73" s="471"/>
      <c r="E73" s="471"/>
      <c r="F73" s="471"/>
    </row>
    <row r="74" spans="1:6">
      <c r="B74" s="472" t="s">
        <v>479</v>
      </c>
      <c r="C74" s="472"/>
      <c r="D74" s="472"/>
      <c r="E74" s="472"/>
      <c r="F74" s="472"/>
    </row>
    <row r="76" spans="1:6">
      <c r="B76" s="369" t="s">
        <v>371</v>
      </c>
    </row>
    <row r="77" spans="1:6">
      <c r="B77" s="471" t="s">
        <v>511</v>
      </c>
      <c r="C77" s="471"/>
      <c r="D77" s="471"/>
      <c r="E77" s="471"/>
      <c r="F77" s="471"/>
    </row>
    <row r="78" spans="1:6">
      <c r="B78" s="343" t="s">
        <v>215</v>
      </c>
      <c r="C78" s="373">
        <f>DCF!F4</f>
        <v>-91932</v>
      </c>
      <c r="D78" s="343" t="str">
        <f>Reporting_currency</f>
        <v>CNY</v>
      </c>
    </row>
    <row r="79" spans="1:6">
      <c r="B79" s="372" t="s">
        <v>234</v>
      </c>
      <c r="C79" s="387">
        <f>C78*scaling_factor*Exchange_Rate/Common_Shares</f>
        <v>-4.8200617256102989</v>
      </c>
      <c r="D79" s="343" t="str">
        <f>Market_currency</f>
        <v>HKD</v>
      </c>
    </row>
    <row r="80" spans="1:6">
      <c r="B80" s="382" t="s">
        <v>309</v>
      </c>
      <c r="C80" s="388">
        <f>IF(BS!G31/BS!G27&gt;300%,"nm",BS!G31/BS!G27)</f>
        <v>6.4100114768294941E-2</v>
      </c>
    </row>
    <row r="81" spans="1:6">
      <c r="B81" s="382" t="s">
        <v>311</v>
      </c>
      <c r="C81" s="389">
        <f>IF(BS!C50&gt;30,"nm",BS!C50)</f>
        <v>0.67756727799881356</v>
      </c>
    </row>
    <row r="83" spans="1:6">
      <c r="B83" s="343" t="s">
        <v>512</v>
      </c>
    </row>
    <row r="84" spans="1:6">
      <c r="B84" s="343" t="s">
        <v>224</v>
      </c>
      <c r="C84" s="373">
        <f>DCF!F5</f>
        <v>166973.7889873801</v>
      </c>
      <c r="D84" s="343" t="str">
        <f>Reporting_currency</f>
        <v>CNY</v>
      </c>
    </row>
    <row r="85" spans="1:6">
      <c r="B85" s="382" t="s">
        <v>481</v>
      </c>
      <c r="C85" s="390">
        <f>BS!C66</f>
        <v>251578</v>
      </c>
      <c r="D85" s="391" t="str">
        <f>Reporting_currency</f>
        <v>CNY</v>
      </c>
    </row>
    <row r="86" spans="1:6">
      <c r="B86" s="372" t="s">
        <v>235</v>
      </c>
      <c r="C86" s="387">
        <f>C84*scaling_factor*Exchange_Rate/Common_Shares</f>
        <v>8.7545573845690434</v>
      </c>
      <c r="D86" s="343" t="str">
        <f>Market_currency</f>
        <v>HKD</v>
      </c>
    </row>
    <row r="88" spans="1:6">
      <c r="B88" s="343" t="s">
        <v>513</v>
      </c>
    </row>
    <row r="89" spans="1:6">
      <c r="B89" s="343" t="s">
        <v>217</v>
      </c>
      <c r="C89" s="373">
        <f>DCF!F6</f>
        <v>262533.59999999998</v>
      </c>
      <c r="D89" s="343" t="str">
        <f>Reporting_currency</f>
        <v>CNY</v>
      </c>
    </row>
    <row r="90" spans="1:6">
      <c r="B90" s="372" t="s">
        <v>236</v>
      </c>
      <c r="C90" s="387">
        <f>C89*scaling_factor*Exchange_Rate/Common_Shares</f>
        <v>13.764827884160944</v>
      </c>
      <c r="D90" s="343" t="str">
        <f>Market_currency</f>
        <v>HKD</v>
      </c>
    </row>
    <row r="92" spans="1:6">
      <c r="B92" s="372" t="s">
        <v>480</v>
      </c>
      <c r="C92" s="387">
        <f>DCF!F8</f>
        <v>17.699323543119686</v>
      </c>
      <c r="D92" s="343" t="str">
        <f>Market_currency</f>
        <v>HKD</v>
      </c>
    </row>
    <row r="94" spans="1:6" ht="13.9">
      <c r="A94" s="345" t="s">
        <v>482</v>
      </c>
      <c r="B94" s="345"/>
      <c r="C94" s="345"/>
      <c r="D94" s="345"/>
      <c r="E94" s="345"/>
      <c r="F94" s="345"/>
    </row>
    <row r="95" spans="1:6">
      <c r="A95" s="385"/>
    </row>
    <row r="96" spans="1:6">
      <c r="A96" s="385"/>
      <c r="B96" s="471" t="s">
        <v>514</v>
      </c>
      <c r="C96" s="471"/>
      <c r="D96" s="471"/>
      <c r="E96" s="471"/>
      <c r="F96" s="471"/>
    </row>
    <row r="97" spans="1:6">
      <c r="A97" s="385"/>
      <c r="B97" s="472" t="s">
        <v>515</v>
      </c>
      <c r="C97" s="472"/>
      <c r="D97" s="472"/>
      <c r="E97" s="472"/>
      <c r="F97" s="472"/>
    </row>
    <row r="98" spans="1:6">
      <c r="A98" s="385"/>
      <c r="B98" s="472" t="s">
        <v>516</v>
      </c>
      <c r="C98" s="472"/>
      <c r="D98" s="472"/>
      <c r="E98" s="472"/>
      <c r="F98" s="472"/>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535</v>
      </c>
      <c r="C104" s="368">
        <v>0</v>
      </c>
    </row>
    <row r="105" spans="1:6">
      <c r="A105" s="385"/>
      <c r="C105" s="392"/>
    </row>
    <row r="106" spans="1:6">
      <c r="A106" s="385"/>
      <c r="B106" s="393" t="s">
        <v>375</v>
      </c>
      <c r="C106" s="392"/>
    </row>
    <row r="107" spans="1:6">
      <c r="A107" s="385"/>
      <c r="B107" s="471" t="s">
        <v>517</v>
      </c>
      <c r="C107" s="471"/>
      <c r="D107" s="471"/>
      <c r="E107" s="471"/>
      <c r="F107" s="471"/>
    </row>
    <row r="108" spans="1:6">
      <c r="A108" s="385"/>
      <c r="B108" s="471" t="s">
        <v>536</v>
      </c>
      <c r="C108" s="471"/>
      <c r="D108" s="471"/>
      <c r="E108" s="471"/>
      <c r="F108" s="471"/>
    </row>
    <row r="109" spans="1:6">
      <c r="A109" s="385"/>
    </row>
    <row r="110" spans="1:6">
      <c r="A110" s="385"/>
      <c r="B110" s="369" t="s">
        <v>489</v>
      </c>
    </row>
    <row r="111" spans="1:6">
      <c r="A111" s="385"/>
      <c r="B111" s="375" t="s">
        <v>486</v>
      </c>
      <c r="C111" s="394">
        <f>BS!D47</f>
        <v>1.4626285724482797</v>
      </c>
      <c r="D111" s="343" t="str">
        <f>Market_currency</f>
        <v>HKD</v>
      </c>
    </row>
    <row r="112" spans="1:6">
      <c r="A112" s="385"/>
      <c r="B112" s="372" t="s">
        <v>377</v>
      </c>
      <c r="C112" s="394">
        <f>DCF!C11</f>
        <v>123.42565147061129</v>
      </c>
      <c r="D112" s="343" t="str">
        <f>Market_currency</f>
        <v>HKD</v>
      </c>
    </row>
    <row r="113" spans="1:6">
      <c r="A113" s="385"/>
    </row>
    <row r="114" spans="1:6">
      <c r="A114" s="385"/>
      <c r="B114" s="471" t="s">
        <v>518</v>
      </c>
      <c r="C114" s="471"/>
      <c r="D114" s="471"/>
      <c r="E114" s="471"/>
      <c r="F114" s="471"/>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0.04</v>
      </c>
      <c r="D118" s="397">
        <f>DCF!D90</f>
        <v>30</v>
      </c>
      <c r="E118" s="398" t="str">
        <f>ROUND(DCF!E90,2)&amp;" "&amp;Market_currency</f>
        <v>153.07 HKD</v>
      </c>
      <c r="F118" s="399">
        <f>DCF!F90</f>
        <v>0.15</v>
      </c>
    </row>
    <row r="119" spans="1:6">
      <c r="A119" s="385"/>
      <c r="B119" s="400" t="str">
        <f>DCF!B91</f>
        <v>Optimistic</v>
      </c>
      <c r="C119" s="401">
        <f>DCF!C91</f>
        <v>0.03</v>
      </c>
      <c r="D119" s="402">
        <f>DCF!D91</f>
        <v>30</v>
      </c>
      <c r="E119" s="398" t="str">
        <f>ROUND(DCF!E91,2)&amp;" "&amp;Market_currency</f>
        <v>133.14 HKD</v>
      </c>
      <c r="F119" s="403">
        <f>DCF!F91</f>
        <v>0.15999999999999995</v>
      </c>
    </row>
    <row r="120" spans="1:6">
      <c r="B120" s="400" t="str">
        <f>DCF!B92</f>
        <v>Base</v>
      </c>
      <c r="C120" s="401">
        <f>DCF!C92</f>
        <v>0.02</v>
      </c>
      <c r="D120" s="402">
        <f>DCF!D92</f>
        <v>30</v>
      </c>
      <c r="E120" s="398" t="str">
        <f>ROUND(DCF!E92,2)&amp;" "&amp;Market_currency</f>
        <v>116.95 HKD</v>
      </c>
      <c r="F120" s="403">
        <f>DCF!F92</f>
        <v>0.44</v>
      </c>
    </row>
    <row r="121" spans="1:6">
      <c r="B121" s="400" t="str">
        <f>DCF!B93</f>
        <v>Pessimistic</v>
      </c>
      <c r="C121" s="401">
        <f>DCF!C93</f>
        <v>0.01</v>
      </c>
      <c r="D121" s="402">
        <f>DCF!D93</f>
        <v>30</v>
      </c>
      <c r="E121" s="398" t="str">
        <f>ROUND(DCF!E93,2)&amp;" "&amp;Market_currency</f>
        <v>103.76 HKD</v>
      </c>
      <c r="F121" s="403">
        <f>DCF!F93</f>
        <v>0.19999999999999998</v>
      </c>
    </row>
    <row r="122" spans="1:6">
      <c r="B122" s="400" t="str">
        <f>DCF!B94</f>
        <v>Devil's advocate</v>
      </c>
      <c r="C122" s="401">
        <f>DCF!C94</f>
        <v>0</v>
      </c>
      <c r="D122" s="402">
        <f>DCF!D94</f>
        <v>30</v>
      </c>
      <c r="E122" s="398" t="str">
        <f>ROUND(DCF!E94,2)&amp;" "&amp;Market_currency</f>
        <v>92.94 HKD</v>
      </c>
      <c r="F122" s="403">
        <f>DCF!F94</f>
        <v>0.05</v>
      </c>
    </row>
    <row r="124" spans="1:6">
      <c r="B124" s="470" t="s">
        <v>519</v>
      </c>
      <c r="C124" s="470"/>
      <c r="D124" s="470"/>
      <c r="E124" s="470"/>
      <c r="F124" s="470"/>
    </row>
    <row r="125" spans="1:6">
      <c r="B125" s="372" t="s">
        <v>218</v>
      </c>
      <c r="C125" s="404">
        <f>Scenarios!C36</f>
        <v>121.12182318226319</v>
      </c>
      <c r="D125" s="343" t="str">
        <f>Market_currency</f>
        <v>HKD</v>
      </c>
    </row>
    <row r="127" spans="1:6">
      <c r="B127" s="475" t="s">
        <v>520</v>
      </c>
      <c r="C127" s="475"/>
      <c r="D127" s="475"/>
      <c r="E127" s="475"/>
      <c r="F127" s="475"/>
    </row>
    <row r="129" spans="1:6" ht="13.9">
      <c r="A129" s="345" t="s">
        <v>492</v>
      </c>
      <c r="B129" s="345"/>
      <c r="C129" s="345"/>
      <c r="D129" s="345"/>
      <c r="E129" s="345"/>
      <c r="F129" s="345"/>
    </row>
    <row r="131" spans="1:6">
      <c r="B131" s="476" t="s">
        <v>521</v>
      </c>
      <c r="C131" s="476"/>
      <c r="D131" s="476"/>
      <c r="E131" s="476"/>
      <c r="F131" s="476"/>
    </row>
    <row r="132" spans="1:6" ht="24.5" customHeight="1">
      <c r="B132" s="471" t="s">
        <v>522</v>
      </c>
      <c r="C132" s="471"/>
      <c r="D132" s="471"/>
      <c r="E132" s="471"/>
      <c r="F132" s="471"/>
    </row>
    <row r="134" spans="1:6">
      <c r="B134" s="369" t="s">
        <v>371</v>
      </c>
    </row>
    <row r="135" spans="1:6">
      <c r="B135" s="343" t="s">
        <v>382</v>
      </c>
      <c r="C135" s="405">
        <f>E21</f>
        <v>3</v>
      </c>
    </row>
    <row r="136" spans="1:6">
      <c r="B136" s="343" t="s">
        <v>383</v>
      </c>
      <c r="C136" s="406">
        <f>Scenarios!C58</f>
        <v>4.5810000000000004</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8.3825500701604572</v>
      </c>
      <c r="D140" s="409">
        <f>Scenarios!D62</f>
        <v>55.816508378923139</v>
      </c>
      <c r="E140" s="410">
        <f>Scenarios!E62</f>
        <v>64.199058449083594</v>
      </c>
      <c r="F140" s="411">
        <f>E22</f>
        <v>0.29465259038036606</v>
      </c>
    </row>
    <row r="141" spans="1:6">
      <c r="B141" s="408" t="s">
        <v>313</v>
      </c>
      <c r="C141" s="409">
        <f>Scenarios!C63</f>
        <v>9.6384420824396493</v>
      </c>
      <c r="D141" s="409">
        <f>Scenarios!D63</f>
        <v>69.9620639319932</v>
      </c>
      <c r="E141" s="410">
        <f>Scenarios!E63</f>
        <v>79.600506014432852</v>
      </c>
      <c r="F141" s="411">
        <f>Scenarios!F63</f>
        <v>0.20075184365903009</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11.052134919924953</v>
      </c>
      <c r="D144" s="409">
        <f>Scenarios!D66</f>
        <v>86.81532558678839</v>
      </c>
      <c r="E144" s="410">
        <f>Scenarios!E66</f>
        <v>97.867460506713343</v>
      </c>
      <c r="F144" s="411">
        <f>E24</f>
        <v>0.1174</v>
      </c>
    </row>
    <row r="145" spans="1:6">
      <c r="B145" s="408" t="s">
        <v>314</v>
      </c>
      <c r="C145" s="409">
        <f>Scenarios!C67</f>
        <v>11.967290915679589</v>
      </c>
      <c r="D145" s="409">
        <f>Scenarios!D67</f>
        <v>98.181688531788524</v>
      </c>
      <c r="E145" s="410">
        <f>Scenarios!E67</f>
        <v>110.14897944746811</v>
      </c>
      <c r="F145" s="411">
        <f>Scenarios!F67</f>
        <v>7.2499999999999995E-2</v>
      </c>
    </row>
    <row r="147" spans="1:6" ht="13.9">
      <c r="A147" s="345" t="s">
        <v>475</v>
      </c>
      <c r="B147" s="345"/>
      <c r="C147" s="345"/>
      <c r="D147" s="345"/>
      <c r="E147" s="345"/>
      <c r="F147" s="345"/>
    </row>
    <row r="149" spans="1:6">
      <c r="B149" s="477" t="s">
        <v>523</v>
      </c>
      <c r="C149" s="471"/>
      <c r="D149" s="471"/>
      <c r="E149" s="471"/>
      <c r="F149" s="471"/>
    </row>
    <row r="151" spans="1:6">
      <c r="B151" s="369" t="s">
        <v>384</v>
      </c>
    </row>
    <row r="152" spans="1:6">
      <c r="B152" s="473" t="s">
        <v>524</v>
      </c>
      <c r="C152" s="473"/>
      <c r="D152" s="473"/>
      <c r="E152" s="473"/>
      <c r="F152" s="473"/>
    </row>
    <row r="153" spans="1:6">
      <c r="B153" s="412" t="s">
        <v>385</v>
      </c>
    </row>
    <row r="154" spans="1:6">
      <c r="B154" s="412" t="s">
        <v>386</v>
      </c>
    </row>
    <row r="155" spans="1:6">
      <c r="B155" s="412" t="s">
        <v>387</v>
      </c>
    </row>
    <row r="157" spans="1:6">
      <c r="B157" s="343" t="s">
        <v>525</v>
      </c>
    </row>
    <row r="158" spans="1:6" ht="24.5" customHeight="1">
      <c r="B158" s="470" t="s">
        <v>439</v>
      </c>
      <c r="C158" s="470"/>
      <c r="D158" s="470"/>
      <c r="E158" s="470"/>
      <c r="F158" s="470"/>
    </row>
    <row r="160" spans="1:6">
      <c r="B160" s="343" t="s">
        <v>526</v>
      </c>
    </row>
    <row r="161" spans="2:6">
      <c r="B161" s="474" t="s">
        <v>388</v>
      </c>
      <c r="C161" s="474"/>
      <c r="D161" s="474"/>
      <c r="E161" s="474"/>
      <c r="F161" s="474"/>
    </row>
    <row r="162" spans="2:6">
      <c r="B162" s="474" t="s">
        <v>389</v>
      </c>
      <c r="C162" s="474"/>
      <c r="D162" s="474"/>
      <c r="E162" s="474"/>
      <c r="F162" s="474"/>
    </row>
    <row r="164" spans="2:6">
      <c r="B164" s="343" t="s">
        <v>527</v>
      </c>
    </row>
    <row r="165" spans="2:6">
      <c r="B165" s="412" t="s">
        <v>390</v>
      </c>
    </row>
    <row r="166" spans="2:6">
      <c r="B166" s="412" t="s">
        <v>391</v>
      </c>
    </row>
    <row r="167" spans="2:6">
      <c r="B167" s="412" t="s">
        <v>392</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2026-03-15T03:02:10Z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