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85E9DFE-8BB2-4684-9766-5A1348276DF5}"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18" i="8" l="1"/>
  <c r="C82" i="2"/>
  <c r="E119" i="2"/>
  <c r="F28" i="4"/>
  <c r="E28" i="4"/>
  <c r="D28" i="4"/>
  <c r="F6" i="4"/>
  <c r="E6" i="4"/>
  <c r="F7" i="4"/>
  <c r="E7" i="4"/>
  <c r="E5" i="4"/>
  <c r="F5" i="4"/>
  <c r="G4" i="3"/>
  <c r="G7" i="3"/>
  <c r="C11" i="3"/>
  <c r="C9" i="3"/>
  <c r="C4" i="3"/>
  <c r="C23" i="3"/>
  <c r="C19" i="3"/>
  <c r="G17" i="3"/>
  <c r="F25" i="4"/>
  <c r="E25" i="4"/>
  <c r="D25" i="4"/>
  <c r="C25" i="4"/>
  <c r="D6" i="4"/>
  <c r="C6" i="4"/>
  <c r="D7" i="4"/>
  <c r="C7" i="4"/>
  <c r="D5" i="4"/>
  <c r="C5" i="4"/>
  <c r="C9" i="6" l="1"/>
  <c r="E83" i="2" l="1"/>
  <c r="E84" i="2"/>
  <c r="C41"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D66" i="12" s="1"/>
  <c r="C23" i="6"/>
  <c r="H85" i="2"/>
  <c r="G14" i="2"/>
  <c r="G19" i="2" s="1"/>
  <c r="G77" i="2"/>
  <c r="G116" i="2" s="1"/>
  <c r="D67" i="12" l="1"/>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L85" i="2" l="1"/>
  <c r="L90" i="2"/>
  <c r="C81" i="6"/>
  <c r="C81" i="12"/>
  <c r="M113" i="2"/>
  <c r="L113" i="2"/>
  <c r="C14" i="9"/>
  <c r="M85" i="2"/>
  <c r="C77" i="2"/>
  <c r="C96" i="2"/>
  <c r="J85" i="2"/>
  <c r="C78" i="2"/>
  <c r="C17" i="8" l="1"/>
  <c r="F14"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<sst xmlns="http://schemas.openxmlformats.org/spreadsheetml/2006/main" count="768" uniqueCount="559">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</sst>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D13" sqref="D1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81.2</v>
      </c>
      <c r="E8" s="32"/>
    </row>
    <row r="9" spans="1:9">
      <c r="B9" s="4" t="s">
        <v>346</v>
      </c>
      <c r="C9" s="48">
        <f>20741838745+902767867</f>
        <v>21644606612</v>
      </c>
    </row>
    <row r="10" spans="1:9">
      <c r="B10" s="4" t="s">
        <v>352</v>
      </c>
      <c r="C10" s="33">
        <f>Thesis!C8*Common_Shares/1000000</f>
        <v>1757542.0568944002</v>
      </c>
      <c r="D10" s="1" t="s">
        <v>528</v>
      </c>
      <c r="E10" s="303">
        <f>Scenarios!F34</f>
        <v>0.2669054568882856</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1.1200000000000001</v>
      </c>
    </row>
    <row r="17" spans="1:6">
      <c r="B17" s="1" t="s">
        <v>532</v>
      </c>
      <c r="C17" s="456">
        <v>0.02</v>
      </c>
      <c r="D17" s="4" t="s">
        <v>274</v>
      </c>
      <c r="E17" s="224" t="s">
        <v>558</v>
      </c>
    </row>
    <row r="18" spans="1:6">
      <c r="B18" s="1" t="str">
        <f>"Expected Equity Value ("&amp;C7&amp;") :"</f>
        <v>Expected Equity Value (HKD) :</v>
      </c>
      <c r="C18" s="252">
        <f>C125</f>
        <v>145.40755585335478</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76.32203477740272</v>
      </c>
      <c r="D22" s="38" t="s">
        <v>406</v>
      </c>
      <c r="E22" s="79">
        <v>0.29465259038036601</v>
      </c>
    </row>
    <row r="23" spans="1:6">
      <c r="B23" s="1" t="s">
        <v>313</v>
      </c>
      <c r="C23" s="256">
        <f>E141</f>
        <v>94.699304050216128</v>
      </c>
      <c r="D23" s="38" t="s">
        <v>407</v>
      </c>
      <c r="E23" s="443">
        <v>0.20075184365903001</v>
      </c>
    </row>
    <row r="24" spans="1:6">
      <c r="B24" s="1" t="s">
        <v>315</v>
      </c>
      <c r="C24" s="256">
        <f>E144</f>
        <v>116.50252679180015</v>
      </c>
      <c r="D24" s="38" t="s">
        <v>408</v>
      </c>
      <c r="E24" s="443">
        <v>0.1174</v>
      </c>
    </row>
    <row r="25" spans="1:6">
      <c r="B25" s="1" t="s">
        <v>314</v>
      </c>
      <c r="C25" s="256">
        <f>E145</f>
        <v>131.16476124492209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160987.97999999998</v>
      </c>
      <c r="D34" s="1" t="str">
        <f>Reporting_currency</f>
        <v>CNY</v>
      </c>
    </row>
    <row r="35" spans="2:6">
      <c r="B35" s="44"/>
      <c r="C35" s="73"/>
    </row>
    <row r="36" spans="2:6" ht="24.5" customHeight="1">
      <c r="B36" s="461" t="s">
        <v>198</v>
      </c>
      <c r="C36" s="461"/>
      <c r="D36" s="461"/>
      <c r="E36" s="461"/>
      <c r="F36" s="461"/>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1" t="s">
        <v>201</v>
      </c>
      <c r="C40" s="461"/>
      <c r="D40" s="461"/>
      <c r="E40" s="461"/>
      <c r="F40" s="461"/>
    </row>
    <row r="41" spans="2:6">
      <c r="B41" s="44" t="s">
        <v>202</v>
      </c>
      <c r="C41" s="285">
        <f>Normalized_FCF!C9</f>
        <v>11097</v>
      </c>
      <c r="D41" s="1" t="str">
        <f>Reporting_currency</f>
        <v>CNY</v>
      </c>
    </row>
    <row r="43" spans="2:6">
      <c r="B43" s="461" t="s">
        <v>205</v>
      </c>
      <c r="C43" s="461"/>
      <c r="D43" s="461"/>
      <c r="E43" s="461"/>
      <c r="F43" s="461"/>
    </row>
    <row r="44" spans="2:6">
      <c r="B44" s="44" t="s">
        <v>267</v>
      </c>
      <c r="C44" s="286">
        <f>Normalized_FCF!C46</f>
        <v>989.94206765508</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-4525.9779323449202</v>
      </c>
      <c r="D46" s="1" t="str">
        <f>Reporting_currency</f>
        <v>CNY</v>
      </c>
    </row>
    <row r="48" spans="2:6">
      <c r="B48" s="1" t="s">
        <v>211</v>
      </c>
    </row>
    <row r="49" spans="2:6">
      <c r="B49" s="44" t="s">
        <v>223</v>
      </c>
      <c r="C49" s="285">
        <f>Normalized_FCF!C13</f>
        <v>-193.8560225780364</v>
      </c>
      <c r="D49" s="1" t="str">
        <f>Reporting_currency</f>
        <v>CNY</v>
      </c>
    </row>
    <row r="51" spans="2:6">
      <c r="B51" s="461" t="s">
        <v>206</v>
      </c>
      <c r="C51" s="461"/>
      <c r="D51" s="461"/>
      <c r="E51" s="461"/>
      <c r="F51" s="461"/>
    </row>
    <row r="52" spans="2:6">
      <c r="B52" s="44" t="s">
        <v>204</v>
      </c>
      <c r="C52" s="285">
        <f>Normalized_FCF!C12</f>
        <v>-36192.744446613491</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125485.1812230568</v>
      </c>
      <c r="D60" s="1" t="str">
        <f>Reporting_currency</f>
        <v>CNY</v>
      </c>
    </row>
    <row r="61" spans="2:6">
      <c r="B61" s="44" t="s">
        <v>213</v>
      </c>
      <c r="C61" s="285">
        <f>Normalized_FCF!C19</f>
        <v>131172.40159846353</v>
      </c>
      <c r="D61" s="1" t="str">
        <f>Reporting_currency</f>
        <v>CNY</v>
      </c>
    </row>
    <row r="62" spans="2:6">
      <c r="B62" s="204" t="s">
        <v>302</v>
      </c>
      <c r="C62" s="89">
        <f>Normalized_FCF!C124</f>
        <v>8.3590084922278637E-2</v>
      </c>
      <c r="F62" s="257"/>
    </row>
    <row r="63" spans="2:6">
      <c r="B63" s="204" t="s">
        <v>332</v>
      </c>
      <c r="C63" s="89">
        <f>Normalized_FCF!C92</f>
        <v>6.2684729064039407E-2</v>
      </c>
      <c r="E63" s="44" t="s">
        <v>322</v>
      </c>
      <c r="F63" s="258">
        <f>Normalized_FCF!C90</f>
        <v>0.83989502603092137</v>
      </c>
    </row>
    <row r="65" spans="1:6">
      <c r="B65" s="192" t="s">
        <v>325</v>
      </c>
      <c r="C65" s="264" t="s">
        <v>327</v>
      </c>
      <c r="D65" s="264" t="s">
        <v>328</v>
      </c>
    </row>
    <row r="66" spans="1:6">
      <c r="B66" s="44" t="s">
        <v>326</v>
      </c>
      <c r="C66" s="89">
        <f>Normalized_FCF!E119</f>
        <v>0.1141273682688253</v>
      </c>
      <c r="D66" s="89">
        <f>Normalized_FCF!G119</f>
        <v>0.11539664872608364</v>
      </c>
    </row>
    <row r="67" spans="1:6">
      <c r="B67" s="229" t="str">
        <f>Normalized_FCF!B116</f>
        <v>Pre-tax Profit/Sales</v>
      </c>
      <c r="C67" s="263">
        <f>Normalized_FCF!E116</f>
        <v>0.15727059464000756</v>
      </c>
      <c r="D67" s="263">
        <f>Normalized_FCF!G116</f>
        <v>0.15901969737764152</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-91932</v>
      </c>
      <c r="D78" s="1" t="str">
        <f>Reporting_currency</f>
        <v>CNY</v>
      </c>
    </row>
    <row r="79" spans="1:6">
      <c r="A79" s="191"/>
      <c r="B79" s="44" t="s">
        <v>234</v>
      </c>
      <c r="C79" s="201">
        <f>C78*scaling_factor*Exchange_Rate/Common_Shares</f>
        <v>-4.7570206216136892</v>
      </c>
      <c r="D79" s="1" t="str">
        <f>Market_currency</f>
        <v>HKD</v>
      </c>
    </row>
    <row r="80" spans="1:6">
      <c r="A80" s="191"/>
      <c r="B80" s="229" t="s">
        <v>309</v>
      </c>
      <c r="C80" s="337">
        <f>IF(BS!G31/BS!G27&gt;300%,"nm",BS!G31/BS!G27)</f>
        <v>6.4100114768294941E-2</v>
      </c>
    </row>
    <row r="81" spans="1:6">
      <c r="A81" s="191"/>
      <c r="B81" s="229" t="s">
        <v>311</v>
      </c>
      <c r="C81" s="338">
        <f>IF(BS!C50&gt;30,"nm",BS!C50)</f>
        <v>0.57104884476468376</v>
      </c>
    </row>
    <row r="82" spans="1:6">
      <c r="A82" s="191"/>
    </row>
    <row r="83" spans="1:6">
      <c r="A83" s="191"/>
      <c r="B83" s="1" t="s">
        <v>466</v>
      </c>
    </row>
    <row r="84" spans="1:6">
      <c r="A84" s="191"/>
      <c r="B84" s="1" t="s">
        <v>224</v>
      </c>
      <c r="C84" s="285">
        <f>DCF!F5</f>
        <v>86587.65539082</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4.4804775515741033</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13.58479908047774</v>
      </c>
      <c r="D90" s="1" t="str">
        <f>Market_currency</f>
        <v>HKD</v>
      </c>
    </row>
    <row r="91" spans="1:6">
      <c r="A91" s="191"/>
    </row>
    <row r="92" spans="1:6">
      <c r="A92" s="191"/>
      <c r="B92" s="44" t="s">
        <v>469</v>
      </c>
      <c r="C92" s="216">
        <f>DCF!F8</f>
        <v>13.308256010438154</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1.4434990000085306</v>
      </c>
      <c r="D111" s="1" t="str">
        <f>Market_currency</f>
        <v>HKD</v>
      </c>
    </row>
    <row r="112" spans="2:6">
      <c r="B112" s="44" t="s">
        <v>323</v>
      </c>
      <c r="C112" s="216">
        <f>DCF!C11</f>
        <v>145.17997398382496</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0.05</v>
      </c>
      <c r="D118" s="207" t="str">
        <f>ROUND(DCF!E90,2)&amp;" "&amp;Market_currency</f>
        <v>210.19 HKD</v>
      </c>
      <c r="E118" s="208">
        <f>DCF!F90</f>
        <v>0.15</v>
      </c>
      <c r="F118" s="208">
        <f>RATE(Holding_Period,Scenarios!C$58,-DCF!E90,C$18)</f>
        <v>-8.8130818492621346E-2</v>
      </c>
    </row>
    <row r="119" spans="2:6">
      <c r="B119" s="205" t="str">
        <f>DCF!B91&amp;" ("&amp;DCF!D91&amp;"yrs)"</f>
        <v>Optimistic (30yrs)</v>
      </c>
      <c r="C119" s="198">
        <f>DCF!C91</f>
        <v>0.03</v>
      </c>
      <c r="D119" s="207" t="str">
        <f>ROUND(DCF!E91,2)&amp;" "&amp;Market_currency</f>
        <v>155.6 HKD</v>
      </c>
      <c r="E119" s="199">
        <f>DCF!F91</f>
        <v>0.15999999999999995</v>
      </c>
      <c r="F119" s="208">
        <f>RATE(Holding_Period,Scenarios!C$58,-DCF!E91,C$18)</f>
        <v>1.1115382217860131E-2</v>
      </c>
    </row>
    <row r="120" spans="2:6">
      <c r="B120" s="205" t="str">
        <f>DCF!B92&amp;" ("&amp;DCF!D92&amp;"yrs)"</f>
        <v>Base (30yrs)</v>
      </c>
      <c r="C120" s="198">
        <f>DCF!C92</f>
        <v>0.02</v>
      </c>
      <c r="D120" s="207" t="str">
        <f>ROUND(DCF!E92,2)&amp;" "&amp;Market_currency</f>
        <v>135.78 HKD</v>
      </c>
      <c r="E120" s="199">
        <f>DCF!F92</f>
        <v>0.44</v>
      </c>
      <c r="F120" s="208">
        <f>RATE(Holding_Period,Scenarios!C$58,-DCF!E92,C$18)</f>
        <v>5.9758693681778934E-2</v>
      </c>
    </row>
    <row r="121" spans="2:6">
      <c r="B121" s="205" t="str">
        <f>DCF!B93&amp;" ("&amp;DCF!D93&amp;"yrs)"</f>
        <v>Pessimistic (30yrs)</v>
      </c>
      <c r="C121" s="198">
        <f>DCF!C93</f>
        <v>0.01</v>
      </c>
      <c r="D121" s="207" t="str">
        <f>ROUND(DCF!E93,2)&amp;" "&amp;Market_currency</f>
        <v>119.61 HKD</v>
      </c>
      <c r="E121" s="199">
        <f>DCF!F93</f>
        <v>0.19999999999999998</v>
      </c>
      <c r="F121" s="208">
        <f>RATE(Holding_Period,Scenarios!C$58,-DCF!E93,C$18)</f>
        <v>0.1072641851985464</v>
      </c>
    </row>
    <row r="122" spans="2:6">
      <c r="B122" s="205" t="str">
        <f>DCF!B94&amp;" ("&amp;DCF!D94&amp;"yrs)"</f>
        <v>Devil's advocate (30yrs)</v>
      </c>
      <c r="C122" s="198">
        <f>DCF!C94</f>
        <v>0</v>
      </c>
      <c r="D122" s="207" t="str">
        <f>ROUND(DCF!E94,2)&amp;" "&amp;Market_currency</f>
        <v>106.34 HKD</v>
      </c>
      <c r="E122" s="199">
        <f>DCF!F94</f>
        <v>0.05</v>
      </c>
      <c r="F122" s="208">
        <f>RATE(Holding_Period,Scenarios!C$58,-DCF!E94,C$18)</f>
        <v>0.15333444846924818</v>
      </c>
    </row>
    <row r="124" spans="2:6">
      <c r="B124" s="461" t="s">
        <v>357</v>
      </c>
      <c r="C124" s="461"/>
      <c r="D124" s="461"/>
      <c r="E124" s="461"/>
      <c r="F124" s="461"/>
    </row>
    <row r="125" spans="2:6">
      <c r="B125" s="193" t="s">
        <v>218</v>
      </c>
      <c r="C125" s="197">
        <f>Scenarios!C36</f>
        <v>145.40755585335478</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5.09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9.3139445224005097</v>
      </c>
      <c r="D140" s="333">
        <f>Scenarios!D62</f>
        <v>67.008090255002216</v>
      </c>
      <c r="E140" s="334">
        <f>Scenarios!E62</f>
        <v>76.32203477740272</v>
      </c>
      <c r="F140" s="335">
        <f>E22</f>
        <v>0.29465259038036601</v>
      </c>
    </row>
    <row r="141" spans="1:6">
      <c r="B141" s="336" t="s">
        <v>313</v>
      </c>
      <c r="C141" s="333">
        <f>Scenarios!C63</f>
        <v>10.709380091599613</v>
      </c>
      <c r="D141" s="333">
        <f>Scenarios!D63</f>
        <v>83.989923958616515</v>
      </c>
      <c r="E141" s="334">
        <f>Scenarios!E63</f>
        <v>94.699304050216128</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12.280149911027722</v>
      </c>
      <c r="D144" s="333">
        <f>Scenarios!D66</f>
        <v>104.22237688077243</v>
      </c>
      <c r="E144" s="334">
        <f>Scenarios!E66</f>
        <v>116.50252679180015</v>
      </c>
      <c r="F144" s="335">
        <f>E24</f>
        <v>0.1174</v>
      </c>
    </row>
    <row r="145" spans="1:6">
      <c r="B145" s="336" t="s">
        <v>314</v>
      </c>
      <c r="C145" s="333">
        <f>Scenarios!C67</f>
        <v>13.296989906310651</v>
      </c>
      <c r="D145" s="333">
        <f>Scenarios!D67</f>
        <v>117.86777133861143</v>
      </c>
      <c r="E145" s="334">
        <f>Scenarios!E67</f>
        <v>131.16476124492209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D10" sqref="D1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73.978314723089511</v>
      </c>
      <c r="D47" s="134">
        <f>D46*H1/Common_Shares*Exchange_Rate</f>
        <v>1.4434990000085306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0.57104884476468376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0.12990748444019815</v>
      </c>
      <c r="D54" s="89">
        <f>Normalized_FCF!G8/G35</f>
        <v>0.11506143630305725</v>
      </c>
      <c r="F54" s="223"/>
    </row>
    <row r="55" spans="2:8" ht="15" customHeight="1">
      <c r="B55" s="1" t="s">
        <v>118</v>
      </c>
      <c r="C55" s="89">
        <f>Normalized_FCF!C9/G40</f>
        <v>1.2489743823502599E-2</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86587.65539082</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-82495.17230459</v>
      </c>
      <c r="F73" s="1" t="s">
        <v>278</v>
      </c>
    </row>
    <row r="74" spans="2:6" ht="15" customHeight="1">
      <c r="B74" s="227" t="s">
        <v>259</v>
      </c>
      <c r="C74" s="228">
        <f>-$C$66/C73</f>
        <v>2.9939661793862213</v>
      </c>
      <c r="D74" s="228">
        <f>-$C$66/D73</f>
        <v>3.0496087585721945</v>
      </c>
      <c r="F74" s="223" t="s">
        <v>257</v>
      </c>
    </row>
    <row r="75" spans="2:6" ht="15" customHeight="1">
      <c r="B75" s="77" t="s">
        <v>258</v>
      </c>
      <c r="C75" s="261"/>
      <c r="D75" s="262">
        <f>MAX(-D73*D76,G5)</f>
        <v>164990.34460918</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-102963.84000000001</v>
      </c>
      <c r="D86" s="201">
        <f>C86*scaling_factor/Common_Shares</f>
        <v>-4.7570206216136892</v>
      </c>
      <c r="E86" s="214" t="str">
        <f>Market_currency</f>
        <v>HKD</v>
      </c>
    </row>
    <row r="87" spans="2:8" ht="15" customHeight="1">
      <c r="B87" s="212" t="s">
        <v>240</v>
      </c>
      <c r="C87" s="73">
        <f>DCF!F5*Exchange_Rate</f>
        <v>96978.174037718403</v>
      </c>
      <c r="D87" s="201">
        <f>C87*scaling_factor/Common_Shares</f>
        <v>4.4804775515741033</v>
      </c>
      <c r="E87" s="214" t="str">
        <f>Market_currency</f>
        <v>HKD</v>
      </c>
    </row>
    <row r="88" spans="2:8" ht="15" customHeight="1">
      <c r="B88" s="213" t="s">
        <v>159</v>
      </c>
      <c r="C88" s="73">
        <f>DCF!F6*Exchange_Rate</f>
        <v>294037.63199999998</v>
      </c>
      <c r="D88" s="201">
        <f>C88*scaling_factor/Common_Shares</f>
        <v>13.58479908047774</v>
      </c>
      <c r="E88" s="214" t="str">
        <f>Market_currency</f>
        <v>HKD</v>
      </c>
    </row>
    <row r="89" spans="2:8" ht="15" customHeight="1">
      <c r="B89" s="77" t="s">
        <v>244</v>
      </c>
      <c r="C89" s="162">
        <f>SUM(C86:C88)</f>
        <v>288051.96603771835</v>
      </c>
      <c r="D89" s="216">
        <f>SUM(D86:D88)</f>
        <v>13.308256010438154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74" activePane="bottomRight" state="frozen"/>
      <selection activeCell="C17" sqref="C17"/>
      <selection pane="topRight" activeCell="C17" sqref="C17"/>
      <selection pane="bottomLeft" activeCell="C17" sqref="C17"/>
      <selection pane="bottomRight" activeCell="B82" sqref="B8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-811792.02</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228966.97999999998</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160987.97999999998</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11097</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-4525.9779323449202</v>
      </c>
      <c r="E10" s="237"/>
      <c r="G10" s="266">
        <f>G48</f>
        <v>11814.181223056808</v>
      </c>
      <c r="H10" s="266">
        <f t="shared" ref="H10:Q10" si="6">H48</f>
        <v>10130.138577182464</v>
      </c>
      <c r="I10" s="266">
        <f t="shared" si="6"/>
        <v>7985.4215804155847</v>
      </c>
      <c r="J10" s="266">
        <f t="shared" si="6"/>
        <v>8292.2434114547868</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167559.00206765506</v>
      </c>
      <c r="E11" s="237"/>
      <c r="G11" s="267">
        <f t="shared" ref="G11:Q11" si="7">IF(G$4="","",SUM(G8:G10))</f>
        <v>165501.1812230568</v>
      </c>
      <c r="H11" s="267">
        <f t="shared" si="7"/>
        <v>153434.13857718246</v>
      </c>
      <c r="I11" s="267">
        <f t="shared" si="7"/>
        <v>148070.4215804156</v>
      </c>
      <c r="J11" s="267">
        <f t="shared" si="7"/>
        <v>137178.24341145478</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-36192.744446613491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131172.40159846353</v>
      </c>
      <c r="D14" s="58"/>
      <c r="E14" s="243"/>
      <c r="F14" s="58"/>
      <c r="G14" s="267">
        <f t="shared" ref="G14:Q14" si="8">IF(G$4="","",SUM(G11:G13))</f>
        <v>125485.1812230568</v>
      </c>
      <c r="H14" s="267">
        <f t="shared" si="8"/>
        <v>114669.13857718246</v>
      </c>
      <c r="I14" s="267">
        <f t="shared" si="8"/>
        <v>110657.4215804156</v>
      </c>
      <c r="J14" s="267">
        <f t="shared" si="8"/>
        <v>101142.24341145478</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131172.40159846353</v>
      </c>
      <c r="D19" s="26"/>
      <c r="E19" s="234"/>
      <c r="F19" s="26"/>
      <c r="G19" s="271">
        <f t="shared" ref="G19:Q19" si="9">IF(G$4="","",G14+G17)</f>
        <v>125485.1812230568</v>
      </c>
      <c r="H19" s="271">
        <f t="shared" si="9"/>
        <v>114669.13857718246</v>
      </c>
      <c r="I19" s="271">
        <f t="shared" si="9"/>
        <v>110657.4215804156</v>
      </c>
      <c r="J19" s="271">
        <f t="shared" si="9"/>
        <v>101142.24341145478</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-489156.73</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-322635.28999999998</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-811792.02</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v>0.31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0.78</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0.24086232923180179</v>
      </c>
      <c r="H41" s="6">
        <f t="shared" si="16"/>
        <v>0.25154766962493769</v>
      </c>
      <c r="I41" s="6">
        <f t="shared" si="16"/>
        <v>0.25175858623293434</v>
      </c>
      <c r="J41" s="6">
        <f t="shared" si="16"/>
        <v>0.26154293208425849</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989.94206765508</v>
      </c>
      <c r="E46" s="237"/>
      <c r="G46" s="274">
        <f t="shared" ref="G46:Q46" si="17">IFERROR(IF(G$4="","",($C$46/$C$47)*G47),0)</f>
        <v>15087.181223056808</v>
      </c>
      <c r="H46" s="274">
        <f t="shared" si="17"/>
        <v>13860.138577182464</v>
      </c>
      <c r="I46" s="274">
        <f t="shared" si="17"/>
        <v>10315.421580415585</v>
      </c>
      <c r="J46" s="274">
        <f t="shared" si="17"/>
        <v>10971.243411454787</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-4525.9779323449202</v>
      </c>
      <c r="E48" s="237"/>
      <c r="G48" s="267">
        <f>IF(G$4="","",(G45+G46))</f>
        <v>11814.181223056808</v>
      </c>
      <c r="H48" s="267">
        <f t="shared" ref="H48:Q48" si="18">IF(H$4="","",(H45+H46))</f>
        <v>10130.138577182464</v>
      </c>
      <c r="I48" s="267">
        <f t="shared" si="18"/>
        <v>7985.4215804155847</v>
      </c>
      <c r="J48" s="267">
        <f t="shared" si="18"/>
        <v>8292.2434114547868</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29.186061436714088</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11097</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11097</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11097</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5.5664518070778261E-2</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2.4608977386884525E-2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0.78</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0.21999999999999997</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0.1546832455928798</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1.0662410798273183E-2</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4.3487281227881959E-3</v>
      </c>
      <c r="D76" s="26"/>
      <c r="E76" s="234"/>
      <c r="F76" s="26"/>
      <c r="G76" s="6">
        <f t="shared" ref="G76:Q76" si="28">IF(G$4="","",ABS(G10/G$4))</f>
        <v>1.1351505221724538E-2</v>
      </c>
      <c r="H76" s="6">
        <f t="shared" si="28"/>
        <v>1.0036706872902614E-2</v>
      </c>
      <c r="I76" s="6">
        <f t="shared" si="28"/>
        <v>8.51997322022577E-3</v>
      </c>
      <c r="J76" s="6">
        <f t="shared" si="28"/>
        <v>9.7756147439278934E-3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0.16099692826836479</v>
      </c>
      <c r="D77" s="26"/>
      <c r="E77" s="234"/>
      <c r="F77" s="26"/>
      <c r="G77" s="62">
        <f t="shared" ref="G77:Q77" si="29">IF(G$4="","",G11/G$4)</f>
        <v>0.15901969737764152</v>
      </c>
      <c r="H77" s="62">
        <f t="shared" si="29"/>
        <v>0.15201899376423123</v>
      </c>
      <c r="I77" s="62">
        <f t="shared" si="29"/>
        <v>0.15798239502679151</v>
      </c>
      <c r="J77" s="62">
        <f t="shared" si="29"/>
        <v>0.16171759466041555</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3.4775336505966793E-2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0.12603532767765019</v>
      </c>
      <c r="D80" s="26"/>
      <c r="E80" s="234"/>
      <c r="F80" s="26"/>
      <c r="G80" s="62">
        <f t="shared" ref="G80:Q80" si="32">IF(G$4="","",ABS(G14/G$4))</f>
        <v>0.12057083457655116</v>
      </c>
      <c r="H80" s="62">
        <f t="shared" si="32"/>
        <v>0.1136115288550706</v>
      </c>
      <c r="I80" s="62">
        <f t="shared" si="32"/>
        <v>0.1180649335780351</v>
      </c>
      <c r="J80" s="62">
        <f t="shared" si="32"/>
        <v>0.11923523669856904</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0.12603532767765019</v>
      </c>
      <c r="D85" s="72"/>
      <c r="E85" s="234"/>
      <c r="F85" s="72"/>
      <c r="G85" s="62">
        <f t="shared" ref="G85:Q85" si="35">IF(G$4="","",ABS(G19/G$4))</f>
        <v>0.12057083457655116</v>
      </c>
      <c r="H85" s="62">
        <f t="shared" si="35"/>
        <v>0.1136115288550706</v>
      </c>
      <c r="I85" s="62">
        <f t="shared" si="35"/>
        <v>0.1180649335780351</v>
      </c>
      <c r="J85" s="62">
        <f t="shared" si="35"/>
        <v>0.11923523669856904</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0.83989502603092137</v>
      </c>
      <c r="E90" s="237"/>
      <c r="G90" s="152">
        <f t="shared" ref="G90:Q90" si="37">IF(G$4="","",G88/(G19*scaling_factor/Common_Shares))</f>
        <v>0.87796062117681373</v>
      </c>
      <c r="H90" s="152">
        <f t="shared" si="37"/>
        <v>0.91169647939400045</v>
      </c>
      <c r="I90" s="152">
        <f t="shared" si="37"/>
        <v>0.86259659583296711</v>
      </c>
      <c r="J90" s="152">
        <f t="shared" si="37"/>
        <v>0.8688466844385575</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6.2684729064039407E-2</v>
      </c>
      <c r="E92" s="237"/>
      <c r="G92" s="22">
        <f t="shared" ref="G92:Q92" si="38">IF(G$4="","",(G88*(1-dividend_tax_rate))/Market_Price)</f>
        <v>6.2684729064039407E-2</v>
      </c>
      <c r="H92" s="22">
        <f t="shared" si="38"/>
        <v>5.9482758620689656E-2</v>
      </c>
      <c r="I92" s="22">
        <f t="shared" si="38"/>
        <v>5.4310344827586204E-2</v>
      </c>
      <c r="J92" s="22">
        <f t="shared" si="38"/>
        <v>0.05</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1.2433874062957928E-2</v>
      </c>
      <c r="D96" s="26"/>
      <c r="E96" s="234"/>
      <c r="F96" s="26"/>
      <c r="G96" s="6">
        <f t="shared" ref="G96:Q96" si="40">IF(H5="","",G11/H11-1)</f>
        <v>7.8646400063074884E-2</v>
      </c>
      <c r="H96" s="6">
        <f t="shared" si="40"/>
        <v>3.6224094856472489E-2</v>
      </c>
      <c r="I96" s="6">
        <f t="shared" si="40"/>
        <v>7.9401644882495237E-2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2.8241820790779029</v>
      </c>
      <c r="H113" s="251">
        <f>IF(H$4="","",Data!D$22/H19)</f>
        <v>3.156324399841786</v>
      </c>
      <c r="I113" s="251">
        <f>IF(I$4="","",Data!E$22/I19)</f>
        <v>2.537109540330079</v>
      </c>
      <c r="J113" s="251">
        <f>IF(J$4="","",Data!F$22/J19)</f>
        <v>3.1120923303976435</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0.16099692826836479</v>
      </c>
      <c r="E116" s="22">
        <f>E119/E117/E118</f>
        <v>0.15727059464000756</v>
      </c>
      <c r="G116" s="22">
        <f t="shared" ref="G116:Q116" si="44">IF(G4="","",G77)</f>
        <v>0.15901969737764152</v>
      </c>
      <c r="H116" s="22">
        <f t="shared" si="44"/>
        <v>0.15201899376423123</v>
      </c>
      <c r="I116" s="22">
        <f t="shared" si="44"/>
        <v>0.15798239502679151</v>
      </c>
      <c r="J116" s="22">
        <f t="shared" si="44"/>
        <v>0.16171759466041555</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0.11683147612363115</v>
      </c>
      <c r="D119" s="100"/>
      <c r="E119" s="453">
        <f>AVERAGE(G119:J119)</f>
        <v>0.1141273682688253</v>
      </c>
      <c r="F119" s="100"/>
      <c r="G119" s="99">
        <f t="shared" ref="G119:Q119" si="47">IF(G$4="","",G11/G104)</f>
        <v>0.11539664872608364</v>
      </c>
      <c r="H119" s="99">
        <f t="shared" si="47"/>
        <v>0.11399394389772728</v>
      </c>
      <c r="I119" s="99">
        <f t="shared" si="47"/>
        <v>0.11377578356953549</v>
      </c>
      <c r="J119" s="99">
        <f t="shared" si="47"/>
        <v>0.11334309688195475</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6.787514895689025</v>
      </c>
      <c r="D123" s="26"/>
      <c r="E123" s="234"/>
      <c r="F123" s="26"/>
      <c r="G123" s="159">
        <f t="shared" ref="G123:Q123" si="48">IF(G$4="","",G14*$C$3/Common_Shares*Exchange_Rate)</f>
        <v>6.4932297218053794</v>
      </c>
      <c r="H123" s="159">
        <f t="shared" si="48"/>
        <v>5.9335536796146586</v>
      </c>
      <c r="I123" s="159">
        <f t="shared" si="48"/>
        <v>5.7259674149658082</v>
      </c>
      <c r="J123" s="159">
        <f t="shared" si="48"/>
        <v>5.2336045949676029</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8.3590084922278637E-2</v>
      </c>
      <c r="D124" s="26"/>
      <c r="E124" s="234"/>
      <c r="F124" s="26"/>
      <c r="G124" s="74">
        <f t="shared" ref="G124" si="49">IF(G$4="","",G123/Market_Price)</f>
        <v>7.9965883273465266E-2</v>
      </c>
      <c r="H124" s="74">
        <f t="shared" ref="H124" si="50">IF(H$4="","",H123/Market_Price)</f>
        <v>7.3073321177520426E-2</v>
      </c>
      <c r="I124" s="74">
        <f t="shared" ref="I124" si="51">IF(I$4="","",I123/Market_Price)</f>
        <v>7.0516840085785806E-2</v>
      </c>
      <c r="J124" s="74">
        <f t="shared" ref="J124" si="52">IF(J$4="","",J123/Market_Price)</f>
        <v>6.4453258558714324E-2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7.8818028539685281E-2</v>
      </c>
      <c r="H125" s="22">
        <f>IF(H$4="","",(Data!D47*$C$3)/(Market_Price*Common_Shares))</f>
        <v>7.5067904908705782E-2</v>
      </c>
      <c r="I125" s="22">
        <f>IF(I$4="","",(Data!E47*$C$3)/(Market_Price*Common_Shares))</f>
        <v>7.1460025384499901E-2</v>
      </c>
      <c r="J125" s="22">
        <f>IF(J$4="","",(Data!F47*$C$3)/(Market_Price*Common_Shares))</f>
        <v>6.6175372329646681E-2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131172.40159846353</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86587.65539082</v>
      </c>
      <c r="G5" t="str">
        <f>Reporting_currency</f>
        <v>CNY</v>
      </c>
      <c r="H5" s="308" t="s">
        <v>395</v>
      </c>
      <c r="I5" s="305">
        <f>Normalized_FCF!C7</f>
        <v>-67979</v>
      </c>
      <c r="J5" s="305"/>
    </row>
    <row r="6" spans="2:15" ht="13.25" customHeight="1">
      <c r="B6" s="136" t="s">
        <v>194</v>
      </c>
      <c r="C6" s="283">
        <f>(C4*(1+Terminal_Growth))/(Equity_Cost-Terminal_Growth)</f>
        <v>2548492.3739130064</v>
      </c>
      <c r="D6" t="str">
        <f>Reporting_currency</f>
        <v>CNY</v>
      </c>
      <c r="E6" s="187" t="s">
        <v>433</v>
      </c>
      <c r="F6" s="284">
        <f>BS!H42</f>
        <v>262533.59999999998</v>
      </c>
      <c r="G6" t="str">
        <f>Reporting_currency</f>
        <v>CNY</v>
      </c>
      <c r="H6" s="308" t="s">
        <v>416</v>
      </c>
      <c r="I6" s="305">
        <f>I7+I8</f>
        <v>6571.0220676550798</v>
      </c>
      <c r="J6" s="305"/>
      <c r="N6" s="135"/>
    </row>
    <row r="7" spans="2:15" ht="12.75" customHeight="1">
      <c r="B7" s="318" t="s">
        <v>430</v>
      </c>
      <c r="C7" s="275">
        <f>F7</f>
        <v>257189.25539081998</v>
      </c>
      <c r="E7" s="140" t="s">
        <v>424</v>
      </c>
      <c r="F7" s="283">
        <f>SUM(F4:F6)</f>
        <v>257189.25539081998</v>
      </c>
      <c r="G7" t="str">
        <f>Reporting_currency</f>
        <v>CNY</v>
      </c>
      <c r="H7" s="312" t="s">
        <v>417</v>
      </c>
      <c r="I7" s="313">
        <f>Normalized_FCF!C9</f>
        <v>11097</v>
      </c>
      <c r="J7" s="313"/>
      <c r="N7" s="304"/>
      <c r="O7" s="304"/>
    </row>
    <row r="8" spans="2:15" ht="13.15">
      <c r="B8" s="136" t="s">
        <v>426</v>
      </c>
      <c r="C8" s="283">
        <f>C6+C7</f>
        <v>2805681.6293038265</v>
      </c>
      <c r="D8" t="str">
        <f>Reporting_currency</f>
        <v>CNY</v>
      </c>
      <c r="E8" s="140" t="s">
        <v>464</v>
      </c>
      <c r="F8" s="108">
        <f>FV_adjustments*scaling_factor/Common_Shares*Exchange_Rate</f>
        <v>13.308256010438154</v>
      </c>
      <c r="G8" s="294" t="str">
        <f>Market_currency</f>
        <v>HKD</v>
      </c>
      <c r="H8" s="314" t="str">
        <f>Normalized_FCF!B10</f>
        <v>Net Interest Income</v>
      </c>
      <c r="I8" s="313">
        <f>Normalized_FCF!C10</f>
        <v>-4525.9779323449202</v>
      </c>
      <c r="J8" s="313"/>
      <c r="N8" s="304"/>
      <c r="O8" s="304"/>
    </row>
    <row r="9" spans="2:15" ht="13.15" thickBot="1">
      <c r="B9" s="189" t="str">
        <f>"*"&amp;Thesis!E15</f>
        <v>*CNY/HKD</v>
      </c>
      <c r="C9" s="190">
        <f>Exchange_Rate</f>
        <v>1.1200000000000001</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3142363.4248202858</v>
      </c>
      <c r="D10" t="str">
        <f>Market_currency</f>
        <v>HKD</v>
      </c>
      <c r="H10" s="308" t="s">
        <v>397</v>
      </c>
      <c r="I10" s="306">
        <f>Normalized_FCF!C41</f>
        <v>0.216</v>
      </c>
      <c r="N10" s="304"/>
      <c r="O10" s="304"/>
    </row>
    <row r="11" spans="2:15" ht="13.15">
      <c r="B11" s="136" t="s">
        <v>425</v>
      </c>
      <c r="C11" s="108">
        <f>(C10*scaling_factor)/Common_Shares</f>
        <v>145.17997398382496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30</v>
      </c>
      <c r="E15" s="308" t="str">
        <f>IF(F14="II","Change year","Terminal Year")</f>
        <v>Change year</v>
      </c>
      <c r="F15" s="310">
        <f>IF(F14="II",_xlfn.CEILING.MATH(C15/2),C15+1)</f>
        <v>15</v>
      </c>
      <c r="H15" s="97" t="s">
        <v>429</v>
      </c>
      <c r="I15" s="126">
        <f>Terminal_Growth</f>
        <v>0.02</v>
      </c>
      <c r="J15" s="126"/>
    </row>
    <row r="16" spans="2:15" ht="13.25" customHeight="1">
      <c r="B16" s="114" t="s">
        <v>422</v>
      </c>
      <c r="C16" s="147">
        <f>Scenarios!C46</f>
        <v>2.5118128298608065E-2</v>
      </c>
      <c r="E16" s="308" t="s">
        <v>400</v>
      </c>
      <c r="F16" s="311">
        <f>Scenarios!C41</f>
        <v>2.5118128298608065E-2</v>
      </c>
    </row>
    <row r="17" spans="1:21" ht="13.25" customHeight="1">
      <c r="B17" s="308" t="s">
        <v>549</v>
      </c>
      <c r="C17" s="306">
        <f>Normalized_FCF!C77</f>
        <v>0.16099692826836479</v>
      </c>
      <c r="E17" s="308" t="s">
        <v>550</v>
      </c>
      <c r="F17" s="311">
        <f>Scenarios!C40</f>
        <v>0.15727059464000756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145.41634829911979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1066900.9180899311</v>
      </c>
      <c r="D21" s="299">
        <f t="shared" ref="D21:D50" si="1">IF(A21="",0,IF(A21="I",$C$16,$F$16))</f>
        <v>2.5118128298608065E-2</v>
      </c>
      <c r="E21" s="299">
        <f>$C$17</f>
        <v>0.16099692826836479</v>
      </c>
      <c r="F21" s="277">
        <f>C21*E21</f>
        <v>171767.77057917719</v>
      </c>
      <c r="G21" s="299">
        <f t="shared" ref="G21:G50" si="2">IF(A21="",0%,IF(A21="I",$C$18,$F$18))</f>
        <v>0</v>
      </c>
      <c r="H21" s="277">
        <f>(F21*(1-$I$10)+C21*(G21-$I$9))</f>
        <v>134467.2068110503</v>
      </c>
      <c r="I21" s="299">
        <f>H21/C4-1</f>
        <v>2.5118128298608156E-2</v>
      </c>
      <c r="J21" s="299">
        <f>H21/C21</f>
        <v>0.12603532767765019</v>
      </c>
      <c r="K21" s="119">
        <f t="shared" ref="K21:K50" si="3">IF($C$15&lt;B21,0,1/(1+Equity_Cost)^B21)</f>
        <v>0.93240093240093236</v>
      </c>
      <c r="L21" s="277">
        <f t="shared" ref="L21:L51" si="4">H21*K21</f>
        <v>125377.3490079723</v>
      </c>
    </row>
    <row r="22" spans="1:21">
      <c r="A22" s="302" t="str">
        <f t="shared" si="0"/>
        <v>I</v>
      </c>
      <c r="B22" s="117">
        <v>2</v>
      </c>
      <c r="C22" s="277">
        <f t="shared" ref="C22:C50" si="5">IF(A22="",0,C21*(1+D22))</f>
        <v>1093699.4722324167</v>
      </c>
      <c r="D22" s="299">
        <f t="shared" si="1"/>
        <v>2.5118128298608065E-2</v>
      </c>
      <c r="E22" s="299">
        <f t="shared" ref="E22:E50" si="6">IF($C$15&lt;B22,0,IF(B22&gt;=$F$15,$F$17,$C$17))</f>
        <v>0.16099692826836479</v>
      </c>
      <c r="F22" s="277">
        <f t="shared" ref="F22:F50" si="7">IF(A22="", 0,C22*E22)</f>
        <v>176082.25547815082</v>
      </c>
      <c r="G22" s="299">
        <f t="shared" si="2"/>
        <v>0</v>
      </c>
      <c r="H22" s="277">
        <f t="shared" ref="H22:H50" si="8">IF(A22="", 0,F22*(1-$I$10)+C22*(G22-$I$9))</f>
        <v>137844.77136368572</v>
      </c>
      <c r="I22" s="299">
        <f t="shared" ref="I22:I50" si="9">IF(A22="", 0,H22/H21-1)</f>
        <v>2.5118128298607934E-2</v>
      </c>
      <c r="J22" s="299">
        <f>IF(A22="", 0,H22/C22)</f>
        <v>0.12603532767765019</v>
      </c>
      <c r="K22" s="119">
        <f t="shared" si="3"/>
        <v>0.86937149874212816</v>
      </c>
      <c r="L22" s="277">
        <f t="shared" si="4"/>
        <v>119838.31547421345</v>
      </c>
    </row>
    <row r="23" spans="1:21">
      <c r="A23" s="302" t="str">
        <f t="shared" si="0"/>
        <v>I</v>
      </c>
      <c r="B23" s="117">
        <v>3</v>
      </c>
      <c r="C23" s="277">
        <f t="shared" si="5"/>
        <v>1121171.1558960706</v>
      </c>
      <c r="D23" s="299">
        <f t="shared" si="1"/>
        <v>2.5118128298608065E-2</v>
      </c>
      <c r="E23" s="299">
        <f t="shared" si="6"/>
        <v>0.16099692826836479</v>
      </c>
      <c r="F23" s="277">
        <f t="shared" si="7"/>
        <v>180505.11216235932</v>
      </c>
      <c r="G23" s="299">
        <f t="shared" si="2"/>
        <v>0</v>
      </c>
      <c r="H23" s="277">
        <f t="shared" si="8"/>
        <v>141307.1740160911</v>
      </c>
      <c r="I23" s="299">
        <f t="shared" si="9"/>
        <v>2.5118128298608156E-2</v>
      </c>
      <c r="J23" s="299">
        <f t="shared" ref="J23:J50" si="10">IF(A23="", 0,H23/C23)</f>
        <v>0.12603532767765019</v>
      </c>
      <c r="K23" s="119">
        <f t="shared" si="3"/>
        <v>0.81060279602995633</v>
      </c>
      <c r="L23" s="277">
        <f t="shared" si="4"/>
        <v>114543.99035653504</v>
      </c>
      <c r="N23" s="275"/>
      <c r="O23" s="275"/>
      <c r="P23" s="275"/>
      <c r="Q23" s="275"/>
      <c r="R23" s="275"/>
      <c r="S23" s="275"/>
      <c r="T23" s="275"/>
      <c r="U23" s="275"/>
    </row>
    <row r="24" spans="1:21">
      <c r="A24" s="302" t="str">
        <f t="shared" si="0"/>
        <v>I</v>
      </c>
      <c r="B24" s="117">
        <v>4</v>
      </c>
      <c r="C24" s="277">
        <f t="shared" si="5"/>
        <v>1149332.8768345669</v>
      </c>
      <c r="D24" s="299">
        <f t="shared" si="1"/>
        <v>2.5118128298608065E-2</v>
      </c>
      <c r="E24" s="299">
        <f t="shared" si="6"/>
        <v>0.16099692826836479</v>
      </c>
      <c r="F24" s="277">
        <f t="shared" si="7"/>
        <v>185039.06272820811</v>
      </c>
      <c r="G24" s="299">
        <f t="shared" si="2"/>
        <v>0</v>
      </c>
      <c r="H24" s="277">
        <f t="shared" si="8"/>
        <v>144856.545742541</v>
      </c>
      <c r="I24" s="299">
        <f t="shared" si="9"/>
        <v>2.5118128298607934E-2</v>
      </c>
      <c r="J24" s="299">
        <f t="shared" si="10"/>
        <v>0.12603532767765019</v>
      </c>
      <c r="K24" s="119">
        <f t="shared" si="3"/>
        <v>0.75580680282513402</v>
      </c>
      <c r="L24" s="277">
        <f t="shared" si="4"/>
        <v>109483.56270596269</v>
      </c>
      <c r="N24" s="275"/>
      <c r="O24" s="275"/>
      <c r="P24" s="275"/>
      <c r="Q24" s="275"/>
      <c r="R24" s="275"/>
      <c r="S24" s="275"/>
      <c r="T24" s="275"/>
      <c r="U24" s="275"/>
    </row>
    <row r="25" spans="1:21">
      <c r="A25" s="302" t="str">
        <f t="shared" si="0"/>
        <v>I</v>
      </c>
      <c r="B25" s="117">
        <v>5</v>
      </c>
      <c r="C25" s="277">
        <f t="shared" si="5"/>
        <v>1178201.9674927059</v>
      </c>
      <c r="D25" s="299">
        <f t="shared" si="1"/>
        <v>2.5118128298608065E-2</v>
      </c>
      <c r="E25" s="299">
        <f t="shared" si="6"/>
        <v>0.16099692826836479</v>
      </c>
      <c r="F25" s="277">
        <f t="shared" si="7"/>
        <v>189686.89764606944</v>
      </c>
      <c r="G25" s="299">
        <f t="shared" si="2"/>
        <v>0</v>
      </c>
      <c r="H25" s="277">
        <f t="shared" si="8"/>
        <v>148495.07104339535</v>
      </c>
      <c r="I25" s="299">
        <f t="shared" si="9"/>
        <v>2.5118128298608156E-2</v>
      </c>
      <c r="J25" s="299">
        <f t="shared" si="10"/>
        <v>0.12603532767765019</v>
      </c>
      <c r="K25" s="119">
        <f t="shared" si="3"/>
        <v>0.70471496766912267</v>
      </c>
      <c r="L25" s="277">
        <f t="shared" si="4"/>
        <v>104646.69918937043</v>
      </c>
      <c r="N25" s="275"/>
      <c r="O25" s="275"/>
      <c r="P25" s="275"/>
      <c r="Q25" s="275"/>
      <c r="R25" s="275"/>
      <c r="S25" s="275"/>
      <c r="T25" s="275"/>
      <c r="U25" s="275"/>
    </row>
    <row r="26" spans="1:21">
      <c r="A26" s="302" t="str">
        <f t="shared" si="0"/>
        <v>I</v>
      </c>
      <c r="B26" s="117">
        <v>6</v>
      </c>
      <c r="C26" s="277">
        <f t="shared" si="5"/>
        <v>1207796.1956738601</v>
      </c>
      <c r="D26" s="299">
        <f t="shared" si="1"/>
        <v>2.5118128298608065E-2</v>
      </c>
      <c r="E26" s="299">
        <f t="shared" si="6"/>
        <v>0.16099692826836479</v>
      </c>
      <c r="F26" s="277">
        <f t="shared" si="7"/>
        <v>194451.47747770834</v>
      </c>
      <c r="G26" s="299">
        <f t="shared" si="2"/>
        <v>0</v>
      </c>
      <c r="H26" s="277">
        <f t="shared" si="8"/>
        <v>152224.98928957427</v>
      </c>
      <c r="I26" s="299">
        <f t="shared" si="9"/>
        <v>2.5118128298607934E-2</v>
      </c>
      <c r="J26" s="299">
        <f t="shared" si="10"/>
        <v>0.12603532767765019</v>
      </c>
      <c r="K26" s="119">
        <f t="shared" si="3"/>
        <v>0.65707689293158289</v>
      </c>
      <c r="L26" s="277">
        <f t="shared" si="4"/>
        <v>100023.52298893694</v>
      </c>
    </row>
    <row r="27" spans="1:21">
      <c r="A27" s="302" t="str">
        <f t="shared" si="0"/>
        <v>I</v>
      </c>
      <c r="B27" s="117">
        <v>7</v>
      </c>
      <c r="C27" s="277">
        <f t="shared" si="5"/>
        <v>1238133.775475367</v>
      </c>
      <c r="D27" s="299">
        <f t="shared" si="1"/>
        <v>2.5118128298608065E-2</v>
      </c>
      <c r="E27" s="299">
        <f t="shared" si="6"/>
        <v>0.16099692826836479</v>
      </c>
      <c r="F27" s="277">
        <f t="shared" si="7"/>
        <v>199335.73463684734</v>
      </c>
      <c r="G27" s="299">
        <f t="shared" si="2"/>
        <v>0</v>
      </c>
      <c r="H27" s="277">
        <f t="shared" si="8"/>
        <v>156048.59610080408</v>
      </c>
      <c r="I27" s="299">
        <f t="shared" si="9"/>
        <v>2.5118128298608378E-2</v>
      </c>
      <c r="J27" s="299">
        <f t="shared" si="10"/>
        <v>0.12603532767765022</v>
      </c>
      <c r="K27" s="119">
        <f t="shared" si="3"/>
        <v>0.61265910762851561</v>
      </c>
      <c r="L27" s="277">
        <f t="shared" si="4"/>
        <v>95604.593633801283</v>
      </c>
    </row>
    <row r="28" spans="1:21">
      <c r="A28" s="302" t="str">
        <f t="shared" si="0"/>
        <v>I</v>
      </c>
      <c r="B28" s="117">
        <v>8</v>
      </c>
      <c r="C28" s="277">
        <f t="shared" si="5"/>
        <v>1269233.3784985973</v>
      </c>
      <c r="D28" s="299">
        <f t="shared" si="1"/>
        <v>2.5118128298608065E-2</v>
      </c>
      <c r="E28" s="299">
        <f t="shared" si="6"/>
        <v>0.16099692826836479</v>
      </c>
      <c r="F28" s="277">
        <f t="shared" si="7"/>
        <v>204342.67519395295</v>
      </c>
      <c r="G28" s="299">
        <f t="shared" si="2"/>
        <v>0</v>
      </c>
      <c r="H28" s="277">
        <f t="shared" si="8"/>
        <v>159968.24475848171</v>
      </c>
      <c r="I28" s="299">
        <f t="shared" si="9"/>
        <v>2.5118128298607934E-2</v>
      </c>
      <c r="J28" s="299">
        <f t="shared" si="10"/>
        <v>0.12603532767765019</v>
      </c>
      <c r="K28" s="119">
        <f t="shared" si="3"/>
        <v>0.5712439231967511</v>
      </c>
      <c r="L28" s="277">
        <f t="shared" si="4"/>
        <v>91380.887722733212</v>
      </c>
    </row>
    <row r="29" spans="1:21">
      <c r="A29" s="302" t="str">
        <f t="shared" si="0"/>
        <v>I</v>
      </c>
      <c r="B29" s="117">
        <v>9</v>
      </c>
      <c r="C29" s="277">
        <f t="shared" si="5"/>
        <v>1301114.145340601</v>
      </c>
      <c r="D29" s="299">
        <f t="shared" si="1"/>
        <v>2.5118128298608065E-2</v>
      </c>
      <c r="E29" s="299">
        <f t="shared" si="6"/>
        <v>0.16099692826836479</v>
      </c>
      <c r="F29" s="277">
        <f t="shared" si="7"/>
        <v>209475.38072635548</v>
      </c>
      <c r="G29" s="299">
        <f t="shared" si="2"/>
        <v>0</v>
      </c>
      <c r="H29" s="277">
        <f t="shared" si="8"/>
        <v>163986.34765402842</v>
      </c>
      <c r="I29" s="299">
        <f t="shared" si="9"/>
        <v>2.5118128298608156E-2</v>
      </c>
      <c r="J29" s="299">
        <f t="shared" si="10"/>
        <v>0.12603532767765019</v>
      </c>
      <c r="K29" s="119">
        <f t="shared" si="3"/>
        <v>0.53262836661701729</v>
      </c>
      <c r="L29" s="277">
        <f t="shared" si="4"/>
        <v>87343.780498455497</v>
      </c>
    </row>
    <row r="30" spans="1:21">
      <c r="A30" s="302" t="str">
        <f t="shared" si="0"/>
        <v>I</v>
      </c>
      <c r="B30" s="117">
        <v>10</v>
      </c>
      <c r="C30" s="277">
        <f t="shared" si="5"/>
        <v>1333795.6973744</v>
      </c>
      <c r="D30" s="299">
        <f t="shared" si="1"/>
        <v>2.5118128298608065E-2</v>
      </c>
      <c r="E30" s="299">
        <f t="shared" si="6"/>
        <v>0.16099692826836479</v>
      </c>
      <c r="F30" s="277">
        <f t="shared" si="7"/>
        <v>214737.01021483986</v>
      </c>
      <c r="G30" s="299">
        <f t="shared" si="2"/>
        <v>0</v>
      </c>
      <c r="H30" s="277">
        <f t="shared" si="8"/>
        <v>168105.37777362246</v>
      </c>
      <c r="I30" s="299">
        <f t="shared" si="9"/>
        <v>2.5118128298608156E-2</v>
      </c>
      <c r="J30" s="299">
        <f t="shared" si="10"/>
        <v>0.12603532767765019</v>
      </c>
      <c r="K30" s="119">
        <f t="shared" si="3"/>
        <v>0.49662318565689262</v>
      </c>
      <c r="L30" s="277">
        <f t="shared" si="4"/>
        <v>83485.028235991776</v>
      </c>
    </row>
    <row r="31" spans="1:21">
      <c r="A31" s="302" t="str">
        <f t="shared" si="0"/>
        <v>I</v>
      </c>
      <c r="B31" s="117">
        <v>11</v>
      </c>
      <c r="C31" s="277">
        <f t="shared" si="5"/>
        <v>1367298.1488251816</v>
      </c>
      <c r="D31" s="299">
        <f t="shared" si="1"/>
        <v>2.5118128298608065E-2</v>
      </c>
      <c r="E31" s="299">
        <f t="shared" si="6"/>
        <v>0.16099692826836479</v>
      </c>
      <c r="F31" s="277">
        <f t="shared" si="7"/>
        <v>220130.80198787572</v>
      </c>
      <c r="G31" s="299">
        <f t="shared" si="2"/>
        <v>0</v>
      </c>
      <c r="H31" s="277">
        <f t="shared" si="8"/>
        <v>172327.87022022629</v>
      </c>
      <c r="I31" s="299">
        <f t="shared" si="9"/>
        <v>2.5118128298608156E-2</v>
      </c>
      <c r="J31" s="299">
        <f t="shared" si="10"/>
        <v>0.12603532767765019</v>
      </c>
      <c r="K31" s="119">
        <f t="shared" si="3"/>
        <v>0.46305192135840806</v>
      </c>
      <c r="L31" s="277">
        <f t="shared" si="4"/>
        <v>79796.751409078177</v>
      </c>
    </row>
    <row r="32" spans="1:21">
      <c r="A32" s="302" t="str">
        <f t="shared" si="0"/>
        <v>I</v>
      </c>
      <c r="B32" s="117">
        <v>12</v>
      </c>
      <c r="C32" s="277">
        <f t="shared" si="5"/>
        <v>1401642.119149822</v>
      </c>
      <c r="D32" s="299">
        <f t="shared" si="1"/>
        <v>2.5118128298608065E-2</v>
      </c>
      <c r="E32" s="299">
        <f t="shared" si="6"/>
        <v>0.16099692826836479</v>
      </c>
      <c r="F32" s="277">
        <f t="shared" si="7"/>
        <v>225660.07571468269</v>
      </c>
      <c r="G32" s="299">
        <f t="shared" si="2"/>
        <v>0</v>
      </c>
      <c r="H32" s="277">
        <f t="shared" si="8"/>
        <v>176656.42377384385</v>
      </c>
      <c r="I32" s="299">
        <f t="shared" si="9"/>
        <v>2.5118128298608378E-2</v>
      </c>
      <c r="J32" s="299">
        <f t="shared" si="10"/>
        <v>0.12603532767765022</v>
      </c>
      <c r="K32" s="119">
        <f t="shared" si="3"/>
        <v>0.43175004322462285</v>
      </c>
      <c r="L32" s="277">
        <f t="shared" si="4"/>
        <v>76271.418600264369</v>
      </c>
    </row>
    <row r="33" spans="1:21">
      <c r="A33" s="302" t="str">
        <f t="shared" si="0"/>
        <v>I</v>
      </c>
      <c r="B33" s="117">
        <v>13</v>
      </c>
      <c r="C33" s="277">
        <f t="shared" si="5"/>
        <v>1436848.7457273602</v>
      </c>
      <c r="D33" s="299">
        <f t="shared" si="1"/>
        <v>2.5118128298608065E-2</v>
      </c>
      <c r="E33" s="299">
        <f t="shared" si="6"/>
        <v>0.16099692826836479</v>
      </c>
      <c r="F33" s="277">
        <f t="shared" si="7"/>
        <v>231328.23444835772</v>
      </c>
      <c r="G33" s="299">
        <f t="shared" si="2"/>
        <v>0</v>
      </c>
      <c r="H33" s="277">
        <f t="shared" si="8"/>
        <v>181093.70249096851</v>
      </c>
      <c r="I33" s="299">
        <f t="shared" si="9"/>
        <v>2.5118128298607934E-2</v>
      </c>
      <c r="J33" s="299">
        <f t="shared" si="10"/>
        <v>0.12603532767765019</v>
      </c>
      <c r="K33" s="119">
        <f t="shared" si="3"/>
        <v>0.40256414286678116</v>
      </c>
      <c r="L33" s="277">
        <f t="shared" si="4"/>
        <v>72901.831121848605</v>
      </c>
      <c r="N33" s="275"/>
      <c r="O33" s="275"/>
      <c r="P33" s="275"/>
      <c r="Q33" s="275"/>
      <c r="R33" s="275"/>
      <c r="S33" s="275"/>
      <c r="T33" s="275"/>
      <c r="U33" s="275"/>
    </row>
    <row r="34" spans="1:21">
      <c r="A34" s="302" t="str">
        <f t="shared" si="0"/>
        <v>I</v>
      </c>
      <c r="B34" s="117">
        <v>14</v>
      </c>
      <c r="C34" s="277">
        <f t="shared" si="5"/>
        <v>1472939.6968682343</v>
      </c>
      <c r="D34" s="299">
        <f t="shared" si="1"/>
        <v>2.5118128298608065E-2</v>
      </c>
      <c r="E34" s="299">
        <f t="shared" si="6"/>
        <v>0.16099692826836479</v>
      </c>
      <c r="F34" s="277">
        <f t="shared" si="7"/>
        <v>237138.76672032211</v>
      </c>
      <c r="G34" s="299">
        <f t="shared" si="2"/>
        <v>0</v>
      </c>
      <c r="H34" s="277">
        <f t="shared" si="8"/>
        <v>185642.43734420667</v>
      </c>
      <c r="I34" s="299">
        <f t="shared" si="9"/>
        <v>2.5118128298608378E-2</v>
      </c>
      <c r="J34" s="299">
        <f t="shared" si="10"/>
        <v>0.12603532767765022</v>
      </c>
      <c r="K34" s="119">
        <f t="shared" si="3"/>
        <v>0.37535118216016894</v>
      </c>
      <c r="L34" s="277">
        <f t="shared" si="4"/>
        <v>69681.108316243073</v>
      </c>
      <c r="N34" s="275"/>
      <c r="O34" s="275"/>
      <c r="P34" s="275"/>
      <c r="Q34" s="275"/>
      <c r="R34" s="275"/>
      <c r="S34" s="275"/>
      <c r="T34" s="275"/>
      <c r="U34" s="275"/>
    </row>
    <row r="35" spans="1:21">
      <c r="A35" s="302" t="str">
        <f t="shared" si="0"/>
        <v>II</v>
      </c>
      <c r="B35" s="117">
        <v>15</v>
      </c>
      <c r="C35" s="277">
        <f t="shared" si="5"/>
        <v>1509937.1851502836</v>
      </c>
      <c r="D35" s="299">
        <f t="shared" si="1"/>
        <v>2.5118128298608065E-2</v>
      </c>
      <c r="E35" s="299">
        <f t="shared" si="6"/>
        <v>0.15727059464000756</v>
      </c>
      <c r="F35" s="277">
        <f t="shared" si="7"/>
        <v>237468.71897764431</v>
      </c>
      <c r="G35" s="299">
        <f t="shared" si="2"/>
        <v>0</v>
      </c>
      <c r="H35" s="277">
        <f t="shared" si="8"/>
        <v>185894.22861065448</v>
      </c>
      <c r="I35" s="299">
        <f t="shared" si="9"/>
        <v>1.3563238559561874E-3</v>
      </c>
      <c r="J35" s="299">
        <f t="shared" si="10"/>
        <v>0.12311388211301814</v>
      </c>
      <c r="K35" s="119">
        <f t="shared" si="3"/>
        <v>0.34997779222393377</v>
      </c>
      <c r="L35" s="277">
        <f t="shared" si="4"/>
        <v>65058.851716328078</v>
      </c>
      <c r="N35" s="275"/>
      <c r="O35" s="275"/>
      <c r="P35" s="275"/>
      <c r="Q35" s="275"/>
      <c r="R35" s="275"/>
      <c r="S35" s="275"/>
      <c r="T35" s="275"/>
      <c r="U35" s="275"/>
    </row>
    <row r="36" spans="1:21">
      <c r="A36" s="302" t="str">
        <f t="shared" si="0"/>
        <v>II</v>
      </c>
      <c r="B36" s="117">
        <v>16</v>
      </c>
      <c r="C36" s="277">
        <f t="shared" si="5"/>
        <v>1547863.9810897277</v>
      </c>
      <c r="D36" s="299">
        <f t="shared" si="1"/>
        <v>2.5118128298608065E-2</v>
      </c>
      <c r="E36" s="299">
        <f t="shared" si="6"/>
        <v>0.15727059464000756</v>
      </c>
      <c r="F36" s="277">
        <f t="shared" si="7"/>
        <v>243433.4887278309</v>
      </c>
      <c r="G36" s="299">
        <f t="shared" si="2"/>
        <v>0</v>
      </c>
      <c r="H36" s="277">
        <f t="shared" si="8"/>
        <v>190563.54369486767</v>
      </c>
      <c r="I36" s="299">
        <f t="shared" si="9"/>
        <v>2.5118128298607934E-2</v>
      </c>
      <c r="J36" s="299">
        <f t="shared" si="10"/>
        <v>0.12311388211301813</v>
      </c>
      <c r="K36" s="119">
        <f t="shared" si="3"/>
        <v>0.32631961978921564</v>
      </c>
      <c r="L36" s="277">
        <f t="shared" si="4"/>
        <v>62184.623124194797</v>
      </c>
    </row>
    <row r="37" spans="1:21">
      <c r="A37" s="302" t="str">
        <f t="shared" si="0"/>
        <v>II</v>
      </c>
      <c r="B37" s="117">
        <v>17</v>
      </c>
      <c r="C37" s="277">
        <f t="shared" si="5"/>
        <v>1586743.4271555338</v>
      </c>
      <c r="D37" s="299">
        <f t="shared" si="1"/>
        <v>2.5118128298608065E-2</v>
      </c>
      <c r="E37" s="299">
        <f t="shared" si="6"/>
        <v>0.15727059464000756</v>
      </c>
      <c r="F37" s="277">
        <f t="shared" si="7"/>
        <v>249548.08232987433</v>
      </c>
      <c r="G37" s="299">
        <f t="shared" si="2"/>
        <v>0</v>
      </c>
      <c r="H37" s="277">
        <f t="shared" si="8"/>
        <v>195350.14323443276</v>
      </c>
      <c r="I37" s="299">
        <f t="shared" si="9"/>
        <v>2.5118128298608156E-2</v>
      </c>
      <c r="J37" s="299">
        <f t="shared" si="10"/>
        <v>0.12311388211301813</v>
      </c>
      <c r="K37" s="119">
        <f t="shared" si="3"/>
        <v>0.30426071775218239</v>
      </c>
      <c r="L37" s="277">
        <f t="shared" si="4"/>
        <v>59437.374793500145</v>
      </c>
    </row>
    <row r="38" spans="1:21">
      <c r="A38" s="302" t="str">
        <f t="shared" si="0"/>
        <v>II</v>
      </c>
      <c r="B38" s="117">
        <v>18</v>
      </c>
      <c r="C38" s="277">
        <f t="shared" si="5"/>
        <v>1626599.4521357997</v>
      </c>
      <c r="D38" s="299">
        <f t="shared" si="1"/>
        <v>2.5118128298608065E-2</v>
      </c>
      <c r="E38" s="299">
        <f t="shared" si="6"/>
        <v>0.15727059464000756</v>
      </c>
      <c r="F38" s="277">
        <f t="shared" si="7"/>
        <v>255816.26307850773</v>
      </c>
      <c r="G38" s="299">
        <f t="shared" si="2"/>
        <v>0</v>
      </c>
      <c r="H38" s="277">
        <f t="shared" si="8"/>
        <v>200256.97319534674</v>
      </c>
      <c r="I38" s="299">
        <f t="shared" si="9"/>
        <v>2.5118128298608156E-2</v>
      </c>
      <c r="J38" s="299">
        <f t="shared" si="10"/>
        <v>0.12311388211301814</v>
      </c>
      <c r="K38" s="119">
        <f t="shared" si="3"/>
        <v>0.28369297692511181</v>
      </c>
      <c r="L38" s="277">
        <f t="shared" si="4"/>
        <v>56811.496875800236</v>
      </c>
    </row>
    <row r="39" spans="1:21">
      <c r="A39" s="302" t="str">
        <f t="shared" si="0"/>
        <v>II</v>
      </c>
      <c r="B39" s="117">
        <v>19</v>
      </c>
      <c r="C39" s="277">
        <f t="shared" si="5"/>
        <v>1667456.5858649923</v>
      </c>
      <c r="D39" s="299">
        <f t="shared" si="1"/>
        <v>2.5118128298608065E-2</v>
      </c>
      <c r="E39" s="299">
        <f t="shared" si="6"/>
        <v>0.15727059464000756</v>
      </c>
      <c r="F39" s="277">
        <f t="shared" si="7"/>
        <v>262241.88879538415</v>
      </c>
      <c r="G39" s="299">
        <f t="shared" si="2"/>
        <v>0</v>
      </c>
      <c r="H39" s="277">
        <f t="shared" si="8"/>
        <v>205287.05354075832</v>
      </c>
      <c r="I39" s="299">
        <f t="shared" si="9"/>
        <v>2.5118128298607711E-2</v>
      </c>
      <c r="J39" s="299">
        <f t="shared" si="10"/>
        <v>0.1231138821130181</v>
      </c>
      <c r="K39" s="119">
        <f t="shared" si="3"/>
        <v>0.26451559620057047</v>
      </c>
      <c r="L39" s="277">
        <f t="shared" si="4"/>
        <v>54301.627359592116</v>
      </c>
    </row>
    <row r="40" spans="1:21">
      <c r="A40" s="302" t="str">
        <f t="shared" si="0"/>
        <v>II</v>
      </c>
      <c r="B40" s="117">
        <v>20</v>
      </c>
      <c r="C40" s="277">
        <f t="shared" si="5"/>
        <v>1709339.9743211083</v>
      </c>
      <c r="D40" s="299">
        <f t="shared" si="1"/>
        <v>2.5118128298608065E-2</v>
      </c>
      <c r="E40" s="299">
        <f t="shared" si="6"/>
        <v>0.15727059464000756</v>
      </c>
      <c r="F40" s="277">
        <f t="shared" si="7"/>
        <v>268828.91420341597</v>
      </c>
      <c r="G40" s="299">
        <f t="shared" si="2"/>
        <v>0</v>
      </c>
      <c r="H40" s="277">
        <f t="shared" si="8"/>
        <v>210443.48008963838</v>
      </c>
      <c r="I40" s="299">
        <f t="shared" si="9"/>
        <v>2.5118128298608378E-2</v>
      </c>
      <c r="J40" s="299">
        <f t="shared" si="10"/>
        <v>0.12311388211301814</v>
      </c>
      <c r="K40" s="119">
        <f t="shared" si="3"/>
        <v>0.2466345885320004</v>
      </c>
      <c r="L40" s="277">
        <f t="shared" si="4"/>
        <v>51902.641121150184</v>
      </c>
    </row>
    <row r="41" spans="1:21">
      <c r="A41" s="302" t="str">
        <f t="shared" si="0"/>
        <v>II</v>
      </c>
      <c r="B41" s="117">
        <v>21</v>
      </c>
      <c r="C41" s="277">
        <f t="shared" si="5"/>
        <v>1752275.3951020455</v>
      </c>
      <c r="D41" s="299">
        <f t="shared" si="1"/>
        <v>2.5118128298608065E-2</v>
      </c>
      <c r="E41" s="299">
        <f t="shared" si="6"/>
        <v>0.15727059464000756</v>
      </c>
      <c r="F41" s="277">
        <f t="shared" si="7"/>
        <v>275581.3933607529</v>
      </c>
      <c r="G41" s="299">
        <f t="shared" si="2"/>
        <v>0</v>
      </c>
      <c r="H41" s="277">
        <f t="shared" si="8"/>
        <v>215729.4264221355</v>
      </c>
      <c r="I41" s="299">
        <f t="shared" si="9"/>
        <v>2.5118128298608156E-2</v>
      </c>
      <c r="J41" s="299">
        <f t="shared" si="10"/>
        <v>0.12311388211301813</v>
      </c>
      <c r="K41" s="119">
        <f t="shared" si="3"/>
        <v>0.22996232030955746</v>
      </c>
      <c r="L41" s="277">
        <f t="shared" si="4"/>
        <v>49609.639459084232</v>
      </c>
    </row>
    <row r="42" spans="1:21">
      <c r="A42" s="302" t="str">
        <f t="shared" si="0"/>
        <v>II</v>
      </c>
      <c r="B42" s="117">
        <v>22</v>
      </c>
      <c r="C42" s="277">
        <f t="shared" si="5"/>
        <v>1796289.2732907131</v>
      </c>
      <c r="D42" s="299">
        <f t="shared" si="1"/>
        <v>2.5118128298608065E-2</v>
      </c>
      <c r="E42" s="299">
        <f t="shared" si="6"/>
        <v>0.15727059464000756</v>
      </c>
      <c r="F42" s="277">
        <f t="shared" si="7"/>
        <v>282503.48215589748</v>
      </c>
      <c r="G42" s="299">
        <f t="shared" si="2"/>
        <v>0</v>
      </c>
      <c r="H42" s="277">
        <f t="shared" si="8"/>
        <v>221148.14583279184</v>
      </c>
      <c r="I42" s="299">
        <f t="shared" si="9"/>
        <v>2.5118128298608156E-2</v>
      </c>
      <c r="J42" s="299">
        <f t="shared" si="10"/>
        <v>0.12311388211301812</v>
      </c>
      <c r="K42" s="119">
        <f t="shared" si="3"/>
        <v>0.21441708187371325</v>
      </c>
      <c r="L42" s="277">
        <f t="shared" si="4"/>
        <v>47417.940091249606</v>
      </c>
    </row>
    <row r="43" spans="1:21">
      <c r="A43" s="302" t="str">
        <f t="shared" si="0"/>
        <v>II</v>
      </c>
      <c r="B43" s="117">
        <v>23</v>
      </c>
      <c r="C43" s="277">
        <f t="shared" si="5"/>
        <v>1841408.6977186429</v>
      </c>
      <c r="D43" s="299">
        <f t="shared" si="1"/>
        <v>2.5118128298608065E-2</v>
      </c>
      <c r="E43" s="299">
        <f t="shared" si="6"/>
        <v>0.15727059464000756</v>
      </c>
      <c r="F43" s="277">
        <f t="shared" si="7"/>
        <v>289599.44086549291</v>
      </c>
      <c r="G43" s="299">
        <f t="shared" si="2"/>
        <v>0</v>
      </c>
      <c r="H43" s="277">
        <f t="shared" si="8"/>
        <v>226702.97333281927</v>
      </c>
      <c r="I43" s="299">
        <f t="shared" si="9"/>
        <v>2.5118128298608378E-2</v>
      </c>
      <c r="J43" s="299">
        <f t="shared" si="10"/>
        <v>0.12311388211301814</v>
      </c>
      <c r="K43" s="119">
        <f t="shared" si="3"/>
        <v>0.19992268706173733</v>
      </c>
      <c r="L43" s="277">
        <f t="shared" si="4"/>
        <v>45323.067593582608</v>
      </c>
    </row>
    <row r="44" spans="1:21">
      <c r="A44" s="302" t="str">
        <f t="shared" si="0"/>
        <v>II</v>
      </c>
      <c r="B44" s="117">
        <v>24</v>
      </c>
      <c r="C44" s="277">
        <f t="shared" si="5"/>
        <v>1887661.4376381128</v>
      </c>
      <c r="D44" s="299">
        <f t="shared" si="1"/>
        <v>2.5118128298608065E-2</v>
      </c>
      <c r="E44" s="299">
        <f t="shared" si="6"/>
        <v>0.15727059464000756</v>
      </c>
      <c r="F44" s="277">
        <f t="shared" si="7"/>
        <v>296873.63677635754</v>
      </c>
      <c r="G44" s="299">
        <f t="shared" si="2"/>
        <v>0</v>
      </c>
      <c r="H44" s="277">
        <f t="shared" si="8"/>
        <v>232397.32770266893</v>
      </c>
      <c r="I44" s="299">
        <f t="shared" si="9"/>
        <v>2.5118128298607934E-2</v>
      </c>
      <c r="J44" s="299">
        <f t="shared" si="10"/>
        <v>0.12311388211301812</v>
      </c>
      <c r="K44" s="119">
        <f t="shared" si="3"/>
        <v>0.18640809982446369</v>
      </c>
      <c r="L44" s="277">
        <f t="shared" si="4"/>
        <v>43320.744261337713</v>
      </c>
    </row>
    <row r="45" spans="1:21">
      <c r="A45" s="302" t="str">
        <f t="shared" si="0"/>
        <v>II</v>
      </c>
      <c r="B45" s="117">
        <v>25</v>
      </c>
      <c r="C45" s="277">
        <f t="shared" si="5"/>
        <v>1935075.9598130421</v>
      </c>
      <c r="D45" s="299">
        <f t="shared" si="1"/>
        <v>2.5118128298608065E-2</v>
      </c>
      <c r="E45" s="299">
        <f t="shared" si="6"/>
        <v>0.15727059464000756</v>
      </c>
      <c r="F45" s="277">
        <f t="shared" si="7"/>
        <v>304330.54687338049</v>
      </c>
      <c r="G45" s="299">
        <f t="shared" si="2"/>
        <v>0</v>
      </c>
      <c r="H45" s="277">
        <f t="shared" si="8"/>
        <v>238234.71359615825</v>
      </c>
      <c r="I45" s="299">
        <f t="shared" si="9"/>
        <v>2.5118128298608156E-2</v>
      </c>
      <c r="J45" s="299">
        <f t="shared" si="10"/>
        <v>0.12311388211301812</v>
      </c>
      <c r="K45" s="119">
        <f t="shared" si="3"/>
        <v>0.17380708608341602</v>
      </c>
      <c r="L45" s="277">
        <f t="shared" si="4"/>
        <v>41406.881374065437</v>
      </c>
    </row>
    <row r="46" spans="1:21">
      <c r="A46" s="302" t="str">
        <f t="shared" si="0"/>
        <v>II</v>
      </c>
      <c r="B46" s="117">
        <v>26</v>
      </c>
      <c r="C46" s="277">
        <f t="shared" si="5"/>
        <v>1983681.4460391784</v>
      </c>
      <c r="D46" s="299">
        <f t="shared" si="1"/>
        <v>2.5118128298608065E-2</v>
      </c>
      <c r="E46" s="299">
        <f t="shared" si="6"/>
        <v>0.15727059464000756</v>
      </c>
      <c r="F46" s="277">
        <f t="shared" si="7"/>
        <v>311974.76059493166</v>
      </c>
      <c r="G46" s="299">
        <f t="shared" si="2"/>
        <v>0</v>
      </c>
      <c r="H46" s="277">
        <f t="shared" si="8"/>
        <v>244218.72369744876</v>
      </c>
      <c r="I46" s="299">
        <f t="shared" si="9"/>
        <v>2.5118128298608378E-2</v>
      </c>
      <c r="J46" s="299">
        <f t="shared" si="10"/>
        <v>0.12311388211301814</v>
      </c>
      <c r="K46" s="119">
        <f t="shared" si="3"/>
        <v>0.16205788912206626</v>
      </c>
      <c r="L46" s="277">
        <f t="shared" si="4"/>
        <v>39577.570846493683</v>
      </c>
    </row>
    <row r="47" spans="1:21">
      <c r="A47" s="302" t="str">
        <f t="shared" si="0"/>
        <v>II</v>
      </c>
      <c r="B47" s="117">
        <v>27</v>
      </c>
      <c r="C47" s="277">
        <f t="shared" si="5"/>
        <v>2033507.8111043591</v>
      </c>
      <c r="D47" s="299">
        <f t="shared" si="1"/>
        <v>2.5118128298608065E-2</v>
      </c>
      <c r="E47" s="299">
        <f t="shared" si="6"/>
        <v>0.15727059464000756</v>
      </c>
      <c r="F47" s="277">
        <f t="shared" si="7"/>
        <v>319810.98265748273</v>
      </c>
      <c r="G47" s="299">
        <f t="shared" si="2"/>
        <v>0</v>
      </c>
      <c r="H47" s="277">
        <f t="shared" si="8"/>
        <v>250353.04093220361</v>
      </c>
      <c r="I47" s="299">
        <f t="shared" si="9"/>
        <v>2.5118128298608156E-2</v>
      </c>
      <c r="J47" s="299">
        <f t="shared" si="10"/>
        <v>0.12311388211301813</v>
      </c>
      <c r="K47" s="119">
        <f t="shared" si="3"/>
        <v>0.15110292692034147</v>
      </c>
      <c r="L47" s="277">
        <f t="shared" si="4"/>
        <v>37829.077248264017</v>
      </c>
      <c r="N47" s="275"/>
      <c r="O47" s="275"/>
      <c r="P47" s="275"/>
      <c r="Q47" s="275"/>
      <c r="R47" s="275"/>
      <c r="S47" s="275"/>
      <c r="T47" s="275"/>
      <c r="U47" s="275"/>
    </row>
    <row r="48" spans="1:21">
      <c r="A48" s="302" t="str">
        <f t="shared" si="0"/>
        <v>II</v>
      </c>
      <c r="B48" s="117">
        <v>28</v>
      </c>
      <c r="C48" s="277">
        <f t="shared" si="5"/>
        <v>2084585.7211999001</v>
      </c>
      <c r="D48" s="299">
        <f t="shared" si="1"/>
        <v>2.5118128298608065E-2</v>
      </c>
      <c r="E48" s="299">
        <f t="shared" si="6"/>
        <v>0.15727059464000756</v>
      </c>
      <c r="F48" s="277">
        <f t="shared" si="7"/>
        <v>327844.0359511773</v>
      </c>
      <c r="G48" s="299">
        <f t="shared" si="2"/>
        <v>0</v>
      </c>
      <c r="H48" s="277">
        <f t="shared" si="8"/>
        <v>256641.4407342854</v>
      </c>
      <c r="I48" s="299">
        <f t="shared" si="9"/>
        <v>2.5118128298608156E-2</v>
      </c>
      <c r="J48" s="299">
        <f t="shared" si="10"/>
        <v>0.12311388211301813</v>
      </c>
      <c r="K48" s="119">
        <f t="shared" si="3"/>
        <v>0.14088850994903634</v>
      </c>
      <c r="L48" s="277">
        <f t="shared" si="4"/>
        <v>36157.830176227391</v>
      </c>
      <c r="N48" s="275"/>
      <c r="O48" s="275"/>
      <c r="P48" s="275"/>
      <c r="Q48" s="275"/>
      <c r="R48" s="275"/>
      <c r="S48" s="275"/>
      <c r="T48" s="275"/>
      <c r="U48" s="275"/>
    </row>
    <row r="49" spans="1:21">
      <c r="A49" s="302" t="str">
        <f t="shared" si="0"/>
        <v>II</v>
      </c>
      <c r="B49" s="117">
        <v>29</v>
      </c>
      <c r="C49" s="277">
        <f t="shared" si="5"/>
        <v>2136946.6127944458</v>
      </c>
      <c r="D49" s="299">
        <f t="shared" si="1"/>
        <v>2.5118128298608065E-2</v>
      </c>
      <c r="E49" s="299">
        <f t="shared" si="6"/>
        <v>0.15727059464000756</v>
      </c>
      <c r="F49" s="277">
        <f t="shared" si="7"/>
        <v>336078.86450813251</v>
      </c>
      <c r="G49" s="299">
        <f t="shared" si="2"/>
        <v>0</v>
      </c>
      <c r="H49" s="277">
        <f t="shared" si="8"/>
        <v>263087.79336938879</v>
      </c>
      <c r="I49" s="299">
        <f t="shared" si="9"/>
        <v>2.5118128298608156E-2</v>
      </c>
      <c r="J49" s="299">
        <f t="shared" si="10"/>
        <v>0.12311388211301812</v>
      </c>
      <c r="K49" s="119">
        <f t="shared" si="3"/>
        <v>0.1313645780410595</v>
      </c>
      <c r="L49" s="277">
        <f t="shared" si="4"/>
        <v>34560.416963723212</v>
      </c>
      <c r="N49" s="275"/>
      <c r="O49" s="275"/>
      <c r="P49" s="275"/>
      <c r="Q49" s="275"/>
      <c r="R49" s="275"/>
      <c r="S49" s="275"/>
      <c r="T49" s="275"/>
      <c r="U49" s="275"/>
    </row>
    <row r="50" spans="1:21">
      <c r="A50" s="302" t="str">
        <f t="shared" si="0"/>
        <v>II</v>
      </c>
      <c r="B50" s="117">
        <v>30</v>
      </c>
      <c r="C50" s="277">
        <f t="shared" si="5"/>
        <v>2190622.7119818931</v>
      </c>
      <c r="D50" s="299">
        <f t="shared" si="1"/>
        <v>2.5118128298608065E-2</v>
      </c>
      <c r="E50" s="299">
        <f t="shared" si="6"/>
        <v>0.15727059464000756</v>
      </c>
      <c r="F50" s="277">
        <f t="shared" si="7"/>
        <v>344520.53654529835</v>
      </c>
      <c r="G50" s="299">
        <f t="shared" si="2"/>
        <v>0</v>
      </c>
      <c r="H50" s="277">
        <f t="shared" si="8"/>
        <v>269696.06631703884</v>
      </c>
      <c r="I50" s="299">
        <f t="shared" si="9"/>
        <v>2.5118128298608378E-2</v>
      </c>
      <c r="J50" s="299">
        <f t="shared" si="10"/>
        <v>0.12311388211301813</v>
      </c>
      <c r="K50" s="119">
        <f t="shared" si="3"/>
        <v>0.12248445504993893</v>
      </c>
      <c r="L50" s="277">
        <f t="shared" si="4"/>
        <v>33033.575711954691</v>
      </c>
      <c r="N50" s="275"/>
      <c r="O50" s="275"/>
      <c r="P50" s="275"/>
      <c r="Q50" s="275"/>
      <c r="R50" s="275"/>
      <c r="S50" s="275"/>
      <c r="T50" s="275"/>
      <c r="U50" s="275"/>
    </row>
    <row r="51" spans="1:21">
      <c r="A51" s="315" t="s">
        <v>418</v>
      </c>
      <c r="B51" s="316">
        <f>C15+1</f>
        <v>31</v>
      </c>
      <c r="C51" s="277">
        <f>VLOOKUP(C15,B21:C50,2,FALSE)*(1+Terminal_Growth)</f>
        <v>2234435.1662215311</v>
      </c>
      <c r="D51" s="301">
        <f>Terminal_Growth</f>
        <v>0.02</v>
      </c>
      <c r="E51" s="301">
        <f>F17</f>
        <v>0.15727059464000756</v>
      </c>
      <c r="F51" s="277">
        <f>C51*E51</f>
        <v>351410.94727620436</v>
      </c>
      <c r="G51" s="299">
        <f>F18</f>
        <v>0</v>
      </c>
      <c r="H51" s="277">
        <f>(F51*(1-$I$10)+C51*(G51-$I$9))/Equity_Cost</f>
        <v>3794344.6571500646</v>
      </c>
      <c r="I51" s="415">
        <f>(F51*(1-$I$10)+C51*(G51-$I$9))/VLOOKUP(C15,B21:H50,COLUMN(H20)-1,FALSE)-1</f>
        <v>2.000000000000024E-2</v>
      </c>
      <c r="J51" s="454"/>
      <c r="K51" s="119">
        <f>1/(1+Equity_Cost)^C15</f>
        <v>0.12248445504993893</v>
      </c>
      <c r="L51" s="277">
        <f t="shared" si="4"/>
        <v>464748.23760267306</v>
      </c>
    </row>
    <row r="52" spans="1:21" ht="13.15">
      <c r="G52" s="111"/>
      <c r="H52" s="111"/>
      <c r="I52" s="111"/>
      <c r="J52" s="468" t="s">
        <v>420</v>
      </c>
      <c r="K52" s="468"/>
      <c r="L52" s="317">
        <f>SUM(L21:L51)</f>
        <v>2553060.4355806289</v>
      </c>
    </row>
    <row r="53" spans="1:21">
      <c r="C53" s="111"/>
    </row>
    <row r="54" spans="1:21" ht="13.15">
      <c r="B54" s="115" t="s">
        <v>108</v>
      </c>
      <c r="C54" s="128"/>
      <c r="D54" s="128"/>
      <c r="E54" s="113"/>
      <c r="F54" s="113"/>
      <c r="G54" s="113"/>
      <c r="H54" s="113"/>
      <c r="I54" s="113"/>
      <c r="J54" s="113"/>
      <c r="K54" s="113"/>
      <c r="L54" s="113"/>
    </row>
    <row r="55" spans="1:21" ht="13.15">
      <c r="A55" s="125">
        <f>L52</f>
        <v>2553060.4355806289</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1803128.5918062211</v>
      </c>
      <c r="C56" s="118">
        <v>1821159.8777242838</v>
      </c>
      <c r="D56" s="118">
        <v>1839191.1636423455</v>
      </c>
      <c r="E56" s="118">
        <v>1857222.449560408</v>
      </c>
      <c r="F56" s="118">
        <v>1893285.0213965327</v>
      </c>
      <c r="G56" s="295"/>
      <c r="H56" s="295"/>
      <c r="I56" s="295"/>
      <c r="J56" s="295"/>
      <c r="K56" s="295"/>
      <c r="L56" s="295"/>
    </row>
    <row r="57" spans="1:21" ht="13.15">
      <c r="A57" s="131">
        <v>2</v>
      </c>
      <c r="B57" s="118">
        <v>1800900.7077006742</v>
      </c>
      <c r="C57" s="118">
        <v>1835863.5287029452</v>
      </c>
      <c r="D57" s="118">
        <v>1871162.0687928458</v>
      </c>
      <c r="E57" s="118">
        <v>1906796.3279703753</v>
      </c>
      <c r="F57" s="118">
        <v>1979072.0035883207</v>
      </c>
      <c r="G57" s="295"/>
      <c r="H57" s="295"/>
      <c r="I57" s="295"/>
      <c r="J57" s="295"/>
      <c r="K57" s="295"/>
      <c r="L57" s="295"/>
    </row>
    <row r="58" spans="1:21" ht="13.15">
      <c r="A58" s="131">
        <v>3</v>
      </c>
      <c r="B58" s="118">
        <v>1798823.4264833808</v>
      </c>
      <c r="C58" s="118">
        <v>1849710.3235639695</v>
      </c>
      <c r="D58" s="118">
        <v>1901567.9646003142</v>
      </c>
      <c r="E58" s="118">
        <v>1954405.7403361243</v>
      </c>
      <c r="F58" s="118">
        <v>2063059.2588809803</v>
      </c>
      <c r="G58" s="295"/>
      <c r="H58" s="295"/>
      <c r="I58" s="295"/>
      <c r="J58" s="295"/>
      <c r="K58" s="295"/>
      <c r="L58" s="295"/>
    </row>
    <row r="59" spans="1:21" ht="13.15">
      <c r="A59" s="131">
        <v>4</v>
      </c>
      <c r="B59" s="118">
        <v>1796886.5675395173</v>
      </c>
      <c r="C59" s="118">
        <v>1862750.1956475452</v>
      </c>
      <c r="D59" s="118">
        <v>1930485.4599137106</v>
      </c>
      <c r="E59" s="118">
        <v>2000128.5326314354</v>
      </c>
      <c r="F59" s="118">
        <v>2145284.5437828843</v>
      </c>
      <c r="G59" s="295"/>
      <c r="H59" s="295"/>
      <c r="I59" s="295"/>
      <c r="J59" s="295"/>
      <c r="K59" s="295"/>
      <c r="L59" s="295"/>
    </row>
    <row r="60" spans="1:21" ht="13.15">
      <c r="A60" s="131">
        <v>5</v>
      </c>
      <c r="B60" s="118">
        <v>1797723.9805482342</v>
      </c>
      <c r="C60" s="118">
        <v>1877726.641695542</v>
      </c>
      <c r="D60" s="118">
        <v>1960737.5466129768</v>
      </c>
      <c r="E60" s="118">
        <v>2046843.7876520243</v>
      </c>
      <c r="F60" s="118">
        <v>2228699.1073663551</v>
      </c>
      <c r="G60" s="295"/>
      <c r="H60" s="295"/>
      <c r="I60" s="295"/>
      <c r="J60" s="295"/>
      <c r="K60" s="295"/>
      <c r="L60" s="295"/>
    </row>
    <row r="61" spans="1:21" ht="13.15">
      <c r="A61" s="131">
        <v>6</v>
      </c>
      <c r="B61" s="118">
        <v>1796040.1305853557</v>
      </c>
      <c r="C61" s="118">
        <v>1889290.9983442929</v>
      </c>
      <c r="D61" s="118">
        <v>1986893.250721568</v>
      </c>
      <c r="E61" s="118">
        <v>2089014.6607475593</v>
      </c>
      <c r="F61" s="118">
        <v>2307510.5692509133</v>
      </c>
      <c r="G61" s="295"/>
      <c r="H61" s="295"/>
      <c r="I61" s="295"/>
      <c r="J61" s="295"/>
      <c r="K61" s="295"/>
      <c r="L61" s="295"/>
    </row>
    <row r="62" spans="1:21" ht="13.15">
      <c r="A62" s="131">
        <v>7</v>
      </c>
      <c r="B62" s="118">
        <v>1796934.761942955</v>
      </c>
      <c r="C62" s="118">
        <v>1902720.7775684698</v>
      </c>
      <c r="D62" s="118">
        <v>2014384.1168917788</v>
      </c>
      <c r="E62" s="118">
        <v>2132207.6216469961</v>
      </c>
      <c r="F62" s="118">
        <v>2387521.7896427466</v>
      </c>
      <c r="G62" s="295"/>
      <c r="H62" s="295"/>
      <c r="I62" s="295"/>
      <c r="J62" s="295"/>
      <c r="K62" s="295"/>
      <c r="L62" s="295"/>
    </row>
    <row r="63" spans="1:21" ht="13.15">
      <c r="A63" s="131">
        <v>8</v>
      </c>
      <c r="B63" s="118">
        <v>1795470.8707770703</v>
      </c>
      <c r="C63" s="118">
        <v>1912976.579453825</v>
      </c>
      <c r="D63" s="118">
        <v>2038041.7971300543</v>
      </c>
      <c r="E63" s="118">
        <v>2171102.5020417371</v>
      </c>
      <c r="F63" s="118">
        <v>2463061.1633498883</v>
      </c>
      <c r="G63" s="295"/>
      <c r="H63" s="295"/>
      <c r="I63" s="295"/>
      <c r="J63" s="295"/>
      <c r="K63" s="295"/>
      <c r="L63" s="295"/>
    </row>
    <row r="64" spans="1:21" ht="13.15">
      <c r="A64" s="131">
        <v>9</v>
      </c>
      <c r="B64" s="118">
        <v>1796403.9835669312</v>
      </c>
      <c r="C64" s="118">
        <v>1925026.0800585649</v>
      </c>
      <c r="D64" s="118">
        <v>2063028.8883012477</v>
      </c>
      <c r="E64" s="118">
        <v>2211042.5648013111</v>
      </c>
      <c r="F64" s="118">
        <v>2539809.0845648199</v>
      </c>
      <c r="G64" s="295"/>
      <c r="H64" s="295"/>
      <c r="I64" s="295"/>
      <c r="J64" s="295"/>
      <c r="K64" s="295"/>
      <c r="L64" s="295"/>
    </row>
    <row r="65" spans="1:21" ht="13.15">
      <c r="A65" s="131">
        <v>10</v>
      </c>
      <c r="B65" s="118">
        <v>1795131.3183100508</v>
      </c>
      <c r="C65" s="118">
        <v>1934121.3955617417</v>
      </c>
      <c r="D65" s="118">
        <v>2084427.1206689507</v>
      </c>
      <c r="E65" s="118">
        <v>2246915.9439816289</v>
      </c>
      <c r="F65" s="118">
        <v>2612212.2203983553</v>
      </c>
      <c r="G65" s="295"/>
      <c r="H65" s="295"/>
      <c r="I65" s="295"/>
      <c r="J65" s="295"/>
      <c r="K65" s="295"/>
      <c r="L65" s="295"/>
    </row>
    <row r="66" spans="1:21" ht="13.15">
      <c r="A66" s="131">
        <v>15</v>
      </c>
      <c r="B66" s="118">
        <v>1795951.2429734594</v>
      </c>
      <c r="C66" s="277">
        <v>1978608.8375075681</v>
      </c>
      <c r="D66" s="118">
        <v>2183450.2664018157</v>
      </c>
      <c r="E66" s="118">
        <v>2413213.720746126</v>
      </c>
      <c r="F66" s="118">
        <v>2960104.2301325845</v>
      </c>
      <c r="G66" s="295"/>
      <c r="H66" s="295"/>
      <c r="I66" s="295"/>
      <c r="J66" s="295"/>
      <c r="K66" s="295"/>
      <c r="L66" s="295"/>
      <c r="M66" s="275"/>
      <c r="N66" s="275"/>
      <c r="O66" s="275"/>
      <c r="P66" s="275"/>
      <c r="Q66" s="275"/>
      <c r="R66" s="275"/>
      <c r="S66" s="275"/>
      <c r="T66" s="275"/>
      <c r="U66" s="275"/>
    </row>
    <row r="67" spans="1:21" ht="13.15">
      <c r="A67" s="132">
        <v>20</v>
      </c>
      <c r="B67" s="118">
        <v>1795654.7457131369</v>
      </c>
      <c r="C67" s="277">
        <v>2010493.0207018843</v>
      </c>
      <c r="D67" s="118">
        <v>2259210.762496735</v>
      </c>
      <c r="E67" s="118">
        <v>2547535.3954563397</v>
      </c>
      <c r="F67" s="118">
        <v>3270856.7715516072</v>
      </c>
      <c r="G67" s="295"/>
      <c r="H67" s="295"/>
      <c r="I67" s="295"/>
      <c r="J67" s="295"/>
      <c r="K67" s="295"/>
      <c r="L67" s="295"/>
      <c r="M67" s="275"/>
      <c r="N67" s="275"/>
      <c r="O67" s="275"/>
      <c r="P67" s="275"/>
      <c r="Q67" s="275"/>
      <c r="R67" s="275"/>
      <c r="S67" s="275"/>
      <c r="T67" s="275"/>
      <c r="U67" s="275"/>
    </row>
    <row r="68" spans="1:21" ht="13.15">
      <c r="A68" s="132">
        <v>25</v>
      </c>
      <c r="B68" s="118">
        <v>1797311.1890186374</v>
      </c>
      <c r="C68" s="277">
        <v>2036121.5323853511</v>
      </c>
      <c r="D68" s="118">
        <v>2320324.0144922468</v>
      </c>
      <c r="E68" s="118">
        <v>2659596.6334090345</v>
      </c>
      <c r="F68" s="118">
        <v>3553009.655774218</v>
      </c>
      <c r="G68" s="295"/>
      <c r="H68" s="295"/>
      <c r="I68" s="295"/>
      <c r="J68" s="295"/>
      <c r="K68" s="295"/>
      <c r="L68" s="295"/>
      <c r="M68" s="275"/>
      <c r="N68" s="275"/>
      <c r="O68" s="275"/>
      <c r="P68" s="275"/>
      <c r="Q68" s="275"/>
      <c r="R68" s="275"/>
      <c r="S68" s="275"/>
      <c r="T68" s="275"/>
      <c r="U68" s="275"/>
    </row>
    <row r="69" spans="1:21" ht="13.15">
      <c r="A69" s="132">
        <v>30</v>
      </c>
      <c r="B69" s="118">
        <v>1797862.3697535563</v>
      </c>
      <c r="C69" s="277">
        <v>2054314.0659700555</v>
      </c>
      <c r="D69" s="118">
        <v>2366873.5929891476</v>
      </c>
      <c r="E69" s="118">
        <v>2749890.6059227362</v>
      </c>
      <c r="F69" s="118">
        <v>3804851.3817301556</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145.17997398382496</v>
      </c>
      <c r="C73" s="119">
        <f>C11</f>
        <v>145.17997398382496</v>
      </c>
      <c r="D73" s="119">
        <f>C11</f>
        <v>145.17997398382496</v>
      </c>
      <c r="E73" s="119">
        <f>C11</f>
        <v>145.17997398382496</v>
      </c>
      <c r="F73" s="119">
        <f>C11</f>
        <v>145.17997398382496</v>
      </c>
      <c r="G73" s="296"/>
      <c r="H73" s="296"/>
      <c r="I73" s="296"/>
      <c r="J73" s="296"/>
      <c r="K73" s="296"/>
      <c r="L73" s="296"/>
    </row>
    <row r="74" spans="1:21" ht="13.15">
      <c r="A74" s="131">
        <v>1</v>
      </c>
      <c r="B74" s="119">
        <f t="shared" ref="B74:F87" si="11">(B56+FV_adjustments)/Common_Shares*scaling_factor*Exchange_Rate</f>
        <v>106.61113090322245</v>
      </c>
      <c r="C74" s="119">
        <f t="shared" si="11"/>
        <v>107.54415965215033</v>
      </c>
      <c r="D74" s="119">
        <f t="shared" si="11"/>
        <v>108.47718840107815</v>
      </c>
      <c r="E74" s="119">
        <f t="shared" si="11"/>
        <v>109.41021715000599</v>
      </c>
      <c r="F74" s="119">
        <f t="shared" si="11"/>
        <v>111.2762746478617</v>
      </c>
      <c r="G74" s="296"/>
      <c r="H74" s="296"/>
      <c r="I74" s="296"/>
      <c r="J74" s="296"/>
      <c r="K74" s="296"/>
      <c r="L74" s="296"/>
    </row>
    <row r="75" spans="1:21" ht="13.15">
      <c r="A75" s="131">
        <v>2</v>
      </c>
      <c r="B75" s="119">
        <f t="shared" si="11"/>
        <v>106.49584905759032</v>
      </c>
      <c r="C75" s="119">
        <f t="shared" si="11"/>
        <v>108.30499995714209</v>
      </c>
      <c r="D75" s="119">
        <f t="shared" si="11"/>
        <v>110.13152263825978</v>
      </c>
      <c r="E75" s="119">
        <f t="shared" si="11"/>
        <v>111.97541710094347</v>
      </c>
      <c r="F75" s="119">
        <f t="shared" si="11"/>
        <v>115.71532137100861</v>
      </c>
      <c r="G75" s="296"/>
      <c r="H75" s="296"/>
      <c r="I75" s="296"/>
      <c r="J75" s="296"/>
      <c r="K75" s="296"/>
      <c r="L75" s="296"/>
    </row>
    <row r="76" spans="1:21" ht="13.15">
      <c r="A76" s="131">
        <v>3</v>
      </c>
      <c r="B76" s="119">
        <f t="shared" si="11"/>
        <v>106.38836015723402</v>
      </c>
      <c r="C76" s="119">
        <f t="shared" si="11"/>
        <v>109.02150224902246</v>
      </c>
      <c r="D76" s="119">
        <f t="shared" si="11"/>
        <v>111.70487547921577</v>
      </c>
      <c r="E76" s="119">
        <f t="shared" si="11"/>
        <v>114.43896577177385</v>
      </c>
      <c r="F76" s="119">
        <f t="shared" si="11"/>
        <v>120.06124123982377</v>
      </c>
      <c r="G76" s="296"/>
      <c r="H76" s="296"/>
      <c r="I76" s="296"/>
      <c r="J76" s="296"/>
      <c r="K76" s="296"/>
      <c r="L76" s="296"/>
    </row>
    <row r="77" spans="1:21" ht="13.15">
      <c r="A77" s="131">
        <v>4</v>
      </c>
      <c r="B77" s="119">
        <f t="shared" si="11"/>
        <v>106.28813740631907</v>
      </c>
      <c r="C77" s="119">
        <f t="shared" si="11"/>
        <v>109.69625032808933</v>
      </c>
      <c r="D77" s="119">
        <f t="shared" si="11"/>
        <v>113.20121104823686</v>
      </c>
      <c r="E77" s="119">
        <f t="shared" si="11"/>
        <v>116.80489130180207</v>
      </c>
      <c r="F77" s="119">
        <f t="shared" si="11"/>
        <v>124.3159879645379</v>
      </c>
      <c r="G77" s="296"/>
      <c r="H77" s="296"/>
      <c r="I77" s="296"/>
      <c r="J77" s="296"/>
      <c r="K77" s="296"/>
      <c r="L77" s="296"/>
    </row>
    <row r="78" spans="1:21" ht="13.15">
      <c r="A78" s="131">
        <v>5</v>
      </c>
      <c r="B78" s="119">
        <f t="shared" si="11"/>
        <v>106.33146933591129</v>
      </c>
      <c r="C78" s="119">
        <f t="shared" si="11"/>
        <v>110.47120641181213</v>
      </c>
      <c r="D78" s="119">
        <f t="shared" si="11"/>
        <v>114.7666050380908</v>
      </c>
      <c r="E78" s="119">
        <f t="shared" si="11"/>
        <v>119.22217180779437</v>
      </c>
      <c r="F78" s="119">
        <f t="shared" si="11"/>
        <v>128.63227390533626</v>
      </c>
      <c r="G78" s="296"/>
      <c r="H78" s="296"/>
      <c r="I78" s="296"/>
      <c r="J78" s="296"/>
      <c r="K78" s="296"/>
      <c r="L78" s="296"/>
    </row>
    <row r="79" spans="1:21" ht="13.15">
      <c r="A79" s="131">
        <v>6</v>
      </c>
      <c r="B79" s="119">
        <f t="shared" si="11"/>
        <v>106.2443385327403</v>
      </c>
      <c r="C79" s="119">
        <f t="shared" si="11"/>
        <v>111.06960395623415</v>
      </c>
      <c r="D79" s="119">
        <f t="shared" si="11"/>
        <v>116.12003174280073</v>
      </c>
      <c r="E79" s="119">
        <f t="shared" si="11"/>
        <v>121.404303306586</v>
      </c>
      <c r="F79" s="119">
        <f t="shared" si="11"/>
        <v>132.71037238469455</v>
      </c>
      <c r="G79" s="296"/>
      <c r="H79" s="296"/>
      <c r="I79" s="296"/>
      <c r="J79" s="296"/>
      <c r="K79" s="296"/>
      <c r="L79" s="296"/>
    </row>
    <row r="80" spans="1:21" ht="13.15">
      <c r="A80" s="131">
        <f t="shared" ref="A80" si="12">A62</f>
        <v>7</v>
      </c>
      <c r="B80" s="119">
        <f t="shared" si="11"/>
        <v>106.29063122534833</v>
      </c>
      <c r="C80" s="119">
        <f t="shared" si="11"/>
        <v>111.76452777724455</v>
      </c>
      <c r="D80" s="119">
        <f t="shared" si="11"/>
        <v>117.54254639795579</v>
      </c>
      <c r="E80" s="119">
        <f t="shared" si="11"/>
        <v>123.63932273080364</v>
      </c>
      <c r="F80" s="119">
        <f t="shared" si="11"/>
        <v>136.85055235863646</v>
      </c>
      <c r="G80" s="296"/>
      <c r="H80" s="296"/>
      <c r="I80" s="296"/>
      <c r="J80" s="296"/>
      <c r="K80" s="296"/>
      <c r="L80" s="296"/>
    </row>
    <row r="81" spans="1:12" ht="13.15">
      <c r="A81" s="131">
        <v>8</v>
      </c>
      <c r="B81" s="119">
        <f t="shared" si="11"/>
        <v>106.21488218840894</v>
      </c>
      <c r="C81" s="119">
        <f t="shared" si="11"/>
        <v>112.29521416566011</v>
      </c>
      <c r="D81" s="119">
        <f t="shared" si="11"/>
        <v>118.76671287701663</v>
      </c>
      <c r="E81" s="119">
        <f t="shared" si="11"/>
        <v>125.65193801289236</v>
      </c>
      <c r="F81" s="119">
        <f t="shared" si="11"/>
        <v>140.75933666082349</v>
      </c>
      <c r="G81" s="296"/>
      <c r="H81" s="296"/>
      <c r="I81" s="296"/>
      <c r="J81" s="296"/>
      <c r="K81" s="296"/>
      <c r="L81" s="296"/>
    </row>
    <row r="82" spans="1:12" ht="13.15">
      <c r="A82" s="131">
        <f t="shared" ref="A82" si="13">A64</f>
        <v>9</v>
      </c>
      <c r="B82" s="119">
        <f t="shared" si="11"/>
        <v>106.26316610242866</v>
      </c>
      <c r="C82" s="119">
        <f t="shared" si="11"/>
        <v>112.91871548029368</v>
      </c>
      <c r="D82" s="119">
        <f t="shared" si="11"/>
        <v>120.05966971441283</v>
      </c>
      <c r="E82" s="119">
        <f t="shared" si="11"/>
        <v>127.718636248282</v>
      </c>
      <c r="F82" s="119">
        <f t="shared" si="11"/>
        <v>144.73065724435708</v>
      </c>
      <c r="G82" s="296"/>
      <c r="H82" s="296"/>
      <c r="I82" s="296"/>
      <c r="J82" s="296"/>
      <c r="K82" s="296"/>
      <c r="L82" s="296"/>
    </row>
    <row r="83" spans="1:12" ht="13.15">
      <c r="A83" s="131">
        <f t="shared" ref="A83:A87" si="14">A65</f>
        <v>10</v>
      </c>
      <c r="B83" s="119">
        <f t="shared" si="11"/>
        <v>106.19731204865639</v>
      </c>
      <c r="C83" s="119">
        <f t="shared" si="11"/>
        <v>113.38935250993184</v>
      </c>
      <c r="D83" s="119">
        <f t="shared" si="11"/>
        <v>121.16692108106692</v>
      </c>
      <c r="E83" s="119">
        <f t="shared" si="11"/>
        <v>129.57490397364137</v>
      </c>
      <c r="F83" s="119">
        <f t="shared" si="11"/>
        <v>148.47715694228191</v>
      </c>
      <c r="G83" s="296"/>
      <c r="H83" s="296"/>
      <c r="I83" s="296"/>
      <c r="J83" s="296"/>
      <c r="K83" s="296"/>
      <c r="L83" s="296"/>
    </row>
    <row r="84" spans="1:12" ht="13.15">
      <c r="A84" s="131">
        <f t="shared" si="14"/>
        <v>15</v>
      </c>
      <c r="B84" s="119">
        <f t="shared" si="11"/>
        <v>106.23973904395731</v>
      </c>
      <c r="C84" s="119">
        <f t="shared" si="11"/>
        <v>115.69135484577937</v>
      </c>
      <c r="D84" s="119">
        <f t="shared" si="11"/>
        <v>126.29087298321522</v>
      </c>
      <c r="E84" s="119">
        <f t="shared" si="11"/>
        <v>138.17998113281578</v>
      </c>
      <c r="F84" s="119">
        <f t="shared" si="11"/>
        <v>166.47882626743919</v>
      </c>
      <c r="G84" s="296"/>
      <c r="H84" s="296"/>
      <c r="I84" s="296"/>
      <c r="J84" s="296"/>
      <c r="K84" s="296"/>
      <c r="L84" s="296"/>
    </row>
    <row r="85" spans="1:12" ht="13.15">
      <c r="A85" s="132">
        <f t="shared" si="14"/>
        <v>20</v>
      </c>
      <c r="B85" s="119">
        <f t="shared" si="11"/>
        <v>106.22439679553885</v>
      </c>
      <c r="C85" s="119">
        <f t="shared" si="11"/>
        <v>117.34120165601598</v>
      </c>
      <c r="D85" s="119">
        <f t="shared" si="11"/>
        <v>130.21109926162984</v>
      </c>
      <c r="E85" s="119">
        <f t="shared" si="11"/>
        <v>145.1304551410629</v>
      </c>
      <c r="F85" s="119">
        <f t="shared" si="11"/>
        <v>182.55871409484587</v>
      </c>
      <c r="G85" s="296"/>
      <c r="H85" s="296"/>
      <c r="I85" s="296"/>
      <c r="J85" s="296"/>
      <c r="K85" s="296"/>
      <c r="L85" s="296"/>
    </row>
    <row r="86" spans="1:12" ht="13.15">
      <c r="A86" s="132">
        <f t="shared" si="14"/>
        <v>25</v>
      </c>
      <c r="B86" s="119">
        <f t="shared" si="11"/>
        <v>106.31010944143802</v>
      </c>
      <c r="C86" s="119">
        <f t="shared" si="11"/>
        <v>118.66734879280753</v>
      </c>
      <c r="D86" s="119">
        <f t="shared" si="11"/>
        <v>133.37340400857894</v>
      </c>
      <c r="E86" s="119">
        <f t="shared" si="11"/>
        <v>150.92906302324241</v>
      </c>
      <c r="F86" s="119">
        <f t="shared" si="11"/>
        <v>197.1587128841112</v>
      </c>
      <c r="G86" s="296"/>
      <c r="H86" s="296"/>
      <c r="I86" s="296"/>
      <c r="J86" s="296"/>
      <c r="K86" s="296"/>
      <c r="L86" s="296"/>
    </row>
    <row r="87" spans="1:12" ht="13.15">
      <c r="A87" s="132">
        <f t="shared" si="14"/>
        <v>30</v>
      </c>
      <c r="B87" s="119">
        <f t="shared" si="11"/>
        <v>106.33863028425927</v>
      </c>
      <c r="C87" s="119">
        <f t="shared" si="11"/>
        <v>119.60872130098572</v>
      </c>
      <c r="D87" s="119">
        <f t="shared" si="11"/>
        <v>135.78211158414766</v>
      </c>
      <c r="E87" s="119">
        <f t="shared" si="11"/>
        <v>155.60132392537767</v>
      </c>
      <c r="F87" s="119">
        <f t="shared" si="11"/>
        <v>210.19026102572866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30</v>
      </c>
      <c r="E90" s="127">
        <f>INDEX(B$73:F$87, MATCH(D90, A$73:A$87, 0), MATCH(C90, B$72:F$72, 0))</f>
        <v>210.19026102572866</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155.60132392537767</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135.78211158414766</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119.60872130098572</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106.33863028425927</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142590</v>
      </c>
      <c r="D7" s="469"/>
      <c r="E7" s="469"/>
      <c r="F7" s="469"/>
      <c r="G7" s="469"/>
    </row>
    <row r="8" spans="2:7">
      <c r="B8" s="97" t="s">
        <v>63</v>
      </c>
      <c r="C8" s="447">
        <f>Normalized_FCF!G19</f>
        <v>125485.1812230568</v>
      </c>
      <c r="D8" s="469"/>
      <c r="E8" s="469"/>
      <c r="F8" s="469"/>
      <c r="G8" s="469"/>
    </row>
    <row r="9" spans="2:7">
      <c r="B9" s="97" t="s">
        <v>54</v>
      </c>
      <c r="C9" s="447">
        <f>Normalized_FCF!C19</f>
        <v>131172.40159846353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5.3768659363842009E-2</v>
      </c>
      <c r="D12" s="469"/>
      <c r="E12" s="469"/>
      <c r="F12" s="469"/>
      <c r="G12" s="469"/>
    </row>
    <row r="13" spans="2:7">
      <c r="B13" s="135" t="s">
        <v>127</v>
      </c>
      <c r="C13" s="249">
        <f ca="1">(Normalized_FCF!G8/OFFSET(Normalized_FCF!G8, 0, $C$4))^(1/$C$4) - 1</f>
        <v>5.0952518792346746E-2</v>
      </c>
      <c r="D13" s="469"/>
      <c r="E13" s="469"/>
      <c r="F13" s="469"/>
      <c r="G13" s="469"/>
    </row>
    <row r="14" spans="2:7">
      <c r="B14" s="97" t="s">
        <v>63</v>
      </c>
      <c r="C14" s="249">
        <f ca="1">(Normalized_FCF!G19/OFFSET(Normalized_FCF!G19, 0, $C$4))^(1/$C$4) - 1</f>
        <v>6.4892940159722023E-2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155.60132392537767</v>
      </c>
      <c r="F22" s="328">
        <f>1-F23-F24</f>
        <v>0.19999999999999996</v>
      </c>
      <c r="G22" s="328">
        <f>F22*(1-F$29-F$30)</f>
        <v>0.15999999999999995</v>
      </c>
    </row>
    <row r="23" spans="2:7">
      <c r="B23" s="302" t="s">
        <v>437</v>
      </c>
      <c r="C23" s="324">
        <v>0.02</v>
      </c>
      <c r="D23" s="325">
        <f>C18</f>
        <v>30</v>
      </c>
      <c r="E23" s="326">
        <f>DCF!E92</f>
        <v>135.78211158414766</v>
      </c>
      <c r="F23" s="327">
        <v>0.55000000000000004</v>
      </c>
      <c r="G23" s="328">
        <f t="shared" ref="G23:G24" si="0">F23*(1-F$29-F$30)</f>
        <v>0.44</v>
      </c>
    </row>
    <row r="24" spans="2:7">
      <c r="B24" s="302" t="s">
        <v>446</v>
      </c>
      <c r="C24" s="324">
        <v>0.01</v>
      </c>
      <c r="D24" s="325">
        <f>C18</f>
        <v>30</v>
      </c>
      <c r="E24" s="326">
        <f>DCF!E93</f>
        <v>119.60872130098572</v>
      </c>
      <c r="F24" s="327">
        <v>0.25</v>
      </c>
      <c r="G24" s="328">
        <f t="shared" si="0"/>
        <v>0.19999999999999998</v>
      </c>
    </row>
    <row r="25" spans="2:7">
      <c r="B25" s="141" t="s">
        <v>451</v>
      </c>
      <c r="C25" s="441">
        <f>E23*F23+E24*F24+E22*F22</f>
        <v>135.70260648160317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30</v>
      </c>
      <c r="E29" s="326">
        <f>DCF!E90</f>
        <v>210.19026102572866</v>
      </c>
      <c r="F29" s="327">
        <v>0.15</v>
      </c>
      <c r="G29" s="328">
        <f>F29</f>
        <v>0.15</v>
      </c>
    </row>
    <row r="30" spans="2:7">
      <c r="B30" s="315" t="s">
        <v>447</v>
      </c>
      <c r="C30" s="324">
        <v>0</v>
      </c>
      <c r="D30" s="325">
        <f>C18</f>
        <v>30</v>
      </c>
      <c r="E30" s="326">
        <f>DCF!E94</f>
        <v>106.33863028425927</v>
      </c>
      <c r="F30" s="327">
        <v>0.05</v>
      </c>
      <c r="G30" s="328">
        <f>F30</f>
        <v>0.05</v>
      </c>
    </row>
    <row r="31" spans="2:7">
      <c r="E31" s="329"/>
      <c r="F31" s="329"/>
    </row>
    <row r="32" spans="2:7" ht="13.15">
      <c r="B32" s="145" t="s">
        <v>456</v>
      </c>
    </row>
    <row r="33" spans="2:7">
      <c r="B33" s="97" t="s">
        <v>458</v>
      </c>
      <c r="C33" s="155">
        <f>Normalized_FCF!C88*(1-dividend_tax_rate)</f>
        <v>5.09</v>
      </c>
      <c r="D33" t="str">
        <f>Market_currency</f>
        <v>HKD</v>
      </c>
      <c r="E33" s="97" t="s">
        <v>455</v>
      </c>
      <c r="F33" s="219">
        <f>Holding_Period</f>
        <v>3</v>
      </c>
    </row>
    <row r="34" spans="2:7">
      <c r="B34" s="97" t="s">
        <v>233</v>
      </c>
      <c r="C34" s="146">
        <f>Market_Price</f>
        <v>81.2</v>
      </c>
      <c r="D34" t="str">
        <f>Market_currency</f>
        <v>HKD</v>
      </c>
      <c r="E34" s="97" t="s">
        <v>454</v>
      </c>
      <c r="F34" s="330">
        <f>RATE(Holding_Period,$C$33,-C34,$C$36)</f>
        <v>0.2669054568882856</v>
      </c>
    </row>
    <row r="35" spans="2:7">
      <c r="B35" s="97" t="s">
        <v>434</v>
      </c>
      <c r="C35" s="320">
        <f>DCF!C11</f>
        <v>145.17997398382496</v>
      </c>
      <c r="D35" s="97" t="str">
        <f>Market_currency</f>
        <v>HKD</v>
      </c>
      <c r="E35" s="97" t="s">
        <v>454</v>
      </c>
      <c r="F35" s="330">
        <f>RATE(Holding_Period,$C$33,-C35,$C$36)</f>
        <v>3.5564309549845491E-2</v>
      </c>
    </row>
    <row r="36" spans="2:7">
      <c r="B36" s="97" t="s">
        <v>435</v>
      </c>
      <c r="C36" s="321">
        <f>E22*G22+E23*G23+E24*G24+E30*G30+E29*G29</f>
        <v>145.40755585335478</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550</v>
      </c>
      <c r="C40" s="126">
        <f>Normalized_FCF!E116</f>
        <v>0.15727059464000756</v>
      </c>
      <c r="E40" s="97" t="s">
        <v>401</v>
      </c>
    </row>
    <row r="41" spans="2:7">
      <c r="B41" s="97" t="s">
        <v>400</v>
      </c>
      <c r="C41" s="455">
        <f>DCF!C16</f>
        <v>2.5118128298608065E-2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2.5118128298608065E-2</v>
      </c>
      <c r="D46" s="138"/>
      <c r="E46" s="221" t="s">
        <v>252</v>
      </c>
    </row>
    <row r="47" spans="2:7">
      <c r="B47" s="97" t="s">
        <v>96</v>
      </c>
      <c r="C47" s="146">
        <f>DCF!I18</f>
        <v>145.41634829911979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9.1523827165210625E-2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5.09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9.3139445224005097</v>
      </c>
      <c r="D62" s="119">
        <f>C36/(1+F62)^Holding_Period</f>
        <v>67.008090255002216</v>
      </c>
      <c r="E62" s="332">
        <f>C62+D62</f>
        <v>76.32203477740272</v>
      </c>
      <c r="F62" s="301">
        <f>Thesis!E22</f>
        <v>0.29465259038036601</v>
      </c>
      <c r="G62" s="440">
        <f>(1-E62/C36)</f>
        <v>0.47511644543166387</v>
      </c>
    </row>
    <row r="63" spans="2:7" ht="13.15">
      <c r="B63" s="302" t="s">
        <v>313</v>
      </c>
      <c r="C63" s="119">
        <f>PV(F63, Holding_Period, -C58, 0)</f>
        <v>10.709380091599613</v>
      </c>
      <c r="D63" s="119">
        <f>C36/(1+F63)^Holding_Period</f>
        <v>83.989923958616515</v>
      </c>
      <c r="E63" s="332">
        <f>C63+D63</f>
        <v>94.699304050216128</v>
      </c>
      <c r="F63" s="301">
        <f>Thesis!E23</f>
        <v>0.20075184365903001</v>
      </c>
      <c r="G63" s="440">
        <f>(1-E63/C36)</f>
        <v>0.34873189020712592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12.280149911027722</v>
      </c>
      <c r="D66" s="119">
        <f>C36/(1+F66)^Holding_Period</f>
        <v>104.22237688077243</v>
      </c>
      <c r="E66" s="332">
        <f>C66+D66</f>
        <v>116.50252679180015</v>
      </c>
      <c r="F66" s="301">
        <f>Thesis!E24</f>
        <v>0.1174</v>
      </c>
      <c r="G66" s="440">
        <f>(1-E66/C36)</f>
        <v>0.19878629340765264</v>
      </c>
    </row>
    <row r="67" spans="2:7" ht="13.15">
      <c r="B67" s="302" t="s">
        <v>314</v>
      </c>
      <c r="C67" s="119">
        <f>PV(F67, Holding_Period, -C58, 0)</f>
        <v>13.296989906310651</v>
      </c>
      <c r="D67" s="119">
        <f>C36/(1+F67)^Holding_Period</f>
        <v>117.86777133861143</v>
      </c>
      <c r="E67" s="332">
        <f>C67+D67</f>
        <v>131.16476124492209</v>
      </c>
      <c r="F67" s="301">
        <f>Thesis!E25</f>
        <v>7.2499999999999995E-2</v>
      </c>
      <c r="G67" s="440">
        <f>(1-E67/C36)</f>
        <v>9.7950856300732525E-2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81.2</v>
      </c>
    </row>
    <row r="9" spans="1:10">
      <c r="B9" s="351" t="s">
        <v>361</v>
      </c>
      <c r="C9" s="353">
        <f>Common_Shares</f>
        <v>21644606612</v>
      </c>
    </row>
    <row r="10" spans="1:10">
      <c r="B10" s="351" t="s">
        <v>367</v>
      </c>
      <c r="C10" s="357">
        <f>投资主题!C8*Common_Shares/1000000</f>
        <v>1757542.0568944002</v>
      </c>
      <c r="D10" s="343" t="s">
        <v>529</v>
      </c>
      <c r="E10" s="360">
        <f>Scenarios!F34</f>
        <v>0.2669054568882856</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1.1200000000000001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145.40755585335478</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76.32203477740272</v>
      </c>
      <c r="D22" s="365" t="s">
        <v>440</v>
      </c>
      <c r="E22" s="366">
        <f>Thesis!E22</f>
        <v>0.29465259038036601</v>
      </c>
    </row>
    <row r="23" spans="1:6">
      <c r="B23" s="343" t="s">
        <v>341</v>
      </c>
      <c r="C23" s="367">
        <f>E141</f>
        <v>94.699304050216128</v>
      </c>
      <c r="D23" s="365" t="s">
        <v>441</v>
      </c>
      <c r="E23" s="368">
        <f>Thesis!E23</f>
        <v>0.20075184365903001</v>
      </c>
    </row>
    <row r="24" spans="1:6">
      <c r="B24" s="343" t="s">
        <v>343</v>
      </c>
      <c r="C24" s="367">
        <f>E144</f>
        <v>116.50252679180015</v>
      </c>
      <c r="D24" s="365" t="s">
        <v>443</v>
      </c>
      <c r="E24" s="368">
        <f>Thesis!E24</f>
        <v>0.1174</v>
      </c>
    </row>
    <row r="25" spans="1:6">
      <c r="B25" s="343" t="s">
        <v>342</v>
      </c>
      <c r="C25" s="367">
        <f>E145</f>
        <v>131.16476124492209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160987.97999999998</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11097</v>
      </c>
      <c r="D41" s="343" t="str">
        <f>Reporting_currency</f>
        <v>CNY</v>
      </c>
    </row>
    <row r="43" spans="2:6">
      <c r="B43" s="470" t="s">
        <v>504</v>
      </c>
      <c r="C43" s="470"/>
      <c r="D43" s="470"/>
      <c r="E43" s="470"/>
      <c r="F43" s="470"/>
    </row>
    <row r="44" spans="2:6">
      <c r="B44" s="372" t="s">
        <v>267</v>
      </c>
      <c r="C44" s="376">
        <f>Normalized_FCF!C46</f>
        <v>989.94206765508</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-4525.9779323449202</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-36192.744446613491</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125485.1812230568</v>
      </c>
      <c r="D60" s="343" t="str">
        <f>Reporting_currency</f>
        <v>CNY</v>
      </c>
    </row>
    <row r="61" spans="2:6">
      <c r="B61" s="372" t="s">
        <v>213</v>
      </c>
      <c r="C61" s="373">
        <f>Normalized_FCF!C19</f>
        <v>131172.40159846353</v>
      </c>
      <c r="D61" s="343" t="str">
        <f>Reporting_currency</f>
        <v>CNY</v>
      </c>
    </row>
    <row r="62" spans="2:6">
      <c r="B62" s="377" t="s">
        <v>302</v>
      </c>
      <c r="C62" s="378">
        <f>Normalized_FCF!C124</f>
        <v>8.3590084922278637E-2</v>
      </c>
      <c r="F62" s="379"/>
    </row>
    <row r="63" spans="2:6">
      <c r="B63" s="377" t="s">
        <v>332</v>
      </c>
      <c r="C63" s="378">
        <f>Normalized_FCF!C92</f>
        <v>6.2684729064039407E-2</v>
      </c>
      <c r="E63" s="372" t="s">
        <v>373</v>
      </c>
      <c r="F63" s="380">
        <f>Normalized_FCF!C90</f>
        <v>0.83989502603092137</v>
      </c>
    </row>
    <row r="65" spans="1:6">
      <c r="B65" s="369" t="s">
        <v>376</v>
      </c>
      <c r="C65" s="381" t="s">
        <v>327</v>
      </c>
      <c r="D65" s="381" t="s">
        <v>374</v>
      </c>
    </row>
    <row r="66" spans="1:6">
      <c r="B66" s="372" t="s">
        <v>326</v>
      </c>
      <c r="C66" s="378">
        <f>Normalized_FCF!E119</f>
        <v>0.1141273682688253</v>
      </c>
      <c r="D66" s="378">
        <f>Normalized_FCF!G119</f>
        <v>0.11539664872608364</v>
      </c>
    </row>
    <row r="67" spans="1:6">
      <c r="B67" s="382" t="str">
        <f>Normalized_FCF!B116</f>
        <v>Pre-tax Profit/Sales</v>
      </c>
      <c r="C67" s="383">
        <f>Normalized_FCF!E116</f>
        <v>0.15727059464000756</v>
      </c>
      <c r="D67" s="383">
        <f>Normalized_FCF!G116</f>
        <v>0.15901969737764152</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-91932</v>
      </c>
      <c r="D78" s="343" t="str">
        <f>Reporting_currency</f>
        <v>CNY</v>
      </c>
    </row>
    <row r="79" spans="1:6">
      <c r="B79" s="372" t="s">
        <v>234</v>
      </c>
      <c r="C79" s="387">
        <f>C78*scaling_factor*Exchange_Rate/Common_Shares</f>
        <v>-4.7570206216136892</v>
      </c>
      <c r="D79" s="343" t="str">
        <f>Market_currency</f>
        <v>HKD</v>
      </c>
    </row>
    <row r="80" spans="1:6">
      <c r="B80" s="382" t="s">
        <v>309</v>
      </c>
      <c r="C80" s="388">
        <f>IF(BS!G31/BS!G27&gt;300%,"nm",BS!G31/BS!G27)</f>
        <v>6.4100114768294941E-2</v>
      </c>
    </row>
    <row r="81" spans="1:6">
      <c r="B81" s="382" t="s">
        <v>311</v>
      </c>
      <c r="C81" s="389">
        <f>IF(BS!C50&gt;30,"nm",BS!C50)</f>
        <v>0.57104884476468376</v>
      </c>
    </row>
    <row r="83" spans="1:6">
      <c r="B83" s="343" t="s">
        <v>512</v>
      </c>
    </row>
    <row r="84" spans="1:6">
      <c r="B84" s="343" t="s">
        <v>224</v>
      </c>
      <c r="C84" s="373">
        <f>DCF!F5</f>
        <v>86587.65539082</v>
      </c>
      <c r="D84" s="343" t="str">
        <f>Reporting_currency</f>
        <v>CNY</v>
      </c>
    </row>
    <row r="85" spans="1:6">
      <c r="B85" s="382" t="s">
        <v>481</v>
      </c>
      <c r="C85" s="390">
        <f>BS!C66</f>
        <v>251578</v>
      </c>
      <c r="D85" s="391" t="str">
        <f>Reporting_currency</f>
        <v>CNY</v>
      </c>
    </row>
    <row r="86" spans="1:6">
      <c r="B86" s="372" t="s">
        <v>235</v>
      </c>
      <c r="C86" s="387">
        <f>C84*scaling_factor*Exchange_Rate/Common_Shares</f>
        <v>4.4804775515741033</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13.58479908047774</v>
      </c>
      <c r="D90" s="343" t="str">
        <f>Market_currency</f>
        <v>HKD</v>
      </c>
    </row>
    <row r="92" spans="1:6">
      <c r="B92" s="372" t="s">
        <v>480</v>
      </c>
      <c r="C92" s="387">
        <f>DCF!F8</f>
        <v>13.308256010438154</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1.4434990000085306</v>
      </c>
      <c r="D111" s="343" t="str">
        <f>Market_currency</f>
        <v>HKD</v>
      </c>
    </row>
    <row r="112" spans="1:6">
      <c r="A112" s="385"/>
      <c r="B112" s="372" t="s">
        <v>377</v>
      </c>
      <c r="C112" s="394">
        <f>DCF!C11</f>
        <v>145.17997398382496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30</v>
      </c>
      <c r="E118" s="398" t="str">
        <f>ROUND(DCF!E90,2)&amp;" "&amp;Market_currency</f>
        <v>210.19 HKD</v>
      </c>
      <c r="F118" s="399">
        <f>DCF!F90</f>
        <v>0.15</v>
      </c>
    </row>
    <row r="119" spans="1:6">
      <c r="A119" s="385"/>
      <c r="B119" s="400" t="str">
        <f>DCF!B91</f>
        <v>Optimistic</v>
      </c>
      <c r="C119" s="401">
        <f>DCF!C91</f>
        <v>0.03</v>
      </c>
      <c r="D119" s="402">
        <f>DCF!D91</f>
        <v>30</v>
      </c>
      <c r="E119" s="398" t="str">
        <f>ROUND(DCF!E91,2)&amp;" "&amp;Market_currency</f>
        <v>155.6 HKD</v>
      </c>
      <c r="F119" s="403">
        <f>DCF!F91</f>
        <v>0.15999999999999995</v>
      </c>
    </row>
    <row r="120" spans="1:6">
      <c r="B120" s="400" t="str">
        <f>DCF!B92</f>
        <v>Base</v>
      </c>
      <c r="C120" s="401">
        <f>DCF!C92</f>
        <v>0.02</v>
      </c>
      <c r="D120" s="402">
        <f>DCF!D92</f>
        <v>30</v>
      </c>
      <c r="E120" s="398" t="str">
        <f>ROUND(DCF!E92,2)&amp;" "&amp;Market_currency</f>
        <v>135.78 HKD</v>
      </c>
      <c r="F120" s="403">
        <f>DCF!F92</f>
        <v>0.44</v>
      </c>
    </row>
    <row r="121" spans="1:6">
      <c r="B121" s="400" t="str">
        <f>DCF!B93</f>
        <v>Pessimistic</v>
      </c>
      <c r="C121" s="401">
        <f>DCF!C93</f>
        <v>0.01</v>
      </c>
      <c r="D121" s="402">
        <f>DCF!D93</f>
        <v>30</v>
      </c>
      <c r="E121" s="398" t="str">
        <f>ROUND(DCF!E93,2)&amp;" "&amp;Market_currency</f>
        <v>119.61 HKD</v>
      </c>
      <c r="F121" s="403">
        <f>DCF!F93</f>
        <v>0.19999999999999998</v>
      </c>
    </row>
    <row r="122" spans="1:6">
      <c r="B122" s="400" t="str">
        <f>DCF!B94</f>
        <v>Devil's advocate</v>
      </c>
      <c r="C122" s="401">
        <f>DCF!C94</f>
        <v>0</v>
      </c>
      <c r="D122" s="402">
        <f>DCF!D94</f>
        <v>30</v>
      </c>
      <c r="E122" s="398" t="str">
        <f>ROUND(DCF!E94,2)&amp;" "&amp;Market_currency</f>
        <v>106.34 HKD</v>
      </c>
      <c r="F122" s="403">
        <f>DCF!F94</f>
        <v>0.05</v>
      </c>
    </row>
    <row r="124" spans="1:6">
      <c r="B124" s="470" t="s">
        <v>519</v>
      </c>
      <c r="C124" s="470"/>
      <c r="D124" s="470"/>
      <c r="E124" s="470"/>
      <c r="F124" s="470"/>
    </row>
    <row r="125" spans="1:6">
      <c r="B125" s="372" t="s">
        <v>218</v>
      </c>
      <c r="C125" s="404">
        <f>Scenarios!C36</f>
        <v>145.40755585335478</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5.09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9.3139445224005097</v>
      </c>
      <c r="D140" s="409">
        <f>Scenarios!D62</f>
        <v>67.008090255002216</v>
      </c>
      <c r="E140" s="410">
        <f>Scenarios!E62</f>
        <v>76.32203477740272</v>
      </c>
      <c r="F140" s="411">
        <f>E22</f>
        <v>0.29465259038036601</v>
      </c>
    </row>
    <row r="141" spans="1:6">
      <c r="B141" s="408" t="s">
        <v>313</v>
      </c>
      <c r="C141" s="409">
        <f>Scenarios!C63</f>
        <v>10.709380091599613</v>
      </c>
      <c r="D141" s="409">
        <f>Scenarios!D63</f>
        <v>83.989923958616515</v>
      </c>
      <c r="E141" s="410">
        <f>Scenarios!E63</f>
        <v>94.699304050216128</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12.280149911027722</v>
      </c>
      <c r="D144" s="409">
        <f>Scenarios!D66</f>
        <v>104.22237688077243</v>
      </c>
      <c r="E144" s="410">
        <f>Scenarios!E66</f>
        <v>116.50252679180015</v>
      </c>
      <c r="F144" s="411">
        <f>E24</f>
        <v>0.1174</v>
      </c>
    </row>
    <row r="145" spans="1:6">
      <c r="B145" s="408" t="s">
        <v>314</v>
      </c>
      <c r="C145" s="409">
        <f>Scenarios!C67</f>
        <v>13.296989906310651</v>
      </c>
      <c r="D145" s="409">
        <f>Scenarios!D67</f>
        <v>117.86777133861143</v>
      </c>
      <c r="E145" s="410">
        <f>Scenarios!E67</f>
        <v>131.16476124492209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2026-01-28T07:40:16Z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