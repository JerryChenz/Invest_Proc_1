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817C273-9BBB-4ECA-A8EA-0A38D30124EB}"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6" i="2"/>
  <c r="C35" i="2"/>
  <c r="C29" i="2"/>
  <c r="C30" i="2"/>
  <c r="G17" i="3"/>
  <c r="C19" i="3"/>
  <c r="C23" i="3"/>
  <c r="G4" i="3"/>
  <c r="G7" i="3"/>
  <c r="C4" i="3"/>
  <c r="C28" i="4" s="1"/>
  <c r="C9" i="3"/>
  <c r="C11" i="3"/>
  <c r="C5" i="4"/>
  <c r="D5" i="4"/>
  <c r="E5" i="4"/>
  <c r="F5" i="4"/>
  <c r="C6" i="4"/>
  <c r="D6" i="4"/>
  <c r="E6" i="4"/>
  <c r="F6" i="4"/>
  <c r="C7" i="4"/>
  <c r="D7" i="4"/>
  <c r="E7" i="4"/>
  <c r="F7" i="4"/>
  <c r="C25" i="4"/>
  <c r="D25" i="4"/>
  <c r="E25" i="4"/>
  <c r="F25" i="4"/>
  <c r="D28" i="4"/>
  <c r="E28" i="4"/>
  <c r="F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115" i="2" l="1"/>
  <c r="E42" i="8"/>
  <c r="A46" i="8"/>
  <c r="E38" i="8"/>
  <c r="A48" i="8"/>
  <c r="A38" i="8"/>
  <c r="E50" i="8"/>
  <c r="A36" i="8"/>
  <c r="E43" i="8"/>
  <c r="A41" i="8"/>
  <c r="A47" i="8"/>
  <c r="A43" i="8"/>
  <c r="E40" i="8"/>
  <c r="E37" i="8"/>
  <c r="A50" i="8"/>
  <c r="E45" i="8"/>
  <c r="A37" i="8"/>
  <c r="E46" i="8"/>
  <c r="E47" i="8"/>
  <c r="E39" i="8"/>
  <c r="A44" i="8"/>
  <c r="A42" i="8"/>
  <c r="E44" i="8"/>
  <c r="E41" i="8"/>
  <c r="A49" i="8"/>
  <c r="E48" i="8"/>
  <c r="E49" i="8"/>
  <c r="A40" i="8"/>
  <c r="A45" i="8"/>
  <c r="A39" i="8"/>
  <c r="E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6" i="8" l="1"/>
  <c r="D36" i="8"/>
  <c r="D50" i="8"/>
  <c r="G50" i="8"/>
  <c r="G42" i="8"/>
  <c r="D42" i="8"/>
  <c r="D38" i="8"/>
  <c r="G38" i="8"/>
  <c r="G45" i="8"/>
  <c r="D45" i="8"/>
  <c r="D44" i="8"/>
  <c r="G44" i="8"/>
  <c r="G48" i="8"/>
  <c r="D48" i="8"/>
  <c r="D39" i="8"/>
  <c r="G39" i="8"/>
  <c r="D40" i="8"/>
  <c r="G40" i="8"/>
  <c r="G43" i="8"/>
  <c r="D43" i="8"/>
  <c r="D47" i="8"/>
  <c r="G47" i="8"/>
  <c r="G46" i="8"/>
  <c r="D46" i="8"/>
  <c r="G41" i="8"/>
  <c r="D41" i="8"/>
  <c r="D49" i="8"/>
  <c r="G49" i="8"/>
  <c r="G37" i="8"/>
  <c r="D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J36" i="8" l="1"/>
  <c r="I36" i="8"/>
  <c r="L36" i="8"/>
  <c r="C38" i="8"/>
  <c r="F37" i="8"/>
  <c r="H37" i="8" s="1"/>
  <c r="J37" i="8" l="1"/>
  <c r="I37" i="8"/>
  <c r="L37" i="8"/>
  <c r="F38" i="8"/>
  <c r="H38" i="8" s="1"/>
  <c r="C39" i="8"/>
  <c r="F39" i="8" l="1"/>
  <c r="H39" i="8" s="1"/>
  <c r="C40" i="8"/>
  <c r="J38" i="8"/>
  <c r="I38" i="8"/>
  <c r="L38" i="8"/>
  <c r="C41" i="8" l="1"/>
  <c r="F40" i="8"/>
  <c r="H40" i="8" s="1"/>
  <c r="J39" i="8"/>
  <c r="I39" i="8"/>
  <c r="L39" i="8"/>
  <c r="I40" i="8" l="1"/>
  <c r="J40" i="8"/>
  <c r="L40" i="8"/>
  <c r="F41" i="8"/>
  <c r="H41" i="8" s="1"/>
  <c r="C42" i="8"/>
  <c r="F42" i="8" l="1"/>
  <c r="H42" i="8" s="1"/>
  <c r="C43" i="8"/>
  <c r="I41" i="8"/>
  <c r="J41" i="8"/>
  <c r="L41" i="8"/>
  <c r="C44" i="8" l="1"/>
  <c r="F43" i="8"/>
  <c r="H43" i="8" s="1"/>
  <c r="I42" i="8"/>
  <c r="J42" i="8"/>
  <c r="L42" i="8"/>
  <c r="I43" i="8" l="1"/>
  <c r="J43" i="8"/>
  <c r="L43" i="8"/>
  <c r="C45" i="8"/>
  <c r="F44" i="8"/>
  <c r="H44" i="8" s="1"/>
  <c r="J44" i="8" l="1"/>
  <c r="I44" i="8"/>
  <c r="L44" i="8"/>
  <c r="C46" i="8"/>
  <c r="F45" i="8"/>
  <c r="H45" i="8" s="1"/>
  <c r="J45" i="8" l="1"/>
  <c r="I45" i="8"/>
  <c r="L45" i="8"/>
  <c r="F46" i="8"/>
  <c r="H46" i="8" s="1"/>
  <c r="C47" i="8"/>
  <c r="F47" i="8" l="1"/>
  <c r="H47" i="8" s="1"/>
  <c r="C48" i="8"/>
  <c r="I46" i="8"/>
  <c r="J46" i="8"/>
  <c r="L46" i="8"/>
  <c r="F48" i="8" l="1"/>
  <c r="H48" i="8" s="1"/>
  <c r="C49" i="8"/>
  <c r="J47" i="8"/>
  <c r="I47" i="8"/>
  <c r="L47" i="8"/>
  <c r="F49" i="8" l="1"/>
  <c r="H49" i="8" s="1"/>
  <c r="C50" i="8"/>
  <c r="J48" i="8"/>
  <c r="I48" i="8"/>
  <c r="L48" i="8"/>
  <c r="F50" i="8" l="1"/>
  <c r="H50" i="8" s="1"/>
  <c r="C51" i="8"/>
  <c r="F51" i="8" s="1"/>
  <c r="J49" i="8"/>
  <c r="I49" i="8"/>
  <c r="L49" i="8"/>
  <c r="H51" i="8" l="1"/>
  <c r="L51" i="8" s="1"/>
  <c r="I51" i="8"/>
  <c r="I50" i="8"/>
  <c r="J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<sst xmlns="http://schemas.openxmlformats.org/spreadsheetml/2006/main" count="768" uniqueCount="559">
  <si>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</si>
  <si>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</si>
  <si>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</si>
  <si>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</si>
  <si>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</si>
  <si>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</si>
  <si>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</si>
  <si>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</si>
  <si>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</si>
  <si>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</si>
  <si>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</si>
  <si>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</si>
  <si>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</si>
  <si>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</si>
  <si>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</si>
  <si>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</si>
  <si>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</si>
  <si>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</si>
  <si>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</si>
  <si>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</si>
  <si>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</si>
  <si>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</si>
  <si>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</si>
  <si>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</si>
  <si>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</si>
  <si>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</si>
  <si>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</si>
  <si>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</si>
  <si>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</si>
  <si>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</si>
  <si>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</si>
  <si>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</si>
  <si>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</si>
  <si>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</si>
  <si>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</si>
  <si>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</si>
  <si>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</si>
  <si>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</si>
  <si>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</si>
  <si>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</si>
  <si>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</si>
  <si>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</si>
  <si>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</si>
  <si>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</si>
  <si>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</si>
  <si>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</si>
  <si>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</si>
  <si>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</si>
  <si>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</si>
  <si>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</si>
  <si>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</si>
  <si>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</si>
  <si>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</si>
  <si>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</si>
  <si>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</si>
  <si>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</si>
  <si>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</si>
  <si>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</si>
  <si>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</si>
  <si>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</si>
  <si>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</si>
  <si>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</si>
  <si>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</si>
  <si>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</si>
  <si>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</si>
  <si>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</si>
  <si>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</si>
  <si>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</si>
  <si>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</si>
  <si>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</si>
  <si>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</si>
  <si>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</si>
  <si>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</si>
  <si>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</si>
  <si>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</si>
  <si>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</si>
  <si>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</si>
  <si>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</si>
  <si>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</si>
  <si>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</si>
  <si>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</si>
  <si>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</si>
  <si>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</si>
  <si>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</si>
  <si>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</si>
  <si>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</si>
  <si>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</si>
  <si>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</si>
  <si>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</si>
  <si>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</si>
  <si>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</si>
  <si>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</si>
  <si>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</si>
  <si>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</si>
  <si>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</si>
  <si>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</si>
  <si>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</si>
  <si>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</si>
  <si>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</si>
  <si>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</si>
  <si>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</si>
  <si>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</si>
  <si>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</si>
  <si>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</si>
  <si>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</si>
  <si>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</si>
  <si>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</si>
  <si>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</si>
  <si>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</si>
  <si>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</si>
  <si>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</si>
  <si>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</si>
  <si>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</si>
  <si>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</si>
  <si>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</si>
  <si>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</si>
  <si>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</si>
  <si>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</si>
  <si>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</si>
  <si>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</si>
  <si>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</si>
  <si>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</si>
  <si>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</si>
  <si>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</si>
  <si>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</si>
  <si>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</si>
  <si>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</si>
  <si>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</si>
  <si>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</si>
  <si>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</si>
  <si>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</si>
  <si>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</si>
  <si>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</si>
  <si>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</si>
  <si>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</si>
  <si>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</si>
  <si>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</si>
  <si>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</si>
  <si>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</si>
  <si>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</si>
  <si>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</si>
  <si>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</si>
  <si>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</si>
  <si>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</si>
  <si>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</si>
  <si>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</si>
  <si>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</si>
  <si>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</si>
  <si>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</si>
  <si>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</si>
  <si>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</si>
  <si>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</si>
  <si>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</si>
  <si>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</si>
  <si>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</si>
  <si>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</si>
  <si>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</si>
  <si>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</si>
  <si>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</si>
  <si>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</si>
  <si>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</si>
  <si>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</si>
  <si>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</si>
  <si>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</si>
  <si>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</si>
  <si>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</si>
  <si>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</si>
  <si>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</si>
  <si>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</si>
  <si>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</si>
  <si>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</si>
  <si>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</si>
  <si>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</si>
  <si>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</si>
  <si>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</si>
  <si>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</si>
  <si>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</si>
  <si>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</si>
  <si>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</si>
  <si>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</si>
  <si>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</si>
  <si>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</si>
  <si>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</si>
  <si>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</si>
  <si>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</si>
  <si>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</si>
  <si>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</si>
  <si>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</si>
  <si>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</si>
  <si>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</si>
  <si>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</si>
  <si>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</si>
  <si>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</si>
  <si>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</si>
  <si>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</si>
  <si>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</si>
  <si>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</si>
  <si>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</si>
  <si>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</si>
  <si>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</si>
  <si>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</si>
  <si>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</si>
  <si>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</si>
  <si>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</si>
  <si>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</si>
  <si>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</si>
  <si>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</si>
  <si>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</si>
  <si>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</si>
  <si>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</si>
  <si>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</si>
  <si>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</si>
  <si>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</si>
  <si>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</si>
  <si>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</si>
  <si>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</si>
  <si>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</si>
  <si>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</si>
  <si>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</si>
  <si>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</si>
  <si>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</si>
  <si>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</si>
  <si>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</si>
  <si>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</si>
  <si>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</si>
  <si>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</si>
  <si>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</si>
  <si>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</si>
  <si>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</si>
  <si>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</si>
  <si>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</si>
  <si>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</si>
  <si>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</si>
  <si>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</si>
  <si>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</si>
  <si>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</si>
  <si>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</si>
  <si>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</si>
  <si>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</si>
  <si>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</si>
  <si>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</si>
  <si>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</si>
  <si>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</si>
  <si>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</si>
  <si>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</si>
  <si>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</si>
  <si>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</si>
  <si>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</si>
  <si>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</si>
  <si>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</si>
  <si>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</si>
  <si>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</si>
  <si>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</si>
  <si>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</si>
  <si>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</si>
  <si>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</si>
  <si>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</si>
  <si>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</si>
  <si>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</si>
  <si>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</si>
  <si>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</si>
  <si>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</si>
  <si>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</si>
  <si>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</si>
  <si>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</si>
  <si>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</si>
  <si>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</si>
  <si>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</si>
  <si>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</si>
  <si>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</si>
  <si>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</si>
  <si>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</si>
  <si>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</si>
  <si>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</si>
  <si>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</si>
  <si>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</si>
  <si>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</si>
  <si>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</si>
  <si>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</si>
  <si>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</si>
  <si>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</si>
  <si>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</si>
  <si>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</si>
  <si>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</si>
  <si>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</si>
  <si>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</si>
  <si>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</si>
  <si>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</si>
  <si>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</si>
  <si>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</si>
  <si>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</si>
  <si>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</si>
  <si>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</si>
  <si>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</si>
  <si>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</si>
  <si>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</si>
  <si>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</si>
  <si>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</si>
  <si>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</si>
  <si>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</si>
  <si>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</si>
  <si>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</si>
  <si>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</si>
  <si>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</si>
  <si>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</si>
  <si>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</si>
  <si>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</si>
  <si>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</si>
  <si>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</si>
  <si>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</si>
  <si>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</si>
  <si>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</si>
  <si>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</si>
  <si>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</si>
  <si>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</si>
  <si>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</si>
  <si>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</si>
  <si>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</si>
  <si>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</si>
  <si>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</si>
  <si>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</si>
  <si>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</si>
  <si>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</si>
  <si>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</si>
  <si>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</si>
  <si>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</si>
  <si>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</si>
  <si>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</si>
  <si>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</si>
  <si>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</si>
  <si>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</si>
  <si>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</si>
  <si>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</si>
  <si>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</si>
  <si>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</si>
  <si>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</si>
  <si>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</si>
  <si>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</si>
  <si>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</si>
  <si>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</si>
  <si>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</si>
  <si>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</si>
  <si>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</si>
  <si>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</si>
  <si>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</si>
  <si>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</si>
  <si>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</si>
  <si>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</si>
  <si>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</si>
  <si>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</si>
  <si>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</si>
  <si>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</si>
  <si>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</si>
  <si>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</si>
  <si>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</si>
  <si>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</si>
  <si>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</si>
  <si>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</si>
  <si>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</si>
  <si>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</si>
  <si>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</si>
  <si>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</si>
  <si>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</si>
  <si>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</si>
  <si>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</si>
  <si>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</si>
  <si>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</si>
  <si>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</si>
  <si>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</si>
  <si>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</si>
  <si>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</si>
  <si>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</si>
  <si>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</si>
  <si>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</si>
  <si>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</si>
  <si>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</si>
  <si>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</si>
  <si>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</si>
  <si>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</si>
  <si>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</si>
  <si>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</si>
  <si>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</si>
  <si>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</si>
  <si>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</si>
  <si>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</si>
  <si>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</si>
  <si>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</si>
  <si>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</si>
  <si>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</si>
  <si>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</si>
  <si>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</si>
  <si>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</si>
  <si>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</si>
  <si>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</si>
  <si>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</si>
  <si>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</si>
  <si>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</si>
  <si>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</si>
  <si>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</si>
  <si>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</si>
  <si>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</si>
  <si>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</si>
  <si>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</si>
  <si>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</si>
  <si>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</si>
  <si>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</si>
  <si>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</si>
  <si>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</si>
  <si>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</si>
  <si>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</si>
  <si>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</si>
  <si>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</si>
  <si>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</si>
  <si>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</si>
  <si>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</si>
  <si>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</si>
  <si>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</si>
  <si>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</si>
  <si>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</si>
  <si>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</si>
  <si>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</si>
  <si>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</si>
  <si>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</si>
  <si>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</si>
  <si>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</si>
  <si>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</si>
  <si>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</si>
  <si>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</si>
  <si>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</si>
  <si>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</si>
  <si>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</si>
  <si>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</si>
  <si>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</si>
  <si>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</si>
  <si>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</si>
  <si>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</si>
  <si>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</si>
  <si>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</si>
  <si>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</si>
  <si>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</si>
  <si>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</si>
  <si>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</si>
  <si>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</si>
  <si>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</si>
  <si>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</si>
  <si>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</si>
  <si>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</si>
  <si>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</si>
  <si>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</si>
  <si>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</si>
  <si>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</si>
  <si>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</si>
  <si>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</si>
  <si>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</si>
  <si>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</si>
  <si>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</si>
  <si>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</si>
  <si>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</si>
  <si>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</si>
  <si>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</si>
  <si>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</si>
  <si>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</si>
  <si>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</si>
  <si>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</si>
  <si>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</si>
  <si>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</si>
  <si>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</si>
  <si>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</si>
  <si>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</si>
  <si>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</si>
  <si>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</si>
  <si>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</si>
  <si>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</si>
  <si>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</si>
  <si>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</si>
  <si>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</si>
  <si>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</si>
  <si>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</si>
  <si>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</si>
  <si>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</si>
  <si>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</si>
  <si>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</si>
  <si>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</si>
  <si>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</si>
  <si>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</si>
  <si>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</si>
  <si>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</si>
  <si>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</si>
  <si>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</si>
  <si>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</si>
  <si>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</si>
  <si>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</si>
  <si>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</si>
  <si>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</si>
  <si>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</si>
  <si>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</si>
  <si>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</si>
  <si>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</si>
  <si>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</si>
  <si>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</si>
  <si>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</si>
  <si>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</si>
  <si>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</si>
  <si>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</si>
  <si>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</si>
  <si>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</si>
  <si>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</si>
  <si>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</si>
  <si>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</si>
  <si>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</si>
  <si>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</si>
  <si>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</si>
  <si>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</si>
  <si>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</si>
  <si>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</si>
  <si>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</si>
  <si>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</si>
  <si>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</si>
  <si>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</si>
  <si>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</si>
  <si>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</si>
  <si>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</si>
  <si>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</si>
  <si>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</si>
  <si>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</si>
  <si>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</si>
  <si>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</si>
  <si>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</si>
  <si>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</si>
  <si>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</si>
  <si>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</si>
  <si>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</si>
  <si>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</si>
  <si>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</si>
  <si>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</si>
  <si>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</si>
  <si>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</si>
  <si>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</si>
  <si>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</si>
  <si>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</si>
  <si>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</si>
  <si>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</si>
  <si>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</si>
  <si>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</si>
  <si>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</si>
  <si>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</si>
  <si>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</si>
  <si>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</si>
  <si>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</si>
  <si>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</si>
  <si>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</si>
  <si>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</si>
  <si>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</si>
  <si>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</si>
  <si>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</si>
  <si>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中国移动</t>
  </si>
  <si>
    <t>0941.HK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</si>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</sst>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83.7</v>
      </c>
      <c r="E8" s="32"/>
    </row>
    <row r="9" spans="1:9">
      <c r="B9" s="4" t="s">
        <v>345</v>
      </c>
      <c r="C9" s="48">
        <f>20741838745+902767867</f>
        <v>21644606612</v>
      </c>
    </row>
    <row r="10" spans="1:9">
      <c r="B10" s="4" t="s">
        <v>351</v>
      </c>
      <c r="C10" s="33">
        <f>Thesis!C8*Common_Shares/1000000</f>
        <v>1811653.5734244001</v>
      </c>
      <c r="D10" s="1" t="s">
        <v>527</v>
      </c>
      <c r="E10" s="303">
        <f>Scenarios!F34</f>
        <v>0.18353024735296583</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1.146258</v>
      </c>
    </row>
    <row r="17" spans="1:6">
      <c r="B17" s="1" t="s">
        <v>531</v>
      </c>
      <c r="C17" s="456">
        <v>0.02</v>
      </c>
      <c r="D17" s="4" t="s">
        <v>273</v>
      </c>
      <c r="E17" s="224" t="s">
        <v>558</v>
      </c>
    </row>
    <row r="18" spans="1:6">
      <c r="B18" s="1" t="str">
        <f>"Expected Equity Value ("&amp;C7&amp;") :"</f>
        <v>Expected Equity Value (HKD) :</v>
      </c>
      <c r="C18" s="252">
        <f>C125</f>
        <v>122.34020128782399</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64.004729762323151</v>
      </c>
      <c r="D22" s="38" t="s">
        <v>405</v>
      </c>
      <c r="E22" s="79">
        <v>0.3</v>
      </c>
    </row>
    <row r="23" spans="1:6">
      <c r="B23" s="1" t="s">
        <v>312</v>
      </c>
      <c r="C23" s="256">
        <f>E141</f>
        <v>80.448519263787034</v>
      </c>
      <c r="D23" s="38" t="s">
        <v>406</v>
      </c>
      <c r="E23" s="443">
        <v>0.2</v>
      </c>
    </row>
    <row r="24" spans="1:6">
      <c r="B24" s="1" t="s">
        <v>314</v>
      </c>
      <c r="C24" s="256">
        <f>E144</f>
        <v>98.740745676495735</v>
      </c>
      <c r="D24" s="38" t="s">
        <v>407</v>
      </c>
      <c r="E24" s="443">
        <v>0.1174</v>
      </c>
    </row>
    <row r="25" spans="1:6">
      <c r="B25" s="1" t="s">
        <v>313</v>
      </c>
      <c r="C25" s="256">
        <f>E145</f>
        <v>111.13660014645737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135679.51550364122</v>
      </c>
      <c r="D34" s="1" t="str">
        <f>Reporting_currency</f>
        <v>CNY</v>
      </c>
    </row>
    <row r="35" spans="2:6">
      <c r="B35" s="44"/>
      <c r="C35" s="73"/>
    </row>
    <row r="36" spans="2:6" ht="24.5" customHeight="1">
      <c r="B36" s="463" t="s">
        <v>197</v>
      </c>
      <c r="C36" s="463"/>
      <c r="D36" s="463"/>
      <c r="E36" s="463"/>
      <c r="F36" s="463"/>
    </row>
    <row r="37" spans="2:6">
      <c r="B37" s="44" t="s">
        <v>198</v>
      </c>
      <c r="C37" s="285">
        <f>Normalized_FCF!C15</f>
        <v>191101</v>
      </c>
      <c r="D37" s="1" t="str">
        <f>Reporting_currency</f>
        <v>CNY</v>
      </c>
    </row>
    <row r="38" spans="2:6">
      <c r="B38" s="49" t="s">
        <v>199</v>
      </c>
      <c r="C38" s="285">
        <f>Normalized_FCF!C16</f>
        <v>-191101</v>
      </c>
      <c r="D38" s="1" t="str">
        <f>Reporting_currency</f>
        <v>CNY</v>
      </c>
    </row>
    <row r="40" spans="2:6">
      <c r="B40" s="463" t="s">
        <v>200</v>
      </c>
      <c r="C40" s="463"/>
      <c r="D40" s="463"/>
      <c r="E40" s="463"/>
      <c r="F40" s="463"/>
    </row>
    <row r="41" spans="2:6">
      <c r="B41" s="44" t="s">
        <v>201</v>
      </c>
      <c r="C41" s="285">
        <f>Normalized_FCF!C9</f>
        <v>7974.2</v>
      </c>
      <c r="D41" s="1" t="str">
        <f>Reporting_currency</f>
        <v>CNY</v>
      </c>
    </row>
    <row r="43" spans="2:6">
      <c r="B43" s="463" t="s">
        <v>204</v>
      </c>
      <c r="C43" s="463"/>
      <c r="D43" s="463"/>
      <c r="E43" s="463"/>
      <c r="F43" s="463"/>
    </row>
    <row r="44" spans="2:6">
      <c r="B44" s="44" t="s">
        <v>266</v>
      </c>
      <c r="C44" s="286">
        <f>Normalized_FCF!C46</f>
        <v>507.62526607571937</v>
      </c>
      <c r="D44" s="1" t="str">
        <f>Reporting_currency</f>
        <v>CNY</v>
      </c>
      <c r="E44" s="244"/>
      <c r="F44" s="244"/>
    </row>
    <row r="45" spans="2:6">
      <c r="B45" s="44" t="s">
        <v>267</v>
      </c>
      <c r="C45" s="286">
        <f>Normalized_FCF!C45</f>
        <v>-5515.92</v>
      </c>
      <c r="D45" s="1" t="str">
        <f>Reporting_currency</f>
        <v>CNY</v>
      </c>
      <c r="E45" s="244"/>
      <c r="F45" s="244"/>
    </row>
    <row r="46" spans="2:6">
      <c r="B46" s="44" t="s">
        <v>202</v>
      </c>
      <c r="C46" s="285">
        <f>Normalized_FCF!C10</f>
        <v>-5008.294733924281</v>
      </c>
      <c r="D46" s="1" t="str">
        <f>Reporting_currency</f>
        <v>CNY</v>
      </c>
    </row>
    <row r="48" spans="2:6">
      <c r="B48" s="1" t="s">
        <v>210</v>
      </c>
    </row>
    <row r="49" spans="2:6">
      <c r="B49" s="44" t="s">
        <v>222</v>
      </c>
      <c r="C49" s="285">
        <f>Normalized_FCF!C13</f>
        <v>-193.8560225780364</v>
      </c>
      <c r="D49" s="1" t="str">
        <f>Reporting_currency</f>
        <v>CNY</v>
      </c>
    </row>
    <row r="51" spans="2:6">
      <c r="B51" s="463" t="s">
        <v>205</v>
      </c>
      <c r="C51" s="463"/>
      <c r="D51" s="463"/>
      <c r="E51" s="463"/>
      <c r="F51" s="463"/>
    </row>
    <row r="52" spans="2:6">
      <c r="B52" s="44" t="s">
        <v>203</v>
      </c>
      <c r="C52" s="285">
        <f>Normalized_FCF!C12</f>
        <v>-34661.355192429241</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118134.44704364182</v>
      </c>
      <c r="D60" s="1" t="str">
        <f>Reporting_currency</f>
        <v>CNY</v>
      </c>
    </row>
    <row r="61" spans="2:6">
      <c r="B61" s="44" t="s">
        <v>212</v>
      </c>
      <c r="C61" s="285">
        <f>Normalized_FCF!C19</f>
        <v>103790.20955470968</v>
      </c>
      <c r="D61" s="1" t="str">
        <f>Reporting_currency</f>
        <v>CNY</v>
      </c>
    </row>
    <row r="62" spans="2:6">
      <c r="B62" s="204" t="s">
        <v>301</v>
      </c>
      <c r="C62" s="89">
        <f>Normalized_FCF!C124</f>
        <v>6.5669485473916406E-2</v>
      </c>
      <c r="F62" s="257"/>
    </row>
    <row r="63" spans="2:6">
      <c r="B63" s="204" t="s">
        <v>331</v>
      </c>
      <c r="C63" s="89">
        <f>Normalized_FCF!C92</f>
        <v>5.4731182795698927E-2</v>
      </c>
      <c r="E63" s="44" t="s">
        <v>321</v>
      </c>
      <c r="F63" s="258">
        <f>Normalized_FCF!C90</f>
        <v>1.0614782273563756</v>
      </c>
    </row>
    <row r="65" spans="1:6">
      <c r="B65" s="192" t="s">
        <v>324</v>
      </c>
      <c r="C65" s="264" t="s">
        <v>326</v>
      </c>
      <c r="D65" s="264" t="s">
        <v>327</v>
      </c>
    </row>
    <row r="66" spans="1:6">
      <c r="B66" s="44" t="s">
        <v>325</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-91932</v>
      </c>
      <c r="D78" s="1" t="str">
        <f>Reporting_currency</f>
        <v>CNY</v>
      </c>
    </row>
    <row r="79" spans="1:6">
      <c r="A79" s="191"/>
      <c r="B79" s="44" t="s">
        <v>233</v>
      </c>
      <c r="C79" s="201">
        <f>C78*scaling_factor*Exchange_Rate/Common_Shares</f>
        <v>-4.8685472711514857</v>
      </c>
      <c r="D79" s="1" t="str">
        <f>Market_currency</f>
        <v>HKD</v>
      </c>
    </row>
    <row r="80" spans="1:6">
      <c r="A80" s="191"/>
      <c r="B80" s="229" t="s">
        <v>308</v>
      </c>
      <c r="C80" s="337">
        <f>IF(BS!G31/BS!G27&gt;300%,"nm",BS!G31/BS!G27)</f>
        <v>6.4100114768294941E-2</v>
      </c>
    </row>
    <row r="81" spans="1:6">
      <c r="A81" s="191"/>
      <c r="B81" s="229" t="s">
        <v>310</v>
      </c>
      <c r="C81" s="338">
        <f>IF(BS!C50&gt;30,"nm",BS!C50)</f>
        <v>0.67756727799881356</v>
      </c>
    </row>
    <row r="82" spans="1:6">
      <c r="A82" s="191"/>
    </row>
    <row r="83" spans="1:6">
      <c r="A83" s="191"/>
      <c r="B83" s="1" t="s">
        <v>465</v>
      </c>
    </row>
    <row r="84" spans="1:6">
      <c r="A84" s="191"/>
      <c r="B84" s="1" t="s">
        <v>223</v>
      </c>
      <c r="C84" s="285">
        <f>DCF!F5</f>
        <v>166973.7889873801</v>
      </c>
      <c r="D84" s="1" t="str">
        <f>Reporting_currency</f>
        <v>CNY</v>
      </c>
    </row>
    <row r="85" spans="1:6">
      <c r="A85" s="191"/>
      <c r="B85" s="229" t="s">
        <v>221</v>
      </c>
      <c r="C85" s="291">
        <f>BS!C66</f>
        <v>251578</v>
      </c>
      <c r="D85" s="339" t="str">
        <f>Reporting_currency</f>
        <v>CNY</v>
      </c>
    </row>
    <row r="86" spans="1:6">
      <c r="A86" s="191"/>
      <c r="B86" s="44" t="s">
        <v>234</v>
      </c>
      <c r="C86" s="201">
        <f>C84*scaling_factor*Exchange_Rate/Common_Shares</f>
        <v>8.8426204665223569</v>
      </c>
      <c r="D86" s="1" t="str">
        <f>Market_currency</f>
        <v>HKD</v>
      </c>
    </row>
    <row r="87" spans="1:6">
      <c r="A87" s="191"/>
    </row>
    <row r="88" spans="1:6">
      <c r="A88" s="191"/>
      <c r="B88" s="1" t="s">
        <v>215</v>
      </c>
    </row>
    <row r="89" spans="1:6">
      <c r="A89" s="191"/>
      <c r="B89" s="1" t="s">
        <v>216</v>
      </c>
      <c r="C89" s="285">
        <f>DCF!F6</f>
        <v>262533.59999999998</v>
      </c>
      <c r="D89" s="1" t="str">
        <f>Reporting_currency</f>
        <v>CNY</v>
      </c>
    </row>
    <row r="90" spans="1:6">
      <c r="A90" s="191"/>
      <c r="B90" s="44" t="s">
        <v>235</v>
      </c>
      <c r="C90" s="201">
        <f>C89*scaling_factor*Exchange_Rate/Common_Shares</f>
        <v>13.903289843205583</v>
      </c>
      <c r="D90" s="1" t="str">
        <f>Market_currency</f>
        <v>HKD</v>
      </c>
    </row>
    <row r="91" spans="1:6">
      <c r="A91" s="191"/>
    </row>
    <row r="92" spans="1:6">
      <c r="A92" s="191"/>
      <c r="B92" s="44" t="s">
        <v>468</v>
      </c>
      <c r="C92" s="216">
        <f>DCF!F8</f>
        <v>17.877363038576451</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1.4773413185283732</v>
      </c>
      <c r="D111" s="1" t="str">
        <f>Market_currency</f>
        <v>HKD</v>
      </c>
    </row>
    <row r="112" spans="2:6">
      <c r="B112" s="44" t="s">
        <v>322</v>
      </c>
      <c r="C112" s="216">
        <f>DCF!C11</f>
        <v>124.66720404524581</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(30yrs)</v>
      </c>
      <c r="C118" s="206">
        <f>DCF!C90</f>
        <v>0.04</v>
      </c>
      <c r="D118" s="207" t="str">
        <f>ROUND(DCF!E90,2)&amp;" "&amp;Market_currency</f>
        <v>154.61 HKD</v>
      </c>
      <c r="E118" s="208">
        <f>DCF!F90</f>
        <v>0.15</v>
      </c>
      <c r="F118" s="208">
        <f>RATE(Holding_Period,Scenarios!C$58,-DCF!E90,C$18)</f>
        <v>-4.3029563633824736E-2</v>
      </c>
    </row>
    <row r="119" spans="2:6">
      <c r="B119" s="205" t="str">
        <f>DCF!B91&amp;" ("&amp;DCF!D91&amp;"yrs)"</f>
        <v>Optimistic (30yrs)</v>
      </c>
      <c r="C119" s="198">
        <f>DCF!C91</f>
        <v>0.03</v>
      </c>
      <c r="D119" s="207" t="str">
        <f>ROUND(DCF!E91,2)&amp;" "&amp;Market_currency</f>
        <v>134.47 HKD</v>
      </c>
      <c r="E119" s="199">
        <f>DCF!F91</f>
        <v>0.15999999999999995</v>
      </c>
      <c r="F119" s="208">
        <f>RATE(Holding_Period,Scenarios!C$58,-DCF!E91,C$18)</f>
        <v>4.1111461094811971E-3</v>
      </c>
    </row>
    <row r="120" spans="2:6">
      <c r="B120" s="205" t="str">
        <f>DCF!B92&amp;" ("&amp;DCF!D92&amp;"yrs)"</f>
        <v>Base (30yrs)</v>
      </c>
      <c r="C120" s="198">
        <f>DCF!C92</f>
        <v>0.02</v>
      </c>
      <c r="D120" s="207" t="str">
        <f>ROUND(DCF!E92,2)&amp;" "&amp;Market_currency</f>
        <v>118.13 HKD</v>
      </c>
      <c r="E120" s="199">
        <f>DCF!F92</f>
        <v>0.44</v>
      </c>
      <c r="F120" s="208">
        <f>RATE(Holding_Period,Scenarios!C$58,-DCF!E92,C$18)</f>
        <v>5.0079934783829584E-2</v>
      </c>
    </row>
    <row r="121" spans="2:6">
      <c r="B121" s="205" t="str">
        <f>DCF!B93&amp;" ("&amp;DCF!D93&amp;"yrs)"</f>
        <v>Pessimistic (30yrs)</v>
      </c>
      <c r="C121" s="198">
        <f>DCF!C93</f>
        <v>0.01</v>
      </c>
      <c r="D121" s="207" t="str">
        <f>ROUND(DCF!E93,2)&amp;" "&amp;Market_currency</f>
        <v>104.8 HKD</v>
      </c>
      <c r="E121" s="199">
        <f>DCF!F93</f>
        <v>0.19999999999999998</v>
      </c>
      <c r="F121" s="208">
        <f>RATE(Holding_Period,Scenarios!C$58,-DCF!E93,C$18)</f>
        <v>9.4529738016840684E-2</v>
      </c>
    </row>
    <row r="122" spans="2:6">
      <c r="B122" s="205" t="str">
        <f>DCF!B94&amp;" ("&amp;DCF!D94&amp;"yrs)"</f>
        <v>Devil's advocate (30yrs)</v>
      </c>
      <c r="C122" s="198">
        <f>DCF!C94</f>
        <v>0</v>
      </c>
      <c r="D122" s="207" t="str">
        <f>ROUND(DCF!E94,2)&amp;" "&amp;Market_currency</f>
        <v>93.88 HKD</v>
      </c>
      <c r="E122" s="199">
        <f>DCF!F94</f>
        <v>0.05</v>
      </c>
      <c r="F122" s="208">
        <f>RATE(Holding_Period,Scenarios!C$58,-DCF!E94,C$18)</f>
        <v>0.13718231511039267</v>
      </c>
    </row>
    <row r="124" spans="2:6">
      <c r="B124" s="463" t="s">
        <v>356</v>
      </c>
      <c r="C124" s="463"/>
      <c r="D124" s="463"/>
      <c r="E124" s="463"/>
      <c r="F124" s="463"/>
    </row>
    <row r="125" spans="2:6">
      <c r="B125" s="193" t="s">
        <v>217</v>
      </c>
      <c r="C125" s="197">
        <f>Scenarios!C36</f>
        <v>122.34020128782399</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4.5810000000000004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8.3196131087847078</v>
      </c>
      <c r="D140" s="333">
        <f>Scenarios!D62</f>
        <v>55.685116653538444</v>
      </c>
      <c r="E140" s="334">
        <f>Scenarios!E62</f>
        <v>64.004729762323151</v>
      </c>
      <c r="F140" s="335">
        <f>E22</f>
        <v>0.3</v>
      </c>
    </row>
    <row r="141" spans="1:6">
      <c r="B141" s="336" t="s">
        <v>312</v>
      </c>
      <c r="C141" s="333">
        <f>Scenarios!C63</f>
        <v>9.6497916666666672</v>
      </c>
      <c r="D141" s="333">
        <f>Scenarios!D63</f>
        <v>70.798727597120362</v>
      </c>
      <c r="E141" s="334">
        <f>Scenarios!E63</f>
        <v>80.448519263787034</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11.052134919924953</v>
      </c>
      <c r="D144" s="333">
        <f>Scenarios!D66</f>
        <v>87.688610756570782</v>
      </c>
      <c r="E144" s="334">
        <f>Scenarios!E66</f>
        <v>98.740745676495735</v>
      </c>
      <c r="F144" s="335">
        <f>E24</f>
        <v>0.1174</v>
      </c>
    </row>
    <row r="145" spans="1:6">
      <c r="B145" s="336" t="s">
        <v>313</v>
      </c>
      <c r="C145" s="333">
        <f>Scenarios!C67</f>
        <v>11.967290915679589</v>
      </c>
      <c r="D145" s="333">
        <f>Scenarios!D67</f>
        <v>99.169309230777785</v>
      </c>
      <c r="E145" s="334">
        <f>Scenarios!E67</f>
        <v>111.13660014645737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1040759</v>
      </c>
      <c r="D4" s="287">
        <v>1009309</v>
      </c>
      <c r="E4" s="287">
        <v>937259</v>
      </c>
      <c r="F4" s="287">
        <v>848258</v>
      </c>
      <c r="G4" s="287"/>
      <c r="H4" s="287"/>
      <c r="I4" s="287"/>
      <c r="J4" s="287"/>
      <c r="K4" s="287"/>
      <c r="L4" s="287"/>
      <c r="M4" s="287"/>
    </row>
    <row r="5" spans="2:13">
      <c r="B5" s="38" t="s">
        <v>39</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50</v>
      </c>
      <c r="C6" s="287">
        <f>67979+C7</f>
        <v>271783</v>
      </c>
      <c r="D6" s="287">
        <f>D7+59319</f>
        <v>254603</v>
      </c>
      <c r="E6" s="287">
        <f>51409+E7</f>
        <v>223744</v>
      </c>
      <c r="F6" s="287">
        <f>49234+F7</f>
        <v>194551</v>
      </c>
      <c r="G6" s="287"/>
      <c r="H6" s="287"/>
      <c r="I6" s="287"/>
      <c r="J6" s="287"/>
      <c r="K6" s="287"/>
      <c r="L6" s="287"/>
      <c r="M6" s="287"/>
    </row>
    <row r="7" spans="2:13">
      <c r="B7" s="66" t="s">
        <v>57</v>
      </c>
      <c r="C7" s="288">
        <f>54564+149240</f>
        <v>203804</v>
      </c>
      <c r="D7" s="288">
        <f>52477+142807</f>
        <v>195284</v>
      </c>
      <c r="E7" s="288">
        <f>49592+122743</f>
        <v>172335</v>
      </c>
      <c r="F7" s="288">
        <f>96083+49234</f>
        <v>145317</v>
      </c>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v>11097</v>
      </c>
      <c r="D9" s="287">
        <v>8958</v>
      </c>
      <c r="E9" s="287">
        <v>10986</v>
      </c>
      <c r="F9" s="287">
        <v>11914</v>
      </c>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3273</v>
      </c>
      <c r="D12" s="287">
        <v>3730</v>
      </c>
      <c r="E12" s="287">
        <v>2330</v>
      </c>
      <c r="F12" s="287">
        <v>2679</v>
      </c>
      <c r="G12" s="287"/>
      <c r="H12" s="287"/>
      <c r="I12" s="287"/>
      <c r="J12" s="287"/>
      <c r="K12" s="287"/>
      <c r="L12" s="287"/>
      <c r="M12" s="287"/>
    </row>
    <row r="13" spans="2:13">
      <c r="B13" s="38" t="s">
        <v>63</v>
      </c>
      <c r="C13" s="287">
        <v>23005</v>
      </c>
      <c r="D13" s="287">
        <v>21134</v>
      </c>
      <c r="E13" s="287">
        <v>15729</v>
      </c>
      <c r="F13" s="287">
        <v>16729</v>
      </c>
      <c r="G13" s="287"/>
      <c r="H13" s="287"/>
      <c r="I13" s="287"/>
      <c r="J13" s="287"/>
      <c r="K13" s="287"/>
      <c r="L13" s="287"/>
      <c r="M13" s="287"/>
    </row>
    <row r="14" spans="2:13">
      <c r="B14" s="38" t="s">
        <v>46</v>
      </c>
      <c r="C14" s="287">
        <v>39863</v>
      </c>
      <c r="D14" s="287">
        <v>38596</v>
      </c>
      <c r="E14" s="287">
        <v>37278</v>
      </c>
      <c r="F14" s="287">
        <v>35878</v>
      </c>
      <c r="G14" s="287"/>
      <c r="H14" s="287"/>
      <c r="I14" s="287"/>
      <c r="J14" s="287"/>
      <c r="K14" s="287"/>
      <c r="L14" s="287"/>
      <c r="M14" s="287"/>
    </row>
    <row r="15" spans="2:13">
      <c r="B15" s="41" t="s">
        <v>38</v>
      </c>
      <c r="C15" s="289">
        <v>138526</v>
      </c>
      <c r="D15" s="289">
        <v>131935</v>
      </c>
      <c r="E15" s="289">
        <v>125594</v>
      </c>
      <c r="F15" s="289">
        <v>116306</v>
      </c>
      <c r="G15" s="289"/>
      <c r="H15" s="289"/>
      <c r="I15" s="289"/>
      <c r="J15" s="289"/>
      <c r="K15" s="289"/>
      <c r="L15" s="289"/>
      <c r="M15" s="289"/>
    </row>
    <row r="16" spans="2:13">
      <c r="B16" s="27" t="s">
        <v>40</v>
      </c>
      <c r="C16" s="287">
        <v>153</v>
      </c>
      <c r="D16" s="287">
        <v>169</v>
      </c>
      <c r="E16" s="287">
        <v>135</v>
      </c>
      <c r="F16" s="287">
        <v>158</v>
      </c>
      <c r="G16" s="287"/>
      <c r="H16" s="287"/>
      <c r="I16" s="287"/>
      <c r="J16" s="287"/>
      <c r="K16" s="287"/>
      <c r="L16" s="287"/>
      <c r="M16" s="287"/>
    </row>
    <row r="18" spans="2:13">
      <c r="B18" s="16" t="s">
        <v>47</v>
      </c>
      <c r="C18" s="9"/>
    </row>
    <row r="19" spans="2:13">
      <c r="B19" s="26" t="s">
        <v>43</v>
      </c>
      <c r="C19" s="287">
        <v>191101</v>
      </c>
      <c r="D19" s="287">
        <v>207132</v>
      </c>
      <c r="E19" s="287">
        <v>200077</v>
      </c>
      <c r="F19" s="287">
        <v>193045</v>
      </c>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354393</v>
      </c>
      <c r="D22" s="287">
        <v>361933</v>
      </c>
      <c r="E22" s="287">
        <v>280750</v>
      </c>
      <c r="F22" s="287">
        <v>314764</v>
      </c>
      <c r="G22" s="287"/>
      <c r="H22" s="287"/>
      <c r="I22" s="287"/>
      <c r="J22" s="287"/>
      <c r="K22" s="287"/>
      <c r="L22" s="287"/>
      <c r="M22" s="287"/>
    </row>
    <row r="23" spans="2:13">
      <c r="B23" s="26" t="s">
        <v>287</v>
      </c>
      <c r="C23" s="287">
        <v>-185194</v>
      </c>
      <c r="D23" s="287">
        <v>-205699</v>
      </c>
      <c r="E23" s="287">
        <v>-238053</v>
      </c>
      <c r="F23" s="287">
        <v>-238296</v>
      </c>
      <c r="G23" s="287"/>
      <c r="H23" s="287"/>
      <c r="I23" s="287"/>
      <c r="J23" s="287"/>
      <c r="K23" s="287"/>
      <c r="L23" s="287"/>
      <c r="M23" s="287"/>
    </row>
    <row r="24" spans="2:13">
      <c r="B24" s="26" t="s">
        <v>286</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25</v>
      </c>
      <c r="C27" s="94" t="s">
        <v>546</v>
      </c>
    </row>
    <row r="28" spans="2:13">
      <c r="B28" s="25" t="s">
        <v>21</v>
      </c>
      <c r="C28" s="270">
        <f>BS!C4</f>
        <v>125999</v>
      </c>
      <c r="D28" s="287">
        <f>54881+12342+1205</f>
        <v>68428</v>
      </c>
      <c r="E28" s="287">
        <f>40245+12838+2537</f>
        <v>55620</v>
      </c>
      <c r="F28" s="287">
        <f>34668+10137+2612</f>
        <v>47417</v>
      </c>
      <c r="G28" s="287"/>
      <c r="H28" s="287"/>
      <c r="I28" s="287"/>
      <c r="J28" s="287"/>
      <c r="K28" s="287"/>
      <c r="L28" s="287"/>
      <c r="M28" s="287"/>
    </row>
    <row r="29" spans="2:13">
      <c r="B29" s="25" t="s">
        <v>29</v>
      </c>
      <c r="C29" s="270">
        <f>BS!C6</f>
        <v>11378</v>
      </c>
      <c r="D29" s="287">
        <v>12026</v>
      </c>
      <c r="E29" s="287">
        <v>11696</v>
      </c>
      <c r="F29" s="287">
        <v>10203</v>
      </c>
      <c r="G29" s="287"/>
      <c r="H29" s="287"/>
      <c r="I29" s="287"/>
      <c r="J29" s="287"/>
      <c r="K29" s="287"/>
      <c r="L29" s="287"/>
      <c r="M29" s="287"/>
    </row>
    <row r="30" spans="2:13">
      <c r="B30" s="28" t="s">
        <v>37</v>
      </c>
      <c r="C30" s="271">
        <f>BS!C33+BS!C42</f>
        <v>693546</v>
      </c>
      <c r="D30" s="289">
        <v>646672</v>
      </c>
      <c r="E30" s="289">
        <v>634115</v>
      </c>
      <c r="F30" s="289">
        <v>631035</v>
      </c>
      <c r="G30" s="289"/>
      <c r="H30" s="289"/>
      <c r="I30" s="289"/>
      <c r="J30" s="289"/>
      <c r="K30" s="289"/>
      <c r="L30" s="289"/>
      <c r="M30" s="289"/>
    </row>
    <row r="31" spans="2:13">
      <c r="B31" s="28" t="s">
        <v>27</v>
      </c>
      <c r="C31" s="271">
        <f>BS!G27</f>
        <v>1434194</v>
      </c>
      <c r="D31" s="289">
        <v>1345985</v>
      </c>
      <c r="E31" s="289">
        <v>1301423</v>
      </c>
      <c r="F31" s="289">
        <v>1210292</v>
      </c>
      <c r="G31" s="289"/>
      <c r="H31" s="289"/>
      <c r="I31" s="289"/>
      <c r="J31" s="289"/>
      <c r="K31" s="289"/>
      <c r="L31" s="289"/>
      <c r="M31" s="289"/>
    </row>
    <row r="32" spans="2:13">
      <c r="B32" s="25" t="s">
        <v>142</v>
      </c>
      <c r="C32" s="270">
        <f>BS!G28</f>
        <v>4523</v>
      </c>
      <c r="D32" s="287">
        <v>4253</v>
      </c>
      <c r="E32" s="287">
        <v>4075</v>
      </c>
      <c r="F32" s="287">
        <v>3942</v>
      </c>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82</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37</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105822+19725+452</f>
        <v>125999</v>
      </c>
      <c r="D4" s="231">
        <v>0.6</v>
      </c>
      <c r="E4" s="24"/>
      <c r="F4" s="4" t="s">
        <v>73</v>
      </c>
      <c r="G4" s="18">
        <f>95696+94566</f>
        <v>190262</v>
      </c>
      <c r="H4" s="231">
        <v>0.9</v>
      </c>
    </row>
    <row r="5" spans="2:8" ht="15" customHeight="1">
      <c r="B5" s="1" t="s">
        <v>30</v>
      </c>
      <c r="C5" s="18">
        <v>0</v>
      </c>
      <c r="D5" s="231">
        <v>0.6</v>
      </c>
      <c r="E5" s="24"/>
      <c r="F5" s="1" t="s">
        <v>26</v>
      </c>
      <c r="G5" s="18">
        <v>0</v>
      </c>
      <c r="H5" s="231">
        <v>0.7</v>
      </c>
    </row>
    <row r="6" spans="2:8" ht="15" customHeight="1">
      <c r="B6" s="4" t="s">
        <v>8</v>
      </c>
      <c r="C6" s="18">
        <v>11378</v>
      </c>
      <c r="D6" s="231">
        <v>0.5</v>
      </c>
      <c r="E6" s="24"/>
      <c r="F6" s="4" t="s">
        <v>146</v>
      </c>
      <c r="G6" s="18">
        <v>0</v>
      </c>
      <c r="H6" s="231">
        <v>0.6</v>
      </c>
    </row>
    <row r="7" spans="2:8" ht="15" customHeight="1">
      <c r="B7" s="1" t="s">
        <v>65</v>
      </c>
      <c r="C7" s="18">
        <v>0</v>
      </c>
      <c r="D7" s="231">
        <v>0.6</v>
      </c>
      <c r="E7" s="24"/>
      <c r="F7" s="4" t="s">
        <v>147</v>
      </c>
      <c r="G7" s="18">
        <f>145688+12656</f>
        <v>158344</v>
      </c>
      <c r="H7" s="231">
        <v>0.6</v>
      </c>
    </row>
    <row r="8" spans="2:8" ht="15" customHeight="1">
      <c r="B8" s="1" t="s">
        <v>143</v>
      </c>
      <c r="C8" s="18">
        <v>0</v>
      </c>
      <c r="D8" s="231">
        <v>0.6</v>
      </c>
      <c r="E8" s="24"/>
      <c r="F8" s="1" t="s">
        <v>148</v>
      </c>
      <c r="G8" s="18">
        <v>0</v>
      </c>
      <c r="H8" s="231">
        <v>0.6</v>
      </c>
    </row>
    <row r="9" spans="2:8" ht="15" customHeight="1">
      <c r="B9" s="4" t="s">
        <v>22</v>
      </c>
      <c r="C9" s="18">
        <f>21813+9977</f>
        <v>31790</v>
      </c>
      <c r="D9" s="231">
        <v>0.1</v>
      </c>
      <c r="E9" s="24"/>
      <c r="F9" s="4" t="s">
        <v>149</v>
      </c>
      <c r="G9" s="18">
        <v>0</v>
      </c>
      <c r="H9" s="231">
        <v>0.6</v>
      </c>
    </row>
    <row r="10" spans="2:8" ht="15" customHeight="1">
      <c r="B10" s="4" t="s">
        <v>9</v>
      </c>
      <c r="C10" s="18">
        <v>410</v>
      </c>
      <c r="D10" s="231">
        <v>0.9</v>
      </c>
      <c r="F10" s="1" t="s">
        <v>401</v>
      </c>
      <c r="G10" s="18">
        <v>0</v>
      </c>
      <c r="H10" s="231">
        <v>0.6</v>
      </c>
    </row>
    <row r="11" spans="2:8" ht="15" customHeight="1">
      <c r="B11" s="4" t="s">
        <v>10</v>
      </c>
      <c r="C11" s="18">
        <f>26591</f>
        <v>26591</v>
      </c>
      <c r="D11" s="231">
        <v>0.05</v>
      </c>
      <c r="H11" s="232"/>
    </row>
    <row r="12" spans="2:8" ht="15" customHeight="1">
      <c r="B12" s="77" t="s">
        <v>68</v>
      </c>
      <c r="C12" s="78">
        <f>SUM(C4:C11)</f>
        <v>196168</v>
      </c>
      <c r="D12" s="19">
        <f>C4*D4+C5*D5+C9*D9+C6*D6+C8*D8+C7*D7+C10*D10+C11*D11</f>
        <v>86165.95</v>
      </c>
      <c r="F12" s="77" t="s">
        <v>66</v>
      </c>
      <c r="G12" s="78">
        <f>SUM(G4:G10)</f>
        <v>348606</v>
      </c>
      <c r="H12" s="19">
        <f>G4*H4+G5*H5+G6*H6+G7*H7+G8*H8+G9*H9+G10*H10</f>
        <v>266242.2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61316</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29456+242399+7357</f>
        <v>279212</v>
      </c>
      <c r="H17" s="231">
        <v>0.6</v>
      </c>
    </row>
    <row r="18" spans="2:8" ht="15" customHeight="1">
      <c r="B18" s="4" t="s">
        <v>143</v>
      </c>
      <c r="C18" s="18">
        <v>0</v>
      </c>
      <c r="D18" s="231">
        <v>0.6</v>
      </c>
      <c r="F18" s="4" t="s">
        <v>150</v>
      </c>
      <c r="G18" s="18">
        <v>199355</v>
      </c>
      <c r="H18" s="231">
        <v>0.1</v>
      </c>
    </row>
    <row r="19" spans="2:8" ht="15" customHeight="1">
      <c r="B19" s="4" t="s">
        <v>23</v>
      </c>
      <c r="C19" s="18">
        <f>673565+95328+81508+14255</f>
        <v>864656</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33529</v>
      </c>
      <c r="D21" s="231">
        <v>0.05</v>
      </c>
      <c r="F21" s="1" t="s">
        <v>149</v>
      </c>
      <c r="G21" s="18">
        <v>0</v>
      </c>
      <c r="H21" s="231">
        <v>0.1</v>
      </c>
    </row>
    <row r="22" spans="2:8" ht="15" customHeight="1">
      <c r="B22" s="4" t="s">
        <v>17</v>
      </c>
      <c r="C22" s="18">
        <v>54333</v>
      </c>
      <c r="D22" s="231">
        <v>0.9</v>
      </c>
      <c r="H22" s="232"/>
    </row>
    <row r="23" spans="2:8" ht="15" customHeight="1">
      <c r="B23" s="4" t="s">
        <v>18</v>
      </c>
      <c r="C23" s="18">
        <f>35305+3141+52119</f>
        <v>90565</v>
      </c>
      <c r="D23" s="231">
        <v>0</v>
      </c>
      <c r="H23" s="232"/>
    </row>
    <row r="24" spans="2:8" ht="15" customHeight="1">
      <c r="B24" s="77" t="s">
        <v>69</v>
      </c>
      <c r="C24" s="78">
        <f>SUM(C15:C23)</f>
        <v>1043083</v>
      </c>
      <c r="D24" s="19">
        <f>C15*D15+C16*D16+C18*D18+C17*D17+C19*D19+C20*D20+C21*D21+C22*D22+C23*D23</f>
        <v>137041.75</v>
      </c>
      <c r="F24" s="77" t="s">
        <v>67</v>
      </c>
      <c r="G24" s="78">
        <f>SUM(G15:G21)</f>
        <v>539883</v>
      </c>
      <c r="H24" s="19">
        <f>G15*H15+G16*H16+G17*H17+G18*H18+G19*H19+G20*H20+G21*H21</f>
        <v>236515.5</v>
      </c>
    </row>
    <row r="26" spans="2:8" ht="15" customHeight="1">
      <c r="B26" s="16" t="s">
        <v>168</v>
      </c>
      <c r="C26" s="164" t="s">
        <v>112</v>
      </c>
      <c r="F26" s="166" t="s">
        <v>164</v>
      </c>
      <c r="G26" s="167" t="s">
        <v>112</v>
      </c>
      <c r="H26" s="168" t="s">
        <v>32</v>
      </c>
    </row>
    <row r="27" spans="2:8" ht="15" customHeight="1">
      <c r="B27" s="4" t="s">
        <v>3</v>
      </c>
      <c r="C27" s="18">
        <v>0</v>
      </c>
      <c r="F27" s="169" t="s">
        <v>27</v>
      </c>
      <c r="G27" s="82">
        <f>G32-G30</f>
        <v>1434194</v>
      </c>
      <c r="H27" s="170">
        <f>H32-G30</f>
        <v>32419.400000000023</v>
      </c>
    </row>
    <row r="28" spans="2:8" ht="15" customHeight="1">
      <c r="B28" s="4" t="s">
        <v>4</v>
      </c>
      <c r="C28" s="18">
        <v>37495</v>
      </c>
      <c r="F28" s="171" t="s">
        <v>208</v>
      </c>
      <c r="G28" s="287">
        <v>4523</v>
      </c>
      <c r="H28" s="170"/>
    </row>
    <row r="29" spans="2:8" ht="15" customHeight="1">
      <c r="B29" s="4" t="s">
        <v>5</v>
      </c>
      <c r="C29" s="18">
        <v>0</v>
      </c>
      <c r="F29" s="172" t="s">
        <v>71</v>
      </c>
      <c r="G29" s="14">
        <f>G27-G28</f>
        <v>1429671</v>
      </c>
      <c r="H29" s="170">
        <f>H27-G28</f>
        <v>27896.400000000023</v>
      </c>
    </row>
    <row r="30" spans="2:8" ht="15" customHeight="1">
      <c r="B30" s="2" t="s">
        <v>6</v>
      </c>
      <c r="C30" s="18">
        <v>0</v>
      </c>
      <c r="F30" s="169" t="s">
        <v>20</v>
      </c>
      <c r="G30" s="82">
        <f>C33+C42</f>
        <v>693546</v>
      </c>
      <c r="H30" s="170"/>
    </row>
    <row r="31" spans="2:8" ht="15" customHeight="1">
      <c r="B31" s="77" t="s">
        <v>171</v>
      </c>
      <c r="C31" s="78">
        <f>SUM(C27:C30)</f>
        <v>37495</v>
      </c>
      <c r="F31" s="172" t="s">
        <v>72</v>
      </c>
      <c r="G31" s="173">
        <f>C31+C40</f>
        <v>91932</v>
      </c>
      <c r="H31" s="170"/>
    </row>
    <row r="32" spans="2:8" ht="15" customHeight="1">
      <c r="B32" s="4" t="s">
        <v>7</v>
      </c>
      <c r="C32" s="20">
        <f>C33-C31</f>
        <v>578929</v>
      </c>
      <c r="F32" s="174" t="s">
        <v>70</v>
      </c>
      <c r="G32" s="175">
        <f>G35+G40</f>
        <v>2127740</v>
      </c>
      <c r="H32" s="170">
        <f>H35+H40</f>
        <v>725965.4</v>
      </c>
    </row>
    <row r="33" spans="2:8" ht="15" customHeight="1">
      <c r="B33" s="80" t="s">
        <v>2</v>
      </c>
      <c r="C33" s="81">
        <v>616424</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1239251</v>
      </c>
      <c r="H35" s="182">
        <f>D12+D24</f>
        <v>223207.7</v>
      </c>
    </row>
    <row r="36" spans="2:8" ht="15" customHeight="1">
      <c r="B36" s="4" t="s">
        <v>11</v>
      </c>
      <c r="C36" s="18">
        <v>0</v>
      </c>
      <c r="F36" s="172" t="s">
        <v>165</v>
      </c>
      <c r="G36" s="173">
        <f>C4+C15</f>
        <v>125999</v>
      </c>
      <c r="H36" s="177"/>
    </row>
    <row r="37" spans="2:8" ht="15" customHeight="1">
      <c r="B37" s="4" t="s">
        <v>12</v>
      </c>
      <c r="C37" s="18">
        <v>54437</v>
      </c>
      <c r="F37" s="172" t="s">
        <v>166</v>
      </c>
      <c r="G37" s="173">
        <f>C6</f>
        <v>11378</v>
      </c>
      <c r="H37" s="177"/>
    </row>
    <row r="38" spans="2:8" ht="15" customHeight="1">
      <c r="B38" s="4" t="s">
        <v>13</v>
      </c>
      <c r="C38" s="18">
        <v>0</v>
      </c>
      <c r="F38" s="172" t="s">
        <v>167</v>
      </c>
      <c r="G38" s="173">
        <f>C7+C17</f>
        <v>0</v>
      </c>
      <c r="H38" s="177"/>
    </row>
    <row r="39" spans="2:8" ht="15" customHeight="1">
      <c r="B39" s="2" t="s">
        <v>14</v>
      </c>
      <c r="C39" s="18">
        <v>0</v>
      </c>
      <c r="F39" s="172" t="s">
        <v>75</v>
      </c>
      <c r="G39" s="173">
        <f>C7+C17+C19+C20</f>
        <v>864656</v>
      </c>
      <c r="H39" s="170">
        <f>C7*D7+C17*D17+C19*D19+C20*D20</f>
        <v>86465.600000000006</v>
      </c>
    </row>
    <row r="40" spans="2:8" ht="15" customHeight="1">
      <c r="B40" s="77" t="s">
        <v>172</v>
      </c>
      <c r="C40" s="78">
        <f>SUM(C36:C39)</f>
        <v>54437</v>
      </c>
      <c r="F40" s="181" t="s">
        <v>114</v>
      </c>
      <c r="G40" s="175">
        <f>G12+G24</f>
        <v>888489</v>
      </c>
      <c r="H40" s="182">
        <f>H12+H24</f>
        <v>502757.7</v>
      </c>
    </row>
    <row r="41" spans="2:8" ht="15" customHeight="1">
      <c r="B41" s="4" t="s">
        <v>15</v>
      </c>
      <c r="C41" s="20">
        <f>C42-C40</f>
        <v>22685</v>
      </c>
      <c r="F41" s="172" t="s">
        <v>159</v>
      </c>
      <c r="G41" s="173">
        <f>C70</f>
        <v>450933</v>
      </c>
      <c r="H41" s="182">
        <f>H40-H42</f>
        <v>240224.10000000003</v>
      </c>
    </row>
    <row r="42" spans="2:8" ht="15" customHeight="1">
      <c r="B42" s="80" t="s">
        <v>19</v>
      </c>
      <c r="C42" s="81">
        <v>77122</v>
      </c>
      <c r="F42" s="183" t="s">
        <v>160</v>
      </c>
      <c r="G42" s="184">
        <f>C82</f>
        <v>437556</v>
      </c>
      <c r="H42" s="185">
        <f>D82</f>
        <v>262533.59999999998</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1429671</v>
      </c>
      <c r="D46" s="73">
        <f>H29</f>
        <v>27896.400000000023</v>
      </c>
      <c r="F46" s="223"/>
    </row>
    <row r="47" spans="2:8" ht="15" customHeight="1">
      <c r="B47" s="1" t="str">
        <f>"Equity per share ("&amp;Market_currency&amp;")"</f>
        <v>Equity per share (HKD)</v>
      </c>
      <c r="C47" s="134">
        <f>C46*H1/Common_Shares*Exchange_Rate</f>
        <v>75.712709890945646</v>
      </c>
      <c r="D47" s="134">
        <f>D46*H1/Common_Shares*Exchange_Rate</f>
        <v>1.4773413185283732</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0.67756727799881356</v>
      </c>
      <c r="D50" s="92">
        <f>G31/Normalized_FCF!G8</f>
        <v>0.64472964443509362</v>
      </c>
      <c r="F50" s="223"/>
    </row>
    <row r="51" spans="2:8" ht="15" customHeight="1">
      <c r="B51" s="1" t="s">
        <v>145</v>
      </c>
      <c r="C51" s="163"/>
      <c r="D51" s="89">
        <f>G29/G32</f>
        <v>0.67191997142508009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0.10948509664599118</v>
      </c>
      <c r="D54" s="89">
        <f>Normalized_FCF!G8/G35</f>
        <v>0.11506143630305725</v>
      </c>
      <c r="F54" s="223"/>
    </row>
    <row r="55" spans="2:8" ht="15" customHeight="1">
      <c r="B55" s="1" t="s">
        <v>117</v>
      </c>
      <c r="C55" s="89">
        <f>Normalized_FCF!C9/G40</f>
        <v>8.975012633808635E-3</v>
      </c>
      <c r="D55" s="89">
        <f>Normalized_FCF!G9/G40</f>
        <v>1.2489743823502599E-2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0.22101390610832516</v>
      </c>
      <c r="F58" s="5"/>
    </row>
    <row r="59" spans="2:8" ht="15" customHeight="1">
      <c r="B59" s="1" t="s">
        <v>88</v>
      </c>
      <c r="C59" s="95"/>
      <c r="D59" s="89">
        <f>G39/G32</f>
        <v>0.40637295910214594</v>
      </c>
      <c r="F59" s="223"/>
    </row>
    <row r="60" spans="2:8" ht="15" customHeight="1">
      <c r="F60" s="223"/>
    </row>
    <row r="61" spans="2:8" ht="15" customHeight="1">
      <c r="B61" s="143" t="s">
        <v>230</v>
      </c>
      <c r="C61" s="210" t="s">
        <v>113</v>
      </c>
      <c r="D61" s="179" t="s">
        <v>90</v>
      </c>
      <c r="F61" s="223"/>
    </row>
    <row r="62" spans="2:8" ht="15" customHeight="1">
      <c r="B62" s="1" t="s">
        <v>209</v>
      </c>
      <c r="C62" s="89">
        <f>IF(G28&lt;=0,0,G28/G29)</f>
        <v>3.1636649271056068E-3</v>
      </c>
      <c r="D62" s="89">
        <f>G28/G29</f>
        <v>3.1636649271056068E-3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251578</v>
      </c>
      <c r="D66" s="73">
        <f>C66-D75</f>
        <v>166973.7889873801</v>
      </c>
      <c r="F66" s="5" t="s">
        <v>192</v>
      </c>
    </row>
    <row r="67" spans="2:6" ht="15" customHeight="1">
      <c r="B67" s="102" t="s">
        <v>146</v>
      </c>
      <c r="C67" s="19">
        <f>G6+G16</f>
        <v>0</v>
      </c>
      <c r="F67" s="223"/>
    </row>
    <row r="68" spans="2:6" ht="15" customHeight="1">
      <c r="B68" s="102" t="s">
        <v>150</v>
      </c>
      <c r="C68" s="19">
        <f>G18</f>
        <v>199355</v>
      </c>
      <c r="F68" s="223"/>
    </row>
    <row r="69" spans="2:6" ht="15" customHeight="1">
      <c r="B69" s="102" t="s">
        <v>148</v>
      </c>
      <c r="C69" s="19">
        <f>G8+G20</f>
        <v>0</v>
      </c>
      <c r="F69" s="223"/>
    </row>
    <row r="70" spans="2:6" ht="15" customHeight="1">
      <c r="B70" s="77" t="s">
        <v>157</v>
      </c>
      <c r="C70" s="78">
        <f>SUM(C66:C69)</f>
        <v>450933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-84028.337304589993</v>
      </c>
      <c r="D73" s="285">
        <f>(Normalized_FCF!C26+Normalized_FCF!C35-Normalized_FCF!C89)/12</f>
        <v>-84604.211012619897</v>
      </c>
      <c r="F73" s="1" t="s">
        <v>277</v>
      </c>
    </row>
    <row r="74" spans="2:6" ht="15" customHeight="1">
      <c r="B74" s="227" t="s">
        <v>258</v>
      </c>
      <c r="C74" s="228">
        <f>-$C$66/C73</f>
        <v>2.9939661793862213</v>
      </c>
      <c r="D74" s="228">
        <f>-$C$66/D73</f>
        <v>2.9735872126089995</v>
      </c>
      <c r="F74" s="223" t="s">
        <v>256</v>
      </c>
    </row>
    <row r="75" spans="2:6" ht="15" customHeight="1">
      <c r="B75" s="77" t="s">
        <v>257</v>
      </c>
      <c r="C75" s="261"/>
      <c r="D75" s="262">
        <f>MAX(-D73*D76,G5)</f>
        <v>84604.211012619897</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437556</v>
      </c>
      <c r="D79" s="73">
        <f>G7*H7+G17*H17</f>
        <v>262533.59999999998</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437556</v>
      </c>
      <c r="D82" s="78">
        <f>SUM(D79:D81)</f>
        <v>262533.59999999998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-105377.790456</v>
      </c>
      <c r="D86" s="201">
        <f>C86*scaling_factor/Common_Shares</f>
        <v>-4.8685472711514857</v>
      </c>
      <c r="E86" s="214" t="str">
        <f>Market_currency</f>
        <v>HKD</v>
      </c>
    </row>
    <row r="87" spans="2:8" ht="15" customHeight="1">
      <c r="B87" s="212" t="s">
        <v>239</v>
      </c>
      <c r="C87" s="73">
        <f>DCF!F5*Exchange_Rate</f>
        <v>191395.04141709633</v>
      </c>
      <c r="D87" s="201">
        <f>C87*scaling_factor/Common_Shares</f>
        <v>8.8426204665223569</v>
      </c>
      <c r="E87" s="214" t="str">
        <f>Market_currency</f>
        <v>HKD</v>
      </c>
    </row>
    <row r="88" spans="2:8" ht="15" customHeight="1">
      <c r="B88" s="213" t="s">
        <v>158</v>
      </c>
      <c r="C88" s="73">
        <f>DCF!F6*Exchange_Rate</f>
        <v>300931.23926879995</v>
      </c>
      <c r="D88" s="201">
        <f>C88*scaling_factor/Common_Shares</f>
        <v>13.903289843205579</v>
      </c>
      <c r="E88" s="214" t="str">
        <f>Market_currency</f>
        <v>HKD</v>
      </c>
    </row>
    <row r="89" spans="2:8" ht="15" customHeight="1">
      <c r="B89" s="77" t="s">
        <v>243</v>
      </c>
      <c r="C89" s="162">
        <f>SUM(C86:C88)</f>
        <v>386948.49022989627</v>
      </c>
      <c r="D89" s="216">
        <f>SUM(D86:D88)</f>
        <v>17.877363038576451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83</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86</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C81</f>
        <v>0.18361695647119072</v>
      </c>
      <c r="D82" s="26"/>
      <c r="E82" s="235" t="s">
        <v>547</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5.4731182795698927E-2</v>
      </c>
      <c r="E92" s="237"/>
      <c r="G92" s="22">
        <f t="shared" ref="G92:Q92" si="38">IF(G$4="","",(G88*(1-dividend_tax_rate))/Market_Price)</f>
        <v>5.4731182795698927E-2</v>
      </c>
      <c r="H92" s="22">
        <f t="shared" si="38"/>
        <v>5.1935483870967747E-2</v>
      </c>
      <c r="I92" s="22">
        <f t="shared" si="38"/>
        <v>4.7419354838709682E-2</v>
      </c>
      <c r="J92" s="22">
        <f t="shared" si="38"/>
        <v>4.3655913978494623E-2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5.4965359341668041</v>
      </c>
      <c r="D123" s="26"/>
      <c r="E123" s="234"/>
      <c r="F123" s="26"/>
      <c r="G123" s="159">
        <f t="shared" ref="G123:Q123" si="48">IF(G$4="","",G14*$C$3/Common_Shares*Exchange_Rate)</f>
        <v>6.256180000253579</v>
      </c>
      <c r="H123" s="159">
        <f t="shared" si="48"/>
        <v>5.7150428476554174</v>
      </c>
      <c r="I123" s="159">
        <f t="shared" si="48"/>
        <v>5.5940509900435034</v>
      </c>
      <c r="J123" s="159">
        <f t="shared" si="48"/>
        <v>5.0732233097734403</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6.5669485473916406E-2</v>
      </c>
      <c r="D124" s="26"/>
      <c r="E124" s="234"/>
      <c r="F124" s="26"/>
      <c r="G124" s="74">
        <f t="shared" ref="G124" si="49">IF(G$4="","",G123/Market_Price)</f>
        <v>7.474528076766522E-2</v>
      </c>
      <c r="H124" s="74">
        <f t="shared" ref="H124" si="50">IF(H$4="","",H123/Market_Price)</f>
        <v>6.8280081811892684E-2</v>
      </c>
      <c r="I124" s="74">
        <f t="shared" ref="I124" si="51">IF(I$4="","",I123/Market_Price)</f>
        <v>6.6834539904940302E-2</v>
      </c>
      <c r="J124" s="74">
        <f t="shared" ref="J124" si="52">IF(J$4="","",J123/Market_Price)</f>
        <v>6.0611986974593073E-2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7.6463846086289658E-2</v>
      </c>
      <c r="H125" s="22">
        <f>IF(H$4="","",(Data!D47*$C$3)/(Market_Price*Common_Shares))</f>
        <v>7.2825733316450536E-2</v>
      </c>
      <c r="I125" s="22">
        <f>IF(I$4="","",(Data!E47*$C$3)/(Market_Price*Common_Shares))</f>
        <v>6.9325616024150438E-2</v>
      </c>
      <c r="J125" s="22">
        <f>IF(J$4="","",(Data!F47*$C$3)/(Market_Price*Common_Shares))</f>
        <v>6.4198808042620195E-2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103790.20955470968</v>
      </c>
      <c r="D4" t="str">
        <f>Reporting_currency</f>
        <v>CNY</v>
      </c>
      <c r="E4" s="135" t="s">
        <v>430</v>
      </c>
      <c r="F4" s="275">
        <f>-BS!G31</f>
        <v>-91932</v>
      </c>
      <c r="G4" t="str">
        <f>Reporting_currency</f>
        <v>CNY</v>
      </c>
      <c r="H4" s="308" t="s">
        <v>393</v>
      </c>
      <c r="I4" s="305">
        <f>Normalized_FCF!C4</f>
        <v>1040759</v>
      </c>
      <c r="J4" s="305"/>
    </row>
    <row r="5" spans="2:15">
      <c r="B5" s="187" t="s">
        <v>104</v>
      </c>
      <c r="C5" s="188">
        <f>Equity_Cost</f>
        <v>7.2499999999999995E-2</v>
      </c>
      <c r="E5" s="135" t="s">
        <v>431</v>
      </c>
      <c r="F5" s="275">
        <f>BS!D66</f>
        <v>166973.7889873801</v>
      </c>
      <c r="G5" t="str">
        <f>Reporting_currency</f>
        <v>CNY</v>
      </c>
      <c r="H5" s="308" t="s">
        <v>394</v>
      </c>
      <c r="I5" s="305">
        <f>Normalized_FCF!C7</f>
        <v>-67979</v>
      </c>
      <c r="J5" s="305"/>
    </row>
    <row r="6" spans="2:15" ht="13.25" customHeight="1">
      <c r="B6" s="136" t="s">
        <v>193</v>
      </c>
      <c r="C6" s="283">
        <f>(C4*(1+Terminal_Growth))/(Equity_Cost-Terminal_Growth)</f>
        <v>2016495.4999200744</v>
      </c>
      <c r="D6" t="str">
        <f>Reporting_currency</f>
        <v>CNY</v>
      </c>
      <c r="E6" s="187" t="s">
        <v>432</v>
      </c>
      <c r="F6" s="284">
        <f>BS!H42</f>
        <v>262533.59999999998</v>
      </c>
      <c r="G6" t="str">
        <f>Reporting_currency</f>
        <v>CNY</v>
      </c>
      <c r="H6" s="308" t="s">
        <v>415</v>
      </c>
      <c r="I6" s="305">
        <f>I7+I8</f>
        <v>2965.9052660757188</v>
      </c>
      <c r="J6" s="305"/>
      <c r="N6" s="135"/>
    </row>
    <row r="7" spans="2:15" ht="12.75" customHeight="1">
      <c r="B7" s="318" t="s">
        <v>429</v>
      </c>
      <c r="C7" s="275">
        <f>F7</f>
        <v>337575.38898738008</v>
      </c>
      <c r="E7" s="140" t="s">
        <v>423</v>
      </c>
      <c r="F7" s="283">
        <f>SUM(F4:F6)</f>
        <v>337575.38898738008</v>
      </c>
      <c r="G7" t="str">
        <f>Reporting_currency</f>
        <v>CNY</v>
      </c>
      <c r="H7" s="312" t="s">
        <v>416</v>
      </c>
      <c r="I7" s="313">
        <f>Normalized_FCF!C9</f>
        <v>7974.2</v>
      </c>
      <c r="J7" s="313"/>
      <c r="N7" s="304"/>
      <c r="O7" s="304"/>
    </row>
    <row r="8" spans="2:15" ht="13.15">
      <c r="B8" s="136" t="s">
        <v>425</v>
      </c>
      <c r="C8" s="283">
        <f>C6+C7</f>
        <v>2354070.8889074544</v>
      </c>
      <c r="D8" t="str">
        <f>Reporting_currency</f>
        <v>CNY</v>
      </c>
      <c r="E8" s="140" t="s">
        <v>463</v>
      </c>
      <c r="F8" s="108">
        <f>FV_adjustments*scaling_factor/Common_Shares*Exchange_Rate</f>
        <v>17.877363038576451</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1.146258</v>
      </c>
      <c r="D9" t="str">
        <f>Thesis!E15</f>
        <v>CNY/HKD</v>
      </c>
      <c r="F9" s="322"/>
      <c r="H9" s="308" t="str">
        <f>Normalized_FCF!B79</f>
        <v>NCI’s Share of Profits</v>
      </c>
      <c r="I9" s="144">
        <f>Normalized_FCF!C79</f>
        <v>1.862640847478008E-4</v>
      </c>
      <c r="J9" s="306"/>
      <c r="N9" s="304"/>
      <c r="O9" s="304"/>
    </row>
    <row r="10" spans="2:15" ht="13.5" thickTop="1">
      <c r="B10" s="107" t="s">
        <v>426</v>
      </c>
      <c r="C10" s="283">
        <f>C8*Exchange_Rate</f>
        <v>2698372.588977281</v>
      </c>
      <c r="D10" t="str">
        <f>Market_currency</f>
        <v>HKD</v>
      </c>
      <c r="H10" s="308" t="s">
        <v>396</v>
      </c>
      <c r="I10" s="306">
        <f>Normalized_FCF!C41</f>
        <v>0.25</v>
      </c>
      <c r="N10" s="304"/>
      <c r="O10" s="304"/>
    </row>
    <row r="11" spans="2:15" ht="13.15">
      <c r="B11" s="136" t="s">
        <v>424</v>
      </c>
      <c r="C11" s="108">
        <f>(C10*scaling_factor)/Common_Shares</f>
        <v>124.66720404524581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30</v>
      </c>
      <c r="E15" s="308" t="str">
        <f>IF(F14="II","Change year","Terminal Year")</f>
        <v>Terminal Year</v>
      </c>
      <c r="F15" s="310">
        <f>IF(F14="II",_xlfn.CEILING.MATH(C15/2),C15+1)</f>
        <v>31</v>
      </c>
      <c r="H15" s="97" t="s">
        <v>428</v>
      </c>
      <c r="I15" s="126">
        <f>Terminal_Growth</f>
        <v>0.02</v>
      </c>
      <c r="J15" s="126"/>
    </row>
    <row r="16" spans="2:15" ht="13.25" customHeight="1">
      <c r="B16" s="114" t="s">
        <v>421</v>
      </c>
      <c r="C16" s="147">
        <f>Scenarios!C46</f>
        <v>2.27815563852291E-2</v>
      </c>
      <c r="E16" s="308" t="s">
        <v>399</v>
      </c>
      <c r="F16" s="311">
        <f>Scenarios!C41</f>
        <v>2.27815563852291E-2</v>
      </c>
    </row>
    <row r="17" spans="1:21" ht="13.25" customHeight="1">
      <c r="B17" s="308" t="s">
        <v>548</v>
      </c>
      <c r="C17" s="306">
        <f>Normalized_FCF!C77</f>
        <v>0.13321568275625478</v>
      </c>
      <c r="E17" s="308" t="s">
        <v>549</v>
      </c>
      <c r="F17" s="311">
        <f>Scenarios!C40</f>
        <v>0.13321568275625476</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122.34446237519879</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1064469.1098419346</v>
      </c>
      <c r="D21" s="299">
        <f t="shared" ref="D21:D50" si="1">IF(A21="",0,IF(A21="I",$C$16,$F$16))</f>
        <v>2.27815563852291E-2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417</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419</v>
      </c>
      <c r="K52" s="468"/>
      <c r="L52" s="317">
        <f>SUM(L21:L51)</f>
        <v>1972635.5401994288</v>
      </c>
    </row>
    <row r="53" spans="1:21">
      <c r="C53" s="111"/>
    </row>
    <row r="54" spans="1:21" ht="13.15">
      <c r="B54" s="115" t="s">
        <v>107</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124.66720404524581</v>
      </c>
      <c r="C73" s="119">
        <f>C11</f>
        <v>124.66720404524581</v>
      </c>
      <c r="D73" s="119">
        <f>C11</f>
        <v>124.66720404524581</v>
      </c>
      <c r="E73" s="119">
        <f>C11</f>
        <v>124.66720404524581</v>
      </c>
      <c r="F73" s="119">
        <f>C11</f>
        <v>124.66720404524581</v>
      </c>
      <c r="G73" s="296"/>
      <c r="H73" s="296"/>
      <c r="I73" s="296"/>
      <c r="J73" s="296"/>
      <c r="K73" s="296"/>
      <c r="L73" s="296"/>
    </row>
    <row r="74" spans="1:21" ht="13.15">
      <c r="A74" s="131">
        <v>1</v>
      </c>
      <c r="B74" s="119">
        <f t="shared" ref="B74:F87" si="11">(B56+FV_adjustments)/Common_Shares*scaling_factor*Exchange_Rate</f>
        <v>95.10543805604749</v>
      </c>
      <c r="C74" s="119">
        <f t="shared" si="11"/>
        <v>95.877718806222219</v>
      </c>
      <c r="D74" s="119">
        <f t="shared" si="11"/>
        <v>96.649999556396907</v>
      </c>
      <c r="E74" s="119">
        <f t="shared" si="11"/>
        <v>97.422280306571636</v>
      </c>
      <c r="F74" s="119">
        <f t="shared" si="11"/>
        <v>98.194561056746352</v>
      </c>
      <c r="G74" s="296"/>
      <c r="H74" s="296"/>
      <c r="I74" s="296"/>
      <c r="J74" s="296"/>
      <c r="K74" s="296"/>
      <c r="L74" s="296"/>
    </row>
    <row r="75" spans="1:21" ht="13.15">
      <c r="A75" s="131">
        <v>2</v>
      </c>
      <c r="B75" s="119">
        <f t="shared" si="11"/>
        <v>95.00986742238797</v>
      </c>
      <c r="C75" s="119">
        <f t="shared" si="11"/>
        <v>96.508468510679663</v>
      </c>
      <c r="D75" s="119">
        <f t="shared" si="11"/>
        <v>98.021471104802103</v>
      </c>
      <c r="E75" s="119">
        <f t="shared" si="11"/>
        <v>99.548875204755348</v>
      </c>
      <c r="F75" s="119">
        <f t="shared" si="11"/>
        <v>101.09068081053933</v>
      </c>
      <c r="G75" s="296"/>
      <c r="H75" s="296"/>
      <c r="I75" s="296"/>
      <c r="J75" s="296"/>
      <c r="K75" s="296"/>
      <c r="L75" s="296"/>
    </row>
    <row r="76" spans="1:21" ht="13.15">
      <c r="A76" s="131">
        <v>3</v>
      </c>
      <c r="B76" s="119">
        <f t="shared" si="11"/>
        <v>94.920757274453678</v>
      </c>
      <c r="C76" s="119">
        <f t="shared" si="11"/>
        <v>97.102461239352891</v>
      </c>
      <c r="D76" s="119">
        <f t="shared" si="11"/>
        <v>99.325807682306362</v>
      </c>
      <c r="E76" s="119">
        <f t="shared" si="11"/>
        <v>101.59119944263804</v>
      </c>
      <c r="F76" s="119">
        <f t="shared" si="11"/>
        <v>103.89903935967189</v>
      </c>
      <c r="G76" s="296"/>
      <c r="H76" s="296"/>
      <c r="I76" s="296"/>
      <c r="J76" s="296"/>
      <c r="K76" s="296"/>
      <c r="L76" s="296"/>
    </row>
    <row r="77" spans="1:21" ht="13.15">
      <c r="A77" s="131">
        <v>4</v>
      </c>
      <c r="B77" s="119">
        <f t="shared" si="11"/>
        <v>94.837670889433355</v>
      </c>
      <c r="C77" s="119">
        <f t="shared" si="11"/>
        <v>97.661839007147705</v>
      </c>
      <c r="D77" s="119">
        <f t="shared" si="11"/>
        <v>100.56629561615654</v>
      </c>
      <c r="E77" s="119">
        <f t="shared" si="11"/>
        <v>103.55259241701492</v>
      </c>
      <c r="F77" s="119">
        <f t="shared" si="11"/>
        <v>106.62229613458832</v>
      </c>
      <c r="G77" s="296"/>
      <c r="H77" s="296"/>
      <c r="I77" s="296"/>
      <c r="J77" s="296"/>
      <c r="K77" s="296"/>
      <c r="L77" s="296"/>
    </row>
    <row r="78" spans="1:21" ht="13.15">
      <c r="A78" s="131">
        <v>5</v>
      </c>
      <c r="B78" s="119">
        <f t="shared" si="11"/>
        <v>94.760201066570602</v>
      </c>
      <c r="C78" s="119">
        <f t="shared" si="11"/>
        <v>98.188619002926501</v>
      </c>
      <c r="D78" s="119">
        <f t="shared" si="11"/>
        <v>101.74606036443362</v>
      </c>
      <c r="E78" s="119">
        <f t="shared" si="11"/>
        <v>105.43626119427195</v>
      </c>
      <c r="F78" s="119">
        <f t="shared" si="11"/>
        <v>109.26302997693155</v>
      </c>
      <c r="G78" s="296"/>
      <c r="H78" s="296"/>
      <c r="I78" s="296"/>
      <c r="J78" s="296"/>
      <c r="K78" s="296"/>
      <c r="L78" s="296"/>
    </row>
    <row r="79" spans="1:21" ht="13.15">
      <c r="A79" s="131">
        <v>6</v>
      </c>
      <c r="B79" s="119">
        <f t="shared" si="11"/>
        <v>94.687968131500398</v>
      </c>
      <c r="C79" s="119">
        <f t="shared" si="11"/>
        <v>98.68470086375315</v>
      </c>
      <c r="D79" s="119">
        <f t="shared" si="11"/>
        <v>102.86807439076708</v>
      </c>
      <c r="E79" s="119">
        <f t="shared" si="11"/>
        <v>107.2452857542484</v>
      </c>
      <c r="F79" s="119">
        <f t="shared" si="11"/>
        <v>111.823741581628</v>
      </c>
      <c r="G79" s="296"/>
      <c r="H79" s="296"/>
      <c r="I79" s="296"/>
      <c r="J79" s="296"/>
      <c r="K79" s="296"/>
      <c r="L79" s="296"/>
    </row>
    <row r="80" spans="1:21" ht="13.15">
      <c r="A80" s="131">
        <f t="shared" ref="A80" si="12">A62</f>
        <v>7</v>
      </c>
      <c r="B80" s="119">
        <f t="shared" si="11"/>
        <v>94.62061807549091</v>
      </c>
      <c r="C80" s="119">
        <f t="shared" si="11"/>
        <v>99.151873525230968</v>
      </c>
      <c r="D80" s="119">
        <f t="shared" si="11"/>
        <v>103.93516465357375</v>
      </c>
      <c r="E80" s="119">
        <f t="shared" si="11"/>
        <v>108.9826240263004</v>
      </c>
      <c r="F80" s="119">
        <f t="shared" si="11"/>
        <v>114.30685586496999</v>
      </c>
      <c r="G80" s="296"/>
      <c r="H80" s="296"/>
      <c r="I80" s="296"/>
      <c r="J80" s="296"/>
      <c r="K80" s="296"/>
      <c r="L80" s="296"/>
    </row>
    <row r="81" spans="1:12" ht="13.15">
      <c r="A81" s="131">
        <v>8</v>
      </c>
      <c r="B81" s="119">
        <f t="shared" si="11"/>
        <v>94.557820820470411</v>
      </c>
      <c r="C81" s="119">
        <f t="shared" si="11"/>
        <v>99.591821672636627</v>
      </c>
      <c r="D81" s="119">
        <f t="shared" si="11"/>
        <v>104.95001972869058</v>
      </c>
      <c r="E81" s="119">
        <f t="shared" si="11"/>
        <v>110.65111672580022</v>
      </c>
      <c r="F81" s="119">
        <f t="shared" si="11"/>
        <v>116.71472426093801</v>
      </c>
      <c r="G81" s="296"/>
      <c r="H81" s="296"/>
      <c r="I81" s="296"/>
      <c r="J81" s="296"/>
      <c r="K81" s="296"/>
      <c r="L81" s="296"/>
    </row>
    <row r="82" spans="1:12" ht="13.15">
      <c r="A82" s="131">
        <f t="shared" ref="A82" si="13">A64</f>
        <v>9</v>
      </c>
      <c r="B82" s="119">
        <f t="shared" si="11"/>
        <v>94.499268601337079</v>
      </c>
      <c r="C82" s="119">
        <f t="shared" si="11"/>
        <v>100.00613181611419</v>
      </c>
      <c r="D82" s="119">
        <f t="shared" si="11"/>
        <v>105.9151965833471</v>
      </c>
      <c r="E82" s="119">
        <f t="shared" si="11"/>
        <v>112.25349199897948</v>
      </c>
      <c r="F82" s="119">
        <f t="shared" si="11"/>
        <v>119.04962694793728</v>
      </c>
      <c r="G82" s="296"/>
      <c r="H82" s="296"/>
      <c r="I82" s="296"/>
      <c r="J82" s="296"/>
      <c r="K82" s="296"/>
      <c r="L82" s="296"/>
    </row>
    <row r="83" spans="1:12" ht="13.15">
      <c r="A83" s="131">
        <f t="shared" ref="A83:A87" si="14">A65</f>
        <v>10</v>
      </c>
      <c r="B83" s="119">
        <f t="shared" si="11"/>
        <v>94.444674457622995</v>
      </c>
      <c r="C83" s="119">
        <f t="shared" si="11"/>
        <v>100.39629801183669</v>
      </c>
      <c r="D83" s="119">
        <f t="shared" si="11"/>
        <v>106.83312701854493</v>
      </c>
      <c r="E83" s="119">
        <f t="shared" si="11"/>
        <v>113.79236988371115</v>
      </c>
      <c r="F83" s="119">
        <f t="shared" si="11"/>
        <v>121.31377500805783</v>
      </c>
      <c r="G83" s="296"/>
      <c r="H83" s="296"/>
      <c r="I83" s="296"/>
      <c r="J83" s="296"/>
      <c r="K83" s="296"/>
      <c r="L83" s="296"/>
    </row>
    <row r="84" spans="1:12" ht="13.15">
      <c r="A84" s="131">
        <f t="shared" si="14"/>
        <v>15</v>
      </c>
      <c r="B84" s="119">
        <f t="shared" si="11"/>
        <v>94.222318133599757</v>
      </c>
      <c r="C84" s="119">
        <f t="shared" si="11"/>
        <v>102.03144309552462</v>
      </c>
      <c r="D84" s="119">
        <f t="shared" si="11"/>
        <v>110.79118163452509</v>
      </c>
      <c r="E84" s="119">
        <f t="shared" si="11"/>
        <v>120.61895798659238</v>
      </c>
      <c r="F84" s="119">
        <f t="shared" si="11"/>
        <v>131.64600559780209</v>
      </c>
      <c r="G84" s="296"/>
      <c r="H84" s="296"/>
      <c r="I84" s="296"/>
      <c r="J84" s="296"/>
      <c r="K84" s="296"/>
      <c r="L84" s="296"/>
    </row>
    <row r="85" spans="1:12" ht="13.15">
      <c r="A85" s="132">
        <f t="shared" si="14"/>
        <v>20</v>
      </c>
      <c r="B85" s="119">
        <f t="shared" si="11"/>
        <v>94.065620303904666</v>
      </c>
      <c r="C85" s="119">
        <f t="shared" si="11"/>
        <v>103.24253376310709</v>
      </c>
      <c r="D85" s="119">
        <f t="shared" si="11"/>
        <v>113.87079458404689</v>
      </c>
      <c r="E85" s="119">
        <f t="shared" si="11"/>
        <v>126.19599232858199</v>
      </c>
      <c r="F85" s="119">
        <f t="shared" si="11"/>
        <v>140.50479305732486</v>
      </c>
      <c r="G85" s="296"/>
      <c r="H85" s="296"/>
      <c r="I85" s="296"/>
      <c r="J85" s="296"/>
      <c r="K85" s="296"/>
      <c r="L85" s="296"/>
    </row>
    <row r="86" spans="1:12" ht="13.15">
      <c r="A86" s="132">
        <f t="shared" si="14"/>
        <v>25</v>
      </c>
      <c r="B86" s="119">
        <f t="shared" si="11"/>
        <v>93.955192997917308</v>
      </c>
      <c r="C86" s="119">
        <f t="shared" si="11"/>
        <v>104.13954322100622</v>
      </c>
      <c r="D86" s="119">
        <f t="shared" si="11"/>
        <v>116.26692521867017</v>
      </c>
      <c r="E86" s="119">
        <f t="shared" si="11"/>
        <v>130.7521939893507</v>
      </c>
      <c r="F86" s="119">
        <f t="shared" si="11"/>
        <v>148.1002599384932</v>
      </c>
      <c r="G86" s="296"/>
      <c r="H86" s="296"/>
      <c r="I86" s="296"/>
      <c r="J86" s="296"/>
      <c r="K86" s="296"/>
      <c r="L86" s="296"/>
    </row>
    <row r="87" spans="1:12" ht="13.15">
      <c r="A87" s="132">
        <f t="shared" si="14"/>
        <v>30</v>
      </c>
      <c r="B87" s="119">
        <f t="shared" si="11"/>
        <v>93.877373222548613</v>
      </c>
      <c r="C87" s="119">
        <f t="shared" si="11"/>
        <v>104.80392450070566</v>
      </c>
      <c r="D87" s="119">
        <f t="shared" si="11"/>
        <v>118.13126405354616</v>
      </c>
      <c r="E87" s="119">
        <f t="shared" si="11"/>
        <v>134.47441843708211</v>
      </c>
      <c r="F87" s="119">
        <f t="shared" si="11"/>
        <v>154.61256395374656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154.61256395374656</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134.47441843708211</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118.13126405354616</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104.80392450070566</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93.877373222548613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142590</v>
      </c>
      <c r="D7" s="469"/>
      <c r="E7" s="469"/>
      <c r="F7" s="469"/>
      <c r="G7" s="469"/>
    </row>
    <row r="8" spans="2:7">
      <c r="B8" s="97" t="s">
        <v>62</v>
      </c>
      <c r="C8" s="447">
        <f>Normalized_FCF!G19</f>
        <v>118134.44704364182</v>
      </c>
      <c r="D8" s="469"/>
      <c r="E8" s="469"/>
      <c r="F8" s="469"/>
      <c r="G8" s="469"/>
    </row>
    <row r="9" spans="2:7">
      <c r="B9" s="97" t="s">
        <v>53</v>
      </c>
      <c r="C9" s="447">
        <f>Normalized_FCF!C19</f>
        <v>103790.20955470968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5.3768659363842009E-2</v>
      </c>
      <c r="D12" s="469"/>
      <c r="E12" s="469"/>
      <c r="F12" s="469"/>
      <c r="G12" s="469"/>
    </row>
    <row r="13" spans="2:7">
      <c r="B13" s="135" t="s">
        <v>126</v>
      </c>
      <c r="C13" s="249">
        <f ca="1">(Normalized_FCF!G8/OFFSET(Normalized_FCF!G8, 0, $C$4))^(1/$C$4) - 1</f>
        <v>5.0952518792346746E-2</v>
      </c>
      <c r="D13" s="469"/>
      <c r="E13" s="469"/>
      <c r="F13" s="469"/>
      <c r="G13" s="469"/>
    </row>
    <row r="14" spans="2:7">
      <c r="B14" s="97" t="s">
        <v>62</v>
      </c>
      <c r="C14" s="249">
        <f ca="1">(Normalized_FCF!G19/OFFSET(Normalized_FCF!G19, 0, $C$4))^(1/$C$4) - 1</f>
        <v>5.7526861635440518E-2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30</v>
      </c>
      <c r="E22" s="326">
        <f>DCF!E91</f>
        <v>134.47441843708211</v>
      </c>
      <c r="F22" s="328">
        <f>1-F23-F24</f>
        <v>0.19999999999999996</v>
      </c>
      <c r="G22" s="328">
        <f>F22*(1-F$29-F$30)</f>
        <v>0.15999999999999995</v>
      </c>
    </row>
    <row r="23" spans="2:7">
      <c r="B23" s="302" t="s">
        <v>436</v>
      </c>
      <c r="C23" s="324">
        <v>0.02</v>
      </c>
      <c r="D23" s="325">
        <f>C18</f>
        <v>30</v>
      </c>
      <c r="E23" s="326">
        <f>DCF!E92</f>
        <v>118.13126405354616</v>
      </c>
      <c r="F23" s="327">
        <v>0.55000000000000004</v>
      </c>
      <c r="G23" s="328">
        <f t="shared" ref="G23:G24" si="0">F23*(1-F$29-F$30)</f>
        <v>0.44</v>
      </c>
    </row>
    <row r="24" spans="2:7">
      <c r="B24" s="302" t="s">
        <v>445</v>
      </c>
      <c r="C24" s="324">
        <v>0.01</v>
      </c>
      <c r="D24" s="325">
        <f>C18</f>
        <v>30</v>
      </c>
      <c r="E24" s="326">
        <f>DCF!E93</f>
        <v>104.80392450070566</v>
      </c>
      <c r="F24" s="327">
        <v>0.25</v>
      </c>
      <c r="G24" s="328">
        <f t="shared" si="0"/>
        <v>0.19999999999999998</v>
      </c>
    </row>
    <row r="25" spans="2:7">
      <c r="B25" s="141" t="s">
        <v>450</v>
      </c>
      <c r="C25" s="441">
        <f>E23*F23+E24*F24+E22*F22</f>
        <v>118.06806004204321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30</v>
      </c>
      <c r="E29" s="326">
        <f>DCF!E90</f>
        <v>154.61256395374656</v>
      </c>
      <c r="F29" s="327">
        <v>0.15</v>
      </c>
      <c r="G29" s="328">
        <f>F29</f>
        <v>0.15</v>
      </c>
    </row>
    <row r="30" spans="2:7">
      <c r="B30" s="315" t="s">
        <v>446</v>
      </c>
      <c r="C30" s="324">
        <v>0</v>
      </c>
      <c r="D30" s="325">
        <f>C18</f>
        <v>30</v>
      </c>
      <c r="E30" s="326">
        <f>DCF!E94</f>
        <v>93.877373222548613</v>
      </c>
      <c r="F30" s="327">
        <v>0.05</v>
      </c>
      <c r="G30" s="328">
        <f>F30</f>
        <v>0.05</v>
      </c>
    </row>
    <row r="31" spans="2:7">
      <c r="E31" s="329"/>
      <c r="F31" s="329"/>
    </row>
    <row r="32" spans="2:7" ht="13.15">
      <c r="B32" s="145" t="s">
        <v>455</v>
      </c>
    </row>
    <row r="33" spans="2:7">
      <c r="B33" s="97" t="s">
        <v>457</v>
      </c>
      <c r="C33" s="155">
        <f>Normalized_FCF!C88*(1-dividend_tax_rate)</f>
        <v>4.5810000000000004</v>
      </c>
      <c r="D33" t="str">
        <f>Market_currency</f>
        <v>HKD</v>
      </c>
      <c r="E33" s="97" t="s">
        <v>454</v>
      </c>
      <c r="F33" s="219">
        <f>Holding_Period</f>
        <v>3</v>
      </c>
    </row>
    <row r="34" spans="2:7">
      <c r="B34" s="97" t="s">
        <v>232</v>
      </c>
      <c r="C34" s="146">
        <f>Market_Price</f>
        <v>83.7</v>
      </c>
      <c r="D34" t="str">
        <f>Market_currency</f>
        <v>HKD</v>
      </c>
      <c r="E34" s="97" t="s">
        <v>453</v>
      </c>
      <c r="F34" s="330">
        <f>RATE(Holding_Period,$C$33,-C34,$C$36)</f>
        <v>0.18353024735296583</v>
      </c>
    </row>
    <row r="35" spans="2:7">
      <c r="B35" s="97" t="s">
        <v>433</v>
      </c>
      <c r="C35" s="320">
        <f>DCF!C11</f>
        <v>124.66720404524581</v>
      </c>
      <c r="D35" s="97" t="str">
        <f>Market_currency</f>
        <v>HKD</v>
      </c>
      <c r="E35" s="97" t="s">
        <v>453</v>
      </c>
      <c r="F35" s="330">
        <f>RATE(Holding_Period,$C$33,-C35,$C$36)</f>
        <v>3.0711154359356025E-2</v>
      </c>
    </row>
    <row r="36" spans="2:7">
      <c r="B36" s="97" t="s">
        <v>434</v>
      </c>
      <c r="C36" s="321">
        <f>E22*G22+E23*G23+E24*G24+E30*G30+E29*G29</f>
        <v>122.34020128782399</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0.13321568275625476</v>
      </c>
      <c r="E40" s="97" t="s">
        <v>400</v>
      </c>
    </row>
    <row r="41" spans="2:7">
      <c r="B41" s="97" t="s">
        <v>399</v>
      </c>
      <c r="C41" s="455">
        <f>DCF!C16</f>
        <v>2.27815563852291E-2</v>
      </c>
      <c r="E41" s="97"/>
    </row>
    <row r="43" spans="2:7" ht="13.9">
      <c r="B43" s="34" t="s">
        <v>275</v>
      </c>
      <c r="C43" s="35"/>
      <c r="D43" s="35"/>
      <c r="E43" s="35"/>
      <c r="F43" s="35"/>
      <c r="G43" s="35"/>
    </row>
    <row r="44" spans="2:7" ht="13.15">
      <c r="B44" s="106" t="s">
        <v>248</v>
      </c>
      <c r="E44" s="222" t="s">
        <v>250</v>
      </c>
    </row>
    <row r="45" spans="2:7">
      <c r="B45" s="139" t="s">
        <v>110</v>
      </c>
      <c r="C45" s="150">
        <f>C18</f>
        <v>30</v>
      </c>
      <c r="D45" s="137"/>
      <c r="E45" s="221" t="s">
        <v>306</v>
      </c>
    </row>
    <row r="46" spans="2:7">
      <c r="B46" s="114" t="s">
        <v>111</v>
      </c>
      <c r="C46" s="138">
        <v>2.27815563852291E-2</v>
      </c>
      <c r="D46" s="138"/>
      <c r="E46" s="221" t="s">
        <v>251</v>
      </c>
    </row>
    <row r="47" spans="2:7">
      <c r="B47" s="97" t="s">
        <v>95</v>
      </c>
      <c r="C47" s="146">
        <f>DCF!I18</f>
        <v>122.34446237519879</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0.14612827877009313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4.5810000000000004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8.3196131087847078</v>
      </c>
      <c r="D62" s="119">
        <f>C36/(1+F62)^Holding_Period</f>
        <v>55.685116653538444</v>
      </c>
      <c r="E62" s="332">
        <f>C62+D62</f>
        <v>64.004729762323151</v>
      </c>
      <c r="F62" s="301">
        <f>Thesis!E22</f>
        <v>0.3</v>
      </c>
      <c r="G62" s="440">
        <f>(1-E62/C36)</f>
        <v>0.47682994560600522</v>
      </c>
    </row>
    <row r="63" spans="2:7" ht="13.15">
      <c r="B63" s="302" t="s">
        <v>312</v>
      </c>
      <c r="C63" s="119">
        <f>PV(F63, Holding_Period, -C58, 0)</f>
        <v>9.6497916666666672</v>
      </c>
      <c r="D63" s="119">
        <f>C36/(1+F63)^Holding_Period</f>
        <v>70.798727597120362</v>
      </c>
      <c r="E63" s="332">
        <f>C63+D63</f>
        <v>80.448519263787034</v>
      </c>
      <c r="F63" s="301">
        <f>Thesis!E23</f>
        <v>0.2</v>
      </c>
      <c r="G63" s="440">
        <f>(1-E63/C36)</f>
        <v>0.34241959374809583</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11.052134919924953</v>
      </c>
      <c r="D66" s="119">
        <f>C36/(1+F66)^Holding_Period</f>
        <v>87.688610756570782</v>
      </c>
      <c r="E66" s="332">
        <f>C66+D66</f>
        <v>98.740745676495735</v>
      </c>
      <c r="F66" s="301">
        <f>Thesis!E24</f>
        <v>0.1174</v>
      </c>
      <c r="G66" s="440">
        <f>(1-E66/C36)</f>
        <v>0.19290025161726632</v>
      </c>
    </row>
    <row r="67" spans="2:7" ht="13.15">
      <c r="B67" s="302" t="s">
        <v>313</v>
      </c>
      <c r="C67" s="119">
        <f>PV(F67, Holding_Period, -C58, 0)</f>
        <v>11.967290915679589</v>
      </c>
      <c r="D67" s="119">
        <f>C36/(1+F67)^Holding_Period</f>
        <v>99.169309230777785</v>
      </c>
      <c r="E67" s="332">
        <f>C67+D67</f>
        <v>111.13660014645737</v>
      </c>
      <c r="F67" s="301">
        <f>Thesis!E25</f>
        <v>7.2499999999999995E-2</v>
      </c>
      <c r="G67" s="440">
        <f>(1-E67/C36)</f>
        <v>9.1577429360349294E-2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中国移动</v>
      </c>
      <c r="D4" s="349"/>
      <c r="E4" s="434" t="s">
        <v>539</v>
      </c>
      <c r="F4" s="437" t="str">
        <f>Thesis!F4</f>
        <v>INT</v>
      </c>
    </row>
    <row r="5" spans="1:10">
      <c r="B5" s="343" t="s">
        <v>363</v>
      </c>
      <c r="C5" s="355" t="str">
        <f>Thesis!C5</f>
        <v>0941.HK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83.7</v>
      </c>
    </row>
    <row r="9" spans="1:10">
      <c r="B9" s="351" t="s">
        <v>360</v>
      </c>
      <c r="C9" s="353">
        <f>Common_Shares</f>
        <v>21644606612</v>
      </c>
    </row>
    <row r="10" spans="1:10">
      <c r="B10" s="351" t="s">
        <v>366</v>
      </c>
      <c r="C10" s="357">
        <f>投资主题!C8*Common_Shares/1000000</f>
        <v>1811653.5734244001</v>
      </c>
      <c r="D10" s="343" t="s">
        <v>528</v>
      </c>
      <c r="E10" s="360">
        <f>Scenarios!F34</f>
        <v>0.18353024735296583</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1.146258</v>
      </c>
    </row>
    <row r="17" spans="1:6">
      <c r="B17" s="343" t="s">
        <v>534</v>
      </c>
      <c r="C17" s="424">
        <f>Terminal_Growth</f>
        <v>0.02</v>
      </c>
      <c r="D17" s="351" t="s">
        <v>338</v>
      </c>
      <c r="E17" s="344" t="str">
        <f>Reporting_currency</f>
        <v>CNY</v>
      </c>
    </row>
    <row r="18" spans="1:6">
      <c r="B18" s="343" t="str">
        <f>"预期股权价值 ("&amp;C7&amp;") :"</f>
        <v>预期股权价值 (HKD) :</v>
      </c>
      <c r="C18" s="359">
        <f>C125</f>
        <v>122.34020128782399</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64.004729762323151</v>
      </c>
      <c r="D22" s="365" t="s">
        <v>439</v>
      </c>
      <c r="E22" s="366">
        <f>Thesis!E22</f>
        <v>0.3</v>
      </c>
    </row>
    <row r="23" spans="1:6">
      <c r="B23" s="343" t="s">
        <v>340</v>
      </c>
      <c r="C23" s="367">
        <f>E141</f>
        <v>80.448519263787034</v>
      </c>
      <c r="D23" s="365" t="s">
        <v>440</v>
      </c>
      <c r="E23" s="368">
        <f>Thesis!E23</f>
        <v>0.2</v>
      </c>
    </row>
    <row r="24" spans="1:6">
      <c r="B24" s="343" t="s">
        <v>342</v>
      </c>
      <c r="C24" s="367">
        <f>E144</f>
        <v>98.740745676495735</v>
      </c>
      <c r="D24" s="365" t="s">
        <v>442</v>
      </c>
      <c r="E24" s="368">
        <f>Thesis!E24</f>
        <v>0.1174</v>
      </c>
    </row>
    <row r="25" spans="1:6">
      <c r="B25" s="343" t="s">
        <v>341</v>
      </c>
      <c r="C25" s="367">
        <f>E145</f>
        <v>111.13660014645737</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135679.51550364122</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191101</v>
      </c>
      <c r="D37" s="343" t="str">
        <f>Reporting_currency</f>
        <v>CNY</v>
      </c>
    </row>
    <row r="38" spans="2:6">
      <c r="B38" s="375" t="s">
        <v>199</v>
      </c>
      <c r="C38" s="373">
        <f>Normalized_FCF!C16</f>
        <v>-191101</v>
      </c>
      <c r="D38" s="343" t="str">
        <f>Reporting_currency</f>
        <v>CNY</v>
      </c>
    </row>
    <row r="40" spans="2:6">
      <c r="B40" s="470" t="s">
        <v>502</v>
      </c>
      <c r="C40" s="470"/>
      <c r="D40" s="470"/>
      <c r="E40" s="470"/>
      <c r="F40" s="470"/>
    </row>
    <row r="41" spans="2:6">
      <c r="B41" s="372" t="s">
        <v>201</v>
      </c>
      <c r="C41" s="373">
        <f>Normalized_FCF!C9</f>
        <v>7974.2</v>
      </c>
      <c r="D41" s="343" t="str">
        <f>Reporting_currency</f>
        <v>CNY</v>
      </c>
    </row>
    <row r="43" spans="2:6">
      <c r="B43" s="470" t="s">
        <v>503</v>
      </c>
      <c r="C43" s="470"/>
      <c r="D43" s="470"/>
      <c r="E43" s="470"/>
      <c r="F43" s="470"/>
    </row>
    <row r="44" spans="2:6">
      <c r="B44" s="372" t="s">
        <v>266</v>
      </c>
      <c r="C44" s="376">
        <f>Normalized_FCF!C46</f>
        <v>507.62526607571937</v>
      </c>
      <c r="D44" s="343" t="str">
        <f>Reporting_currency</f>
        <v>CNY</v>
      </c>
      <c r="E44" s="371"/>
      <c r="F44" s="371"/>
    </row>
    <row r="45" spans="2:6">
      <c r="B45" s="372" t="s">
        <v>267</v>
      </c>
      <c r="C45" s="376">
        <f>Normalized_FCF!C45</f>
        <v>-5515.92</v>
      </c>
      <c r="D45" s="343" t="str">
        <f>Reporting_currency</f>
        <v>CNY</v>
      </c>
      <c r="E45" s="371"/>
      <c r="F45" s="371"/>
    </row>
    <row r="46" spans="2:6">
      <c r="B46" s="372" t="s">
        <v>202</v>
      </c>
      <c r="C46" s="373">
        <f>Normalized_FCF!C10</f>
        <v>-5008.294733924281</v>
      </c>
      <c r="D46" s="343" t="str">
        <f>Reporting_currency</f>
        <v>CNY</v>
      </c>
    </row>
    <row r="48" spans="2:6">
      <c r="B48" s="343" t="s">
        <v>504</v>
      </c>
    </row>
    <row r="49" spans="2:6">
      <c r="B49" s="372" t="s">
        <v>222</v>
      </c>
      <c r="C49" s="373">
        <f>Normalized_FCF!C13</f>
        <v>-193.8560225780364</v>
      </c>
      <c r="D49" s="343" t="str">
        <f>Reporting_currency</f>
        <v>CNY</v>
      </c>
    </row>
    <row r="51" spans="2:6">
      <c r="B51" s="470" t="s">
        <v>505</v>
      </c>
      <c r="C51" s="470"/>
      <c r="D51" s="470"/>
      <c r="E51" s="470"/>
      <c r="F51" s="470"/>
    </row>
    <row r="52" spans="2:6">
      <c r="B52" s="372" t="s">
        <v>495</v>
      </c>
      <c r="C52" s="373">
        <f>Normalized_FCF!C12</f>
        <v>-34661.355192429241</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118134.44704364182</v>
      </c>
      <c r="D60" s="343" t="str">
        <f>Reporting_currency</f>
        <v>CNY</v>
      </c>
    </row>
    <row r="61" spans="2:6">
      <c r="B61" s="372" t="s">
        <v>212</v>
      </c>
      <c r="C61" s="373">
        <f>Normalized_FCF!C19</f>
        <v>103790.20955470968</v>
      </c>
      <c r="D61" s="343" t="str">
        <f>Reporting_currency</f>
        <v>CNY</v>
      </c>
    </row>
    <row r="62" spans="2:6">
      <c r="B62" s="377" t="s">
        <v>301</v>
      </c>
      <c r="C62" s="378">
        <f>Normalized_FCF!C124</f>
        <v>6.5669485473916406E-2</v>
      </c>
      <c r="F62" s="379"/>
    </row>
    <row r="63" spans="2:6">
      <c r="B63" s="377" t="s">
        <v>331</v>
      </c>
      <c r="C63" s="378">
        <f>Normalized_FCF!C92</f>
        <v>5.4731182795698927E-2</v>
      </c>
      <c r="E63" s="372" t="s">
        <v>372</v>
      </c>
      <c r="F63" s="380">
        <f>Normalized_FCF!C90</f>
        <v>1.0614782273563756</v>
      </c>
    </row>
    <row r="65" spans="1:6">
      <c r="B65" s="369" t="s">
        <v>375</v>
      </c>
      <c r="C65" s="381" t="s">
        <v>326</v>
      </c>
      <c r="D65" s="381" t="s">
        <v>373</v>
      </c>
    </row>
    <row r="66" spans="1:6">
      <c r="B66" s="372" t="s">
        <v>325</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-91932</v>
      </c>
      <c r="D78" s="343" t="str">
        <f>Reporting_currency</f>
        <v>CNY</v>
      </c>
    </row>
    <row r="79" spans="1:6">
      <c r="B79" s="372" t="s">
        <v>233</v>
      </c>
      <c r="C79" s="387">
        <f>C78*scaling_factor*Exchange_Rate/Common_Shares</f>
        <v>-4.8685472711514857</v>
      </c>
      <c r="D79" s="343" t="str">
        <f>Market_currency</f>
        <v>HKD</v>
      </c>
    </row>
    <row r="80" spans="1:6">
      <c r="B80" s="382" t="s">
        <v>308</v>
      </c>
      <c r="C80" s="388">
        <f>IF(BS!G31/BS!G27&gt;300%,"nm",BS!G31/BS!G27)</f>
        <v>6.4100114768294941E-2</v>
      </c>
    </row>
    <row r="81" spans="1:6">
      <c r="B81" s="382" t="s">
        <v>310</v>
      </c>
      <c r="C81" s="389">
        <f>IF(BS!C50&gt;30,"nm",BS!C50)</f>
        <v>0.67756727799881356</v>
      </c>
    </row>
    <row r="83" spans="1:6">
      <c r="B83" s="343" t="s">
        <v>511</v>
      </c>
    </row>
    <row r="84" spans="1:6">
      <c r="B84" s="343" t="s">
        <v>223</v>
      </c>
      <c r="C84" s="373">
        <f>DCF!F5</f>
        <v>166973.7889873801</v>
      </c>
      <c r="D84" s="343" t="str">
        <f>Reporting_currency</f>
        <v>CNY</v>
      </c>
    </row>
    <row r="85" spans="1:6">
      <c r="B85" s="382" t="s">
        <v>480</v>
      </c>
      <c r="C85" s="390">
        <f>BS!C66</f>
        <v>251578</v>
      </c>
      <c r="D85" s="391" t="str">
        <f>Reporting_currency</f>
        <v>CNY</v>
      </c>
    </row>
    <row r="86" spans="1:6">
      <c r="B86" s="372" t="s">
        <v>234</v>
      </c>
      <c r="C86" s="387">
        <f>C84*scaling_factor*Exchange_Rate/Common_Shares</f>
        <v>8.8426204665223569</v>
      </c>
      <c r="D86" s="343" t="str">
        <f>Market_currency</f>
        <v>HKD</v>
      </c>
    </row>
    <row r="88" spans="1:6">
      <c r="B88" s="343" t="s">
        <v>512</v>
      </c>
    </row>
    <row r="89" spans="1:6">
      <c r="B89" s="343" t="s">
        <v>216</v>
      </c>
      <c r="C89" s="373">
        <f>DCF!F6</f>
        <v>262533.59999999998</v>
      </c>
      <c r="D89" s="343" t="str">
        <f>Reporting_currency</f>
        <v>CNY</v>
      </c>
    </row>
    <row r="90" spans="1:6">
      <c r="B90" s="372" t="s">
        <v>235</v>
      </c>
      <c r="C90" s="387">
        <f>C89*scaling_factor*Exchange_Rate/Common_Shares</f>
        <v>13.903289843205583</v>
      </c>
      <c r="D90" s="343" t="str">
        <f>Market_currency</f>
        <v>HKD</v>
      </c>
    </row>
    <row r="92" spans="1:6">
      <c r="B92" s="372" t="s">
        <v>479</v>
      </c>
      <c r="C92" s="387">
        <f>DCF!F8</f>
        <v>17.877363038576451</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1.4773413185283732</v>
      </c>
      <c r="D111" s="343" t="str">
        <f>Market_currency</f>
        <v>HKD</v>
      </c>
    </row>
    <row r="112" spans="1:6">
      <c r="A112" s="385"/>
      <c r="B112" s="372" t="s">
        <v>376</v>
      </c>
      <c r="C112" s="394">
        <f>DCF!C11</f>
        <v>124.66720404524581</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30</v>
      </c>
      <c r="E118" s="398" t="str">
        <f>ROUND(DCF!E90,2)&amp;" "&amp;Market_currency</f>
        <v>154.61 HKD</v>
      </c>
      <c r="F118" s="399">
        <f>DCF!F90</f>
        <v>0.15</v>
      </c>
    </row>
    <row r="119" spans="1:6">
      <c r="A119" s="385"/>
      <c r="B119" s="400" t="str">
        <f>DCF!B91</f>
        <v>Optimistic</v>
      </c>
      <c r="C119" s="401">
        <f>DCF!C91</f>
        <v>0.03</v>
      </c>
      <c r="D119" s="402">
        <f>DCF!D91</f>
        <v>30</v>
      </c>
      <c r="E119" s="398" t="str">
        <f>ROUND(DCF!E91,2)&amp;" "&amp;Market_currency</f>
        <v>134.47 HKD</v>
      </c>
      <c r="F119" s="403">
        <f>DCF!F91</f>
        <v>0.15999999999999995</v>
      </c>
    </row>
    <row r="120" spans="1:6">
      <c r="B120" s="400" t="str">
        <f>DCF!B92</f>
        <v>Base</v>
      </c>
      <c r="C120" s="401">
        <f>DCF!C92</f>
        <v>0.02</v>
      </c>
      <c r="D120" s="402">
        <f>DCF!D92</f>
        <v>30</v>
      </c>
      <c r="E120" s="398" t="str">
        <f>ROUND(DCF!E92,2)&amp;" "&amp;Market_currency</f>
        <v>118.13 HKD</v>
      </c>
      <c r="F120" s="403">
        <f>DCF!F92</f>
        <v>0.44</v>
      </c>
    </row>
    <row r="121" spans="1:6">
      <c r="B121" s="400" t="str">
        <f>DCF!B93</f>
        <v>Pessimistic</v>
      </c>
      <c r="C121" s="401">
        <f>DCF!C93</f>
        <v>0.01</v>
      </c>
      <c r="D121" s="402">
        <f>DCF!D93</f>
        <v>30</v>
      </c>
      <c r="E121" s="398" t="str">
        <f>ROUND(DCF!E93,2)&amp;" "&amp;Market_currency</f>
        <v>104.8 HKD</v>
      </c>
      <c r="F121" s="403">
        <f>DCF!F93</f>
        <v>0.19999999999999998</v>
      </c>
    </row>
    <row r="122" spans="1:6">
      <c r="B122" s="400" t="str">
        <f>DCF!B94</f>
        <v>Devil's advocate</v>
      </c>
      <c r="C122" s="401">
        <f>DCF!C94</f>
        <v>0</v>
      </c>
      <c r="D122" s="402">
        <f>DCF!D94</f>
        <v>30</v>
      </c>
      <c r="E122" s="398" t="str">
        <f>ROUND(DCF!E94,2)&amp;" "&amp;Market_currency</f>
        <v>93.88 HKD</v>
      </c>
      <c r="F122" s="403">
        <f>DCF!F94</f>
        <v>0.05</v>
      </c>
    </row>
    <row r="124" spans="1:6">
      <c r="B124" s="470" t="s">
        <v>518</v>
      </c>
      <c r="C124" s="470"/>
      <c r="D124" s="470"/>
      <c r="E124" s="470"/>
      <c r="F124" s="470"/>
    </row>
    <row r="125" spans="1:6">
      <c r="B125" s="372" t="s">
        <v>217</v>
      </c>
      <c r="C125" s="404">
        <f>Scenarios!C36</f>
        <v>122.34020128782399</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4.5810000000000004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8.3196131087847078</v>
      </c>
      <c r="D140" s="409">
        <f>Scenarios!D62</f>
        <v>55.685116653538444</v>
      </c>
      <c r="E140" s="410">
        <f>Scenarios!E62</f>
        <v>64.004729762323151</v>
      </c>
      <c r="F140" s="411">
        <f>E22</f>
        <v>0.3</v>
      </c>
    </row>
    <row r="141" spans="1:6">
      <c r="B141" s="408" t="s">
        <v>312</v>
      </c>
      <c r="C141" s="409">
        <f>Scenarios!C63</f>
        <v>9.6497916666666672</v>
      </c>
      <c r="D141" s="409">
        <f>Scenarios!D63</f>
        <v>70.798727597120362</v>
      </c>
      <c r="E141" s="410">
        <f>Scenarios!E63</f>
        <v>80.448519263787034</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11.052134919924953</v>
      </c>
      <c r="D144" s="409">
        <f>Scenarios!D66</f>
        <v>87.688610756570782</v>
      </c>
      <c r="E144" s="410">
        <f>Scenarios!E66</f>
        <v>98.740745676495735</v>
      </c>
      <c r="F144" s="411">
        <f>E24</f>
        <v>0.1174</v>
      </c>
    </row>
    <row r="145" spans="1:6">
      <c r="B145" s="408" t="s">
        <v>313</v>
      </c>
      <c r="C145" s="409">
        <f>Scenarios!C67</f>
        <v>11.967290915679589</v>
      </c>
      <c r="D145" s="409">
        <f>Scenarios!D67</f>
        <v>99.169309230777785</v>
      </c>
      <c r="E145" s="410">
        <f>Scenarios!E67</f>
        <v>111.13660014645737</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