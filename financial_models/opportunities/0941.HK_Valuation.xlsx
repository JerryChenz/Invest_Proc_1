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979ED06-3138-4696-8C33-EFC7BD2F4CA3}"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28" i="4" l="1"/>
  <c r="E28" i="4"/>
  <c r="D28" i="4"/>
  <c r="F7" i="4"/>
  <c r="F6" i="4" s="1"/>
  <c r="E7" i="4"/>
  <c r="E6" i="4" s="1"/>
  <c r="E5" i="4"/>
  <c r="F5" i="4"/>
  <c r="G4" i="3"/>
  <c r="G7" i="3"/>
  <c r="C11" i="3"/>
  <c r="C9" i="3"/>
  <c r="C4" i="3"/>
  <c r="C23" i="3"/>
  <c r="C19" i="3"/>
  <c r="G17" i="3"/>
  <c r="F25" i="4"/>
  <c r="E25" i="4"/>
  <c r="D25" i="4"/>
  <c r="C25" i="4"/>
  <c r="D7" i="4"/>
  <c r="D6" i="4" s="1"/>
  <c r="C7" i="4"/>
  <c r="C6" i="4" s="1"/>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<sst xmlns="http://schemas.openxmlformats.org/spreadsheetml/2006/main" count="768" uniqueCount="559">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</sst>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 fillId="0" borderId="3" xfId="0" applyFont="1" applyBorder="1" applyAlignment="1">
      <alignment horizontal="left" vertical="center"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78.8</v>
      </c>
      <c r="E8" s="32"/>
    </row>
    <row r="9" spans="1:9">
      <c r="B9" s="4" t="s">
        <v>346</v>
      </c>
      <c r="C9" s="48">
        <f>20741838745+902767867</f>
        <v>21644606612</v>
      </c>
    </row>
    <row r="10" spans="1:9">
      <c r="B10" s="4" t="s">
        <v>352</v>
      </c>
      <c r="C10" s="33">
        <f>Thesis!C8*Common_Shares/1000000</f>
        <v>1705595.0010255999</v>
      </c>
      <c r="D10" s="1" t="s">
        <v>528</v>
      </c>
      <c r="E10" s="303">
        <f>Scenarios!F34</f>
        <v>0.20513967491814697</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1.1352800000000001</v>
      </c>
    </row>
    <row r="17" spans="1:6">
      <c r="B17" s="1" t="s">
        <v>532</v>
      </c>
      <c r="C17" s="456">
        <v>0.02</v>
      </c>
      <c r="D17" s="4" t="s">
        <v>274</v>
      </c>
      <c r="E17" s="224" t="s">
        <v>558</v>
      </c>
    </row>
    <row r="18" spans="1:6">
      <c r="B18" s="1" t="str">
        <f>"Expected Equity Value ("&amp;C7&amp;") :"</f>
        <v>Expected Equity Value (HKD) :</v>
      </c>
      <c r="C18" s="252">
        <f>C125</f>
        <v>121.1685185342574</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63.47141945118679</v>
      </c>
      <c r="D22" s="38" t="s">
        <v>406</v>
      </c>
      <c r="E22" s="79">
        <v>0.3</v>
      </c>
    </row>
    <row r="23" spans="1:6">
      <c r="B23" s="1" t="s">
        <v>313</v>
      </c>
      <c r="C23" s="256">
        <f>E141</f>
        <v>79.770462114732297</v>
      </c>
      <c r="D23" s="38" t="s">
        <v>407</v>
      </c>
      <c r="E23" s="443">
        <v>0.2</v>
      </c>
    </row>
    <row r="24" spans="1:6">
      <c r="B24" s="1" t="s">
        <v>315</v>
      </c>
      <c r="C24" s="256">
        <f>E144</f>
        <v>97.900929885560686</v>
      </c>
      <c r="D24" s="38" t="s">
        <v>408</v>
      </c>
      <c r="E24" s="443">
        <v>0.1174</v>
      </c>
    </row>
    <row r="25" spans="1:6">
      <c r="B25" s="1" t="s">
        <v>314</v>
      </c>
      <c r="C25" s="256">
        <f>E145</f>
        <v>110.18683083035621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135679.51550364122</v>
      </c>
      <c r="D34" s="1" t="str">
        <f>Reporting_currency</f>
        <v>CNY</v>
      </c>
    </row>
    <row r="35" spans="2:6">
      <c r="B35" s="44"/>
      <c r="C35" s="73"/>
    </row>
    <row r="36" spans="2:6" ht="24.5" customHeight="1">
      <c r="B36" s="462" t="s">
        <v>198</v>
      </c>
      <c r="C36" s="462"/>
      <c r="D36" s="462"/>
      <c r="E36" s="462"/>
      <c r="F36" s="462"/>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2" t="s">
        <v>201</v>
      </c>
      <c r="C40" s="462"/>
      <c r="D40" s="462"/>
      <c r="E40" s="462"/>
      <c r="F40" s="462"/>
    </row>
    <row r="41" spans="2:6">
      <c r="B41" s="44" t="s">
        <v>202</v>
      </c>
      <c r="C41" s="285">
        <f>Normalized_FCF!C9</f>
        <v>7974.2</v>
      </c>
      <c r="D41" s="1" t="str">
        <f>Reporting_currency</f>
        <v>CNY</v>
      </c>
    </row>
    <row r="43" spans="2:6">
      <c r="B43" s="462" t="s">
        <v>205</v>
      </c>
      <c r="C43" s="462"/>
      <c r="D43" s="462"/>
      <c r="E43" s="462"/>
      <c r="F43" s="462"/>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2" t="s">
        <v>206</v>
      </c>
      <c r="C51" s="462"/>
      <c r="D51" s="462"/>
      <c r="E51" s="462"/>
      <c r="F51" s="462"/>
    </row>
    <row r="52" spans="2:6">
      <c r="B52" s="44" t="s">
        <v>204</v>
      </c>
      <c r="C52" s="285">
        <f>Normalized_FCF!C12</f>
        <v>-34661.355192429241</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6.9084952191122331E-2</v>
      </c>
      <c r="F62" s="257"/>
    </row>
    <row r="63" spans="2:6">
      <c r="B63" s="204" t="s">
        <v>332</v>
      </c>
      <c r="C63" s="89">
        <f>Normalized_FCF!C92</f>
        <v>5.8134517766497466E-2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-91932</v>
      </c>
      <c r="D78" s="1" t="str">
        <f>Reporting_currency</f>
        <v>CNY</v>
      </c>
    </row>
    <row r="79" spans="1:6">
      <c r="A79" s="191"/>
      <c r="B79" s="44" t="s">
        <v>234</v>
      </c>
      <c r="C79" s="201">
        <f>C78*scaling_factor*Exchange_Rate/Common_Shares</f>
        <v>-4.8219199743799903</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8.7579324752660419</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13.770134553647114</v>
      </c>
      <c r="D90" s="1" t="str">
        <f>Market_currency</f>
        <v>HKD</v>
      </c>
    </row>
    <row r="91" spans="1:6">
      <c r="A91" s="191"/>
    </row>
    <row r="92" spans="1:6">
      <c r="A92" s="191"/>
      <c r="B92" s="44" t="s">
        <v>469</v>
      </c>
      <c r="C92" s="216">
        <f>DCF!F8</f>
        <v>17.706147054533165</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1.4631924506515039</v>
      </c>
      <c r="D111" s="1" t="str">
        <f>Market_currency</f>
        <v>HKD</v>
      </c>
    </row>
    <row r="112" spans="2:6">
      <c r="B112" s="44" t="s">
        <v>323</v>
      </c>
      <c r="C112" s="216">
        <f>DCF!C11</f>
        <v>123.47323500336459</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153.13 HKD</v>
      </c>
      <c r="E118" s="208">
        <f>DCF!F90</f>
        <v>0.15</v>
      </c>
      <c r="F118" s="208">
        <f>RATE(Holding_Period,Scenarios!C$58,-DCF!E90,C$18)</f>
        <v>-4.2720265793763063E-2</v>
      </c>
    </row>
    <row r="119" spans="2:6">
      <c r="B119" s="205" t="str">
        <f>DCF!B91&amp;" ("&amp;DCF!D91&amp;"yrs)"</f>
        <v>Optimistic (30yrs)</v>
      </c>
      <c r="C119" s="198">
        <f>DCF!C91</f>
        <v>0.03</v>
      </c>
      <c r="D119" s="207" t="str">
        <f>ROUND(DCF!E91,2)&amp;" "&amp;Market_currency</f>
        <v>133.19 HKD</v>
      </c>
      <c r="E119" s="199">
        <f>DCF!F91</f>
        <v>0.15999999999999995</v>
      </c>
      <c r="F119" s="208">
        <f>RATE(Holding_Period,Scenarios!C$58,-DCF!E91,C$18)</f>
        <v>4.450714678457918E-3</v>
      </c>
    </row>
    <row r="120" spans="2:6">
      <c r="B120" s="205" t="str">
        <f>DCF!B92&amp;" ("&amp;DCF!D92&amp;"yrs)"</f>
        <v>Base (30yrs)</v>
      </c>
      <c r="C120" s="198">
        <f>DCF!C92</f>
        <v>0.02</v>
      </c>
      <c r="D120" s="207" t="str">
        <f>ROUND(DCF!E92,2)&amp;" "&amp;Market_currency</f>
        <v>117 HKD</v>
      </c>
      <c r="E120" s="199">
        <f>DCF!F92</f>
        <v>0.44</v>
      </c>
      <c r="F120" s="208">
        <f>RATE(Holding_Period,Scenarios!C$58,-DCF!E92,C$18)</f>
        <v>5.0450801068972609E-2</v>
      </c>
    </row>
    <row r="121" spans="2:6">
      <c r="B121" s="205" t="str">
        <f>DCF!B93&amp;" ("&amp;DCF!D93&amp;"yrs)"</f>
        <v>Pessimistic (30yrs)</v>
      </c>
      <c r="C121" s="198">
        <f>DCF!C93</f>
        <v>0.01</v>
      </c>
      <c r="D121" s="207" t="str">
        <f>ROUND(DCF!E93,2)&amp;" "&amp;Market_currency</f>
        <v>103.8 HKD</v>
      </c>
      <c r="E121" s="199">
        <f>DCF!F93</f>
        <v>0.19999999999999998</v>
      </c>
      <c r="F121" s="208">
        <f>RATE(Holding_Period,Scenarios!C$58,-DCF!E93,C$18)</f>
        <v>9.4932585576032583E-2</v>
      </c>
    </row>
    <row r="122" spans="2:6">
      <c r="B122" s="205" t="str">
        <f>DCF!B94&amp;" ("&amp;DCF!D94&amp;"yrs)"</f>
        <v>Devil's advocate (30yrs)</v>
      </c>
      <c r="C122" s="198">
        <f>DCF!C94</f>
        <v>0</v>
      </c>
      <c r="D122" s="207" t="str">
        <f>ROUND(DCF!E94,2)&amp;" "&amp;Market_currency</f>
        <v>92.98 HKD</v>
      </c>
      <c r="E122" s="199">
        <f>DCF!F94</f>
        <v>0.05</v>
      </c>
      <c r="F122" s="208">
        <f>RATE(Holding_Period,Scenarios!C$58,-DCF!E94,C$18)</f>
        <v>0.13761747973105695</v>
      </c>
    </row>
    <row r="124" spans="2:6">
      <c r="B124" s="462" t="s">
        <v>357</v>
      </c>
      <c r="C124" s="462"/>
      <c r="D124" s="462"/>
      <c r="E124" s="462"/>
      <c r="F124" s="462"/>
    </row>
    <row r="125" spans="2:6">
      <c r="B125" s="193" t="s">
        <v>218</v>
      </c>
      <c r="C125" s="197">
        <f>Scenarios!C36</f>
        <v>121.1685185342574</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8.3196131087847078</v>
      </c>
      <c r="D140" s="333">
        <f>Scenarios!D62</f>
        <v>55.151806342402082</v>
      </c>
      <c r="E140" s="334">
        <f>Scenarios!E62</f>
        <v>63.47141945118679</v>
      </c>
      <c r="F140" s="335">
        <f>E22</f>
        <v>0.3</v>
      </c>
    </row>
    <row r="141" spans="1:6">
      <c r="B141" s="336" t="s">
        <v>313</v>
      </c>
      <c r="C141" s="333">
        <f>Scenarios!C63</f>
        <v>9.6497916666666672</v>
      </c>
      <c r="D141" s="333">
        <f>Scenarios!D63</f>
        <v>70.120670448065624</v>
      </c>
      <c r="E141" s="334">
        <f>Scenarios!E63</f>
        <v>79.770462114732297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86.848794965635733</v>
      </c>
      <c r="E144" s="334">
        <f>Scenarios!E66</f>
        <v>97.900929885560686</v>
      </c>
      <c r="F144" s="335">
        <f>E24</f>
        <v>0.1174</v>
      </c>
    </row>
    <row r="145" spans="1:6">
      <c r="B145" s="336" t="s">
        <v>314</v>
      </c>
      <c r="C145" s="333">
        <f>Scenarios!C67</f>
        <v>11.967290915679589</v>
      </c>
      <c r="D145" s="333">
        <f>Scenarios!D67</f>
        <v>98.219539914676631</v>
      </c>
      <c r="E145" s="334">
        <f>Scenarios!E67</f>
        <v>110.18683083035621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74.987590302525945</v>
      </c>
      <c r="D47" s="134">
        <f>D46*H1/Common_Shares*Exchange_Rate</f>
        <v>1.4631924506515039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-104368.56096</v>
      </c>
      <c r="D86" s="201">
        <f>C86*scaling_factor/Common_Shares</f>
        <v>-4.8219199743799903</v>
      </c>
      <c r="E86" s="214" t="str">
        <f>Market_currency</f>
        <v>HKD</v>
      </c>
    </row>
    <row r="87" spans="2:8" ht="15" customHeight="1">
      <c r="B87" s="212" t="s">
        <v>240</v>
      </c>
      <c r="C87" s="73">
        <f>DCF!F5*Exchange_Rate</f>
        <v>189562.0031615929</v>
      </c>
      <c r="D87" s="201">
        <f>C87*scaling_factor/Common_Shares</f>
        <v>8.7579324752660419</v>
      </c>
      <c r="E87" s="214" t="str">
        <f>Market_currency</f>
        <v>HKD</v>
      </c>
    </row>
    <row r="88" spans="2:8" ht="15" customHeight="1">
      <c r="B88" s="213" t="s">
        <v>159</v>
      </c>
      <c r="C88" s="73">
        <f>DCF!F6*Exchange_Rate</f>
        <v>298049.14540799998</v>
      </c>
      <c r="D88" s="201">
        <f>C88*scaling_factor/Common_Shares</f>
        <v>13.770134553647114</v>
      </c>
      <c r="E88" s="214" t="str">
        <f>Market_currency</f>
        <v>HKD</v>
      </c>
    </row>
    <row r="89" spans="2:8" ht="15" customHeight="1">
      <c r="B89" s="77" t="s">
        <v>244</v>
      </c>
      <c r="C89" s="162">
        <f>SUM(C86:C88)</f>
        <v>383242.58760959288</v>
      </c>
      <c r="D89" s="216">
        <f>SUM(D86:D88)</f>
        <v>17.706147054533165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5.8134517766497466E-2</v>
      </c>
      <c r="E92" s="237"/>
      <c r="G92" s="22">
        <f t="shared" ref="G92:Q92" si="38">IF(G$4="","",(G88*(1-dividend_tax_rate))/Market_Price)</f>
        <v>5.8134517766497466E-2</v>
      </c>
      <c r="H92" s="22">
        <f t="shared" si="38"/>
        <v>5.5164974619289348E-2</v>
      </c>
      <c r="I92" s="22">
        <f t="shared" si="38"/>
        <v>5.0368020304568537E-2</v>
      </c>
      <c r="J92" s="22">
        <f t="shared" si="38"/>
        <v>4.6370558375634523E-2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5.4438942326604396</v>
      </c>
      <c r="D123" s="26"/>
      <c r="E123" s="234"/>
      <c r="F123" s="26"/>
      <c r="G123" s="159">
        <f t="shared" ref="G123:Q123" si="48">IF(G$4="","",G14*$C$3/Common_Shares*Exchange_Rate)</f>
        <v>6.1962629972378673</v>
      </c>
      <c r="H123" s="159">
        <f t="shared" si="48"/>
        <v>5.6603084507032824</v>
      </c>
      <c r="I123" s="159">
        <f t="shared" si="48"/>
        <v>5.5404753624197944</v>
      </c>
      <c r="J123" s="159">
        <f t="shared" si="48"/>
        <v>5.0246357793093628</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6.9084952191122331E-2</v>
      </c>
      <c r="D124" s="26"/>
      <c r="E124" s="234"/>
      <c r="F124" s="26"/>
      <c r="G124" s="74">
        <f t="shared" ref="G124" si="49">IF(G$4="","",G123/Market_Price)</f>
        <v>7.8632779152764815E-2</v>
      </c>
      <c r="H124" s="74">
        <f t="shared" ref="H124" si="50">IF(H$4="","",H123/Market_Price)</f>
        <v>7.1831325516539118E-2</v>
      </c>
      <c r="I124" s="74">
        <f t="shared" ref="I124" si="51">IF(I$4="","",I123/Market_Price)</f>
        <v>7.0310601045936477E-2</v>
      </c>
      <c r="J124" s="74">
        <f t="shared" ref="J124" si="52">IF(J$4="","",J123/Market_Price)</f>
        <v>6.3764413443012216E-2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8.1218577632264546E-2</v>
      </c>
      <c r="H125" s="22">
        <f>IF(H$4="","",(Data!D47*$C$3)/(Market_Price*Common_Shares))</f>
        <v>7.7354237037904963E-2</v>
      </c>
      <c r="I125" s="22">
        <f>IF(I$4="","",(Data!E47*$C$3)/(Market_Price*Common_Shares))</f>
        <v>7.3636472858139498E-2</v>
      </c>
      <c r="J125" s="22">
        <f>IF(J$4="","",(Data!F47*$C$3)/(Market_Price*Common_Shares))</f>
        <v>6.819086590313847E-2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17.706147054533165</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1.1352800000000001</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2672529.5987588549</v>
      </c>
      <c r="D10" t="str">
        <f>Market_currency</f>
        <v>HKD</v>
      </c>
      <c r="H10" s="308" t="s">
        <v>397</v>
      </c>
      <c r="I10" s="306">
        <f>Normalized_FCF!C41</f>
        <v>0.25</v>
      </c>
      <c r="N10" s="304"/>
      <c r="O10" s="304"/>
    </row>
    <row r="11" spans="2:15" ht="13.15">
      <c r="B11" s="136" t="s">
        <v>425</v>
      </c>
      <c r="C11" s="108">
        <f>(C10*scaling_factor)/Common_Shares</f>
        <v>123.47323500336459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121.17273881213103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9" t="s">
        <v>420</v>
      </c>
      <c r="K52" s="469"/>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123.47323500336459</v>
      </c>
      <c r="C73" s="119">
        <f>C11</f>
        <v>123.47323500336459</v>
      </c>
      <c r="D73" s="119">
        <f>C11</f>
        <v>123.47323500336459</v>
      </c>
      <c r="E73" s="119">
        <f>C11</f>
        <v>123.47323500336459</v>
      </c>
      <c r="F73" s="119">
        <f>C11</f>
        <v>123.47323500336459</v>
      </c>
      <c r="G73" s="296"/>
      <c r="H73" s="296"/>
      <c r="I73" s="296"/>
      <c r="J73" s="296"/>
      <c r="K73" s="296"/>
      <c r="L73" s="296"/>
    </row>
    <row r="74" spans="1:21" ht="13.15">
      <c r="A74" s="131">
        <v>1</v>
      </c>
      <c r="B74" s="119">
        <f t="shared" ref="B74:F87" si="11">(B56+FV_adjustments)/Common_Shares*scaling_factor*Exchange_Rate</f>
        <v>94.194589452173602</v>
      </c>
      <c r="C74" s="119">
        <f t="shared" si="11"/>
        <v>94.959473876150028</v>
      </c>
      <c r="D74" s="119">
        <f t="shared" si="11"/>
        <v>95.724358300126411</v>
      </c>
      <c r="E74" s="119">
        <f t="shared" si="11"/>
        <v>96.489242724102823</v>
      </c>
      <c r="F74" s="119">
        <f t="shared" si="11"/>
        <v>97.254127148079235</v>
      </c>
      <c r="G74" s="296"/>
      <c r="H74" s="296"/>
      <c r="I74" s="296"/>
      <c r="J74" s="296"/>
      <c r="K74" s="296"/>
      <c r="L74" s="296"/>
    </row>
    <row r="75" spans="1:21" ht="13.15">
      <c r="A75" s="131">
        <v>2</v>
      </c>
      <c r="B75" s="119">
        <f t="shared" si="11"/>
        <v>94.099934122412776</v>
      </c>
      <c r="C75" s="119">
        <f t="shared" si="11"/>
        <v>95.584182732687069</v>
      </c>
      <c r="D75" s="119">
        <f t="shared" si="11"/>
        <v>97.082694921963238</v>
      </c>
      <c r="E75" s="119">
        <f t="shared" si="11"/>
        <v>98.595470690241342</v>
      </c>
      <c r="F75" s="119">
        <f t="shared" si="11"/>
        <v>100.12251003752129</v>
      </c>
      <c r="G75" s="296"/>
      <c r="H75" s="296"/>
      <c r="I75" s="296"/>
      <c r="J75" s="296"/>
      <c r="K75" s="296"/>
      <c r="L75" s="296"/>
    </row>
    <row r="76" spans="1:21" ht="13.15">
      <c r="A76" s="131">
        <v>3</v>
      </c>
      <c r="B76" s="119">
        <f t="shared" si="11"/>
        <v>94.011677404687063</v>
      </c>
      <c r="C76" s="119">
        <f t="shared" si="11"/>
        <v>96.172486644204497</v>
      </c>
      <c r="D76" s="119">
        <f t="shared" si="11"/>
        <v>98.374539541332553</v>
      </c>
      <c r="E76" s="119">
        <f t="shared" si="11"/>
        <v>100.61823507730207</v>
      </c>
      <c r="F76" s="119">
        <f t="shared" si="11"/>
        <v>102.90397223334391</v>
      </c>
      <c r="G76" s="296"/>
      <c r="H76" s="296"/>
      <c r="I76" s="296"/>
      <c r="J76" s="296"/>
      <c r="K76" s="296"/>
      <c r="L76" s="296"/>
    </row>
    <row r="77" spans="1:21" ht="13.15">
      <c r="A77" s="131">
        <v>4</v>
      </c>
      <c r="B77" s="119">
        <f t="shared" si="11"/>
        <v>93.929386758788951</v>
      </c>
      <c r="C77" s="119">
        <f t="shared" si="11"/>
        <v>96.726507110994774</v>
      </c>
      <c r="D77" s="119">
        <f t="shared" si="11"/>
        <v>99.603147011501946</v>
      </c>
      <c r="E77" s="119">
        <f t="shared" si="11"/>
        <v>102.56084329984063</v>
      </c>
      <c r="F77" s="119">
        <f t="shared" si="11"/>
        <v>105.60114769595975</v>
      </c>
      <c r="G77" s="296"/>
      <c r="H77" s="296"/>
      <c r="I77" s="296"/>
      <c r="J77" s="296"/>
      <c r="K77" s="296"/>
      <c r="L77" s="296"/>
    </row>
    <row r="78" spans="1:21" ht="13.15">
      <c r="A78" s="131">
        <v>5</v>
      </c>
      <c r="B78" s="119">
        <f t="shared" si="11"/>
        <v>93.852658883825697</v>
      </c>
      <c r="C78" s="119">
        <f t="shared" si="11"/>
        <v>97.248242002797284</v>
      </c>
      <c r="D78" s="119">
        <f t="shared" si="11"/>
        <v>100.77161285725745</v>
      </c>
      <c r="E78" s="119">
        <f t="shared" si="11"/>
        <v>104.42647170936479</v>
      </c>
      <c r="F78" s="119">
        <f t="shared" si="11"/>
        <v>108.21659056879939</v>
      </c>
      <c r="G78" s="296"/>
      <c r="H78" s="296"/>
      <c r="I78" s="296"/>
      <c r="J78" s="296"/>
      <c r="K78" s="296"/>
      <c r="L78" s="296"/>
    </row>
    <row r="79" spans="1:21" ht="13.15">
      <c r="A79" s="131">
        <v>6</v>
      </c>
      <c r="B79" s="119">
        <f t="shared" si="11"/>
        <v>93.781117741668794</v>
      </c>
      <c r="C79" s="119">
        <f t="shared" si="11"/>
        <v>97.739572763375861</v>
      </c>
      <c r="D79" s="119">
        <f t="shared" si="11"/>
        <v>101.88288107419974</v>
      </c>
      <c r="E79" s="119">
        <f t="shared" si="11"/>
        <v>106.21817078797542</v>
      </c>
      <c r="F79" s="119">
        <f t="shared" si="11"/>
        <v>110.75277759700752</v>
      </c>
      <c r="G79" s="296"/>
      <c r="H79" s="296"/>
      <c r="I79" s="296"/>
      <c r="J79" s="296"/>
      <c r="K79" s="296"/>
      <c r="L79" s="296"/>
    </row>
    <row r="80" spans="1:21" ht="13.15">
      <c r="A80" s="131">
        <f t="shared" ref="A80" si="12">A62</f>
        <v>7</v>
      </c>
      <c r="B80" s="119">
        <f t="shared" si="11"/>
        <v>93.714412714016674</v>
      </c>
      <c r="C80" s="119">
        <f t="shared" si="11"/>
        <v>98.202271195249438</v>
      </c>
      <c r="D80" s="119">
        <f t="shared" si="11"/>
        <v>102.93975154625679</v>
      </c>
      <c r="E80" s="119">
        <f t="shared" si="11"/>
        <v>107.93887013619825</v>
      </c>
      <c r="F80" s="119">
        <f t="shared" si="11"/>
        <v>113.21211047284568</v>
      </c>
      <c r="G80" s="296"/>
      <c r="H80" s="296"/>
      <c r="I80" s="296"/>
      <c r="J80" s="296"/>
      <c r="K80" s="296"/>
      <c r="L80" s="296"/>
    </row>
    <row r="81" spans="1:12" ht="13.15">
      <c r="A81" s="131">
        <v>8</v>
      </c>
      <c r="B81" s="119">
        <f t="shared" si="11"/>
        <v>93.652216884038026</v>
      </c>
      <c r="C81" s="119">
        <f t="shared" si="11"/>
        <v>98.638005849041761</v>
      </c>
      <c r="D81" s="119">
        <f t="shared" si="11"/>
        <v>103.94488710010124</v>
      </c>
      <c r="E81" s="119">
        <f t="shared" si="11"/>
        <v>109.59138326316281</v>
      </c>
      <c r="F81" s="119">
        <f t="shared" si="11"/>
        <v>115.5969181100221</v>
      </c>
      <c r="G81" s="296"/>
      <c r="H81" s="296"/>
      <c r="I81" s="296"/>
      <c r="J81" s="296"/>
      <c r="K81" s="296"/>
      <c r="L81" s="296"/>
    </row>
    <row r="82" spans="1:12" ht="13.15">
      <c r="A82" s="131">
        <f t="shared" ref="A82" si="13">A64</f>
        <v>9</v>
      </c>
      <c r="B82" s="119">
        <f t="shared" si="11"/>
        <v>93.594225434174476</v>
      </c>
      <c r="C82" s="119">
        <f t="shared" si="11"/>
        <v>99.048348040491859</v>
      </c>
      <c r="D82" s="119">
        <f t="shared" si="11"/>
        <v>104.90082021424698</v>
      </c>
      <c r="E82" s="119">
        <f t="shared" si="11"/>
        <v>111.17841218696091</v>
      </c>
      <c r="F82" s="119">
        <f t="shared" si="11"/>
        <v>117.90945884910225</v>
      </c>
      <c r="G82" s="296"/>
      <c r="H82" s="296"/>
      <c r="I82" s="296"/>
      <c r="J82" s="296"/>
      <c r="K82" s="296"/>
      <c r="L82" s="296"/>
    </row>
    <row r="83" spans="1:12" ht="13.15">
      <c r="A83" s="131">
        <f t="shared" ref="A83:A87" si="14">A65</f>
        <v>10</v>
      </c>
      <c r="B83" s="119">
        <f t="shared" si="11"/>
        <v>93.540154152250395</v>
      </c>
      <c r="C83" s="119">
        <f t="shared" si="11"/>
        <v>99.434777516822535</v>
      </c>
      <c r="D83" s="119">
        <f t="shared" si="11"/>
        <v>105.80995939972824</v>
      </c>
      <c r="E83" s="119">
        <f t="shared" si="11"/>
        <v>112.70255185270646</v>
      </c>
      <c r="F83" s="119">
        <f t="shared" si="11"/>
        <v>120.15192259608909</v>
      </c>
      <c r="G83" s="296"/>
      <c r="H83" s="296"/>
      <c r="I83" s="296"/>
      <c r="J83" s="296"/>
      <c r="K83" s="296"/>
      <c r="L83" s="296"/>
    </row>
    <row r="84" spans="1:12" ht="13.15">
      <c r="A84" s="131">
        <f t="shared" si="14"/>
        <v>15</v>
      </c>
      <c r="B84" s="119">
        <f t="shared" si="11"/>
        <v>93.31992739044189</v>
      </c>
      <c r="C84" s="119">
        <f t="shared" si="11"/>
        <v>101.05426240644532</v>
      </c>
      <c r="D84" s="119">
        <f t="shared" si="11"/>
        <v>109.73010673517101</v>
      </c>
      <c r="E84" s="119">
        <f t="shared" si="11"/>
        <v>119.46376001128769</v>
      </c>
      <c r="F84" s="119">
        <f t="shared" si="11"/>
        <v>130.38519882528433</v>
      </c>
      <c r="G84" s="296"/>
      <c r="H84" s="296"/>
      <c r="I84" s="296"/>
      <c r="J84" s="296"/>
      <c r="K84" s="296"/>
      <c r="L84" s="296"/>
    </row>
    <row r="85" spans="1:12" ht="13.15">
      <c r="A85" s="132">
        <f t="shared" si="14"/>
        <v>20</v>
      </c>
      <c r="B85" s="119">
        <f t="shared" si="11"/>
        <v>93.164730295114097</v>
      </c>
      <c r="C85" s="119">
        <f t="shared" si="11"/>
        <v>102.25375415532997</v>
      </c>
      <c r="D85" s="119">
        <f t="shared" si="11"/>
        <v>112.78022546004195</v>
      </c>
      <c r="E85" s="119">
        <f t="shared" si="11"/>
        <v>124.98738169835462</v>
      </c>
      <c r="F85" s="119">
        <f t="shared" si="11"/>
        <v>139.15914345820903</v>
      </c>
      <c r="G85" s="296"/>
      <c r="H85" s="296"/>
      <c r="I85" s="296"/>
      <c r="J85" s="296"/>
      <c r="K85" s="296"/>
      <c r="L85" s="296"/>
    </row>
    <row r="86" spans="1:12" ht="13.15">
      <c r="A86" s="132">
        <f t="shared" si="14"/>
        <v>25</v>
      </c>
      <c r="B86" s="119">
        <f t="shared" si="11"/>
        <v>93.055360579097879</v>
      </c>
      <c r="C86" s="119">
        <f t="shared" si="11"/>
        <v>103.14217272895277</v>
      </c>
      <c r="D86" s="119">
        <f t="shared" si="11"/>
        <v>115.15340775135431</v>
      </c>
      <c r="E86" s="119">
        <f t="shared" si="11"/>
        <v>129.49994747450404</v>
      </c>
      <c r="F86" s="119">
        <f t="shared" si="11"/>
        <v>146.681866650416</v>
      </c>
      <c r="G86" s="296"/>
      <c r="H86" s="296"/>
      <c r="I86" s="296"/>
      <c r="J86" s="296"/>
      <c r="K86" s="296"/>
      <c r="L86" s="296"/>
    </row>
    <row r="87" spans="1:12" ht="13.15">
      <c r="A87" s="132">
        <f t="shared" si="14"/>
        <v>30</v>
      </c>
      <c r="B87" s="119">
        <f t="shared" si="11"/>
        <v>92.978286103211488</v>
      </c>
      <c r="C87" s="119">
        <f t="shared" si="11"/>
        <v>103.80019106271112</v>
      </c>
      <c r="D87" s="119">
        <f t="shared" si="11"/>
        <v>116.99989134619771</v>
      </c>
      <c r="E87" s="119">
        <f t="shared" si="11"/>
        <v>133.18652324629412</v>
      </c>
      <c r="F87" s="119">
        <f t="shared" si="11"/>
        <v>153.13180069880374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153.13180069880374</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133.18652324629412</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116.99989134619771</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103.80019106271112</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92.978286103211488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0"/>
      <c r="F4" s="460"/>
      <c r="G4" s="460"/>
    </row>
    <row r="5" spans="2:7">
      <c r="C5" s="445"/>
      <c r="D5" s="460"/>
      <c r="E5" s="460"/>
      <c r="F5" s="460"/>
      <c r="G5" s="460"/>
    </row>
    <row r="6" spans="2:7" ht="13.15">
      <c r="B6" s="145" t="s">
        <v>91</v>
      </c>
      <c r="C6" s="446" t="str">
        <f>DCF!C3&amp;" "&amp;Reporting_currency</f>
        <v>1000000 CNY</v>
      </c>
      <c r="D6" s="460"/>
      <c r="E6" s="460"/>
      <c r="F6" s="460"/>
      <c r="G6" s="460"/>
    </row>
    <row r="7" spans="2:7" ht="12.75" customHeight="1">
      <c r="B7" s="97" t="s">
        <v>232</v>
      </c>
      <c r="C7" s="447">
        <f>Normalized_FCF!G8</f>
        <v>142590</v>
      </c>
      <c r="D7" s="460"/>
      <c r="E7" s="460"/>
      <c r="F7" s="460"/>
      <c r="G7" s="460"/>
    </row>
    <row r="8" spans="2:7">
      <c r="B8" s="97" t="s">
        <v>63</v>
      </c>
      <c r="C8" s="447">
        <f>Normalized_FCF!G19</f>
        <v>118134.44704364182</v>
      </c>
      <c r="D8" s="460"/>
      <c r="E8" s="460"/>
      <c r="F8" s="460"/>
      <c r="G8" s="460"/>
    </row>
    <row r="9" spans="2:7">
      <c r="B9" s="97" t="s">
        <v>54</v>
      </c>
      <c r="C9" s="447">
        <f>Normalized_FCF!C19</f>
        <v>103790.20955470968</v>
      </c>
      <c r="D9" s="460"/>
      <c r="E9" s="460"/>
      <c r="F9" s="460"/>
      <c r="G9" s="460"/>
    </row>
    <row r="10" spans="2:7">
      <c r="C10" s="448"/>
      <c r="D10" s="460"/>
      <c r="E10" s="460"/>
      <c r="F10" s="460"/>
      <c r="G10" s="460"/>
    </row>
    <row r="11" spans="2:7" ht="13.15">
      <c r="B11" s="145" t="s">
        <v>321</v>
      </c>
      <c r="C11" s="448"/>
      <c r="D11" s="460"/>
      <c r="E11" s="460"/>
      <c r="F11" s="460"/>
      <c r="G11" s="460"/>
    </row>
    <row r="12" spans="2:7">
      <c r="B12" s="114" t="s">
        <v>121</v>
      </c>
      <c r="C12" s="249">
        <f ca="1">(Normalized_FCF!G4/OFFSET(Normalized_FCF!G4, 0, $C$4))^(1/$C$4) - 1</f>
        <v>5.3768659363842009E-2</v>
      </c>
      <c r="D12" s="460"/>
      <c r="E12" s="460"/>
      <c r="F12" s="460"/>
      <c r="G12" s="460"/>
    </row>
    <row r="13" spans="2:7">
      <c r="B13" s="135" t="s">
        <v>127</v>
      </c>
      <c r="C13" s="249">
        <f ca="1">(Normalized_FCF!G8/OFFSET(Normalized_FCF!G8, 0, $C$4))^(1/$C$4) - 1</f>
        <v>5.0952518792346746E-2</v>
      </c>
      <c r="D13" s="460"/>
      <c r="E13" s="460"/>
      <c r="F13" s="460"/>
      <c r="G13" s="460"/>
    </row>
    <row r="14" spans="2:7">
      <c r="B14" s="97" t="s">
        <v>63</v>
      </c>
      <c r="C14" s="249">
        <f ca="1">(Normalized_FCF!G19/OFFSET(Normalized_FCF!G19, 0, $C$4))^(1/$C$4) - 1</f>
        <v>5.7526861635440518E-2</v>
      </c>
      <c r="D14" s="460"/>
      <c r="E14" s="460"/>
      <c r="F14" s="460"/>
      <c r="G14" s="460"/>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133.18652324629412</v>
      </c>
      <c r="F22" s="328">
        <f>1-F23-F24</f>
        <v>0.19999999999999996</v>
      </c>
      <c r="G22" s="328">
        <f>F22*(1-F$29-F$30)</f>
        <v>0.15999999999999995</v>
      </c>
    </row>
    <row r="23" spans="2:7">
      <c r="B23" s="302" t="s">
        <v>437</v>
      </c>
      <c r="C23" s="324">
        <v>0.02</v>
      </c>
      <c r="D23" s="325">
        <f>C18</f>
        <v>30</v>
      </c>
      <c r="E23" s="326">
        <f>DCF!E92</f>
        <v>116.99989134619771</v>
      </c>
      <c r="F23" s="327">
        <v>0.55000000000000004</v>
      </c>
      <c r="G23" s="328">
        <f t="shared" ref="G23:G24" si="0">F23*(1-F$29-F$30)</f>
        <v>0.44</v>
      </c>
    </row>
    <row r="24" spans="2:7">
      <c r="B24" s="302" t="s">
        <v>446</v>
      </c>
      <c r="C24" s="324">
        <v>0.01</v>
      </c>
      <c r="D24" s="325">
        <f>C18</f>
        <v>30</v>
      </c>
      <c r="E24" s="326">
        <f>DCF!E93</f>
        <v>103.80019106271112</v>
      </c>
      <c r="F24" s="327">
        <v>0.25</v>
      </c>
      <c r="G24" s="328">
        <f t="shared" si="0"/>
        <v>0.19999999999999998</v>
      </c>
    </row>
    <row r="25" spans="2:7">
      <c r="B25" s="141" t="s">
        <v>451</v>
      </c>
      <c r="C25" s="441">
        <f>E23*F23+E24*F24+E22*F22</f>
        <v>116.93729265534535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153.13180069880374</v>
      </c>
      <c r="F29" s="327">
        <v>0.15</v>
      </c>
      <c r="G29" s="328">
        <f>F29</f>
        <v>0.15</v>
      </c>
    </row>
    <row r="30" spans="2:7">
      <c r="B30" s="315" t="s">
        <v>447</v>
      </c>
      <c r="C30" s="324">
        <v>0</v>
      </c>
      <c r="D30" s="325">
        <f>C18</f>
        <v>30</v>
      </c>
      <c r="E30" s="326">
        <f>DCF!E94</f>
        <v>92.978286103211488</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78.8</v>
      </c>
      <c r="D34" t="str">
        <f>Market_currency</f>
        <v>HKD</v>
      </c>
      <c r="E34" s="97" t="s">
        <v>454</v>
      </c>
      <c r="F34" s="330">
        <f>RATE(Holding_Period,$C$33,-C34,$C$36)</f>
        <v>0.20513967491814697</v>
      </c>
    </row>
    <row r="35" spans="2:7">
      <c r="B35" s="97" t="s">
        <v>434</v>
      </c>
      <c r="C35" s="320">
        <f>DCF!C11</f>
        <v>123.47323500336459</v>
      </c>
      <c r="D35" s="97" t="str">
        <f>Market_currency</f>
        <v>HKD</v>
      </c>
      <c r="E35" s="97" t="s">
        <v>454</v>
      </c>
      <c r="F35" s="330">
        <f>RATE(Holding_Period,$C$33,-C35,$C$36)</f>
        <v>3.1068616026444205E-2</v>
      </c>
    </row>
    <row r="36" spans="2:7">
      <c r="B36" s="97" t="s">
        <v>435</v>
      </c>
      <c r="C36" s="321">
        <f>E22*G22+E23*G23+E24*G24+E30*G30+E29*G29</f>
        <v>121.1685185342574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121.17273881213103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8.3196131087847078</v>
      </c>
      <c r="D62" s="119">
        <f>C36/(1+F62)^Holding_Period</f>
        <v>55.151806342402082</v>
      </c>
      <c r="E62" s="332">
        <f>C62+D62</f>
        <v>63.47141945118679</v>
      </c>
      <c r="F62" s="301">
        <f>Thesis!E22</f>
        <v>0.3</v>
      </c>
      <c r="G62" s="440">
        <f>(1-E62/C36)</f>
        <v>0.47617235715197903</v>
      </c>
    </row>
    <row r="63" spans="2:7" ht="13.15">
      <c r="B63" s="302" t="s">
        <v>313</v>
      </c>
      <c r="C63" s="119">
        <f>PV(F63, Holding_Period, -C58, 0)</f>
        <v>9.6497916666666672</v>
      </c>
      <c r="D63" s="119">
        <f>C36/(1+F63)^Holding_Period</f>
        <v>70.120670448065624</v>
      </c>
      <c r="E63" s="332">
        <f>C63+D63</f>
        <v>79.770462114732297</v>
      </c>
      <c r="F63" s="301">
        <f>Thesis!E23</f>
        <v>0.2</v>
      </c>
      <c r="G63" s="440">
        <f>(1-E63/C36)</f>
        <v>0.34165686698414843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86.848794965635733</v>
      </c>
      <c r="E66" s="332">
        <f>C66+D66</f>
        <v>97.900929885560686</v>
      </c>
      <c r="F66" s="301">
        <f>Thesis!E24</f>
        <v>0.1174</v>
      </c>
      <c r="G66" s="440">
        <f>(1-E66/C36)</f>
        <v>0.19202668259180189</v>
      </c>
    </row>
    <row r="67" spans="2:7" ht="13.15">
      <c r="B67" s="302" t="s">
        <v>314</v>
      </c>
      <c r="C67" s="119">
        <f>PV(F67, Holding_Period, -C58, 0)</f>
        <v>11.967290915679589</v>
      </c>
      <c r="D67" s="119">
        <f>C36/(1+F67)^Holding_Period</f>
        <v>98.219539914676631</v>
      </c>
      <c r="E67" s="332">
        <f>C67+D67</f>
        <v>110.18683083035621</v>
      </c>
      <c r="F67" s="301">
        <f>Thesis!E25</f>
        <v>7.2499999999999995E-2</v>
      </c>
      <c r="G67" s="440">
        <f>(1-E67/C36)</f>
        <v>9.0631525719251815E-2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78.8</v>
      </c>
    </row>
    <row r="9" spans="1:10">
      <c r="B9" s="351" t="s">
        <v>361</v>
      </c>
      <c r="C9" s="353">
        <f>Common_Shares</f>
        <v>21644606612</v>
      </c>
    </row>
    <row r="10" spans="1:10">
      <c r="B10" s="351" t="s">
        <v>367</v>
      </c>
      <c r="C10" s="357">
        <f>投资主题!C8*Common_Shares/1000000</f>
        <v>1705595.0010255999</v>
      </c>
      <c r="D10" s="343" t="s">
        <v>529</v>
      </c>
      <c r="E10" s="360">
        <f>Scenarios!F34</f>
        <v>0.20513967491814697</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1.1352800000000001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121.1685185342574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63.47141945118679</v>
      </c>
      <c r="D22" s="365" t="s">
        <v>440</v>
      </c>
      <c r="E22" s="366">
        <f>Thesis!E22</f>
        <v>0.3</v>
      </c>
    </row>
    <row r="23" spans="1:6">
      <c r="B23" s="343" t="s">
        <v>341</v>
      </c>
      <c r="C23" s="367">
        <f>E141</f>
        <v>79.770462114732297</v>
      </c>
      <c r="D23" s="365" t="s">
        <v>441</v>
      </c>
      <c r="E23" s="368">
        <f>Thesis!E23</f>
        <v>0.2</v>
      </c>
    </row>
    <row r="24" spans="1:6">
      <c r="B24" s="343" t="s">
        <v>343</v>
      </c>
      <c r="C24" s="367">
        <f>E144</f>
        <v>97.900929885560686</v>
      </c>
      <c r="D24" s="365" t="s">
        <v>443</v>
      </c>
      <c r="E24" s="368">
        <f>Thesis!E24</f>
        <v>0.1174</v>
      </c>
    </row>
    <row r="25" spans="1:6">
      <c r="B25" s="343" t="s">
        <v>342</v>
      </c>
      <c r="C25" s="367">
        <f>E145</f>
        <v>110.18683083035621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6.9084952191122331E-2</v>
      </c>
      <c r="F62" s="379"/>
    </row>
    <row r="63" spans="2:6">
      <c r="B63" s="377" t="s">
        <v>332</v>
      </c>
      <c r="C63" s="378">
        <f>Normalized_FCF!C92</f>
        <v>5.8134517766497466E-2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-91932</v>
      </c>
      <c r="D78" s="343" t="str">
        <f>Reporting_currency</f>
        <v>CNY</v>
      </c>
    </row>
    <row r="79" spans="1:6">
      <c r="B79" s="372" t="s">
        <v>234</v>
      </c>
      <c r="C79" s="387">
        <f>C78*scaling_factor*Exchange_Rate/Common_Shares</f>
        <v>-4.8219199743799903</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8.7579324752660419</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13.770134553647114</v>
      </c>
      <c r="D90" s="343" t="str">
        <f>Market_currency</f>
        <v>HKD</v>
      </c>
    </row>
    <row r="92" spans="1:6">
      <c r="B92" s="372" t="s">
        <v>480</v>
      </c>
      <c r="C92" s="387">
        <f>DCF!F8</f>
        <v>17.706147054533165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1.4631924506515039</v>
      </c>
      <c r="D111" s="343" t="str">
        <f>Market_currency</f>
        <v>HKD</v>
      </c>
    </row>
    <row r="112" spans="1:6">
      <c r="A112" s="385"/>
      <c r="B112" s="372" t="s">
        <v>377</v>
      </c>
      <c r="C112" s="394">
        <f>DCF!C11</f>
        <v>123.47323500336459</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153.13 HKD</v>
      </c>
      <c r="F118" s="399">
        <f>DCF!F90</f>
        <v>0.15</v>
      </c>
    </row>
    <row r="119" spans="1:6">
      <c r="A119" s="385"/>
      <c r="B119" s="400" t="str">
        <f>DCF!B91</f>
        <v>Optimistic</v>
      </c>
      <c r="C119" s="401">
        <f>DCF!C91</f>
        <v>0.03</v>
      </c>
      <c r="D119" s="402">
        <f>DCF!D91</f>
        <v>30</v>
      </c>
      <c r="E119" s="398" t="str">
        <f>ROUND(DCF!E91,2)&amp;" "&amp;Market_currency</f>
        <v>133.19 HKD</v>
      </c>
      <c r="F119" s="403">
        <f>DCF!F91</f>
        <v>0.15999999999999995</v>
      </c>
    </row>
    <row r="120" spans="1:6">
      <c r="B120" s="400" t="str">
        <f>DCF!B92</f>
        <v>Base</v>
      </c>
      <c r="C120" s="401">
        <f>DCF!C92</f>
        <v>0.02</v>
      </c>
      <c r="D120" s="402">
        <f>DCF!D92</f>
        <v>30</v>
      </c>
      <c r="E120" s="398" t="str">
        <f>ROUND(DCF!E92,2)&amp;" "&amp;Market_currency</f>
        <v>117 HKD</v>
      </c>
      <c r="F120" s="403">
        <f>DCF!F92</f>
        <v>0.44</v>
      </c>
    </row>
    <row r="121" spans="1:6">
      <c r="B121" s="400" t="str">
        <f>DCF!B93</f>
        <v>Pessimistic</v>
      </c>
      <c r="C121" s="401">
        <f>DCF!C93</f>
        <v>0.01</v>
      </c>
      <c r="D121" s="402">
        <f>DCF!D93</f>
        <v>30</v>
      </c>
      <c r="E121" s="398" t="str">
        <f>ROUND(DCF!E93,2)&amp;" "&amp;Market_currency</f>
        <v>103.8 HKD</v>
      </c>
      <c r="F121" s="403">
        <f>DCF!F93</f>
        <v>0.19999999999999998</v>
      </c>
    </row>
    <row r="122" spans="1:6">
      <c r="B122" s="400" t="str">
        <f>DCF!B94</f>
        <v>Devil's advocate</v>
      </c>
      <c r="C122" s="401">
        <f>DCF!C94</f>
        <v>0</v>
      </c>
      <c r="D122" s="402">
        <f>DCF!D94</f>
        <v>30</v>
      </c>
      <c r="E122" s="398" t="str">
        <f>ROUND(DCF!E94,2)&amp;" "&amp;Market_currency</f>
        <v>92.98 HKD</v>
      </c>
      <c r="F122" s="403">
        <f>DCF!F94</f>
        <v>0.05</v>
      </c>
    </row>
    <row r="124" spans="1:6">
      <c r="B124" s="470" t="s">
        <v>519</v>
      </c>
      <c r="C124" s="470"/>
      <c r="D124" s="470"/>
      <c r="E124" s="470"/>
      <c r="F124" s="470"/>
    </row>
    <row r="125" spans="1:6">
      <c r="B125" s="372" t="s">
        <v>218</v>
      </c>
      <c r="C125" s="404">
        <f>Scenarios!C36</f>
        <v>121.1685185342574</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8.3196131087847078</v>
      </c>
      <c r="D140" s="409">
        <f>Scenarios!D62</f>
        <v>55.151806342402082</v>
      </c>
      <c r="E140" s="410">
        <f>Scenarios!E62</f>
        <v>63.47141945118679</v>
      </c>
      <c r="F140" s="411">
        <f>E22</f>
        <v>0.3</v>
      </c>
    </row>
    <row r="141" spans="1:6">
      <c r="B141" s="408" t="s">
        <v>313</v>
      </c>
      <c r="C141" s="409">
        <f>Scenarios!C63</f>
        <v>9.6497916666666672</v>
      </c>
      <c r="D141" s="409">
        <f>Scenarios!D63</f>
        <v>70.120670448065624</v>
      </c>
      <c r="E141" s="410">
        <f>Scenarios!E63</f>
        <v>79.770462114732297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86.848794965635733</v>
      </c>
      <c r="E144" s="410">
        <f>Scenarios!E66</f>
        <v>97.900929885560686</v>
      </c>
      <c r="F144" s="411">
        <f>E24</f>
        <v>0.1174</v>
      </c>
    </row>
    <row r="145" spans="1:6">
      <c r="B145" s="408" t="s">
        <v>314</v>
      </c>
      <c r="C145" s="409">
        <f>Scenarios!C67</f>
        <v>11.967290915679589</v>
      </c>
      <c r="D145" s="409">
        <f>Scenarios!D67</f>
        <v>98.219539914676631</v>
      </c>
      <c r="E145" s="410">
        <f>Scenarios!E67</f>
        <v>110.18683083035621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