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0E0078D-2CA2-4F5E-AE7F-E29CCCF0EAB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<sst xmlns="http://schemas.openxmlformats.org/spreadsheetml/2006/main" count="768" uniqueCount="558">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</sst>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3.27</v>
      </c>
      <c r="E8" s="32"/>
    </row>
    <row r="9" spans="1:9">
      <c r="B9" s="4" t="s">
        <v>346</v>
      </c>
      <c r="C9" s="48">
        <v>5091065770</v>
      </c>
    </row>
    <row r="10" spans="1:9">
      <c r="B10" s="4" t="s">
        <v>352</v>
      </c>
      <c r="C10" s="33">
        <f>Thesis!C8*Common_Shares/1000000</f>
        <v>16647.7850679</v>
      </c>
      <c r="D10" s="1" t="s">
        <v>528</v>
      </c>
      <c r="E10" s="303">
        <f>Scenarios!F34</f>
        <v>0.18222622082566256</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2.5097460261535343</v>
      </c>
      <c r="D22" s="38" t="s">
        <v>406</v>
      </c>
      <c r="E22" s="79">
        <v>0.3</v>
      </c>
    </row>
    <row r="23" spans="1:6">
      <c r="B23" s="1" t="s">
        <v>313</v>
      </c>
      <c r="C23" s="256">
        <f>E141</f>
        <v>3.1362338075574741</v>
      </c>
      <c r="D23" s="38" t="s">
        <v>407</v>
      </c>
      <c r="E23" s="443">
        <v>0.2</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2135332.6963168322</v>
      </c>
      <c r="D34" s="1" t="str">
        <f>Reporting_currency</f>
        <v>HKD</v>
      </c>
    </row>
    <row r="35" spans="2:6">
      <c r="B35" s="44"/>
      <c r="C35" s="73"/>
    </row>
    <row r="36" spans="2:6" ht="24.5" customHeight="1">
      <c r="B36" s="462" t="s">
        <v>198</v>
      </c>
      <c r="C36" s="462"/>
      <c r="D36" s="462"/>
      <c r="E36" s="462"/>
      <c r="F36" s="462"/>
    </row>
    <row r="37" spans="2:6">
      <c r="B37" s="44" t="s">
        <v>199</v>
      </c>
      <c r="C37" s="285">
        <f>Normalized_FCF!C15</f>
        <v>0</v>
      </c>
      <c r="D37" s="1" t="str">
        <f>Reporting_currency</f>
        <v>HKD</v>
      </c>
    </row>
    <row r="38" spans="2:6">
      <c r="B38" s="49" t="s">
        <v>200</v>
      </c>
      <c r="C38" s="285">
        <f>Normalized_FCF!C16</f>
        <v>0</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2" t="s">
        <v>206</v>
      </c>
      <c r="C51" s="462"/>
      <c r="D51" s="462"/>
      <c r="E51" s="462"/>
      <c r="F51" s="462"/>
    </row>
    <row r="52" spans="2:6">
      <c r="B52" s="44" t="s">
        <v>204</v>
      </c>
      <c r="C52" s="285">
        <f>Normalized_FCF!C12</f>
        <v>-536514.75935522048</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7.4258357213923459E-2</v>
      </c>
      <c r="F62" s="257"/>
    </row>
    <row r="63" spans="2:6">
      <c r="B63" s="204" t="s">
        <v>332</v>
      </c>
      <c r="C63" s="89">
        <f>Normalized_FCF!C92</f>
        <v>8.2568807339449546E-2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2" t="s">
        <v>357</v>
      </c>
      <c r="C124" s="462"/>
      <c r="D124" s="462"/>
      <c r="E124" s="462"/>
      <c r="F124" s="462"/>
    </row>
    <row r="125" spans="2:6">
      <c r="B125" s="193" t="s">
        <v>218</v>
      </c>
      <c r="C125" s="197">
        <f>Scenarios!C36</f>
        <v>4.4366120194593153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0.49035047792444258</v>
      </c>
      <c r="D140" s="333">
        <f>Scenarios!D62</f>
        <v>2.0193955482290917</v>
      </c>
      <c r="E140" s="334">
        <f>Scenarios!E62</f>
        <v>2.5097460261535343</v>
      </c>
      <c r="F140" s="335">
        <f>E22</f>
        <v>0.3</v>
      </c>
    </row>
    <row r="141" spans="1:6">
      <c r="B141" s="336" t="s">
        <v>313</v>
      </c>
      <c r="C141" s="333">
        <f>Scenarios!C63</f>
        <v>0.56874999999999998</v>
      </c>
      <c r="D141" s="333">
        <f>Scenarios!D63</f>
        <v>2.567483807557474</v>
      </c>
      <c r="E141" s="334">
        <f>Scenarios!E63</f>
        <v>3.1362338075574741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8.2568807339449546E-2</v>
      </c>
      <c r="E92" s="237"/>
      <c r="G92" s="22">
        <f t="shared" ref="G92:Q92" si="38">IF(G$4="","",(G88*(1-dividend_tax_rate))/Market_Price)</f>
        <v>8.2568807339449546E-2</v>
      </c>
      <c r="H92" s="22">
        <f t="shared" si="38"/>
        <v>7.7064220183486257E-2</v>
      </c>
      <c r="I92" s="22">
        <f t="shared" si="38"/>
        <v>0.11834862385321103</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7.4258357213923459E-2</v>
      </c>
      <c r="D124" s="26"/>
      <c r="E124" s="234"/>
      <c r="F124" s="26"/>
      <c r="G124" s="74">
        <f t="shared" ref="G124" si="49">IF(G$4="","",G123/Market_Price)</f>
        <v>7.6695415169286102E-2</v>
      </c>
      <c r="H124" s="74">
        <f t="shared" ref="H124" si="50">IF(H$4="","",H123/Market_Price)</f>
        <v>0.10546463493776809</v>
      </c>
      <c r="I124" s="74">
        <f t="shared" ref="I124" si="51">IF(I$4="","",I123/Market_Price)</f>
        <v>0.17088935328674587</v>
      </c>
      <c r="J124" s="74">
        <f t="shared" ref="J124" si="52">IF(J$4="","",J123/Market_Price)</f>
        <v>0.14039630001273076</v>
      </c>
      <c r="K124" s="74">
        <f t="shared" ref="K124" si="53">IF(K$4="","",K123/Market_Price)</f>
        <v>5.0345075731190021E-2</v>
      </c>
      <c r="L124" s="74">
        <f t="shared" ref="L124" si="54">IF(L$4="","",L123/Market_Price)</f>
        <v>6.3912346036445786E-2</v>
      </c>
      <c r="M124" s="74">
        <f t="shared" ref="M124" si="55">IF(M$4="","",M123/Market_Price)</f>
        <v>5.6905407904782691E-2</v>
      </c>
      <c r="N124" s="74">
        <f t="shared" ref="N124" si="56">IF(N$4="","",N123/Market_Price)</f>
        <v>5.4047009637030276E-2</v>
      </c>
      <c r="O124" s="74">
        <f t="shared" ref="O124" si="57">IF(O$4="","",O123/Market_Price)</f>
        <v>9.5673988671990656E-3</v>
      </c>
      <c r="P124" s="74">
        <f t="shared" ref="P124" si="58">IF(P$4="","",P123/Market_Price)</f>
        <v>4.1445753725545672E-3</v>
      </c>
      <c r="Q124" s="74" t="str">
        <f t="shared" ref="Q124" si="59">IF(Q$4="","",Q123/Market_Price)</f>
        <v/>
      </c>
    </row>
    <row r="125" spans="1:17" ht="15.75" customHeight="1">
      <c r="B125" s="2" t="s">
        <v>306</v>
      </c>
      <c r="C125" s="151"/>
      <c r="G125" s="22">
        <f>IF(G$4="","",(Data!C47*$C$3)/(Market_Price*Common_Shares))</f>
        <v>0.1090220105916436</v>
      </c>
      <c r="H125" s="22">
        <f>IF(H$4="","",(Data!D47*$C$3)/(Market_Price*Common_Shares))</f>
        <v>0.13821286078690628</v>
      </c>
      <c r="I125" s="22">
        <f>IF(I$4="","",(Data!E47*$C$3)/(Market_Price*Common_Shares))</f>
        <v>0.19871442275998222</v>
      </c>
      <c r="J125" s="22">
        <f>IF(J$4="","",(Data!F47*$C$3)/(Market_Price*Common_Shares))</f>
        <v>0.18385815215153437</v>
      </c>
      <c r="K125" s="22">
        <f>IF(K$4="","",(Data!G47*$C$3)/(Market_Price*Common_Shares))</f>
        <v>7.1317775617448398E-2</v>
      </c>
      <c r="L125" s="22">
        <f>IF(L$4="","",(Data!H47*$C$3)/(Market_Price*Common_Shares))</f>
        <v>7.0648497394876678E-2</v>
      </c>
      <c r="M125" s="22">
        <f>IF(M$4="","",(Data!I47*$C$3)/(Market_Price*Common_Shares))</f>
        <v>6.9194069679643436E-2</v>
      </c>
      <c r="N125" s="22">
        <f>IF(N$4="","",(Data!J47*$C$3)/(Market_Price*Common_Shares))</f>
        <v>7.1035515846503819E-2</v>
      </c>
      <c r="O125" s="22">
        <f>IF(O$4="","",(Data!K47*$C$3)/(Market_Price*Common_Shares))</f>
        <v>4.0639640483137451E-3</v>
      </c>
      <c r="P125" s="22">
        <f>IF(P$4="","",(Data!L47*$C$3)/(Market_Price*Common_Shares))</f>
        <v>-4.2736916478568372E-2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0" t="s">
        <v>420</v>
      </c>
      <c r="K52" s="460"/>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3.27</v>
      </c>
      <c r="D34" t="str">
        <f>Market_currency</f>
        <v>HKD</v>
      </c>
      <c r="E34" s="97" t="s">
        <v>454</v>
      </c>
      <c r="F34" s="330">
        <f>RATE(Holding_Period,$C$33,-C34,$C$36)</f>
        <v>0.18222622082566256</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0.49035047792444258</v>
      </c>
      <c r="D62" s="119">
        <f>C36/(1+F62)^Holding_Period</f>
        <v>2.0193955482290917</v>
      </c>
      <c r="E62" s="332">
        <f>C62+D62</f>
        <v>2.5097460261535343</v>
      </c>
      <c r="F62" s="301">
        <f>Thesis!E22</f>
        <v>0.3</v>
      </c>
      <c r="G62" s="440">
        <f>(1-E62/C36)</f>
        <v>0.43431023151323611</v>
      </c>
    </row>
    <row r="63" spans="2:7" ht="13.15">
      <c r="B63" s="302" t="s">
        <v>313</v>
      </c>
      <c r="C63" s="119">
        <f>PV(F63, Holding_Period, -C58, 0)</f>
        <v>0.56874999999999998</v>
      </c>
      <c r="D63" s="119">
        <f>C36/(1+F63)^Holding_Period</f>
        <v>2.567483807557474</v>
      </c>
      <c r="E63" s="332">
        <f>C63+D63</f>
        <v>3.1362338075574741</v>
      </c>
      <c r="F63" s="301">
        <f>Thesis!E23</f>
        <v>0.2</v>
      </c>
      <c r="G63" s="440">
        <f>(1-E63/C36)</f>
        <v>0.29310162939609874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3.27</v>
      </c>
    </row>
    <row r="9" spans="1:10">
      <c r="B9" s="351" t="s">
        <v>361</v>
      </c>
      <c r="C9" s="353">
        <f>Common_Shares</f>
        <v>5091065770</v>
      </c>
    </row>
    <row r="10" spans="1:10">
      <c r="B10" s="351" t="s">
        <v>367</v>
      </c>
      <c r="C10" s="357">
        <f>投资主题!C8*Common_Shares/1000000</f>
        <v>16647.7850679</v>
      </c>
      <c r="D10" s="343" t="s">
        <v>529</v>
      </c>
      <c r="E10" s="360">
        <f>Scenarios!F34</f>
        <v>0.18222622082566256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2.5097460261535343</v>
      </c>
      <c r="D22" s="365" t="s">
        <v>440</v>
      </c>
      <c r="E22" s="366">
        <f>Thesis!E22</f>
        <v>0.3</v>
      </c>
    </row>
    <row r="23" spans="1:6">
      <c r="B23" s="343" t="s">
        <v>341</v>
      </c>
      <c r="C23" s="367">
        <f>E141</f>
        <v>3.1362338075574741</v>
      </c>
      <c r="D23" s="365" t="s">
        <v>441</v>
      </c>
      <c r="E23" s="368">
        <f>Thesis!E23</f>
        <v>0.2</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7.4258357213923459E-2</v>
      </c>
      <c r="F62" s="379"/>
    </row>
    <row r="63" spans="2:6">
      <c r="B63" s="377" t="s">
        <v>332</v>
      </c>
      <c r="C63" s="378">
        <f>Normalized_FCF!C92</f>
        <v>8.2568807339449546E-2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0.49035047792444258</v>
      </c>
      <c r="D140" s="409">
        <f>Scenarios!D62</f>
        <v>2.0193955482290917</v>
      </c>
      <c r="E140" s="410">
        <f>Scenarios!E62</f>
        <v>2.5097460261535343</v>
      </c>
      <c r="F140" s="411">
        <f>E22</f>
        <v>0.3</v>
      </c>
    </row>
    <row r="141" spans="1:6">
      <c r="B141" s="408" t="s">
        <v>313</v>
      </c>
      <c r="C141" s="409">
        <f>Scenarios!C63</f>
        <v>0.56874999999999998</v>
      </c>
      <c r="D141" s="409">
        <f>Scenarios!D63</f>
        <v>2.567483807557474</v>
      </c>
      <c r="E141" s="410">
        <f>Scenarios!E63</f>
        <v>3.1362338075574741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