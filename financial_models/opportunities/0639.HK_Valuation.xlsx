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D84B3F-3482-4936-A2C2-46698FCDF187}"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P94" i="2"/>
  <c r="J94" i="2"/>
  <c r="K94" i="2"/>
  <c r="N94" i="2"/>
  <c r="L94" i="2"/>
  <c r="M94" i="2"/>
  <c r="H94" i="2"/>
  <c r="N119"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<sst xmlns="http://schemas.openxmlformats.org/spreadsheetml/2006/main" count="687" uniqueCount="466">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</sst>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1EDE6FD-0E0D-47F4-8B6F-FD2292C76C8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2.89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2.89</v>
      </c>
      <c r="D12" s="50"/>
      <c r="E12" s="48"/>
    </row>
    <row r="13" spans="1:10">
      <c r="B13" s="1" t="s">
        <v>412</v>
      </c>
      <c r="C13" s="48" t="s">
        <v>393</v>
      </c>
      <c r="D13" s="48"/>
      <c r="E13" s="5"/>
    </row>
    <row r="14" spans="1:10">
      <c r="B14" s="4" t="s">
        <v>416</v>
      </c>
      <c r="C14" s="35">
        <f>Thesis!C12*Common_Shares/1000000</f>
        <v>14713.180075300001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0.23964880679790124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2.2811221378505544</v>
      </c>
      <c r="D29" s="310" t="str">
        <f>D149</f>
        <v/>
      </c>
      <c r="E29" s="306" t="s">
        <v>420</v>
      </c>
      <c r="F29" s="302">
        <v>0.35</v>
      </c>
    </row>
    <row r="30" spans="2:6">
      <c r="B30" s="1" t="s">
        <v>422</v>
      </c>
      <c r="C30" s="311">
        <f>C157</f>
        <v>2.823790530515998</v>
      </c>
      <c r="D30" s="311" t="str">
        <f>D157</f>
        <v/>
      </c>
      <c r="E30" s="307" t="s">
        <v>433</v>
      </c>
      <c r="F30" s="312">
        <v>0.25</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7.4207443024177352E-2</v>
      </c>
      <c r="F69" s="314"/>
    </row>
    <row r="70" spans="1:6">
      <c r="B70" s="227" t="s">
        <v>454</v>
      </c>
      <c r="C70" s="92">
        <f>Normalized_FCF!C94</f>
        <v>9.3425605536332182E-2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259</v>
      </c>
      <c r="C149" s="215">
        <f>Scenarios!C83</f>
        <v>2.2811221378505544</v>
      </c>
      <c r="D149" s="300" t="str">
        <f>IF($D$11="","",C149*$E$25)</f>
        <v/>
      </c>
    </row>
    <row r="150" spans="2:4">
      <c r="B150" s="259" t="s">
        <v>412</v>
      </c>
      <c r="C150" s="298" t="str">
        <f>Market_currency</f>
        <v>HKD</v>
      </c>
      <c r="D150" s="298" t="str">
        <f>IF($D$11="","",D$13)</f>
        <v/>
      </c>
    </row>
    <row r="151" spans="2:4">
      <c r="B151" s="214" t="s">
        <v>261</v>
      </c>
      <c r="C151" s="92">
        <f>Scenarios!F83</f>
        <v>0.49148393825902781</v>
      </c>
    </row>
    <row r="153" spans="2:4">
      <c r="B153" s="210" t="s">
        <v>408</v>
      </c>
    </row>
    <row r="154" spans="2:4">
      <c r="B154" s="1" t="s">
        <v>407</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259</v>
      </c>
      <c r="C157" s="215">
        <f>Scenarios!C93</f>
        <v>2.823790530515998</v>
      </c>
      <c r="D157" s="300" t="str">
        <f>IF($D$11="","",C157*$E$25)</f>
        <v/>
      </c>
    </row>
    <row r="158" spans="2:4">
      <c r="B158" s="259" t="s">
        <v>412</v>
      </c>
      <c r="C158" s="298" t="str">
        <f>Market_currency</f>
        <v>HKD</v>
      </c>
      <c r="D158" s="298" t="str">
        <f>IF($D$11="","",D$13)</f>
        <v/>
      </c>
    </row>
    <row r="159" spans="2:4">
      <c r="B159" s="214" t="s">
        <v>261</v>
      </c>
      <c r="C159" s="92">
        <f>Scenarios!F93</f>
        <v>0.37051032212045443</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464</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391</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2.89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0.35</v>
      </c>
    </row>
    <row r="81" spans="2:8">
      <c r="B81" s="100" t="s">
        <v>120</v>
      </c>
      <c r="C81" s="116">
        <f>PV(C80, C76, -C77, 0)</f>
        <v>0.45788751714677645</v>
      </c>
      <c r="D81" s="116"/>
      <c r="E81" s="100"/>
      <c r="F81" s="100"/>
    </row>
    <row r="82" spans="2:8">
      <c r="B82" s="100" t="s">
        <v>121</v>
      </c>
      <c r="C82" s="116">
        <f>C60/(1+C80)^C76</f>
        <v>1.823234620703778</v>
      </c>
      <c r="D82" s="116"/>
    </row>
    <row r="83" spans="2:8" ht="13.15">
      <c r="B83" s="110" t="s">
        <v>101</v>
      </c>
      <c r="C83" s="111">
        <f>C81+C82</f>
        <v>2.2811221378505544</v>
      </c>
      <c r="D83" t="str">
        <f>Market_currency</f>
        <v>HKD</v>
      </c>
      <c r="E83" s="146" t="s">
        <v>125</v>
      </c>
      <c r="F83" s="291">
        <f>(1-C83/C60)</f>
        <v>0.49148393825902781</v>
      </c>
    </row>
    <row r="84" spans="2:8">
      <c r="E84" s="120"/>
    </row>
    <row r="85" spans="2:8" ht="13.15">
      <c r="B85" s="109" t="s">
        <v>301</v>
      </c>
    </row>
    <row r="86" spans="2:8">
      <c r="B86" s="148" t="s">
        <v>299</v>
      </c>
      <c r="C86" s="116">
        <f>Market_Price</f>
        <v>2.89</v>
      </c>
      <c r="D86" t="str">
        <f>Market_currency</f>
        <v>HKD</v>
      </c>
    </row>
    <row r="87" spans="2:8" ht="13.15">
      <c r="B87" s="100" t="s">
        <v>297</v>
      </c>
      <c r="C87" s="237">
        <f ca="1">IRR(OFFSET($I$3, 0, 0, $C$76 + 1, 1))</f>
        <v>0.23964880679790124</v>
      </c>
    </row>
    <row r="88" spans="2:8">
      <c r="B88" s="100"/>
    </row>
    <row r="89" spans="2:8" ht="13.15">
      <c r="B89" s="109" t="s">
        <v>409</v>
      </c>
    </row>
    <row r="90" spans="2:8">
      <c r="B90" s="148" t="s">
        <v>410</v>
      </c>
      <c r="C90" s="167">
        <f>Thesis!F30</f>
        <v>0.25</v>
      </c>
    </row>
    <row r="91" spans="2:8">
      <c r="B91" s="100" t="s">
        <v>120</v>
      </c>
      <c r="C91" s="116">
        <f>PV(C90, C76, -C77, 0)</f>
        <v>0.52704000000000006</v>
      </c>
      <c r="D91" s="116"/>
      <c r="E91" s="100"/>
      <c r="F91" s="100"/>
    </row>
    <row r="92" spans="2:8">
      <c r="B92" s="100" t="s">
        <v>121</v>
      </c>
      <c r="C92" s="116">
        <f>C60/(1+C90)^C76</f>
        <v>2.2967505305159981</v>
      </c>
      <c r="D92" s="116"/>
    </row>
    <row r="93" spans="2:8" ht="13.15">
      <c r="B93" s="110" t="s">
        <v>101</v>
      </c>
      <c r="C93" s="111">
        <f>C91+C92</f>
        <v>2.823790530515998</v>
      </c>
      <c r="D93" t="str">
        <f>Market_currency</f>
        <v>HKD</v>
      </c>
      <c r="E93" s="146" t="s">
        <v>125</v>
      </c>
      <c r="F93" s="291">
        <f>(1-C93/C60)</f>
        <v>0.37051032212045443</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CFC9-8CA7-4AC0-A4D1-2C83D9428848}">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