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2C6DD004-4EF3-414B-895C-64E76F3352F4}"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40" i="9" l="1"/>
  <c r="E83" i="2"/>
  <c r="E84" i="2"/>
  <c r="C88" i="2"/>
  <c r="C82" i="2"/>
  <c r="C79" i="2"/>
  <c r="C64" i="2"/>
  <c r="C65" i="2"/>
  <c r="C66" i="2"/>
  <c r="C35" i="2"/>
  <c r="C29" i="2"/>
  <c r="C30" i="2"/>
  <c r="C4" i="2"/>
  <c r="G17" i="3"/>
  <c r="C19" i="3"/>
  <c r="C23" i="3"/>
  <c r="G4" i="3"/>
  <c r="C4" i="3"/>
  <c r="C25" i="4"/>
  <c r="D25" i="4"/>
  <c r="E25" i="4"/>
  <c r="C28" i="4"/>
  <c r="C29" i="4"/>
  <c r="C30" i="4"/>
  <c r="C32" i="4"/>
  <c r="A80" i="8"/>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H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B51" i="8" s="1"/>
  <c r="Q95" i="2"/>
  <c r="A87" i="8"/>
  <c r="A86" i="8"/>
  <c r="D122" i="12" l="1"/>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C25"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G38" i="2" l="1"/>
  <c r="C23" i="2"/>
  <c r="C117" i="2"/>
  <c r="O117" i="2"/>
  <c r="P117" i="2"/>
  <c r="I4" i="8"/>
  <c r="O32" i="2"/>
  <c r="O72" i="2"/>
  <c r="O8" i="2"/>
  <c r="H58" i="4"/>
  <c r="L60" i="2" s="1"/>
  <c r="G71" i="4"/>
  <c r="H71" i="4"/>
  <c r="O38" i="2"/>
  <c r="O61" i="2"/>
  <c r="O71" i="2"/>
  <c r="C58" i="4"/>
  <c r="G60" i="2" s="1"/>
  <c r="G61" i="2" s="1"/>
  <c r="C71" i="4"/>
  <c r="E58" i="4"/>
  <c r="I60" i="2" s="1"/>
  <c r="E71" i="4"/>
  <c r="D71" i="4"/>
  <c r="G104" i="2"/>
  <c r="G100" i="2" s="1"/>
  <c r="P38" i="2"/>
  <c r="P32" i="2"/>
  <c r="P61" i="2"/>
  <c r="P6" i="2"/>
  <c r="P71" i="2"/>
  <c r="C47" i="2"/>
  <c r="C24" i="2"/>
  <c r="C109" i="2"/>
  <c r="G32" i="2"/>
  <c r="C17" i="2"/>
  <c r="M61" i="2"/>
  <c r="M9" i="2"/>
  <c r="N61" i="2"/>
  <c r="N9" i="2"/>
  <c r="G67" i="2"/>
  <c r="G9" i="2"/>
  <c r="N71" i="2"/>
  <c r="M6" i="2"/>
  <c r="M8" i="2" s="1"/>
  <c r="C95" i="2"/>
  <c r="J61" i="2"/>
  <c r="J75" i="2" s="1"/>
  <c r="H61" i="2"/>
  <c r="H75" i="2" s="1"/>
  <c r="N38" i="2"/>
  <c r="N118" i="2"/>
  <c r="M118" i="2"/>
  <c r="M38" i="2"/>
  <c r="N6" i="2"/>
  <c r="N8" i="2" s="1"/>
  <c r="M32" i="2"/>
  <c r="M71" i="2"/>
  <c r="N32" i="2"/>
  <c r="K60" i="2"/>
  <c r="C118" i="2"/>
  <c r="C55" i="3"/>
  <c r="L118" i="2"/>
  <c r="J118" i="2"/>
  <c r="H118" i="2"/>
  <c r="K118" i="2"/>
  <c r="I118" i="2"/>
  <c r="H5" i="2"/>
  <c r="I5" i="2"/>
  <c r="C107" i="2"/>
  <c r="C108" i="2"/>
  <c r="K5" i="2"/>
  <c r="J7" i="2"/>
  <c r="J73" i="2" s="1"/>
  <c r="C81" i="2"/>
  <c r="L5" i="2"/>
  <c r="G7" i="2"/>
  <c r="G73" i="2" s="1"/>
  <c r="J5" i="2"/>
  <c r="L7" i="2"/>
  <c r="L73" i="2" s="1"/>
  <c r="H7" i="2"/>
  <c r="H73" i="2" s="1"/>
  <c r="G5" i="2"/>
  <c r="G71" i="2" s="1"/>
  <c r="K7" i="2"/>
  <c r="K73" i="2" s="1"/>
  <c r="K38" i="2"/>
  <c r="I7" i="2"/>
  <c r="I73" i="2" s="1"/>
  <c r="C7" i="2"/>
  <c r="I5" i="8" s="1"/>
  <c r="C26" i="2" l="1"/>
  <c r="C18" i="8"/>
  <c r="G118" i="2"/>
  <c r="D69" i="6" s="1"/>
  <c r="G117" i="2"/>
  <c r="C69" i="6"/>
  <c r="C69" i="12"/>
  <c r="C55" i="6"/>
  <c r="C55" i="12"/>
  <c r="M72" i="2"/>
  <c r="O53" i="2"/>
  <c r="O74" i="2"/>
  <c r="M53" i="2"/>
  <c r="M75" i="2"/>
  <c r="P72" i="2"/>
  <c r="P8" i="2"/>
  <c r="N75" i="2"/>
  <c r="N53" i="2"/>
  <c r="K71" i="2"/>
  <c r="I71" i="2"/>
  <c r="H71" i="2"/>
  <c r="J71" i="2"/>
  <c r="L71" i="2"/>
  <c r="L61" i="2"/>
  <c r="L75" i="2" s="1"/>
  <c r="K61" i="2"/>
  <c r="K75" i="2" s="1"/>
  <c r="I61" i="2"/>
  <c r="I75" i="2" s="1"/>
  <c r="N72" i="2"/>
  <c r="C75" i="2"/>
  <c r="H6" i="2"/>
  <c r="H8" i="2" s="1"/>
  <c r="K6" i="2"/>
  <c r="K8" i="2" s="1"/>
  <c r="G6" i="2"/>
  <c r="G8" i="2" s="1"/>
  <c r="I6" i="2"/>
  <c r="I8" i="2" s="1"/>
  <c r="L6" i="2"/>
  <c r="L8" i="2" s="1"/>
  <c r="J6" i="2"/>
  <c r="J8" i="2" s="1"/>
  <c r="C73" i="2"/>
  <c r="C38" i="2"/>
  <c r="D69" i="12" l="1"/>
  <c r="C16" i="2"/>
  <c r="C38" i="12" s="1"/>
  <c r="L53" i="2"/>
  <c r="P53" i="2"/>
  <c r="P74" i="2"/>
  <c r="C32" i="2"/>
  <c r="C17" i="8" s="1"/>
  <c r="C5" i="2"/>
  <c r="C6" i="2" s="1"/>
  <c r="C8" i="2" s="1"/>
  <c r="C34" i="12" s="1"/>
  <c r="I53" i="2"/>
  <c r="H53" i="2"/>
  <c r="J53" i="2"/>
  <c r="G53" i="2"/>
  <c r="C7" i="9"/>
  <c r="K53" i="2"/>
  <c r="C13" i="9"/>
  <c r="G75" i="2"/>
  <c r="L72" i="2"/>
  <c r="I72" i="2"/>
  <c r="H72" i="2"/>
  <c r="G72" i="2"/>
  <c r="K72" i="2"/>
  <c r="J72" i="2"/>
  <c r="C103" i="2"/>
  <c r="C38" i="6" l="1"/>
  <c r="F17" i="8"/>
  <c r="E51" i="8" s="1"/>
  <c r="E21" i="8"/>
  <c r="D55" i="3"/>
  <c r="G29" i="3"/>
  <c r="D62" i="3" s="1"/>
  <c r="F14" i="8" l="1"/>
  <c r="B39" i="9" s="1"/>
  <c r="B14" i="6" s="1"/>
  <c r="D51" i="3"/>
  <c r="C46" i="3"/>
  <c r="C47" i="3" s="1"/>
  <c r="C62" i="3"/>
  <c r="I9" i="8" l="1"/>
  <c r="F18" i="8"/>
  <c r="H51" i="8" s="1"/>
  <c r="E15" i="8"/>
  <c r="F15" i="8"/>
  <c r="G1" i="2"/>
  <c r="C13" i="2" l="1"/>
  <c r="C49" i="12" s="1"/>
  <c r="A41" i="8"/>
  <c r="I41" i="8" s="1"/>
  <c r="E46" i="8"/>
  <c r="E44" i="8"/>
  <c r="A45" i="8"/>
  <c r="I45" i="8" s="1"/>
  <c r="E48" i="8"/>
  <c r="A44" i="8"/>
  <c r="I44" i="8" s="1"/>
  <c r="E43" i="8"/>
  <c r="E42" i="8"/>
  <c r="A47" i="8"/>
  <c r="I47" i="8" s="1"/>
  <c r="A48" i="8"/>
  <c r="I48" i="8" s="1"/>
  <c r="E41" i="8"/>
  <c r="A50" i="8"/>
  <c r="I50" i="8" s="1"/>
  <c r="E45" i="8"/>
  <c r="E49" i="8"/>
  <c r="A42" i="8"/>
  <c r="I42" i="8" s="1"/>
  <c r="A46" i="8"/>
  <c r="I46" i="8" s="1"/>
  <c r="A43" i="8"/>
  <c r="I43" i="8" s="1"/>
  <c r="E47" i="8"/>
  <c r="A49" i="8"/>
  <c r="I49" i="8" s="1"/>
  <c r="E50" i="8"/>
  <c r="A36" i="8"/>
  <c r="I36" i="8" s="1"/>
  <c r="A39" i="8"/>
  <c r="I39" i="8" s="1"/>
  <c r="A40" i="8"/>
  <c r="I40" i="8" s="1"/>
  <c r="E38" i="8"/>
  <c r="E40" i="8"/>
  <c r="E37" i="8"/>
  <c r="A38" i="8"/>
  <c r="I38" i="8" s="1"/>
  <c r="E39" i="8"/>
  <c r="E36" i="8"/>
  <c r="A37" i="8"/>
  <c r="I37" i="8" s="1"/>
  <c r="A33" i="8"/>
  <c r="I33" i="8" s="1"/>
  <c r="E33" i="8"/>
  <c r="A34" i="8"/>
  <c r="I34" i="8" s="1"/>
  <c r="E31" i="8"/>
  <c r="E35" i="8"/>
  <c r="A35" i="8"/>
  <c r="I35" i="8" s="1"/>
  <c r="E32" i="8"/>
  <c r="E34" i="8"/>
  <c r="A32" i="8"/>
  <c r="I32" i="8" s="1"/>
  <c r="A31" i="8"/>
  <c r="E29" i="8"/>
  <c r="E26" i="8"/>
  <c r="E27" i="8"/>
  <c r="E30" i="8"/>
  <c r="A29" i="8"/>
  <c r="E28" i="8"/>
  <c r="A26" i="8"/>
  <c r="A28" i="8"/>
  <c r="A30" i="8"/>
  <c r="A27" i="8"/>
  <c r="E24" i="8"/>
  <c r="E22" i="8"/>
  <c r="A23" i="8"/>
  <c r="E25" i="8"/>
  <c r="A24" i="8"/>
  <c r="A21" i="8"/>
  <c r="H21" i="8" s="1"/>
  <c r="E23" i="8"/>
  <c r="A22" i="8"/>
  <c r="A25" i="8"/>
  <c r="C49" i="6"/>
  <c r="D73" i="3"/>
  <c r="C73" i="3"/>
  <c r="C74" i="3" s="1"/>
  <c r="F1" i="3"/>
  <c r="H1" i="2"/>
  <c r="E1" i="4"/>
  <c r="F1" i="4" s="1"/>
  <c r="G1" i="4" s="1"/>
  <c r="H1" i="4" s="1"/>
  <c r="I1" i="4" s="1"/>
  <c r="J1" i="4" s="1"/>
  <c r="K1" i="4" s="1"/>
  <c r="L1" i="4" s="1"/>
  <c r="M1" i="4" s="1"/>
  <c r="J42" i="8" l="1"/>
  <c r="J39" i="8"/>
  <c r="J46" i="8"/>
  <c r="J33" i="8"/>
  <c r="J35" i="8"/>
  <c r="J45" i="8"/>
  <c r="J38" i="8"/>
  <c r="J49" i="8"/>
  <c r="J32" i="8"/>
  <c r="J44" i="8"/>
  <c r="J40" i="8"/>
  <c r="J37" i="8"/>
  <c r="J36" i="8"/>
  <c r="J50" i="8"/>
  <c r="J48" i="8"/>
  <c r="J34" i="8"/>
  <c r="J43" i="8"/>
  <c r="J47" i="8"/>
  <c r="J41" i="8"/>
  <c r="D46" i="8"/>
  <c r="H46" i="8"/>
  <c r="H42" i="8"/>
  <c r="D42" i="8"/>
  <c r="D44" i="8"/>
  <c r="H44" i="8"/>
  <c r="D50" i="8"/>
  <c r="H50" i="8"/>
  <c r="H45" i="8"/>
  <c r="D45" i="8"/>
  <c r="D49" i="8"/>
  <c r="H49" i="8"/>
  <c r="D48" i="8"/>
  <c r="H48" i="8"/>
  <c r="D43" i="8"/>
  <c r="H43" i="8"/>
  <c r="D47" i="8"/>
  <c r="H47" i="8"/>
  <c r="H41" i="8"/>
  <c r="D41" i="8"/>
  <c r="D38" i="8"/>
  <c r="H38" i="8"/>
  <c r="H40" i="8"/>
  <c r="D40" i="8"/>
  <c r="D37" i="8"/>
  <c r="H37" i="8"/>
  <c r="D39" i="8"/>
  <c r="H39" i="8"/>
  <c r="H36" i="8"/>
  <c r="D36" i="8"/>
  <c r="D35" i="8"/>
  <c r="H35" i="8"/>
  <c r="D34" i="8"/>
  <c r="H34" i="8"/>
  <c r="H31" i="8"/>
  <c r="D31" i="8"/>
  <c r="H32" i="8"/>
  <c r="D32" i="8"/>
  <c r="D33" i="8"/>
  <c r="H33" i="8"/>
  <c r="D28" i="8"/>
  <c r="H28" i="8"/>
  <c r="H29" i="8"/>
  <c r="D29" i="8"/>
  <c r="H26" i="8"/>
  <c r="D26" i="8"/>
  <c r="H27" i="8"/>
  <c r="D27" i="8"/>
  <c r="H30" i="8"/>
  <c r="D30" i="8"/>
  <c r="H22" i="8"/>
  <c r="H23" i="8"/>
  <c r="H24" i="8"/>
  <c r="H25" i="8"/>
  <c r="D21" i="8"/>
  <c r="C21" i="8" s="1"/>
  <c r="D25" i="8"/>
  <c r="D22" i="8"/>
  <c r="D24" i="8"/>
  <c r="D23" i="8"/>
  <c r="D74" i="3"/>
  <c r="D76" i="3" s="1"/>
  <c r="F21" i="8" l="1"/>
  <c r="C22" i="8"/>
  <c r="C23" i="8" s="1"/>
  <c r="D75" i="3"/>
  <c r="Q115" i="2"/>
  <c r="F22" i="8" l="1"/>
  <c r="F23" i="8" s="1"/>
  <c r="F24" i="8" s="1"/>
  <c r="F25" i="8" s="1"/>
  <c r="F26" i="8" s="1"/>
  <c r="F27" i="8" s="1"/>
  <c r="F28" i="8" s="1"/>
  <c r="F29" i="8" s="1"/>
  <c r="F30" i="8" s="1"/>
  <c r="C24" i="8"/>
  <c r="C46" i="2"/>
  <c r="C44" i="12" s="1"/>
  <c r="D66" i="3"/>
  <c r="C71" i="2"/>
  <c r="C41" i="3"/>
  <c r="F31" i="8" l="1"/>
  <c r="F32" i="8" s="1"/>
  <c r="F33" i="8" s="1"/>
  <c r="F34" i="8" s="1"/>
  <c r="F35" i="8" s="1"/>
  <c r="F36" i="8" s="1"/>
  <c r="F37" i="8" s="1"/>
  <c r="F38" i="8" s="1"/>
  <c r="F39" i="8" s="1"/>
  <c r="F40" i="8" s="1"/>
  <c r="F41" i="8" s="1"/>
  <c r="F42" i="8" s="1"/>
  <c r="F43" i="8" s="1"/>
  <c r="F44" i="8" s="1"/>
  <c r="F45" i="8" s="1"/>
  <c r="F46" i="8" s="1"/>
  <c r="F47" i="8" s="1"/>
  <c r="F48" i="8" s="1"/>
  <c r="F49" i="8" s="1"/>
  <c r="F50" i="8" s="1"/>
  <c r="F51" i="8" s="1"/>
  <c r="C25" i="8"/>
  <c r="F5" i="8"/>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C26" i="8" l="1"/>
  <c r="I76" i="2"/>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F7" i="8" s="1"/>
  <c r="B1" i="2"/>
  <c r="C74" i="8" l="1"/>
  <c r="C76" i="8"/>
  <c r="C78" i="8"/>
  <c r="C80" i="8"/>
  <c r="C82" i="8"/>
  <c r="C84" i="8"/>
  <c r="C86" i="8"/>
  <c r="B75" i="8"/>
  <c r="B83" i="8"/>
  <c r="D74" i="8"/>
  <c r="D76" i="8"/>
  <c r="D78" i="8"/>
  <c r="D80" i="8"/>
  <c r="D82" i="8"/>
  <c r="D84" i="8"/>
  <c r="D86" i="8"/>
  <c r="B76" i="8"/>
  <c r="B84" i="8"/>
  <c r="E81" i="8"/>
  <c r="E87" i="8"/>
  <c r="F75" i="8"/>
  <c r="F79" i="8"/>
  <c r="F83" i="8"/>
  <c r="F87" i="8"/>
  <c r="E74" i="8"/>
  <c r="E76" i="8"/>
  <c r="E78" i="8"/>
  <c r="E80" i="8"/>
  <c r="E82" i="8"/>
  <c r="E84" i="8"/>
  <c r="E86" i="8"/>
  <c r="B77" i="8"/>
  <c r="B85" i="8"/>
  <c r="F74" i="8"/>
  <c r="F76" i="8"/>
  <c r="F78" i="8"/>
  <c r="F80" i="8"/>
  <c r="F82" i="8"/>
  <c r="F84" i="8"/>
  <c r="F86" i="8"/>
  <c r="B78" i="8"/>
  <c r="B86" i="8"/>
  <c r="E77" i="8"/>
  <c r="E85" i="8"/>
  <c r="C75" i="8"/>
  <c r="C77" i="8"/>
  <c r="C79" i="8"/>
  <c r="C81" i="8"/>
  <c r="C83" i="8"/>
  <c r="C85" i="8"/>
  <c r="C87" i="8"/>
  <c r="B79" i="8"/>
  <c r="B87" i="8"/>
  <c r="D75" i="8"/>
  <c r="D77" i="8"/>
  <c r="D79" i="8"/>
  <c r="D81" i="8"/>
  <c r="D83" i="8"/>
  <c r="D85" i="8"/>
  <c r="D87" i="8"/>
  <c r="B80" i="8"/>
  <c r="E75" i="8"/>
  <c r="E79" i="8"/>
  <c r="E83" i="8"/>
  <c r="B81" i="8"/>
  <c r="F77" i="8"/>
  <c r="F81" i="8"/>
  <c r="F85" i="8"/>
  <c r="B82" i="8"/>
  <c r="F8" i="8"/>
  <c r="B74" i="8"/>
  <c r="C27" i="8"/>
  <c r="C80" i="6"/>
  <c r="C80" i="12"/>
  <c r="D68" i="6"/>
  <c r="D68" i="12"/>
  <c r="O77" i="2"/>
  <c r="O116" i="2" s="1"/>
  <c r="O14" i="2"/>
  <c r="P77" i="2"/>
  <c r="P116" i="2" s="1"/>
  <c r="P14" i="2"/>
  <c r="O96" i="2"/>
  <c r="G52" i="2"/>
  <c r="C92" i="6" l="1"/>
  <c r="C92" i="12"/>
  <c r="C28" i="8"/>
  <c r="C7" i="8"/>
  <c r="C86" i="3"/>
  <c r="D86" i="3" s="1"/>
  <c r="D89" i="3" s="1"/>
  <c r="C78" i="12"/>
  <c r="C79" i="12" s="1"/>
  <c r="C78" i="6"/>
  <c r="C79" i="6" s="1"/>
  <c r="O80" i="2"/>
  <c r="O19" i="2"/>
  <c r="O90" i="2" s="1"/>
  <c r="O123" i="2"/>
  <c r="O124" i="2" s="1"/>
  <c r="P80" i="2"/>
  <c r="P19" i="2"/>
  <c r="P90" i="2" s="1"/>
  <c r="P123" i="2"/>
  <c r="P124" i="2" s="1"/>
  <c r="C45" i="2"/>
  <c r="C45" i="12" s="1"/>
  <c r="C29" i="8" l="1"/>
  <c r="C89" i="3"/>
  <c r="O113" i="2"/>
  <c r="O85" i="2"/>
  <c r="P113" i="2"/>
  <c r="P85" i="2"/>
  <c r="C53" i="2"/>
  <c r="C45" i="6"/>
  <c r="E94" i="8"/>
  <c r="C48" i="2"/>
  <c r="C10" i="2" s="1"/>
  <c r="I8" i="8" s="1"/>
  <c r="I6" i="8" s="1"/>
  <c r="I1" i="2"/>
  <c r="G21" i="8" l="1"/>
  <c r="I21" i="8" s="1"/>
  <c r="G26" i="8"/>
  <c r="I26" i="8" s="1"/>
  <c r="G27" i="8"/>
  <c r="I27" i="8" s="1"/>
  <c r="G28" i="8"/>
  <c r="I28" i="8" s="1"/>
  <c r="J28" i="8" s="1"/>
  <c r="D122" i="6"/>
  <c r="E122" i="12"/>
  <c r="E30" i="9"/>
  <c r="G29" i="8"/>
  <c r="I29" i="8" s="1"/>
  <c r="J29" i="8" s="1"/>
  <c r="C30" i="8"/>
  <c r="C31" i="8" s="1"/>
  <c r="G23" i="8"/>
  <c r="I23" i="8" s="1"/>
  <c r="G22" i="8"/>
  <c r="I22" i="8" s="1"/>
  <c r="G24" i="8"/>
  <c r="I24" i="8" s="1"/>
  <c r="G25" i="8"/>
  <c r="I25" i="8" s="1"/>
  <c r="C46" i="12"/>
  <c r="C11" i="2"/>
  <c r="C12" i="2" s="1"/>
  <c r="C46" i="6"/>
  <c r="C76" i="2"/>
  <c r="J1" i="2"/>
  <c r="K1" i="2" s="1"/>
  <c r="L1" i="2" s="1"/>
  <c r="M1" i="2" s="1"/>
  <c r="N1" i="2" s="1"/>
  <c r="O1" i="2" s="1"/>
  <c r="P1" i="2" s="1"/>
  <c r="Q1" i="2" s="1"/>
  <c r="J27" i="8" l="1"/>
  <c r="J26" i="8"/>
  <c r="J25" i="8"/>
  <c r="J24" i="8"/>
  <c r="G31" i="8"/>
  <c r="I31" i="8" s="1"/>
  <c r="C32" i="8"/>
  <c r="G30" i="8"/>
  <c r="I30" i="8" s="1"/>
  <c r="J30" i="8" s="1"/>
  <c r="J22" i="8"/>
  <c r="C52" i="6"/>
  <c r="C52" i="12"/>
  <c r="C68" i="6"/>
  <c r="C68" i="12"/>
  <c r="C119" i="2"/>
  <c r="C14" i="2"/>
  <c r="C19" i="2" s="1"/>
  <c r="J31" i="8" l="1"/>
  <c r="J23" i="8"/>
  <c r="G32" i="8"/>
  <c r="C33" i="8"/>
  <c r="C90" i="2"/>
  <c r="F63" i="12" s="1"/>
  <c r="C61" i="12"/>
  <c r="C66" i="6"/>
  <c r="C66" i="12"/>
  <c r="C4" i="8"/>
  <c r="J21" i="8" s="1"/>
  <c r="G33" i="8" l="1"/>
  <c r="C34" i="8"/>
  <c r="F63" i="6"/>
  <c r="G34" i="8" l="1"/>
  <c r="C35" i="8"/>
  <c r="C36" i="8" s="1"/>
  <c r="C72" i="8"/>
  <c r="G36" i="8" l="1"/>
  <c r="C37" i="8"/>
  <c r="G35" i="8"/>
  <c r="E90" i="8"/>
  <c r="E91" i="8"/>
  <c r="E93" i="8"/>
  <c r="E92" i="8"/>
  <c r="D120" i="6" l="1"/>
  <c r="E120" i="12"/>
  <c r="D121" i="6"/>
  <c r="E121" i="12"/>
  <c r="E118" i="12"/>
  <c r="D118" i="6"/>
  <c r="E119" i="12"/>
  <c r="D119" i="6"/>
  <c r="E24" i="9"/>
  <c r="E29" i="9"/>
  <c r="E23" i="9"/>
  <c r="E22" i="9"/>
  <c r="G37" i="8"/>
  <c r="C38" i="8"/>
  <c r="C36" i="9" l="1"/>
  <c r="C25" i="9"/>
  <c r="G38" i="8"/>
  <c r="C39" i="8"/>
  <c r="F34" i="9" l="1"/>
  <c r="D62" i="9"/>
  <c r="D63" i="9"/>
  <c r="D67" i="9"/>
  <c r="D66" i="9"/>
  <c r="G39" i="8"/>
  <c r="C40" i="8"/>
  <c r="C41" i="8" s="1"/>
  <c r="C125" i="12"/>
  <c r="C18" i="12" s="1"/>
  <c r="C125" i="6"/>
  <c r="C18" i="6" s="1"/>
  <c r="F53" i="9"/>
  <c r="C53" i="9" s="1"/>
  <c r="H74" i="2"/>
  <c r="H11" i="2"/>
  <c r="F122" i="6" l="1"/>
  <c r="F121" i="6"/>
  <c r="F119" i="6"/>
  <c r="F120" i="6"/>
  <c r="F118" i="6"/>
  <c r="E10" i="12"/>
  <c r="C42" i="8"/>
  <c r="G41" i="8"/>
  <c r="G40" i="8"/>
  <c r="H119" i="2"/>
  <c r="H115" i="2" s="1"/>
  <c r="E66" i="9"/>
  <c r="G66" i="9" s="1"/>
  <c r="D144" i="12"/>
  <c r="E62" i="9"/>
  <c r="D140" i="12"/>
  <c r="D145" i="6"/>
  <c r="D145" i="12"/>
  <c r="D141" i="6"/>
  <c r="D141" i="12"/>
  <c r="D144" i="6"/>
  <c r="D140" i="6"/>
  <c r="E67" i="9"/>
  <c r="E63" i="9"/>
  <c r="E141" i="12" s="1"/>
  <c r="C23" i="12" s="1"/>
  <c r="H14" i="2"/>
  <c r="H19" i="2" s="1"/>
  <c r="H90" i="2" s="1"/>
  <c r="H77" i="2"/>
  <c r="H116" i="2" s="1"/>
  <c r="E10" i="6" l="1"/>
  <c r="G42" i="8"/>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43" i="8" l="1"/>
  <c r="C44" i="8"/>
  <c r="G96" i="2"/>
  <c r="G119" i="2"/>
  <c r="D66" i="12" s="1"/>
  <c r="C23" i="6"/>
  <c r="H85" i="2"/>
  <c r="G14" i="2"/>
  <c r="G19" i="2" s="1"/>
  <c r="G77" i="2"/>
  <c r="G116" i="2" s="1"/>
  <c r="C45" i="8" l="1"/>
  <c r="G44" i="8"/>
  <c r="D67" i="12"/>
  <c r="G90" i="2"/>
  <c r="C60" i="12"/>
  <c r="G115" i="2"/>
  <c r="D66" i="6"/>
  <c r="G113" i="2"/>
  <c r="G123" i="2"/>
  <c r="G124" i="2" s="1"/>
  <c r="G80" i="2"/>
  <c r="J74" i="2"/>
  <c r="I74" i="2"/>
  <c r="N74" i="2"/>
  <c r="L74" i="2"/>
  <c r="J11" i="2"/>
  <c r="M74" i="2"/>
  <c r="L11" i="2"/>
  <c r="L119" i="2" s="1"/>
  <c r="L115" i="2" s="1"/>
  <c r="K11" i="2"/>
  <c r="N11" i="2"/>
  <c r="M11" i="2"/>
  <c r="M119" i="2" s="1"/>
  <c r="M115" i="2" s="1"/>
  <c r="I11" i="2"/>
  <c r="K74" i="2"/>
  <c r="G45" i="8" l="1"/>
  <c r="C46" i="8"/>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G46"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G47" i="8"/>
  <c r="L85" i="2"/>
  <c r="L90" i="2"/>
  <c r="C81" i="6"/>
  <c r="C81" i="12"/>
  <c r="M113" i="2"/>
  <c r="L113" i="2"/>
  <c r="C14" i="9"/>
  <c r="M85" i="2"/>
  <c r="C77" i="2"/>
  <c r="C116" i="2" s="1"/>
  <c r="C96" i="2"/>
  <c r="J85" i="2"/>
  <c r="C78" i="2"/>
  <c r="C49" i="8" l="1"/>
  <c r="G48" i="8"/>
  <c r="C67" i="12"/>
  <c r="C123" i="2"/>
  <c r="G49" i="8" l="1"/>
  <c r="C50" i="8"/>
  <c r="C67" i="6"/>
  <c r="C80" i="2"/>
  <c r="C9" i="9"/>
  <c r="G50" i="8" l="1"/>
  <c r="C51" i="8"/>
  <c r="G51" i="8" s="1"/>
  <c r="C61" i="6"/>
  <c r="C124" i="2"/>
  <c r="C85" i="2"/>
  <c r="I51" i="8" l="1"/>
  <c r="J51" i="8"/>
  <c r="C62" i="6"/>
  <c r="C62" i="12"/>
  <c r="C6" i="8"/>
  <c r="C8" i="8" l="1"/>
  <c r="C10" i="8" s="1"/>
  <c r="L46" i="8"/>
  <c r="L49" i="8"/>
  <c r="L43" i="8"/>
  <c r="L47" i="8"/>
  <c r="L44" i="8"/>
  <c r="L45" i="8"/>
  <c r="L50" i="8"/>
  <c r="L48" i="8"/>
  <c r="L41" i="8"/>
  <c r="L42" i="8"/>
  <c r="L36" i="8"/>
  <c r="L39" i="8"/>
  <c r="L40" i="8"/>
  <c r="L38" i="8"/>
  <c r="L37" i="8"/>
  <c r="L24" i="8"/>
  <c r="L30" i="8"/>
  <c r="L35" i="8"/>
  <c r="L51" i="8"/>
  <c r="L28" i="8"/>
  <c r="L31" i="8"/>
  <c r="L29" i="8"/>
  <c r="L21" i="8"/>
  <c r="L23" i="8"/>
  <c r="L32" i="8"/>
  <c r="L34" i="8"/>
  <c r="L25" i="8"/>
  <c r="L26" i="8"/>
  <c r="L27" i="8"/>
  <c r="L33" i="8"/>
  <c r="L22" i="8"/>
  <c r="C11" i="8" l="1"/>
  <c r="L52" i="8"/>
  <c r="B73" i="8" l="1"/>
  <c r="C112" i="6"/>
  <c r="C112" i="12"/>
  <c r="C35" i="9"/>
  <c r="F35" i="9" s="1"/>
  <c r="I18" i="8"/>
  <c r="C73" i="8"/>
  <c r="D73" i="8"/>
  <c r="E73" i="8"/>
  <c r="F73" i="8"/>
  <c r="A55" i="8"/>
  <c r="C50" i="9" l="1"/>
  <c r="C51" i="9" s="1"/>
  <c r="C19" i="6" s="1"/>
  <c r="C47" i="9"/>
  <c r="C19" i="12" l="1"/>
</calcChain>
</file>

<file path=xl/sharedStrings.xml><?xml version="1.0" encoding="utf-8"?>
<sst xmlns="http://schemas.openxmlformats.org/spreadsheetml/2006/main" count="766" uniqueCount="556">
  <si>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</si>
  <si>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</si>
  <si>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</si>
  <si>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</si>
  <si>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</si>
  <si>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</si>
  <si>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</si>
  <si>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</si>
  <si>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</si>
  <si>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</si>
  <si>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</si>
  <si>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</si>
  <si>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</si>
  <si>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</si>
  <si>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</si>
  <si>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</si>
  <si>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</si>
  <si>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</si>
  <si>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</si>
  <si>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</si>
  <si>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</si>
  <si>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</si>
  <si>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</si>
  <si>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</si>
  <si>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</si>
  <si>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</si>
  <si>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</si>
  <si>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</si>
  <si>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</si>
  <si>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</si>
  <si>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</si>
  <si>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</si>
  <si>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</si>
  <si>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</si>
  <si>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</si>
  <si>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</si>
  <si>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</si>
  <si>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</si>
  <si>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</si>
  <si>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</si>
  <si>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</si>
  <si>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</si>
  <si>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</si>
  <si>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</si>
  <si>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</si>
  <si>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</si>
  <si>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</si>
  <si>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</si>
  <si>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</si>
  <si>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</si>
  <si>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</si>
  <si>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</si>
  <si>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</si>
  <si>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</si>
  <si>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</si>
  <si>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</si>
  <si>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</si>
  <si>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</si>
  <si>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</si>
  <si>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</si>
  <si>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</si>
  <si>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</si>
  <si>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</si>
  <si>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</si>
  <si>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</si>
  <si>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</si>
  <si>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</si>
  <si>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</si>
  <si>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</si>
  <si>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</si>
  <si>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</si>
  <si>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</si>
  <si>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</si>
  <si>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</si>
  <si>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</si>
  <si>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</si>
  <si>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</si>
  <si>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</si>
  <si>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</si>
  <si>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</si>
  <si>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</si>
  <si>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</si>
  <si>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</si>
  <si>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</si>
  <si>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</si>
  <si>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</si>
  <si>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</si>
  <si>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</si>
  <si>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</si>
  <si>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</si>
  <si>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</si>
  <si>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</si>
  <si>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</si>
  <si>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</si>
  <si>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</si>
  <si>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</si>
  <si>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</si>
  <si>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</si>
  <si>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</si>
  <si>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</si>
  <si>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</si>
  <si>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</si>
  <si>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</si>
  <si>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</si>
  <si>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</si>
  <si>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</si>
  <si>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</si>
  <si>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</si>
  <si>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</si>
  <si>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</si>
  <si>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</si>
  <si>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</si>
  <si>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</si>
  <si>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</si>
  <si>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</si>
  <si>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</si>
  <si>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</si>
  <si>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</si>
  <si>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</si>
  <si>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</si>
  <si>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</si>
  <si>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</si>
  <si>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</si>
  <si>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</si>
  <si>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</si>
  <si>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</si>
  <si>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</si>
  <si>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</si>
  <si>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</si>
  <si>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</si>
  <si>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</si>
  <si>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</si>
  <si>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</si>
  <si>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</si>
  <si>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</si>
  <si>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</si>
  <si>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</si>
  <si>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</si>
  <si>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</si>
  <si>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</si>
  <si>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</si>
  <si>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</si>
  <si>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</si>
  <si>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</si>
  <si>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</si>
  <si>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</si>
  <si>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</si>
  <si>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</si>
  <si>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</si>
  <si>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</si>
  <si>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</si>
  <si>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</si>
  <si>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</si>
  <si>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</si>
  <si>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</si>
  <si>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</si>
  <si>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</si>
  <si>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</si>
  <si>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</si>
  <si>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</si>
  <si>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</si>
  <si>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</si>
  <si>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</si>
  <si>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</si>
  <si>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</si>
  <si>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</si>
  <si>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</si>
  <si>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</si>
  <si>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</si>
  <si>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</si>
  <si>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</si>
  <si>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</si>
  <si>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</si>
  <si>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</si>
  <si>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</si>
  <si>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</si>
  <si>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</si>
  <si>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</si>
  <si>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</si>
  <si>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</si>
  <si>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</si>
  <si>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</si>
  <si>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</si>
  <si>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</si>
  <si>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</si>
  <si>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</si>
  <si>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</si>
  <si>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</si>
  <si>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</si>
  <si>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</si>
  <si>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</si>
  <si>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</si>
  <si>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</si>
  <si>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</si>
  <si>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</si>
  <si>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</si>
  <si>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</si>
  <si>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</si>
  <si>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</si>
  <si>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</si>
  <si>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</si>
  <si>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</si>
  <si>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</si>
  <si>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</si>
  <si>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</si>
  <si>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</si>
  <si>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</si>
  <si>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</si>
  <si>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</si>
  <si>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</si>
  <si>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</si>
  <si>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</si>
  <si>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</si>
  <si>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</si>
  <si>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</si>
  <si>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</si>
  <si>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</si>
  <si>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</si>
  <si>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</si>
  <si>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</si>
  <si>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</si>
  <si>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</si>
  <si>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</si>
  <si>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</si>
  <si>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</si>
  <si>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</si>
  <si>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</si>
  <si>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</si>
  <si>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</si>
  <si>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</si>
  <si>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</si>
  <si>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</si>
  <si>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</si>
  <si>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</si>
  <si>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</si>
  <si>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</si>
  <si>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</si>
  <si>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</si>
  <si>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</si>
  <si>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</si>
  <si>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</si>
  <si>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</si>
  <si>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</si>
  <si>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</si>
  <si>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</si>
  <si>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</si>
  <si>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</si>
  <si>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</si>
  <si>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</si>
  <si>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</si>
  <si>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</si>
  <si>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</si>
  <si>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</si>
  <si>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</si>
  <si>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</si>
  <si>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</si>
  <si>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</si>
  <si>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</si>
  <si>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</si>
  <si>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</si>
  <si>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</si>
  <si>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</si>
  <si>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</si>
  <si>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</si>
  <si>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</si>
  <si>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</si>
  <si>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</si>
  <si>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</si>
  <si>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</si>
  <si>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</si>
  <si>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</si>
  <si>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</si>
  <si>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</si>
  <si>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</si>
  <si>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</si>
  <si>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</si>
  <si>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</si>
  <si>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</si>
  <si>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</si>
  <si>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</si>
  <si>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</si>
  <si>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</si>
  <si>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</si>
  <si>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</si>
  <si>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</si>
  <si>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</si>
  <si>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</si>
  <si>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</si>
  <si>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</si>
  <si>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</si>
  <si>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</si>
  <si>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</si>
  <si>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</si>
  <si>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</si>
  <si>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</si>
  <si>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</si>
  <si>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</si>
  <si>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</si>
  <si>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</si>
  <si>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</si>
  <si>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</si>
  <si>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</si>
  <si>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</si>
  <si>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</si>
  <si>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</si>
  <si>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</si>
  <si>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</si>
  <si>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</si>
  <si>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</si>
  <si>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</si>
  <si>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</si>
  <si>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</si>
  <si>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</si>
  <si>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</si>
  <si>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</si>
  <si>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</si>
  <si>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</si>
  <si>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</si>
  <si>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</si>
  <si>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</si>
  <si>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</si>
  <si>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</si>
  <si>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</si>
  <si>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</si>
  <si>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</si>
  <si>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</si>
  <si>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</si>
  <si>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</si>
  <si>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</si>
  <si>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</si>
  <si>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</si>
  <si>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</si>
  <si>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</si>
  <si>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</si>
  <si>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</si>
  <si>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</si>
  <si>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</si>
  <si>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</si>
  <si>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</si>
  <si>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</si>
  <si>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</si>
  <si>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</si>
  <si>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</si>
  <si>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</si>
  <si>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</si>
  <si>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</si>
  <si>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</si>
  <si>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</si>
  <si>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</si>
  <si>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</si>
  <si>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</si>
  <si>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</si>
  <si>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</si>
  <si>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</si>
  <si>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</si>
  <si>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</si>
  <si>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</si>
  <si>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</si>
  <si>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</si>
  <si>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</si>
  <si>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</si>
  <si>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</si>
  <si>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</si>
  <si>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</si>
  <si>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</si>
  <si>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</si>
  <si>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</si>
  <si>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</si>
  <si>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</si>
  <si>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</si>
  <si>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</si>
  <si>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</si>
  <si>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</si>
  <si>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</si>
  <si>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</si>
  <si>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</si>
  <si>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</si>
  <si>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</si>
  <si>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</si>
  <si>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</si>
  <si>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</si>
  <si>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</si>
  <si>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</si>
  <si>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</si>
  <si>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</si>
  <si>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</si>
  <si>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</si>
  <si>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</si>
  <si>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</si>
  <si>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</si>
  <si>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</si>
  <si>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</si>
  <si>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</si>
  <si>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</si>
  <si>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</si>
  <si>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</si>
  <si>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</si>
  <si>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</si>
  <si>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</si>
  <si>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</si>
  <si>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</si>
  <si>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</si>
  <si>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</si>
  <si>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</si>
  <si>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</si>
  <si>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</si>
  <si>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</si>
  <si>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</si>
  <si>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</si>
  <si>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</si>
  <si>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</si>
  <si>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</si>
  <si>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</si>
  <si>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</si>
  <si>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</si>
  <si>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</si>
  <si>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</si>
  <si>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</si>
  <si>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</si>
  <si>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</si>
  <si>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</si>
  <si>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FCFE/TV</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</si>
  <si>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</si>
  <si>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</si>
  <si>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</si>
  <si>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</si>
  <si>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</si>
  <si>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</si>
  <si>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</si>
  <si>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</si>
  <si>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</si>
  <si>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</si>
  <si>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</si>
  <si>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</si>
  <si>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</si>
  <si>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</si>
  <si>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</si>
  <si>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</si>
  <si>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</si>
  <si>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</si>
  <si>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</si>
  <si>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</si>
  <si>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</si>
  <si>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</si>
  <si>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</si>
  <si>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</si>
  <si>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</si>
  <si>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</si>
  <si>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</si>
  <si>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</si>
  <si>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</si>
  <si>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</si>
  <si>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</si>
  <si>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</si>
  <si>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</si>
  <si>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</si>
  <si>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</si>
  <si>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</si>
  <si>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</si>
  <si>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</si>
  <si>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</si>
  <si>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</si>
  <si>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</si>
  <si>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</si>
  <si>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</si>
  <si>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</si>
  <si>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</si>
  <si>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</si>
  <si>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</si>
  <si>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</si>
  <si>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</si>
  <si>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</si>
  <si>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</si>
  <si>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</si>
  <si>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</si>
  <si>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</si>
  <si>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</si>
  <si>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</si>
  <si>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</si>
  <si>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</si>
  <si>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</si>
  <si>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</si>
  <si>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</si>
  <si>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</si>
  <si>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</si>
  <si>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</si>
  <si>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</si>
  <si>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</si>
  <si>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</si>
  <si>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</si>
  <si>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</si>
  <si>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</si>
  <si>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</si>
  <si>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</si>
  <si>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</si>
  <si>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</si>
  <si>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</si>
  <si>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</si>
  <si>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</si>
  <si>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</si>
  <si>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</si>
  <si>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</si>
  <si>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</si>
  <si>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</si>
  <si>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</si>
  <si>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</si>
  <si>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</si>
  <si>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</si>
  <si>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</si>
  <si>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</si>
  <si>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</si>
  <si>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</si>
  <si>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</si>
  <si>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</si>
  <si>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</si>
  <si>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</si>
  <si>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</si>
  <si>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</si>
  <si>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</si>
  <si>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</si>
  <si>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</si>
  <si>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</si>
  <si>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</si>
  <si>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</si>
  <si>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</si>
  <si>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</si>
  <si>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</si>
  <si>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</si>
  <si>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</si>
  <si>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</si>
  <si>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</si>
  <si>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</si>
  <si>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</si>
  <si>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</si>
  <si>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</si>
  <si>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</si>
  <si>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</si>
  <si>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</si>
  <si>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</si>
  <si>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</si>
  <si>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</si>
  <si>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</si>
  <si>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</si>
  <si>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</si>
  <si>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</si>
  <si>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</si>
  <si>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EBIT</t>
  </si>
  <si>
    <t>Prompt for fundamental Analysis</t>
  </si>
  <si>
    <t>accepts 5-10, 15, 20, 25, or 30</t>
  </si>
  <si>
    <t>Implied Return</t>
  </si>
  <si>
    <t>首钢资源</t>
  </si>
  <si>
    <t>0639.HK</t>
  </si>
  <si>
    <t>MAT_01</t>
  </si>
  <si>
    <t>N</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</si>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</sst>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4">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10" fontId="47" fillId="0" borderId="0" xfId="0" applyNumberFormat="1" applyFont="1" applyAlignment="1">
      <alignment horizontal="left"/>
    </xf>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F25" sqref="F2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33" t="s">
        <v>541</v>
      </c>
      <c r="F3" s="434">
        <v>45930</v>
      </c>
    </row>
    <row r="4" spans="1:9" ht="12.4">
      <c r="B4" s="426" t="s">
        <v>536</v>
      </c>
      <c r="C4" s="425" t="s">
        <v>550</v>
      </c>
      <c r="E4" s="435" t="s">
        <v>540</v>
      </c>
      <c r="F4" s="436" t="s">
        <v>324</v>
      </c>
    </row>
    <row r="5" spans="1:9">
      <c r="B5" s="1" t="s">
        <v>349</v>
      </c>
      <c r="C5" s="46" t="s">
        <v>551</v>
      </c>
      <c r="E5" s="438" t="s">
        <v>542</v>
      </c>
      <c r="F5" s="437" t="s">
        <v>500</v>
      </c>
    </row>
    <row r="6" spans="1:9">
      <c r="B6" s="2" t="s">
        <v>53</v>
      </c>
      <c r="C6" s="45" t="s">
        <v>552</v>
      </c>
      <c r="D6" s="45"/>
      <c r="E6" s="45"/>
    </row>
    <row r="7" spans="1:9">
      <c r="B7" s="1" t="s">
        <v>351</v>
      </c>
      <c r="C7" s="45" t="s">
        <v>308</v>
      </c>
      <c r="D7" s="45"/>
      <c r="E7" s="45"/>
    </row>
    <row r="8" spans="1:9">
      <c r="B8" s="4" t="s">
        <v>350</v>
      </c>
      <c r="C8" s="47">
        <v>3.16</v>
      </c>
      <c r="E8" s="32"/>
    </row>
    <row r="9" spans="1:9">
      <c r="B9" s="4" t="s">
        <v>346</v>
      </c>
      <c r="C9" s="48">
        <v>5091065770</v>
      </c>
    </row>
    <row r="10" spans="1:9">
      <c r="B10" s="4" t="s">
        <v>352</v>
      </c>
      <c r="C10" s="33">
        <f>Thesis!C8*Common_Shares/1000000</f>
        <v>16087.767833200001</v>
      </c>
      <c r="D10" s="1" t="s">
        <v>531</v>
      </c>
      <c r="E10" s="307">
        <f>Scenarios!F34</f>
        <v>0.17337144056203113</v>
      </c>
    </row>
    <row r="11" spans="1:9">
      <c r="D11" s="5"/>
      <c r="E11" s="5"/>
    </row>
    <row r="12" spans="1:9" ht="24.5" customHeight="1">
      <c r="B12" s="456" t="s">
        <v>355</v>
      </c>
      <c r="C12" s="456"/>
      <c r="D12" s="456"/>
      <c r="E12" s="456"/>
      <c r="F12" s="456"/>
    </row>
    <row r="14" spans="1:9">
      <c r="B14" s="42" t="str">
        <f>Scenarios!B39&amp;" Valuation Conclusion"</f>
        <v>1-stage DCF Valuation Conclusion</v>
      </c>
      <c r="C14" s="43"/>
    </row>
    <row r="15" spans="1:9">
      <c r="B15" s="1" t="s">
        <v>319</v>
      </c>
      <c r="C15" s="422" t="s">
        <v>553</v>
      </c>
      <c r="D15" s="4" t="s">
        <v>353</v>
      </c>
      <c r="E15" s="256" t="str">
        <f>IF(E17=C7,C7,E17&amp;"/"&amp;C7)</f>
        <v>HKD</v>
      </c>
    </row>
    <row r="16" spans="1:9">
      <c r="B16" s="1" t="s">
        <v>320</v>
      </c>
      <c r="C16" s="422" t="s">
        <v>553</v>
      </c>
      <c r="D16" s="4" t="s">
        <v>354</v>
      </c>
      <c r="E16" s="421">
        <v>1</v>
      </c>
    </row>
    <row r="17" spans="1:6">
      <c r="B17" s="1" t="s">
        <v>535</v>
      </c>
      <c r="C17" s="420">
        <v>0</v>
      </c>
      <c r="D17" s="4" t="s">
        <v>274</v>
      </c>
      <c r="E17" s="224" t="s">
        <v>308</v>
      </c>
    </row>
    <row r="18" spans="1:6">
      <c r="B18" s="1" t="str">
        <f>"Expected Equity Value ("&amp;C7&amp;") :"</f>
        <v>Expected Equity Value (HKD) :</v>
      </c>
      <c r="C18" s="255">
        <f>C125</f>
        <v>4.1464286049821002</v>
      </c>
      <c r="D18" s="2" t="s">
        <v>347</v>
      </c>
      <c r="E18" s="423">
        <v>6</v>
      </c>
    </row>
    <row r="19" spans="1:6">
      <c r="B19" s="2" t="s">
        <v>275</v>
      </c>
      <c r="C19" s="31" t="str">
        <f>IF(Scenarios!C50="Y",Scenarios!B50,"")&amp;IF(Scenarios!C51="Y",Scenarios!B51,"")&amp;IF(Scenarios!C52="Y",Scenarios!B52,"")&amp;" "&amp;IF(Scenarios!C53="Y",Scenarios!B53,"")</f>
        <v xml:space="preserve">Negative Growth </v>
      </c>
      <c r="D19" s="1" t="s">
        <v>348</v>
      </c>
      <c r="E19" s="424">
        <f>EOMONTH(EDATE(BS!C1,E18+2),0)</f>
        <v>46081</v>
      </c>
    </row>
    <row r="20" spans="1:6">
      <c r="D20" s="5"/>
      <c r="E20" s="5"/>
    </row>
    <row r="21" spans="1:6">
      <c r="B21" s="42" t="s">
        <v>406</v>
      </c>
      <c r="C21" s="257" t="str">
        <f>C138&amp;" ("&amp;Market_currency&amp;")"</f>
        <v xml:space="preserve"> (HKD)</v>
      </c>
      <c r="D21" s="31" t="s">
        <v>316</v>
      </c>
      <c r="E21" s="447">
        <v>3</v>
      </c>
    </row>
    <row r="22" spans="1:6">
      <c r="B22" s="1" t="s">
        <v>312</v>
      </c>
      <c r="C22" s="258">
        <f>E140</f>
        <v>2.4048565177073828</v>
      </c>
      <c r="D22" s="38" t="s">
        <v>408</v>
      </c>
      <c r="E22" s="79">
        <v>0.29465259038036606</v>
      </c>
    </row>
    <row r="23" spans="1:6">
      <c r="B23" s="1" t="s">
        <v>313</v>
      </c>
      <c r="C23" s="259">
        <f>E141</f>
        <v>2.9631300794707243</v>
      </c>
      <c r="D23" s="38" t="s">
        <v>409</v>
      </c>
      <c r="E23" s="448">
        <v>0.20075184365903009</v>
      </c>
    </row>
    <row r="24" spans="1:6">
      <c r="B24" s="1" t="s">
        <v>315</v>
      </c>
      <c r="C24" s="259">
        <f>E144</f>
        <v>3.623398640518225</v>
      </c>
      <c r="D24" s="38" t="s">
        <v>410</v>
      </c>
      <c r="E24" s="448">
        <v>0.1174</v>
      </c>
    </row>
    <row r="25" spans="1:6">
      <c r="B25" s="1" t="s">
        <v>314</v>
      </c>
      <c r="C25" s="259">
        <f>E145</f>
        <v>4.0664479320737961</v>
      </c>
      <c r="D25" s="38" t="s">
        <v>411</v>
      </c>
      <c r="E25" s="449">
        <v>7.2499999999999995E-2</v>
      </c>
    </row>
    <row r="26" spans="1:6">
      <c r="D26" s="5"/>
      <c r="E26" s="5"/>
    </row>
    <row r="27" spans="1:6" ht="13.9">
      <c r="A27" s="200" t="s">
        <v>280</v>
      </c>
      <c r="B27" s="34"/>
      <c r="C27" s="34"/>
      <c r="D27" s="34"/>
      <c r="E27" s="34"/>
      <c r="F27" s="34"/>
    </row>
    <row r="29" spans="1:6">
      <c r="B29" s="456" t="s">
        <v>356</v>
      </c>
      <c r="C29" s="456"/>
      <c r="D29" s="456"/>
      <c r="E29" s="456"/>
      <c r="F29" s="456"/>
    </row>
    <row r="30" spans="1:6" ht="24.5" customHeight="1">
      <c r="B30" s="458" t="s">
        <v>266</v>
      </c>
      <c r="C30" s="458"/>
      <c r="D30" s="458"/>
      <c r="E30" s="458"/>
      <c r="F30" s="458"/>
    </row>
    <row r="32" spans="1:6">
      <c r="B32" s="192" t="s">
        <v>195</v>
      </c>
      <c r="C32" s="105">
        <f>scaling_factor</f>
        <v>1000</v>
      </c>
    </row>
    <row r="33" spans="2:6" ht="24.5" customHeight="1">
      <c r="B33" s="457" t="s">
        <v>196</v>
      </c>
      <c r="C33" s="457"/>
      <c r="D33" s="457"/>
      <c r="E33" s="457"/>
      <c r="F33" s="457"/>
    </row>
    <row r="34" spans="2:6">
      <c r="B34" s="44" t="s">
        <v>197</v>
      </c>
      <c r="C34" s="289">
        <f>Normalized_FCF!C8</f>
        <v>1900909.5266851489</v>
      </c>
      <c r="D34" s="1" t="str">
        <f>Reporting_currency</f>
        <v>HKD</v>
      </c>
    </row>
    <row r="35" spans="2:6">
      <c r="B35" s="44"/>
      <c r="C35" s="73"/>
    </row>
    <row r="36" spans="2:6" ht="24.5" customHeight="1">
      <c r="B36" s="457" t="s">
        <v>198</v>
      </c>
      <c r="C36" s="457"/>
      <c r="D36" s="457"/>
      <c r="E36" s="457"/>
      <c r="F36" s="457"/>
    </row>
    <row r="37" spans="2:6">
      <c r="B37" s="44" t="s">
        <v>199</v>
      </c>
      <c r="C37" s="289">
        <f>Normalized_FCF!C15</f>
        <v>0</v>
      </c>
      <c r="D37" s="1" t="str">
        <f>Reporting_currency</f>
        <v>HKD</v>
      </c>
    </row>
    <row r="38" spans="2:6">
      <c r="B38" s="49" t="s">
        <v>200</v>
      </c>
      <c r="C38" s="289">
        <f>Normalized_FCF!C16</f>
        <v>0</v>
      </c>
      <c r="D38" s="1" t="str">
        <f>Reporting_currency</f>
        <v>HKD</v>
      </c>
    </row>
    <row r="40" spans="2:6">
      <c r="B40" s="457" t="s">
        <v>201</v>
      </c>
      <c r="C40" s="457"/>
      <c r="D40" s="457"/>
      <c r="E40" s="457"/>
      <c r="F40" s="457"/>
    </row>
    <row r="41" spans="2:6">
      <c r="B41" s="44" t="s">
        <v>202</v>
      </c>
      <c r="C41" s="289">
        <f>Normalized_FCF!C9</f>
        <v>0</v>
      </c>
      <c r="D41" s="1" t="str">
        <f>Reporting_currency</f>
        <v>HKD</v>
      </c>
    </row>
    <row r="43" spans="2:6">
      <c r="B43" s="457" t="s">
        <v>205</v>
      </c>
      <c r="C43" s="457"/>
      <c r="D43" s="457"/>
      <c r="E43" s="457"/>
      <c r="F43" s="457"/>
    </row>
    <row r="44" spans="2:6">
      <c r="B44" s="44" t="s">
        <v>267</v>
      </c>
      <c r="C44" s="290">
        <f>Normalized_FCF!C46</f>
        <v>12533.130612944555</v>
      </c>
      <c r="D44" s="1" t="str">
        <f>Reporting_currency</f>
        <v>HKD</v>
      </c>
      <c r="E44" s="247"/>
      <c r="F44" s="247"/>
    </row>
    <row r="45" spans="2:6">
      <c r="B45" s="44" t="s">
        <v>268</v>
      </c>
      <c r="C45" s="290">
        <f>Normalized_FCF!C45</f>
        <v>-2620.62</v>
      </c>
      <c r="D45" s="1" t="str">
        <f>Reporting_currency</f>
        <v>HKD</v>
      </c>
      <c r="E45" s="247"/>
      <c r="F45" s="247"/>
    </row>
    <row r="46" spans="2:6">
      <c r="B46" s="44" t="s">
        <v>203</v>
      </c>
      <c r="C46" s="289">
        <f>Normalized_FCF!C10</f>
        <v>9912.5106129445558</v>
      </c>
      <c r="D46" s="1" t="str">
        <f>Reporting_currency</f>
        <v>HKD</v>
      </c>
    </row>
    <row r="48" spans="2:6">
      <c r="B48" s="1" t="s">
        <v>211</v>
      </c>
    </row>
    <row r="49" spans="2:6">
      <c r="B49" s="44" t="s">
        <v>223</v>
      </c>
      <c r="C49" s="289">
        <f>Normalized_FCF!C13</f>
        <v>-335976.39690562984</v>
      </c>
      <c r="D49" s="1" t="str">
        <f>Reporting_currency</f>
        <v>HKD</v>
      </c>
    </row>
    <row r="51" spans="2:6">
      <c r="B51" s="457" t="s">
        <v>206</v>
      </c>
      <c r="C51" s="457"/>
      <c r="D51" s="457"/>
      <c r="E51" s="457"/>
      <c r="F51" s="457"/>
    </row>
    <row r="52" spans="2:6">
      <c r="B52" s="44" t="s">
        <v>204</v>
      </c>
      <c r="C52" s="289">
        <f>Normalized_FCF!C12</f>
        <v>-477705.50932452339</v>
      </c>
      <c r="D52" s="1" t="str">
        <f>Reporting_currency</f>
        <v>HKD</v>
      </c>
    </row>
    <row r="54" spans="2:6">
      <c r="B54" s="457" t="s">
        <v>265</v>
      </c>
      <c r="C54" s="460"/>
      <c r="D54" s="460"/>
      <c r="E54" s="460"/>
      <c r="F54" s="460"/>
    </row>
    <row r="55" spans="2:6">
      <c r="B55" s="44" t="s">
        <v>207</v>
      </c>
      <c r="C55" s="289">
        <f>Normalized_FCF!C17</f>
        <v>0</v>
      </c>
      <c r="D55" s="1" t="str">
        <f>Reporting_currency</f>
        <v>HKD</v>
      </c>
    </row>
    <row r="57" spans="2:6" ht="24.5" customHeight="1">
      <c r="B57" s="456" t="s">
        <v>270</v>
      </c>
      <c r="C57" s="456"/>
      <c r="D57" s="456"/>
      <c r="E57" s="456"/>
      <c r="F57" s="456"/>
    </row>
    <row r="58" spans="2:6" ht="24.5" customHeight="1">
      <c r="B58" s="456" t="s">
        <v>282</v>
      </c>
      <c r="C58" s="456"/>
      <c r="D58" s="456"/>
      <c r="E58" s="456"/>
      <c r="F58" s="456"/>
    </row>
    <row r="60" spans="2:6">
      <c r="B60" s="44" t="s">
        <v>227</v>
      </c>
      <c r="C60" s="289">
        <f>Normalized_FCF!G19</f>
        <v>1274304.985390021</v>
      </c>
      <c r="D60" s="1" t="str">
        <f>Reporting_currency</f>
        <v>HKD</v>
      </c>
    </row>
    <row r="61" spans="2:6">
      <c r="B61" s="44" t="s">
        <v>213</v>
      </c>
      <c r="C61" s="289">
        <f>Normalized_FCF!C19</f>
        <v>1097140.1310679403</v>
      </c>
      <c r="D61" s="1" t="str">
        <f>Reporting_currency</f>
        <v>HKD</v>
      </c>
    </row>
    <row r="62" spans="2:6">
      <c r="B62" s="204" t="s">
        <v>302</v>
      </c>
      <c r="C62" s="89">
        <f>Normalized_FCF!C124</f>
        <v>6.8197163363073549E-2</v>
      </c>
      <c r="F62" s="260"/>
    </row>
    <row r="63" spans="2:6">
      <c r="B63" s="204" t="s">
        <v>332</v>
      </c>
      <c r="C63" s="89">
        <f>Normalized_FCF!C92</f>
        <v>8.5443037974683542E-2</v>
      </c>
      <c r="E63" s="44" t="s">
        <v>322</v>
      </c>
      <c r="F63" s="261">
        <f>Normalized_FCF!C90</f>
        <v>1.3920917554199108</v>
      </c>
    </row>
    <row r="65" spans="1:6">
      <c r="B65" s="192" t="s">
        <v>325</v>
      </c>
      <c r="C65" s="267" t="s">
        <v>327</v>
      </c>
      <c r="D65" s="267" t="s">
        <v>328</v>
      </c>
    </row>
    <row r="66" spans="1:6">
      <c r="B66" s="44" t="s">
        <v>326</v>
      </c>
      <c r="C66" s="89">
        <f>Normalized_FCF!C119</f>
        <v>0.10109497147719294</v>
      </c>
      <c r="D66" s="89">
        <f>Normalized_FCF!G119</f>
        <v>0.12200966239388317</v>
      </c>
    </row>
    <row r="67" spans="1:6">
      <c r="B67" s="229" t="str">
        <f>Normalized_FCF!B116</f>
        <v>Pre-tax Profit/Sales</v>
      </c>
      <c r="C67" s="266">
        <f>Normalized_FCF!C116</f>
        <v>0.41984093276604345</v>
      </c>
      <c r="D67" s="266">
        <f>Normalized_FCF!G116</f>
        <v>0.45602847249159995</v>
      </c>
    </row>
    <row r="68" spans="1:6">
      <c r="B68" s="229" t="str">
        <f>Normalized_FCF!B117</f>
        <v>Sales/Total Assets</v>
      </c>
      <c r="C68" s="268">
        <f>Normalized_FCF!C117</f>
        <v>0.19832389661116825</v>
      </c>
      <c r="D68" s="268">
        <f>Normalized_FCF!G117</f>
        <v>0.22035988512352028</v>
      </c>
    </row>
    <row r="69" spans="1:6">
      <c r="B69" s="229" t="str">
        <f>Normalized_FCF!B118</f>
        <v>Total Assets/Equity</v>
      </c>
      <c r="C69" s="268">
        <f>Normalized_FCF!C118</f>
        <v>1.2141426890285656</v>
      </c>
      <c r="D69" s="268">
        <f>Normalized_FCF!G118</f>
        <v>1.2141426890285656</v>
      </c>
    </row>
    <row r="71" spans="1:6" ht="13.9">
      <c r="A71" s="200" t="s">
        <v>480</v>
      </c>
      <c r="B71" s="34"/>
      <c r="C71" s="34"/>
      <c r="D71" s="34"/>
      <c r="E71" s="34"/>
      <c r="F71" s="34"/>
    </row>
    <row r="72" spans="1:6">
      <c r="A72" s="191"/>
    </row>
    <row r="73" spans="1:6">
      <c r="A73" s="191"/>
      <c r="B73" s="456" t="s">
        <v>481</v>
      </c>
      <c r="C73" s="456"/>
      <c r="D73" s="456"/>
      <c r="E73" s="456"/>
      <c r="F73" s="456"/>
    </row>
    <row r="74" spans="1:6">
      <c r="A74" s="191"/>
      <c r="B74" s="1" t="s">
        <v>468</v>
      </c>
    </row>
    <row r="75" spans="1:6">
      <c r="A75" s="191"/>
    </row>
    <row r="76" spans="1:6">
      <c r="A76" s="191"/>
      <c r="B76" s="192" t="s">
        <v>195</v>
      </c>
    </row>
    <row r="77" spans="1:6">
      <c r="A77" s="191"/>
      <c r="B77" s="456" t="s">
        <v>271</v>
      </c>
      <c r="C77" s="456"/>
      <c r="D77" s="456"/>
      <c r="E77" s="456"/>
      <c r="F77" s="456"/>
    </row>
    <row r="78" spans="1:6">
      <c r="A78" s="191"/>
      <c r="B78" s="1" t="s">
        <v>215</v>
      </c>
      <c r="C78" s="289">
        <f>DCF!F4</f>
        <v>-43677</v>
      </c>
      <c r="D78" s="1" t="str">
        <f>Reporting_currency</f>
        <v>HKD</v>
      </c>
    </row>
    <row r="79" spans="1:6">
      <c r="A79" s="191"/>
      <c r="B79" s="44" t="s">
        <v>234</v>
      </c>
      <c r="C79" s="201">
        <f>C78*scaling_factor*Exchange_Rate/Common_Shares</f>
        <v>-8.5791466803226933E-3</v>
      </c>
      <c r="D79" s="1" t="str">
        <f>Market_currency</f>
        <v>HKD</v>
      </c>
    </row>
    <row r="80" spans="1:6">
      <c r="A80" s="191"/>
      <c r="B80" s="229" t="s">
        <v>309</v>
      </c>
      <c r="C80" s="341">
        <f>IF(BS!G31/BS!G27&gt;300%,"nm",BS!G31/BS!G27)</f>
        <v>2.3107986944995245E-3</v>
      </c>
    </row>
    <row r="81" spans="1:6">
      <c r="A81" s="191"/>
      <c r="B81" s="229" t="s">
        <v>311</v>
      </c>
      <c r="C81" s="342">
        <f>IF(BS!C50&gt;30,"nm",BS!C50)</f>
        <v>2.2976895736939666E-2</v>
      </c>
    </row>
    <row r="82" spans="1:6">
      <c r="A82" s="191"/>
    </row>
    <row r="83" spans="1:6">
      <c r="A83" s="191"/>
      <c r="B83" s="1" t="s">
        <v>469</v>
      </c>
    </row>
    <row r="84" spans="1:6">
      <c r="A84" s="191"/>
      <c r="B84" s="1" t="s">
        <v>224</v>
      </c>
      <c r="C84" s="289">
        <f>DCF!F5</f>
        <v>8029573.8978425749</v>
      </c>
      <c r="D84" s="1" t="str">
        <f>Reporting_currency</f>
        <v>HKD</v>
      </c>
    </row>
    <row r="85" spans="1:6">
      <c r="A85" s="191"/>
      <c r="B85" s="229" t="s">
        <v>222</v>
      </c>
      <c r="C85" s="295">
        <f>BS!C66</f>
        <v>10118429</v>
      </c>
      <c r="D85" s="343" t="str">
        <f>Reporting_currency</f>
        <v>HKD</v>
      </c>
    </row>
    <row r="86" spans="1:6">
      <c r="A86" s="191"/>
      <c r="B86" s="44" t="s">
        <v>235</v>
      </c>
      <c r="C86" s="201">
        <f>C84*scaling_factor*Exchange_Rate/Common_Shares</f>
        <v>1.5771891899645554</v>
      </c>
      <c r="D86" s="1" t="str">
        <f>Market_currency</f>
        <v>HKD</v>
      </c>
    </row>
    <row r="87" spans="1:6">
      <c r="A87" s="191"/>
    </row>
    <row r="88" spans="1:6">
      <c r="A88" s="191"/>
      <c r="B88" s="1" t="s">
        <v>216</v>
      </c>
    </row>
    <row r="89" spans="1:6">
      <c r="A89" s="191"/>
      <c r="B89" s="1" t="s">
        <v>217</v>
      </c>
      <c r="C89" s="289">
        <f>DCF!F6</f>
        <v>263512.2</v>
      </c>
      <c r="D89" s="1" t="str">
        <f>Reporting_currency</f>
        <v>HKD</v>
      </c>
    </row>
    <row r="90" spans="1:6">
      <c r="A90" s="191"/>
      <c r="B90" s="44" t="s">
        <v>236</v>
      </c>
      <c r="C90" s="201">
        <f>C89*scaling_factor*Exchange_Rate/Common_Shares</f>
        <v>5.1759732029547124E-2</v>
      </c>
      <c r="D90" s="1" t="str">
        <f>Market_currency</f>
        <v>HKD</v>
      </c>
    </row>
    <row r="91" spans="1:6">
      <c r="A91" s="191"/>
    </row>
    <row r="92" spans="1:6">
      <c r="A92" s="191"/>
      <c r="B92" s="44" t="s">
        <v>472</v>
      </c>
      <c r="C92" s="216">
        <f>DCF!F8</f>
        <v>1.6203697753137798</v>
      </c>
      <c r="D92" s="44" t="str">
        <f>Market_currency</f>
        <v>HKD</v>
      </c>
    </row>
    <row r="94" spans="1:6" ht="13.9">
      <c r="A94" s="200" t="s">
        <v>473</v>
      </c>
      <c r="B94" s="34"/>
      <c r="C94" s="34"/>
      <c r="D94" s="34"/>
      <c r="E94" s="34"/>
      <c r="F94" s="34"/>
    </row>
    <row r="95" spans="1:6">
      <c r="A95" s="191"/>
    </row>
    <row r="96" spans="1:6" ht="11.75" customHeight="1">
      <c r="B96" s="456" t="s">
        <v>488</v>
      </c>
      <c r="C96" s="456"/>
      <c r="D96" s="456"/>
      <c r="E96" s="456"/>
      <c r="F96" s="456"/>
    </row>
    <row r="97" spans="2:6">
      <c r="B97" s="458" t="s">
        <v>487</v>
      </c>
      <c r="C97" s="458"/>
      <c r="D97" s="458"/>
      <c r="E97" s="458"/>
      <c r="F97" s="458"/>
    </row>
    <row r="98" spans="2:6">
      <c r="B98" s="458" t="s">
        <v>486</v>
      </c>
      <c r="C98" s="458"/>
      <c r="D98" s="458"/>
      <c r="E98" s="458"/>
      <c r="F98" s="458"/>
    </row>
    <row r="100" spans="2:6">
      <c r="B100" s="192" t="s">
        <v>195</v>
      </c>
    </row>
    <row r="101" spans="2:6">
      <c r="B101" s="49" t="s">
        <v>470</v>
      </c>
      <c r="C101" s="211">
        <f>E25+C103</f>
        <v>7.2499999999999995E-2</v>
      </c>
    </row>
    <row r="102" spans="2:6">
      <c r="B102" s="229" t="s">
        <v>318</v>
      </c>
      <c r="C102" s="266">
        <f>E25</f>
        <v>7.2499999999999995E-2</v>
      </c>
    </row>
    <row r="103" spans="2:6">
      <c r="B103" s="229" t="s">
        <v>317</v>
      </c>
      <c r="C103" s="266">
        <f>IF(C15="Y",1%,0)+IF(C16="Y",1%,0)</f>
        <v>0</v>
      </c>
    </row>
    <row r="104" spans="2:6">
      <c r="B104" s="44" t="s">
        <v>214</v>
      </c>
      <c r="C104" s="211">
        <f>Terminal_Growth</f>
        <v>0</v>
      </c>
    </row>
    <row r="106" spans="2:6">
      <c r="B106" s="253" t="s">
        <v>281</v>
      </c>
      <c r="C106" s="116"/>
    </row>
    <row r="107" spans="2:6">
      <c r="B107" s="456" t="s">
        <v>283</v>
      </c>
      <c r="C107" s="456"/>
      <c r="D107" s="456"/>
      <c r="E107" s="456"/>
      <c r="F107" s="456"/>
    </row>
    <row r="108" spans="2:6">
      <c r="B108" s="456" t="s">
        <v>284</v>
      </c>
      <c r="C108" s="456"/>
      <c r="D108" s="456"/>
      <c r="E108" s="456"/>
      <c r="F108" s="456"/>
    </row>
    <row r="110" spans="2:6">
      <c r="B110" s="192" t="s">
        <v>490</v>
      </c>
    </row>
    <row r="111" spans="2:6">
      <c r="B111" s="49" t="s">
        <v>471</v>
      </c>
      <c r="C111" s="216">
        <f>BS!D47</f>
        <v>0.79833937207218564</v>
      </c>
      <c r="D111" s="1" t="str">
        <f>Market_currency</f>
        <v>HKD</v>
      </c>
    </row>
    <row r="112" spans="2:6">
      <c r="B112" s="44" t="s">
        <v>323</v>
      </c>
      <c r="C112" s="216">
        <f>DCF!C11</f>
        <v>4.5928254474146408</v>
      </c>
      <c r="D112" s="1" t="str">
        <f>Market_currency</f>
        <v>HKD</v>
      </c>
    </row>
    <row r="114" spans="2:6" ht="24.5" customHeight="1">
      <c r="B114" s="456" t="s">
        <v>494</v>
      </c>
      <c r="C114" s="456"/>
      <c r="D114" s="456"/>
      <c r="E114" s="456"/>
      <c r="F114" s="456"/>
    </row>
    <row r="116" spans="2:6">
      <c r="B116" s="192" t="s">
        <v>491</v>
      </c>
    </row>
    <row r="117" spans="2:6" ht="12.4">
      <c r="B117" s="346" t="s">
        <v>101</v>
      </c>
      <c r="C117" s="346" t="s">
        <v>110</v>
      </c>
      <c r="D117" s="346" t="s">
        <v>219</v>
      </c>
      <c r="E117" s="346" t="s">
        <v>124</v>
      </c>
      <c r="F117" s="346" t="s">
        <v>549</v>
      </c>
    </row>
    <row r="118" spans="2:6">
      <c r="B118" s="205" t="str">
        <f>DCF!B90&amp;" ("&amp;DCF!D90&amp;"yrs)"</f>
        <v>Snowball Scenario (3yrs)</v>
      </c>
      <c r="C118" s="206">
        <f>DCF!C90</f>
        <v>-0.3</v>
      </c>
      <c r="D118" s="207" t="str">
        <f>ROUND(DCF!E90,2)&amp;" "&amp;Market_currency</f>
        <v>2.75 HKD</v>
      </c>
      <c r="E118" s="208">
        <f>DCF!F90</f>
        <v>0.15</v>
      </c>
      <c r="F118" s="208">
        <f>RATE(Holding_Period,Scenarios!C$58,-DCF!E90,C$18)</f>
        <v>0.23313798623136373</v>
      </c>
    </row>
    <row r="119" spans="2:6">
      <c r="B119" s="205" t="str">
        <f>DCF!B91&amp;" ("&amp;DCF!D91&amp;"yrs)"</f>
        <v>Optimistic (3yrs)</v>
      </c>
      <c r="C119" s="198">
        <f>DCF!C91</f>
        <v>0.02</v>
      </c>
      <c r="D119" s="207" t="str">
        <f>ROUND(DCF!E91,2)&amp;" "&amp;Market_currency</f>
        <v>4.76 HKD</v>
      </c>
      <c r="E119" s="199">
        <f>DCF!F91</f>
        <v>0.15999999999999995</v>
      </c>
      <c r="F119" s="208">
        <f>RATE(Holding_Period,Scenarios!C$58,-DCF!E91,C$18)</f>
        <v>1.4259049790749859E-2</v>
      </c>
    </row>
    <row r="120" spans="2:6">
      <c r="B120" s="205" t="str">
        <f>DCF!B92&amp;" ("&amp;DCF!D92&amp;"yrs)"</f>
        <v>Base (3yrs)</v>
      </c>
      <c r="C120" s="198">
        <f>DCF!C92</f>
        <v>0</v>
      </c>
      <c r="D120" s="207" t="str">
        <f>ROUND(DCF!E92,2)&amp;" "&amp;Market_currency</f>
        <v>4.59 HKD</v>
      </c>
      <c r="E120" s="199">
        <f>DCF!F92</f>
        <v>0.44</v>
      </c>
      <c r="F120" s="208">
        <f>RATE(Holding_Period,Scenarios!C$58,-DCF!E92,C$18)</f>
        <v>2.7256442157135689E-2</v>
      </c>
    </row>
    <row r="121" spans="2:6">
      <c r="B121" s="205" t="str">
        <f>DCF!B93&amp;" ("&amp;DCF!D93&amp;"yrs)"</f>
        <v>Pessimistic (3yrs)</v>
      </c>
      <c r="C121" s="198">
        <f>DCF!C93</f>
        <v>-0.15</v>
      </c>
      <c r="D121" s="207" t="str">
        <f>ROUND(DCF!E93,2)&amp;" "&amp;Market_currency</f>
        <v>3.52 HKD</v>
      </c>
      <c r="E121" s="199">
        <f>DCF!F93</f>
        <v>0.19999999999999998</v>
      </c>
      <c r="F121" s="208">
        <f>RATE(Holding_Period,Scenarios!C$58,-DCF!E93,C$18)</f>
        <v>0.12889461463525786</v>
      </c>
    </row>
    <row r="122" spans="2:6">
      <c r="B122" s="205" t="str">
        <f>DCF!B94&amp;" ("&amp;DCF!D94&amp;"yrs)"</f>
        <v>Devil's advocate (3yrs)</v>
      </c>
      <c r="C122" s="198">
        <f>DCF!C94</f>
        <v>0.04</v>
      </c>
      <c r="D122" s="207" t="str">
        <f>ROUND(DCF!E94,2)&amp;" "&amp;Market_currency</f>
        <v>4.94 HKD</v>
      </c>
      <c r="E122" s="199">
        <f>DCF!F94</f>
        <v>0.05</v>
      </c>
      <c r="F122" s="208">
        <f>RATE(Holding_Period,Scenarios!C$58,-DCF!E94,C$18)</f>
        <v>1.4231493560865186E-3</v>
      </c>
    </row>
    <row r="124" spans="2:6">
      <c r="B124" s="457" t="s">
        <v>357</v>
      </c>
      <c r="C124" s="457"/>
      <c r="D124" s="457"/>
      <c r="E124" s="457"/>
      <c r="F124" s="457"/>
    </row>
    <row r="125" spans="2:6">
      <c r="B125" s="193" t="s">
        <v>218</v>
      </c>
      <c r="C125" s="197">
        <f>Scenarios!C36</f>
        <v>4.1464286049821002</v>
      </c>
      <c r="D125" s="194" t="str">
        <f>Market_currency</f>
        <v>HKD</v>
      </c>
    </row>
    <row r="127" spans="2:6" ht="24.5" customHeight="1">
      <c r="B127" s="461" t="s">
        <v>358</v>
      </c>
      <c r="C127" s="461"/>
      <c r="D127" s="461"/>
      <c r="E127" s="461"/>
      <c r="F127" s="461"/>
    </row>
    <row r="129" spans="1:6" ht="13.9">
      <c r="A129" s="200" t="s">
        <v>477</v>
      </c>
      <c r="B129" s="34"/>
      <c r="C129" s="34"/>
      <c r="D129" s="34"/>
      <c r="E129" s="34"/>
      <c r="F129" s="34"/>
    </row>
    <row r="131" spans="1:6">
      <c r="B131" s="459" t="s">
        <v>285</v>
      </c>
      <c r="C131" s="459"/>
      <c r="D131" s="459"/>
      <c r="E131" s="459"/>
      <c r="F131" s="459"/>
    </row>
    <row r="132" spans="1:6">
      <c r="B132" s="456" t="s">
        <v>359</v>
      </c>
      <c r="C132" s="456"/>
      <c r="D132" s="456"/>
      <c r="E132" s="456"/>
      <c r="F132" s="456"/>
    </row>
    <row r="134" spans="1:6">
      <c r="B134" s="192" t="s">
        <v>195</v>
      </c>
    </row>
    <row r="135" spans="1:6">
      <c r="B135" s="1" t="s">
        <v>221</v>
      </c>
      <c r="C135" s="202">
        <f>E21</f>
        <v>3</v>
      </c>
    </row>
    <row r="136" spans="1:6">
      <c r="B136" s="194" t="s">
        <v>220</v>
      </c>
      <c r="C136" s="195">
        <f>Scenarios!C58</f>
        <v>0.27</v>
      </c>
      <c r="D136" s="194" t="str">
        <f>Market_currency</f>
        <v>HKD</v>
      </c>
    </row>
    <row r="138" spans="1:6">
      <c r="B138" s="192" t="s">
        <v>497</v>
      </c>
      <c r="C138" s="214"/>
      <c r="D138" s="215"/>
    </row>
    <row r="139" spans="1:6" ht="12.4">
      <c r="B139" s="344" t="s">
        <v>465</v>
      </c>
      <c r="C139" s="344" t="str">
        <f>"PV("&amp;Holding_Period&amp;" yrs of Dividends)"</f>
        <v>PV(3 yrs of Dividends)</v>
      </c>
      <c r="D139" s="344" t="s">
        <v>474</v>
      </c>
      <c r="E139" s="345" t="str">
        <f>"Buy below ("&amp;Market_currency&amp;")"</f>
        <v>Buy below (HKD)</v>
      </c>
      <c r="F139" s="345" t="s">
        <v>475</v>
      </c>
    </row>
    <row r="140" spans="1:6">
      <c r="B140" s="340" t="s">
        <v>312</v>
      </c>
      <c r="C140" s="337">
        <f>Scenarios!C62</f>
        <v>0.49405992554973227</v>
      </c>
      <c r="D140" s="337">
        <f>Scenarios!D62</f>
        <v>1.9107965921576504</v>
      </c>
      <c r="E140" s="338">
        <f>Scenarios!E62</f>
        <v>2.4048565177073828</v>
      </c>
      <c r="F140" s="339">
        <f>E22</f>
        <v>0.29465259038036606</v>
      </c>
    </row>
    <row r="141" spans="1:6">
      <c r="B141" s="340" t="s">
        <v>313</v>
      </c>
      <c r="C141" s="337">
        <f>Scenarios!C63</f>
        <v>0.56808106576265116</v>
      </c>
      <c r="D141" s="337">
        <f>Scenarios!D63</f>
        <v>2.3950490137080731</v>
      </c>
      <c r="E141" s="338">
        <f>Scenarios!E63</f>
        <v>2.9631300794707243</v>
      </c>
      <c r="F141" s="339">
        <f>Scenarios!F63</f>
        <v>0.20075184365903009</v>
      </c>
    </row>
    <row r="142" spans="1:6">
      <c r="B142" s="194"/>
      <c r="C142" s="194"/>
      <c r="D142" s="194"/>
      <c r="E142" s="194"/>
      <c r="F142" s="194"/>
    </row>
    <row r="143" spans="1:6" ht="12.4">
      <c r="B143" s="344" t="s">
        <v>466</v>
      </c>
      <c r="C143" s="344" t="str">
        <f>"PV("&amp;Holding_Period&amp;" yrs of Dividends)"</f>
        <v>PV(3 yrs of Dividends)</v>
      </c>
      <c r="D143" s="344" t="s">
        <v>474</v>
      </c>
      <c r="E143" s="345" t="str">
        <f>"Sell above ("&amp;Market_currency&amp;")"</f>
        <v>Sell above (HKD)</v>
      </c>
      <c r="F143" s="345" t="s">
        <v>475</v>
      </c>
    </row>
    <row r="144" spans="1:6">
      <c r="B144" s="340" t="s">
        <v>315</v>
      </c>
      <c r="C144" s="337">
        <f>Scenarios!C66</f>
        <v>0.65140284400343529</v>
      </c>
      <c r="D144" s="337">
        <f>Scenarios!D66</f>
        <v>2.9719957965147898</v>
      </c>
      <c r="E144" s="338">
        <f>Scenarios!E66</f>
        <v>3.623398640518225</v>
      </c>
      <c r="F144" s="339">
        <f>E24</f>
        <v>0.1174</v>
      </c>
    </row>
    <row r="145" spans="1:6">
      <c r="B145" s="340" t="s">
        <v>314</v>
      </c>
      <c r="C145" s="337">
        <f>Scenarios!C67</f>
        <v>0.7053413113367144</v>
      </c>
      <c r="D145" s="337">
        <f>Scenarios!D67</f>
        <v>3.3611066207370817</v>
      </c>
      <c r="E145" s="338">
        <f>Scenarios!E67</f>
        <v>4.0664479320737961</v>
      </c>
      <c r="F145" s="339">
        <f>Scenarios!F67</f>
        <v>7.2499999999999995E-2</v>
      </c>
    </row>
    <row r="147" spans="1:6" ht="13.9">
      <c r="A147" s="200" t="s">
        <v>478</v>
      </c>
      <c r="B147" s="34"/>
      <c r="C147" s="34"/>
      <c r="D147" s="34"/>
      <c r="E147" s="34"/>
      <c r="F147" s="34"/>
    </row>
    <row r="149" spans="1:6">
      <c r="B149" s="463" t="s">
        <v>360</v>
      </c>
      <c r="C149" s="456"/>
      <c r="D149" s="456"/>
      <c r="E149" s="456"/>
      <c r="F149" s="456"/>
    </row>
    <row r="151" spans="1:6">
      <c r="B151" s="192" t="s">
        <v>289</v>
      </c>
    </row>
    <row r="152" spans="1:6">
      <c r="B152" s="460" t="s">
        <v>293</v>
      </c>
      <c r="C152" s="460"/>
      <c r="D152" s="460"/>
      <c r="E152" s="460"/>
      <c r="F152" s="460"/>
    </row>
    <row r="153" spans="1:6">
      <c r="B153" s="196" t="s">
        <v>290</v>
      </c>
    </row>
    <row r="154" spans="1:6">
      <c r="B154" s="196" t="s">
        <v>291</v>
      </c>
    </row>
    <row r="155" spans="1:6">
      <c r="B155" s="196" t="s">
        <v>292</v>
      </c>
    </row>
    <row r="157" spans="1:6">
      <c r="B157" s="1" t="s">
        <v>296</v>
      </c>
    </row>
    <row r="158" spans="1:6" ht="34.25" customHeight="1">
      <c r="B158" s="457" t="s">
        <v>441</v>
      </c>
      <c r="C158" s="457"/>
      <c r="D158" s="457"/>
      <c r="E158" s="457"/>
      <c r="F158" s="457"/>
    </row>
    <row r="160" spans="1:6">
      <c r="B160" s="1" t="s">
        <v>297</v>
      </c>
    </row>
    <row r="161" spans="2:6" ht="24.5" customHeight="1">
      <c r="B161" s="462" t="s">
        <v>294</v>
      </c>
      <c r="C161" s="462"/>
      <c r="D161" s="462"/>
      <c r="E161" s="462"/>
      <c r="F161" s="462"/>
    </row>
    <row r="162" spans="2:6" ht="24.5" customHeight="1">
      <c r="B162" s="462" t="s">
        <v>295</v>
      </c>
      <c r="C162" s="462"/>
      <c r="D162" s="462"/>
      <c r="E162" s="462"/>
      <c r="F162" s="462"/>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35" activePane="bottomRight" state="frozen"/>
      <selection pane="topRight" activeCell="C1" sqref="C1"/>
      <selection pane="bottomLeft" activeCell="A2" sqref="A2"/>
      <selection pane="bottomRight" activeCell="E71" sqref="E71"/>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HKD</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91">
        <v>5057000</v>
      </c>
      <c r="D4" s="291">
        <v>5891068</v>
      </c>
      <c r="E4" s="291">
        <v>8214719</v>
      </c>
      <c r="F4" s="291">
        <v>7075818</v>
      </c>
      <c r="G4" s="291">
        <v>3996951</v>
      </c>
      <c r="H4" s="291">
        <v>3869308</v>
      </c>
      <c r="I4" s="291">
        <v>3686176</v>
      </c>
      <c r="J4" s="291">
        <v>3471922</v>
      </c>
      <c r="K4" s="291">
        <v>1809885</v>
      </c>
      <c r="L4" s="291">
        <v>1996629</v>
      </c>
      <c r="M4" s="291"/>
    </row>
    <row r="5" spans="2:13">
      <c r="B5" s="38" t="s">
        <v>40</v>
      </c>
      <c r="C5" s="291">
        <v>2468686</v>
      </c>
      <c r="D5" s="291">
        <v>2425040</v>
      </c>
      <c r="E5" s="291">
        <v>2925125</v>
      </c>
      <c r="F5" s="291">
        <v>2681244</v>
      </c>
      <c r="G5" s="291">
        <v>2127744</v>
      </c>
      <c r="H5" s="291">
        <v>1880565</v>
      </c>
      <c r="I5" s="291">
        <v>1785634</v>
      </c>
      <c r="J5" s="291">
        <v>1596518</v>
      </c>
      <c r="K5" s="291">
        <v>1202842</v>
      </c>
      <c r="L5" s="291">
        <v>1508441</v>
      </c>
      <c r="M5" s="291"/>
    </row>
    <row r="6" spans="2:13">
      <c r="B6" s="38" t="s">
        <v>51</v>
      </c>
      <c r="C6" s="291">
        <v>318991</v>
      </c>
      <c r="D6" s="291">
        <v>415858</v>
      </c>
      <c r="E6" s="291">
        <v>556324</v>
      </c>
      <c r="F6" s="291">
        <v>477644</v>
      </c>
      <c r="G6" s="291">
        <v>498500</v>
      </c>
      <c r="H6" s="291">
        <v>432342</v>
      </c>
      <c r="I6" s="291">
        <v>413972</v>
      </c>
      <c r="J6" s="291">
        <v>408672</v>
      </c>
      <c r="K6" s="291">
        <v>371167</v>
      </c>
      <c r="L6" s="291">
        <v>543649</v>
      </c>
      <c r="M6" s="291"/>
    </row>
    <row r="7" spans="2:13">
      <c r="B7" s="66" t="s">
        <v>58</v>
      </c>
      <c r="C7" s="292">
        <v>110092</v>
      </c>
      <c r="D7" s="292">
        <v>214562</v>
      </c>
      <c r="E7" s="292">
        <v>348512</v>
      </c>
      <c r="F7" s="292">
        <v>269741</v>
      </c>
      <c r="G7" s="292">
        <v>316586</v>
      </c>
      <c r="H7" s="292">
        <v>250051</v>
      </c>
      <c r="I7" s="292">
        <v>208621</v>
      </c>
      <c r="J7" s="292">
        <v>206638</v>
      </c>
      <c r="K7" s="292">
        <v>167412</v>
      </c>
      <c r="L7" s="292">
        <v>201907</v>
      </c>
      <c r="M7" s="292"/>
    </row>
    <row r="8" spans="2:13">
      <c r="B8" s="38" t="s">
        <v>46</v>
      </c>
      <c r="C8" s="291"/>
      <c r="D8" s="291"/>
      <c r="E8" s="291"/>
      <c r="F8" s="291"/>
      <c r="G8" s="291"/>
      <c r="H8" s="291"/>
      <c r="I8" s="291"/>
      <c r="J8" s="291"/>
      <c r="K8" s="291"/>
      <c r="L8" s="291"/>
      <c r="M8" s="291"/>
    </row>
    <row r="9" spans="2:13">
      <c r="B9" s="38" t="s">
        <v>134</v>
      </c>
      <c r="C9" s="291"/>
      <c r="D9" s="291"/>
      <c r="E9" s="291"/>
      <c r="F9" s="291"/>
      <c r="G9" s="291"/>
      <c r="H9" s="291"/>
      <c r="I9" s="291"/>
      <c r="J9" s="291"/>
      <c r="K9" s="291"/>
      <c r="L9" s="291"/>
      <c r="M9" s="291"/>
    </row>
    <row r="10" spans="2:13">
      <c r="B10" s="38" t="s">
        <v>138</v>
      </c>
      <c r="C10" s="291"/>
      <c r="D10" s="291"/>
      <c r="E10" s="291"/>
      <c r="F10" s="291"/>
      <c r="G10" s="291"/>
      <c r="H10" s="291"/>
      <c r="I10" s="291"/>
      <c r="J10" s="291"/>
      <c r="K10" s="291"/>
      <c r="L10" s="291"/>
      <c r="M10" s="291"/>
    </row>
    <row r="11" spans="2:13">
      <c r="B11" s="38" t="s">
        <v>133</v>
      </c>
      <c r="C11" s="291"/>
      <c r="D11" s="291"/>
      <c r="E11" s="291"/>
      <c r="F11" s="291"/>
      <c r="G11" s="291"/>
      <c r="H11" s="291"/>
      <c r="I11" s="291"/>
      <c r="J11" s="291"/>
      <c r="K11" s="291"/>
      <c r="L11" s="291"/>
      <c r="M11" s="291"/>
    </row>
    <row r="12" spans="2:13">
      <c r="B12" s="38" t="s">
        <v>37</v>
      </c>
      <c r="C12" s="291">
        <v>1746</v>
      </c>
      <c r="D12" s="291">
        <v>2921</v>
      </c>
      <c r="E12" s="291">
        <v>1360</v>
      </c>
      <c r="F12" s="291">
        <v>1275</v>
      </c>
      <c r="G12" s="291"/>
      <c r="H12" s="291"/>
      <c r="I12" s="291"/>
      <c r="J12" s="291"/>
      <c r="K12" s="291"/>
      <c r="L12" s="291"/>
      <c r="M12" s="291"/>
    </row>
    <row r="13" spans="2:13">
      <c r="B13" s="38" t="s">
        <v>64</v>
      </c>
      <c r="C13" s="291">
        <v>186780</v>
      </c>
      <c r="D13" s="291">
        <v>173638</v>
      </c>
      <c r="E13" s="291">
        <v>107067</v>
      </c>
      <c r="F13" s="291">
        <v>69578</v>
      </c>
      <c r="G13" s="291"/>
      <c r="H13" s="291"/>
      <c r="I13" s="291"/>
      <c r="J13" s="291"/>
      <c r="K13" s="291"/>
      <c r="L13" s="291"/>
      <c r="M13" s="291"/>
    </row>
    <row r="14" spans="2:13">
      <c r="B14" s="38" t="s">
        <v>47</v>
      </c>
      <c r="C14" s="291">
        <v>710922</v>
      </c>
      <c r="D14" s="291">
        <v>917979</v>
      </c>
      <c r="E14" s="291">
        <v>1317738</v>
      </c>
      <c r="F14" s="291">
        <v>1071328</v>
      </c>
      <c r="G14" s="291">
        <v>425331</v>
      </c>
      <c r="H14" s="291">
        <v>456674</v>
      </c>
      <c r="I14" s="291">
        <v>487781</v>
      </c>
      <c r="J14" s="291">
        <v>465034</v>
      </c>
      <c r="K14" s="291">
        <v>76600</v>
      </c>
      <c r="L14" s="291">
        <v>-124459</v>
      </c>
      <c r="M14" s="291"/>
    </row>
    <row r="15" spans="2:13">
      <c r="B15" s="41" t="s">
        <v>39</v>
      </c>
      <c r="C15" s="293">
        <v>1814975</v>
      </c>
      <c r="D15" s="293">
        <v>2300938</v>
      </c>
      <c r="E15" s="293">
        <v>3308155</v>
      </c>
      <c r="F15" s="293">
        <v>3060831</v>
      </c>
      <c r="G15" s="293">
        <v>1187283</v>
      </c>
      <c r="H15" s="293">
        <v>1176141</v>
      </c>
      <c r="I15" s="293">
        <v>1151928</v>
      </c>
      <c r="J15" s="293">
        <v>1182584</v>
      </c>
      <c r="K15" s="293">
        <v>67656</v>
      </c>
      <c r="L15" s="293">
        <v>-711475</v>
      </c>
      <c r="M15" s="293"/>
    </row>
    <row r="16" spans="2:13">
      <c r="B16" s="27" t="s">
        <v>41</v>
      </c>
      <c r="C16" s="291">
        <v>320909</v>
      </c>
      <c r="D16" s="291">
        <v>411691</v>
      </c>
      <c r="E16" s="291">
        <v>592781</v>
      </c>
      <c r="F16" s="291">
        <v>522336</v>
      </c>
      <c r="G16" s="291">
        <v>107242</v>
      </c>
      <c r="H16" s="291">
        <v>35728</v>
      </c>
      <c r="I16" s="291">
        <v>51440</v>
      </c>
      <c r="J16" s="291">
        <v>101935</v>
      </c>
      <c r="K16" s="291">
        <v>-44139</v>
      </c>
      <c r="L16" s="291">
        <v>-295004</v>
      </c>
      <c r="M16" s="291"/>
    </row>
    <row r="18" spans="2:13">
      <c r="B18" s="16" t="s">
        <v>48</v>
      </c>
      <c r="C18" s="9"/>
    </row>
    <row r="19" spans="2:13">
      <c r="B19" s="26" t="s">
        <v>44</v>
      </c>
      <c r="C19" s="291"/>
      <c r="D19" s="291"/>
      <c r="E19" s="291"/>
      <c r="F19" s="291"/>
      <c r="G19" s="291"/>
      <c r="H19" s="291"/>
      <c r="I19" s="291"/>
      <c r="J19" s="291"/>
      <c r="K19" s="291"/>
      <c r="L19" s="291"/>
      <c r="M19" s="291"/>
    </row>
    <row r="20" spans="2:13">
      <c r="B20" s="26" t="s">
        <v>50</v>
      </c>
      <c r="C20" s="291"/>
      <c r="D20" s="291"/>
      <c r="E20" s="291"/>
      <c r="F20" s="291"/>
      <c r="G20" s="291"/>
      <c r="H20" s="291"/>
      <c r="I20" s="291"/>
      <c r="J20" s="291"/>
      <c r="K20" s="291"/>
      <c r="L20" s="291"/>
      <c r="M20" s="291"/>
    </row>
    <row r="21" spans="2:13">
      <c r="B21" s="26" t="s">
        <v>49</v>
      </c>
      <c r="C21" s="291"/>
      <c r="D21" s="291"/>
      <c r="E21" s="291"/>
      <c r="F21" s="291"/>
      <c r="G21" s="291"/>
      <c r="H21" s="291"/>
      <c r="I21" s="291"/>
      <c r="J21" s="291"/>
      <c r="K21" s="291"/>
      <c r="L21" s="291"/>
      <c r="M21" s="291"/>
    </row>
    <row r="22" spans="2:13">
      <c r="B22" s="26" t="s">
        <v>286</v>
      </c>
      <c r="C22" s="291">
        <v>2369874</v>
      </c>
      <c r="D22" s="291">
        <v>4543011</v>
      </c>
      <c r="E22" s="291">
        <v>3847566</v>
      </c>
      <c r="F22" s="291">
        <v>3858089</v>
      </c>
      <c r="G22" s="291">
        <v>836818</v>
      </c>
      <c r="H22" s="291">
        <v>1922241</v>
      </c>
      <c r="I22" s="291">
        <v>1642851</v>
      </c>
      <c r="J22" s="291">
        <v>1535692</v>
      </c>
      <c r="K22" s="291">
        <v>222071</v>
      </c>
      <c r="L22" s="291">
        <v>821391</v>
      </c>
      <c r="M22" s="291"/>
    </row>
    <row r="23" spans="2:13">
      <c r="B23" s="26" t="s">
        <v>288</v>
      </c>
      <c r="C23" s="291">
        <v>-182373</v>
      </c>
      <c r="D23" s="291">
        <v>759311</v>
      </c>
      <c r="E23" s="291">
        <v>-1150823</v>
      </c>
      <c r="F23" s="291">
        <v>-1949086</v>
      </c>
      <c r="G23" s="291">
        <v>226332</v>
      </c>
      <c r="H23" s="291">
        <v>-727776</v>
      </c>
      <c r="I23" s="291">
        <v>-319345</v>
      </c>
      <c r="J23" s="291">
        <v>266424</v>
      </c>
      <c r="K23" s="291">
        <v>377546</v>
      </c>
      <c r="L23" s="291">
        <v>571097</v>
      </c>
      <c r="M23" s="291"/>
    </row>
    <row r="24" spans="2:13">
      <c r="B24" s="26" t="s">
        <v>287</v>
      </c>
      <c r="C24" s="291">
        <v>-971717</v>
      </c>
      <c r="D24" s="291">
        <v>-2342230</v>
      </c>
      <c r="E24" s="291">
        <v>-2819292</v>
      </c>
      <c r="F24" s="291">
        <v>-913829</v>
      </c>
      <c r="G24" s="291">
        <v>-1490643</v>
      </c>
      <c r="H24" s="291">
        <v>-893331</v>
      </c>
      <c r="I24" s="291">
        <v>-1135313</v>
      </c>
      <c r="J24" s="291">
        <v>-317532</v>
      </c>
      <c r="K24" s="291">
        <v>-1060796</v>
      </c>
      <c r="L24" s="291">
        <v>-1009824</v>
      </c>
      <c r="M24" s="291"/>
    </row>
    <row r="25" spans="2:13">
      <c r="B25" s="23" t="str">
        <f>"Dividend per share ("&amp;Market_currency&amp;")"</f>
        <v>Dividend per share (HKD)</v>
      </c>
      <c r="C25" s="37">
        <f>0.21+0.09</f>
        <v>0.3</v>
      </c>
      <c r="D25" s="37">
        <f>0.18+0.1</f>
        <v>0.28000000000000003</v>
      </c>
      <c r="E25" s="37">
        <f>0.28+0.15</f>
        <v>0.43000000000000005</v>
      </c>
      <c r="F25" s="37"/>
      <c r="G25" s="37"/>
      <c r="H25" s="37"/>
      <c r="I25" s="37"/>
      <c r="J25" s="37"/>
      <c r="K25" s="37"/>
      <c r="L25" s="37"/>
      <c r="M25" s="37"/>
    </row>
    <row r="27" spans="2:13">
      <c r="B27" s="16" t="s">
        <v>26</v>
      </c>
      <c r="C27" s="94" t="s">
        <v>554</v>
      </c>
    </row>
    <row r="28" spans="2:13">
      <c r="B28" s="25" t="s">
        <v>22</v>
      </c>
      <c r="C28" s="274">
        <f>BS!C4</f>
        <v>537904</v>
      </c>
      <c r="D28" s="291">
        <v>687833</v>
      </c>
      <c r="E28" s="291">
        <v>2889765</v>
      </c>
      <c r="F28" s="291">
        <v>3144251</v>
      </c>
      <c r="G28" s="291">
        <v>2049144</v>
      </c>
      <c r="H28" s="291">
        <v>1797319</v>
      </c>
      <c r="I28" s="291">
        <v>2248182</v>
      </c>
      <c r="J28" s="291">
        <v>2297795</v>
      </c>
      <c r="K28" s="291">
        <v>1943651</v>
      </c>
      <c r="L28" s="291">
        <v>1757738</v>
      </c>
      <c r="M28" s="291"/>
    </row>
    <row r="29" spans="2:13">
      <c r="B29" s="25" t="s">
        <v>30</v>
      </c>
      <c r="C29" s="274">
        <f>BS!C6</f>
        <v>137638</v>
      </c>
      <c r="D29" s="291">
        <v>125636</v>
      </c>
      <c r="E29" s="291">
        <v>42046</v>
      </c>
      <c r="F29" s="291">
        <v>142658</v>
      </c>
      <c r="G29" s="291">
        <v>131170</v>
      </c>
      <c r="H29" s="291">
        <v>123530</v>
      </c>
      <c r="I29" s="291">
        <v>130069</v>
      </c>
      <c r="J29" s="291">
        <v>195983</v>
      </c>
      <c r="K29" s="291">
        <v>198599</v>
      </c>
      <c r="L29" s="291">
        <v>167312</v>
      </c>
      <c r="M29" s="291"/>
    </row>
    <row r="30" spans="2:13">
      <c r="B30" s="28" t="s">
        <v>38</v>
      </c>
      <c r="C30" s="275">
        <f>BS!C33+BS!C42</f>
        <v>4047566</v>
      </c>
      <c r="D30" s="293">
        <v>4021026</v>
      </c>
      <c r="E30" s="293">
        <v>4786265</v>
      </c>
      <c r="F30" s="293">
        <v>5631759</v>
      </c>
      <c r="G30" s="293">
        <v>4142576</v>
      </c>
      <c r="H30" s="293">
        <v>4426398</v>
      </c>
      <c r="I30" s="293">
        <v>4475236</v>
      </c>
      <c r="J30" s="293">
        <v>4318962</v>
      </c>
      <c r="K30" s="293">
        <v>3438763</v>
      </c>
      <c r="L30" s="293">
        <v>3683389</v>
      </c>
      <c r="M30" s="293"/>
    </row>
    <row r="31" spans="2:13">
      <c r="B31" s="28" t="s">
        <v>28</v>
      </c>
      <c r="C31" s="275">
        <f>BS!G27</f>
        <v>18901257</v>
      </c>
      <c r="D31" s="293">
        <v>18470518</v>
      </c>
      <c r="E31" s="293">
        <v>18677219</v>
      </c>
      <c r="F31" s="293">
        <v>19148218</v>
      </c>
      <c r="G31" s="293">
        <v>17291070</v>
      </c>
      <c r="H31" s="293">
        <v>17046312</v>
      </c>
      <c r="I31" s="293">
        <v>16775806</v>
      </c>
      <c r="J31" s="293">
        <v>17375683</v>
      </c>
      <c r="K31" s="293">
        <v>15665693</v>
      </c>
      <c r="L31" s="293">
        <v>17044280</v>
      </c>
      <c r="M31" s="293"/>
    </row>
    <row r="32" spans="2:13">
      <c r="B32" s="25" t="s">
        <v>143</v>
      </c>
      <c r="C32" s="274">
        <f>BS!G28</f>
        <v>2421183</v>
      </c>
      <c r="D32" s="291">
        <v>2188672</v>
      </c>
      <c r="E32" s="291">
        <v>1908542</v>
      </c>
      <c r="F32" s="291">
        <v>1848135</v>
      </c>
      <c r="G32" s="291">
        <v>1453904</v>
      </c>
      <c r="H32" s="291">
        <v>1364732</v>
      </c>
      <c r="I32" s="291">
        <v>1391690</v>
      </c>
      <c r="J32" s="291">
        <v>1440871</v>
      </c>
      <c r="K32" s="291">
        <v>1146669</v>
      </c>
      <c r="L32" s="291">
        <v>1253165</v>
      </c>
      <c r="M32" s="291"/>
    </row>
    <row r="34" spans="2:13" ht="13.9">
      <c r="B34" s="34" t="s">
        <v>78</v>
      </c>
      <c r="C34" s="35"/>
      <c r="D34" s="35"/>
      <c r="E34" s="35"/>
      <c r="F34" s="35"/>
      <c r="G34" s="35"/>
      <c r="H34" s="35"/>
      <c r="I34" s="35"/>
      <c r="J34" s="35"/>
      <c r="K34" s="35"/>
      <c r="L34" s="35"/>
      <c r="M34" s="35"/>
    </row>
    <row r="35" spans="2:13">
      <c r="B35" s="16" t="s">
        <v>25</v>
      </c>
    </row>
    <row r="36" spans="2:13">
      <c r="B36" s="31" t="s">
        <v>0</v>
      </c>
      <c r="C36" s="274">
        <f t="shared" ref="C36:M36" si="1">IF(C$4="","",C4)</f>
        <v>5057000</v>
      </c>
      <c r="D36" s="274">
        <f t="shared" si="1"/>
        <v>5891068</v>
      </c>
      <c r="E36" s="274">
        <f t="shared" si="1"/>
        <v>8214719</v>
      </c>
      <c r="F36" s="274">
        <f t="shared" si="1"/>
        <v>7075818</v>
      </c>
      <c r="G36" s="274">
        <f t="shared" si="1"/>
        <v>3996951</v>
      </c>
      <c r="H36" s="274">
        <f t="shared" si="1"/>
        <v>3869308</v>
      </c>
      <c r="I36" s="274">
        <f t="shared" si="1"/>
        <v>3686176</v>
      </c>
      <c r="J36" s="274">
        <f t="shared" si="1"/>
        <v>3471922</v>
      </c>
      <c r="K36" s="274">
        <f t="shared" si="1"/>
        <v>1809885</v>
      </c>
      <c r="L36" s="274">
        <f t="shared" si="1"/>
        <v>1996629</v>
      </c>
      <c r="M36" s="274" t="str">
        <f t="shared" si="1"/>
        <v/>
      </c>
    </row>
    <row r="37" spans="2:13">
      <c r="B37" s="38" t="s">
        <v>40</v>
      </c>
      <c r="C37" s="274">
        <f t="shared" ref="C37:M37" si="2">IF(C$4="","",-C5)</f>
        <v>-2468686</v>
      </c>
      <c r="D37" s="274">
        <f t="shared" si="2"/>
        <v>-2425040</v>
      </c>
      <c r="E37" s="274">
        <f t="shared" si="2"/>
        <v>-2925125</v>
      </c>
      <c r="F37" s="274">
        <f t="shared" si="2"/>
        <v>-2681244</v>
      </c>
      <c r="G37" s="274">
        <f t="shared" si="2"/>
        <v>-2127744</v>
      </c>
      <c r="H37" s="274">
        <f t="shared" si="2"/>
        <v>-1880565</v>
      </c>
      <c r="I37" s="274">
        <f t="shared" si="2"/>
        <v>-1785634</v>
      </c>
      <c r="J37" s="274">
        <f t="shared" si="2"/>
        <v>-1596518</v>
      </c>
      <c r="K37" s="274">
        <f t="shared" si="2"/>
        <v>-1202842</v>
      </c>
      <c r="L37" s="274">
        <f t="shared" si="2"/>
        <v>-1508441</v>
      </c>
      <c r="M37" s="274" t="str">
        <f t="shared" si="2"/>
        <v/>
      </c>
    </row>
    <row r="38" spans="2:13">
      <c r="B38" s="30" t="s">
        <v>55</v>
      </c>
      <c r="C38" s="271">
        <f>IF(C36="","",C36+C37)</f>
        <v>2588314</v>
      </c>
      <c r="D38" s="271">
        <f t="shared" ref="D38" si="3">IF(D36="","",D36+D37)</f>
        <v>3466028</v>
      </c>
      <c r="E38" s="271">
        <f t="shared" ref="E38" si="4">IF(E36="","",E36+E37)</f>
        <v>5289594</v>
      </c>
      <c r="F38" s="271">
        <f t="shared" ref="F38" si="5">IF(F36="","",F36+F37)</f>
        <v>4394574</v>
      </c>
      <c r="G38" s="271">
        <f t="shared" ref="G38" si="6">IF(G36="","",G36+G37)</f>
        <v>1869207</v>
      </c>
      <c r="H38" s="271">
        <f t="shared" ref="H38" si="7">IF(H36="","",H36+H37)</f>
        <v>1988743</v>
      </c>
      <c r="I38" s="271">
        <f t="shared" ref="I38" si="8">IF(I36="","",I36+I37)</f>
        <v>1900542</v>
      </c>
      <c r="J38" s="271">
        <f t="shared" ref="J38" si="9">IF(J36="","",J36+J37)</f>
        <v>1875404</v>
      </c>
      <c r="K38" s="271">
        <f t="shared" ref="K38" si="10">IF(K36="","",K36+K37)</f>
        <v>607043</v>
      </c>
      <c r="L38" s="271">
        <f t="shared" ref="L38" si="11">IF(L36="","",L36+L37)</f>
        <v>488188</v>
      </c>
      <c r="M38" s="271" t="str">
        <f t="shared" ref="M38" si="12">IF(M36="","",M36+M37)</f>
        <v/>
      </c>
    </row>
    <row r="39" spans="2:13">
      <c r="B39" s="38" t="s">
        <v>51</v>
      </c>
      <c r="C39" s="274">
        <f t="shared" ref="C39:M39" si="13">IF(C$4="","",-C6)</f>
        <v>-318991</v>
      </c>
      <c r="D39" s="274">
        <f t="shared" si="13"/>
        <v>-415858</v>
      </c>
      <c r="E39" s="274">
        <f t="shared" si="13"/>
        <v>-556324</v>
      </c>
      <c r="F39" s="274">
        <f t="shared" si="13"/>
        <v>-477644</v>
      </c>
      <c r="G39" s="274">
        <f t="shared" si="13"/>
        <v>-498500</v>
      </c>
      <c r="H39" s="274">
        <f t="shared" si="13"/>
        <v>-432342</v>
      </c>
      <c r="I39" s="274">
        <f t="shared" si="13"/>
        <v>-413972</v>
      </c>
      <c r="J39" s="274">
        <f t="shared" si="13"/>
        <v>-408672</v>
      </c>
      <c r="K39" s="274">
        <f t="shared" si="13"/>
        <v>-371167</v>
      </c>
      <c r="L39" s="274">
        <f t="shared" si="13"/>
        <v>-543649</v>
      </c>
      <c r="M39" s="274" t="str">
        <f t="shared" si="13"/>
        <v/>
      </c>
    </row>
    <row r="40" spans="2:13">
      <c r="B40" s="66" t="s">
        <v>58</v>
      </c>
      <c r="C40" s="286">
        <f t="shared" ref="C40:M40" si="14">IF(C$4="","",-C7)</f>
        <v>-110092</v>
      </c>
      <c r="D40" s="286">
        <f t="shared" si="14"/>
        <v>-214562</v>
      </c>
      <c r="E40" s="286">
        <f t="shared" si="14"/>
        <v>-348512</v>
      </c>
      <c r="F40" s="286">
        <f t="shared" si="14"/>
        <v>-269741</v>
      </c>
      <c r="G40" s="286">
        <f t="shared" si="14"/>
        <v>-316586</v>
      </c>
      <c r="H40" s="286">
        <f t="shared" si="14"/>
        <v>-250051</v>
      </c>
      <c r="I40" s="286">
        <f t="shared" si="14"/>
        <v>-208621</v>
      </c>
      <c r="J40" s="286">
        <f t="shared" si="14"/>
        <v>-206638</v>
      </c>
      <c r="K40" s="286">
        <f t="shared" si="14"/>
        <v>-167412</v>
      </c>
      <c r="L40" s="286">
        <f t="shared" si="14"/>
        <v>-201907</v>
      </c>
      <c r="M40" s="286" t="str">
        <f t="shared" si="14"/>
        <v/>
      </c>
    </row>
    <row r="41" spans="2:13">
      <c r="B41" s="66" t="s">
        <v>61</v>
      </c>
      <c r="C41" s="286">
        <f>IF(C$4="","",C39-C40)</f>
        <v>-208899</v>
      </c>
      <c r="D41" s="286">
        <f t="shared" ref="D41:M41" si="15">IF(D$4="","",D39-D40)</f>
        <v>-201296</v>
      </c>
      <c r="E41" s="286">
        <f t="shared" si="15"/>
        <v>-207812</v>
      </c>
      <c r="F41" s="286">
        <f t="shared" si="15"/>
        <v>-207903</v>
      </c>
      <c r="G41" s="286">
        <f t="shared" si="15"/>
        <v>-181914</v>
      </c>
      <c r="H41" s="286">
        <f t="shared" si="15"/>
        <v>-182291</v>
      </c>
      <c r="I41" s="286">
        <f t="shared" si="15"/>
        <v>-205351</v>
      </c>
      <c r="J41" s="286">
        <f t="shared" si="15"/>
        <v>-202034</v>
      </c>
      <c r="K41" s="286">
        <f t="shared" si="15"/>
        <v>-203755</v>
      </c>
      <c r="L41" s="286">
        <f t="shared" si="15"/>
        <v>-341742</v>
      </c>
      <c r="M41" s="286" t="str">
        <f t="shared" si="15"/>
        <v/>
      </c>
    </row>
    <row r="42" spans="2:13">
      <c r="B42" s="38" t="s">
        <v>46</v>
      </c>
      <c r="C42" s="274">
        <f t="shared" ref="C42:M42" si="16">IF(C$4="","",-C8)</f>
        <v>0</v>
      </c>
      <c r="D42" s="274">
        <f t="shared" si="16"/>
        <v>0</v>
      </c>
      <c r="E42" s="274">
        <f t="shared" si="16"/>
        <v>0</v>
      </c>
      <c r="F42" s="274">
        <f t="shared" si="16"/>
        <v>0</v>
      </c>
      <c r="G42" s="274">
        <f t="shared" si="16"/>
        <v>0</v>
      </c>
      <c r="H42" s="274">
        <f t="shared" si="16"/>
        <v>0</v>
      </c>
      <c r="I42" s="274">
        <f t="shared" si="16"/>
        <v>0</v>
      </c>
      <c r="J42" s="274">
        <f t="shared" si="16"/>
        <v>0</v>
      </c>
      <c r="K42" s="274">
        <f t="shared" si="16"/>
        <v>0</v>
      </c>
      <c r="L42" s="274">
        <f t="shared" si="16"/>
        <v>0</v>
      </c>
      <c r="M42" s="274" t="str">
        <f t="shared" si="16"/>
        <v/>
      </c>
    </row>
    <row r="43" spans="2:13">
      <c r="B43" s="41" t="s">
        <v>127</v>
      </c>
      <c r="C43" s="275">
        <f>IF(C$4="","",C38+C39+C42)</f>
        <v>2269323</v>
      </c>
      <c r="D43" s="275">
        <f t="shared" ref="D43:M43" si="17">IF(D$4="","",D38+D39+D42)</f>
        <v>3050170</v>
      </c>
      <c r="E43" s="275">
        <f t="shared" si="17"/>
        <v>4733270</v>
      </c>
      <c r="F43" s="275">
        <f t="shared" si="17"/>
        <v>3916930</v>
      </c>
      <c r="G43" s="275">
        <f t="shared" si="17"/>
        <v>1370707</v>
      </c>
      <c r="H43" s="275">
        <f t="shared" si="17"/>
        <v>1556401</v>
      </c>
      <c r="I43" s="275">
        <f t="shared" si="17"/>
        <v>1486570</v>
      </c>
      <c r="J43" s="275">
        <f t="shared" si="17"/>
        <v>1466732</v>
      </c>
      <c r="K43" s="275">
        <f t="shared" si="17"/>
        <v>235876</v>
      </c>
      <c r="L43" s="275">
        <f t="shared" si="17"/>
        <v>-55461</v>
      </c>
      <c r="M43" s="275" t="str">
        <f t="shared" si="17"/>
        <v/>
      </c>
    </row>
    <row r="44" spans="2:13">
      <c r="B44" s="41" t="s">
        <v>139</v>
      </c>
      <c r="C44" s="294">
        <f t="shared" ref="C44:M44" si="18">IF(C$4="","",C47-C46-C45-C43)</f>
        <v>71540</v>
      </c>
      <c r="D44" s="294">
        <f t="shared" si="18"/>
        <v>-1970</v>
      </c>
      <c r="E44" s="294">
        <f t="shared" si="18"/>
        <v>-213084</v>
      </c>
      <c r="F44" s="294">
        <f t="shared" si="18"/>
        <v>146926</v>
      </c>
      <c r="G44" s="294">
        <f t="shared" si="18"/>
        <v>241907</v>
      </c>
      <c r="H44" s="294">
        <f t="shared" si="18"/>
        <v>76414</v>
      </c>
      <c r="I44" s="294">
        <f t="shared" si="18"/>
        <v>153139</v>
      </c>
      <c r="J44" s="294">
        <f t="shared" si="18"/>
        <v>180886</v>
      </c>
      <c r="K44" s="294">
        <f t="shared" si="18"/>
        <v>-91620</v>
      </c>
      <c r="L44" s="294">
        <f t="shared" si="18"/>
        <v>-780473</v>
      </c>
      <c r="M44" s="294" t="str">
        <f t="shared" si="18"/>
        <v/>
      </c>
    </row>
    <row r="45" spans="2:13">
      <c r="B45" s="38" t="s">
        <v>65</v>
      </c>
      <c r="C45" s="289">
        <f t="shared" ref="C45:M45" si="19">IF(C$4="","",C51+C52)</f>
        <v>185034</v>
      </c>
      <c r="D45" s="289">
        <f t="shared" si="19"/>
        <v>170717</v>
      </c>
      <c r="E45" s="289">
        <f t="shared" si="19"/>
        <v>105707</v>
      </c>
      <c r="F45" s="289">
        <f t="shared" si="19"/>
        <v>68303</v>
      </c>
      <c r="G45" s="289">
        <f t="shared" si="19"/>
        <v>0</v>
      </c>
      <c r="H45" s="289">
        <f t="shared" si="19"/>
        <v>0</v>
      </c>
      <c r="I45" s="289">
        <f t="shared" si="19"/>
        <v>0</v>
      </c>
      <c r="J45" s="289">
        <f t="shared" si="19"/>
        <v>0</v>
      </c>
      <c r="K45" s="289">
        <f t="shared" si="19"/>
        <v>0</v>
      </c>
      <c r="L45" s="289">
        <f t="shared" si="19"/>
        <v>0</v>
      </c>
      <c r="M45" s="289" t="str">
        <f t="shared" si="19"/>
        <v/>
      </c>
    </row>
    <row r="46" spans="2:13">
      <c r="B46" s="38" t="s">
        <v>47</v>
      </c>
      <c r="C46" s="274">
        <f>IF(C$4="","",-C14)</f>
        <v>-710922</v>
      </c>
      <c r="D46" s="274">
        <f t="shared" ref="D46:M46" si="20">IF(D$4="","",-D14)</f>
        <v>-917979</v>
      </c>
      <c r="E46" s="274">
        <f t="shared" si="20"/>
        <v>-1317738</v>
      </c>
      <c r="F46" s="274">
        <f t="shared" si="20"/>
        <v>-1071328</v>
      </c>
      <c r="G46" s="274">
        <f t="shared" si="20"/>
        <v>-425331</v>
      </c>
      <c r="H46" s="274">
        <f t="shared" si="20"/>
        <v>-456674</v>
      </c>
      <c r="I46" s="274">
        <f t="shared" si="20"/>
        <v>-487781</v>
      </c>
      <c r="J46" s="274">
        <f t="shared" si="20"/>
        <v>-465034</v>
      </c>
      <c r="K46" s="274">
        <f t="shared" si="20"/>
        <v>-76600</v>
      </c>
      <c r="L46" s="274">
        <f t="shared" si="20"/>
        <v>124459</v>
      </c>
      <c r="M46" s="274" t="str">
        <f t="shared" si="20"/>
        <v/>
      </c>
    </row>
    <row r="47" spans="2:13">
      <c r="B47" s="41" t="s">
        <v>39</v>
      </c>
      <c r="C47" s="275">
        <f t="shared" ref="C47:M47" si="21">IF(C$4="","",C15)</f>
        <v>1814975</v>
      </c>
      <c r="D47" s="275">
        <f t="shared" si="21"/>
        <v>2300938</v>
      </c>
      <c r="E47" s="275">
        <f t="shared" si="21"/>
        <v>3308155</v>
      </c>
      <c r="F47" s="275">
        <f t="shared" si="21"/>
        <v>3060831</v>
      </c>
      <c r="G47" s="275">
        <f t="shared" si="21"/>
        <v>1187283</v>
      </c>
      <c r="H47" s="275">
        <f t="shared" si="21"/>
        <v>1176141</v>
      </c>
      <c r="I47" s="275">
        <f t="shared" si="21"/>
        <v>1151928</v>
      </c>
      <c r="J47" s="275">
        <f t="shared" si="21"/>
        <v>1182584</v>
      </c>
      <c r="K47" s="275">
        <f t="shared" si="21"/>
        <v>67656</v>
      </c>
      <c r="L47" s="275">
        <f t="shared" si="21"/>
        <v>-711475</v>
      </c>
      <c r="M47" s="275" t="str">
        <f t="shared" si="21"/>
        <v/>
      </c>
    </row>
    <row r="48" spans="2:13">
      <c r="B48" s="27" t="s">
        <v>41</v>
      </c>
      <c r="C48" s="274">
        <f t="shared" ref="C48:M48" si="22">IF(C$4="","",MIN(-C16,0))</f>
        <v>-320909</v>
      </c>
      <c r="D48" s="274">
        <f t="shared" si="22"/>
        <v>-411691</v>
      </c>
      <c r="E48" s="274">
        <f t="shared" si="22"/>
        <v>-592781</v>
      </c>
      <c r="F48" s="274">
        <f t="shared" si="22"/>
        <v>-522336</v>
      </c>
      <c r="G48" s="274">
        <f t="shared" si="22"/>
        <v>-107242</v>
      </c>
      <c r="H48" s="274">
        <f t="shared" si="22"/>
        <v>-35728</v>
      </c>
      <c r="I48" s="274">
        <f t="shared" si="22"/>
        <v>-51440</v>
      </c>
      <c r="J48" s="274">
        <f t="shared" si="22"/>
        <v>-101935</v>
      </c>
      <c r="K48" s="274">
        <f t="shared" si="22"/>
        <v>0</v>
      </c>
      <c r="L48" s="274">
        <f t="shared" si="22"/>
        <v>0</v>
      </c>
      <c r="M48" s="274" t="str">
        <f t="shared" si="22"/>
        <v/>
      </c>
    </row>
    <row r="50" spans="2:13">
      <c r="B50" s="16" t="s">
        <v>65</v>
      </c>
    </row>
    <row r="51" spans="2:13">
      <c r="B51" s="38" t="s">
        <v>37</v>
      </c>
      <c r="C51" s="274">
        <f t="shared" ref="C51:M51" si="23">IF(C$4="","",-C12)</f>
        <v>-1746</v>
      </c>
      <c r="D51" s="274">
        <f t="shared" si="23"/>
        <v>-2921</v>
      </c>
      <c r="E51" s="274">
        <f t="shared" si="23"/>
        <v>-1360</v>
      </c>
      <c r="F51" s="274">
        <f t="shared" si="23"/>
        <v>-1275</v>
      </c>
      <c r="G51" s="274">
        <f t="shared" si="23"/>
        <v>0</v>
      </c>
      <c r="H51" s="274">
        <f t="shared" si="23"/>
        <v>0</v>
      </c>
      <c r="I51" s="274">
        <f t="shared" si="23"/>
        <v>0</v>
      </c>
      <c r="J51" s="274">
        <f t="shared" si="23"/>
        <v>0</v>
      </c>
      <c r="K51" s="274">
        <f t="shared" si="23"/>
        <v>0</v>
      </c>
      <c r="L51" s="274">
        <f t="shared" si="23"/>
        <v>0</v>
      </c>
      <c r="M51" s="274" t="str">
        <f t="shared" si="23"/>
        <v/>
      </c>
    </row>
    <row r="52" spans="2:13">
      <c r="B52" s="38" t="s">
        <v>64</v>
      </c>
      <c r="C52" s="274">
        <f>IF(C$4="","",C13)</f>
        <v>186780</v>
      </c>
      <c r="D52" s="274">
        <f t="shared" ref="D52:M52" si="24">IF(D$4="","",D13)</f>
        <v>173638</v>
      </c>
      <c r="E52" s="274">
        <f t="shared" si="24"/>
        <v>107067</v>
      </c>
      <c r="F52" s="274">
        <f t="shared" si="24"/>
        <v>69578</v>
      </c>
      <c r="G52" s="274">
        <f t="shared" si="24"/>
        <v>0</v>
      </c>
      <c r="H52" s="274">
        <f t="shared" si="24"/>
        <v>0</v>
      </c>
      <c r="I52" s="274">
        <f t="shared" si="24"/>
        <v>0</v>
      </c>
      <c r="J52" s="274">
        <f t="shared" si="24"/>
        <v>0</v>
      </c>
      <c r="K52" s="274">
        <f t="shared" si="24"/>
        <v>0</v>
      </c>
      <c r="L52" s="274">
        <f t="shared" si="24"/>
        <v>0</v>
      </c>
      <c r="M52" s="274" t="str">
        <f t="shared" si="24"/>
        <v/>
      </c>
    </row>
    <row r="54" spans="2:13">
      <c r="B54" s="156" t="s">
        <v>139</v>
      </c>
    </row>
    <row r="55" spans="2:13">
      <c r="B55" s="38" t="s">
        <v>134</v>
      </c>
      <c r="C55" s="289">
        <f t="shared" ref="C55:M55" si="25">IF(C$4="","",C9)</f>
        <v>0</v>
      </c>
      <c r="D55" s="289">
        <f t="shared" si="25"/>
        <v>0</v>
      </c>
      <c r="E55" s="289">
        <f t="shared" si="25"/>
        <v>0</v>
      </c>
      <c r="F55" s="289">
        <f t="shared" si="25"/>
        <v>0</v>
      </c>
      <c r="G55" s="289">
        <f t="shared" si="25"/>
        <v>0</v>
      </c>
      <c r="H55" s="289">
        <f t="shared" si="25"/>
        <v>0</v>
      </c>
      <c r="I55" s="289">
        <f t="shared" si="25"/>
        <v>0</v>
      </c>
      <c r="J55" s="289">
        <f t="shared" si="25"/>
        <v>0</v>
      </c>
      <c r="K55" s="289">
        <f t="shared" si="25"/>
        <v>0</v>
      </c>
      <c r="L55" s="289">
        <f t="shared" si="25"/>
        <v>0</v>
      </c>
      <c r="M55" s="289" t="str">
        <f t="shared" si="25"/>
        <v/>
      </c>
    </row>
    <row r="56" spans="2:13">
      <c r="B56" s="38" t="s">
        <v>138</v>
      </c>
      <c r="C56" s="289">
        <f t="shared" ref="C56:M56" si="26">IF(C$4="","",C10)</f>
        <v>0</v>
      </c>
      <c r="D56" s="289">
        <f t="shared" si="26"/>
        <v>0</v>
      </c>
      <c r="E56" s="289">
        <f t="shared" si="26"/>
        <v>0</v>
      </c>
      <c r="F56" s="289">
        <f t="shared" si="26"/>
        <v>0</v>
      </c>
      <c r="G56" s="289">
        <f t="shared" si="26"/>
        <v>0</v>
      </c>
      <c r="H56" s="289">
        <f t="shared" si="26"/>
        <v>0</v>
      </c>
      <c r="I56" s="289">
        <f t="shared" si="26"/>
        <v>0</v>
      </c>
      <c r="J56" s="289">
        <f t="shared" si="26"/>
        <v>0</v>
      </c>
      <c r="K56" s="289">
        <f t="shared" si="26"/>
        <v>0</v>
      </c>
      <c r="L56" s="289">
        <f t="shared" si="26"/>
        <v>0</v>
      </c>
      <c r="M56" s="289" t="str">
        <f t="shared" si="26"/>
        <v/>
      </c>
    </row>
    <row r="57" spans="2:13">
      <c r="B57" s="38" t="s">
        <v>133</v>
      </c>
      <c r="C57" s="289">
        <f t="shared" ref="C57:M57" si="27">IF(C$4="","",C11)</f>
        <v>0</v>
      </c>
      <c r="D57" s="289">
        <f t="shared" si="27"/>
        <v>0</v>
      </c>
      <c r="E57" s="289">
        <f t="shared" si="27"/>
        <v>0</v>
      </c>
      <c r="F57" s="289">
        <f t="shared" si="27"/>
        <v>0</v>
      </c>
      <c r="G57" s="289">
        <f t="shared" si="27"/>
        <v>0</v>
      </c>
      <c r="H57" s="289">
        <f t="shared" si="27"/>
        <v>0</v>
      </c>
      <c r="I57" s="289">
        <f t="shared" si="27"/>
        <v>0</v>
      </c>
      <c r="J57" s="289">
        <f t="shared" si="27"/>
        <v>0</v>
      </c>
      <c r="K57" s="289">
        <f t="shared" si="27"/>
        <v>0</v>
      </c>
      <c r="L57" s="289">
        <f t="shared" si="27"/>
        <v>0</v>
      </c>
      <c r="M57" s="289" t="str">
        <f t="shared" si="27"/>
        <v/>
      </c>
    </row>
    <row r="58" spans="2:13">
      <c r="B58" s="38" t="s">
        <v>135</v>
      </c>
      <c r="C58" s="289">
        <f>IF(C$4="","",C44-C55-C56-C57)</f>
        <v>71540</v>
      </c>
      <c r="D58" s="289">
        <f t="shared" ref="D58:M58" si="28">IF(D$4="","",D44-D55-D56-D57)</f>
        <v>-1970</v>
      </c>
      <c r="E58" s="289">
        <f t="shared" si="28"/>
        <v>-213084</v>
      </c>
      <c r="F58" s="289">
        <f t="shared" si="28"/>
        <v>146926</v>
      </c>
      <c r="G58" s="289">
        <f t="shared" si="28"/>
        <v>241907</v>
      </c>
      <c r="H58" s="289">
        <f t="shared" si="28"/>
        <v>76414</v>
      </c>
      <c r="I58" s="289">
        <f t="shared" si="28"/>
        <v>153139</v>
      </c>
      <c r="J58" s="289">
        <f t="shared" si="28"/>
        <v>180886</v>
      </c>
      <c r="K58" s="289">
        <f t="shared" si="28"/>
        <v>-91620</v>
      </c>
      <c r="L58" s="289">
        <f t="shared" si="28"/>
        <v>-780473</v>
      </c>
      <c r="M58" s="289" t="str">
        <f t="shared" si="28"/>
        <v/>
      </c>
    </row>
    <row r="60" spans="2:13">
      <c r="B60" s="16" t="s">
        <v>48</v>
      </c>
      <c r="C60" s="9"/>
    </row>
    <row r="61" spans="2:13">
      <c r="B61" s="26" t="s">
        <v>44</v>
      </c>
      <c r="C61" s="274">
        <f>IF(C$4="","",-C19)</f>
        <v>0</v>
      </c>
      <c r="D61" s="274">
        <f t="shared" ref="D61:M61" si="29">IF(D$4="","",-D19)</f>
        <v>0</v>
      </c>
      <c r="E61" s="274">
        <f t="shared" si="29"/>
        <v>0</v>
      </c>
      <c r="F61" s="274">
        <f t="shared" si="29"/>
        <v>0</v>
      </c>
      <c r="G61" s="274">
        <f t="shared" si="29"/>
        <v>0</v>
      </c>
      <c r="H61" s="274">
        <f t="shared" si="29"/>
        <v>0</v>
      </c>
      <c r="I61" s="274">
        <f t="shared" si="29"/>
        <v>0</v>
      </c>
      <c r="J61" s="274">
        <f t="shared" si="29"/>
        <v>0</v>
      </c>
      <c r="K61" s="274">
        <f t="shared" si="29"/>
        <v>0</v>
      </c>
      <c r="L61" s="274">
        <f t="shared" si="29"/>
        <v>0</v>
      </c>
      <c r="M61" s="274" t="str">
        <f t="shared" si="29"/>
        <v/>
      </c>
    </row>
    <row r="62" spans="2:13">
      <c r="B62" s="26" t="s">
        <v>50</v>
      </c>
      <c r="C62" s="274">
        <f>IF(C$4="","",IF(C20=0,C61,-C20))</f>
        <v>0</v>
      </c>
      <c r="D62" s="274">
        <f t="shared" ref="D62:M62" si="30">IF(D$4="","",IF(D20=0,D61,-D20))</f>
        <v>0</v>
      </c>
      <c r="E62" s="274">
        <f t="shared" si="30"/>
        <v>0</v>
      </c>
      <c r="F62" s="274">
        <f t="shared" si="30"/>
        <v>0</v>
      </c>
      <c r="G62" s="274">
        <f t="shared" si="30"/>
        <v>0</v>
      </c>
      <c r="H62" s="274">
        <f t="shared" si="30"/>
        <v>0</v>
      </c>
      <c r="I62" s="274">
        <f t="shared" si="30"/>
        <v>0</v>
      </c>
      <c r="J62" s="274">
        <f t="shared" si="30"/>
        <v>0</v>
      </c>
      <c r="K62" s="274">
        <f t="shared" si="30"/>
        <v>0</v>
      </c>
      <c r="L62" s="274">
        <f t="shared" si="30"/>
        <v>0</v>
      </c>
      <c r="M62" s="274" t="str">
        <f t="shared" si="30"/>
        <v/>
      </c>
    </row>
    <row r="63" spans="2:13">
      <c r="B63" s="26" t="s">
        <v>49</v>
      </c>
      <c r="C63" s="274">
        <f>IF(C$4="","",-C21)</f>
        <v>0</v>
      </c>
      <c r="D63" s="274">
        <f t="shared" ref="D63:M63" si="31">IF(D$4="","",-D21)</f>
        <v>0</v>
      </c>
      <c r="E63" s="274">
        <f t="shared" si="31"/>
        <v>0</v>
      </c>
      <c r="F63" s="274">
        <f t="shared" si="31"/>
        <v>0</v>
      </c>
      <c r="G63" s="274">
        <f t="shared" si="31"/>
        <v>0</v>
      </c>
      <c r="H63" s="274">
        <f t="shared" si="31"/>
        <v>0</v>
      </c>
      <c r="I63" s="274">
        <f t="shared" si="31"/>
        <v>0</v>
      </c>
      <c r="J63" s="274">
        <f t="shared" si="31"/>
        <v>0</v>
      </c>
      <c r="K63" s="274">
        <f t="shared" si="31"/>
        <v>0</v>
      </c>
      <c r="L63" s="274">
        <f t="shared" si="31"/>
        <v>0</v>
      </c>
      <c r="M63" s="274" t="str">
        <f t="shared" si="31"/>
        <v/>
      </c>
    </row>
    <row r="64" spans="2:13">
      <c r="B64" s="26" t="s">
        <v>305</v>
      </c>
      <c r="C64" s="274">
        <f>IF(C$4="","",C22+C23+C24)</f>
        <v>1215784</v>
      </c>
      <c r="D64" s="274">
        <f t="shared" ref="D64:M64" si="32">IF(D$4="","",D22+D23+D24)</f>
        <v>2960092</v>
      </c>
      <c r="E64" s="274">
        <f t="shared" si="32"/>
        <v>-122549</v>
      </c>
      <c r="F64" s="274">
        <f t="shared" si="32"/>
        <v>995174</v>
      </c>
      <c r="G64" s="274">
        <f t="shared" si="32"/>
        <v>-427493</v>
      </c>
      <c r="H64" s="274">
        <f t="shared" si="32"/>
        <v>301134</v>
      </c>
      <c r="I64" s="274">
        <f t="shared" si="32"/>
        <v>188193</v>
      </c>
      <c r="J64" s="274">
        <f t="shared" si="32"/>
        <v>1484584</v>
      </c>
      <c r="K64" s="274">
        <f t="shared" si="32"/>
        <v>-461179</v>
      </c>
      <c r="L64" s="274">
        <f t="shared" si="32"/>
        <v>382664</v>
      </c>
      <c r="M64" s="274" t="str">
        <f t="shared" si="32"/>
        <v/>
      </c>
    </row>
    <row r="65" spans="2:13">
      <c r="B65" s="23" t="s">
        <v>34</v>
      </c>
      <c r="C65" s="70">
        <f>IF(C$4="","",C25)</f>
        <v>0.3</v>
      </c>
      <c r="D65" s="70">
        <f t="shared" ref="D65:M65" si="33">IF(D$4="","",D25)</f>
        <v>0.28000000000000003</v>
      </c>
      <c r="E65" s="70">
        <f t="shared" si="33"/>
        <v>0.43000000000000005</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-0.1415817980712496</v>
      </c>
      <c r="D68" s="89">
        <f t="shared" si="34"/>
        <v>-0.28286433169533853</v>
      </c>
      <c r="E68" s="89">
        <f t="shared" si="34"/>
        <v>0.16095679679720432</v>
      </c>
      <c r="F68" s="89">
        <f t="shared" si="34"/>
        <v>0.77030391415856747</v>
      </c>
      <c r="G68" s="89">
        <f t="shared" si="34"/>
        <v>3.2988586072755233E-2</v>
      </c>
      <c r="H68" s="89">
        <f t="shared" si="34"/>
        <v>4.9680753170765479E-2</v>
      </c>
      <c r="I68" s="89">
        <f t="shared" si="34"/>
        <v>6.1710487735611608E-2</v>
      </c>
      <c r="J68" s="89">
        <f t="shared" si="34"/>
        <v>0.91831083190368457</v>
      </c>
      <c r="K68" s="89">
        <f t="shared" si="34"/>
        <v>-9.3529644215324947E-2</v>
      </c>
      <c r="L68" s="89" t="str">
        <f t="shared" si="34"/>
        <v/>
      </c>
      <c r="M68" s="89" t="str">
        <f t="shared" si="34"/>
        <v/>
      </c>
    </row>
    <row r="69" spans="2:13">
      <c r="B69" s="30" t="s">
        <v>55</v>
      </c>
      <c r="C69" s="89">
        <f>IF(D$36="","",C38/D38-1)</f>
        <v>-0.25323338415038765</v>
      </c>
      <c r="D69" s="89">
        <f t="shared" ref="D69:M69" si="35">IF(E$36="","",D38/E38-1)</f>
        <v>-0.34474592946074878</v>
      </c>
      <c r="E69" s="89">
        <f t="shared" si="35"/>
        <v>0.20366479208223587</v>
      </c>
      <c r="F69" s="89">
        <f t="shared" si="35"/>
        <v>1.3510365625636966</v>
      </c>
      <c r="G69" s="89">
        <f t="shared" si="35"/>
        <v>-6.0106308356585036E-2</v>
      </c>
      <c r="H69" s="89">
        <f t="shared" si="35"/>
        <v>4.6408340357645406E-2</v>
      </c>
      <c r="I69" s="89">
        <f t="shared" si="35"/>
        <v>1.3404045208392334E-2</v>
      </c>
      <c r="J69" s="89">
        <f t="shared" si="35"/>
        <v>2.0894088227687329</v>
      </c>
      <c r="K69" s="89">
        <f t="shared" si="35"/>
        <v>0.24346153531016745</v>
      </c>
      <c r="L69" s="89" t="str">
        <f t="shared" si="35"/>
        <v/>
      </c>
      <c r="M69" s="89" t="str">
        <f t="shared" si="35"/>
        <v/>
      </c>
    </row>
    <row r="70" spans="2:13">
      <c r="B70" s="77" t="str">
        <f>B43</f>
        <v>Operating EBIT</v>
      </c>
      <c r="C70" s="98">
        <f>IF(D$36="","",C43/D43-1)</f>
        <v>-0.25600114092001425</v>
      </c>
      <c r="D70" s="98">
        <f t="shared" ref="D70:M70" si="36">IF(E$36="","",D43/E43-1)</f>
        <v>-0.35558926492678422</v>
      </c>
      <c r="E70" s="98">
        <f t="shared" si="36"/>
        <v>0.20841322157914499</v>
      </c>
      <c r="F70" s="98">
        <f t="shared" si="36"/>
        <v>1.8575983051082399</v>
      </c>
      <c r="G70" s="98">
        <f t="shared" si="36"/>
        <v>-0.11930986937171073</v>
      </c>
      <c r="H70" s="98">
        <f t="shared" si="36"/>
        <v>4.6974579064557931E-2</v>
      </c>
      <c r="I70" s="98">
        <f t="shared" si="36"/>
        <v>1.3525306599978748E-2</v>
      </c>
      <c r="J70" s="98">
        <f t="shared" si="36"/>
        <v>5.2182333090267772</v>
      </c>
      <c r="K70" s="98">
        <f t="shared" si="36"/>
        <v>-5.2530066172625807</v>
      </c>
      <c r="L70" s="98" t="str">
        <f t="shared" si="36"/>
        <v/>
      </c>
      <c r="M70" s="98" t="str">
        <f t="shared" si="36"/>
        <v/>
      </c>
    </row>
    <row r="71" spans="2:13">
      <c r="B71" s="41" t="s">
        <v>139</v>
      </c>
      <c r="C71" s="98">
        <f>IF(D$36="","",C44/D44-1)</f>
        <v>-37.314720812182742</v>
      </c>
      <c r="D71" s="98">
        <f t="shared" ref="D71:M71" si="37">IF(E$36="","",D44/E44-1)</f>
        <v>-0.99075481969551915</v>
      </c>
      <c r="E71" s="98">
        <f t="shared" si="37"/>
        <v>-2.4502810938839961</v>
      </c>
      <c r="F71" s="98">
        <f t="shared" si="37"/>
        <v>-0.39263435948525671</v>
      </c>
      <c r="G71" s="98">
        <f t="shared" si="37"/>
        <v>2.1657418797602532</v>
      </c>
      <c r="H71" s="98">
        <f t="shared" si="37"/>
        <v>-0.50101541736592248</v>
      </c>
      <c r="I71" s="98">
        <f t="shared" si="37"/>
        <v>-0.1533949559390998</v>
      </c>
      <c r="J71" s="98">
        <f t="shared" si="37"/>
        <v>-2.9743069198864878</v>
      </c>
      <c r="K71" s="98">
        <f t="shared" si="37"/>
        <v>-0.88260964825176524</v>
      </c>
      <c r="L71" s="98" t="str">
        <f t="shared" si="37"/>
        <v/>
      </c>
      <c r="M71" s="98" t="str">
        <f t="shared" si="37"/>
        <v/>
      </c>
    </row>
    <row r="72" spans="2:13">
      <c r="B72" s="77" t="str">
        <f>B47</f>
        <v>Reported Net Income</v>
      </c>
      <c r="C72" s="98">
        <f>IF(D$36="","",C47/D47-1)</f>
        <v>-0.21120212713249986</v>
      </c>
      <c r="D72" s="98">
        <f t="shared" ref="D72:M72" si="38">IF(E$36="","",D47/E47-1)</f>
        <v>-0.30446487543661038</v>
      </c>
      <c r="E72" s="98">
        <f t="shared" si="38"/>
        <v>8.0802893070542003E-2</v>
      </c>
      <c r="F72" s="98">
        <f t="shared" si="38"/>
        <v>1.5780129926900326</v>
      </c>
      <c r="G72" s="98">
        <f t="shared" si="38"/>
        <v>9.4733539601119521E-3</v>
      </c>
      <c r="H72" s="98">
        <f t="shared" si="38"/>
        <v>2.1019542888097265E-2</v>
      </c>
      <c r="I72" s="98">
        <f t="shared" si="38"/>
        <v>-2.5922894272203956E-2</v>
      </c>
      <c r="J72" s="98">
        <f t="shared" si="38"/>
        <v>16.479366205510228</v>
      </c>
      <c r="K72" s="98">
        <f t="shared" si="38"/>
        <v>-1.0950925893390491</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22948823</v>
      </c>
      <c r="D76" s="289">
        <f t="shared" ref="D76:M76" si="39">IF(D$4="","",D79+D80)</f>
        <v>22491544</v>
      </c>
      <c r="E76" s="289">
        <f t="shared" si="39"/>
        <v>23463484</v>
      </c>
      <c r="F76" s="289">
        <f t="shared" si="39"/>
        <v>24779977</v>
      </c>
      <c r="G76" s="289">
        <f t="shared" si="39"/>
        <v>21433646</v>
      </c>
      <c r="H76" s="289">
        <f t="shared" si="39"/>
        <v>21472710</v>
      </c>
      <c r="I76" s="289">
        <f t="shared" si="39"/>
        <v>21251042</v>
      </c>
      <c r="J76" s="289">
        <f t="shared" si="39"/>
        <v>21694645</v>
      </c>
      <c r="K76" s="289">
        <f t="shared" si="39"/>
        <v>19104456</v>
      </c>
      <c r="L76" s="289">
        <f t="shared" si="39"/>
        <v>20727669</v>
      </c>
      <c r="M76" s="289" t="str">
        <f t="shared" si="39"/>
        <v/>
      </c>
    </row>
    <row r="77" spans="2:13">
      <c r="B77" s="90" t="s">
        <v>82</v>
      </c>
      <c r="C77" s="263">
        <f t="shared" ref="C77:H78" si="40">IF(C$4="","",C28)</f>
        <v>537904</v>
      </c>
      <c r="D77" s="286">
        <f t="shared" si="40"/>
        <v>687833</v>
      </c>
      <c r="E77" s="286">
        <f t="shared" si="40"/>
        <v>2889765</v>
      </c>
      <c r="F77" s="286">
        <f t="shared" si="40"/>
        <v>3144251</v>
      </c>
      <c r="G77" s="286">
        <f t="shared" si="40"/>
        <v>2049144</v>
      </c>
      <c r="H77" s="286">
        <f t="shared" si="40"/>
        <v>1797319</v>
      </c>
      <c r="I77" s="295"/>
      <c r="J77" s="295"/>
      <c r="K77" s="295"/>
      <c r="L77" s="295"/>
      <c r="M77" s="295"/>
    </row>
    <row r="78" spans="2:13">
      <c r="B78" s="90" t="s">
        <v>83</v>
      </c>
      <c r="C78" s="263">
        <f t="shared" si="40"/>
        <v>137638</v>
      </c>
      <c r="D78" s="286">
        <f t="shared" si="40"/>
        <v>125636</v>
      </c>
      <c r="E78" s="286">
        <f t="shared" si="40"/>
        <v>42046</v>
      </c>
      <c r="F78" s="286">
        <f t="shared" si="40"/>
        <v>142658</v>
      </c>
      <c r="G78" s="286">
        <f t="shared" si="40"/>
        <v>131170</v>
      </c>
      <c r="H78" s="286">
        <f t="shared" si="40"/>
        <v>123530</v>
      </c>
      <c r="I78" s="295"/>
      <c r="J78" s="295"/>
      <c r="K78" s="295"/>
      <c r="L78" s="295"/>
      <c r="M78" s="295"/>
    </row>
    <row r="79" spans="2:13">
      <c r="B79" s="25" t="s">
        <v>38</v>
      </c>
      <c r="C79" s="262">
        <f t="shared" ref="C79:M79" si="41">IF(C$4="","",C30)</f>
        <v>4047566</v>
      </c>
      <c r="D79" s="274">
        <f t="shared" si="41"/>
        <v>4021026</v>
      </c>
      <c r="E79" s="274">
        <f t="shared" si="41"/>
        <v>4786265</v>
      </c>
      <c r="F79" s="274">
        <f t="shared" si="41"/>
        <v>5631759</v>
      </c>
      <c r="G79" s="274">
        <f t="shared" si="41"/>
        <v>4142576</v>
      </c>
      <c r="H79" s="274">
        <f t="shared" si="41"/>
        <v>4426398</v>
      </c>
      <c r="I79" s="274">
        <f t="shared" si="41"/>
        <v>4475236</v>
      </c>
      <c r="J79" s="274">
        <f t="shared" si="41"/>
        <v>4318962</v>
      </c>
      <c r="K79" s="274">
        <f t="shared" si="41"/>
        <v>3438763</v>
      </c>
      <c r="L79" s="274">
        <f t="shared" si="41"/>
        <v>3683389</v>
      </c>
      <c r="M79" s="274" t="str">
        <f t="shared" si="41"/>
        <v/>
      </c>
    </row>
    <row r="80" spans="2:13">
      <c r="B80" s="25" t="s">
        <v>28</v>
      </c>
      <c r="C80" s="262">
        <f t="shared" ref="C80:M80" si="42">IF(C$4="","",C31)</f>
        <v>18901257</v>
      </c>
      <c r="D80" s="274">
        <f t="shared" si="42"/>
        <v>18470518</v>
      </c>
      <c r="E80" s="274">
        <f t="shared" si="42"/>
        <v>18677219</v>
      </c>
      <c r="F80" s="274">
        <f t="shared" si="42"/>
        <v>19148218</v>
      </c>
      <c r="G80" s="274">
        <f t="shared" si="42"/>
        <v>17291070</v>
      </c>
      <c r="H80" s="274">
        <f t="shared" si="42"/>
        <v>17046312</v>
      </c>
      <c r="I80" s="274">
        <f t="shared" si="42"/>
        <v>16775806</v>
      </c>
      <c r="J80" s="274">
        <f t="shared" si="42"/>
        <v>17375683</v>
      </c>
      <c r="K80" s="274">
        <f t="shared" si="42"/>
        <v>15665693</v>
      </c>
      <c r="L80" s="274">
        <f t="shared" si="42"/>
        <v>17044280</v>
      </c>
      <c r="M80" s="274"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F61" sqref="F61"/>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519815+18089</f>
        <v>537904</v>
      </c>
      <c r="D4" s="231">
        <v>0.6</v>
      </c>
      <c r="E4" s="24"/>
      <c r="F4" s="4" t="s">
        <v>74</v>
      </c>
      <c r="G4" s="18">
        <f>1505443+7675879</f>
        <v>9181322</v>
      </c>
      <c r="H4" s="231">
        <v>0.9</v>
      </c>
    </row>
    <row r="5" spans="2:8" ht="15" customHeight="1">
      <c r="B5" s="1" t="s">
        <v>31</v>
      </c>
      <c r="C5" s="18">
        <v>0</v>
      </c>
      <c r="D5" s="231">
        <v>0.6</v>
      </c>
      <c r="E5" s="24"/>
      <c r="F5" s="1" t="s">
        <v>27</v>
      </c>
      <c r="G5" s="18">
        <v>937107</v>
      </c>
      <c r="H5" s="231">
        <v>0.7</v>
      </c>
    </row>
    <row r="6" spans="2:8" ht="15" customHeight="1">
      <c r="B6" s="4" t="s">
        <v>8</v>
      </c>
      <c r="C6" s="18">
        <v>137638</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207695</v>
      </c>
      <c r="D9" s="231">
        <v>0.1</v>
      </c>
      <c r="E9" s="24"/>
      <c r="F9" s="4" t="s">
        <v>150</v>
      </c>
      <c r="G9" s="18">
        <v>0</v>
      </c>
      <c r="H9" s="231">
        <v>0.6</v>
      </c>
    </row>
    <row r="10" spans="2:8" ht="15" customHeight="1">
      <c r="B10" s="4" t="s">
        <v>9</v>
      </c>
      <c r="C10" s="18">
        <v>0</v>
      </c>
      <c r="D10" s="231">
        <v>0.9</v>
      </c>
      <c r="F10" s="1" t="s">
        <v>404</v>
      </c>
      <c r="G10" s="18">
        <v>0</v>
      </c>
      <c r="H10" s="231">
        <v>0.6</v>
      </c>
    </row>
    <row r="11" spans="2:8" ht="15" customHeight="1">
      <c r="B11" s="4" t="s">
        <v>10</v>
      </c>
      <c r="C11" s="18">
        <v>0</v>
      </c>
      <c r="D11" s="231">
        <v>0.05</v>
      </c>
      <c r="H11" s="232"/>
    </row>
    <row r="12" spans="2:8" ht="15" customHeight="1">
      <c r="B12" s="77" t="s">
        <v>69</v>
      </c>
      <c r="C12" s="78">
        <f>SUM(C4:C11)</f>
        <v>883237</v>
      </c>
      <c r="D12" s="19">
        <f>C4*D4+C5*D5+C9*D9+C6*D6+C8*D8+C7*D7+C10*D10+C11*D11</f>
        <v>412330.89999999997</v>
      </c>
      <c r="F12" s="77" t="s">
        <v>67</v>
      </c>
      <c r="G12" s="78">
        <f>SUM(G4:G10)</f>
        <v>10118429</v>
      </c>
      <c r="H12" s="19">
        <f>G4*H4+G5*H5+G6*H6+G7*H7+G8*H8+G9*H9+G10*H10</f>
        <v>8919164.6999999993</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453310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f>439187</f>
        <v>439187</v>
      </c>
      <c r="H17" s="231">
        <v>0.6</v>
      </c>
    </row>
    <row r="18" spans="2:8" ht="15" customHeight="1">
      <c r="B18" s="4" t="s">
        <v>144</v>
      </c>
      <c r="C18" s="18">
        <v>0</v>
      </c>
      <c r="D18" s="231">
        <v>0.6</v>
      </c>
      <c r="F18" s="4" t="s">
        <v>151</v>
      </c>
      <c r="G18" s="18">
        <v>0</v>
      </c>
      <c r="H18" s="231">
        <v>0.1</v>
      </c>
    </row>
    <row r="19" spans="2:8" ht="15" customHeight="1">
      <c r="B19" s="4" t="s">
        <v>24</v>
      </c>
      <c r="C19" s="18">
        <f>3715248+73168+31796</f>
        <v>3820212</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5970133</v>
      </c>
      <c r="D21" s="231">
        <v>0.05</v>
      </c>
      <c r="F21" s="1" t="s">
        <v>150</v>
      </c>
      <c r="G21" s="18">
        <v>0</v>
      </c>
      <c r="H21" s="231">
        <v>0.1</v>
      </c>
    </row>
    <row r="22" spans="2:8" ht="15" customHeight="1">
      <c r="B22" s="4" t="s">
        <v>18</v>
      </c>
      <c r="C22" s="18">
        <v>84764</v>
      </c>
      <c r="D22" s="231">
        <v>0.9</v>
      </c>
      <c r="H22" s="232"/>
    </row>
    <row r="23" spans="2:8" ht="15" customHeight="1">
      <c r="B23" s="4" t="s">
        <v>19</v>
      </c>
      <c r="C23" s="18">
        <f>1179551</f>
        <v>1179551</v>
      </c>
      <c r="D23" s="231">
        <v>0</v>
      </c>
      <c r="H23" s="232"/>
    </row>
    <row r="24" spans="2:8" ht="15" customHeight="1">
      <c r="B24" s="77" t="s">
        <v>70</v>
      </c>
      <c r="C24" s="78">
        <f>SUM(C15:C23)</f>
        <v>11507970</v>
      </c>
      <c r="D24" s="19">
        <f>C15*D15+C16*D16+C18*D18+C17*D17+C19*D19+C20*D20+C21*D21+C22*D22+C23*D23</f>
        <v>938139.45</v>
      </c>
      <c r="F24" s="77" t="s">
        <v>68</v>
      </c>
      <c r="G24" s="78">
        <f>SUM(G15:G21)</f>
        <v>439187</v>
      </c>
      <c r="H24" s="19">
        <f>G15*H15+G16*H16+G17*H17+G18*H18+G19*H19+G20*H20+G21*H21</f>
        <v>263512.2</v>
      </c>
    </row>
    <row r="26" spans="2:8" ht="15" customHeight="1">
      <c r="B26" s="16" t="s">
        <v>169</v>
      </c>
      <c r="C26" s="164" t="s">
        <v>113</v>
      </c>
      <c r="F26" s="166" t="s">
        <v>165</v>
      </c>
      <c r="G26" s="167" t="s">
        <v>113</v>
      </c>
      <c r="H26" s="168" t="s">
        <v>33</v>
      </c>
    </row>
    <row r="27" spans="2:8" ht="15" customHeight="1">
      <c r="B27" s="4" t="s">
        <v>3</v>
      </c>
      <c r="C27" s="18">
        <v>0</v>
      </c>
      <c r="F27" s="169" t="s">
        <v>28</v>
      </c>
      <c r="G27" s="82">
        <f>G32-G30</f>
        <v>18901257</v>
      </c>
      <c r="H27" s="170">
        <f>H32-G30</f>
        <v>6485581.2499999981</v>
      </c>
    </row>
    <row r="28" spans="2:8" ht="15" customHeight="1">
      <c r="B28" s="4" t="s">
        <v>4</v>
      </c>
      <c r="C28" s="18">
        <v>12125</v>
      </c>
      <c r="F28" s="171" t="s">
        <v>209</v>
      </c>
      <c r="G28" s="291">
        <v>2421183</v>
      </c>
      <c r="H28" s="170"/>
    </row>
    <row r="29" spans="2:8" ht="15" customHeight="1">
      <c r="B29" s="4" t="s">
        <v>5</v>
      </c>
      <c r="C29" s="18">
        <v>0</v>
      </c>
      <c r="F29" s="172" t="s">
        <v>72</v>
      </c>
      <c r="G29" s="14">
        <f>G27-G28</f>
        <v>16480074</v>
      </c>
      <c r="H29" s="170">
        <f>H27-G28</f>
        <v>4064398.2499999981</v>
      </c>
    </row>
    <row r="30" spans="2:8" ht="15" customHeight="1">
      <c r="B30" s="2" t="s">
        <v>6</v>
      </c>
      <c r="C30" s="18">
        <v>0</v>
      </c>
      <c r="F30" s="169" t="s">
        <v>21</v>
      </c>
      <c r="G30" s="82">
        <f>C33+C42</f>
        <v>4047566</v>
      </c>
      <c r="H30" s="170"/>
    </row>
    <row r="31" spans="2:8" ht="15" customHeight="1">
      <c r="B31" s="77" t="s">
        <v>172</v>
      </c>
      <c r="C31" s="78">
        <f>SUM(C27:C30)</f>
        <v>12125</v>
      </c>
      <c r="F31" s="172" t="s">
        <v>73</v>
      </c>
      <c r="G31" s="173">
        <f>C31+C40</f>
        <v>43677</v>
      </c>
      <c r="H31" s="170"/>
    </row>
    <row r="32" spans="2:8" ht="15" customHeight="1">
      <c r="B32" s="4" t="s">
        <v>7</v>
      </c>
      <c r="C32" s="20">
        <f>C33-C31</f>
        <v>2578910</v>
      </c>
      <c r="F32" s="174" t="s">
        <v>71</v>
      </c>
      <c r="G32" s="175">
        <f>G35+G40</f>
        <v>22948823</v>
      </c>
      <c r="H32" s="170">
        <f>H35+H40</f>
        <v>10533147.249999998</v>
      </c>
    </row>
    <row r="33" spans="2:8" ht="15" customHeight="1">
      <c r="B33" s="80" t="s">
        <v>2</v>
      </c>
      <c r="C33" s="81">
        <v>2591035</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12391207</v>
      </c>
      <c r="H35" s="182">
        <f>D12+D24</f>
        <v>1350470.3499999999</v>
      </c>
    </row>
    <row r="36" spans="2:8" ht="15" customHeight="1">
      <c r="B36" s="4" t="s">
        <v>11</v>
      </c>
      <c r="C36" s="18">
        <v>0</v>
      </c>
      <c r="F36" s="172" t="s">
        <v>166</v>
      </c>
      <c r="G36" s="173">
        <f>C4+C15</f>
        <v>991214</v>
      </c>
      <c r="H36" s="177"/>
    </row>
    <row r="37" spans="2:8" ht="15" customHeight="1">
      <c r="B37" s="4" t="s">
        <v>12</v>
      </c>
      <c r="C37" s="18">
        <v>31552</v>
      </c>
      <c r="F37" s="172" t="s">
        <v>167</v>
      </c>
      <c r="G37" s="173">
        <f>C6</f>
        <v>137638</v>
      </c>
      <c r="H37" s="177"/>
    </row>
    <row r="38" spans="2:8" ht="15" customHeight="1">
      <c r="B38" s="4" t="s">
        <v>13</v>
      </c>
      <c r="C38" s="18">
        <v>0</v>
      </c>
      <c r="F38" s="172" t="s">
        <v>168</v>
      </c>
      <c r="G38" s="173">
        <f>C7+C17</f>
        <v>0</v>
      </c>
      <c r="H38" s="177"/>
    </row>
    <row r="39" spans="2:8" ht="15" customHeight="1">
      <c r="B39" s="2" t="s">
        <v>14</v>
      </c>
      <c r="C39" s="18">
        <v>0</v>
      </c>
      <c r="F39" s="172" t="s">
        <v>76</v>
      </c>
      <c r="G39" s="173">
        <f>C7+C17+C19+C20</f>
        <v>3820212</v>
      </c>
      <c r="H39" s="170">
        <f>C7*D7+C17*D17+C19*D19+C20*D20</f>
        <v>382021.2</v>
      </c>
    </row>
    <row r="40" spans="2:8" ht="15" customHeight="1">
      <c r="B40" s="77" t="s">
        <v>173</v>
      </c>
      <c r="C40" s="78">
        <f>SUM(C36:C39)</f>
        <v>31552</v>
      </c>
      <c r="F40" s="181" t="s">
        <v>115</v>
      </c>
      <c r="G40" s="175">
        <f>G12+G24</f>
        <v>10557616</v>
      </c>
      <c r="H40" s="182">
        <f>H12+H24</f>
        <v>9182676.8999999985</v>
      </c>
    </row>
    <row r="41" spans="2:8" ht="15" customHeight="1">
      <c r="B41" s="4" t="s">
        <v>15</v>
      </c>
      <c r="C41" s="20">
        <f>C42-C40</f>
        <v>1424979</v>
      </c>
      <c r="F41" s="172" t="s">
        <v>160</v>
      </c>
      <c r="G41" s="173">
        <f>C70</f>
        <v>10118429</v>
      </c>
      <c r="H41" s="182">
        <f>H40-H42</f>
        <v>8919164.6999999993</v>
      </c>
    </row>
    <row r="42" spans="2:8" ht="15" customHeight="1">
      <c r="B42" s="80" t="s">
        <v>20</v>
      </c>
      <c r="C42" s="81">
        <v>1456531</v>
      </c>
      <c r="F42" s="183" t="s">
        <v>161</v>
      </c>
      <c r="G42" s="184">
        <f>C82</f>
        <v>439187</v>
      </c>
      <c r="H42" s="185">
        <f>D82</f>
        <v>263512.2</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16480074</v>
      </c>
      <c r="D46" s="73">
        <f>H29</f>
        <v>4064398.2499999981</v>
      </c>
      <c r="F46" s="223"/>
    </row>
    <row r="47" spans="2:8" ht="15" customHeight="1">
      <c r="B47" s="1" t="str">
        <f>"Equity per share ("&amp;Market_currency&amp;")"</f>
        <v>Equity per share (HKD)</v>
      </c>
      <c r="C47" s="134">
        <f>C46*H1/Common_Shares*Exchange_Rate</f>
        <v>3.2370577683579995</v>
      </c>
      <c r="D47" s="134">
        <f>D46*H1/Common_Shares*Exchange_Rate</f>
        <v>0.79833937207218564</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2.2976895736939666E-2</v>
      </c>
      <c r="D50" s="92">
        <f>G31/Normalized_FCF!G8</f>
        <v>1.9246709260867668E-2</v>
      </c>
      <c r="F50" s="223"/>
    </row>
    <row r="51" spans="2:8" ht="15" customHeight="1">
      <c r="B51" s="1" t="s">
        <v>146</v>
      </c>
      <c r="C51" s="163"/>
      <c r="D51" s="89">
        <f>G29/G32</f>
        <v>0.71812284229130185</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0.15340793892678486</v>
      </c>
      <c r="D54" s="89">
        <f>Normalized_FCF!G8/G35</f>
        <v>0.18313978614028481</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0.16646657652115754</v>
      </c>
      <c r="F59" s="223"/>
    </row>
    <row r="60" spans="2:8" ht="15" customHeight="1">
      <c r="F60" s="223"/>
    </row>
    <row r="61" spans="2:8" ht="15" customHeight="1">
      <c r="B61" s="143" t="s">
        <v>231</v>
      </c>
      <c r="C61" s="210" t="s">
        <v>114</v>
      </c>
      <c r="D61" s="179" t="s">
        <v>91</v>
      </c>
      <c r="F61" s="223"/>
    </row>
    <row r="62" spans="2:8" ht="15" customHeight="1">
      <c r="B62" s="1" t="s">
        <v>210</v>
      </c>
      <c r="C62" s="89">
        <f>IF(G28&lt;=0,0,G28/G29)</f>
        <v>0.14691578448009396</v>
      </c>
      <c r="D62" s="89">
        <f>G28/G29</f>
        <v>0.14691578448009396</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10118429</v>
      </c>
      <c r="D66" s="73">
        <f>C66-D75</f>
        <v>8029573.8978425749</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10118429</v>
      </c>
      <c r="F70" s="223"/>
    </row>
    <row r="71" spans="2:6" ht="15" customHeight="1">
      <c r="F71" s="223"/>
    </row>
    <row r="72" spans="2:6" ht="15" customHeight="1">
      <c r="B72" s="225" t="s">
        <v>256</v>
      </c>
      <c r="C72" s="209" t="s">
        <v>91</v>
      </c>
      <c r="D72" s="164" t="s">
        <v>54</v>
      </c>
      <c r="F72" s="223"/>
    </row>
    <row r="73" spans="2:6" ht="15" customHeight="1">
      <c r="B73" s="102" t="s">
        <v>255</v>
      </c>
      <c r="C73" s="289">
        <f>(Normalized_FCF!G26+Normalized_FCF!G35-Normalized_FCF!G89)/12</f>
        <v>-359583.06091666664</v>
      </c>
      <c r="D73" s="289">
        <f>(Normalized_FCF!C26+Normalized_FCF!C35-Normalized_FCF!C89)/12</f>
        <v>-348142.51702623762</v>
      </c>
      <c r="F73" s="1" t="s">
        <v>278</v>
      </c>
    </row>
    <row r="74" spans="2:6" ht="15" customHeight="1">
      <c r="B74" s="227" t="s">
        <v>259</v>
      </c>
      <c r="C74" s="228">
        <f>-$C$66/C73</f>
        <v>28.139337192930078</v>
      </c>
      <c r="D74" s="228">
        <f>-$C$66/D73</f>
        <v>29.064042755908002</v>
      </c>
      <c r="F74" s="223" t="s">
        <v>257</v>
      </c>
    </row>
    <row r="75" spans="2:6" ht="15" customHeight="1">
      <c r="B75" s="77" t="s">
        <v>258</v>
      </c>
      <c r="C75" s="264"/>
      <c r="D75" s="265">
        <f>MAX(-D73*D76,G5)</f>
        <v>2088855.1021574256</v>
      </c>
      <c r="F75" s="223" t="s">
        <v>279</v>
      </c>
    </row>
    <row r="76" spans="2:6" ht="15" customHeight="1">
      <c r="B76" s="229" t="s">
        <v>260</v>
      </c>
      <c r="C76" s="230"/>
      <c r="D76" s="251">
        <f>IF(D74&lt;=3,1,IF(D74&gt;18,6,2))</f>
        <v>6</v>
      </c>
      <c r="F76" s="223" t="s">
        <v>261</v>
      </c>
    </row>
    <row r="77" spans="2:6" ht="15" customHeight="1">
      <c r="F77" s="223"/>
    </row>
    <row r="78" spans="2:6" ht="15" customHeight="1">
      <c r="B78" s="16" t="s">
        <v>159</v>
      </c>
      <c r="C78" s="209" t="s">
        <v>113</v>
      </c>
      <c r="D78" s="165" t="s">
        <v>33</v>
      </c>
      <c r="F78" s="223"/>
    </row>
    <row r="79" spans="2:6" ht="15" customHeight="1">
      <c r="B79" s="102" t="s">
        <v>148</v>
      </c>
      <c r="C79" s="19">
        <f>G7+G17</f>
        <v>439187</v>
      </c>
      <c r="D79" s="73">
        <f>G7*H7+G17*H17</f>
        <v>263512.2</v>
      </c>
      <c r="F79" s="223"/>
    </row>
    <row r="80" spans="2:6" ht="15" customHeight="1">
      <c r="B80" s="102" t="s">
        <v>152</v>
      </c>
      <c r="C80" s="19">
        <f>G19</f>
        <v>0</v>
      </c>
      <c r="D80" s="73">
        <f>G19*H19</f>
        <v>0</v>
      </c>
      <c r="F80" s="223"/>
    </row>
    <row r="81" spans="2:8" ht="15" customHeight="1">
      <c r="B81" s="102" t="s">
        <v>150</v>
      </c>
      <c r="C81" s="19">
        <f>G9+G21</f>
        <v>0</v>
      </c>
      <c r="D81" s="73">
        <f>G9*H9+G21*H21</f>
        <v>0</v>
      </c>
      <c r="F81" s="223"/>
    </row>
    <row r="82" spans="2:8" ht="15" customHeight="1">
      <c r="B82" s="77" t="s">
        <v>159</v>
      </c>
      <c r="C82" s="78">
        <f>SUM(C79:C81)</f>
        <v>439187</v>
      </c>
      <c r="D82" s="78">
        <f>SUM(D79:D81)</f>
        <v>263512.2</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43677</v>
      </c>
      <c r="D86" s="201">
        <f>C86*scaling_factor/Common_Shares</f>
        <v>8.5791466803226933E-3</v>
      </c>
      <c r="E86" s="214" t="str">
        <f>Market_currency</f>
        <v>HKD</v>
      </c>
    </row>
    <row r="87" spans="2:8" ht="15" customHeight="1">
      <c r="B87" s="212" t="s">
        <v>240</v>
      </c>
      <c r="C87" s="73">
        <f>DCF!F5*Exchange_Rate</f>
        <v>8029573.8978425749</v>
      </c>
      <c r="D87" s="201">
        <f>C87*scaling_factor/Common_Shares</f>
        <v>1.5771891899645554</v>
      </c>
      <c r="E87" s="214" t="str">
        <f>Market_currency</f>
        <v>HKD</v>
      </c>
    </row>
    <row r="88" spans="2:8" ht="15" customHeight="1">
      <c r="B88" s="213" t="s">
        <v>159</v>
      </c>
      <c r="C88" s="73">
        <f>DCF!F6*Exchange_Rate</f>
        <v>263512.2</v>
      </c>
      <c r="D88" s="201">
        <f>C88*scaling_factor/Common_Shares</f>
        <v>5.1759732029547124E-2</v>
      </c>
      <c r="E88" s="214" t="str">
        <f>Market_currency</f>
        <v>HKD</v>
      </c>
    </row>
    <row r="89" spans="2:8" ht="15" customHeight="1">
      <c r="B89" s="77" t="s">
        <v>244</v>
      </c>
      <c r="C89" s="162">
        <f>SUM(C86:C88)</f>
        <v>8336763.0978425751</v>
      </c>
      <c r="D89" s="216">
        <f>SUM(D86:D88)</f>
        <v>1.6375280686744251</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G16" sqref="G16"/>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HKD</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38"/>
      <c r="F3" s="9"/>
      <c r="G3" s="16" t="s">
        <v>412</v>
      </c>
      <c r="H3" s="104">
        <f>scaling_factor</f>
        <v>1000</v>
      </c>
    </row>
    <row r="4" spans="1:17" ht="15.75" customHeight="1">
      <c r="A4" s="10"/>
      <c r="B4" s="25" t="s">
        <v>0</v>
      </c>
      <c r="C4" s="269">
        <f>G4*0.9</f>
        <v>4551300</v>
      </c>
      <c r="D4" s="54"/>
      <c r="E4" s="236"/>
      <c r="F4" s="54"/>
      <c r="G4" s="274">
        <f>Data!C36</f>
        <v>5057000</v>
      </c>
      <c r="H4" s="274">
        <f>Data!D36</f>
        <v>5891068</v>
      </c>
      <c r="I4" s="274">
        <f>Data!E36</f>
        <v>8214719</v>
      </c>
      <c r="J4" s="274">
        <f>Data!F36</f>
        <v>7075818</v>
      </c>
      <c r="K4" s="274">
        <f>Data!G36</f>
        <v>3996951</v>
      </c>
      <c r="L4" s="274">
        <f>Data!H36</f>
        <v>3869308</v>
      </c>
      <c r="M4" s="274">
        <f>Data!I36</f>
        <v>3686176</v>
      </c>
      <c r="N4" s="274">
        <f>Data!J36</f>
        <v>3471922</v>
      </c>
      <c r="O4" s="274">
        <f>Data!K36</f>
        <v>1809885</v>
      </c>
      <c r="P4" s="274">
        <f>Data!L36</f>
        <v>1996629</v>
      </c>
      <c r="Q4" s="274" t="str">
        <f>Data!M36</f>
        <v/>
      </c>
    </row>
    <row r="5" spans="1:17" ht="15.75" customHeight="1">
      <c r="A5" s="10"/>
      <c r="B5" s="2" t="s">
        <v>43</v>
      </c>
      <c r="C5" s="270">
        <f>C26</f>
        <v>-2441491.4733148511</v>
      </c>
      <c r="E5" s="238"/>
      <c r="G5" s="274">
        <f t="shared" ref="G5:Q5" si="1">G26</f>
        <v>-2578778</v>
      </c>
      <c r="H5" s="274">
        <f t="shared" si="1"/>
        <v>-2639602</v>
      </c>
      <c r="I5" s="274">
        <f t="shared" si="1"/>
        <v>-3273637</v>
      </c>
      <c r="J5" s="274">
        <f t="shared" si="1"/>
        <v>-2950985</v>
      </c>
      <c r="K5" s="274">
        <f t="shared" si="1"/>
        <v>-2444330</v>
      </c>
      <c r="L5" s="274">
        <f t="shared" si="1"/>
        <v>-2130616</v>
      </c>
      <c r="M5" s="274">
        <f t="shared" si="1"/>
        <v>-1994255</v>
      </c>
      <c r="N5" s="274">
        <f t="shared" si="1"/>
        <v>-1803156</v>
      </c>
      <c r="O5" s="274">
        <f t="shared" si="1"/>
        <v>-1370254</v>
      </c>
      <c r="P5" s="274">
        <f t="shared" si="1"/>
        <v>-1710348</v>
      </c>
      <c r="Q5" s="274" t="str">
        <f t="shared" si="1"/>
        <v/>
      </c>
    </row>
    <row r="6" spans="1:17" ht="15.75" customHeight="1">
      <c r="A6" s="10"/>
      <c r="B6" s="30" t="s">
        <v>45</v>
      </c>
      <c r="C6" s="271">
        <f>C4+C5</f>
        <v>2109808.5266851489</v>
      </c>
      <c r="E6" s="238"/>
      <c r="G6" s="271">
        <f>IF(G4="","",G4+G5)</f>
        <v>2478222</v>
      </c>
      <c r="H6" s="271">
        <f t="shared" ref="H6:Q6" si="2">IF(H4="","",H4+H5)</f>
        <v>3251466</v>
      </c>
      <c r="I6" s="271">
        <f t="shared" si="2"/>
        <v>4941082</v>
      </c>
      <c r="J6" s="271">
        <f t="shared" si="2"/>
        <v>4124833</v>
      </c>
      <c r="K6" s="271">
        <f t="shared" si="2"/>
        <v>1552621</v>
      </c>
      <c r="L6" s="271">
        <f t="shared" si="2"/>
        <v>1738692</v>
      </c>
      <c r="M6" s="271">
        <f t="shared" si="2"/>
        <v>1691921</v>
      </c>
      <c r="N6" s="271">
        <f t="shared" si="2"/>
        <v>1668766</v>
      </c>
      <c r="O6" s="271">
        <f t="shared" si="2"/>
        <v>439631</v>
      </c>
      <c r="P6" s="271">
        <f t="shared" si="2"/>
        <v>286281</v>
      </c>
      <c r="Q6" s="271" t="str">
        <f t="shared" si="2"/>
        <v/>
      </c>
    </row>
    <row r="7" spans="1:17" ht="15.75" customHeight="1">
      <c r="A7" s="10"/>
      <c r="B7" s="8" t="s">
        <v>42</v>
      </c>
      <c r="C7" s="270">
        <f>C35</f>
        <v>-208899</v>
      </c>
      <c r="E7" s="238"/>
      <c r="G7" s="270">
        <f t="shared" ref="G7:Q7" si="3">G35</f>
        <v>-208899</v>
      </c>
      <c r="H7" s="270">
        <f t="shared" si="3"/>
        <v>-201296</v>
      </c>
      <c r="I7" s="270">
        <f t="shared" si="3"/>
        <v>-207812</v>
      </c>
      <c r="J7" s="270">
        <f t="shared" si="3"/>
        <v>-207903</v>
      </c>
      <c r="K7" s="270">
        <f t="shared" si="3"/>
        <v>-181914</v>
      </c>
      <c r="L7" s="270">
        <f t="shared" si="3"/>
        <v>-182291</v>
      </c>
      <c r="M7" s="270">
        <f t="shared" si="3"/>
        <v>-205351</v>
      </c>
      <c r="N7" s="270">
        <f t="shared" si="3"/>
        <v>-202034</v>
      </c>
      <c r="O7" s="270">
        <f t="shared" si="3"/>
        <v>-203755</v>
      </c>
      <c r="P7" s="270">
        <f t="shared" si="3"/>
        <v>-341742</v>
      </c>
      <c r="Q7" s="270" t="str">
        <f t="shared" si="3"/>
        <v/>
      </c>
    </row>
    <row r="8" spans="1:17" ht="15.75" customHeight="1">
      <c r="A8" s="10"/>
      <c r="B8" s="28" t="s">
        <v>127</v>
      </c>
      <c r="C8" s="272">
        <f>C6+C7</f>
        <v>1900909.5266851489</v>
      </c>
      <c r="D8" s="56"/>
      <c r="E8" s="244"/>
      <c r="F8" s="56"/>
      <c r="G8" s="271">
        <f>IF(G$4="","",G6+G7)</f>
        <v>2269323</v>
      </c>
      <c r="H8" s="271">
        <f t="shared" ref="H8:Q8" si="4">IF(H$4="","",H6+H7)</f>
        <v>3050170</v>
      </c>
      <c r="I8" s="271">
        <f t="shared" si="4"/>
        <v>4733270</v>
      </c>
      <c r="J8" s="271">
        <f t="shared" si="4"/>
        <v>3916930</v>
      </c>
      <c r="K8" s="271">
        <f t="shared" si="4"/>
        <v>1370707</v>
      </c>
      <c r="L8" s="271">
        <f t="shared" si="4"/>
        <v>1556401</v>
      </c>
      <c r="M8" s="271">
        <f t="shared" si="4"/>
        <v>1486570</v>
      </c>
      <c r="N8" s="271">
        <f t="shared" si="4"/>
        <v>1466732</v>
      </c>
      <c r="O8" s="271">
        <f t="shared" si="4"/>
        <v>235876</v>
      </c>
      <c r="P8" s="271">
        <f t="shared" si="4"/>
        <v>-55461</v>
      </c>
      <c r="Q8" s="271" t="str">
        <f t="shared" si="4"/>
        <v/>
      </c>
    </row>
    <row r="9" spans="1:17" ht="15.75" customHeight="1">
      <c r="A9" s="10"/>
      <c r="B9" s="26" t="s">
        <v>417</v>
      </c>
      <c r="C9" s="304">
        <f>C61</f>
        <v>0</v>
      </c>
      <c r="D9" s="55"/>
      <c r="E9" s="237"/>
      <c r="F9" s="55"/>
      <c r="G9" s="274">
        <f>G59</f>
        <v>0</v>
      </c>
      <c r="H9" s="274">
        <f t="shared" ref="H9:Q9" si="5">H59</f>
        <v>0</v>
      </c>
      <c r="I9" s="274">
        <f t="shared" si="5"/>
        <v>0</v>
      </c>
      <c r="J9" s="274">
        <f t="shared" si="5"/>
        <v>0</v>
      </c>
      <c r="K9" s="274">
        <f t="shared" si="5"/>
        <v>0</v>
      </c>
      <c r="L9" s="274">
        <f t="shared" si="5"/>
        <v>0</v>
      </c>
      <c r="M9" s="274">
        <f t="shared" si="5"/>
        <v>0</v>
      </c>
      <c r="N9" s="274">
        <f t="shared" si="5"/>
        <v>0</v>
      </c>
      <c r="O9" s="274">
        <f t="shared" si="5"/>
        <v>0</v>
      </c>
      <c r="P9" s="274">
        <f t="shared" si="5"/>
        <v>0</v>
      </c>
      <c r="Q9" s="274" t="str">
        <f t="shared" si="5"/>
        <v/>
      </c>
    </row>
    <row r="10" spans="1:17" ht="15.75" customHeight="1">
      <c r="A10" s="10"/>
      <c r="B10" s="2" t="s">
        <v>65</v>
      </c>
      <c r="C10" s="270">
        <f>C48</f>
        <v>9912.5106129445558</v>
      </c>
      <c r="E10" s="238"/>
      <c r="G10" s="270">
        <f>G48</f>
        <v>36812.98539002092</v>
      </c>
      <c r="H10" s="270">
        <f t="shared" ref="H10:Q10" si="6">H48</f>
        <v>32924.942312626903</v>
      </c>
      <c r="I10" s="270">
        <f t="shared" si="6"/>
        <v>20742.981522397313</v>
      </c>
      <c r="J10" s="270">
        <f t="shared" si="6"/>
        <v>13088.727837385564</v>
      </c>
      <c r="K10" s="270">
        <f t="shared" si="6"/>
        <v>0</v>
      </c>
      <c r="L10" s="270">
        <f t="shared" si="6"/>
        <v>0</v>
      </c>
      <c r="M10" s="270">
        <f t="shared" si="6"/>
        <v>0</v>
      </c>
      <c r="N10" s="270">
        <f t="shared" si="6"/>
        <v>0</v>
      </c>
      <c r="O10" s="270">
        <f t="shared" si="6"/>
        <v>0</v>
      </c>
      <c r="P10" s="270">
        <f t="shared" si="6"/>
        <v>0</v>
      </c>
      <c r="Q10" s="270" t="str">
        <f t="shared" si="6"/>
        <v/>
      </c>
    </row>
    <row r="11" spans="1:17" ht="15.75" customHeight="1">
      <c r="A11" s="10"/>
      <c r="B11" s="67" t="s">
        <v>137</v>
      </c>
      <c r="C11" s="271">
        <f>SUM(C8:C10)</f>
        <v>1910822.0372980935</v>
      </c>
      <c r="E11" s="238"/>
      <c r="G11" s="271">
        <f t="shared" ref="G11:Q11" si="7">IF(G$4="","",SUM(G8:G10))</f>
        <v>2306135.985390021</v>
      </c>
      <c r="H11" s="271">
        <f t="shared" si="7"/>
        <v>3083094.9423126271</v>
      </c>
      <c r="I11" s="271">
        <f t="shared" si="7"/>
        <v>4754012.9815223971</v>
      </c>
      <c r="J11" s="271">
        <f t="shared" si="7"/>
        <v>3930018.7278373856</v>
      </c>
      <c r="K11" s="271">
        <f t="shared" si="7"/>
        <v>1370707</v>
      </c>
      <c r="L11" s="271">
        <f t="shared" si="7"/>
        <v>1556401</v>
      </c>
      <c r="M11" s="271">
        <f t="shared" si="7"/>
        <v>1486570</v>
      </c>
      <c r="N11" s="271">
        <f t="shared" si="7"/>
        <v>1466732</v>
      </c>
      <c r="O11" s="271">
        <f t="shared" si="7"/>
        <v>235876</v>
      </c>
      <c r="P11" s="271">
        <f t="shared" si="7"/>
        <v>-55461</v>
      </c>
      <c r="Q11" s="271" t="str">
        <f t="shared" si="7"/>
        <v/>
      </c>
    </row>
    <row r="12" spans="1:17" ht="15.75" customHeight="1">
      <c r="A12" s="10"/>
      <c r="B12" s="2" t="s">
        <v>60</v>
      </c>
      <c r="C12" s="270">
        <f>-C11*C41</f>
        <v>-477705.50932452339</v>
      </c>
      <c r="E12" s="238"/>
      <c r="G12" s="270">
        <f>Data!C46</f>
        <v>-710922</v>
      </c>
      <c r="H12" s="270">
        <f>Data!D46</f>
        <v>-917979</v>
      </c>
      <c r="I12" s="270">
        <f>Data!E46</f>
        <v>-1317738</v>
      </c>
      <c r="J12" s="270">
        <f>Data!F46</f>
        <v>-1071328</v>
      </c>
      <c r="K12" s="270">
        <f>Data!G46</f>
        <v>-425331</v>
      </c>
      <c r="L12" s="270">
        <f>Data!H46</f>
        <v>-456674</v>
      </c>
      <c r="M12" s="270">
        <f>Data!I46</f>
        <v>-487781</v>
      </c>
      <c r="N12" s="270">
        <f>Data!J46</f>
        <v>-465034</v>
      </c>
      <c r="O12" s="270">
        <f>Data!K46</f>
        <v>-76600</v>
      </c>
      <c r="P12" s="270">
        <f>Data!L46</f>
        <v>124459</v>
      </c>
      <c r="Q12" s="270" t="str">
        <f>Data!M46</f>
        <v/>
      </c>
    </row>
    <row r="13" spans="1:17" ht="15.75" customHeight="1">
      <c r="A13" s="10"/>
      <c r="B13" s="38" t="s">
        <v>208</v>
      </c>
      <c r="C13" s="270">
        <f>-C4*C79</f>
        <v>-335976.39690562984</v>
      </c>
      <c r="D13" s="57"/>
      <c r="E13" s="245"/>
      <c r="F13" s="57"/>
      <c r="G13" s="274">
        <f>Data!C48</f>
        <v>-320909</v>
      </c>
      <c r="H13" s="274">
        <f>Data!D48</f>
        <v>-411691</v>
      </c>
      <c r="I13" s="274">
        <f>Data!E48</f>
        <v>-592781</v>
      </c>
      <c r="J13" s="274">
        <f>Data!F48</f>
        <v>-522336</v>
      </c>
      <c r="K13" s="274">
        <f>Data!G48</f>
        <v>-107242</v>
      </c>
      <c r="L13" s="274">
        <f>Data!H48</f>
        <v>-35728</v>
      </c>
      <c r="M13" s="274">
        <f>Data!I48</f>
        <v>-51440</v>
      </c>
      <c r="N13" s="274">
        <f>Data!J48</f>
        <v>-101935</v>
      </c>
      <c r="O13" s="274">
        <f>Data!K48</f>
        <v>0</v>
      </c>
      <c r="P13" s="274">
        <f>Data!L48</f>
        <v>0</v>
      </c>
      <c r="Q13" s="274" t="str">
        <f>Data!M48</f>
        <v/>
      </c>
    </row>
    <row r="14" spans="1:17" ht="15.75" customHeight="1">
      <c r="A14" s="10"/>
      <c r="B14" s="39" t="s">
        <v>129</v>
      </c>
      <c r="C14" s="273">
        <f>SUM(C11:C13)</f>
        <v>1097140.1310679403</v>
      </c>
      <c r="D14" s="58"/>
      <c r="E14" s="246"/>
      <c r="F14" s="58"/>
      <c r="G14" s="271">
        <f t="shared" ref="G14:Q14" si="8">IF(G$4="","",SUM(G11:G13))</f>
        <v>1274304.985390021</v>
      </c>
      <c r="H14" s="271">
        <f t="shared" si="8"/>
        <v>1753424.9423126271</v>
      </c>
      <c r="I14" s="271">
        <f t="shared" si="8"/>
        <v>2843493.9815223971</v>
      </c>
      <c r="J14" s="271">
        <f t="shared" si="8"/>
        <v>2336354.7278373856</v>
      </c>
      <c r="K14" s="271">
        <f t="shared" si="8"/>
        <v>838134</v>
      </c>
      <c r="L14" s="271">
        <f t="shared" si="8"/>
        <v>1063999</v>
      </c>
      <c r="M14" s="271">
        <f t="shared" si="8"/>
        <v>947349</v>
      </c>
      <c r="N14" s="271">
        <f t="shared" si="8"/>
        <v>899763</v>
      </c>
      <c r="O14" s="271">
        <f t="shared" si="8"/>
        <v>159276</v>
      </c>
      <c r="P14" s="271">
        <f t="shared" si="8"/>
        <v>68998</v>
      </c>
      <c r="Q14" s="271" t="str">
        <f t="shared" si="8"/>
        <v/>
      </c>
    </row>
    <row r="15" spans="1:17" ht="15.75" customHeight="1">
      <c r="A15" s="10"/>
      <c r="B15" s="2" t="s">
        <v>62</v>
      </c>
      <c r="C15" s="270">
        <f>BS!$G$39*BS!D58</f>
        <v>0</v>
      </c>
      <c r="E15" s="238"/>
      <c r="G15" s="270">
        <f>IF(Data!C61="","",-Data!C61)</f>
        <v>0</v>
      </c>
      <c r="H15" s="270">
        <f>IF(Data!D61="","",-Data!D61)</f>
        <v>0</v>
      </c>
      <c r="I15" s="270">
        <f>IF(Data!E61="","",-Data!E61)</f>
        <v>0</v>
      </c>
      <c r="J15" s="270">
        <f>IF(Data!F61="","",-Data!F61)</f>
        <v>0</v>
      </c>
      <c r="K15" s="270">
        <f>IF(Data!G61="","",-Data!G61)</f>
        <v>0</v>
      </c>
      <c r="L15" s="270">
        <f>IF(Data!H61="","",-Data!H61)</f>
        <v>0</v>
      </c>
      <c r="M15" s="270">
        <f>IF(Data!I61="","",-Data!I61)</f>
        <v>0</v>
      </c>
      <c r="N15" s="270">
        <f>IF(Data!J61="","",-Data!J61)</f>
        <v>0</v>
      </c>
      <c r="O15" s="270">
        <f>IF(Data!K61="","",-Data!K61)</f>
        <v>0</v>
      </c>
      <c r="P15" s="270">
        <f>IF(Data!L61="","",-Data!L61)</f>
        <v>0</v>
      </c>
      <c r="Q15" s="270" t="str">
        <f>IF(Data!M61="","",-Data!M61)</f>
        <v/>
      </c>
    </row>
    <row r="16" spans="1:17" ht="15.75" customHeight="1">
      <c r="A16" s="10"/>
      <c r="B16" s="2" t="s">
        <v>399</v>
      </c>
      <c r="C16" s="270">
        <f>-C4*C82</f>
        <v>0</v>
      </c>
      <c r="E16" s="238"/>
      <c r="G16" s="270">
        <f>Data!C62</f>
        <v>0</v>
      </c>
      <c r="H16" s="270">
        <f>Data!D62</f>
        <v>0</v>
      </c>
      <c r="I16" s="270">
        <f>Data!E62</f>
        <v>0</v>
      </c>
      <c r="J16" s="270">
        <f>Data!F62</f>
        <v>0</v>
      </c>
      <c r="K16" s="270">
        <f>Data!G62</f>
        <v>0</v>
      </c>
      <c r="L16" s="270">
        <f>Data!H62</f>
        <v>0</v>
      </c>
      <c r="M16" s="270">
        <f>Data!I62</f>
        <v>0</v>
      </c>
      <c r="N16" s="270">
        <f>Data!J62</f>
        <v>0</v>
      </c>
      <c r="O16" s="270">
        <f>Data!K62</f>
        <v>0</v>
      </c>
      <c r="P16" s="270">
        <f>Data!L62</f>
        <v>0</v>
      </c>
      <c r="Q16" s="270" t="str">
        <f>Data!M62</f>
        <v/>
      </c>
    </row>
    <row r="17" spans="1:17" ht="15.75" customHeight="1">
      <c r="A17" s="10"/>
      <c r="B17" s="26" t="s">
        <v>49</v>
      </c>
      <c r="C17" s="270">
        <f>-C4*C83</f>
        <v>0</v>
      </c>
      <c r="D17" s="55"/>
      <c r="E17" s="237" t="s">
        <v>262</v>
      </c>
      <c r="F17" s="55"/>
      <c r="G17" s="276"/>
      <c r="H17" s="276"/>
      <c r="I17" s="276"/>
      <c r="J17" s="276"/>
      <c r="K17" s="276"/>
      <c r="L17" s="276"/>
      <c r="M17" s="276"/>
      <c r="N17" s="276"/>
      <c r="O17" s="276"/>
      <c r="P17" s="276"/>
      <c r="Q17" s="276"/>
    </row>
    <row r="18" spans="1:17" ht="15.75" customHeight="1">
      <c r="A18" s="10"/>
      <c r="B18" s="26" t="s">
        <v>94</v>
      </c>
      <c r="C18" s="270">
        <v>0</v>
      </c>
      <c r="D18" s="55"/>
      <c r="E18" s="237" t="s">
        <v>263</v>
      </c>
      <c r="F18" s="55"/>
      <c r="G18" s="277"/>
      <c r="H18" s="277"/>
      <c r="I18" s="277"/>
      <c r="J18" s="277"/>
      <c r="K18" s="277"/>
      <c r="L18" s="277"/>
      <c r="M18" s="277"/>
      <c r="N18" s="277"/>
      <c r="O18" s="277"/>
      <c r="P18" s="277"/>
      <c r="Q18" s="277"/>
    </row>
    <row r="19" spans="1:17" ht="15.75" customHeight="1">
      <c r="A19" s="10"/>
      <c r="B19" s="30" t="s">
        <v>63</v>
      </c>
      <c r="C19" s="271">
        <f>C14+C17</f>
        <v>1097140.1310679403</v>
      </c>
      <c r="D19" s="26"/>
      <c r="E19" s="235"/>
      <c r="F19" s="26"/>
      <c r="G19" s="275">
        <f t="shared" ref="G19:Q19" si="9">IF(G$4="","",G14+G17)</f>
        <v>1274304.985390021</v>
      </c>
      <c r="H19" s="275">
        <f t="shared" si="9"/>
        <v>1753424.9423126271</v>
      </c>
      <c r="I19" s="275">
        <f t="shared" si="9"/>
        <v>2843493.9815223971</v>
      </c>
      <c r="J19" s="275">
        <f t="shared" si="9"/>
        <v>2336354.7278373856</v>
      </c>
      <c r="K19" s="275">
        <f t="shared" si="9"/>
        <v>838134</v>
      </c>
      <c r="L19" s="275">
        <f t="shared" si="9"/>
        <v>1063999</v>
      </c>
      <c r="M19" s="275">
        <f t="shared" si="9"/>
        <v>947349</v>
      </c>
      <c r="N19" s="275">
        <f t="shared" si="9"/>
        <v>899763</v>
      </c>
      <c r="O19" s="275">
        <f t="shared" si="9"/>
        <v>159276</v>
      </c>
      <c r="P19" s="275">
        <f t="shared" si="9"/>
        <v>68998</v>
      </c>
      <c r="Q19" s="275"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5"/>
      <c r="F22" s="26"/>
      <c r="G22" s="12"/>
      <c r="H22" s="12"/>
      <c r="I22" s="12"/>
      <c r="J22" s="12"/>
      <c r="K22" s="12"/>
      <c r="L22" s="12"/>
      <c r="M22" s="12"/>
      <c r="N22" s="12"/>
      <c r="O22" s="12"/>
      <c r="P22" s="12"/>
      <c r="Q22" s="12"/>
    </row>
    <row r="23" spans="1:17" ht="15.75" customHeight="1">
      <c r="A23" s="10"/>
      <c r="B23" s="26" t="s">
        <v>40</v>
      </c>
      <c r="C23" s="278">
        <f>-C4*C29</f>
        <v>-2283631.1830188613</v>
      </c>
      <c r="D23" s="55"/>
      <c r="E23" s="237"/>
      <c r="F23" s="55"/>
      <c r="G23" s="274">
        <f>Data!C37</f>
        <v>-2468686</v>
      </c>
      <c r="H23" s="274">
        <f>Data!D37</f>
        <v>-2425040</v>
      </c>
      <c r="I23" s="274">
        <f>Data!E37</f>
        <v>-2925125</v>
      </c>
      <c r="J23" s="274">
        <f>Data!F37</f>
        <v>-2681244</v>
      </c>
      <c r="K23" s="274">
        <f>Data!G37</f>
        <v>-2127744</v>
      </c>
      <c r="L23" s="274">
        <f>Data!H37</f>
        <v>-1880565</v>
      </c>
      <c r="M23" s="274">
        <f>Data!I37</f>
        <v>-1785634</v>
      </c>
      <c r="N23" s="274">
        <f>Data!J37</f>
        <v>-1596518</v>
      </c>
      <c r="O23" s="274">
        <f>Data!K37</f>
        <v>-1202842</v>
      </c>
      <c r="P23" s="274">
        <f>Data!L37</f>
        <v>-1508441</v>
      </c>
      <c r="Q23" s="274" t="str">
        <f>Data!M37</f>
        <v/>
      </c>
    </row>
    <row r="24" spans="1:17" ht="15.75" customHeight="1">
      <c r="A24" s="10"/>
      <c r="B24" s="65" t="s">
        <v>59</v>
      </c>
      <c r="C24" s="270">
        <f>-C4*C30</f>
        <v>-157860.29029598978</v>
      </c>
      <c r="D24" s="26"/>
      <c r="E24" s="235"/>
      <c r="F24" s="26"/>
      <c r="G24" s="274">
        <f>Data!C40</f>
        <v>-110092</v>
      </c>
      <c r="H24" s="274">
        <f>Data!D40</f>
        <v>-214562</v>
      </c>
      <c r="I24" s="274">
        <f>Data!E40</f>
        <v>-348512</v>
      </c>
      <c r="J24" s="274">
        <f>Data!F40</f>
        <v>-269741</v>
      </c>
      <c r="K24" s="274">
        <f>Data!G40</f>
        <v>-316586</v>
      </c>
      <c r="L24" s="274">
        <f>Data!H40</f>
        <v>-250051</v>
      </c>
      <c r="M24" s="274">
        <f>Data!I40</f>
        <v>-208621</v>
      </c>
      <c r="N24" s="274">
        <f>Data!J40</f>
        <v>-206638</v>
      </c>
      <c r="O24" s="274">
        <f>Data!K40</f>
        <v>-167412</v>
      </c>
      <c r="P24" s="274">
        <f>Data!L40</f>
        <v>-201907</v>
      </c>
      <c r="Q24" s="274" t="str">
        <f>Data!M40</f>
        <v/>
      </c>
    </row>
    <row r="25" spans="1:17" ht="15.75" customHeight="1">
      <c r="A25" s="10"/>
      <c r="B25" s="26" t="s">
        <v>46</v>
      </c>
      <c r="C25" s="270">
        <f>-C4*C31</f>
        <v>0</v>
      </c>
      <c r="D25" s="55"/>
      <c r="E25" s="236"/>
      <c r="F25" s="55"/>
      <c r="G25" s="274">
        <f>Data!C42</f>
        <v>0</v>
      </c>
      <c r="H25" s="274">
        <f>Data!D42</f>
        <v>0</v>
      </c>
      <c r="I25" s="274">
        <f>Data!E42</f>
        <v>0</v>
      </c>
      <c r="J25" s="274">
        <f>Data!F42</f>
        <v>0</v>
      </c>
      <c r="K25" s="274">
        <f>Data!G42</f>
        <v>0</v>
      </c>
      <c r="L25" s="274">
        <f>Data!H42</f>
        <v>0</v>
      </c>
      <c r="M25" s="274">
        <f>Data!I42</f>
        <v>0</v>
      </c>
      <c r="N25" s="274">
        <f>Data!J42</f>
        <v>0</v>
      </c>
      <c r="O25" s="274">
        <f>Data!K42</f>
        <v>0</v>
      </c>
      <c r="P25" s="274">
        <f>Data!L42</f>
        <v>0</v>
      </c>
      <c r="Q25" s="274" t="str">
        <f>Data!M42</f>
        <v/>
      </c>
    </row>
    <row r="26" spans="1:17" ht="15.75" customHeight="1">
      <c r="A26" s="10"/>
      <c r="B26" s="67" t="s">
        <v>43</v>
      </c>
      <c r="C26" s="271">
        <f>SUM(C23:C25)</f>
        <v>-2441491.4733148511</v>
      </c>
      <c r="D26" s="9"/>
      <c r="E26" s="243"/>
      <c r="F26" s="9"/>
      <c r="G26" s="271">
        <f>IF(G$4="","",SUM(G23:G25))</f>
        <v>-2578778</v>
      </c>
      <c r="H26" s="271">
        <f t="shared" ref="H26:Q26" si="10">IF(H$4="","",SUM(H23:H25))</f>
        <v>-2639602</v>
      </c>
      <c r="I26" s="271">
        <f t="shared" si="10"/>
        <v>-3273637</v>
      </c>
      <c r="J26" s="271">
        <f t="shared" si="10"/>
        <v>-2950985</v>
      </c>
      <c r="K26" s="271">
        <f t="shared" si="10"/>
        <v>-2444330</v>
      </c>
      <c r="L26" s="271">
        <f t="shared" si="10"/>
        <v>-2130616</v>
      </c>
      <c r="M26" s="271">
        <f t="shared" si="10"/>
        <v>-1994255</v>
      </c>
      <c r="N26" s="271">
        <f t="shared" si="10"/>
        <v>-1803156</v>
      </c>
      <c r="O26" s="271">
        <f t="shared" si="10"/>
        <v>-1370254</v>
      </c>
      <c r="P26" s="271">
        <f t="shared" si="10"/>
        <v>-1710348</v>
      </c>
      <c r="Q26" s="271" t="str">
        <f t="shared" si="10"/>
        <v/>
      </c>
    </row>
    <row r="27" spans="1:17" ht="15.75" customHeight="1">
      <c r="A27" s="10"/>
      <c r="E27" s="238"/>
    </row>
    <row r="28" spans="1:17" ht="15.75" customHeight="1">
      <c r="A28" s="10"/>
      <c r="B28" s="61" t="s">
        <v>175</v>
      </c>
      <c r="E28" s="238"/>
    </row>
    <row r="29" spans="1:17" ht="15.75" customHeight="1">
      <c r="A29" s="10"/>
      <c r="B29" s="25" t="s">
        <v>40</v>
      </c>
      <c r="C29" s="60">
        <f>AVERAGE(G29:P29)</f>
        <v>0.50175360512795497</v>
      </c>
      <c r="D29" s="25"/>
      <c r="E29" s="236"/>
      <c r="F29" s="25"/>
      <c r="G29" s="13">
        <f t="shared" ref="G29:Q29" si="11">IF(G$4="","",ABS(G23/G$4))</f>
        <v>0.48817203875815701</v>
      </c>
      <c r="H29" s="13">
        <f t="shared" si="11"/>
        <v>0.41164692038862905</v>
      </c>
      <c r="I29" s="13">
        <f t="shared" si="11"/>
        <v>0.35608339128824734</v>
      </c>
      <c r="J29" s="13">
        <f t="shared" si="11"/>
        <v>0.37893060562043851</v>
      </c>
      <c r="K29" s="13">
        <f t="shared" si="11"/>
        <v>0.53234177751991452</v>
      </c>
      <c r="L29" s="13">
        <f t="shared" si="11"/>
        <v>0.48602101461036445</v>
      </c>
      <c r="M29" s="13">
        <f t="shared" si="11"/>
        <v>0.48441365794796559</v>
      </c>
      <c r="N29" s="13">
        <f t="shared" si="11"/>
        <v>0.45983694334146907</v>
      </c>
      <c r="O29" s="13">
        <f t="shared" si="11"/>
        <v>0.66459581686129232</v>
      </c>
      <c r="P29" s="13">
        <f t="shared" si="11"/>
        <v>0.75549388494307157</v>
      </c>
      <c r="Q29" s="13" t="str">
        <f t="shared" si="11"/>
        <v/>
      </c>
    </row>
    <row r="30" spans="1:17" ht="15.75" customHeight="1">
      <c r="A30" s="10"/>
      <c r="B30" s="65" t="str">
        <f>B24</f>
        <v>Selling Expenses</v>
      </c>
      <c r="C30" s="60">
        <f>AVERAGE(G30:J30)</f>
        <v>3.4684659393138174E-2</v>
      </c>
      <c r="D30" s="25"/>
      <c r="E30" s="236"/>
      <c r="F30" s="25"/>
      <c r="G30" s="13">
        <f t="shared" ref="G30:Q30" si="12">IF(G$4="","",ABS(G24/G$4))</f>
        <v>2.1770219497725923E-2</v>
      </c>
      <c r="H30" s="13">
        <f t="shared" si="12"/>
        <v>3.6421579245053695E-2</v>
      </c>
      <c r="I30" s="13">
        <f t="shared" si="12"/>
        <v>4.2425309983214275E-2</v>
      </c>
      <c r="J30" s="13">
        <f t="shared" si="12"/>
        <v>3.8121528846558804E-2</v>
      </c>
      <c r="K30" s="13">
        <f t="shared" si="12"/>
        <v>7.920687544080475E-2</v>
      </c>
      <c r="L30" s="13">
        <f t="shared" si="12"/>
        <v>6.4624217043460996E-2</v>
      </c>
      <c r="M30" s="13">
        <f t="shared" si="12"/>
        <v>5.6595507105466479E-2</v>
      </c>
      <c r="N30" s="13">
        <f t="shared" si="12"/>
        <v>5.9516890068382872E-2</v>
      </c>
      <c r="O30" s="13">
        <f t="shared" si="12"/>
        <v>9.2498694668445791E-2</v>
      </c>
      <c r="P30" s="13">
        <f t="shared" si="12"/>
        <v>0.10112394440830019</v>
      </c>
      <c r="Q30" s="13" t="str">
        <f t="shared" si="12"/>
        <v/>
      </c>
    </row>
    <row r="31" spans="1:17" ht="15.75" customHeight="1">
      <c r="A31" s="10"/>
      <c r="B31" s="26" t="str">
        <f>B25</f>
        <v>R&amp;D</v>
      </c>
      <c r="C31" s="60">
        <v>0</v>
      </c>
      <c r="D31" s="26"/>
      <c r="E31" s="235"/>
      <c r="F31" s="26"/>
      <c r="G31" s="13">
        <f t="shared" ref="G31:Q31" si="13">IF(G$4="","",ABS(G25/G$4))</f>
        <v>0</v>
      </c>
      <c r="H31" s="13">
        <f t="shared" si="13"/>
        <v>0</v>
      </c>
      <c r="I31" s="13">
        <f t="shared" si="13"/>
        <v>0</v>
      </c>
      <c r="J31" s="13">
        <f t="shared" si="13"/>
        <v>0</v>
      </c>
      <c r="K31" s="13">
        <f t="shared" si="13"/>
        <v>0</v>
      </c>
      <c r="L31" s="13">
        <f t="shared" si="13"/>
        <v>0</v>
      </c>
      <c r="M31" s="13">
        <f t="shared" si="13"/>
        <v>0</v>
      </c>
      <c r="N31" s="13">
        <f t="shared" si="13"/>
        <v>0</v>
      </c>
      <c r="O31" s="13">
        <f t="shared" si="13"/>
        <v>0</v>
      </c>
      <c r="P31" s="13">
        <f t="shared" si="13"/>
        <v>0</v>
      </c>
      <c r="Q31" s="13" t="str">
        <f t="shared" si="13"/>
        <v/>
      </c>
    </row>
    <row r="32" spans="1:17" ht="15.75" customHeight="1">
      <c r="A32" s="10"/>
      <c r="B32" s="67" t="s">
        <v>43</v>
      </c>
      <c r="C32" s="68">
        <f>ABS(C26/$C$4)</f>
        <v>0.53643826452109311</v>
      </c>
      <c r="E32" s="238"/>
      <c r="G32" s="29">
        <f t="shared" ref="G32:Q32" si="14">IF(G$4="","",ABS(G26/G$4))</f>
        <v>0.50994225825588291</v>
      </c>
      <c r="H32" s="29">
        <f t="shared" si="14"/>
        <v>0.44806849963368273</v>
      </c>
      <c r="I32" s="29">
        <f t="shared" si="14"/>
        <v>0.39850870127146165</v>
      </c>
      <c r="J32" s="29">
        <f t="shared" si="14"/>
        <v>0.41705213446699729</v>
      </c>
      <c r="K32" s="29">
        <f t="shared" si="14"/>
        <v>0.61154865296071936</v>
      </c>
      <c r="L32" s="29">
        <f t="shared" si="14"/>
        <v>0.5506452316538254</v>
      </c>
      <c r="M32" s="29">
        <f t="shared" si="14"/>
        <v>0.54100916505343211</v>
      </c>
      <c r="N32" s="29">
        <f t="shared" si="14"/>
        <v>0.51935383340985197</v>
      </c>
      <c r="O32" s="29">
        <f t="shared" si="14"/>
        <v>0.75709451152973806</v>
      </c>
      <c r="P32" s="29">
        <f t="shared" si="14"/>
        <v>0.85661782935137176</v>
      </c>
      <c r="Q32" s="29" t="str">
        <f t="shared" si="14"/>
        <v/>
      </c>
    </row>
    <row r="33" spans="1:17" ht="15.75" customHeight="1">
      <c r="A33" s="10"/>
      <c r="E33" s="238"/>
    </row>
    <row r="34" spans="1:17" ht="15.75" customHeight="1">
      <c r="A34" s="10"/>
      <c r="B34" s="61" t="s">
        <v>42</v>
      </c>
      <c r="E34" s="238"/>
    </row>
    <row r="35" spans="1:17" ht="15.75" customHeight="1">
      <c r="A35" s="10"/>
      <c r="B35" s="302" t="s">
        <v>397</v>
      </c>
      <c r="C35" s="280">
        <f>G35</f>
        <v>-208899</v>
      </c>
      <c r="D35" s="55"/>
      <c r="E35" s="237"/>
      <c r="F35" s="55"/>
      <c r="G35" s="271">
        <f>IF(G4="","",Data!C41)</f>
        <v>-208899</v>
      </c>
      <c r="H35" s="271">
        <f>IF(H4="","",Data!D41)</f>
        <v>-201296</v>
      </c>
      <c r="I35" s="271">
        <f>IF(I4="","",Data!E41)</f>
        <v>-207812</v>
      </c>
      <c r="J35" s="271">
        <f>IF(J4="","",Data!F41)</f>
        <v>-207903</v>
      </c>
      <c r="K35" s="271">
        <f>IF(K4="","",Data!G41)</f>
        <v>-181914</v>
      </c>
      <c r="L35" s="271">
        <f>IF(L4="","",Data!H41)</f>
        <v>-182291</v>
      </c>
      <c r="M35" s="271">
        <f>IF(M4="","",Data!I41)</f>
        <v>-205351</v>
      </c>
      <c r="N35" s="271">
        <f>IF(N4="","",Data!J41)</f>
        <v>-202034</v>
      </c>
      <c r="O35" s="271">
        <f>IF(O4="","",Data!K41)</f>
        <v>-203755</v>
      </c>
      <c r="P35" s="271">
        <f>IF(P4="","",Data!L41)</f>
        <v>-341742</v>
      </c>
      <c r="Q35" s="271" t="str">
        <f>IF(Q4="","",Data!M41)</f>
        <v/>
      </c>
    </row>
    <row r="36" spans="1:17" ht="15.75" customHeight="1">
      <c r="A36" s="10"/>
      <c r="E36" s="238"/>
    </row>
    <row r="37" spans="1:17" ht="15.75" customHeight="1">
      <c r="A37" s="10"/>
      <c r="B37" s="61" t="s">
        <v>176</v>
      </c>
      <c r="E37" s="238"/>
    </row>
    <row r="38" spans="1:17" ht="15.75" customHeight="1">
      <c r="A38" s="10"/>
      <c r="B38" s="302" t="s">
        <v>397</v>
      </c>
      <c r="C38" s="68">
        <f>ABS(C35/$C$4)</f>
        <v>4.5898754202096104E-2</v>
      </c>
      <c r="E38" s="238"/>
      <c r="G38" s="29">
        <f t="shared" ref="G38:Q38" si="15">IF(G$4="","",ABS(G35/G$4))</f>
        <v>4.1308878781886493E-2</v>
      </c>
      <c r="H38" s="29">
        <f t="shared" si="15"/>
        <v>3.4169695545867067E-2</v>
      </c>
      <c r="I38" s="29">
        <f t="shared" si="15"/>
        <v>2.5297517784844497E-2</v>
      </c>
      <c r="J38" s="29">
        <f t="shared" si="15"/>
        <v>2.9382185918292416E-2</v>
      </c>
      <c r="K38" s="29">
        <f t="shared" si="15"/>
        <v>4.551319243093048E-2</v>
      </c>
      <c r="L38" s="29">
        <f t="shared" si="15"/>
        <v>4.7112041739763286E-2</v>
      </c>
      <c r="M38" s="29">
        <f t="shared" si="15"/>
        <v>5.5708408931098241E-2</v>
      </c>
      <c r="N38" s="29">
        <f t="shared" si="15"/>
        <v>5.8190823411355438E-2</v>
      </c>
      <c r="O38" s="29">
        <f t="shared" si="15"/>
        <v>0.11257897601228807</v>
      </c>
      <c r="P38" s="29">
        <f t="shared" si="15"/>
        <v>0.1711594893192476</v>
      </c>
      <c r="Q38" s="29" t="str">
        <f t="shared" si="15"/>
        <v/>
      </c>
    </row>
    <row r="39" spans="1:17" ht="15.75" customHeight="1">
      <c r="A39" s="10"/>
      <c r="E39" s="238"/>
    </row>
    <row r="40" spans="1:17" ht="15.75" customHeight="1">
      <c r="A40" s="10"/>
      <c r="B40" s="61" t="s">
        <v>177</v>
      </c>
      <c r="E40" s="238"/>
    </row>
    <row r="41" spans="1:17" ht="15.75" customHeight="1">
      <c r="A41" s="10"/>
      <c r="B41" s="26" t="s">
        <v>142</v>
      </c>
      <c r="C41" s="233">
        <v>0.25</v>
      </c>
      <c r="D41" s="26"/>
      <c r="E41" s="235" t="s">
        <v>405</v>
      </c>
      <c r="F41" s="26"/>
      <c r="G41" s="6">
        <f t="shared" ref="G41:Q41" si="16">IF(G$4="","",-G12/SUM(G8+G9,G10))</f>
        <v>0.30827410200607341</v>
      </c>
      <c r="H41" s="6">
        <f t="shared" si="16"/>
        <v>0.29774593944597266</v>
      </c>
      <c r="I41" s="6">
        <f t="shared" si="16"/>
        <v>0.27718435038391825</v>
      </c>
      <c r="J41" s="6">
        <f t="shared" si="16"/>
        <v>0.27260124548809245</v>
      </c>
      <c r="K41" s="6">
        <f t="shared" si="16"/>
        <v>0.31030045078926421</v>
      </c>
      <c r="L41" s="6">
        <f t="shared" si="16"/>
        <v>0.29341667089651058</v>
      </c>
      <c r="M41" s="6">
        <f t="shared" si="16"/>
        <v>0.32812514715082369</v>
      </c>
      <c r="N41" s="6">
        <f t="shared" si="16"/>
        <v>0.31705451302623794</v>
      </c>
      <c r="O41" s="6">
        <f t="shared" si="16"/>
        <v>0.32474690091403957</v>
      </c>
      <c r="P41" s="6">
        <f t="shared" si="16"/>
        <v>2.2440814265880529</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8"/>
    </row>
    <row r="45" spans="1:17" ht="15.75" customHeight="1">
      <c r="A45" s="10"/>
      <c r="B45" s="2" t="s">
        <v>37</v>
      </c>
      <c r="C45" s="270">
        <f>-BS!G31*Normalized_FCF!C52</f>
        <v>-2620.62</v>
      </c>
      <c r="E45" s="238"/>
      <c r="G45" s="270">
        <f>Data!C51</f>
        <v>-1746</v>
      </c>
      <c r="H45" s="270">
        <f>Data!D51</f>
        <v>-2921</v>
      </c>
      <c r="I45" s="270">
        <f>Data!E51</f>
        <v>-1360</v>
      </c>
      <c r="J45" s="270">
        <f>Data!F51</f>
        <v>-1275</v>
      </c>
      <c r="K45" s="270">
        <f>Data!G51</f>
        <v>0</v>
      </c>
      <c r="L45" s="270">
        <f>Data!H51</f>
        <v>0</v>
      </c>
      <c r="M45" s="270">
        <f>Data!I51</f>
        <v>0</v>
      </c>
      <c r="N45" s="270">
        <f>Data!J51</f>
        <v>0</v>
      </c>
      <c r="O45" s="270">
        <f>Data!K51</f>
        <v>0</v>
      </c>
      <c r="P45" s="270">
        <f>Data!L51</f>
        <v>0</v>
      </c>
      <c r="Q45" s="270" t="str">
        <f>Data!M51</f>
        <v/>
      </c>
    </row>
    <row r="46" spans="1:17" ht="15.75" customHeight="1">
      <c r="A46" s="10"/>
      <c r="B46" s="2" t="s">
        <v>272</v>
      </c>
      <c r="C46" s="270">
        <f>BS!D75*C51</f>
        <v>12533.130612944555</v>
      </c>
      <c r="E46" s="238"/>
      <c r="G46" s="278">
        <f t="shared" ref="G46:Q46" si="17">IFERROR(IF(G$4="","",($C$46/$C$47)*G47),0)</f>
        <v>38558.98539002092</v>
      </c>
      <c r="H46" s="278">
        <f t="shared" si="17"/>
        <v>35845.942312626903</v>
      </c>
      <c r="I46" s="278">
        <f t="shared" si="17"/>
        <v>22102.981522397313</v>
      </c>
      <c r="J46" s="278">
        <f t="shared" si="17"/>
        <v>14363.727837385564</v>
      </c>
      <c r="K46" s="278">
        <f t="shared" si="17"/>
        <v>0</v>
      </c>
      <c r="L46" s="278">
        <f t="shared" si="17"/>
        <v>0</v>
      </c>
      <c r="M46" s="278">
        <f t="shared" si="17"/>
        <v>0</v>
      </c>
      <c r="N46" s="278">
        <f t="shared" si="17"/>
        <v>0</v>
      </c>
      <c r="O46" s="278">
        <f t="shared" si="17"/>
        <v>0</v>
      </c>
      <c r="P46" s="278">
        <f t="shared" si="17"/>
        <v>0</v>
      </c>
      <c r="Q46" s="278" t="str">
        <f t="shared" si="17"/>
        <v/>
      </c>
    </row>
    <row r="47" spans="1:17" ht="15.75" customHeight="1">
      <c r="A47" s="10"/>
      <c r="B47" s="248" t="s">
        <v>269</v>
      </c>
      <c r="C47" s="282">
        <f>BS!$C$66*C51</f>
        <v>60710.574000000001</v>
      </c>
      <c r="D47" s="249"/>
      <c r="E47" s="250"/>
      <c r="F47" s="249"/>
      <c r="G47" s="282">
        <f>Data!C52</f>
        <v>186780</v>
      </c>
      <c r="H47" s="282">
        <f>Data!D52</f>
        <v>173638</v>
      </c>
      <c r="I47" s="282">
        <f>Data!E52</f>
        <v>107067</v>
      </c>
      <c r="J47" s="282">
        <f>Data!F52</f>
        <v>69578</v>
      </c>
      <c r="K47" s="282">
        <f>Data!G52</f>
        <v>0</v>
      </c>
      <c r="L47" s="282">
        <f>Data!H52</f>
        <v>0</v>
      </c>
      <c r="M47" s="282">
        <f>Data!I52</f>
        <v>0</v>
      </c>
      <c r="N47" s="282">
        <f>Data!J52</f>
        <v>0</v>
      </c>
      <c r="O47" s="282">
        <f>Data!K52</f>
        <v>0</v>
      </c>
      <c r="P47" s="282">
        <f>Data!L52</f>
        <v>0</v>
      </c>
      <c r="Q47" s="282" t="str">
        <f>Data!M52</f>
        <v/>
      </c>
    </row>
    <row r="48" spans="1:17" ht="15.75" customHeight="1">
      <c r="A48" s="10"/>
      <c r="B48" s="67" t="s">
        <v>65</v>
      </c>
      <c r="C48" s="271">
        <f>C45+C46</f>
        <v>9912.5106129445558</v>
      </c>
      <c r="E48" s="238"/>
      <c r="G48" s="271">
        <f>IF(G$4="","",(G45+G46))</f>
        <v>36812.98539002092</v>
      </c>
      <c r="H48" s="271">
        <f t="shared" ref="H48:Q48" si="18">IF(H$4="","",(H45+H46))</f>
        <v>32924.942312626903</v>
      </c>
      <c r="I48" s="271">
        <f t="shared" si="18"/>
        <v>20742.981522397313</v>
      </c>
      <c r="J48" s="271">
        <f t="shared" si="18"/>
        <v>13088.727837385564</v>
      </c>
      <c r="K48" s="271">
        <f t="shared" si="18"/>
        <v>0</v>
      </c>
      <c r="L48" s="271">
        <f t="shared" si="18"/>
        <v>0</v>
      </c>
      <c r="M48" s="271">
        <f t="shared" si="18"/>
        <v>0</v>
      </c>
      <c r="N48" s="271">
        <f t="shared" si="18"/>
        <v>0</v>
      </c>
      <c r="O48" s="271">
        <f t="shared" si="18"/>
        <v>0</v>
      </c>
      <c r="P48" s="271">
        <f t="shared" si="18"/>
        <v>0</v>
      </c>
      <c r="Q48" s="271" t="str">
        <f t="shared" si="18"/>
        <v/>
      </c>
    </row>
    <row r="49" spans="1:17" ht="15.75" customHeight="1">
      <c r="A49" s="10"/>
      <c r="E49" s="238"/>
    </row>
    <row r="50" spans="1:17" ht="15.75" customHeight="1">
      <c r="A50" s="10"/>
      <c r="B50" s="69" t="s">
        <v>130</v>
      </c>
      <c r="E50" s="238"/>
      <c r="G50" s="94" t="s">
        <v>188</v>
      </c>
    </row>
    <row r="51" spans="1:17" ht="15.75" customHeight="1">
      <c r="A51" s="10"/>
      <c r="B51" s="8" t="s">
        <v>85</v>
      </c>
      <c r="C51" s="84">
        <v>6.0000000000000001E-3</v>
      </c>
      <c r="E51" s="235"/>
      <c r="G51" s="6">
        <f>IF(Normalized_FCF!G4="","",Normalized_FCF!G47/BS!$C$66)</f>
        <v>1.845938732188564E-2</v>
      </c>
      <c r="H51" s="151"/>
      <c r="I51" s="151"/>
      <c r="J51" s="151"/>
      <c r="K51" s="151"/>
      <c r="L51" s="151"/>
      <c r="M51" s="151"/>
      <c r="N51" s="151"/>
      <c r="O51" s="151"/>
      <c r="P51" s="151"/>
      <c r="Q51" s="151"/>
    </row>
    <row r="52" spans="1:17" ht="15.75" customHeight="1">
      <c r="A52" s="10"/>
      <c r="B52" s="8" t="s">
        <v>84</v>
      </c>
      <c r="C52" s="79">
        <v>0.06</v>
      </c>
      <c r="E52" s="235"/>
      <c r="G52" s="22">
        <f>IFERROR(ABS(Normalized_FCF!G45/BS!$G$31),0)</f>
        <v>3.9975273026993614E-2</v>
      </c>
      <c r="H52" s="151"/>
      <c r="I52" s="151"/>
      <c r="J52" s="151"/>
      <c r="K52" s="151"/>
      <c r="L52" s="151"/>
      <c r="M52" s="151"/>
      <c r="N52" s="151"/>
      <c r="O52" s="151"/>
      <c r="P52" s="151"/>
      <c r="Q52" s="151"/>
    </row>
    <row r="53" spans="1:17" ht="15.75" customHeight="1">
      <c r="A53" s="10"/>
      <c r="B53" s="25" t="s">
        <v>87</v>
      </c>
      <c r="C53" s="40">
        <f>-C8/C45</f>
        <v>725.36633570878223</v>
      </c>
      <c r="E53" s="238"/>
      <c r="G53" s="40">
        <f t="shared" ref="G53:Q53" si="19">IF(G4="","",-G8/G45)</f>
        <v>1299.7268041237114</v>
      </c>
      <c r="H53" s="40">
        <f t="shared" si="19"/>
        <v>1044.2211571379664</v>
      </c>
      <c r="I53" s="40">
        <f t="shared" si="19"/>
        <v>3480.3455882352941</v>
      </c>
      <c r="J53" s="40">
        <f t="shared" si="19"/>
        <v>3072.1019607843136</v>
      </c>
      <c r="K53" s="40" t="e">
        <f t="shared" si="19"/>
        <v>#DIV/0!</v>
      </c>
      <c r="L53" s="40" t="e">
        <f t="shared" si="19"/>
        <v>#DIV/0!</v>
      </c>
      <c r="M53" s="40" t="e">
        <f t="shared" si="19"/>
        <v>#DIV/0!</v>
      </c>
      <c r="N53" s="40" t="e">
        <f t="shared" si="19"/>
        <v>#DIV/0!</v>
      </c>
      <c r="O53" s="40" t="e">
        <f t="shared" si="19"/>
        <v>#DIV/0!</v>
      </c>
      <c r="P53" s="40" t="e">
        <f t="shared" si="19"/>
        <v>#DIV/0!</v>
      </c>
      <c r="Q53" s="40" t="str">
        <f t="shared" si="19"/>
        <v/>
      </c>
    </row>
    <row r="54" spans="1:17" ht="15.75" customHeight="1">
      <c r="A54" s="10"/>
      <c r="E54" s="238"/>
    </row>
    <row r="55" spans="1:17" ht="15.75" customHeight="1">
      <c r="A55" s="10"/>
      <c r="B55" s="61" t="s">
        <v>139</v>
      </c>
      <c r="E55" s="238"/>
      <c r="G55" s="94" t="s">
        <v>188</v>
      </c>
    </row>
    <row r="56" spans="1:17" ht="15.75" customHeight="1">
      <c r="A56" s="10"/>
      <c r="B56" s="38" t="s">
        <v>138</v>
      </c>
      <c r="C56" s="270">
        <f>BS!$C67*C64</f>
        <v>0</v>
      </c>
      <c r="E56" s="238"/>
      <c r="G56" s="270">
        <f>Data!C56</f>
        <v>0</v>
      </c>
      <c r="H56" s="270">
        <f>Data!D56</f>
        <v>0</v>
      </c>
      <c r="I56" s="270">
        <f>Data!E56</f>
        <v>0</v>
      </c>
      <c r="J56" s="270">
        <f>Data!F56</f>
        <v>0</v>
      </c>
      <c r="K56" s="270">
        <f>Data!G56</f>
        <v>0</v>
      </c>
      <c r="L56" s="270">
        <f>Data!H56</f>
        <v>0</v>
      </c>
      <c r="M56" s="270">
        <f>Data!I56</f>
        <v>0</v>
      </c>
      <c r="N56" s="270">
        <f>Data!J56</f>
        <v>0</v>
      </c>
      <c r="O56" s="270">
        <f>Data!K56</f>
        <v>0</v>
      </c>
      <c r="P56" s="270">
        <f>Data!L56</f>
        <v>0</v>
      </c>
      <c r="Q56" s="270" t="str">
        <f>Data!M56</f>
        <v/>
      </c>
    </row>
    <row r="57" spans="1:17" ht="15.75" customHeight="1">
      <c r="A57" s="10"/>
      <c r="B57" s="38" t="s">
        <v>134</v>
      </c>
      <c r="C57" s="270">
        <f>BS!$C68*C65</f>
        <v>0</v>
      </c>
      <c r="E57" s="238"/>
      <c r="G57" s="270">
        <f>Data!C55</f>
        <v>0</v>
      </c>
      <c r="H57" s="270">
        <f>Data!D55</f>
        <v>0</v>
      </c>
      <c r="I57" s="270">
        <f>Data!E55</f>
        <v>0</v>
      </c>
      <c r="J57" s="270">
        <f>Data!F55</f>
        <v>0</v>
      </c>
      <c r="K57" s="270">
        <f>Data!G55</f>
        <v>0</v>
      </c>
      <c r="L57" s="270">
        <f>Data!H55</f>
        <v>0</v>
      </c>
      <c r="M57" s="270">
        <f>Data!I55</f>
        <v>0</v>
      </c>
      <c r="N57" s="270">
        <f>Data!J55</f>
        <v>0</v>
      </c>
      <c r="O57" s="270">
        <f>Data!K55</f>
        <v>0</v>
      </c>
      <c r="P57" s="270">
        <f>Data!L55</f>
        <v>0</v>
      </c>
      <c r="Q57" s="270" t="str">
        <f>Data!M55</f>
        <v/>
      </c>
    </row>
    <row r="58" spans="1:17" ht="15.75" customHeight="1">
      <c r="A58" s="10"/>
      <c r="B58" s="38" t="s">
        <v>133</v>
      </c>
      <c r="C58" s="270">
        <f>BS!$C69*C66</f>
        <v>0</v>
      </c>
      <c r="E58" s="238"/>
      <c r="G58" s="270">
        <f>Data!C57</f>
        <v>0</v>
      </c>
      <c r="H58" s="270">
        <f>Data!D57</f>
        <v>0</v>
      </c>
      <c r="I58" s="270">
        <f>Data!E57</f>
        <v>0</v>
      </c>
      <c r="J58" s="270">
        <f>Data!F57</f>
        <v>0</v>
      </c>
      <c r="K58" s="270">
        <f>Data!G57</f>
        <v>0</v>
      </c>
      <c r="L58" s="270">
        <f>Data!H57</f>
        <v>0</v>
      </c>
      <c r="M58" s="270">
        <f>Data!I57</f>
        <v>0</v>
      </c>
      <c r="N58" s="270">
        <f>Data!J57</f>
        <v>0</v>
      </c>
      <c r="O58" s="270">
        <f>Data!K57</f>
        <v>0</v>
      </c>
      <c r="P58" s="270">
        <f>Data!L57</f>
        <v>0</v>
      </c>
      <c r="Q58" s="270" t="str">
        <f>Data!M57</f>
        <v/>
      </c>
    </row>
    <row r="59" spans="1:17" ht="15.75" customHeight="1">
      <c r="A59" s="10"/>
      <c r="B59" s="30" t="s">
        <v>163</v>
      </c>
      <c r="C59" s="271">
        <f>SUM(C56:C58)</f>
        <v>0</v>
      </c>
      <c r="E59" s="238"/>
      <c r="G59" s="271">
        <f t="shared" ref="G59:Q59" si="20">IF(G4="","",SUM(G56:G58))</f>
        <v>0</v>
      </c>
      <c r="H59" s="271">
        <f t="shared" si="20"/>
        <v>0</v>
      </c>
      <c r="I59" s="271">
        <f t="shared" si="20"/>
        <v>0</v>
      </c>
      <c r="J59" s="271">
        <f t="shared" si="20"/>
        <v>0</v>
      </c>
      <c r="K59" s="271">
        <f t="shared" si="20"/>
        <v>0</v>
      </c>
      <c r="L59" s="271">
        <f t="shared" si="20"/>
        <v>0</v>
      </c>
      <c r="M59" s="271">
        <f t="shared" si="20"/>
        <v>0</v>
      </c>
      <c r="N59" s="271">
        <f t="shared" si="20"/>
        <v>0</v>
      </c>
      <c r="O59" s="271">
        <f t="shared" si="20"/>
        <v>0</v>
      </c>
      <c r="P59" s="271">
        <f t="shared" si="20"/>
        <v>0</v>
      </c>
      <c r="Q59" s="271" t="str">
        <f t="shared" si="20"/>
        <v/>
      </c>
    </row>
    <row r="60" spans="1:17" ht="15.75" customHeight="1">
      <c r="A60" s="10"/>
      <c r="B60" s="38" t="s">
        <v>135</v>
      </c>
      <c r="C60" s="283">
        <v>0</v>
      </c>
      <c r="E60" s="236" t="s">
        <v>264</v>
      </c>
      <c r="G60" s="270">
        <f>Data!C58</f>
        <v>71540</v>
      </c>
      <c r="H60" s="270">
        <f>Data!D58</f>
        <v>-1970</v>
      </c>
      <c r="I60" s="270">
        <f>Data!E58</f>
        <v>-213084</v>
      </c>
      <c r="J60" s="270">
        <f>Data!F58</f>
        <v>146926</v>
      </c>
      <c r="K60" s="270">
        <f>Data!G58</f>
        <v>241907</v>
      </c>
      <c r="L60" s="270">
        <f>Data!H58</f>
        <v>76414</v>
      </c>
      <c r="M60" s="270">
        <f>Data!I58</f>
        <v>153139</v>
      </c>
      <c r="N60" s="270">
        <f>Data!J58</f>
        <v>180886</v>
      </c>
      <c r="O60" s="270">
        <f>Data!K58</f>
        <v>-91620</v>
      </c>
      <c r="P60" s="270">
        <f>Data!L58</f>
        <v>-780473</v>
      </c>
      <c r="Q60" s="270" t="str">
        <f>Data!M58</f>
        <v/>
      </c>
    </row>
    <row r="61" spans="1:17" ht="15.75" customHeight="1">
      <c r="A61" s="10"/>
      <c r="B61" s="30" t="s">
        <v>164</v>
      </c>
      <c r="C61" s="271">
        <f>C59+C60</f>
        <v>0</v>
      </c>
      <c r="E61" s="238"/>
      <c r="G61" s="271">
        <f t="shared" ref="G61:Q61" si="21">IF(G4="","",G59+G60)</f>
        <v>71540</v>
      </c>
      <c r="H61" s="271">
        <f t="shared" si="21"/>
        <v>-1970</v>
      </c>
      <c r="I61" s="271">
        <f t="shared" si="21"/>
        <v>-213084</v>
      </c>
      <c r="J61" s="271">
        <f t="shared" si="21"/>
        <v>146926</v>
      </c>
      <c r="K61" s="271">
        <f t="shared" si="21"/>
        <v>241907</v>
      </c>
      <c r="L61" s="271">
        <f t="shared" si="21"/>
        <v>76414</v>
      </c>
      <c r="M61" s="271">
        <f t="shared" si="21"/>
        <v>153139</v>
      </c>
      <c r="N61" s="271">
        <f t="shared" si="21"/>
        <v>180886</v>
      </c>
      <c r="O61" s="271">
        <f t="shared" si="21"/>
        <v>-91620</v>
      </c>
      <c r="P61" s="271">
        <f t="shared" si="21"/>
        <v>-780473</v>
      </c>
      <c r="Q61" s="271" t="str">
        <f t="shared" si="21"/>
        <v/>
      </c>
    </row>
    <row r="62" spans="1:17" ht="15.75" customHeight="1">
      <c r="A62" s="10"/>
      <c r="E62" s="238"/>
    </row>
    <row r="63" spans="1:17" ht="15.75" customHeight="1">
      <c r="A63" s="10"/>
      <c r="B63" s="93" t="s">
        <v>140</v>
      </c>
      <c r="E63" s="238"/>
      <c r="G63" s="94" t="s">
        <v>188</v>
      </c>
    </row>
    <row r="64" spans="1:17" ht="15.75" customHeight="1">
      <c r="A64" s="10"/>
      <c r="B64" s="38" t="s">
        <v>138</v>
      </c>
      <c r="C64" s="158">
        <f>G64</f>
        <v>0</v>
      </c>
      <c r="E64" s="238"/>
      <c r="G64" s="22">
        <f>IFERROR(G56/BS!$C$67,0)</f>
        <v>0</v>
      </c>
      <c r="H64" s="157"/>
      <c r="I64" s="157"/>
      <c r="J64" s="157"/>
      <c r="K64" s="157"/>
      <c r="L64" s="157"/>
      <c r="M64" s="157"/>
      <c r="N64" s="157"/>
      <c r="O64" s="157"/>
      <c r="P64" s="157"/>
      <c r="Q64" s="157"/>
    </row>
    <row r="65" spans="1:17" ht="15.75" customHeight="1">
      <c r="A65" s="10"/>
      <c r="B65" s="102" t="s">
        <v>132</v>
      </c>
      <c r="C65" s="158">
        <f>G65</f>
        <v>0</v>
      </c>
      <c r="E65" s="238"/>
      <c r="G65" s="22">
        <f>IFERROR(G57/BS!$C$68,0)</f>
        <v>0</v>
      </c>
      <c r="H65" s="157"/>
      <c r="I65" s="157"/>
      <c r="J65" s="157"/>
      <c r="K65" s="157"/>
      <c r="L65" s="157"/>
      <c r="M65" s="157"/>
      <c r="N65" s="157"/>
      <c r="O65" s="157"/>
      <c r="P65" s="157"/>
      <c r="Q65" s="157"/>
    </row>
    <row r="66" spans="1:17" ht="15.75" customHeight="1">
      <c r="A66" s="10"/>
      <c r="B66" s="102" t="s">
        <v>133</v>
      </c>
      <c r="C66" s="158">
        <f>G66</f>
        <v>0</v>
      </c>
      <c r="E66" s="238"/>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3"/>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5"/>
      <c r="F70" s="26"/>
      <c r="G70" s="94"/>
      <c r="H70" s="12"/>
      <c r="I70" s="12"/>
      <c r="J70" s="12"/>
      <c r="K70" s="12"/>
      <c r="L70" s="12"/>
      <c r="M70" s="12"/>
      <c r="N70" s="12"/>
      <c r="O70" s="12"/>
      <c r="P70" s="12"/>
      <c r="Q70" s="12"/>
    </row>
    <row r="71" spans="1:17" ht="15.75" customHeight="1">
      <c r="A71" s="10"/>
      <c r="B71" s="2" t="s">
        <v>43</v>
      </c>
      <c r="C71" s="74">
        <f t="shared" ref="C71:C76" si="22">ABS(C5/C$4)</f>
        <v>0.53643826452109311</v>
      </c>
      <c r="D71" s="26"/>
      <c r="E71" s="235"/>
      <c r="F71" s="26"/>
      <c r="G71" s="6">
        <f t="shared" ref="G71:Q71" si="23">IF(G$4="","",ABS(G5/G$4))</f>
        <v>0.50994225825588291</v>
      </c>
      <c r="H71" s="6">
        <f t="shared" si="23"/>
        <v>0.44806849963368273</v>
      </c>
      <c r="I71" s="6">
        <f t="shared" si="23"/>
        <v>0.39850870127146165</v>
      </c>
      <c r="J71" s="6">
        <f t="shared" si="23"/>
        <v>0.41705213446699729</v>
      </c>
      <c r="K71" s="6">
        <f t="shared" si="23"/>
        <v>0.61154865296071936</v>
      </c>
      <c r="L71" s="6">
        <f t="shared" si="23"/>
        <v>0.5506452316538254</v>
      </c>
      <c r="M71" s="6">
        <f t="shared" si="23"/>
        <v>0.54100916505343211</v>
      </c>
      <c r="N71" s="6">
        <f t="shared" si="23"/>
        <v>0.51935383340985197</v>
      </c>
      <c r="O71" s="6">
        <f t="shared" si="23"/>
        <v>0.75709451152973806</v>
      </c>
      <c r="P71" s="6">
        <f t="shared" si="23"/>
        <v>0.85661782935137176</v>
      </c>
      <c r="Q71" s="6" t="str">
        <f t="shared" si="23"/>
        <v/>
      </c>
    </row>
    <row r="72" spans="1:17" ht="15.75" customHeight="1">
      <c r="A72" s="10"/>
      <c r="B72" s="30" t="s">
        <v>45</v>
      </c>
      <c r="C72" s="75">
        <f t="shared" si="22"/>
        <v>0.46356173547890689</v>
      </c>
      <c r="D72" s="26"/>
      <c r="E72" s="235"/>
      <c r="F72" s="26"/>
      <c r="G72" s="62">
        <f t="shared" ref="G72:Q72" si="24">IF(G$4="","",ABS(G6/G$4))</f>
        <v>0.49005774174411709</v>
      </c>
      <c r="H72" s="62">
        <f t="shared" si="24"/>
        <v>0.55193150036631733</v>
      </c>
      <c r="I72" s="62">
        <f t="shared" si="24"/>
        <v>0.60149129872853835</v>
      </c>
      <c r="J72" s="62">
        <f t="shared" si="24"/>
        <v>0.58294786553300271</v>
      </c>
      <c r="K72" s="62">
        <f t="shared" si="24"/>
        <v>0.38845134703928069</v>
      </c>
      <c r="L72" s="62">
        <f t="shared" si="24"/>
        <v>0.44935476834617455</v>
      </c>
      <c r="M72" s="62">
        <f t="shared" si="24"/>
        <v>0.45899083494656795</v>
      </c>
      <c r="N72" s="62">
        <f t="shared" si="24"/>
        <v>0.48064616659014803</v>
      </c>
      <c r="O72" s="62">
        <f t="shared" si="24"/>
        <v>0.24290548847026192</v>
      </c>
      <c r="P72" s="62">
        <f t="shared" si="24"/>
        <v>0.14338217064862827</v>
      </c>
      <c r="Q72" s="62" t="str">
        <f t="shared" si="24"/>
        <v/>
      </c>
    </row>
    <row r="73" spans="1:17" ht="15.75" customHeight="1">
      <c r="A73" s="10"/>
      <c r="B73" s="8" t="s">
        <v>42</v>
      </c>
      <c r="C73" s="74">
        <f t="shared" si="22"/>
        <v>4.5898754202096104E-2</v>
      </c>
      <c r="D73" s="26"/>
      <c r="E73" s="235"/>
      <c r="F73" s="26"/>
      <c r="G73" s="6">
        <f t="shared" ref="G73:Q73" si="25">IF(G$4="","",ABS(G7/G$4))</f>
        <v>4.1308878781886493E-2</v>
      </c>
      <c r="H73" s="6">
        <f t="shared" si="25"/>
        <v>3.4169695545867067E-2</v>
      </c>
      <c r="I73" s="6">
        <f t="shared" si="25"/>
        <v>2.5297517784844497E-2</v>
      </c>
      <c r="J73" s="6">
        <f t="shared" si="25"/>
        <v>2.9382185918292416E-2</v>
      </c>
      <c r="K73" s="6">
        <f t="shared" si="25"/>
        <v>4.551319243093048E-2</v>
      </c>
      <c r="L73" s="6">
        <f t="shared" si="25"/>
        <v>4.7112041739763286E-2</v>
      </c>
      <c r="M73" s="6">
        <f t="shared" si="25"/>
        <v>5.5708408931098241E-2</v>
      </c>
      <c r="N73" s="6">
        <f t="shared" si="25"/>
        <v>5.8190823411355438E-2</v>
      </c>
      <c r="O73" s="6">
        <f t="shared" si="25"/>
        <v>0.11257897601228807</v>
      </c>
      <c r="P73" s="6">
        <f t="shared" si="25"/>
        <v>0.1711594893192476</v>
      </c>
      <c r="Q73" s="6" t="str">
        <f t="shared" si="25"/>
        <v/>
      </c>
    </row>
    <row r="74" spans="1:17" ht="15.75" customHeight="1">
      <c r="A74" s="10"/>
      <c r="B74" s="28" t="s">
        <v>127</v>
      </c>
      <c r="C74" s="75">
        <f t="shared" si="22"/>
        <v>0.41766298127681079</v>
      </c>
      <c r="D74" s="26"/>
      <c r="E74" s="235"/>
      <c r="F74" s="26"/>
      <c r="G74" s="62">
        <f t="shared" ref="G74:Q74" si="26">IF(G$4="","",ABS(G8/G$4))</f>
        <v>0.4487488629622306</v>
      </c>
      <c r="H74" s="62">
        <f t="shared" si="26"/>
        <v>0.5177618048204502</v>
      </c>
      <c r="I74" s="62">
        <f t="shared" si="26"/>
        <v>0.57619378094369389</v>
      </c>
      <c r="J74" s="62">
        <f t="shared" si="26"/>
        <v>0.55356567961471026</v>
      </c>
      <c r="K74" s="62">
        <f t="shared" si="26"/>
        <v>0.3429381546083502</v>
      </c>
      <c r="L74" s="62">
        <f t="shared" si="26"/>
        <v>0.40224272660641125</v>
      </c>
      <c r="M74" s="62">
        <f t="shared" si="26"/>
        <v>0.40328242601546971</v>
      </c>
      <c r="N74" s="62">
        <f t="shared" si="26"/>
        <v>0.42245534317879263</v>
      </c>
      <c r="O74" s="62">
        <f t="shared" si="26"/>
        <v>0.13032651245797386</v>
      </c>
      <c r="P74" s="62">
        <f t="shared" si="26"/>
        <v>2.777731867061933E-2</v>
      </c>
      <c r="Q74" s="62" t="str">
        <f t="shared" si="26"/>
        <v/>
      </c>
    </row>
    <row r="75" spans="1:17" ht="15.75" customHeight="1">
      <c r="A75" s="10"/>
      <c r="B75" s="26" t="s">
        <v>128</v>
      </c>
      <c r="C75" s="74">
        <f t="shared" si="22"/>
        <v>0</v>
      </c>
      <c r="D75" s="26"/>
      <c r="E75" s="235"/>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65</v>
      </c>
      <c r="C76" s="74">
        <f t="shared" si="22"/>
        <v>2.1779514892326492E-3</v>
      </c>
      <c r="D76" s="26"/>
      <c r="E76" s="235"/>
      <c r="F76" s="26"/>
      <c r="G76" s="6">
        <f t="shared" ref="G76:Q76" si="28">IF(G$4="","",ABS(G10/G$4))</f>
        <v>7.2796095293693732E-3</v>
      </c>
      <c r="H76" s="6">
        <f t="shared" si="28"/>
        <v>5.5889598138447738E-3</v>
      </c>
      <c r="I76" s="6">
        <f t="shared" si="28"/>
        <v>2.5250993396605912E-3</v>
      </c>
      <c r="J76" s="6">
        <f t="shared" si="28"/>
        <v>1.849782998571411E-3</v>
      </c>
      <c r="K76" s="6">
        <f t="shared" si="28"/>
        <v>0</v>
      </c>
      <c r="L76" s="6">
        <f t="shared" si="28"/>
        <v>0</v>
      </c>
      <c r="M76" s="6">
        <f t="shared" si="28"/>
        <v>0</v>
      </c>
      <c r="N76" s="6">
        <f t="shared" si="28"/>
        <v>0</v>
      </c>
      <c r="O76" s="6">
        <f t="shared" si="28"/>
        <v>0</v>
      </c>
      <c r="P76" s="6">
        <f t="shared" si="28"/>
        <v>0</v>
      </c>
      <c r="Q76" s="6" t="str">
        <f t="shared" si="28"/>
        <v/>
      </c>
    </row>
    <row r="77" spans="1:17" ht="15.75" customHeight="1">
      <c r="A77" s="10"/>
      <c r="B77" s="67" t="s">
        <v>137</v>
      </c>
      <c r="C77" s="75">
        <f>C11/C4</f>
        <v>0.41984093276604345</v>
      </c>
      <c r="D77" s="26"/>
      <c r="E77" s="235"/>
      <c r="F77" s="26"/>
      <c r="G77" s="62">
        <f t="shared" ref="G77:Q77" si="29">IF(G$4="","",G11/G$4)</f>
        <v>0.45602847249159995</v>
      </c>
      <c r="H77" s="62">
        <f t="shared" si="29"/>
        <v>0.52335076463429497</v>
      </c>
      <c r="I77" s="62">
        <f t="shared" si="29"/>
        <v>0.5787188802833545</v>
      </c>
      <c r="J77" s="62">
        <f t="shared" si="29"/>
        <v>0.55541546261328167</v>
      </c>
      <c r="K77" s="62">
        <f t="shared" si="29"/>
        <v>0.3429381546083502</v>
      </c>
      <c r="L77" s="62">
        <f t="shared" si="29"/>
        <v>0.40224272660641125</v>
      </c>
      <c r="M77" s="62">
        <f t="shared" si="29"/>
        <v>0.40328242601546971</v>
      </c>
      <c r="N77" s="62">
        <f t="shared" si="29"/>
        <v>0.42245534317879263</v>
      </c>
      <c r="O77" s="62">
        <f t="shared" si="29"/>
        <v>0.13032651245797386</v>
      </c>
      <c r="P77" s="62">
        <f t="shared" si="29"/>
        <v>-2.777731867061933E-2</v>
      </c>
      <c r="Q77" s="62" t="str">
        <f t="shared" si="29"/>
        <v/>
      </c>
    </row>
    <row r="78" spans="1:17" ht="15.75" customHeight="1">
      <c r="A78" s="10"/>
      <c r="B78" s="2" t="s">
        <v>60</v>
      </c>
      <c r="C78" s="74">
        <f>ABS(C12/C$4)</f>
        <v>0.10496023319151086</v>
      </c>
      <c r="D78" s="26"/>
      <c r="E78" s="235"/>
      <c r="F78" s="26"/>
      <c r="G78" s="6">
        <f t="shared" ref="G78:Q78" si="30">IF(G$4="","",ABS(G12/G$4))</f>
        <v>0.14058176784654933</v>
      </c>
      <c r="H78" s="6">
        <f t="shared" si="30"/>
        <v>0.15582556507580628</v>
      </c>
      <c r="I78" s="6">
        <f t="shared" si="30"/>
        <v>0.16041181688625017</v>
      </c>
      <c r="J78" s="6">
        <f t="shared" si="30"/>
        <v>0.15140694687172565</v>
      </c>
      <c r="K78" s="6">
        <f t="shared" si="30"/>
        <v>0.10641386396780947</v>
      </c>
      <c r="L78" s="6">
        <f t="shared" si="30"/>
        <v>0.11802472173318847</v>
      </c>
      <c r="M78" s="6">
        <f t="shared" si="30"/>
        <v>0.13232710537966716</v>
      </c>
      <c r="N78" s="6">
        <f t="shared" si="30"/>
        <v>0.13394137310688431</v>
      </c>
      <c r="O78" s="6">
        <f t="shared" si="30"/>
        <v>4.2323131027661977E-2</v>
      </c>
      <c r="P78" s="6">
        <f t="shared" si="30"/>
        <v>6.2334564909154379E-2</v>
      </c>
      <c r="Q78" s="6" t="str">
        <f t="shared" si="30"/>
        <v/>
      </c>
    </row>
    <row r="79" spans="1:17" ht="15.75" customHeight="1">
      <c r="A79" s="10"/>
      <c r="B79" s="38" t="str">
        <f>B13</f>
        <v>NCI’s Share of Profits</v>
      </c>
      <c r="C79" s="234">
        <f>MIN(BS!C62,MAX(G79:K79))</f>
        <v>7.3819874960039958E-2</v>
      </c>
      <c r="D79" s="26"/>
      <c r="E79" s="235"/>
      <c r="F79" s="26"/>
      <c r="G79" s="6">
        <f t="shared" ref="G79:Q79" si="31">IF(G$4="","",-G13/G$4)</f>
        <v>6.3458374530353967E-2</v>
      </c>
      <c r="H79" s="6">
        <f t="shared" si="31"/>
        <v>6.9883932760579234E-2</v>
      </c>
      <c r="I79" s="6">
        <f t="shared" si="31"/>
        <v>7.2160837150972545E-2</v>
      </c>
      <c r="J79" s="6">
        <f t="shared" si="31"/>
        <v>7.3819874960039958E-2</v>
      </c>
      <c r="K79" s="6">
        <f t="shared" si="31"/>
        <v>2.6830951893080501E-2</v>
      </c>
      <c r="L79" s="6">
        <f t="shared" si="31"/>
        <v>9.2336924328587956E-3</v>
      </c>
      <c r="M79" s="6">
        <f t="shared" si="31"/>
        <v>1.3954841005963904E-2</v>
      </c>
      <c r="N79" s="6">
        <f t="shared" si="31"/>
        <v>2.9359818567352609E-2</v>
      </c>
      <c r="O79" s="6">
        <f t="shared" si="31"/>
        <v>0</v>
      </c>
      <c r="P79" s="6">
        <f t="shared" si="31"/>
        <v>0</v>
      </c>
      <c r="Q79" s="6" t="str">
        <f t="shared" si="31"/>
        <v/>
      </c>
    </row>
    <row r="80" spans="1:17" ht="15.75" customHeight="1">
      <c r="A80" s="10"/>
      <c r="B80" s="39" t="s">
        <v>129</v>
      </c>
      <c r="C80" s="75">
        <f>ABS(C14/C$4)</f>
        <v>0.24106082461449263</v>
      </c>
      <c r="D80" s="26"/>
      <c r="E80" s="235"/>
      <c r="F80" s="26"/>
      <c r="G80" s="62">
        <f t="shared" ref="G80:Q80" si="32">IF(G$4="","",ABS(G14/G$4))</f>
        <v>0.25198833011469668</v>
      </c>
      <c r="H80" s="62">
        <f t="shared" si="32"/>
        <v>0.29764126679790948</v>
      </c>
      <c r="I80" s="62">
        <f t="shared" si="32"/>
        <v>0.34614622624613173</v>
      </c>
      <c r="J80" s="62">
        <f t="shared" si="32"/>
        <v>0.33018864078151611</v>
      </c>
      <c r="K80" s="62">
        <f t="shared" si="32"/>
        <v>0.20969333874746024</v>
      </c>
      <c r="L80" s="62">
        <f t="shared" si="32"/>
        <v>0.27498431244036403</v>
      </c>
      <c r="M80" s="62">
        <f t="shared" si="32"/>
        <v>0.25700047962983863</v>
      </c>
      <c r="N80" s="62">
        <f t="shared" si="32"/>
        <v>0.25915415150455567</v>
      </c>
      <c r="O80" s="62">
        <f t="shared" si="32"/>
        <v>8.8003381430311875E-2</v>
      </c>
      <c r="P80" s="62">
        <f t="shared" si="32"/>
        <v>3.4557246238535053E-2</v>
      </c>
      <c r="Q80" s="62" t="str">
        <f t="shared" si="32"/>
        <v/>
      </c>
    </row>
    <row r="81" spans="1:17" ht="15.75" customHeight="1">
      <c r="A81" s="10"/>
      <c r="B81" s="2" t="s">
        <v>62</v>
      </c>
      <c r="C81" s="74">
        <f>ABS(C15/C$4)</f>
        <v>0</v>
      </c>
      <c r="D81" s="26"/>
      <c r="E81" s="235"/>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v>
      </c>
      <c r="D82" s="26"/>
      <c r="E82" s="236" t="s">
        <v>555</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4">
        <v>0</v>
      </c>
      <c r="D83" s="26"/>
      <c r="E83" s="237"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7" t="str">
        <f>E18</f>
        <v>Net borrowing is excluded</v>
      </c>
      <c r="G84" s="151"/>
      <c r="H84" s="151"/>
      <c r="I84" s="151"/>
      <c r="J84" s="151"/>
      <c r="K84" s="151"/>
      <c r="L84" s="151"/>
      <c r="M84" s="151"/>
      <c r="N84" s="151"/>
      <c r="O84" s="151"/>
      <c r="P84" s="151"/>
      <c r="Q84" s="151"/>
    </row>
    <row r="85" spans="1:17" ht="15.75" customHeight="1">
      <c r="A85" s="10"/>
      <c r="B85" s="30" t="s">
        <v>117</v>
      </c>
      <c r="C85" s="75">
        <f>ABS(C19/C$4)</f>
        <v>0.24106082461449263</v>
      </c>
      <c r="D85" s="72"/>
      <c r="E85" s="235"/>
      <c r="F85" s="72"/>
      <c r="G85" s="62">
        <f t="shared" ref="G85:Q85" si="35">IF(G$4="","",ABS(G19/G$4))</f>
        <v>0.25198833011469668</v>
      </c>
      <c r="H85" s="62">
        <f t="shared" si="35"/>
        <v>0.29764126679790948</v>
      </c>
      <c r="I85" s="62">
        <f t="shared" si="35"/>
        <v>0.34614622624613173</v>
      </c>
      <c r="J85" s="62">
        <f t="shared" si="35"/>
        <v>0.33018864078151611</v>
      </c>
      <c r="K85" s="62">
        <f t="shared" si="35"/>
        <v>0.20969333874746024</v>
      </c>
      <c r="L85" s="62">
        <f t="shared" si="35"/>
        <v>0.27498431244036403</v>
      </c>
      <c r="M85" s="62">
        <f t="shared" si="35"/>
        <v>0.25700047962983863</v>
      </c>
      <c r="N85" s="62">
        <f t="shared" si="35"/>
        <v>0.25915415150455567</v>
      </c>
      <c r="O85" s="62">
        <f t="shared" si="35"/>
        <v>8.8003381430311875E-2</v>
      </c>
      <c r="P85" s="62">
        <f t="shared" si="35"/>
        <v>3.4557246238535053E-2</v>
      </c>
      <c r="Q85" s="62" t="str">
        <f t="shared" si="35"/>
        <v/>
      </c>
    </row>
    <row r="86" spans="1:17" ht="15.75" customHeight="1">
      <c r="A86" s="10"/>
      <c r="E86" s="238"/>
    </row>
    <row r="87" spans="1:17" ht="15.75" customHeight="1">
      <c r="A87" s="10"/>
      <c r="B87" s="61" t="s">
        <v>183</v>
      </c>
      <c r="E87" s="238"/>
    </row>
    <row r="88" spans="1:17" ht="15.75" customHeight="1">
      <c r="A88" s="10"/>
      <c r="B88" s="2" t="str">
        <f>"Dividend per share ("&amp;Market_currency&amp;")"</f>
        <v>Dividend per share (HKD)</v>
      </c>
      <c r="C88" s="110">
        <f>G88</f>
        <v>0.3</v>
      </c>
      <c r="E88" s="238"/>
      <c r="G88" s="109">
        <f>Data!C65</f>
        <v>0.3</v>
      </c>
      <c r="H88" s="109">
        <f>Data!D65</f>
        <v>0.28000000000000003</v>
      </c>
      <c r="I88" s="109">
        <f>Data!E65</f>
        <v>0.43000000000000005</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1527319.7309999999</v>
      </c>
      <c r="E89" s="238"/>
      <c r="G89" s="71">
        <f t="shared" ref="G89:Q89" si="36">IF(G$4="","",G88*Common_Shares/scaling_factor)</f>
        <v>1527319.7309999999</v>
      </c>
      <c r="H89" s="71">
        <f t="shared" si="36"/>
        <v>1425498.4156000002</v>
      </c>
      <c r="I89" s="71">
        <f t="shared" si="36"/>
        <v>2189158.2811000003</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1.3920917554199108</v>
      </c>
      <c r="E90" s="238"/>
      <c r="G90" s="152">
        <f t="shared" ref="G90:Q90" si="37">IF(G$4="","",G88/(G19*scaling_factor/Common_Shares))</f>
        <v>1.1985511698618521</v>
      </c>
      <c r="H90" s="152">
        <f t="shared" si="37"/>
        <v>0.81297943310871468</v>
      </c>
      <c r="I90" s="152">
        <f t="shared" si="37"/>
        <v>0.7698832124581928</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6">
        <v>0.1</v>
      </c>
      <c r="E91" s="238"/>
      <c r="G91" s="297"/>
      <c r="H91" s="297"/>
      <c r="I91" s="297"/>
      <c r="J91" s="297"/>
      <c r="K91" s="297"/>
      <c r="L91" s="297"/>
      <c r="M91" s="297"/>
      <c r="N91" s="297"/>
      <c r="O91" s="297"/>
      <c r="P91" s="297"/>
      <c r="Q91" s="297"/>
    </row>
    <row r="92" spans="1:17" ht="15.75" customHeight="1">
      <c r="A92" s="10"/>
      <c r="B92" s="2" t="s">
        <v>330</v>
      </c>
      <c r="C92" s="22">
        <f>(C88*(1-dividend_tax_rate))/Market_Price</f>
        <v>8.5443037974683542E-2</v>
      </c>
      <c r="E92" s="238"/>
      <c r="G92" s="22">
        <f t="shared" ref="G92:Q92" si="38">IF(G$4="","",(G88*(1-dividend_tax_rate))/Market_Price)</f>
        <v>8.5443037974683542E-2</v>
      </c>
      <c r="H92" s="22">
        <f t="shared" si="38"/>
        <v>7.9746835443037983E-2</v>
      </c>
      <c r="I92" s="22">
        <f t="shared" si="38"/>
        <v>0.12246835443037976</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8"/>
    </row>
    <row r="94" spans="1:17" ht="15.75" customHeight="1">
      <c r="A94" s="10"/>
      <c r="B94" s="143" t="s">
        <v>81</v>
      </c>
      <c r="C94" s="59"/>
      <c r="D94" s="26"/>
      <c r="E94" s="235"/>
      <c r="F94" s="26"/>
      <c r="G94" s="12"/>
      <c r="H94" s="12"/>
      <c r="I94" s="12"/>
      <c r="J94" s="12"/>
      <c r="K94" s="12"/>
      <c r="L94" s="12"/>
      <c r="M94" s="12"/>
      <c r="N94" s="12"/>
      <c r="O94" s="12"/>
      <c r="P94" s="12"/>
      <c r="Q94" s="12"/>
    </row>
    <row r="95" spans="1:17" ht="15.75" customHeight="1">
      <c r="A95" s="10"/>
      <c r="B95" s="26" t="s">
        <v>121</v>
      </c>
      <c r="C95" s="74">
        <f>C4/G4-1</f>
        <v>-9.9999999999999978E-2</v>
      </c>
      <c r="D95" s="26"/>
      <c r="E95" s="235"/>
      <c r="F95" s="26"/>
      <c r="G95" s="6">
        <f t="shared" ref="G95:Q95" si="39">IF(H4="","",G4/H4-1)</f>
        <v>-0.1415817980712496</v>
      </c>
      <c r="H95" s="6">
        <f t="shared" si="39"/>
        <v>-0.28286433169533853</v>
      </c>
      <c r="I95" s="6">
        <f t="shared" si="39"/>
        <v>0.16095679679720432</v>
      </c>
      <c r="J95" s="6">
        <f t="shared" si="39"/>
        <v>0.77030391415856747</v>
      </c>
      <c r="K95" s="6">
        <f t="shared" si="39"/>
        <v>3.2988586072755233E-2</v>
      </c>
      <c r="L95" s="6">
        <f t="shared" si="39"/>
        <v>4.9680753170765479E-2</v>
      </c>
      <c r="M95" s="6">
        <f t="shared" si="39"/>
        <v>6.1710487735611608E-2</v>
      </c>
      <c r="N95" s="6">
        <f t="shared" si="39"/>
        <v>0.91831083190368457</v>
      </c>
      <c r="O95" s="6">
        <f t="shared" si="39"/>
        <v>-9.3529644215324947E-2</v>
      </c>
      <c r="P95" s="6" t="str">
        <f t="shared" si="39"/>
        <v/>
      </c>
      <c r="Q95" s="6" t="str">
        <f t="shared" si="39"/>
        <v/>
      </c>
    </row>
    <row r="96" spans="1:17" ht="15.75" customHeight="1">
      <c r="A96" s="10"/>
      <c r="B96" s="67" t="s">
        <v>137</v>
      </c>
      <c r="C96" s="74">
        <f>C11/G11-1</f>
        <v>-0.17141831643768857</v>
      </c>
      <c r="D96" s="26"/>
      <c r="E96" s="235"/>
      <c r="F96" s="26"/>
      <c r="G96" s="6">
        <f t="shared" ref="G96:Q96" si="40">IF(H5="","",G11/H11-1)</f>
        <v>-0.25200617284260785</v>
      </c>
      <c r="H96" s="6">
        <f t="shared" si="40"/>
        <v>-0.35147527903356401</v>
      </c>
      <c r="I96" s="6">
        <f t="shared" si="40"/>
        <v>0.20966674989318435</v>
      </c>
      <c r="J96" s="6">
        <f t="shared" si="40"/>
        <v>1.8671471932640498</v>
      </c>
      <c r="K96" s="6">
        <f t="shared" si="40"/>
        <v>-0.11930986937171073</v>
      </c>
      <c r="L96" s="6">
        <f t="shared" si="40"/>
        <v>4.6974579064557931E-2</v>
      </c>
      <c r="M96" s="6">
        <f t="shared" si="40"/>
        <v>1.3525306599978748E-2</v>
      </c>
      <c r="N96" s="6">
        <f t="shared" si="40"/>
        <v>5.2182333090267772</v>
      </c>
      <c r="O96" s="6">
        <f t="shared" si="40"/>
        <v>-5.2530066172625807</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8"/>
      <c r="G99" s="94" t="s">
        <v>188</v>
      </c>
    </row>
    <row r="100" spans="1:17" ht="15.75" customHeight="1">
      <c r="A100" s="10"/>
      <c r="B100" s="25" t="s">
        <v>1</v>
      </c>
      <c r="C100" s="284">
        <f>BS!G32</f>
        <v>22948823</v>
      </c>
      <c r="D100" s="25"/>
      <c r="E100" s="239"/>
      <c r="F100" s="25"/>
      <c r="G100" s="274">
        <f t="shared" ref="G100:Q100" si="41">IF(G$4="","",G104+G103)</f>
        <v>22948823</v>
      </c>
      <c r="H100" s="274">
        <f t="shared" si="41"/>
        <v>22491544</v>
      </c>
      <c r="I100" s="274">
        <f t="shared" si="41"/>
        <v>23463484</v>
      </c>
      <c r="J100" s="274">
        <f t="shared" si="41"/>
        <v>24779977</v>
      </c>
      <c r="K100" s="274">
        <f t="shared" si="41"/>
        <v>21433646</v>
      </c>
      <c r="L100" s="274">
        <f t="shared" si="41"/>
        <v>21472710</v>
      </c>
      <c r="M100" s="274">
        <f t="shared" si="41"/>
        <v>21251042</v>
      </c>
      <c r="N100" s="274">
        <f t="shared" si="41"/>
        <v>21694645</v>
      </c>
      <c r="O100" s="274">
        <f t="shared" si="41"/>
        <v>19104456</v>
      </c>
      <c r="P100" s="274">
        <f t="shared" si="41"/>
        <v>20727669</v>
      </c>
      <c r="Q100" s="274" t="str">
        <f t="shared" si="41"/>
        <v/>
      </c>
    </row>
    <row r="101" spans="1:17" ht="15.75" customHeight="1">
      <c r="A101" s="10"/>
      <c r="B101" s="90" t="s">
        <v>179</v>
      </c>
      <c r="C101" s="285">
        <f>BS!C4</f>
        <v>537904</v>
      </c>
      <c r="D101" s="86"/>
      <c r="E101" s="240"/>
      <c r="F101" s="86"/>
      <c r="G101" s="286">
        <f>IF(G$4="","",Data!D77)</f>
        <v>687833</v>
      </c>
      <c r="H101" s="286">
        <f>IF(H$4="","",Data!E77)</f>
        <v>2889765</v>
      </c>
      <c r="I101" s="286">
        <f>IF(I$4="","",Data!F77)</f>
        <v>3144251</v>
      </c>
      <c r="J101" s="286">
        <f>IF(J$4="","",Data!G77)</f>
        <v>2049144</v>
      </c>
      <c r="K101" s="286">
        <f>IF(K$4="","",Data!H77)</f>
        <v>1797319</v>
      </c>
      <c r="L101" s="286">
        <f>IF(L$4="","",Data!I77)</f>
        <v>0</v>
      </c>
      <c r="M101" s="286">
        <f>IF(M$4="","",Data!J77)</f>
        <v>0</v>
      </c>
      <c r="N101" s="286">
        <f>IF(N$4="","",Data!K77)</f>
        <v>0</v>
      </c>
      <c r="O101" s="286">
        <f>IF(O$4="","",Data!L77)</f>
        <v>0</v>
      </c>
      <c r="P101" s="286">
        <f>IF(P$4="","",Data!M77)</f>
        <v>0</v>
      </c>
      <c r="Q101" s="286" t="str">
        <f>IF(Q$4="","",Data!N77)</f>
        <v/>
      </c>
    </row>
    <row r="102" spans="1:17" ht="15.75" customHeight="1">
      <c r="A102" s="10"/>
      <c r="B102" s="90" t="s">
        <v>180</v>
      </c>
      <c r="C102" s="285">
        <f>BS!C6+BS!C7</f>
        <v>137638</v>
      </c>
      <c r="D102" s="86"/>
      <c r="E102" s="240"/>
      <c r="F102" s="86"/>
      <c r="G102" s="286">
        <f>IF(G$4="","",Data!D78)</f>
        <v>125636</v>
      </c>
      <c r="H102" s="286">
        <f>IF(H$4="","",Data!E78)</f>
        <v>42046</v>
      </c>
      <c r="I102" s="286">
        <f>IF(I$4="","",Data!F78)</f>
        <v>142658</v>
      </c>
      <c r="J102" s="286">
        <f>IF(J$4="","",Data!G78)</f>
        <v>131170</v>
      </c>
      <c r="K102" s="286">
        <f>IF(K$4="","",Data!H78)</f>
        <v>123530</v>
      </c>
      <c r="L102" s="286">
        <f>IF(L$4="","",Data!I78)</f>
        <v>0</v>
      </c>
      <c r="M102" s="286">
        <f>IF(M$4="","",Data!J78)</f>
        <v>0</v>
      </c>
      <c r="N102" s="286">
        <f>IF(N$4="","",Data!K78)</f>
        <v>0</v>
      </c>
      <c r="O102" s="286">
        <f>IF(O$4="","",Data!L78)</f>
        <v>0</v>
      </c>
      <c r="P102" s="286">
        <f>IF(P$4="","",Data!M78)</f>
        <v>0</v>
      </c>
      <c r="Q102" s="286" t="str">
        <f>IF(Q$4="","",Data!N78)</f>
        <v/>
      </c>
    </row>
    <row r="103" spans="1:17" ht="15.75" customHeight="1">
      <c r="A103" s="10"/>
      <c r="B103" s="25" t="s">
        <v>38</v>
      </c>
      <c r="C103" s="284">
        <f>BS!G30</f>
        <v>4047566</v>
      </c>
      <c r="D103" s="25"/>
      <c r="E103" s="239"/>
      <c r="F103" s="25"/>
      <c r="G103" s="274">
        <f>Data!C79</f>
        <v>4047566</v>
      </c>
      <c r="H103" s="274">
        <f>Data!D79</f>
        <v>4021026</v>
      </c>
      <c r="I103" s="274">
        <f>Data!E79</f>
        <v>4786265</v>
      </c>
      <c r="J103" s="274">
        <f>Data!F79</f>
        <v>5631759</v>
      </c>
      <c r="K103" s="274">
        <f>Data!G79</f>
        <v>4142576</v>
      </c>
      <c r="L103" s="274">
        <f>Data!H79</f>
        <v>4426398</v>
      </c>
      <c r="M103" s="274">
        <f>Data!I79</f>
        <v>4475236</v>
      </c>
      <c r="N103" s="274">
        <f>Data!J79</f>
        <v>4318962</v>
      </c>
      <c r="O103" s="274">
        <f>Data!K79</f>
        <v>3438763</v>
      </c>
      <c r="P103" s="274">
        <f>Data!L79</f>
        <v>3683389</v>
      </c>
      <c r="Q103" s="274" t="str">
        <f>Data!M79</f>
        <v/>
      </c>
    </row>
    <row r="104" spans="1:17" ht="15.75" customHeight="1">
      <c r="A104" s="10"/>
      <c r="B104" s="25" t="s">
        <v>28</v>
      </c>
      <c r="C104" s="284">
        <f>BS!G27</f>
        <v>18901257</v>
      </c>
      <c r="D104" s="25"/>
      <c r="E104" s="239"/>
      <c r="F104" s="25"/>
      <c r="G104" s="274">
        <f>Data!C80</f>
        <v>18901257</v>
      </c>
      <c r="H104" s="274">
        <f>Data!D80</f>
        <v>18470518</v>
      </c>
      <c r="I104" s="274">
        <f>Data!E80</f>
        <v>18677219</v>
      </c>
      <c r="J104" s="274">
        <f>Data!F80</f>
        <v>19148218</v>
      </c>
      <c r="K104" s="274">
        <f>Data!G80</f>
        <v>17291070</v>
      </c>
      <c r="L104" s="274">
        <f>Data!H80</f>
        <v>17046312</v>
      </c>
      <c r="M104" s="274">
        <f>Data!I80</f>
        <v>16775806</v>
      </c>
      <c r="N104" s="274">
        <f>Data!J80</f>
        <v>17375683</v>
      </c>
      <c r="O104" s="274">
        <f>Data!K80</f>
        <v>15665693</v>
      </c>
      <c r="P104" s="274">
        <f>Data!L80</f>
        <v>17044280</v>
      </c>
      <c r="Q104" s="274" t="str">
        <f>Data!M80</f>
        <v/>
      </c>
    </row>
    <row r="105" spans="1:17" ht="15.75" customHeight="1">
      <c r="A105" s="10"/>
      <c r="E105" s="238"/>
    </row>
    <row r="106" spans="1:17" ht="15.75" customHeight="1">
      <c r="A106" s="10"/>
      <c r="B106" s="88" t="s">
        <v>189</v>
      </c>
      <c r="C106" s="25"/>
      <c r="D106" s="25"/>
      <c r="E106" s="239"/>
      <c r="F106" s="25"/>
      <c r="G106" s="94" t="s">
        <v>188</v>
      </c>
      <c r="H106" s="12"/>
      <c r="I106" s="12"/>
      <c r="J106" s="12"/>
      <c r="K106" s="12"/>
      <c r="L106" s="12"/>
      <c r="M106" s="12"/>
      <c r="N106" s="12"/>
      <c r="O106" s="12"/>
      <c r="P106" s="12"/>
      <c r="Q106" s="12"/>
    </row>
    <row r="107" spans="1:17" ht="15.75" customHeight="1">
      <c r="A107" s="10"/>
      <c r="B107" s="25" t="s">
        <v>186</v>
      </c>
      <c r="C107" s="91">
        <f>C101/C$4</f>
        <v>0.11818689165732868</v>
      </c>
      <c r="D107" s="25"/>
      <c r="E107" s="239"/>
      <c r="F107" s="25"/>
      <c r="G107" s="91">
        <f t="shared" ref="G107:Q107" si="42">IF(G$4="","",G101/G$4)</f>
        <v>0.1360160174016215</v>
      </c>
      <c r="H107" s="91">
        <f t="shared" si="42"/>
        <v>0.49053329549073277</v>
      </c>
      <c r="I107" s="91">
        <f t="shared" si="42"/>
        <v>0.38275819294610075</v>
      </c>
      <c r="J107" s="91">
        <f t="shared" si="42"/>
        <v>0.28959817790678055</v>
      </c>
      <c r="K107" s="91">
        <f t="shared" si="42"/>
        <v>0.44967251287293741</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3.0241469470261243E-2</v>
      </c>
      <c r="D108" s="25"/>
      <c r="E108" s="239"/>
      <c r="F108" s="25"/>
      <c r="G108" s="91">
        <f t="shared" ref="G108:Q108" si="43">IF(G$4="","",G102/G$4)</f>
        <v>2.4843978643464503E-2</v>
      </c>
      <c r="H108" s="91">
        <f t="shared" si="43"/>
        <v>7.1372457421981887E-3</v>
      </c>
      <c r="I108" s="91">
        <f t="shared" si="43"/>
        <v>1.7366144843177229E-2</v>
      </c>
      <c r="J108" s="91">
        <f t="shared" si="43"/>
        <v>1.8537786019934374E-2</v>
      </c>
      <c r="K108" s="91">
        <f t="shared" si="43"/>
        <v>3.0906058142819364E-2</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9"/>
      <c r="F109" s="25"/>
      <c r="G109" s="91">
        <f>BS!$G$38/G$4</f>
        <v>0</v>
      </c>
      <c r="H109" s="186"/>
      <c r="I109" s="186"/>
      <c r="J109" s="186"/>
      <c r="K109" s="186"/>
      <c r="L109" s="186"/>
      <c r="M109" s="186"/>
      <c r="N109" s="186"/>
      <c r="O109" s="186"/>
      <c r="P109" s="186"/>
      <c r="Q109" s="186"/>
    </row>
    <row r="110" spans="1:17" ht="15.75" customHeight="1">
      <c r="A110" s="10"/>
      <c r="E110" s="238"/>
    </row>
    <row r="111" spans="1:17" ht="15.75" customHeight="1">
      <c r="A111" s="10"/>
      <c r="B111" s="61" t="s">
        <v>48</v>
      </c>
      <c r="E111" s="238"/>
    </row>
    <row r="112" spans="1:17" ht="15.75" customHeight="1">
      <c r="A112" s="10"/>
      <c r="B112" s="2" t="s">
        <v>303</v>
      </c>
      <c r="C112" s="151"/>
      <c r="E112" s="238"/>
      <c r="G112" s="254">
        <f>IF(G$4="","",Data!C$22/Data!C15)</f>
        <v>1.3057336877918428</v>
      </c>
      <c r="H112" s="254">
        <f>IF(H$4="","",Data!D$22/Data!D15)</f>
        <v>1.9744169551721951</v>
      </c>
      <c r="I112" s="254">
        <f>IF(I$4="","",Data!E$22/Data!E15)</f>
        <v>1.1630549354549591</v>
      </c>
      <c r="J112" s="254">
        <f>IF(J$4="","",Data!F$22/Data!F15)</f>
        <v>1.260471094287793</v>
      </c>
      <c r="K112" s="254">
        <f>IF(K$4="","",Data!G$22/Data!G15)</f>
        <v>0.70481763825473787</v>
      </c>
      <c r="L112" s="254">
        <f>IF(L$4="","",Data!H$22/Data!H15)</f>
        <v>1.6343627167150878</v>
      </c>
      <c r="M112" s="254">
        <f>IF(M$4="","",Data!I$22/Data!I15)</f>
        <v>1.4261750734420902</v>
      </c>
      <c r="N112" s="254">
        <f>IF(N$4="","",Data!J$22/Data!J15)</f>
        <v>1.2985902058542986</v>
      </c>
      <c r="O112" s="254">
        <f>IF(O$4="","",Data!K$22/Data!K15)</f>
        <v>3.2823548539671279</v>
      </c>
      <c r="P112" s="254">
        <f>IF(P$4="","",Data!L$22/Data!L15)</f>
        <v>-1.1544903194068661</v>
      </c>
      <c r="Q112" s="254" t="str">
        <f>IF(Q$4="","",Data!M$22/Data!M15)</f>
        <v/>
      </c>
    </row>
    <row r="113" spans="1:17" ht="15.75" customHeight="1">
      <c r="A113" s="10"/>
      <c r="B113" s="2" t="s">
        <v>304</v>
      </c>
      <c r="C113" s="151"/>
      <c r="E113" s="238"/>
      <c r="G113" s="254">
        <f>IF(G$4="","",Data!C$22/G19)</f>
        <v>1.8597384669845445</v>
      </c>
      <c r="H113" s="254">
        <f>IF(H$4="","",Data!D$22/H19)</f>
        <v>2.5909355401367407</v>
      </c>
      <c r="I113" s="254">
        <f>IF(I$4="","",Data!E$22/I19)</f>
        <v>1.3531120603744082</v>
      </c>
      <c r="J113" s="254">
        <f>IF(J$4="","",Data!F$22/J19)</f>
        <v>1.6513284365731511</v>
      </c>
      <c r="K113" s="254">
        <f>IF(K$4="","",Data!G$22/K19)</f>
        <v>0.99842984534692547</v>
      </c>
      <c r="L113" s="254">
        <f>IF(L$4="","",Data!H$22/L19)</f>
        <v>1.8066191791533639</v>
      </c>
      <c r="M113" s="254">
        <f>IF(M$4="","",Data!I$22/M19)</f>
        <v>1.7341560501990292</v>
      </c>
      <c r="N113" s="254">
        <f>IF(N$4="","",Data!J$22/N19)</f>
        <v>1.7067738949034357</v>
      </c>
      <c r="O113" s="254">
        <f>IF(O$4="","",Data!K$22/O19)</f>
        <v>1.3942527436650844</v>
      </c>
      <c r="P113" s="254">
        <f>IF(P$4="","",Data!L$22/P19)</f>
        <v>11.904562451085539</v>
      </c>
      <c r="Q113" s="254" t="str">
        <f>IF(Q$4="","",Data!M$22/Q19)</f>
        <v/>
      </c>
    </row>
    <row r="114" spans="1:17" ht="15.75" customHeight="1">
      <c r="A114" s="10"/>
      <c r="E114" s="238"/>
    </row>
    <row r="115" spans="1:17" ht="15.75" customHeight="1">
      <c r="A115" s="10"/>
      <c r="B115" s="88" t="s">
        <v>36</v>
      </c>
      <c r="C115" s="52"/>
      <c r="D115" s="52"/>
      <c r="E115" s="241"/>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0.41984093276604345</v>
      </c>
      <c r="E116" s="238"/>
      <c r="G116" s="22">
        <f t="shared" ref="G116:Q116" si="44">IF(G4="","",G77)</f>
        <v>0.45602847249159995</v>
      </c>
      <c r="H116" s="22">
        <f t="shared" si="44"/>
        <v>0.52335076463429497</v>
      </c>
      <c r="I116" s="22">
        <f t="shared" si="44"/>
        <v>0.5787188802833545</v>
      </c>
      <c r="J116" s="22">
        <f t="shared" si="44"/>
        <v>0.55541546261328167</v>
      </c>
      <c r="K116" s="22">
        <f t="shared" si="44"/>
        <v>0.3429381546083502</v>
      </c>
      <c r="L116" s="22">
        <f t="shared" si="44"/>
        <v>0.40224272660641125</v>
      </c>
      <c r="M116" s="22">
        <f t="shared" si="44"/>
        <v>0.40328242601546971</v>
      </c>
      <c r="N116" s="22">
        <f t="shared" si="44"/>
        <v>0.42245534317879263</v>
      </c>
      <c r="O116" s="22">
        <f t="shared" si="44"/>
        <v>0.13032651245797386</v>
      </c>
      <c r="P116" s="22">
        <f t="shared" si="44"/>
        <v>-2.777731867061933E-2</v>
      </c>
      <c r="Q116" s="22" t="str">
        <f t="shared" si="44"/>
        <v/>
      </c>
    </row>
    <row r="117" spans="1:17" ht="15.75" customHeight="1">
      <c r="B117" s="7" t="s">
        <v>80</v>
      </c>
      <c r="C117" s="40">
        <f>C4/C100</f>
        <v>0.19832389661116825</v>
      </c>
      <c r="E117" s="238"/>
      <c r="G117" s="40">
        <f t="shared" ref="G117:Q117" si="45">IF(G4="","",G4/G100)</f>
        <v>0.22035988512352028</v>
      </c>
      <c r="H117" s="40">
        <f t="shared" si="45"/>
        <v>0.26192368118435977</v>
      </c>
      <c r="I117" s="40">
        <f t="shared" si="45"/>
        <v>0.3501065314937884</v>
      </c>
      <c r="J117" s="40">
        <f t="shared" si="45"/>
        <v>0.2855457856155395</v>
      </c>
      <c r="K117" s="40">
        <f t="shared" si="45"/>
        <v>0.18648021899773842</v>
      </c>
      <c r="L117" s="40">
        <f t="shared" si="45"/>
        <v>0.18019653783802789</v>
      </c>
      <c r="M117" s="40">
        <f t="shared" si="45"/>
        <v>0.17345860028887053</v>
      </c>
      <c r="N117" s="40">
        <f t="shared" si="45"/>
        <v>0.16003589825968575</v>
      </c>
      <c r="O117" s="40">
        <f t="shared" si="45"/>
        <v>9.4736275139161247E-2</v>
      </c>
      <c r="P117" s="40">
        <f t="shared" si="45"/>
        <v>9.632675048988866E-2</v>
      </c>
      <c r="Q117" s="40" t="str">
        <f t="shared" si="45"/>
        <v/>
      </c>
    </row>
    <row r="118" spans="1:17" ht="15.75" customHeight="1">
      <c r="B118" s="7" t="s">
        <v>88</v>
      </c>
      <c r="C118" s="15">
        <f>C100/C104</f>
        <v>1.2141426890285656</v>
      </c>
      <c r="D118" s="11"/>
      <c r="E118" s="242"/>
      <c r="F118" s="11"/>
      <c r="G118" s="15">
        <f t="shared" ref="G118:Q118" si="46">IF(G$4="","",G100/G104)</f>
        <v>1.2141426890285656</v>
      </c>
      <c r="H118" s="15">
        <f t="shared" si="46"/>
        <v>1.2176996876860735</v>
      </c>
      <c r="I118" s="15">
        <f t="shared" si="46"/>
        <v>1.2562621876415327</v>
      </c>
      <c r="J118" s="15">
        <f t="shared" si="46"/>
        <v>1.2941140005821952</v>
      </c>
      <c r="K118" s="15">
        <f t="shared" si="46"/>
        <v>1.2395789271571973</v>
      </c>
      <c r="L118" s="15">
        <f t="shared" si="46"/>
        <v>1.2596689536129575</v>
      </c>
      <c r="M118" s="15">
        <f t="shared" si="46"/>
        <v>1.2667672718675931</v>
      </c>
      <c r="N118" s="15">
        <f t="shared" si="46"/>
        <v>1.2485635816445315</v>
      </c>
      <c r="O118" s="15">
        <f t="shared" si="46"/>
        <v>1.2195091528986302</v>
      </c>
      <c r="P118" s="15">
        <f t="shared" si="46"/>
        <v>1.2161070458828416</v>
      </c>
      <c r="Q118" s="15" t="str">
        <f t="shared" si="46"/>
        <v/>
      </c>
    </row>
    <row r="119" spans="1:17" ht="15.75" customHeight="1">
      <c r="A119" s="10"/>
      <c r="B119" s="67" t="s">
        <v>191</v>
      </c>
      <c r="C119" s="99">
        <f>C11/C104</f>
        <v>0.10109497147719294</v>
      </c>
      <c r="D119" s="100"/>
      <c r="E119" s="241"/>
      <c r="F119" s="100"/>
      <c r="G119" s="99">
        <f t="shared" ref="G119:Q119" si="47">IF(G$4="","",G11/G104)</f>
        <v>0.12200966239388317</v>
      </c>
      <c r="H119" s="99">
        <f t="shared" si="47"/>
        <v>0.1669197876482201</v>
      </c>
      <c r="I119" s="99">
        <f t="shared" si="47"/>
        <v>0.25453537710953633</v>
      </c>
      <c r="J119" s="99">
        <f t="shared" si="47"/>
        <v>0.20524200883013685</v>
      </c>
      <c r="K119" s="99">
        <f t="shared" si="47"/>
        <v>7.927253778973771E-2</v>
      </c>
      <c r="L119" s="99">
        <f t="shared" si="47"/>
        <v>9.1304265696885045E-2</v>
      </c>
      <c r="M119" s="99">
        <f t="shared" si="47"/>
        <v>8.8613924123824517E-2</v>
      </c>
      <c r="N119" s="99">
        <f t="shared" si="47"/>
        <v>8.4412911998912502E-2</v>
      </c>
      <c r="O119" s="99">
        <f t="shared" si="47"/>
        <v>1.5056850660867668E-2</v>
      </c>
      <c r="P119" s="99">
        <f t="shared" si="47"/>
        <v>-3.2539362178983212E-3</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5"/>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0.21550303622731243</v>
      </c>
      <c r="D123" s="26"/>
      <c r="E123" s="235"/>
      <c r="F123" s="26"/>
      <c r="G123" s="159">
        <f t="shared" ref="G123:Q123" si="48">IF(G$4="","",G14*$C$3/Common_Shares*Exchange_Rate)</f>
        <v>0.25030220448124774</v>
      </c>
      <c r="H123" s="159">
        <f t="shared" si="48"/>
        <v>0.34441215681105353</v>
      </c>
      <c r="I123" s="159">
        <f t="shared" si="48"/>
        <v>0.5585262713120277</v>
      </c>
      <c r="J123" s="159">
        <f t="shared" si="48"/>
        <v>0.45891269792756689</v>
      </c>
      <c r="K123" s="159">
        <f t="shared" si="48"/>
        <v>0.16462839764099138</v>
      </c>
      <c r="L123" s="159">
        <f t="shared" si="48"/>
        <v>0.20899337153917774</v>
      </c>
      <c r="M123" s="159">
        <f t="shared" si="48"/>
        <v>0.18608068384863941</v>
      </c>
      <c r="N123" s="159">
        <f t="shared" si="48"/>
        <v>0.176733721513089</v>
      </c>
      <c r="O123" s="159">
        <f t="shared" si="48"/>
        <v>3.1285394295740947E-2</v>
      </c>
      <c r="P123" s="159">
        <f t="shared" si="48"/>
        <v>1.3552761468253434E-2</v>
      </c>
      <c r="Q123" s="159" t="str">
        <f t="shared" si="48"/>
        <v/>
      </c>
    </row>
    <row r="124" spans="1:17" ht="15.75" customHeight="1">
      <c r="A124" s="10"/>
      <c r="B124" s="26" t="s">
        <v>226</v>
      </c>
      <c r="C124" s="74">
        <f>C19*Exchange_Rate*$C$3/(Market_Price*Common_Shares)</f>
        <v>6.8197163363073549E-2</v>
      </c>
      <c r="D124" s="26"/>
      <c r="E124" s="235"/>
      <c r="F124" s="26"/>
      <c r="G124" s="74">
        <f t="shared" ref="G124" si="49">IF(G$4="","",G123/Market_Price)</f>
        <v>7.9209558380141681E-2</v>
      </c>
      <c r="H124" s="74">
        <f t="shared" ref="H124" si="50">IF(H$4="","",H123/Market_Price)</f>
        <v>0.10899118886425745</v>
      </c>
      <c r="I124" s="74">
        <f t="shared" ref="I124" si="51">IF(I$4="","",I123/Market_Price)</f>
        <v>0.17674882003545181</v>
      </c>
      <c r="J124" s="74">
        <f t="shared" ref="J124" si="52">IF(J$4="","",J123/Market_Price)</f>
        <v>0.14522553731885027</v>
      </c>
      <c r="K124" s="74">
        <f t="shared" ref="K124" si="53">IF(K$4="","",K123/Market_Price)</f>
        <v>5.2097594190187141E-2</v>
      </c>
      <c r="L124" s="74">
        <f t="shared" ref="L124" si="54">IF(L$4="","",L123/Market_Price)</f>
        <v>6.6137142892144854E-2</v>
      </c>
      <c r="M124" s="74">
        <f t="shared" ref="M124" si="55">IF(M$4="","",M123/Market_Price)</f>
        <v>5.8886292357164367E-2</v>
      </c>
      <c r="N124" s="74">
        <f t="shared" ref="N124" si="56">IF(N$4="","",N123/Market_Price)</f>
        <v>5.5928392883888921E-2</v>
      </c>
      <c r="O124" s="74">
        <f t="shared" ref="O124" si="57">IF(O$4="","",O123/Market_Price)</f>
        <v>9.9004412328294131E-3</v>
      </c>
      <c r="P124" s="74">
        <f t="shared" ref="P124" si="58">IF(P$4="","",P123/Market_Price)</f>
        <v>4.2888485659029855E-3</v>
      </c>
      <c r="Q124" s="74" t="str">
        <f t="shared" ref="Q124" si="59">IF(Q$4="","",Q123/Market_Price)</f>
        <v/>
      </c>
    </row>
    <row r="125" spans="1:17" ht="15.75" customHeight="1">
      <c r="B125" s="2" t="s">
        <v>306</v>
      </c>
      <c r="C125" s="151"/>
      <c r="G125" s="22">
        <f>IF(G$4="","",(Data!C47*$C$3)/(Market_Price*Common_Shares))</f>
        <v>0.11281708058059321</v>
      </c>
      <c r="H125" s="22">
        <f>IF(H$4="","",(Data!D47*$C$3)/(Market_Price*Common_Shares))</f>
        <v>0.14302406796619732</v>
      </c>
      <c r="I125" s="22">
        <f>IF(I$4="","",(Data!E47*$C$3)/(Market_Price*Common_Shares))</f>
        <v>0.2056316969699816</v>
      </c>
      <c r="J125" s="22">
        <f>IF(J$4="","",(Data!F47*$C$3)/(Market_Price*Common_Shares))</f>
        <v>0.19025827770111309</v>
      </c>
      <c r="K125" s="22">
        <f>IF(K$4="","",(Data!G47*$C$3)/(Market_Price*Common_Shares))</f>
        <v>7.3800356414258292E-2</v>
      </c>
      <c r="L125" s="22">
        <f>IF(L$4="","",(Data!H47*$C$3)/(Market_Price*Common_Shares))</f>
        <v>7.3107780532040104E-2</v>
      </c>
      <c r="M125" s="22">
        <f>IF(M$4="","",(Data!I47*$C$3)/(Market_Price*Common_Shares))</f>
        <v>7.1602724003934803E-2</v>
      </c>
      <c r="N125" s="22">
        <f>IF(N$4="","",(Data!J47*$C$3)/(Market_Price*Common_Shares))</f>
        <v>7.3508271144958059E-2</v>
      </c>
      <c r="O125" s="22">
        <f>IF(O$4="","",(Data!K47*$C$3)/(Market_Price*Common_Shares))</f>
        <v>4.2054311512613749E-3</v>
      </c>
      <c r="P125" s="22">
        <f>IF(P$4="","",(Data!L47*$C$3)/(Market_Price*Common_Shares))</f>
        <v>-4.4224593950923596E-2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A49" zoomScaleNormal="100" workbookViewId="0">
      <selection activeCell="F82" sqref="F82"/>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427</v>
      </c>
      <c r="H3" s="106" t="s">
        <v>416</v>
      </c>
    </row>
    <row r="4" spans="2:15">
      <c r="B4" s="97" t="s">
        <v>393</v>
      </c>
      <c r="C4" s="279">
        <f>Normalized_FCF!C19</f>
        <v>1097140.1310679403</v>
      </c>
      <c r="D4" t="str">
        <f>Reporting_currency</f>
        <v>HKD</v>
      </c>
      <c r="E4" s="135" t="s">
        <v>434</v>
      </c>
      <c r="F4" s="279">
        <f>-BS!G31</f>
        <v>-43677</v>
      </c>
      <c r="G4" t="str">
        <f>Reporting_currency</f>
        <v>HKD</v>
      </c>
      <c r="H4" s="312" t="s">
        <v>394</v>
      </c>
      <c r="I4" s="309">
        <f>Normalized_FCF!C4</f>
        <v>4551300</v>
      </c>
      <c r="J4" s="309"/>
    </row>
    <row r="5" spans="2:15">
      <c r="B5" s="187" t="s">
        <v>105</v>
      </c>
      <c r="C5" s="188">
        <f>Equity_Cost</f>
        <v>7.2499999999999995E-2</v>
      </c>
      <c r="E5" s="135" t="s">
        <v>435</v>
      </c>
      <c r="F5" s="279">
        <f>BS!D66</f>
        <v>8029573.8978425749</v>
      </c>
      <c r="G5" t="str">
        <f>Reporting_currency</f>
        <v>HKD</v>
      </c>
      <c r="H5" s="312" t="s">
        <v>396</v>
      </c>
      <c r="I5" s="309">
        <f>Normalized_FCF!C7</f>
        <v>-208899</v>
      </c>
      <c r="J5" s="309"/>
    </row>
    <row r="6" spans="2:15" ht="13.25" customHeight="1">
      <c r="B6" s="136" t="s">
        <v>194</v>
      </c>
      <c r="C6" s="287">
        <f>(C4*(1+Terminal_Growth))/(Equity_Cost-Terminal_Growth)</f>
        <v>15132967.32507504</v>
      </c>
      <c r="D6" t="str">
        <f>Reporting_currency</f>
        <v>HKD</v>
      </c>
      <c r="E6" s="187" t="s">
        <v>436</v>
      </c>
      <c r="F6" s="288">
        <f>BS!H42</f>
        <v>263512.2</v>
      </c>
      <c r="G6" t="str">
        <f>Reporting_currency</f>
        <v>HKD</v>
      </c>
      <c r="H6" s="312" t="s">
        <v>418</v>
      </c>
      <c r="I6" s="309">
        <f>I7+I8</f>
        <v>9912.5106129445558</v>
      </c>
      <c r="J6" s="309"/>
      <c r="N6" s="135"/>
    </row>
    <row r="7" spans="2:15" ht="12.75" customHeight="1">
      <c r="B7" s="322" t="s">
        <v>433</v>
      </c>
      <c r="C7" s="279">
        <f>F7</f>
        <v>8249409.0978425751</v>
      </c>
      <c r="E7" s="140" t="s">
        <v>427</v>
      </c>
      <c r="F7" s="287">
        <f>SUM(F4:F6)</f>
        <v>8249409.0978425751</v>
      </c>
      <c r="G7" t="str">
        <f>Reporting_currency</f>
        <v>HKD</v>
      </c>
      <c r="H7" s="316" t="s">
        <v>419</v>
      </c>
      <c r="I7" s="317">
        <f>Normalized_FCF!C9</f>
        <v>0</v>
      </c>
      <c r="J7" s="317"/>
      <c r="N7" s="308"/>
      <c r="O7" s="308"/>
    </row>
    <row r="8" spans="2:15" ht="13.15">
      <c r="B8" s="136" t="s">
        <v>429</v>
      </c>
      <c r="C8" s="287">
        <f>C6+C7</f>
        <v>23382376.422917616</v>
      </c>
      <c r="D8" t="str">
        <f>Reporting_currency</f>
        <v>HKD</v>
      </c>
      <c r="E8" s="140" t="s">
        <v>467</v>
      </c>
      <c r="F8" s="108">
        <f>FV_adjustments*scaling_factor/Common_Shares*Exchange_Rate</f>
        <v>1.6203697753137798</v>
      </c>
      <c r="G8" s="298" t="str">
        <f>Market_currency</f>
        <v>HKD</v>
      </c>
      <c r="H8" s="318" t="str">
        <f>Normalized_FCF!B10</f>
        <v>Net Interest Income</v>
      </c>
      <c r="I8" s="317">
        <f>Normalized_FCF!C10</f>
        <v>9912.5106129445558</v>
      </c>
      <c r="J8" s="317"/>
      <c r="N8" s="308"/>
      <c r="O8" s="308"/>
    </row>
    <row r="9" spans="2:15" ht="13.15" thickBot="1">
      <c r="B9" s="189" t="str">
        <f>"*"&amp;Thesis!E15</f>
        <v>*HKD</v>
      </c>
      <c r="C9" s="190">
        <f>Exchange_Rate</f>
        <v>1</v>
      </c>
      <c r="D9" t="str">
        <f>Thesis!E15</f>
        <v>HKD</v>
      </c>
      <c r="F9" s="326"/>
      <c r="H9" s="312" t="str">
        <f>Normalized_FCF!B79</f>
        <v>NCI’s Share of Profits</v>
      </c>
      <c r="I9" s="144">
        <f>Normalized_FCF!C79</f>
        <v>7.3819874960039958E-2</v>
      </c>
      <c r="J9" s="310"/>
      <c r="N9" s="308"/>
      <c r="O9" s="308"/>
    </row>
    <row r="10" spans="2:15" ht="13.5" thickTop="1">
      <c r="B10" s="107" t="s">
        <v>430</v>
      </c>
      <c r="C10" s="287">
        <f>C8*Exchange_Rate</f>
        <v>23382376.422917616</v>
      </c>
      <c r="D10" t="str">
        <f>Market_currency</f>
        <v>HKD</v>
      </c>
      <c r="H10" s="312" t="s">
        <v>398</v>
      </c>
      <c r="I10" s="310">
        <f>Normalized_FCF!C41</f>
        <v>0.25</v>
      </c>
      <c r="N10" s="308"/>
      <c r="O10" s="308"/>
    </row>
    <row r="11" spans="2:15" ht="13.15">
      <c r="B11" s="136" t="s">
        <v>428</v>
      </c>
      <c r="C11" s="108">
        <f>(C10*scaling_factor)/Common_Shares</f>
        <v>4.5928254474146408</v>
      </c>
      <c r="D11" t="str">
        <f>Market_currency</f>
        <v>HKD</v>
      </c>
      <c r="E11" s="311"/>
      <c r="I11" s="311"/>
      <c r="J11" s="311"/>
    </row>
    <row r="13" spans="2:15" ht="13.9">
      <c r="B13" s="34" t="s">
        <v>431</v>
      </c>
      <c r="C13" s="35"/>
      <c r="D13" s="35"/>
      <c r="E13" s="35"/>
      <c r="F13" s="35"/>
      <c r="G13" s="35"/>
      <c r="H13" s="35"/>
      <c r="I13" s="35"/>
      <c r="J13" s="35"/>
      <c r="K13" s="35"/>
      <c r="L13" s="35"/>
    </row>
    <row r="14" spans="2:15" ht="13.15">
      <c r="B14" s="106" t="s">
        <v>400</v>
      </c>
      <c r="C14" s="313" t="s">
        <v>407</v>
      </c>
      <c r="E14" s="106" t="s">
        <v>400</v>
      </c>
      <c r="F14" s="313" t="str">
        <f>IF(F17=C17,"I","II")</f>
        <v>I</v>
      </c>
      <c r="H14" s="106" t="s">
        <v>415</v>
      </c>
    </row>
    <row r="15" spans="2:15">
      <c r="B15" s="139" t="s">
        <v>424</v>
      </c>
      <c r="C15" s="148">
        <f>Scenarios!C45</f>
        <v>3</v>
      </c>
      <c r="E15" s="312" t="str">
        <f>IF(F14="II","Change year","Terminal Year")</f>
        <v>Terminal Year</v>
      </c>
      <c r="F15" s="314">
        <f>IF(F14="II",_xlfn.CEILING.MATH(C15/2),C15+1)</f>
        <v>4</v>
      </c>
      <c r="H15" s="97" t="s">
        <v>432</v>
      </c>
      <c r="I15" s="126">
        <f>Terminal_Growth</f>
        <v>0</v>
      </c>
      <c r="J15" s="126"/>
    </row>
    <row r="16" spans="2:15" ht="13.25" customHeight="1">
      <c r="B16" s="114" t="s">
        <v>425</v>
      </c>
      <c r="C16" s="147">
        <f>Scenarios!C46</f>
        <v>1.2999999999999999E-3</v>
      </c>
      <c r="E16" s="312" t="s">
        <v>401</v>
      </c>
      <c r="F16" s="315">
        <f>Scenarios!C41</f>
        <v>1.2999999999999999E-3</v>
      </c>
    </row>
    <row r="17" spans="1:21" ht="13.25" customHeight="1">
      <c r="B17" s="312" t="s">
        <v>395</v>
      </c>
      <c r="C17" s="310">
        <f>Normalized_FCF!C32</f>
        <v>0.53643826452109311</v>
      </c>
      <c r="E17" s="312" t="s">
        <v>402</v>
      </c>
      <c r="F17" s="315">
        <f>Scenarios!C40</f>
        <v>0.53643826452109311</v>
      </c>
      <c r="H17" s="106" t="s">
        <v>414</v>
      </c>
    </row>
    <row r="18" spans="1:21" ht="13.25" customHeight="1">
      <c r="B18" s="312" t="s">
        <v>426</v>
      </c>
      <c r="C18" s="310">
        <f>Normalized_FCF!C81-Normalized_FCF!C82</f>
        <v>0</v>
      </c>
      <c r="E18" s="312" t="s">
        <v>426</v>
      </c>
      <c r="F18" s="144">
        <f>IF(F14="II",C18/2,C18)</f>
        <v>0</v>
      </c>
      <c r="H18" s="140" t="s">
        <v>97</v>
      </c>
      <c r="I18" s="129">
        <f>(L52+FV_adjustments)*Exchange_Rate/Common_Shares*scaling_factor</f>
        <v>4.603592005597374</v>
      </c>
      <c r="J18" t="str">
        <f>Market_currency</f>
        <v>HKD</v>
      </c>
    </row>
    <row r="19" spans="1:21">
      <c r="L19" s="279"/>
    </row>
    <row r="20" spans="1:21" ht="13.15">
      <c r="A20" s="121" t="s">
        <v>400</v>
      </c>
      <c r="B20" s="121" t="s">
        <v>98</v>
      </c>
      <c r="C20" s="121" t="s">
        <v>394</v>
      </c>
      <c r="D20" s="121" t="s">
        <v>102</v>
      </c>
      <c r="E20" s="121" t="s">
        <v>395</v>
      </c>
      <c r="F20" s="121" t="s">
        <v>396</v>
      </c>
      <c r="G20" s="121" t="s">
        <v>546</v>
      </c>
      <c r="H20" s="121" t="str">
        <f>B18</f>
        <v>D&amp;A - maint. Capx</v>
      </c>
      <c r="I20" s="121" t="s">
        <v>421</v>
      </c>
      <c r="J20" s="121" t="s">
        <v>533</v>
      </c>
      <c r="K20" s="121" t="s">
        <v>534</v>
      </c>
      <c r="L20" s="122" t="s">
        <v>422</v>
      </c>
    </row>
    <row r="21" spans="1:21">
      <c r="A21" s="306" t="str">
        <f t="shared" ref="A21:A50" si="0">IF($C$15&lt;B21,"",IF(B21&gt;=$F$15,"II","I"))</f>
        <v>I</v>
      </c>
      <c r="B21" s="117">
        <v>1</v>
      </c>
      <c r="C21" s="281">
        <f>I4*(1+D21)</f>
        <v>4557216.6900000004</v>
      </c>
      <c r="D21" s="303">
        <f t="shared" ref="D21:D50" si="1">IF(A21="",0,IF(A21="I",$C$16,$F$16))</f>
        <v>1.2999999999999999E-3</v>
      </c>
      <c r="E21" s="303">
        <f>$C$17</f>
        <v>0.53643826452109311</v>
      </c>
      <c r="F21" s="281">
        <f>I5*(1+D21)</f>
        <v>-209170.5687</v>
      </c>
      <c r="G21" s="281">
        <f>C21*(1-E21)+F21+$I$6</f>
        <v>1913293.2196827845</v>
      </c>
      <c r="H21" s="303">
        <f t="shared" ref="H21:H50" si="2">IF(A21="",0%,IF(A21="I",$C$18,$F$18))</f>
        <v>0</v>
      </c>
      <c r="I21" s="281">
        <f>(G21*(1-$I$10)+C21*(H21-$I$9))</f>
        <v>1098556.7485404811</v>
      </c>
      <c r="J21" s="303">
        <f>I21/C4-1</f>
        <v>1.2911910087201051E-3</v>
      </c>
      <c r="K21" s="119">
        <f t="shared" ref="K21:K50" si="3">IF($C$15&lt;B21,0,1/(1+Equity_Cost)^B21)</f>
        <v>0.93240093240093236</v>
      </c>
      <c r="L21" s="281">
        <f t="shared" ref="L21:L50" si="4">I21*K21</f>
        <v>1024295.3366344812</v>
      </c>
    </row>
    <row r="22" spans="1:21">
      <c r="A22" s="306" t="str">
        <f t="shared" si="0"/>
        <v>I</v>
      </c>
      <c r="B22" s="117">
        <v>2</v>
      </c>
      <c r="C22" s="281">
        <f t="shared" ref="C22:C50" si="5">IF(A22="",0,C21*(1+D22))</f>
        <v>4563141.0716970004</v>
      </c>
      <c r="D22" s="303">
        <f t="shared" si="1"/>
        <v>1.2999999999999999E-3</v>
      </c>
      <c r="E22" s="303">
        <f t="shared" ref="E22:E50" si="6">IF($C$15&lt;B22,0,IF(B22&gt;=$F$15,$F$17,$C$17))</f>
        <v>0.53643826452109311</v>
      </c>
      <c r="F22" s="281">
        <f t="shared" ref="F22:F50" si="7">IF(A22="",0,F21*(1+D22))</f>
        <v>-209442.49043931003</v>
      </c>
      <c r="G22" s="281">
        <f t="shared" ref="G22:G50" si="8">IF(A22="", 0,C22*(1-E22)+F22+$I$6)</f>
        <v>1915767.6146045753</v>
      </c>
      <c r="H22" s="303">
        <f t="shared" si="2"/>
        <v>0</v>
      </c>
      <c r="I22" s="281">
        <f>IF(A22="", 0,G22*(1-$I$10)+C22*(H22-$I$9))</f>
        <v>1099975.2076157362</v>
      </c>
      <c r="J22" s="303">
        <f>IF(A22="", 0,I22/I21-1)</f>
        <v>1.2912023681430629E-3</v>
      </c>
      <c r="K22" s="119">
        <f t="shared" si="3"/>
        <v>0.86937149874212816</v>
      </c>
      <c r="L22" s="281">
        <f t="shared" si="4"/>
        <v>956287.09482407616</v>
      </c>
    </row>
    <row r="23" spans="1:21">
      <c r="A23" s="306" t="str">
        <f t="shared" si="0"/>
        <v>I</v>
      </c>
      <c r="B23" s="117">
        <v>3</v>
      </c>
      <c r="C23" s="281">
        <f t="shared" si="5"/>
        <v>4569073.1550902072</v>
      </c>
      <c r="D23" s="303">
        <f t="shared" si="1"/>
        <v>1.2999999999999999E-3</v>
      </c>
      <c r="E23" s="303">
        <f t="shared" si="6"/>
        <v>0.53643826452109311</v>
      </c>
      <c r="F23" s="281">
        <f t="shared" si="7"/>
        <v>-209714.76567688116</v>
      </c>
      <c r="G23" s="281">
        <f t="shared" si="8"/>
        <v>1918245.2262397646</v>
      </c>
      <c r="H23" s="303">
        <f t="shared" si="2"/>
        <v>0</v>
      </c>
      <c r="I23" s="281">
        <f t="shared" ref="I23:I50" si="9">IF(A23="", 0,G23*(1-$I$10)+C23*(H23-$I$9))</f>
        <v>1101395.5106877889</v>
      </c>
      <c r="J23" s="303">
        <f t="shared" ref="J23:J50" si="10">IF(A23="", 0,I23/I22-1)</f>
        <v>1.2912137130176582E-3</v>
      </c>
      <c r="K23" s="119">
        <f t="shared" si="3"/>
        <v>0.81060279602995633</v>
      </c>
      <c r="L23" s="281">
        <f t="shared" si="4"/>
        <v>892794.28049836343</v>
      </c>
      <c r="N23" s="279"/>
      <c r="O23" s="279"/>
      <c r="P23" s="279"/>
      <c r="Q23" s="279"/>
      <c r="R23" s="279"/>
      <c r="S23" s="279"/>
      <c r="T23" s="279"/>
      <c r="U23" s="279"/>
    </row>
    <row r="24" spans="1:21">
      <c r="A24" s="306" t="str">
        <f t="shared" si="0"/>
        <v/>
      </c>
      <c r="B24" s="117">
        <v>4</v>
      </c>
      <c r="C24" s="281">
        <f t="shared" si="5"/>
        <v>0</v>
      </c>
      <c r="D24" s="303">
        <f t="shared" si="1"/>
        <v>0</v>
      </c>
      <c r="E24" s="303">
        <f t="shared" si="6"/>
        <v>0</v>
      </c>
      <c r="F24" s="281">
        <f t="shared" si="7"/>
        <v>0</v>
      </c>
      <c r="G24" s="281">
        <f t="shared" si="8"/>
        <v>0</v>
      </c>
      <c r="H24" s="303">
        <f t="shared" si="2"/>
        <v>0</v>
      </c>
      <c r="I24" s="281">
        <f t="shared" si="9"/>
        <v>0</v>
      </c>
      <c r="J24" s="303">
        <f t="shared" si="10"/>
        <v>0</v>
      </c>
      <c r="K24" s="119">
        <f t="shared" si="3"/>
        <v>0</v>
      </c>
      <c r="L24" s="281">
        <f t="shared" si="4"/>
        <v>0</v>
      </c>
      <c r="N24" s="279"/>
      <c r="O24" s="279"/>
      <c r="P24" s="279"/>
      <c r="Q24" s="279"/>
      <c r="R24" s="279"/>
      <c r="S24" s="279"/>
      <c r="T24" s="279"/>
      <c r="U24" s="279"/>
    </row>
    <row r="25" spans="1:21">
      <c r="A25" s="306" t="str">
        <f t="shared" si="0"/>
        <v/>
      </c>
      <c r="B25" s="117">
        <v>5</v>
      </c>
      <c r="C25" s="281">
        <f t="shared" si="5"/>
        <v>0</v>
      </c>
      <c r="D25" s="303">
        <f t="shared" si="1"/>
        <v>0</v>
      </c>
      <c r="E25" s="303">
        <f t="shared" si="6"/>
        <v>0</v>
      </c>
      <c r="F25" s="281">
        <f t="shared" si="7"/>
        <v>0</v>
      </c>
      <c r="G25" s="281">
        <f t="shared" si="8"/>
        <v>0</v>
      </c>
      <c r="H25" s="303">
        <f t="shared" si="2"/>
        <v>0</v>
      </c>
      <c r="I25" s="281">
        <f t="shared" si="9"/>
        <v>0</v>
      </c>
      <c r="J25" s="303">
        <f t="shared" si="10"/>
        <v>0</v>
      </c>
      <c r="K25" s="119">
        <f t="shared" si="3"/>
        <v>0</v>
      </c>
      <c r="L25" s="281">
        <f t="shared" si="4"/>
        <v>0</v>
      </c>
      <c r="N25" s="279"/>
      <c r="O25" s="279"/>
      <c r="P25" s="279"/>
      <c r="Q25" s="279"/>
      <c r="R25" s="279"/>
      <c r="S25" s="279"/>
      <c r="T25" s="279"/>
      <c r="U25" s="279"/>
    </row>
    <row r="26" spans="1:21">
      <c r="A26" s="306" t="str">
        <f t="shared" si="0"/>
        <v/>
      </c>
      <c r="B26" s="117">
        <v>6</v>
      </c>
      <c r="C26" s="281">
        <f t="shared" si="5"/>
        <v>0</v>
      </c>
      <c r="D26" s="303">
        <f t="shared" si="1"/>
        <v>0</v>
      </c>
      <c r="E26" s="303">
        <f t="shared" si="6"/>
        <v>0</v>
      </c>
      <c r="F26" s="281">
        <f t="shared" si="7"/>
        <v>0</v>
      </c>
      <c r="G26" s="281">
        <f t="shared" si="8"/>
        <v>0</v>
      </c>
      <c r="H26" s="303">
        <f t="shared" si="2"/>
        <v>0</v>
      </c>
      <c r="I26" s="281">
        <f t="shared" si="9"/>
        <v>0</v>
      </c>
      <c r="J26" s="303">
        <f t="shared" si="10"/>
        <v>0</v>
      </c>
      <c r="K26" s="119">
        <f t="shared" si="3"/>
        <v>0</v>
      </c>
      <c r="L26" s="281">
        <f t="shared" si="4"/>
        <v>0</v>
      </c>
    </row>
    <row r="27" spans="1:21">
      <c r="A27" s="306" t="str">
        <f t="shared" si="0"/>
        <v/>
      </c>
      <c r="B27" s="117">
        <v>7</v>
      </c>
      <c r="C27" s="281">
        <f t="shared" si="5"/>
        <v>0</v>
      </c>
      <c r="D27" s="303">
        <f t="shared" si="1"/>
        <v>0</v>
      </c>
      <c r="E27" s="303">
        <f t="shared" si="6"/>
        <v>0</v>
      </c>
      <c r="F27" s="281">
        <f t="shared" si="7"/>
        <v>0</v>
      </c>
      <c r="G27" s="281">
        <f t="shared" si="8"/>
        <v>0</v>
      </c>
      <c r="H27" s="303">
        <f t="shared" si="2"/>
        <v>0</v>
      </c>
      <c r="I27" s="281">
        <f t="shared" si="9"/>
        <v>0</v>
      </c>
      <c r="J27" s="303">
        <f t="shared" si="10"/>
        <v>0</v>
      </c>
      <c r="K27" s="119">
        <f t="shared" si="3"/>
        <v>0</v>
      </c>
      <c r="L27" s="281">
        <f t="shared" si="4"/>
        <v>0</v>
      </c>
    </row>
    <row r="28" spans="1:21">
      <c r="A28" s="306" t="str">
        <f t="shared" si="0"/>
        <v/>
      </c>
      <c r="B28" s="117">
        <v>8</v>
      </c>
      <c r="C28" s="281">
        <f t="shared" si="5"/>
        <v>0</v>
      </c>
      <c r="D28" s="303">
        <f t="shared" si="1"/>
        <v>0</v>
      </c>
      <c r="E28" s="303">
        <f t="shared" si="6"/>
        <v>0</v>
      </c>
      <c r="F28" s="281">
        <f t="shared" si="7"/>
        <v>0</v>
      </c>
      <c r="G28" s="281">
        <f t="shared" si="8"/>
        <v>0</v>
      </c>
      <c r="H28" s="303">
        <f t="shared" si="2"/>
        <v>0</v>
      </c>
      <c r="I28" s="281">
        <f t="shared" si="9"/>
        <v>0</v>
      </c>
      <c r="J28" s="303">
        <f t="shared" si="10"/>
        <v>0</v>
      </c>
      <c r="K28" s="119">
        <f t="shared" si="3"/>
        <v>0</v>
      </c>
      <c r="L28" s="281">
        <f t="shared" si="4"/>
        <v>0</v>
      </c>
    </row>
    <row r="29" spans="1:21">
      <c r="A29" s="306" t="str">
        <f t="shared" si="0"/>
        <v/>
      </c>
      <c r="B29" s="117">
        <v>9</v>
      </c>
      <c r="C29" s="281">
        <f t="shared" si="5"/>
        <v>0</v>
      </c>
      <c r="D29" s="303">
        <f t="shared" si="1"/>
        <v>0</v>
      </c>
      <c r="E29" s="303">
        <f t="shared" si="6"/>
        <v>0</v>
      </c>
      <c r="F29" s="281">
        <f t="shared" si="7"/>
        <v>0</v>
      </c>
      <c r="G29" s="281">
        <f t="shared" si="8"/>
        <v>0</v>
      </c>
      <c r="H29" s="303">
        <f t="shared" si="2"/>
        <v>0</v>
      </c>
      <c r="I29" s="281">
        <f t="shared" si="9"/>
        <v>0</v>
      </c>
      <c r="J29" s="303">
        <f t="shared" si="10"/>
        <v>0</v>
      </c>
      <c r="K29" s="119">
        <f t="shared" si="3"/>
        <v>0</v>
      </c>
      <c r="L29" s="281">
        <f t="shared" si="4"/>
        <v>0</v>
      </c>
    </row>
    <row r="30" spans="1:21">
      <c r="A30" s="306" t="str">
        <f t="shared" si="0"/>
        <v/>
      </c>
      <c r="B30" s="117">
        <v>10</v>
      </c>
      <c r="C30" s="281">
        <f t="shared" si="5"/>
        <v>0</v>
      </c>
      <c r="D30" s="303">
        <f t="shared" si="1"/>
        <v>0</v>
      </c>
      <c r="E30" s="303">
        <f t="shared" si="6"/>
        <v>0</v>
      </c>
      <c r="F30" s="281">
        <f t="shared" si="7"/>
        <v>0</v>
      </c>
      <c r="G30" s="281">
        <f t="shared" si="8"/>
        <v>0</v>
      </c>
      <c r="H30" s="303">
        <f t="shared" si="2"/>
        <v>0</v>
      </c>
      <c r="I30" s="281">
        <f t="shared" si="9"/>
        <v>0</v>
      </c>
      <c r="J30" s="303">
        <f t="shared" si="10"/>
        <v>0</v>
      </c>
      <c r="K30" s="119">
        <f t="shared" si="3"/>
        <v>0</v>
      </c>
      <c r="L30" s="281">
        <f t="shared" si="4"/>
        <v>0</v>
      </c>
    </row>
    <row r="31" spans="1:21">
      <c r="A31" s="306" t="str">
        <f t="shared" si="0"/>
        <v/>
      </c>
      <c r="B31" s="117">
        <v>11</v>
      </c>
      <c r="C31" s="281">
        <f t="shared" si="5"/>
        <v>0</v>
      </c>
      <c r="D31" s="303">
        <f t="shared" si="1"/>
        <v>0</v>
      </c>
      <c r="E31" s="303">
        <f t="shared" si="6"/>
        <v>0</v>
      </c>
      <c r="F31" s="281">
        <f t="shared" si="7"/>
        <v>0</v>
      </c>
      <c r="G31" s="281">
        <f t="shared" si="8"/>
        <v>0</v>
      </c>
      <c r="H31" s="303">
        <f t="shared" si="2"/>
        <v>0</v>
      </c>
      <c r="I31" s="281">
        <f t="shared" si="9"/>
        <v>0</v>
      </c>
      <c r="J31" s="303">
        <f t="shared" si="10"/>
        <v>0</v>
      </c>
      <c r="K31" s="119">
        <f t="shared" si="3"/>
        <v>0</v>
      </c>
      <c r="L31" s="281">
        <f t="shared" si="4"/>
        <v>0</v>
      </c>
    </row>
    <row r="32" spans="1:21">
      <c r="A32" s="306" t="str">
        <f t="shared" si="0"/>
        <v/>
      </c>
      <c r="B32" s="117">
        <v>12</v>
      </c>
      <c r="C32" s="281">
        <f t="shared" si="5"/>
        <v>0</v>
      </c>
      <c r="D32" s="303">
        <f t="shared" si="1"/>
        <v>0</v>
      </c>
      <c r="E32" s="303">
        <f t="shared" si="6"/>
        <v>0</v>
      </c>
      <c r="F32" s="281">
        <f t="shared" si="7"/>
        <v>0</v>
      </c>
      <c r="G32" s="281">
        <f t="shared" si="8"/>
        <v>0</v>
      </c>
      <c r="H32" s="303">
        <f t="shared" si="2"/>
        <v>0</v>
      </c>
      <c r="I32" s="281">
        <f t="shared" si="9"/>
        <v>0</v>
      </c>
      <c r="J32" s="303">
        <f t="shared" si="10"/>
        <v>0</v>
      </c>
      <c r="K32" s="119">
        <f t="shared" si="3"/>
        <v>0</v>
      </c>
      <c r="L32" s="281">
        <f t="shared" si="4"/>
        <v>0</v>
      </c>
    </row>
    <row r="33" spans="1:21">
      <c r="A33" s="306" t="str">
        <f t="shared" si="0"/>
        <v/>
      </c>
      <c r="B33" s="117">
        <v>13</v>
      </c>
      <c r="C33" s="281">
        <f t="shared" si="5"/>
        <v>0</v>
      </c>
      <c r="D33" s="303">
        <f t="shared" si="1"/>
        <v>0</v>
      </c>
      <c r="E33" s="303">
        <f t="shared" si="6"/>
        <v>0</v>
      </c>
      <c r="F33" s="281">
        <f t="shared" si="7"/>
        <v>0</v>
      </c>
      <c r="G33" s="281">
        <f t="shared" si="8"/>
        <v>0</v>
      </c>
      <c r="H33" s="303">
        <f t="shared" si="2"/>
        <v>0</v>
      </c>
      <c r="I33" s="281">
        <f t="shared" si="9"/>
        <v>0</v>
      </c>
      <c r="J33" s="303">
        <f t="shared" si="10"/>
        <v>0</v>
      </c>
      <c r="K33" s="119">
        <f t="shared" si="3"/>
        <v>0</v>
      </c>
      <c r="L33" s="281">
        <f t="shared" si="4"/>
        <v>0</v>
      </c>
      <c r="N33" s="279"/>
      <c r="O33" s="279"/>
      <c r="P33" s="279"/>
      <c r="Q33" s="279"/>
      <c r="R33" s="279"/>
      <c r="S33" s="279"/>
      <c r="T33" s="279"/>
      <c r="U33" s="279"/>
    </row>
    <row r="34" spans="1:21">
      <c r="A34" s="306" t="str">
        <f t="shared" si="0"/>
        <v/>
      </c>
      <c r="B34" s="117">
        <v>14</v>
      </c>
      <c r="C34" s="281">
        <f t="shared" si="5"/>
        <v>0</v>
      </c>
      <c r="D34" s="303">
        <f t="shared" si="1"/>
        <v>0</v>
      </c>
      <c r="E34" s="303">
        <f t="shared" si="6"/>
        <v>0</v>
      </c>
      <c r="F34" s="281">
        <f t="shared" si="7"/>
        <v>0</v>
      </c>
      <c r="G34" s="281">
        <f t="shared" si="8"/>
        <v>0</v>
      </c>
      <c r="H34" s="303">
        <f t="shared" si="2"/>
        <v>0</v>
      </c>
      <c r="I34" s="281">
        <f t="shared" si="9"/>
        <v>0</v>
      </c>
      <c r="J34" s="303">
        <f t="shared" si="10"/>
        <v>0</v>
      </c>
      <c r="K34" s="119">
        <f t="shared" si="3"/>
        <v>0</v>
      </c>
      <c r="L34" s="281">
        <f t="shared" si="4"/>
        <v>0</v>
      </c>
      <c r="N34" s="279"/>
      <c r="O34" s="279"/>
      <c r="P34" s="279"/>
      <c r="Q34" s="279"/>
      <c r="R34" s="279"/>
      <c r="S34" s="279"/>
      <c r="T34" s="279"/>
      <c r="U34" s="279"/>
    </row>
    <row r="35" spans="1:21">
      <c r="A35" s="306" t="str">
        <f t="shared" si="0"/>
        <v/>
      </c>
      <c r="B35" s="117">
        <v>15</v>
      </c>
      <c r="C35" s="281">
        <f t="shared" si="5"/>
        <v>0</v>
      </c>
      <c r="D35" s="303">
        <f t="shared" si="1"/>
        <v>0</v>
      </c>
      <c r="E35" s="303">
        <f t="shared" si="6"/>
        <v>0</v>
      </c>
      <c r="F35" s="281">
        <f t="shared" si="7"/>
        <v>0</v>
      </c>
      <c r="G35" s="281">
        <f t="shared" si="8"/>
        <v>0</v>
      </c>
      <c r="H35" s="303">
        <f t="shared" si="2"/>
        <v>0</v>
      </c>
      <c r="I35" s="281">
        <f t="shared" si="9"/>
        <v>0</v>
      </c>
      <c r="J35" s="303">
        <f t="shared" si="10"/>
        <v>0</v>
      </c>
      <c r="K35" s="119">
        <f t="shared" si="3"/>
        <v>0</v>
      </c>
      <c r="L35" s="281">
        <f t="shared" si="4"/>
        <v>0</v>
      </c>
      <c r="N35" s="279"/>
      <c r="O35" s="279"/>
      <c r="P35" s="279"/>
      <c r="Q35" s="279"/>
      <c r="R35" s="279"/>
      <c r="S35" s="279"/>
      <c r="T35" s="279"/>
      <c r="U35" s="279"/>
    </row>
    <row r="36" spans="1:21">
      <c r="A36" s="306" t="str">
        <f t="shared" si="0"/>
        <v/>
      </c>
      <c r="B36" s="117">
        <v>16</v>
      </c>
      <c r="C36" s="281">
        <f t="shared" si="5"/>
        <v>0</v>
      </c>
      <c r="D36" s="303">
        <f t="shared" si="1"/>
        <v>0</v>
      </c>
      <c r="E36" s="303">
        <f t="shared" si="6"/>
        <v>0</v>
      </c>
      <c r="F36" s="281">
        <f t="shared" si="7"/>
        <v>0</v>
      </c>
      <c r="G36" s="281">
        <f t="shared" si="8"/>
        <v>0</v>
      </c>
      <c r="H36" s="303">
        <f t="shared" si="2"/>
        <v>0</v>
      </c>
      <c r="I36" s="281">
        <f t="shared" si="9"/>
        <v>0</v>
      </c>
      <c r="J36" s="303">
        <f t="shared" si="10"/>
        <v>0</v>
      </c>
      <c r="K36" s="119">
        <f t="shared" si="3"/>
        <v>0</v>
      </c>
      <c r="L36" s="281">
        <f t="shared" si="4"/>
        <v>0</v>
      </c>
    </row>
    <row r="37" spans="1:21">
      <c r="A37" s="306" t="str">
        <f t="shared" si="0"/>
        <v/>
      </c>
      <c r="B37" s="117">
        <v>17</v>
      </c>
      <c r="C37" s="281">
        <f t="shared" si="5"/>
        <v>0</v>
      </c>
      <c r="D37" s="303">
        <f t="shared" si="1"/>
        <v>0</v>
      </c>
      <c r="E37" s="303">
        <f t="shared" si="6"/>
        <v>0</v>
      </c>
      <c r="F37" s="281">
        <f t="shared" si="7"/>
        <v>0</v>
      </c>
      <c r="G37" s="281">
        <f t="shared" si="8"/>
        <v>0</v>
      </c>
      <c r="H37" s="303">
        <f t="shared" si="2"/>
        <v>0</v>
      </c>
      <c r="I37" s="281">
        <f t="shared" si="9"/>
        <v>0</v>
      </c>
      <c r="J37" s="303">
        <f t="shared" si="10"/>
        <v>0</v>
      </c>
      <c r="K37" s="119">
        <f t="shared" si="3"/>
        <v>0</v>
      </c>
      <c r="L37" s="281">
        <f t="shared" si="4"/>
        <v>0</v>
      </c>
    </row>
    <row r="38" spans="1:21">
      <c r="A38" s="306" t="str">
        <f t="shared" si="0"/>
        <v/>
      </c>
      <c r="B38" s="117">
        <v>18</v>
      </c>
      <c r="C38" s="281">
        <f t="shared" si="5"/>
        <v>0</v>
      </c>
      <c r="D38" s="303">
        <f t="shared" si="1"/>
        <v>0</v>
      </c>
      <c r="E38" s="303">
        <f t="shared" si="6"/>
        <v>0</v>
      </c>
      <c r="F38" s="281">
        <f t="shared" si="7"/>
        <v>0</v>
      </c>
      <c r="G38" s="281">
        <f t="shared" si="8"/>
        <v>0</v>
      </c>
      <c r="H38" s="303">
        <f t="shared" si="2"/>
        <v>0</v>
      </c>
      <c r="I38" s="281">
        <f t="shared" si="9"/>
        <v>0</v>
      </c>
      <c r="J38" s="303">
        <f t="shared" si="10"/>
        <v>0</v>
      </c>
      <c r="K38" s="119">
        <f t="shared" si="3"/>
        <v>0</v>
      </c>
      <c r="L38" s="281">
        <f t="shared" si="4"/>
        <v>0</v>
      </c>
    </row>
    <row r="39" spans="1:21">
      <c r="A39" s="306" t="str">
        <f t="shared" si="0"/>
        <v/>
      </c>
      <c r="B39" s="117">
        <v>19</v>
      </c>
      <c r="C39" s="281">
        <f t="shared" si="5"/>
        <v>0</v>
      </c>
      <c r="D39" s="303">
        <f t="shared" si="1"/>
        <v>0</v>
      </c>
      <c r="E39" s="303">
        <f t="shared" si="6"/>
        <v>0</v>
      </c>
      <c r="F39" s="281">
        <f t="shared" si="7"/>
        <v>0</v>
      </c>
      <c r="G39" s="281">
        <f t="shared" si="8"/>
        <v>0</v>
      </c>
      <c r="H39" s="303">
        <f t="shared" si="2"/>
        <v>0</v>
      </c>
      <c r="I39" s="281">
        <f t="shared" si="9"/>
        <v>0</v>
      </c>
      <c r="J39" s="303">
        <f t="shared" si="10"/>
        <v>0</v>
      </c>
      <c r="K39" s="119">
        <f t="shared" si="3"/>
        <v>0</v>
      </c>
      <c r="L39" s="281">
        <f t="shared" si="4"/>
        <v>0</v>
      </c>
    </row>
    <row r="40" spans="1:21">
      <c r="A40" s="306" t="str">
        <f t="shared" si="0"/>
        <v/>
      </c>
      <c r="B40" s="117">
        <v>20</v>
      </c>
      <c r="C40" s="281">
        <f t="shared" si="5"/>
        <v>0</v>
      </c>
      <c r="D40" s="303">
        <f t="shared" si="1"/>
        <v>0</v>
      </c>
      <c r="E40" s="303">
        <f t="shared" si="6"/>
        <v>0</v>
      </c>
      <c r="F40" s="281">
        <f t="shared" si="7"/>
        <v>0</v>
      </c>
      <c r="G40" s="281">
        <f t="shared" si="8"/>
        <v>0</v>
      </c>
      <c r="H40" s="303">
        <f t="shared" si="2"/>
        <v>0</v>
      </c>
      <c r="I40" s="281">
        <f t="shared" si="9"/>
        <v>0</v>
      </c>
      <c r="J40" s="303">
        <f t="shared" si="10"/>
        <v>0</v>
      </c>
      <c r="K40" s="119">
        <f t="shared" si="3"/>
        <v>0</v>
      </c>
      <c r="L40" s="281">
        <f t="shared" si="4"/>
        <v>0</v>
      </c>
    </row>
    <row r="41" spans="1:21">
      <c r="A41" s="306" t="str">
        <f t="shared" si="0"/>
        <v/>
      </c>
      <c r="B41" s="117">
        <v>21</v>
      </c>
      <c r="C41" s="281">
        <f t="shared" si="5"/>
        <v>0</v>
      </c>
      <c r="D41" s="303">
        <f t="shared" si="1"/>
        <v>0</v>
      </c>
      <c r="E41" s="303">
        <f t="shared" si="6"/>
        <v>0</v>
      </c>
      <c r="F41" s="281">
        <f t="shared" si="7"/>
        <v>0</v>
      </c>
      <c r="G41" s="281">
        <f t="shared" si="8"/>
        <v>0</v>
      </c>
      <c r="H41" s="303">
        <f t="shared" si="2"/>
        <v>0</v>
      </c>
      <c r="I41" s="281">
        <f t="shared" si="9"/>
        <v>0</v>
      </c>
      <c r="J41" s="303">
        <f t="shared" si="10"/>
        <v>0</v>
      </c>
      <c r="K41" s="119">
        <f t="shared" si="3"/>
        <v>0</v>
      </c>
      <c r="L41" s="281">
        <f t="shared" si="4"/>
        <v>0</v>
      </c>
    </row>
    <row r="42" spans="1:21">
      <c r="A42" s="306" t="str">
        <f t="shared" si="0"/>
        <v/>
      </c>
      <c r="B42" s="117">
        <v>22</v>
      </c>
      <c r="C42" s="281">
        <f t="shared" si="5"/>
        <v>0</v>
      </c>
      <c r="D42" s="303">
        <f t="shared" si="1"/>
        <v>0</v>
      </c>
      <c r="E42" s="303">
        <f t="shared" si="6"/>
        <v>0</v>
      </c>
      <c r="F42" s="281">
        <f t="shared" si="7"/>
        <v>0</v>
      </c>
      <c r="G42" s="281">
        <f t="shared" si="8"/>
        <v>0</v>
      </c>
      <c r="H42" s="303">
        <f t="shared" si="2"/>
        <v>0</v>
      </c>
      <c r="I42" s="281">
        <f t="shared" si="9"/>
        <v>0</v>
      </c>
      <c r="J42" s="303">
        <f t="shared" si="10"/>
        <v>0</v>
      </c>
      <c r="K42" s="119">
        <f t="shared" si="3"/>
        <v>0</v>
      </c>
      <c r="L42" s="281">
        <f t="shared" si="4"/>
        <v>0</v>
      </c>
    </row>
    <row r="43" spans="1:21">
      <c r="A43" s="306" t="str">
        <f t="shared" si="0"/>
        <v/>
      </c>
      <c r="B43" s="117">
        <v>23</v>
      </c>
      <c r="C43" s="281">
        <f t="shared" si="5"/>
        <v>0</v>
      </c>
      <c r="D43" s="303">
        <f t="shared" si="1"/>
        <v>0</v>
      </c>
      <c r="E43" s="303">
        <f t="shared" si="6"/>
        <v>0</v>
      </c>
      <c r="F43" s="281">
        <f t="shared" si="7"/>
        <v>0</v>
      </c>
      <c r="G43" s="281">
        <f t="shared" si="8"/>
        <v>0</v>
      </c>
      <c r="H43" s="303">
        <f t="shared" si="2"/>
        <v>0</v>
      </c>
      <c r="I43" s="281">
        <f t="shared" si="9"/>
        <v>0</v>
      </c>
      <c r="J43" s="303">
        <f t="shared" si="10"/>
        <v>0</v>
      </c>
      <c r="K43" s="119">
        <f t="shared" si="3"/>
        <v>0</v>
      </c>
      <c r="L43" s="281">
        <f t="shared" si="4"/>
        <v>0</v>
      </c>
    </row>
    <row r="44" spans="1:21">
      <c r="A44" s="306" t="str">
        <f t="shared" si="0"/>
        <v/>
      </c>
      <c r="B44" s="117">
        <v>24</v>
      </c>
      <c r="C44" s="281">
        <f t="shared" si="5"/>
        <v>0</v>
      </c>
      <c r="D44" s="303">
        <f t="shared" si="1"/>
        <v>0</v>
      </c>
      <c r="E44" s="303">
        <f t="shared" si="6"/>
        <v>0</v>
      </c>
      <c r="F44" s="281">
        <f t="shared" si="7"/>
        <v>0</v>
      </c>
      <c r="G44" s="281">
        <f t="shared" si="8"/>
        <v>0</v>
      </c>
      <c r="H44" s="303">
        <f t="shared" si="2"/>
        <v>0</v>
      </c>
      <c r="I44" s="281">
        <f t="shared" si="9"/>
        <v>0</v>
      </c>
      <c r="J44" s="303">
        <f t="shared" si="10"/>
        <v>0</v>
      </c>
      <c r="K44" s="119">
        <f t="shared" si="3"/>
        <v>0</v>
      </c>
      <c r="L44" s="281">
        <f t="shared" si="4"/>
        <v>0</v>
      </c>
    </row>
    <row r="45" spans="1:21">
      <c r="A45" s="306" t="str">
        <f t="shared" si="0"/>
        <v/>
      </c>
      <c r="B45" s="117">
        <v>25</v>
      </c>
      <c r="C45" s="281">
        <f t="shared" si="5"/>
        <v>0</v>
      </c>
      <c r="D45" s="303">
        <f t="shared" si="1"/>
        <v>0</v>
      </c>
      <c r="E45" s="303">
        <f t="shared" si="6"/>
        <v>0</v>
      </c>
      <c r="F45" s="281">
        <f t="shared" si="7"/>
        <v>0</v>
      </c>
      <c r="G45" s="281">
        <f t="shared" si="8"/>
        <v>0</v>
      </c>
      <c r="H45" s="303">
        <f t="shared" si="2"/>
        <v>0</v>
      </c>
      <c r="I45" s="281">
        <f t="shared" si="9"/>
        <v>0</v>
      </c>
      <c r="J45" s="303">
        <f t="shared" si="10"/>
        <v>0</v>
      </c>
      <c r="K45" s="119">
        <f t="shared" si="3"/>
        <v>0</v>
      </c>
      <c r="L45" s="281">
        <f t="shared" si="4"/>
        <v>0</v>
      </c>
    </row>
    <row r="46" spans="1:21">
      <c r="A46" s="306" t="str">
        <f t="shared" si="0"/>
        <v/>
      </c>
      <c r="B46" s="117">
        <v>26</v>
      </c>
      <c r="C46" s="281">
        <f t="shared" si="5"/>
        <v>0</v>
      </c>
      <c r="D46" s="303">
        <f t="shared" si="1"/>
        <v>0</v>
      </c>
      <c r="E46" s="303">
        <f t="shared" si="6"/>
        <v>0</v>
      </c>
      <c r="F46" s="281">
        <f t="shared" si="7"/>
        <v>0</v>
      </c>
      <c r="G46" s="281">
        <f t="shared" si="8"/>
        <v>0</v>
      </c>
      <c r="H46" s="303">
        <f t="shared" si="2"/>
        <v>0</v>
      </c>
      <c r="I46" s="281">
        <f t="shared" si="9"/>
        <v>0</v>
      </c>
      <c r="J46" s="303">
        <f t="shared" si="10"/>
        <v>0</v>
      </c>
      <c r="K46" s="119">
        <f t="shared" si="3"/>
        <v>0</v>
      </c>
      <c r="L46" s="281">
        <f t="shared" si="4"/>
        <v>0</v>
      </c>
    </row>
    <row r="47" spans="1:21">
      <c r="A47" s="306" t="str">
        <f t="shared" si="0"/>
        <v/>
      </c>
      <c r="B47" s="117">
        <v>27</v>
      </c>
      <c r="C47" s="281">
        <f t="shared" si="5"/>
        <v>0</v>
      </c>
      <c r="D47" s="303">
        <f t="shared" si="1"/>
        <v>0</v>
      </c>
      <c r="E47" s="303">
        <f t="shared" si="6"/>
        <v>0</v>
      </c>
      <c r="F47" s="281">
        <f t="shared" si="7"/>
        <v>0</v>
      </c>
      <c r="G47" s="281">
        <f t="shared" si="8"/>
        <v>0</v>
      </c>
      <c r="H47" s="303">
        <f t="shared" si="2"/>
        <v>0</v>
      </c>
      <c r="I47" s="281">
        <f t="shared" si="9"/>
        <v>0</v>
      </c>
      <c r="J47" s="303">
        <f t="shared" si="10"/>
        <v>0</v>
      </c>
      <c r="K47" s="119">
        <f t="shared" si="3"/>
        <v>0</v>
      </c>
      <c r="L47" s="281">
        <f t="shared" si="4"/>
        <v>0</v>
      </c>
      <c r="N47" s="279"/>
      <c r="O47" s="279"/>
      <c r="P47" s="279"/>
      <c r="Q47" s="279"/>
      <c r="R47" s="279"/>
      <c r="S47" s="279"/>
      <c r="T47" s="279"/>
      <c r="U47" s="279"/>
    </row>
    <row r="48" spans="1:21">
      <c r="A48" s="306" t="str">
        <f t="shared" si="0"/>
        <v/>
      </c>
      <c r="B48" s="117">
        <v>28</v>
      </c>
      <c r="C48" s="281">
        <f t="shared" si="5"/>
        <v>0</v>
      </c>
      <c r="D48" s="303">
        <f t="shared" si="1"/>
        <v>0</v>
      </c>
      <c r="E48" s="303">
        <f t="shared" si="6"/>
        <v>0</v>
      </c>
      <c r="F48" s="281">
        <f t="shared" si="7"/>
        <v>0</v>
      </c>
      <c r="G48" s="281">
        <f t="shared" si="8"/>
        <v>0</v>
      </c>
      <c r="H48" s="303">
        <f t="shared" si="2"/>
        <v>0</v>
      </c>
      <c r="I48" s="281">
        <f t="shared" si="9"/>
        <v>0</v>
      </c>
      <c r="J48" s="303">
        <f t="shared" si="10"/>
        <v>0</v>
      </c>
      <c r="K48" s="119">
        <f t="shared" si="3"/>
        <v>0</v>
      </c>
      <c r="L48" s="281">
        <f t="shared" si="4"/>
        <v>0</v>
      </c>
      <c r="N48" s="279"/>
      <c r="O48" s="279"/>
      <c r="P48" s="279"/>
      <c r="Q48" s="279"/>
      <c r="R48" s="279"/>
      <c r="S48" s="279"/>
      <c r="T48" s="279"/>
      <c r="U48" s="279"/>
    </row>
    <row r="49" spans="1:21">
      <c r="A49" s="306" t="str">
        <f t="shared" si="0"/>
        <v/>
      </c>
      <c r="B49" s="117">
        <v>29</v>
      </c>
      <c r="C49" s="281">
        <f t="shared" si="5"/>
        <v>0</v>
      </c>
      <c r="D49" s="303">
        <f t="shared" si="1"/>
        <v>0</v>
      </c>
      <c r="E49" s="303">
        <f t="shared" si="6"/>
        <v>0</v>
      </c>
      <c r="F49" s="281">
        <f t="shared" si="7"/>
        <v>0</v>
      </c>
      <c r="G49" s="281">
        <f t="shared" si="8"/>
        <v>0</v>
      </c>
      <c r="H49" s="303">
        <f t="shared" si="2"/>
        <v>0</v>
      </c>
      <c r="I49" s="281">
        <f t="shared" si="9"/>
        <v>0</v>
      </c>
      <c r="J49" s="303">
        <f t="shared" si="10"/>
        <v>0</v>
      </c>
      <c r="K49" s="119">
        <f t="shared" si="3"/>
        <v>0</v>
      </c>
      <c r="L49" s="281">
        <f t="shared" si="4"/>
        <v>0</v>
      </c>
      <c r="N49" s="279"/>
      <c r="O49" s="279"/>
      <c r="P49" s="279"/>
      <c r="Q49" s="279"/>
      <c r="R49" s="279"/>
      <c r="S49" s="279"/>
      <c r="T49" s="279"/>
      <c r="U49" s="279"/>
    </row>
    <row r="50" spans="1:21">
      <c r="A50" s="306" t="str">
        <f t="shared" si="0"/>
        <v/>
      </c>
      <c r="B50" s="117">
        <v>30</v>
      </c>
      <c r="C50" s="281">
        <f t="shared" si="5"/>
        <v>0</v>
      </c>
      <c r="D50" s="303">
        <f t="shared" si="1"/>
        <v>0</v>
      </c>
      <c r="E50" s="303">
        <f t="shared" si="6"/>
        <v>0</v>
      </c>
      <c r="F50" s="281">
        <f t="shared" si="7"/>
        <v>0</v>
      </c>
      <c r="G50" s="281">
        <f t="shared" si="8"/>
        <v>0</v>
      </c>
      <c r="H50" s="303">
        <f t="shared" si="2"/>
        <v>0</v>
      </c>
      <c r="I50" s="281">
        <f t="shared" si="9"/>
        <v>0</v>
      </c>
      <c r="J50" s="303">
        <f t="shared" si="10"/>
        <v>0</v>
      </c>
      <c r="K50" s="119">
        <f t="shared" si="3"/>
        <v>0</v>
      </c>
      <c r="L50" s="281">
        <f t="shared" si="4"/>
        <v>0</v>
      </c>
      <c r="N50" s="279"/>
      <c r="O50" s="279"/>
      <c r="P50" s="279"/>
      <c r="Q50" s="279"/>
      <c r="R50" s="279"/>
      <c r="S50" s="279"/>
      <c r="T50" s="279"/>
      <c r="U50" s="279"/>
    </row>
    <row r="51" spans="1:21">
      <c r="A51" s="319" t="s">
        <v>420</v>
      </c>
      <c r="B51" s="320">
        <f>C15+1</f>
        <v>4</v>
      </c>
      <c r="C51" s="281">
        <f>VLOOKUP(C15,B21:C50,2,FALSE)*(1+Terminal_Growth)</f>
        <v>4569073.1550902072</v>
      </c>
      <c r="D51" s="305">
        <f>Terminal_Growth</f>
        <v>0</v>
      </c>
      <c r="E51" s="305">
        <f>F17</f>
        <v>0.53643826452109311</v>
      </c>
      <c r="F51" s="281">
        <f>VLOOKUP(C15,B21:F50,5,FALSE)*(1+Terminal_Growth)</f>
        <v>-209714.76567688116</v>
      </c>
      <c r="G51" s="281">
        <f>C51*(1-E51)+F51+$I$6</f>
        <v>1918245.2262397646</v>
      </c>
      <c r="H51" s="303">
        <f>F18</f>
        <v>0</v>
      </c>
      <c r="I51" s="281">
        <f>(G51*(1-$I$10)+C51*(H51-$I$9))/Equity_Cost</f>
        <v>15191662.216383297</v>
      </c>
      <c r="J51" s="419">
        <f>(G51*(1-$I$10)+C51*(H51-$I$9))/VLOOKUP(C15,B21:I50,8,FALSE)-1</f>
        <v>0</v>
      </c>
      <c r="K51" s="119">
        <f>1/(1+Equity_Cost)^C15</f>
        <v>0.81060279602995633</v>
      </c>
      <c r="L51" s="281">
        <f>I51*K51</f>
        <v>12314403.868942944</v>
      </c>
    </row>
    <row r="52" spans="1:21" ht="13.15">
      <c r="G52" s="111"/>
      <c r="H52" s="111"/>
      <c r="I52" s="111"/>
      <c r="J52" s="464" t="s">
        <v>423</v>
      </c>
      <c r="K52" s="464"/>
      <c r="L52" s="321">
        <f>SUM(L21:L51)</f>
        <v>15187780.580899864</v>
      </c>
    </row>
    <row r="53" spans="1:21">
      <c r="C53" s="111"/>
    </row>
    <row r="54" spans="1:21" ht="13.15">
      <c r="B54" s="115" t="s">
        <v>108</v>
      </c>
      <c r="C54" s="128"/>
      <c r="D54" s="128"/>
      <c r="E54" s="113"/>
      <c r="F54" s="113"/>
      <c r="G54" s="113"/>
      <c r="H54" s="113"/>
      <c r="I54" s="113"/>
      <c r="J54" s="113"/>
      <c r="K54" s="113"/>
      <c r="L54" s="113"/>
    </row>
    <row r="55" spans="1:21" ht="13.15">
      <c r="A55" s="125">
        <f>L52</f>
        <v>15187780.580899864</v>
      </c>
      <c r="B55" s="123">
        <f>C94</f>
        <v>0.04</v>
      </c>
      <c r="C55" s="123">
        <f>C93</f>
        <v>-0.15</v>
      </c>
      <c r="D55" s="123">
        <f>C92</f>
        <v>0</v>
      </c>
      <c r="E55" s="123">
        <f>C91</f>
        <v>0.02</v>
      </c>
      <c r="F55" s="123">
        <f>C90</f>
        <v>-0.3</v>
      </c>
      <c r="G55" s="123"/>
      <c r="H55" s="123"/>
      <c r="I55" s="123"/>
      <c r="J55" s="123"/>
      <c r="K55" s="123"/>
      <c r="L55" s="123"/>
    </row>
    <row r="56" spans="1:21" ht="13.15">
      <c r="A56" s="131">
        <v>1</v>
      </c>
      <c r="B56" s="118">
        <f t="dataTable" ref="B56:F69" dt2D="1" dtr="1" r1="C16" r2="C15"/>
        <v>15734184.289548548</v>
      </c>
      <c r="C56" s="118">
        <v>12878403.708299385</v>
      </c>
      <c r="D56" s="118">
        <v>15132967.32507504</v>
      </c>
      <c r="E56" s="118">
        <v>15433575.807311796</v>
      </c>
      <c r="F56" s="118">
        <v>10623840.091523737</v>
      </c>
      <c r="G56" s="299"/>
      <c r="H56" s="299"/>
      <c r="I56" s="299"/>
      <c r="J56" s="299"/>
      <c r="K56" s="299"/>
      <c r="L56" s="299"/>
    </row>
    <row r="57" spans="1:21" ht="13.15">
      <c r="A57" s="131">
        <v>2</v>
      </c>
      <c r="B57" s="118">
        <v>16317182.558128916</v>
      </c>
      <c r="C57" s="118">
        <v>11091570.072626375</v>
      </c>
      <c r="D57" s="118">
        <v>15132967.32507504</v>
      </c>
      <c r="E57" s="118">
        <v>15719469.189019479</v>
      </c>
      <c r="F57" s="118">
        <v>7680819.9857093636</v>
      </c>
      <c r="G57" s="299"/>
      <c r="H57" s="299"/>
      <c r="I57" s="299"/>
      <c r="J57" s="299"/>
      <c r="K57" s="299"/>
      <c r="L57" s="299"/>
    </row>
    <row r="58" spans="1:21" ht="13.15">
      <c r="A58" s="131">
        <v>3</v>
      </c>
      <c r="B58" s="118">
        <v>16882514.212509885</v>
      </c>
      <c r="C58" s="118">
        <v>9675431.5268715397</v>
      </c>
      <c r="D58" s="118">
        <v>15132967.325075042</v>
      </c>
      <c r="E58" s="118">
        <v>15991367.78980441</v>
      </c>
      <c r="F58" s="118">
        <v>5759967.7021941571</v>
      </c>
      <c r="G58" s="299"/>
      <c r="H58" s="299"/>
      <c r="I58" s="299"/>
      <c r="J58" s="299"/>
      <c r="K58" s="299"/>
      <c r="L58" s="299"/>
    </row>
    <row r="59" spans="1:21" ht="13.15">
      <c r="A59" s="131">
        <v>4</v>
      </c>
      <c r="B59" s="118">
        <v>17430714.604636878</v>
      </c>
      <c r="C59" s="118">
        <v>8553083.9614714384</v>
      </c>
      <c r="D59" s="118">
        <v>15132967.325075038</v>
      </c>
      <c r="E59" s="118">
        <v>16249956.668872584</v>
      </c>
      <c r="F59" s="118">
        <v>4506264.5800863281</v>
      </c>
      <c r="G59" s="299"/>
      <c r="H59" s="299"/>
      <c r="I59" s="299"/>
      <c r="J59" s="299"/>
      <c r="K59" s="299"/>
      <c r="L59" s="299"/>
    </row>
    <row r="60" spans="1:21" ht="13.15">
      <c r="A60" s="131">
        <v>5</v>
      </c>
      <c r="B60" s="118">
        <v>17962302.86366912</v>
      </c>
      <c r="C60" s="118">
        <v>7663577.7324830145</v>
      </c>
      <c r="D60" s="118">
        <v>15132967.325075038</v>
      </c>
      <c r="E60" s="118">
        <v>16495887.351063311</v>
      </c>
      <c r="F60" s="118">
        <v>3687996.8080812194</v>
      </c>
      <c r="G60" s="299"/>
      <c r="H60" s="299"/>
      <c r="I60" s="299"/>
      <c r="J60" s="299"/>
      <c r="K60" s="299"/>
      <c r="L60" s="299"/>
    </row>
    <row r="61" spans="1:21" ht="13.15">
      <c r="A61" s="131">
        <v>6</v>
      </c>
      <c r="B61" s="118">
        <v>18477782.387579173</v>
      </c>
      <c r="C61" s="118">
        <v>6958607.7607905567</v>
      </c>
      <c r="D61" s="118">
        <v>15132967.32507504</v>
      </c>
      <c r="E61" s="118">
        <v>16729779.468391545</v>
      </c>
      <c r="F61" s="118">
        <v>3153929.2645813813</v>
      </c>
      <c r="G61" s="299"/>
      <c r="H61" s="299"/>
      <c r="I61" s="299"/>
      <c r="J61" s="299"/>
      <c r="K61" s="299"/>
      <c r="L61" s="299"/>
    </row>
    <row r="62" spans="1:21" ht="13.15">
      <c r="A62" s="131">
        <v>7</v>
      </c>
      <c r="B62" s="118">
        <v>18977641.319855586</v>
      </c>
      <c r="C62" s="118">
        <v>6399890.3007079549</v>
      </c>
      <c r="D62" s="118">
        <v>15132967.325075042</v>
      </c>
      <c r="E62" s="118">
        <v>16952222.321235184</v>
      </c>
      <c r="F62" s="118">
        <v>2805353.7117143543</v>
      </c>
      <c r="G62" s="299"/>
      <c r="H62" s="299"/>
      <c r="I62" s="299"/>
      <c r="J62" s="299"/>
      <c r="K62" s="299"/>
      <c r="L62" s="299"/>
    </row>
    <row r="63" spans="1:21" ht="13.15">
      <c r="A63" s="131">
        <v>8</v>
      </c>
      <c r="B63" s="118">
        <v>19462353.011759989</v>
      </c>
      <c r="C63" s="118">
        <v>5957083.9220877113</v>
      </c>
      <c r="D63" s="118">
        <v>15132967.325075042</v>
      </c>
      <c r="E63" s="118">
        <v>17163776.363100462</v>
      </c>
      <c r="F63" s="118">
        <v>2577845.1923605837</v>
      </c>
      <c r="G63" s="299"/>
      <c r="H63" s="299"/>
      <c r="I63" s="299"/>
      <c r="J63" s="299"/>
      <c r="K63" s="299"/>
      <c r="L63" s="299"/>
    </row>
    <row r="64" spans="1:21" ht="13.15">
      <c r="A64" s="131">
        <v>9</v>
      </c>
      <c r="B64" s="118">
        <v>19932376.470576372</v>
      </c>
      <c r="C64" s="118">
        <v>5606141.8038339056</v>
      </c>
      <c r="D64" s="118">
        <v>15132967.325075038</v>
      </c>
      <c r="E64" s="118">
        <v>17364974.612706598</v>
      </c>
      <c r="F64" s="118">
        <v>2429354.7834583558</v>
      </c>
      <c r="G64" s="299"/>
      <c r="H64" s="299"/>
      <c r="I64" s="299"/>
      <c r="J64" s="299"/>
      <c r="K64" s="299"/>
      <c r="L64" s="299"/>
    </row>
    <row r="65" spans="1:21" ht="13.15">
      <c r="A65" s="131">
        <v>10</v>
      </c>
      <c r="B65" s="118">
        <v>20388156.794277117</v>
      </c>
      <c r="C65" s="118">
        <v>5328005.8592970893</v>
      </c>
      <c r="D65" s="118">
        <v>15132967.32507504</v>
      </c>
      <c r="E65" s="118">
        <v>17556323.996947404</v>
      </c>
      <c r="F65" s="118">
        <v>2332437.9664592328</v>
      </c>
      <c r="G65" s="299"/>
      <c r="H65" s="299"/>
      <c r="I65" s="299"/>
      <c r="J65" s="299"/>
      <c r="K65" s="299"/>
      <c r="L65" s="299"/>
    </row>
    <row r="66" spans="1:21" ht="13.15">
      <c r="A66" s="131">
        <v>15</v>
      </c>
      <c r="B66" s="118">
        <v>22468068.21247901</v>
      </c>
      <c r="C66" s="281">
        <v>4597705.7581713889</v>
      </c>
      <c r="D66" s="118">
        <v>15132967.325075038</v>
      </c>
      <c r="E66" s="118">
        <v>18381409.738217153</v>
      </c>
      <c r="F66" s="118">
        <v>2171883.6189953303</v>
      </c>
      <c r="G66" s="299"/>
      <c r="H66" s="299"/>
      <c r="I66" s="299"/>
      <c r="J66" s="299"/>
      <c r="K66" s="299"/>
      <c r="L66" s="299"/>
      <c r="M66" s="279"/>
      <c r="N66" s="279"/>
      <c r="O66" s="279"/>
      <c r="P66" s="279"/>
      <c r="Q66" s="279"/>
      <c r="R66" s="279"/>
      <c r="S66" s="279"/>
      <c r="T66" s="279"/>
      <c r="U66" s="279"/>
    </row>
    <row r="67" spans="1:21" ht="13.15">
      <c r="A67" s="132">
        <v>20</v>
      </c>
      <c r="B67" s="118">
        <v>24251370.765441209</v>
      </c>
      <c r="C67" s="281">
        <v>4369351.3051026044</v>
      </c>
      <c r="D67" s="118">
        <v>15132967.325075036</v>
      </c>
      <c r="E67" s="118">
        <v>19023377.820977144</v>
      </c>
      <c r="F67" s="118">
        <v>2152867.3301423029</v>
      </c>
      <c r="G67" s="299"/>
      <c r="H67" s="299"/>
      <c r="I67" s="299"/>
      <c r="J67" s="299"/>
      <c r="K67" s="299"/>
      <c r="L67" s="299"/>
      <c r="M67" s="279"/>
      <c r="N67" s="279"/>
      <c r="O67" s="279"/>
      <c r="P67" s="279"/>
      <c r="Q67" s="279"/>
      <c r="R67" s="279"/>
      <c r="S67" s="279"/>
      <c r="T67" s="279"/>
      <c r="U67" s="279"/>
    </row>
    <row r="68" spans="1:21" ht="13.15">
      <c r="A68" s="132">
        <v>25</v>
      </c>
      <c r="B68" s="118">
        <v>25780362.802107267</v>
      </c>
      <c r="C68" s="281">
        <v>4297948.1159808105</v>
      </c>
      <c r="D68" s="118">
        <v>15132967.325075034</v>
      </c>
      <c r="E68" s="118">
        <v>19522868.963132028</v>
      </c>
      <c r="F68" s="118">
        <v>2150615.0134193124</v>
      </c>
      <c r="G68" s="299"/>
      <c r="H68" s="299"/>
      <c r="I68" s="299"/>
      <c r="J68" s="299"/>
      <c r="K68" s="299"/>
      <c r="L68" s="299"/>
      <c r="M68" s="279"/>
      <c r="N68" s="279"/>
      <c r="O68" s="279"/>
      <c r="P68" s="279"/>
      <c r="Q68" s="279"/>
      <c r="R68" s="279"/>
      <c r="S68" s="279"/>
      <c r="T68" s="279"/>
      <c r="U68" s="279"/>
    </row>
    <row r="69" spans="1:21" ht="13.15">
      <c r="A69" s="132">
        <v>30</v>
      </c>
      <c r="B69" s="118">
        <v>27091310.652378067</v>
      </c>
      <c r="C69" s="281">
        <v>4275621.3544561425</v>
      </c>
      <c r="D69" s="118">
        <v>15132967.325075034</v>
      </c>
      <c r="E69" s="118">
        <v>19911504.173808798</v>
      </c>
      <c r="F69" s="118">
        <v>2150348.245772908</v>
      </c>
      <c r="G69" s="299"/>
      <c r="H69" s="299"/>
      <c r="I69" s="299"/>
      <c r="J69" s="299"/>
      <c r="K69" s="299"/>
      <c r="L69" s="299"/>
      <c r="M69" s="279"/>
      <c r="N69" s="279"/>
      <c r="O69" s="279"/>
      <c r="P69" s="279"/>
      <c r="Q69" s="279"/>
      <c r="R69" s="279"/>
      <c r="S69" s="279"/>
      <c r="T69" s="279"/>
      <c r="U69" s="279"/>
    </row>
    <row r="70" spans="1:21">
      <c r="C70" s="279"/>
      <c r="D70" s="111"/>
      <c r="E70" s="111"/>
      <c r="F70" s="111"/>
      <c r="G70" s="111"/>
      <c r="H70" s="111"/>
      <c r="I70" s="111"/>
      <c r="J70" s="111"/>
      <c r="K70" s="111"/>
      <c r="L70" s="111"/>
      <c r="M70" s="279"/>
      <c r="N70" s="279"/>
      <c r="O70" s="279"/>
      <c r="P70" s="279"/>
      <c r="Q70" s="279"/>
      <c r="R70" s="279"/>
      <c r="S70" s="279"/>
      <c r="T70" s="279"/>
      <c r="U70" s="279"/>
    </row>
    <row r="71" spans="1:21" ht="13.15">
      <c r="B71" s="115" t="s">
        <v>109</v>
      </c>
      <c r="C71" s="279"/>
      <c r="D71" s="111"/>
      <c r="E71" s="111"/>
      <c r="F71" s="111"/>
      <c r="G71" s="111"/>
      <c r="H71" s="111"/>
      <c r="I71" s="111"/>
      <c r="J71" s="111"/>
      <c r="K71" s="111"/>
      <c r="L71" s="111"/>
      <c r="M71" s="279"/>
      <c r="N71" s="279"/>
      <c r="O71" s="279"/>
      <c r="P71" s="279"/>
      <c r="Q71" s="279"/>
      <c r="R71" s="279"/>
      <c r="S71" s="279"/>
      <c r="T71" s="279"/>
      <c r="U71" s="279"/>
    </row>
    <row r="72" spans="1:21" ht="13.15">
      <c r="B72" s="124">
        <f>B55</f>
        <v>0.04</v>
      </c>
      <c r="C72" s="124">
        <f>C55</f>
        <v>-0.15</v>
      </c>
      <c r="D72" s="124">
        <f>D55</f>
        <v>0</v>
      </c>
      <c r="E72" s="124">
        <f>E55</f>
        <v>0.02</v>
      </c>
      <c r="F72" s="124">
        <f>F55</f>
        <v>-0.3</v>
      </c>
      <c r="G72" s="124"/>
      <c r="H72" s="124"/>
      <c r="I72" s="124"/>
      <c r="J72" s="124"/>
      <c r="K72" s="124"/>
      <c r="L72" s="124"/>
    </row>
    <row r="73" spans="1:21" ht="13.15">
      <c r="A73" s="131">
        <v>0</v>
      </c>
      <c r="B73" s="119">
        <f>C11</f>
        <v>4.5928254474146408</v>
      </c>
      <c r="C73" s="119">
        <f>C11</f>
        <v>4.5928254474146408</v>
      </c>
      <c r="D73" s="119">
        <f>C11</f>
        <v>4.5928254474146408</v>
      </c>
      <c r="E73" s="119">
        <f>C11</f>
        <v>4.5928254474146408</v>
      </c>
      <c r="F73" s="119">
        <f>C11</f>
        <v>4.5928254474146408</v>
      </c>
      <c r="G73" s="300"/>
      <c r="H73" s="300"/>
      <c r="I73" s="300"/>
      <c r="J73" s="300"/>
      <c r="K73" s="300"/>
      <c r="L73" s="300"/>
    </row>
    <row r="74" spans="1:21" ht="13.15">
      <c r="A74" s="131">
        <v>1</v>
      </c>
      <c r="B74" s="119">
        <f t="shared" ref="B74:F87" si="11">(B56+FV_adjustments)/Common_Shares*scaling_factor*Exchange_Rate</f>
        <v>4.7109180024187989</v>
      </c>
      <c r="C74" s="119">
        <f t="shared" si="11"/>
        <v>4.1499783661490515</v>
      </c>
      <c r="D74" s="119">
        <f t="shared" si="11"/>
        <v>4.5928254474146408</v>
      </c>
      <c r="E74" s="119">
        <f t="shared" si="11"/>
        <v>4.6518717249167194</v>
      </c>
      <c r="F74" s="119">
        <f t="shared" si="11"/>
        <v>3.7071312848834617</v>
      </c>
      <c r="G74" s="300"/>
      <c r="H74" s="300"/>
      <c r="I74" s="300"/>
      <c r="J74" s="300"/>
      <c r="K74" s="300"/>
      <c r="L74" s="300"/>
    </row>
    <row r="75" spans="1:21" ht="13.15">
      <c r="A75" s="131">
        <v>2</v>
      </c>
      <c r="B75" s="119">
        <f t="shared" si="11"/>
        <v>4.8254319951501019</v>
      </c>
      <c r="C75" s="119">
        <f t="shared" si="11"/>
        <v>3.7990039893884435</v>
      </c>
      <c r="D75" s="119">
        <f t="shared" si="11"/>
        <v>4.5928254474146408</v>
      </c>
      <c r="E75" s="119">
        <f t="shared" si="11"/>
        <v>4.708027625198417</v>
      </c>
      <c r="F75" s="119">
        <f t="shared" si="11"/>
        <v>3.1290558408071671</v>
      </c>
      <c r="G75" s="300"/>
      <c r="H75" s="300"/>
      <c r="I75" s="300"/>
      <c r="J75" s="300"/>
      <c r="K75" s="300"/>
      <c r="L75" s="300"/>
    </row>
    <row r="76" spans="1:21" ht="13.15">
      <c r="A76" s="131">
        <v>3</v>
      </c>
      <c r="B76" s="119">
        <f t="shared" si="11"/>
        <v>4.9364758668895492</v>
      </c>
      <c r="C76" s="119">
        <f t="shared" si="11"/>
        <v>3.5208424786690813</v>
      </c>
      <c r="D76" s="119">
        <f t="shared" si="11"/>
        <v>4.5928254474146408</v>
      </c>
      <c r="E76" s="119">
        <f t="shared" si="11"/>
        <v>4.7614346352565358</v>
      </c>
      <c r="F76" s="119">
        <f t="shared" si="11"/>
        <v>2.7517571826687934</v>
      </c>
      <c r="G76" s="300"/>
      <c r="H76" s="300"/>
      <c r="I76" s="300"/>
      <c r="J76" s="300"/>
      <c r="K76" s="300"/>
      <c r="L76" s="300"/>
    </row>
    <row r="77" spans="1:21" ht="13.15">
      <c r="A77" s="131">
        <v>4</v>
      </c>
      <c r="B77" s="119">
        <f t="shared" si="11"/>
        <v>5.0441547728187075</v>
      </c>
      <c r="C77" s="119">
        <f t="shared" si="11"/>
        <v>3.3003881345092139</v>
      </c>
      <c r="D77" s="119">
        <f t="shared" si="11"/>
        <v>4.5928254474146408</v>
      </c>
      <c r="E77" s="119">
        <f t="shared" si="11"/>
        <v>4.8122273161509668</v>
      </c>
      <c r="F77" s="119">
        <f t="shared" si="11"/>
        <v>2.5055016482195049</v>
      </c>
      <c r="G77" s="300"/>
      <c r="H77" s="300"/>
      <c r="I77" s="300"/>
      <c r="J77" s="300"/>
      <c r="K77" s="300"/>
      <c r="L77" s="300"/>
    </row>
    <row r="78" spans="1:21" ht="13.15">
      <c r="A78" s="131">
        <v>5</v>
      </c>
      <c r="B78" s="119">
        <f t="shared" si="11"/>
        <v>5.1485706815985006</v>
      </c>
      <c r="C78" s="119">
        <f t="shared" si="11"/>
        <v>3.1256690738696919</v>
      </c>
      <c r="D78" s="119">
        <f t="shared" si="11"/>
        <v>4.5928254474146408</v>
      </c>
      <c r="E78" s="119">
        <f t="shared" si="11"/>
        <v>4.8605336420365841</v>
      </c>
      <c r="F78" s="119">
        <f t="shared" si="11"/>
        <v>2.3447754252689208</v>
      </c>
      <c r="G78" s="300"/>
      <c r="H78" s="300"/>
      <c r="I78" s="300"/>
      <c r="J78" s="300"/>
      <c r="K78" s="300"/>
      <c r="L78" s="300"/>
    </row>
    <row r="79" spans="1:21" ht="13.15">
      <c r="A79" s="131">
        <v>6</v>
      </c>
      <c r="B79" s="119">
        <f t="shared" si="11"/>
        <v>5.2498224719304192</v>
      </c>
      <c r="C79" s="119">
        <f t="shared" si="11"/>
        <v>2.9871970910784622</v>
      </c>
      <c r="D79" s="119">
        <f t="shared" si="11"/>
        <v>4.5928254474146408</v>
      </c>
      <c r="E79" s="119">
        <f t="shared" si="11"/>
        <v>4.9064753225991264</v>
      </c>
      <c r="F79" s="119">
        <f t="shared" si="11"/>
        <v>2.2398725291706372</v>
      </c>
      <c r="G79" s="300"/>
      <c r="H79" s="300"/>
      <c r="I79" s="300"/>
      <c r="J79" s="300"/>
      <c r="K79" s="300"/>
      <c r="L79" s="300"/>
    </row>
    <row r="80" spans="1:21" ht="13.15">
      <c r="A80" s="131">
        <f t="shared" ref="A80" si="12">A62</f>
        <v>7</v>
      </c>
      <c r="B80" s="119">
        <f t="shared" si="11"/>
        <v>5.3480060261916753</v>
      </c>
      <c r="C80" s="119">
        <f t="shared" si="11"/>
        <v>2.8774523960924059</v>
      </c>
      <c r="D80" s="119">
        <f t="shared" si="11"/>
        <v>4.5928254474146408</v>
      </c>
      <c r="E80" s="119">
        <f t="shared" si="11"/>
        <v>4.9501681097075583</v>
      </c>
      <c r="F80" s="119">
        <f t="shared" si="11"/>
        <v>2.1714044384771189</v>
      </c>
      <c r="G80" s="300"/>
      <c r="H80" s="300"/>
      <c r="I80" s="300"/>
      <c r="J80" s="300"/>
      <c r="K80" s="300"/>
      <c r="L80" s="300"/>
    </row>
    <row r="81" spans="1:12" ht="13.15">
      <c r="A81" s="131">
        <v>8</v>
      </c>
      <c r="B81" s="119">
        <f t="shared" si="11"/>
        <v>5.4432143212328929</v>
      </c>
      <c r="C81" s="119">
        <f t="shared" si="11"/>
        <v>2.7904752485510094</v>
      </c>
      <c r="D81" s="119">
        <f t="shared" si="11"/>
        <v>4.5928254474146408</v>
      </c>
      <c r="E81" s="119">
        <f t="shared" si="11"/>
        <v>4.9917220890554388</v>
      </c>
      <c r="F81" s="119">
        <f t="shared" si="11"/>
        <v>2.1267166403554745</v>
      </c>
      <c r="G81" s="300"/>
      <c r="H81" s="300"/>
      <c r="I81" s="300"/>
      <c r="J81" s="300"/>
      <c r="K81" s="300"/>
      <c r="L81" s="300"/>
    </row>
    <row r="82" spans="1:12" ht="13.15">
      <c r="A82" s="131">
        <f t="shared" ref="A82" si="13">A64</f>
        <v>9</v>
      </c>
      <c r="B82" s="119">
        <f t="shared" si="11"/>
        <v>5.535537516424375</v>
      </c>
      <c r="C82" s="119">
        <f t="shared" si="11"/>
        <v>2.7215423111056136</v>
      </c>
      <c r="D82" s="119">
        <f t="shared" si="11"/>
        <v>4.5928254474146408</v>
      </c>
      <c r="E82" s="119">
        <f t="shared" si="11"/>
        <v>5.0312419575261496</v>
      </c>
      <c r="F82" s="119">
        <f t="shared" si="11"/>
        <v>2.097549779110579</v>
      </c>
      <c r="G82" s="300"/>
      <c r="H82" s="300"/>
      <c r="I82" s="300"/>
      <c r="J82" s="300"/>
      <c r="K82" s="300"/>
      <c r="L82" s="300"/>
    </row>
    <row r="83" spans="1:12" ht="13.15">
      <c r="A83" s="131">
        <f t="shared" ref="A83:A87" si="14">A65</f>
        <v>10</v>
      </c>
      <c r="B83" s="119">
        <f t="shared" si="11"/>
        <v>5.6250630390342984</v>
      </c>
      <c r="C83" s="119">
        <f t="shared" si="11"/>
        <v>2.6669101462304745</v>
      </c>
      <c r="D83" s="119">
        <f t="shared" si="11"/>
        <v>4.5928254474146408</v>
      </c>
      <c r="E83" s="119">
        <f t="shared" si="11"/>
        <v>5.0688272869808122</v>
      </c>
      <c r="F83" s="119">
        <f t="shared" si="11"/>
        <v>2.0785131330766147</v>
      </c>
      <c r="G83" s="300"/>
      <c r="H83" s="300"/>
      <c r="I83" s="300"/>
      <c r="J83" s="300"/>
      <c r="K83" s="300"/>
      <c r="L83" s="300"/>
    </row>
    <row r="84" spans="1:12" ht="13.15">
      <c r="A84" s="131">
        <f t="shared" si="14"/>
        <v>15</v>
      </c>
      <c r="B84" s="119">
        <f t="shared" si="11"/>
        <v>6.0336044942357097</v>
      </c>
      <c r="C84" s="119">
        <f t="shared" si="11"/>
        <v>2.5234627554249736</v>
      </c>
      <c r="D84" s="119">
        <f t="shared" si="11"/>
        <v>4.5928254474146408</v>
      </c>
      <c r="E84" s="119">
        <f t="shared" si="11"/>
        <v>5.2308927126784557</v>
      </c>
      <c r="F84" s="119">
        <f t="shared" si="11"/>
        <v>2.0469766425425506</v>
      </c>
      <c r="G84" s="300"/>
      <c r="H84" s="300"/>
      <c r="I84" s="300"/>
      <c r="J84" s="300"/>
      <c r="K84" s="300"/>
      <c r="L84" s="300"/>
    </row>
    <row r="85" spans="1:12" ht="13.15">
      <c r="A85" s="132">
        <f t="shared" si="14"/>
        <v>20</v>
      </c>
      <c r="B85" s="119">
        <f t="shared" si="11"/>
        <v>6.3838852868097566</v>
      </c>
      <c r="C85" s="119">
        <f t="shared" si="11"/>
        <v>2.4786087968659616</v>
      </c>
      <c r="D85" s="119">
        <f t="shared" si="11"/>
        <v>4.5928254474146408</v>
      </c>
      <c r="E85" s="119">
        <f t="shared" si="11"/>
        <v>5.3569897052851703</v>
      </c>
      <c r="F85" s="119">
        <f t="shared" si="11"/>
        <v>2.0432414150455731</v>
      </c>
      <c r="G85" s="300"/>
      <c r="H85" s="300"/>
      <c r="I85" s="300"/>
      <c r="J85" s="300"/>
      <c r="K85" s="300"/>
      <c r="L85" s="300"/>
    </row>
    <row r="86" spans="1:12" ht="13.15">
      <c r="A86" s="132">
        <f t="shared" si="14"/>
        <v>25</v>
      </c>
      <c r="B86" s="119">
        <f t="shared" si="11"/>
        <v>6.6842137653133955</v>
      </c>
      <c r="C86" s="119">
        <f t="shared" si="11"/>
        <v>2.4645836020742244</v>
      </c>
      <c r="D86" s="119">
        <f t="shared" si="11"/>
        <v>4.5928254474146399</v>
      </c>
      <c r="E86" s="119">
        <f t="shared" si="11"/>
        <v>5.4551010172816143</v>
      </c>
      <c r="F86" s="119">
        <f t="shared" si="11"/>
        <v>2.0427990093048609</v>
      </c>
      <c r="G86" s="300"/>
      <c r="H86" s="300"/>
      <c r="I86" s="300"/>
      <c r="J86" s="300"/>
      <c r="K86" s="300"/>
      <c r="L86" s="300"/>
    </row>
    <row r="87" spans="1:12" ht="13.15">
      <c r="A87" s="132">
        <f t="shared" si="14"/>
        <v>30</v>
      </c>
      <c r="B87" s="119">
        <f t="shared" si="11"/>
        <v>6.9417134538846552</v>
      </c>
      <c r="C87" s="119">
        <f t="shared" si="11"/>
        <v>2.4601981231719026</v>
      </c>
      <c r="D87" s="119">
        <f t="shared" si="11"/>
        <v>4.5928254474146399</v>
      </c>
      <c r="E87" s="119">
        <f t="shared" si="11"/>
        <v>5.5314377271640263</v>
      </c>
      <c r="F87" s="119">
        <f t="shared" si="11"/>
        <v>2.0427466101298242</v>
      </c>
      <c r="G87" s="300"/>
      <c r="H87" s="300"/>
      <c r="I87" s="300"/>
      <c r="J87" s="300"/>
      <c r="K87" s="300"/>
      <c r="L87" s="300"/>
    </row>
    <row r="89" spans="1:12" ht="13.15">
      <c r="B89" s="153" t="s">
        <v>101</v>
      </c>
      <c r="C89" s="153" t="s">
        <v>110</v>
      </c>
      <c r="D89" s="153" t="s">
        <v>99</v>
      </c>
      <c r="E89" s="154" t="s">
        <v>100</v>
      </c>
      <c r="F89" s="154" t="s">
        <v>460</v>
      </c>
      <c r="G89" s="327"/>
      <c r="H89" s="327"/>
      <c r="I89" s="327"/>
      <c r="J89" s="327"/>
      <c r="K89" s="327"/>
      <c r="L89" s="327"/>
    </row>
    <row r="90" spans="1:12">
      <c r="B90" s="120" t="str">
        <f>Scenarios!B29</f>
        <v>Snowball Scenario</v>
      </c>
      <c r="C90" s="130">
        <f>Scenarios!C29</f>
        <v>-0.3</v>
      </c>
      <c r="D90" s="133">
        <f>Scenarios!D29</f>
        <v>3</v>
      </c>
      <c r="E90" s="127">
        <f>INDEX(B$73:F$87, MATCH(D90, A$73:A$87, 0), MATCH(C90, B$72:F$72, 0))</f>
        <v>2.7517571826687934</v>
      </c>
      <c r="F90" s="130">
        <f>Scenarios!F29</f>
        <v>0.15</v>
      </c>
      <c r="G90" s="301"/>
      <c r="H90" s="301"/>
      <c r="I90" s="301"/>
      <c r="J90" s="301"/>
      <c r="K90" s="301"/>
      <c r="L90" s="301"/>
    </row>
    <row r="91" spans="1:12">
      <c r="B91" s="120" t="str">
        <f>Scenarios!B22</f>
        <v>Optimistic</v>
      </c>
      <c r="C91" s="130">
        <f>Scenarios!C22</f>
        <v>0.02</v>
      </c>
      <c r="D91" s="133">
        <f>Scenarios!D22</f>
        <v>3</v>
      </c>
      <c r="E91" s="127">
        <f>INDEX(B$73:F$87, MATCH(D91, A$73:A$87, 0), MATCH(C91, B$72:F$72, 0))</f>
        <v>4.7614346352565358</v>
      </c>
      <c r="F91" s="130">
        <f>Scenarios!F22*(1-F$90-F$94)</f>
        <v>0.15999999999999995</v>
      </c>
      <c r="G91" s="301"/>
      <c r="H91" s="301"/>
      <c r="I91" s="301"/>
      <c r="J91" s="301"/>
      <c r="K91" s="301"/>
      <c r="L91" s="301"/>
    </row>
    <row r="92" spans="1:12">
      <c r="B92" s="120" t="str">
        <f>Scenarios!B23</f>
        <v>Base</v>
      </c>
      <c r="C92" s="130">
        <f>Scenarios!C23</f>
        <v>0</v>
      </c>
      <c r="D92" s="133">
        <f>Scenarios!D23</f>
        <v>3</v>
      </c>
      <c r="E92" s="127">
        <f>INDEX(B$73:F$87, MATCH(D92, A$73:A$87, 0), MATCH(C92, B$72:F$72, 0))</f>
        <v>4.5928254474146408</v>
      </c>
      <c r="F92" s="130">
        <f>Scenarios!F23*(1-F$90-F$94)</f>
        <v>0.44</v>
      </c>
      <c r="G92" s="301"/>
      <c r="H92" s="301"/>
      <c r="I92" s="301"/>
      <c r="J92" s="301"/>
      <c r="K92" s="301"/>
      <c r="L92" s="301"/>
    </row>
    <row r="93" spans="1:12">
      <c r="B93" s="120" t="str">
        <f>Scenarios!B24</f>
        <v>Pessimistic</v>
      </c>
      <c r="C93" s="130">
        <f>Scenarios!C24</f>
        <v>-0.15</v>
      </c>
      <c r="D93" s="133">
        <f>Scenarios!D24</f>
        <v>3</v>
      </c>
      <c r="E93" s="127">
        <f>INDEX(B$73:F$87, MATCH(D93, A$73:A$87, 0), MATCH(C93, B$72:F$72, 0))</f>
        <v>3.5208424786690813</v>
      </c>
      <c r="F93" s="130">
        <f>Scenarios!F24*(1-F$90-F$94)</f>
        <v>0.19999999999999998</v>
      </c>
      <c r="G93" s="301"/>
      <c r="H93" s="301"/>
      <c r="I93" s="301"/>
      <c r="J93" s="301"/>
      <c r="K93" s="301"/>
      <c r="L93" s="301"/>
    </row>
    <row r="94" spans="1:12">
      <c r="B94" s="120" t="str">
        <f>Scenarios!B30</f>
        <v>Devil's advocate</v>
      </c>
      <c r="C94" s="130">
        <f>Scenarios!C30</f>
        <v>0.04</v>
      </c>
      <c r="D94" s="133">
        <f>Scenarios!D30</f>
        <v>3</v>
      </c>
      <c r="E94" s="127">
        <f>INDEX(B$73:F$87, MATCH(D94, A$73:A$87, 0), MATCH(C94, B$72:F$72, 0))</f>
        <v>4.9364758668895492</v>
      </c>
      <c r="F94" s="130">
        <f>Scenarios!F30</f>
        <v>0.05</v>
      </c>
      <c r="G94" s="301"/>
      <c r="H94" s="301"/>
      <c r="I94" s="301"/>
      <c r="J94" s="301"/>
      <c r="K94" s="301"/>
      <c r="L94" s="301"/>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9"/>
      <c r="M114" s="279"/>
      <c r="N114" s="279"/>
      <c r="O114" s="279"/>
      <c r="P114" s="279"/>
      <c r="Q114" s="279"/>
      <c r="R114" s="279"/>
      <c r="S114" s="279"/>
      <c r="T114" s="279"/>
      <c r="U114" s="279"/>
    </row>
    <row r="115" spans="3:21">
      <c r="C115" s="279"/>
      <c r="M115" s="279"/>
      <c r="N115" s="279"/>
      <c r="O115" s="279"/>
      <c r="P115" s="279"/>
      <c r="Q115" s="279"/>
      <c r="R115" s="279"/>
      <c r="S115" s="279"/>
      <c r="T115" s="279"/>
      <c r="U115" s="279"/>
    </row>
    <row r="116" spans="3:21">
      <c r="C116" s="279"/>
      <c r="M116" s="279"/>
      <c r="N116" s="279"/>
      <c r="O116" s="279"/>
      <c r="P116" s="279"/>
      <c r="Q116" s="279"/>
      <c r="R116" s="279"/>
      <c r="S116" s="279"/>
      <c r="T116" s="279"/>
      <c r="U116" s="279"/>
    </row>
    <row r="117" spans="3:21">
      <c r="C117" s="279"/>
      <c r="M117" s="279"/>
      <c r="N117" s="279"/>
      <c r="O117" s="279"/>
      <c r="P117" s="279"/>
      <c r="Q117" s="279"/>
      <c r="R117" s="279"/>
      <c r="S117" s="279"/>
      <c r="T117" s="279"/>
      <c r="U117" s="279"/>
    </row>
    <row r="118" spans="3:21">
      <c r="C118" s="279"/>
      <c r="M118" s="279"/>
      <c r="N118" s="279"/>
      <c r="O118" s="279"/>
      <c r="P118" s="279"/>
      <c r="Q118" s="279"/>
      <c r="R118" s="279"/>
      <c r="S118" s="279"/>
      <c r="T118" s="279"/>
      <c r="U118" s="279"/>
    </row>
  </sheetData>
  <mergeCells count="1">
    <mergeCell ref="J52:K52"/>
  </mergeCells>
  <phoneticPr fontId="2" type="noConversion"/>
  <conditionalFormatting sqref="B74:L87">
    <cfRule type="expression" dxfId="1" priority="21">
      <formula>ISNUMBER(MATCH(B74, $E$90:$E$94, 0))</formula>
    </cfRule>
  </conditionalFormatting>
  <conditionalFormatting sqref="C21:L50">
    <cfRule type="cellIs" dxfId="0" priority="3"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G19" sqref="G19"/>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547</v>
      </c>
      <c r="E3" s="97"/>
    </row>
    <row r="4" spans="2:7" ht="12.75" customHeight="1">
      <c r="B4" s="139" t="s">
        <v>123</v>
      </c>
      <c r="C4" s="454">
        <v>2</v>
      </c>
      <c r="D4" s="465"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0639.HK – 首钢资源: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5"/>
      <c r="F4" s="465"/>
      <c r="G4" s="465"/>
    </row>
    <row r="5" spans="2:7">
      <c r="C5" s="450"/>
      <c r="D5" s="465"/>
      <c r="E5" s="465"/>
      <c r="F5" s="465"/>
      <c r="G5" s="465"/>
    </row>
    <row r="6" spans="2:7" ht="13.15">
      <c r="B6" s="145" t="s">
        <v>91</v>
      </c>
      <c r="C6" s="451" t="str">
        <f>DCF!C3&amp;" "&amp;Reporting_currency</f>
        <v>1000 HKD</v>
      </c>
      <c r="D6" s="465"/>
      <c r="E6" s="465"/>
      <c r="F6" s="465"/>
      <c r="G6" s="465"/>
    </row>
    <row r="7" spans="2:7" ht="12.75" customHeight="1">
      <c r="B7" s="97" t="s">
        <v>232</v>
      </c>
      <c r="C7" s="452">
        <f>Normalized_FCF!G8</f>
        <v>2269323</v>
      </c>
      <c r="D7" s="465"/>
      <c r="E7" s="465"/>
      <c r="F7" s="465"/>
      <c r="G7" s="465"/>
    </row>
    <row r="8" spans="2:7">
      <c r="B8" s="97" t="s">
        <v>63</v>
      </c>
      <c r="C8" s="452">
        <f>Normalized_FCF!G19</f>
        <v>1274304.985390021</v>
      </c>
      <c r="D8" s="465"/>
      <c r="E8" s="465"/>
      <c r="F8" s="465"/>
      <c r="G8" s="465"/>
    </row>
    <row r="9" spans="2:7">
      <c r="B9" s="97" t="s">
        <v>54</v>
      </c>
      <c r="C9" s="452">
        <f>Normalized_FCF!C19</f>
        <v>1097140.1310679403</v>
      </c>
      <c r="D9" s="465"/>
      <c r="E9" s="465"/>
      <c r="F9" s="465"/>
      <c r="G9" s="465"/>
    </row>
    <row r="10" spans="2:7">
      <c r="C10" s="453"/>
      <c r="D10" s="465"/>
      <c r="E10" s="465"/>
      <c r="F10" s="465"/>
      <c r="G10" s="465"/>
    </row>
    <row r="11" spans="2:7" ht="13.15">
      <c r="B11" s="145" t="s">
        <v>321</v>
      </c>
      <c r="C11" s="453"/>
      <c r="D11" s="465"/>
      <c r="E11" s="465"/>
      <c r="F11" s="465"/>
      <c r="G11" s="465"/>
    </row>
    <row r="12" spans="2:7">
      <c r="B12" s="114" t="s">
        <v>121</v>
      </c>
      <c r="C12" s="252">
        <f ca="1">(Normalized_FCF!G4/OFFSET(Normalized_FCF!G4, 0, $C$4))^(1/$C$4) - 1</f>
        <v>-0.21539671749025913</v>
      </c>
      <c r="D12" s="465"/>
      <c r="E12" s="465"/>
      <c r="F12" s="465"/>
      <c r="G12" s="465"/>
    </row>
    <row r="13" spans="2:7">
      <c r="B13" s="135" t="s">
        <v>127</v>
      </c>
      <c r="C13" s="252">
        <f ca="1">(Normalized_FCF!G8/OFFSET(Normalized_FCF!G8, 0, $C$4))^(1/$C$4) - 1</f>
        <v>-0.3075833251044805</v>
      </c>
      <c r="D13" s="465"/>
      <c r="E13" s="465"/>
      <c r="F13" s="465"/>
      <c r="G13" s="465"/>
    </row>
    <row r="14" spans="2:7">
      <c r="B14" s="97" t="s">
        <v>63</v>
      </c>
      <c r="C14" s="252">
        <f ca="1">(Normalized_FCF!G19/OFFSET(Normalized_FCF!G19, 0, $C$4))^(1/$C$4) - 1</f>
        <v>-0.33056173275320122</v>
      </c>
      <c r="D14" s="465"/>
      <c r="E14" s="465"/>
      <c r="F14" s="465"/>
      <c r="G14" s="465"/>
    </row>
    <row r="16" spans="2:7" ht="13.9">
      <c r="B16" s="34" t="s">
        <v>456</v>
      </c>
      <c r="C16" s="35"/>
      <c r="D16" s="35"/>
      <c r="E16" s="35"/>
      <c r="F16" s="35"/>
      <c r="G16" s="35"/>
    </row>
    <row r="17" spans="2:7" ht="13.15">
      <c r="B17" s="106" t="s">
        <v>126</v>
      </c>
      <c r="E17" s="222" t="s">
        <v>251</v>
      </c>
    </row>
    <row r="18" spans="2:7" ht="12.75" customHeight="1">
      <c r="B18" s="139" t="s">
        <v>111</v>
      </c>
      <c r="C18" s="137">
        <v>3</v>
      </c>
      <c r="E18" s="455" t="s">
        <v>548</v>
      </c>
      <c r="F18" s="323"/>
    </row>
    <row r="19" spans="2:7">
      <c r="E19" s="323"/>
      <c r="F19" s="323"/>
    </row>
    <row r="20" spans="2:7" ht="13.15">
      <c r="B20" s="106" t="s">
        <v>453</v>
      </c>
      <c r="E20" s="323"/>
      <c r="F20" s="323"/>
    </row>
    <row r="21" spans="2:7" ht="13.15">
      <c r="B21" s="153" t="s">
        <v>439</v>
      </c>
      <c r="C21" s="153" t="s">
        <v>379</v>
      </c>
      <c r="D21" s="153" t="s">
        <v>451</v>
      </c>
      <c r="E21" s="154" t="str">
        <f>"Value per share ("&amp;Market_currency&amp;")"</f>
        <v>Value per share (HKD)</v>
      </c>
      <c r="F21" s="154" t="s">
        <v>452</v>
      </c>
      <c r="G21" s="154" t="s">
        <v>460</v>
      </c>
    </row>
    <row r="22" spans="2:7">
      <c r="B22" s="306" t="s">
        <v>448</v>
      </c>
      <c r="C22" s="328">
        <v>0.02</v>
      </c>
      <c r="D22" s="329">
        <f>C18</f>
        <v>3</v>
      </c>
      <c r="E22" s="330">
        <f>DCF!E91</f>
        <v>4.7614346352565358</v>
      </c>
      <c r="F22" s="332">
        <f>1-F23-F24</f>
        <v>0.19999999999999996</v>
      </c>
      <c r="G22" s="332">
        <f>F22*(1-F$29-F$30)</f>
        <v>0.15999999999999995</v>
      </c>
    </row>
    <row r="23" spans="2:7">
      <c r="B23" s="306" t="s">
        <v>440</v>
      </c>
      <c r="C23" s="328">
        <v>0</v>
      </c>
      <c r="D23" s="329">
        <f>C18</f>
        <v>3</v>
      </c>
      <c r="E23" s="330">
        <f>DCF!E92</f>
        <v>4.5928254474146408</v>
      </c>
      <c r="F23" s="331">
        <v>0.55000000000000004</v>
      </c>
      <c r="G23" s="332">
        <f t="shared" ref="G23:G24" si="0">F23*(1-F$29-F$30)</f>
        <v>0.44</v>
      </c>
    </row>
    <row r="24" spans="2:7">
      <c r="B24" s="306" t="s">
        <v>449</v>
      </c>
      <c r="C24" s="328">
        <v>-0.15</v>
      </c>
      <c r="D24" s="329">
        <f>C18</f>
        <v>3</v>
      </c>
      <c r="E24" s="330">
        <f>DCF!E93</f>
        <v>3.5208424786690813</v>
      </c>
      <c r="F24" s="331">
        <v>0.25</v>
      </c>
      <c r="G24" s="332">
        <f t="shared" si="0"/>
        <v>0.19999999999999998</v>
      </c>
    </row>
    <row r="25" spans="2:7">
      <c r="B25" s="141" t="s">
        <v>454</v>
      </c>
      <c r="C25" s="446">
        <f>E23*F23+E24*F24+E22*F22</f>
        <v>4.3585515427966302</v>
      </c>
      <c r="D25" s="141" t="str">
        <f>Market_currency</f>
        <v>HKD</v>
      </c>
      <c r="G25" s="149"/>
    </row>
    <row r="27" spans="2:7" ht="13.15">
      <c r="B27" s="106" t="s">
        <v>455</v>
      </c>
    </row>
    <row r="28" spans="2:7" ht="13.15">
      <c r="B28" s="153" t="s">
        <v>439</v>
      </c>
      <c r="C28" s="153" t="s">
        <v>379</v>
      </c>
      <c r="D28" s="153" t="s">
        <v>451</v>
      </c>
      <c r="E28" s="154" t="str">
        <f>"Value per share ("&amp;Market_currency&amp;")"</f>
        <v>Value per share (HKD)</v>
      </c>
      <c r="F28" s="154" t="s">
        <v>452</v>
      </c>
      <c r="G28" s="154" t="s">
        <v>460</v>
      </c>
    </row>
    <row r="29" spans="2:7">
      <c r="B29" s="306" t="s">
        <v>447</v>
      </c>
      <c r="C29" s="328">
        <v>-0.3</v>
      </c>
      <c r="D29" s="329">
        <f>C18</f>
        <v>3</v>
      </c>
      <c r="E29" s="330">
        <f>DCF!E90</f>
        <v>2.7517571826687934</v>
      </c>
      <c r="F29" s="331">
        <v>0.15</v>
      </c>
      <c r="G29" s="332">
        <f>F29</f>
        <v>0.15</v>
      </c>
    </row>
    <row r="30" spans="2:7">
      <c r="B30" s="319" t="s">
        <v>450</v>
      </c>
      <c r="C30" s="328">
        <v>0.04</v>
      </c>
      <c r="D30" s="329">
        <f>C18</f>
        <v>3</v>
      </c>
      <c r="E30" s="330">
        <f>DCF!E94</f>
        <v>4.9364758668895492</v>
      </c>
      <c r="F30" s="331">
        <v>0.05</v>
      </c>
      <c r="G30" s="332">
        <f>F30</f>
        <v>0.05</v>
      </c>
    </row>
    <row r="31" spans="2:7">
      <c r="E31" s="333"/>
      <c r="F31" s="333"/>
    </row>
    <row r="32" spans="2:7" ht="13.15">
      <c r="B32" s="145" t="s">
        <v>459</v>
      </c>
    </row>
    <row r="33" spans="2:7">
      <c r="B33" s="97" t="s">
        <v>461</v>
      </c>
      <c r="C33" s="155">
        <f>Normalized_FCF!C88*(1-dividend_tax_rate)</f>
        <v>0.27</v>
      </c>
      <c r="D33" t="str">
        <f>Market_currency</f>
        <v>HKD</v>
      </c>
      <c r="E33" s="97" t="s">
        <v>458</v>
      </c>
      <c r="F33" s="219">
        <f>Holding_Period</f>
        <v>3</v>
      </c>
    </row>
    <row r="34" spans="2:7">
      <c r="B34" s="97" t="s">
        <v>233</v>
      </c>
      <c r="C34" s="146">
        <f>Market_Price</f>
        <v>3.16</v>
      </c>
      <c r="D34" t="str">
        <f>Market_currency</f>
        <v>HKD</v>
      </c>
      <c r="E34" s="97" t="s">
        <v>457</v>
      </c>
      <c r="F34" s="334">
        <f>RATE(Holding_Period,$C$33,-C34,$C$36)</f>
        <v>0.17337144056203113</v>
      </c>
    </row>
    <row r="35" spans="2:7">
      <c r="B35" s="97" t="s">
        <v>437</v>
      </c>
      <c r="C35" s="324">
        <f>DCF!C11</f>
        <v>4.5928254474146408</v>
      </c>
      <c r="D35" s="97" t="str">
        <f>Market_currency</f>
        <v>HKD</v>
      </c>
      <c r="E35" s="97" t="s">
        <v>457</v>
      </c>
      <c r="F35" s="334">
        <f>RATE(Holding_Period,$C$33,-C35,$C$36)</f>
        <v>2.7256442157135689E-2</v>
      </c>
    </row>
    <row r="36" spans="2:7">
      <c r="B36" s="97" t="s">
        <v>438</v>
      </c>
      <c r="C36" s="325">
        <f>E22*G22+E23*G23+E24*G24+E30*G30+E29*G29</f>
        <v>4.1464286049821002</v>
      </c>
      <c r="D36" t="str">
        <f>Market_currency</f>
        <v>HKD</v>
      </c>
      <c r="E36" s="97" t="s">
        <v>463</v>
      </c>
      <c r="F36" s="335" t="s">
        <v>462</v>
      </c>
    </row>
    <row r="38" spans="2:7" ht="13.9">
      <c r="B38" s="34" t="s">
        <v>413</v>
      </c>
      <c r="C38" s="35"/>
      <c r="D38" s="35"/>
      <c r="E38" s="35"/>
      <c r="F38" s="35"/>
      <c r="G38" s="35"/>
    </row>
    <row r="39" spans="2:7" ht="13.15">
      <c r="B39" s="418" t="str">
        <f>IF(DCF!F14="II","2","1")&amp;"-stage DCF"</f>
        <v>1-stage DCF</v>
      </c>
      <c r="E39" s="222" t="s">
        <v>251</v>
      </c>
    </row>
    <row r="40" spans="2:7">
      <c r="B40" t="s">
        <v>402</v>
      </c>
      <c r="C40" s="138">
        <f>DCF!C17</f>
        <v>0.53643826452109311</v>
      </c>
      <c r="E40" s="97" t="s">
        <v>403</v>
      </c>
    </row>
    <row r="41" spans="2:7">
      <c r="B41" s="97" t="s">
        <v>401</v>
      </c>
      <c r="C41" s="138">
        <f>DCF!C16</f>
        <v>1.2999999999999999E-3</v>
      </c>
      <c r="E41" s="97"/>
    </row>
    <row r="43" spans="2:7" ht="13.9">
      <c r="B43" s="34" t="s">
        <v>276</v>
      </c>
      <c r="C43" s="35"/>
      <c r="D43" s="35"/>
      <c r="E43" s="35"/>
      <c r="F43" s="35"/>
      <c r="G43" s="35"/>
    </row>
    <row r="44" spans="2:7" ht="13.15">
      <c r="B44" s="106" t="s">
        <v>249</v>
      </c>
      <c r="E44" s="222" t="s">
        <v>251</v>
      </c>
    </row>
    <row r="45" spans="2:7">
      <c r="B45" s="139" t="s">
        <v>111</v>
      </c>
      <c r="C45" s="150">
        <f>C18</f>
        <v>3</v>
      </c>
      <c r="D45" s="137"/>
      <c r="E45" s="221" t="s">
        <v>307</v>
      </c>
    </row>
    <row r="46" spans="2:7">
      <c r="B46" s="114" t="s">
        <v>112</v>
      </c>
      <c r="C46" s="138">
        <v>1.2999999999999999E-3</v>
      </c>
      <c r="D46" s="138"/>
      <c r="E46" s="221" t="s">
        <v>252</v>
      </c>
    </row>
    <row r="47" spans="2:7">
      <c r="B47" s="97" t="s">
        <v>96</v>
      </c>
      <c r="C47" s="146">
        <f>DCF!I18</f>
        <v>4.603592005597374</v>
      </c>
      <c r="D47" s="146" t="str">
        <f>Market_currency</f>
        <v>HKD</v>
      </c>
      <c r="E47" s="221" t="s">
        <v>253</v>
      </c>
    </row>
    <row r="49" spans="2:7" ht="13.15">
      <c r="B49" s="106" t="s">
        <v>277</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52">
        <f>BS!D89/C36</f>
        <v>0.39492494015376739</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0.27</v>
      </c>
      <c r="D58" t="str">
        <f>Market_currency</f>
        <v>HKD</v>
      </c>
    </row>
    <row r="60" spans="2:7" ht="13.15">
      <c r="B60" s="106" t="s">
        <v>476</v>
      </c>
      <c r="E60" s="417"/>
    </row>
    <row r="61" spans="2:7" ht="13.15">
      <c r="B61" s="153" t="s">
        <v>465</v>
      </c>
      <c r="C61" s="153" t="s">
        <v>103</v>
      </c>
      <c r="D61" s="153" t="s">
        <v>104</v>
      </c>
      <c r="E61" s="154" t="str">
        <f>"Buy below ("&amp;Market_currency&amp;")"</f>
        <v>Buy below (HKD)</v>
      </c>
      <c r="F61" s="154" t="s">
        <v>457</v>
      </c>
      <c r="G61" s="154" t="s">
        <v>464</v>
      </c>
    </row>
    <row r="62" spans="2:7" ht="13.15">
      <c r="B62" s="306" t="s">
        <v>312</v>
      </c>
      <c r="C62" s="119">
        <f>PV(F62, Holding_Period, -C58, 0)</f>
        <v>0.49405992554973227</v>
      </c>
      <c r="D62" s="119">
        <f>C36/(1+F62)^Holding_Period</f>
        <v>1.9107965921576504</v>
      </c>
      <c r="E62" s="336">
        <f>C62+D62</f>
        <v>2.4048565177073828</v>
      </c>
      <c r="F62" s="305">
        <f>Thesis!E22</f>
        <v>0.29465259038036606</v>
      </c>
      <c r="G62" s="445">
        <f>(1-E62/C36)</f>
        <v>0.42001738199040706</v>
      </c>
    </row>
    <row r="63" spans="2:7" ht="13.15">
      <c r="B63" s="306" t="s">
        <v>313</v>
      </c>
      <c r="C63" s="119">
        <f>PV(F63, Holding_Period, -C58, 0)</f>
        <v>0.56808106576265116</v>
      </c>
      <c r="D63" s="119">
        <f>C36/(1+F63)^Holding_Period</f>
        <v>2.3950490137080731</v>
      </c>
      <c r="E63" s="336">
        <f>C63+D63</f>
        <v>2.9631300794707243</v>
      </c>
      <c r="F63" s="305">
        <f>Thesis!E23</f>
        <v>0.20075184365903009</v>
      </c>
      <c r="G63" s="445">
        <f>(1-E63/C36)</f>
        <v>0.2853777643945431</v>
      </c>
    </row>
    <row r="65" spans="2:7" ht="13.15">
      <c r="B65" s="153" t="s">
        <v>466</v>
      </c>
      <c r="C65" s="153" t="s">
        <v>103</v>
      </c>
      <c r="D65" s="153" t="s">
        <v>104</v>
      </c>
      <c r="E65" s="154" t="str">
        <f>"Sell above ("&amp;Market_currency&amp;")"</f>
        <v>Sell above (HKD)</v>
      </c>
      <c r="F65" s="154" t="s">
        <v>457</v>
      </c>
      <c r="G65" s="154" t="s">
        <v>464</v>
      </c>
    </row>
    <row r="66" spans="2:7" ht="13.15">
      <c r="B66" s="306" t="s">
        <v>315</v>
      </c>
      <c r="C66" s="119">
        <f>PV(F66, Holding_Period, -C58, 0)</f>
        <v>0.65140284400343529</v>
      </c>
      <c r="D66" s="119">
        <f>C36/(1+F66)^Holding_Period</f>
        <v>2.9719957965147898</v>
      </c>
      <c r="E66" s="336">
        <f>C66+D66</f>
        <v>3.623398640518225</v>
      </c>
      <c r="F66" s="305">
        <f>Thesis!E24</f>
        <v>0.1174</v>
      </c>
      <c r="G66" s="445">
        <f>(1-E66/C36)</f>
        <v>0.12613986982325798</v>
      </c>
    </row>
    <row r="67" spans="2:7" ht="13.15">
      <c r="B67" s="306" t="s">
        <v>314</v>
      </c>
      <c r="C67" s="119">
        <f>PV(F67, Holding_Period, -C58, 0)</f>
        <v>0.7053413113367144</v>
      </c>
      <c r="D67" s="119">
        <f>C36/(1+F67)^Holding_Period</f>
        <v>3.3611066207370817</v>
      </c>
      <c r="E67" s="336">
        <f>C67+D67</f>
        <v>4.0664479320737961</v>
      </c>
      <c r="F67" s="305">
        <f>Thesis!E25</f>
        <v>7.2499999999999995E-2</v>
      </c>
      <c r="G67" s="445">
        <f>(1-E67/C36)</f>
        <v>1.9289051019039438E-2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85" zoomScaleNormal="100" workbookViewId="0">
      <selection activeCell="D37" sqref="D37"/>
    </sheetView>
  </sheetViews>
  <sheetFormatPr defaultColWidth="9" defaultRowHeight="12.4"/>
  <cols>
    <col min="1" max="1" width="2.6640625" style="347" customWidth="1"/>
    <col min="2" max="2" width="32.6640625" style="347" customWidth="1"/>
    <col min="3" max="4" width="25.6640625" style="347" customWidth="1"/>
    <col min="5" max="6" width="15.6640625" style="347" customWidth="1"/>
    <col min="7" max="16384" width="9" style="347"/>
  </cols>
  <sheetData>
    <row r="2" spans="1:10" ht="13.9">
      <c r="A2" s="349" t="s">
        <v>334</v>
      </c>
      <c r="B2" s="349"/>
      <c r="C2" s="349"/>
      <c r="D2" s="349"/>
      <c r="E2" s="349"/>
      <c r="F2" s="349"/>
      <c r="G2" s="350"/>
      <c r="H2" s="350"/>
      <c r="I2" s="350"/>
      <c r="J2" s="350"/>
    </row>
    <row r="3" spans="1:10">
      <c r="E3" s="440" t="s">
        <v>545</v>
      </c>
      <c r="F3" s="441">
        <f>Thesis!F3</f>
        <v>45930</v>
      </c>
    </row>
    <row r="4" spans="1:10">
      <c r="B4" s="427" t="s">
        <v>537</v>
      </c>
      <c r="C4" s="428" t="str">
        <f>Thesis!C4</f>
        <v>首钢资源</v>
      </c>
      <c r="D4" s="353"/>
      <c r="E4" s="439" t="s">
        <v>543</v>
      </c>
      <c r="F4" s="442" t="str">
        <f>Thesis!F4</f>
        <v>INT</v>
      </c>
    </row>
    <row r="5" spans="1:10">
      <c r="B5" s="347" t="s">
        <v>364</v>
      </c>
      <c r="C5" s="359" t="str">
        <f>Thesis!C5</f>
        <v>0639.HK</v>
      </c>
      <c r="E5" s="443" t="s">
        <v>544</v>
      </c>
      <c r="F5" s="444" t="str">
        <f>Thesis!F5</f>
        <v>Y</v>
      </c>
    </row>
    <row r="6" spans="1:10">
      <c r="B6" s="354" t="s">
        <v>336</v>
      </c>
      <c r="C6" s="356" t="str">
        <f>Thesis!C6</f>
        <v>MAT_01</v>
      </c>
      <c r="E6" s="358"/>
    </row>
    <row r="7" spans="1:10">
      <c r="B7" s="347" t="s">
        <v>366</v>
      </c>
      <c r="C7" s="356" t="str">
        <f>Market_currency</f>
        <v>HKD</v>
      </c>
      <c r="D7" s="358"/>
      <c r="E7" s="358"/>
    </row>
    <row r="8" spans="1:10">
      <c r="B8" s="355" t="s">
        <v>365</v>
      </c>
      <c r="C8" s="360">
        <f>Market_Price</f>
        <v>3.16</v>
      </c>
    </row>
    <row r="9" spans="1:10">
      <c r="B9" s="355" t="s">
        <v>361</v>
      </c>
      <c r="C9" s="357">
        <f>Common_Shares</f>
        <v>5091065770</v>
      </c>
    </row>
    <row r="10" spans="1:10">
      <c r="B10" s="355" t="s">
        <v>367</v>
      </c>
      <c r="C10" s="361">
        <f>投资主题!C8*Common_Shares/1000000</f>
        <v>16087.767833200001</v>
      </c>
      <c r="D10" s="347" t="s">
        <v>532</v>
      </c>
      <c r="E10" s="364">
        <f>Scenarios!F34</f>
        <v>0.17337144056203113</v>
      </c>
    </row>
    <row r="11" spans="1:10">
      <c r="D11" s="353"/>
      <c r="E11" s="353"/>
    </row>
    <row r="12" spans="1:10" ht="24.5" customHeight="1">
      <c r="B12" s="467" t="s">
        <v>501</v>
      </c>
      <c r="C12" s="467"/>
      <c r="D12" s="467"/>
      <c r="E12" s="467"/>
      <c r="F12" s="467"/>
    </row>
    <row r="14" spans="1:10">
      <c r="B14" s="351" t="s">
        <v>370</v>
      </c>
      <c r="C14" s="352"/>
      <c r="D14" s="353"/>
    </row>
    <row r="15" spans="1:10">
      <c r="B15" s="347" t="s">
        <v>337</v>
      </c>
      <c r="C15" s="362" t="str">
        <f>Thesis!C15</f>
        <v>N</v>
      </c>
      <c r="D15" s="355" t="s">
        <v>368</v>
      </c>
      <c r="E15" s="348" t="str">
        <f>IF(E17=C7,C7,E17&amp;"/"&amp;C7)</f>
        <v>HKD</v>
      </c>
    </row>
    <row r="16" spans="1:10">
      <c r="B16" s="347" t="s">
        <v>338</v>
      </c>
      <c r="C16" s="362" t="str">
        <f>Thesis!C16</f>
        <v>N</v>
      </c>
      <c r="D16" s="355" t="s">
        <v>369</v>
      </c>
      <c r="E16" s="430">
        <f>Exchange_Rate</f>
        <v>1</v>
      </c>
    </row>
    <row r="17" spans="1:6">
      <c r="B17" s="347" t="s">
        <v>538</v>
      </c>
      <c r="C17" s="429">
        <f>Terminal_Growth</f>
        <v>0</v>
      </c>
      <c r="D17" s="355" t="s">
        <v>339</v>
      </c>
      <c r="E17" s="348" t="str">
        <f>Reporting_currency</f>
        <v>HKD</v>
      </c>
    </row>
    <row r="18" spans="1:6">
      <c r="B18" s="347" t="str">
        <f>"预期股权价值 ("&amp;C7&amp;") :"</f>
        <v>预期股权价值 (HKD) :</v>
      </c>
      <c r="C18" s="363">
        <f>C125</f>
        <v>4.1464286049821002</v>
      </c>
      <c r="D18" s="354" t="s">
        <v>362</v>
      </c>
      <c r="E18" s="431">
        <f>Thesis!E18</f>
        <v>6</v>
      </c>
    </row>
    <row r="19" spans="1:6">
      <c r="B19" s="354" t="s">
        <v>335</v>
      </c>
      <c r="C19" s="356" t="str">
        <f>IF(Scenarios!C50="Y",Scenarios!B50,"")&amp;IF(Scenarios!C51="Y",Scenarios!B51,"")&amp;IF(Scenarios!C52="Y",Scenarios!B52,"")&amp;" "&amp;IF(Scenarios!C53="Y",Scenarios!B53,"")</f>
        <v xml:space="preserve">Negative Growth </v>
      </c>
      <c r="D19" s="347" t="s">
        <v>363</v>
      </c>
      <c r="E19" s="432">
        <f>EOMONTH(EDATE(BS!C1,E18+2),0)</f>
        <v>46081</v>
      </c>
    </row>
    <row r="20" spans="1:6">
      <c r="D20" s="353"/>
      <c r="E20" s="353"/>
    </row>
    <row r="21" spans="1:6">
      <c r="B21" s="351" t="s">
        <v>496</v>
      </c>
      <c r="C21" s="365" t="str">
        <f>C138&amp;" ("&amp;Market_currency&amp;")"</f>
        <v xml:space="preserve"> (HKD)</v>
      </c>
      <c r="D21" s="366" t="s">
        <v>344</v>
      </c>
      <c r="E21" s="367">
        <f>Holding_Period</f>
        <v>3</v>
      </c>
    </row>
    <row r="22" spans="1:6">
      <c r="B22" s="347" t="s">
        <v>340</v>
      </c>
      <c r="C22" s="368">
        <f>E140</f>
        <v>2.4048565177073828</v>
      </c>
      <c r="D22" s="369" t="s">
        <v>443</v>
      </c>
      <c r="E22" s="370">
        <f>Thesis!E22</f>
        <v>0.29465259038036606</v>
      </c>
    </row>
    <row r="23" spans="1:6">
      <c r="B23" s="347" t="s">
        <v>341</v>
      </c>
      <c r="C23" s="371">
        <f>E141</f>
        <v>2.9631300794707243</v>
      </c>
      <c r="D23" s="369" t="s">
        <v>444</v>
      </c>
      <c r="E23" s="372">
        <f>Thesis!E23</f>
        <v>0.20075184365903009</v>
      </c>
    </row>
    <row r="24" spans="1:6">
      <c r="B24" s="347" t="s">
        <v>343</v>
      </c>
      <c r="C24" s="371">
        <f>E144</f>
        <v>3.623398640518225</v>
      </c>
      <c r="D24" s="369" t="s">
        <v>446</v>
      </c>
      <c r="E24" s="372">
        <f>Thesis!E24</f>
        <v>0.1174</v>
      </c>
    </row>
    <row r="25" spans="1:6">
      <c r="B25" s="347" t="s">
        <v>342</v>
      </c>
      <c r="C25" s="371">
        <f>E145</f>
        <v>4.0664479320737961</v>
      </c>
      <c r="D25" s="369" t="s">
        <v>445</v>
      </c>
      <c r="E25" s="372">
        <f>Thesis!E25</f>
        <v>7.2499999999999995E-2</v>
      </c>
    </row>
    <row r="27" spans="1:6" ht="13.9">
      <c r="A27" s="349" t="s">
        <v>345</v>
      </c>
      <c r="B27" s="349"/>
      <c r="C27" s="349"/>
      <c r="D27" s="349"/>
      <c r="E27" s="349"/>
      <c r="F27" s="349"/>
    </row>
    <row r="29" spans="1:6">
      <c r="B29" s="467" t="s">
        <v>502</v>
      </c>
      <c r="C29" s="467"/>
      <c r="D29" s="467"/>
      <c r="E29" s="467"/>
      <c r="F29" s="467"/>
    </row>
    <row r="30" spans="1:6" ht="24.5" customHeight="1">
      <c r="B30" s="468" t="s">
        <v>503</v>
      </c>
      <c r="C30" s="468"/>
      <c r="D30" s="468"/>
      <c r="E30" s="468"/>
      <c r="F30" s="468"/>
    </row>
    <row r="32" spans="1:6">
      <c r="B32" s="373" t="s">
        <v>371</v>
      </c>
      <c r="C32" s="374">
        <f>scaling_factor</f>
        <v>1000</v>
      </c>
    </row>
    <row r="33" spans="2:6">
      <c r="B33" s="466" t="s">
        <v>504</v>
      </c>
      <c r="C33" s="466"/>
      <c r="D33" s="466"/>
      <c r="E33" s="466"/>
      <c r="F33" s="466"/>
    </row>
    <row r="34" spans="2:6">
      <c r="B34" s="376" t="s">
        <v>197</v>
      </c>
      <c r="C34" s="377">
        <f>Normalized_FCF!C8</f>
        <v>1900909.5266851489</v>
      </c>
      <c r="D34" s="347" t="str">
        <f>Reporting_currency</f>
        <v>HKD</v>
      </c>
    </row>
    <row r="35" spans="2:6">
      <c r="B35" s="376"/>
      <c r="C35" s="378"/>
    </row>
    <row r="36" spans="2:6" ht="24.5" customHeight="1">
      <c r="B36" s="466" t="s">
        <v>505</v>
      </c>
      <c r="C36" s="466"/>
      <c r="D36" s="466"/>
      <c r="E36" s="466"/>
      <c r="F36" s="466"/>
    </row>
    <row r="37" spans="2:6">
      <c r="B37" s="376" t="s">
        <v>199</v>
      </c>
      <c r="C37" s="377">
        <f>Normalized_FCF!C15</f>
        <v>0</v>
      </c>
      <c r="D37" s="347" t="str">
        <f>Reporting_currency</f>
        <v>HKD</v>
      </c>
    </row>
    <row r="38" spans="2:6">
      <c r="B38" s="379" t="s">
        <v>200</v>
      </c>
      <c r="C38" s="377">
        <f>Normalized_FCF!C16</f>
        <v>0</v>
      </c>
      <c r="D38" s="347" t="str">
        <f>Reporting_currency</f>
        <v>HKD</v>
      </c>
    </row>
    <row r="40" spans="2:6">
      <c r="B40" s="466" t="s">
        <v>506</v>
      </c>
      <c r="C40" s="466"/>
      <c r="D40" s="466"/>
      <c r="E40" s="466"/>
      <c r="F40" s="466"/>
    </row>
    <row r="41" spans="2:6">
      <c r="B41" s="376" t="s">
        <v>202</v>
      </c>
      <c r="C41" s="377">
        <f>Normalized_FCF!C9</f>
        <v>0</v>
      </c>
      <c r="D41" s="347" t="str">
        <f>Reporting_currency</f>
        <v>HKD</v>
      </c>
    </row>
    <row r="43" spans="2:6">
      <c r="B43" s="466" t="s">
        <v>507</v>
      </c>
      <c r="C43" s="466"/>
      <c r="D43" s="466"/>
      <c r="E43" s="466"/>
      <c r="F43" s="466"/>
    </row>
    <row r="44" spans="2:6">
      <c r="B44" s="376" t="s">
        <v>267</v>
      </c>
      <c r="C44" s="380">
        <f>Normalized_FCF!C46</f>
        <v>12533.130612944555</v>
      </c>
      <c r="D44" s="347" t="str">
        <f>Reporting_currency</f>
        <v>HKD</v>
      </c>
      <c r="E44" s="375"/>
      <c r="F44" s="375"/>
    </row>
    <row r="45" spans="2:6">
      <c r="B45" s="376" t="s">
        <v>268</v>
      </c>
      <c r="C45" s="380">
        <f>Normalized_FCF!C45</f>
        <v>-2620.62</v>
      </c>
      <c r="D45" s="347" t="str">
        <f>Reporting_currency</f>
        <v>HKD</v>
      </c>
      <c r="E45" s="375"/>
      <c r="F45" s="375"/>
    </row>
    <row r="46" spans="2:6">
      <c r="B46" s="376" t="s">
        <v>203</v>
      </c>
      <c r="C46" s="377">
        <f>Normalized_FCF!C10</f>
        <v>9912.5106129445558</v>
      </c>
      <c r="D46" s="347" t="str">
        <f>Reporting_currency</f>
        <v>HKD</v>
      </c>
    </row>
    <row r="48" spans="2:6">
      <c r="B48" s="347" t="s">
        <v>508</v>
      </c>
    </row>
    <row r="49" spans="2:6">
      <c r="B49" s="376" t="s">
        <v>223</v>
      </c>
      <c r="C49" s="377">
        <f>Normalized_FCF!C13</f>
        <v>-335976.39690562984</v>
      </c>
      <c r="D49" s="347" t="str">
        <f>Reporting_currency</f>
        <v>HKD</v>
      </c>
    </row>
    <row r="51" spans="2:6">
      <c r="B51" s="466" t="s">
        <v>509</v>
      </c>
      <c r="C51" s="466"/>
      <c r="D51" s="466"/>
      <c r="E51" s="466"/>
      <c r="F51" s="466"/>
    </row>
    <row r="52" spans="2:6">
      <c r="B52" s="376" t="s">
        <v>499</v>
      </c>
      <c r="C52" s="377">
        <f>Normalized_FCF!C12</f>
        <v>-477705.50932452339</v>
      </c>
      <c r="D52" s="347" t="str">
        <f>Reporting_currency</f>
        <v>HKD</v>
      </c>
    </row>
    <row r="54" spans="2:6">
      <c r="B54" s="466" t="s">
        <v>510</v>
      </c>
      <c r="C54" s="469"/>
      <c r="D54" s="469"/>
      <c r="E54" s="469"/>
      <c r="F54" s="469"/>
    </row>
    <row r="55" spans="2:6">
      <c r="B55" s="376" t="s">
        <v>207</v>
      </c>
      <c r="C55" s="377">
        <f>Normalized_FCF!C17</f>
        <v>0</v>
      </c>
      <c r="D55" s="347" t="str">
        <f>Reporting_currency</f>
        <v>HKD</v>
      </c>
    </row>
    <row r="57" spans="2:6">
      <c r="B57" s="467" t="s">
        <v>511</v>
      </c>
      <c r="C57" s="467"/>
      <c r="D57" s="467"/>
      <c r="E57" s="467"/>
      <c r="F57" s="467"/>
    </row>
    <row r="58" spans="2:6">
      <c r="B58" s="467" t="s">
        <v>512</v>
      </c>
      <c r="C58" s="467"/>
      <c r="D58" s="467"/>
      <c r="E58" s="467"/>
      <c r="F58" s="467"/>
    </row>
    <row r="60" spans="2:6">
      <c r="B60" s="376" t="s">
        <v>372</v>
      </c>
      <c r="C60" s="377">
        <f>Normalized_FCF!G19</f>
        <v>1274304.985390021</v>
      </c>
      <c r="D60" s="347" t="str">
        <f>Reporting_currency</f>
        <v>HKD</v>
      </c>
    </row>
    <row r="61" spans="2:6">
      <c r="B61" s="376" t="s">
        <v>213</v>
      </c>
      <c r="C61" s="377">
        <f>Normalized_FCF!C19</f>
        <v>1097140.1310679403</v>
      </c>
      <c r="D61" s="347" t="str">
        <f>Reporting_currency</f>
        <v>HKD</v>
      </c>
    </row>
    <row r="62" spans="2:6">
      <c r="B62" s="381" t="s">
        <v>302</v>
      </c>
      <c r="C62" s="382">
        <f>Normalized_FCF!C124</f>
        <v>6.8197163363073549E-2</v>
      </c>
      <c r="F62" s="383"/>
    </row>
    <row r="63" spans="2:6">
      <c r="B63" s="381" t="s">
        <v>332</v>
      </c>
      <c r="C63" s="382">
        <f>Normalized_FCF!C92</f>
        <v>8.5443037974683542E-2</v>
      </c>
      <c r="E63" s="376" t="s">
        <v>373</v>
      </c>
      <c r="F63" s="384">
        <f>Normalized_FCF!C90</f>
        <v>1.3920917554199108</v>
      </c>
    </row>
    <row r="65" spans="1:6">
      <c r="B65" s="373" t="s">
        <v>376</v>
      </c>
      <c r="C65" s="385" t="s">
        <v>327</v>
      </c>
      <c r="D65" s="385" t="s">
        <v>374</v>
      </c>
    </row>
    <row r="66" spans="1:6">
      <c r="B66" s="376" t="s">
        <v>326</v>
      </c>
      <c r="C66" s="382">
        <f>Normalized_FCF!C119</f>
        <v>0.10109497147719294</v>
      </c>
      <c r="D66" s="382">
        <f>Normalized_FCF!G119</f>
        <v>0.12200966239388317</v>
      </c>
    </row>
    <row r="67" spans="1:6">
      <c r="B67" s="386" t="str">
        <f>Normalized_FCF!B116</f>
        <v>Pre-tax Profit/Sales</v>
      </c>
      <c r="C67" s="387">
        <f>Normalized_FCF!C116</f>
        <v>0.41984093276604345</v>
      </c>
      <c r="D67" s="387">
        <f>Normalized_FCF!G116</f>
        <v>0.45602847249159995</v>
      </c>
    </row>
    <row r="68" spans="1:6">
      <c r="B68" s="386" t="str">
        <f>Normalized_FCF!B117</f>
        <v>Sales/Total Assets</v>
      </c>
      <c r="C68" s="388">
        <f>Normalized_FCF!C117</f>
        <v>0.19832389661116825</v>
      </c>
      <c r="D68" s="388">
        <f>Normalized_FCF!G117</f>
        <v>0.22035988512352028</v>
      </c>
    </row>
    <row r="69" spans="1:6">
      <c r="B69" s="386" t="str">
        <f>Normalized_FCF!B118</f>
        <v>Total Assets/Equity</v>
      </c>
      <c r="C69" s="388">
        <f>Normalized_FCF!C118</f>
        <v>1.2141426890285656</v>
      </c>
      <c r="D69" s="388">
        <f>Normalized_FCF!G118</f>
        <v>1.2141426890285656</v>
      </c>
    </row>
    <row r="71" spans="1:6" ht="13.9">
      <c r="A71" s="349" t="s">
        <v>479</v>
      </c>
      <c r="B71" s="349"/>
      <c r="C71" s="349"/>
      <c r="D71" s="349"/>
      <c r="E71" s="349"/>
      <c r="F71" s="349"/>
    </row>
    <row r="72" spans="1:6">
      <c r="A72" s="389"/>
    </row>
    <row r="73" spans="1:6">
      <c r="A73" s="390"/>
      <c r="B73" s="467" t="s">
        <v>513</v>
      </c>
      <c r="C73" s="467"/>
      <c r="D73" s="467"/>
      <c r="E73" s="467"/>
      <c r="F73" s="467"/>
    </row>
    <row r="74" spans="1:6">
      <c r="B74" s="468" t="s">
        <v>482</v>
      </c>
      <c r="C74" s="468"/>
      <c r="D74" s="468"/>
      <c r="E74" s="468"/>
      <c r="F74" s="468"/>
    </row>
    <row r="76" spans="1:6">
      <c r="B76" s="373" t="s">
        <v>371</v>
      </c>
    </row>
    <row r="77" spans="1:6">
      <c r="B77" s="467" t="s">
        <v>514</v>
      </c>
      <c r="C77" s="467"/>
      <c r="D77" s="467"/>
      <c r="E77" s="467"/>
      <c r="F77" s="467"/>
    </row>
    <row r="78" spans="1:6">
      <c r="B78" s="347" t="s">
        <v>215</v>
      </c>
      <c r="C78" s="377">
        <f>DCF!F4</f>
        <v>-43677</v>
      </c>
      <c r="D78" s="347" t="str">
        <f>Reporting_currency</f>
        <v>HKD</v>
      </c>
    </row>
    <row r="79" spans="1:6">
      <c r="B79" s="376" t="s">
        <v>234</v>
      </c>
      <c r="C79" s="391">
        <f>C78*scaling_factor*Exchange_Rate/Common_Shares</f>
        <v>-8.5791466803226933E-3</v>
      </c>
      <c r="D79" s="347" t="str">
        <f>Market_currency</f>
        <v>HKD</v>
      </c>
    </row>
    <row r="80" spans="1:6">
      <c r="B80" s="386" t="s">
        <v>309</v>
      </c>
      <c r="C80" s="392">
        <f>IF(BS!G31/BS!G27&gt;300%,"nm",BS!G31/BS!G27)</f>
        <v>2.3107986944995245E-3</v>
      </c>
    </row>
    <row r="81" spans="1:6">
      <c r="B81" s="386" t="s">
        <v>311</v>
      </c>
      <c r="C81" s="393">
        <f>IF(BS!C50&gt;30,"nm",BS!C50)</f>
        <v>2.2976895736939666E-2</v>
      </c>
    </row>
    <row r="83" spans="1:6">
      <c r="B83" s="347" t="s">
        <v>515</v>
      </c>
    </row>
    <row r="84" spans="1:6">
      <c r="B84" s="347" t="s">
        <v>224</v>
      </c>
      <c r="C84" s="377">
        <f>DCF!F5</f>
        <v>8029573.8978425749</v>
      </c>
      <c r="D84" s="347" t="str">
        <f>Reporting_currency</f>
        <v>HKD</v>
      </c>
    </row>
    <row r="85" spans="1:6">
      <c r="B85" s="386" t="s">
        <v>484</v>
      </c>
      <c r="C85" s="394">
        <f>BS!C66</f>
        <v>10118429</v>
      </c>
      <c r="D85" s="395" t="str">
        <f>Reporting_currency</f>
        <v>HKD</v>
      </c>
    </row>
    <row r="86" spans="1:6">
      <c r="B86" s="376" t="s">
        <v>235</v>
      </c>
      <c r="C86" s="391">
        <f>C84*scaling_factor*Exchange_Rate/Common_Shares</f>
        <v>1.5771891899645554</v>
      </c>
      <c r="D86" s="347" t="str">
        <f>Market_currency</f>
        <v>HKD</v>
      </c>
    </row>
    <row r="88" spans="1:6">
      <c r="B88" s="347" t="s">
        <v>516</v>
      </c>
    </row>
    <row r="89" spans="1:6">
      <c r="B89" s="347" t="s">
        <v>217</v>
      </c>
      <c r="C89" s="377">
        <f>DCF!F6</f>
        <v>263512.2</v>
      </c>
      <c r="D89" s="347" t="str">
        <f>Reporting_currency</f>
        <v>HKD</v>
      </c>
    </row>
    <row r="90" spans="1:6">
      <c r="B90" s="376" t="s">
        <v>236</v>
      </c>
      <c r="C90" s="391">
        <f>C89*scaling_factor*Exchange_Rate/Common_Shares</f>
        <v>5.1759732029547124E-2</v>
      </c>
      <c r="D90" s="347" t="str">
        <f>Market_currency</f>
        <v>HKD</v>
      </c>
    </row>
    <row r="92" spans="1:6">
      <c r="B92" s="376" t="s">
        <v>483</v>
      </c>
      <c r="C92" s="391">
        <f>DCF!F8</f>
        <v>1.6203697753137798</v>
      </c>
      <c r="D92" s="347" t="str">
        <f>Market_currency</f>
        <v>HKD</v>
      </c>
    </row>
    <row r="94" spans="1:6" ht="13.9">
      <c r="A94" s="349" t="s">
        <v>485</v>
      </c>
      <c r="B94" s="349"/>
      <c r="C94" s="349"/>
      <c r="D94" s="349"/>
      <c r="E94" s="349"/>
      <c r="F94" s="349"/>
    </row>
    <row r="95" spans="1:6">
      <c r="A95" s="389"/>
    </row>
    <row r="96" spans="1:6">
      <c r="A96" s="389"/>
      <c r="B96" s="467" t="s">
        <v>517</v>
      </c>
      <c r="C96" s="467"/>
      <c r="D96" s="467"/>
      <c r="E96" s="467"/>
      <c r="F96" s="467"/>
    </row>
    <row r="97" spans="1:6">
      <c r="A97" s="389"/>
      <c r="B97" s="468" t="s">
        <v>518</v>
      </c>
      <c r="C97" s="468"/>
      <c r="D97" s="468"/>
      <c r="E97" s="468"/>
      <c r="F97" s="468"/>
    </row>
    <row r="98" spans="1:6">
      <c r="A98" s="389"/>
      <c r="B98" s="468" t="s">
        <v>519</v>
      </c>
      <c r="C98" s="468"/>
      <c r="D98" s="468"/>
      <c r="E98" s="468"/>
      <c r="F98" s="468"/>
    </row>
    <row r="99" spans="1:6">
      <c r="A99" s="389"/>
    </row>
    <row r="100" spans="1:6">
      <c r="A100" s="389"/>
      <c r="B100" s="373" t="s">
        <v>371</v>
      </c>
    </row>
    <row r="101" spans="1:6">
      <c r="A101" s="389"/>
      <c r="B101" s="376" t="s">
        <v>212</v>
      </c>
      <c r="C101" s="372">
        <f>E25+C103</f>
        <v>7.2499999999999995E-2</v>
      </c>
    </row>
    <row r="102" spans="1:6">
      <c r="A102" s="389"/>
      <c r="B102" s="386" t="s">
        <v>318</v>
      </c>
      <c r="C102" s="387">
        <f>E25</f>
        <v>7.2499999999999995E-2</v>
      </c>
    </row>
    <row r="103" spans="1:6">
      <c r="A103" s="389"/>
      <c r="B103" s="386" t="s">
        <v>317</v>
      </c>
      <c r="C103" s="387">
        <f>IF(C15="Y",1%,0)+IF(C16="Y",1%,0)</f>
        <v>0</v>
      </c>
    </row>
    <row r="104" spans="1:6">
      <c r="A104" s="389"/>
      <c r="B104" s="376" t="s">
        <v>538</v>
      </c>
      <c r="C104" s="372">
        <v>0</v>
      </c>
    </row>
    <row r="105" spans="1:6">
      <c r="A105" s="389"/>
      <c r="C105" s="396"/>
    </row>
    <row r="106" spans="1:6">
      <c r="A106" s="389"/>
      <c r="B106" s="397" t="s">
        <v>375</v>
      </c>
      <c r="C106" s="396"/>
    </row>
    <row r="107" spans="1:6">
      <c r="A107" s="389"/>
      <c r="B107" s="467" t="s">
        <v>520</v>
      </c>
      <c r="C107" s="467"/>
      <c r="D107" s="467"/>
      <c r="E107" s="467"/>
      <c r="F107" s="467"/>
    </row>
    <row r="108" spans="1:6">
      <c r="A108" s="389"/>
      <c r="B108" s="467" t="s">
        <v>539</v>
      </c>
      <c r="C108" s="467"/>
      <c r="D108" s="467"/>
      <c r="E108" s="467"/>
      <c r="F108" s="467"/>
    </row>
    <row r="109" spans="1:6">
      <c r="A109" s="389"/>
    </row>
    <row r="110" spans="1:6">
      <c r="A110" s="389"/>
      <c r="B110" s="373" t="s">
        <v>492</v>
      </c>
    </row>
    <row r="111" spans="1:6">
      <c r="A111" s="389"/>
      <c r="B111" s="379" t="s">
        <v>489</v>
      </c>
      <c r="C111" s="398">
        <f>BS!D47</f>
        <v>0.79833937207218564</v>
      </c>
      <c r="D111" s="347" t="str">
        <f>Market_currency</f>
        <v>HKD</v>
      </c>
    </row>
    <row r="112" spans="1:6">
      <c r="A112" s="389"/>
      <c r="B112" s="376" t="s">
        <v>377</v>
      </c>
      <c r="C112" s="398">
        <f>DCF!C11</f>
        <v>4.5928254474146408</v>
      </c>
      <c r="D112" s="347" t="str">
        <f>Market_currency</f>
        <v>HKD</v>
      </c>
    </row>
    <row r="113" spans="1:6">
      <c r="A113" s="389"/>
    </row>
    <row r="114" spans="1:6">
      <c r="A114" s="389"/>
      <c r="B114" s="467" t="s">
        <v>521</v>
      </c>
      <c r="C114" s="467"/>
      <c r="D114" s="467"/>
      <c r="E114" s="467"/>
      <c r="F114" s="467"/>
    </row>
    <row r="115" spans="1:6">
      <c r="A115" s="389"/>
    </row>
    <row r="116" spans="1:6">
      <c r="A116" s="389"/>
      <c r="B116" s="373" t="s">
        <v>493</v>
      </c>
    </row>
    <row r="117" spans="1:6">
      <c r="A117" s="389"/>
      <c r="B117" s="346" t="s">
        <v>378</v>
      </c>
      <c r="C117" s="346" t="s">
        <v>379</v>
      </c>
      <c r="D117" s="346" t="s">
        <v>99</v>
      </c>
      <c r="E117" s="346" t="s">
        <v>380</v>
      </c>
      <c r="F117" s="346" t="s">
        <v>381</v>
      </c>
    </row>
    <row r="118" spans="1:6">
      <c r="A118" s="389"/>
      <c r="B118" s="399" t="str">
        <f>DCF!B90</f>
        <v>Snowball Scenario</v>
      </c>
      <c r="C118" s="400">
        <f>DCF!C90</f>
        <v>-0.3</v>
      </c>
      <c r="D118" s="401">
        <f>DCF!D90</f>
        <v>3</v>
      </c>
      <c r="E118" s="402" t="str">
        <f>ROUND(DCF!E90,2)&amp;" "&amp;Market_currency</f>
        <v>2.75 HKD</v>
      </c>
      <c r="F118" s="403">
        <f>DCF!F90</f>
        <v>0.15</v>
      </c>
    </row>
    <row r="119" spans="1:6">
      <c r="A119" s="389"/>
      <c r="B119" s="404" t="str">
        <f>DCF!B91</f>
        <v>Optimistic</v>
      </c>
      <c r="C119" s="405">
        <f>DCF!C91</f>
        <v>0.02</v>
      </c>
      <c r="D119" s="406">
        <f>DCF!D91</f>
        <v>3</v>
      </c>
      <c r="E119" s="402" t="str">
        <f>ROUND(DCF!E91,2)&amp;" "&amp;Market_currency</f>
        <v>4.76 HKD</v>
      </c>
      <c r="F119" s="407">
        <f>DCF!F91</f>
        <v>0.15999999999999995</v>
      </c>
    </row>
    <row r="120" spans="1:6">
      <c r="B120" s="404" t="str">
        <f>DCF!B92</f>
        <v>Base</v>
      </c>
      <c r="C120" s="405">
        <f>DCF!C92</f>
        <v>0</v>
      </c>
      <c r="D120" s="406">
        <f>DCF!D92</f>
        <v>3</v>
      </c>
      <c r="E120" s="402" t="str">
        <f>ROUND(DCF!E92,2)&amp;" "&amp;Market_currency</f>
        <v>4.59 HKD</v>
      </c>
      <c r="F120" s="407">
        <f>DCF!F92</f>
        <v>0.44</v>
      </c>
    </row>
    <row r="121" spans="1:6">
      <c r="B121" s="404" t="str">
        <f>DCF!B93</f>
        <v>Pessimistic</v>
      </c>
      <c r="C121" s="405">
        <f>DCF!C93</f>
        <v>-0.15</v>
      </c>
      <c r="D121" s="406">
        <f>DCF!D93</f>
        <v>3</v>
      </c>
      <c r="E121" s="402" t="str">
        <f>ROUND(DCF!E93,2)&amp;" "&amp;Market_currency</f>
        <v>3.52 HKD</v>
      </c>
      <c r="F121" s="407">
        <f>DCF!F93</f>
        <v>0.19999999999999998</v>
      </c>
    </row>
    <row r="122" spans="1:6">
      <c r="B122" s="404" t="str">
        <f>DCF!B94</f>
        <v>Devil's advocate</v>
      </c>
      <c r="C122" s="405">
        <f>DCF!C94</f>
        <v>0.04</v>
      </c>
      <c r="D122" s="406">
        <f>DCF!D94</f>
        <v>3</v>
      </c>
      <c r="E122" s="402" t="str">
        <f>ROUND(DCF!E94,2)&amp;" "&amp;Market_currency</f>
        <v>4.94 HKD</v>
      </c>
      <c r="F122" s="407">
        <f>DCF!F94</f>
        <v>0.05</v>
      </c>
    </row>
    <row r="124" spans="1:6">
      <c r="B124" s="466" t="s">
        <v>522</v>
      </c>
      <c r="C124" s="466"/>
      <c r="D124" s="466"/>
      <c r="E124" s="466"/>
      <c r="F124" s="466"/>
    </row>
    <row r="125" spans="1:6">
      <c r="B125" s="376" t="s">
        <v>218</v>
      </c>
      <c r="C125" s="408">
        <f>Scenarios!C36</f>
        <v>4.1464286049821002</v>
      </c>
      <c r="D125" s="347" t="str">
        <f>Market_currency</f>
        <v>HKD</v>
      </c>
    </row>
    <row r="127" spans="1:6">
      <c r="B127" s="471" t="s">
        <v>523</v>
      </c>
      <c r="C127" s="471"/>
      <c r="D127" s="471"/>
      <c r="E127" s="471"/>
      <c r="F127" s="471"/>
    </row>
    <row r="129" spans="1:6" ht="13.9">
      <c r="A129" s="349" t="s">
        <v>495</v>
      </c>
      <c r="B129" s="349"/>
      <c r="C129" s="349"/>
      <c r="D129" s="349"/>
      <c r="E129" s="349"/>
      <c r="F129" s="349"/>
    </row>
    <row r="131" spans="1:6">
      <c r="B131" s="472" t="s">
        <v>524</v>
      </c>
      <c r="C131" s="472"/>
      <c r="D131" s="472"/>
      <c r="E131" s="472"/>
      <c r="F131" s="472"/>
    </row>
    <row r="132" spans="1:6" ht="24.5" customHeight="1">
      <c r="B132" s="467" t="s">
        <v>525</v>
      </c>
      <c r="C132" s="467"/>
      <c r="D132" s="467"/>
      <c r="E132" s="467"/>
      <c r="F132" s="467"/>
    </row>
    <row r="134" spans="1:6">
      <c r="B134" s="373" t="s">
        <v>371</v>
      </c>
    </row>
    <row r="135" spans="1:6">
      <c r="B135" s="347" t="s">
        <v>382</v>
      </c>
      <c r="C135" s="409">
        <f>E21</f>
        <v>3</v>
      </c>
    </row>
    <row r="136" spans="1:6">
      <c r="B136" s="347" t="s">
        <v>383</v>
      </c>
      <c r="C136" s="410">
        <f>Scenarios!C58</f>
        <v>0.27</v>
      </c>
      <c r="D136" s="347" t="str">
        <f>Market_currency</f>
        <v>HKD</v>
      </c>
    </row>
    <row r="138" spans="1:6">
      <c r="B138" s="373" t="s">
        <v>496</v>
      </c>
      <c r="C138" s="411"/>
      <c r="D138" s="411"/>
    </row>
    <row r="139" spans="1:6">
      <c r="B139" s="344" t="s">
        <v>465</v>
      </c>
      <c r="C139" s="344" t="str">
        <f>"PV("&amp;Holding_Period&amp;" yrs of Dividends)"</f>
        <v>PV(3 yrs of Dividends)</v>
      </c>
      <c r="D139" s="344" t="s">
        <v>474</v>
      </c>
      <c r="E139" s="345" t="str">
        <f>"Buy below ("&amp;Market_currency&amp;")"</f>
        <v>Buy below (HKD)</v>
      </c>
      <c r="F139" s="345" t="s">
        <v>498</v>
      </c>
    </row>
    <row r="140" spans="1:6">
      <c r="B140" s="412" t="s">
        <v>312</v>
      </c>
      <c r="C140" s="413">
        <f>Scenarios!C62</f>
        <v>0.49405992554973227</v>
      </c>
      <c r="D140" s="413">
        <f>Scenarios!D62</f>
        <v>1.9107965921576504</v>
      </c>
      <c r="E140" s="414">
        <f>Scenarios!E62</f>
        <v>2.4048565177073828</v>
      </c>
      <c r="F140" s="415">
        <f>E22</f>
        <v>0.29465259038036606</v>
      </c>
    </row>
    <row r="141" spans="1:6">
      <c r="B141" s="412" t="s">
        <v>313</v>
      </c>
      <c r="C141" s="413">
        <f>Scenarios!C63</f>
        <v>0.56808106576265116</v>
      </c>
      <c r="D141" s="413">
        <f>Scenarios!D63</f>
        <v>2.3950490137080731</v>
      </c>
      <c r="E141" s="414">
        <f>Scenarios!E63</f>
        <v>2.9631300794707243</v>
      </c>
      <c r="F141" s="415">
        <f>Scenarios!F63</f>
        <v>0.20075184365903009</v>
      </c>
    </row>
    <row r="143" spans="1:6">
      <c r="B143" s="344" t="s">
        <v>466</v>
      </c>
      <c r="C143" s="344" t="str">
        <f>"PV("&amp;Holding_Period&amp;" yrs of Dividends)"</f>
        <v>PV(3 yrs of Dividends)</v>
      </c>
      <c r="D143" s="344" t="s">
        <v>474</v>
      </c>
      <c r="E143" s="345" t="str">
        <f>"Sell above ("&amp;Market_currency&amp;")"</f>
        <v>Sell above (HKD)</v>
      </c>
      <c r="F143" s="345" t="s">
        <v>498</v>
      </c>
    </row>
    <row r="144" spans="1:6">
      <c r="B144" s="412" t="s">
        <v>315</v>
      </c>
      <c r="C144" s="413">
        <f>Scenarios!C66</f>
        <v>0.65140284400343529</v>
      </c>
      <c r="D144" s="413">
        <f>Scenarios!D66</f>
        <v>2.9719957965147898</v>
      </c>
      <c r="E144" s="414">
        <f>Scenarios!E66</f>
        <v>3.623398640518225</v>
      </c>
      <c r="F144" s="415">
        <f>E24</f>
        <v>0.1174</v>
      </c>
    </row>
    <row r="145" spans="1:6">
      <c r="B145" s="412" t="s">
        <v>314</v>
      </c>
      <c r="C145" s="413">
        <f>Scenarios!C67</f>
        <v>0.7053413113367144</v>
      </c>
      <c r="D145" s="413">
        <f>Scenarios!D67</f>
        <v>3.3611066207370817</v>
      </c>
      <c r="E145" s="414">
        <f>Scenarios!E67</f>
        <v>4.0664479320737961</v>
      </c>
      <c r="F145" s="415">
        <f>Scenarios!F67</f>
        <v>7.2499999999999995E-2</v>
      </c>
    </row>
    <row r="147" spans="1:6" ht="13.9">
      <c r="A147" s="349" t="s">
        <v>478</v>
      </c>
      <c r="B147" s="349"/>
      <c r="C147" s="349"/>
      <c r="D147" s="349"/>
      <c r="E147" s="349"/>
      <c r="F147" s="349"/>
    </row>
    <row r="149" spans="1:6">
      <c r="B149" s="473" t="s">
        <v>526</v>
      </c>
      <c r="C149" s="467"/>
      <c r="D149" s="467"/>
      <c r="E149" s="467"/>
      <c r="F149" s="467"/>
    </row>
    <row r="151" spans="1:6">
      <c r="B151" s="373" t="s">
        <v>384</v>
      </c>
    </row>
    <row r="152" spans="1:6">
      <c r="B152" s="469" t="s">
        <v>527</v>
      </c>
      <c r="C152" s="469"/>
      <c r="D152" s="469"/>
      <c r="E152" s="469"/>
      <c r="F152" s="469"/>
    </row>
    <row r="153" spans="1:6">
      <c r="B153" s="416" t="s">
        <v>385</v>
      </c>
    </row>
    <row r="154" spans="1:6">
      <c r="B154" s="416" t="s">
        <v>386</v>
      </c>
    </row>
    <row r="155" spans="1:6">
      <c r="B155" s="416" t="s">
        <v>387</v>
      </c>
    </row>
    <row r="157" spans="1:6">
      <c r="B157" s="347" t="s">
        <v>528</v>
      </c>
    </row>
    <row r="158" spans="1:6" ht="24.5" customHeight="1">
      <c r="B158" s="466" t="s">
        <v>442</v>
      </c>
      <c r="C158" s="466"/>
      <c r="D158" s="466"/>
      <c r="E158" s="466"/>
      <c r="F158" s="466"/>
    </row>
    <row r="160" spans="1:6">
      <c r="B160" s="347" t="s">
        <v>529</v>
      </c>
    </row>
    <row r="161" spans="2:6">
      <c r="B161" s="470" t="s">
        <v>388</v>
      </c>
      <c r="C161" s="470"/>
      <c r="D161" s="470"/>
      <c r="E161" s="470"/>
      <c r="F161" s="470"/>
    </row>
    <row r="162" spans="2:6">
      <c r="B162" s="470" t="s">
        <v>389</v>
      </c>
      <c r="C162" s="470"/>
      <c r="D162" s="470"/>
      <c r="E162" s="470"/>
      <c r="F162" s="470"/>
    </row>
    <row r="164" spans="2:6">
      <c r="B164" s="347" t="s">
        <v>530</v>
      </c>
    </row>
    <row r="165" spans="2:6">
      <c r="B165" s="416" t="s">
        <v>390</v>
      </c>
    </row>
    <row r="166" spans="2:6">
      <c r="B166" s="416" t="s">
        <v>391</v>
      </c>
    </row>
    <row r="167" spans="2:6">
      <c r="B167" s="416"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2025-10-20T09:49:54Z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