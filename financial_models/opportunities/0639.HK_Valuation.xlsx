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6E502B-647F-4A94-93AB-2D3FCA33253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1" i="8"/>
  <c r="B73" i="8"/>
  <c r="E74" i="8"/>
  <c r="E71" i="8"/>
  <c r="F74" i="8"/>
  <c r="F71" i="8"/>
  <c r="D73" i="8"/>
  <c r="B72" i="8"/>
  <c r="C72" i="8"/>
  <c r="F73" i="8"/>
  <c r="D72" i="8"/>
  <c r="B74" i="8"/>
  <c r="C73" i="8"/>
  <c r="E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<sst xmlns="http://schemas.openxmlformats.org/spreadsheetml/2006/main" count="767" uniqueCount="556">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</sst>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1" fillId="0" borderId="1" xfId="2"/>
  </cellXfs>
  <cellStyles count="3">
    <cellStyle name="常规" xfId="0" builtinId="0"/>
    <cellStyle name="常规 2" xfId="2" xr:uid="{09CBC310-6EAD-4F86-9826-A4A3E6DA5D6C}"/>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2.76</v>
          </cell>
        </row>
        <row r="9">
          <cell r="C9">
            <v>5091065770</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0.1</v>
          </cell>
        </row>
      </sheetData>
      <sheetData sheetId="4">
        <row r="7">
          <cell r="F7">
            <v>8520685.9282108899</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350</v>
      </c>
      <c r="C5" s="46" t="s">
        <v>551</v>
      </c>
      <c r="E5" s="441" t="s">
        <v>543</v>
      </c>
      <c r="F5" s="440" t="s">
        <v>501</v>
      </c>
    </row>
    <row r="6" spans="1:9">
      <c r="B6" s="2" t="s">
        <v>53</v>
      </c>
      <c r="C6" s="45" t="s">
        <v>552</v>
      </c>
      <c r="D6" s="45"/>
      <c r="E6" s="45"/>
    </row>
    <row r="7" spans="1:9">
      <c r="B7" s="1" t="s">
        <v>352</v>
      </c>
      <c r="C7" s="45" t="s">
        <v>308</v>
      </c>
      <c r="D7" s="45"/>
      <c r="E7" s="45"/>
    </row>
    <row r="8" spans="1:9">
      <c r="B8" s="4" t="s">
        <v>351</v>
      </c>
      <c r="C8" s="47">
        <v>2.76</v>
      </c>
      <c r="E8" s="32"/>
    </row>
    <row r="9" spans="1:9">
      <c r="B9" s="4" t="s">
        <v>347</v>
      </c>
      <c r="C9" s="48">
        <v>5091065770</v>
      </c>
    </row>
    <row r="10" spans="1:9">
      <c r="B10" s="4" t="s">
        <v>353</v>
      </c>
      <c r="C10" s="33">
        <f>Thesis!C8*Common_Shares/1000000</f>
        <v>14051.3415252</v>
      </c>
      <c r="D10" s="1" t="s">
        <v>532</v>
      </c>
      <c r="E10" s="310">
        <f>Scenarios!F34</f>
        <v>0.27874323625388697</v>
      </c>
    </row>
    <row r="11" spans="1:9">
      <c r="D11" s="5"/>
      <c r="E11" s="5"/>
    </row>
    <row r="12" spans="1:9" ht="24.5" customHeight="1">
      <c r="B12" s="461" t="s">
        <v>356</v>
      </c>
      <c r="C12" s="461"/>
      <c r="D12" s="461"/>
      <c r="E12" s="461"/>
      <c r="F12" s="461"/>
    </row>
    <row r="14" spans="1:9">
      <c r="B14" s="42" t="str">
        <f>Scenarios!B39&amp;" Valuation Conclusion"</f>
        <v>1-stage DCF Valuation Conclusion</v>
      </c>
      <c r="C14" s="43"/>
    </row>
    <row r="15" spans="1:9">
      <c r="B15" s="1" t="s">
        <v>319</v>
      </c>
      <c r="C15" s="425" t="s">
        <v>553</v>
      </c>
      <c r="D15" s="4" t="s">
        <v>354</v>
      </c>
      <c r="E15" s="259" t="str">
        <f>IF(E17=C7,C7,E17&amp;"/"&amp;C7)</f>
        <v>HKD</v>
      </c>
    </row>
    <row r="16" spans="1:9">
      <c r="B16" s="1" t="s">
        <v>320</v>
      </c>
      <c r="C16" s="425" t="s">
        <v>553</v>
      </c>
      <c r="D16" s="4" t="s">
        <v>355</v>
      </c>
      <c r="E16" s="424">
        <v>1</v>
      </c>
    </row>
    <row r="17" spans="1:6">
      <c r="B17" s="1" t="s">
        <v>536</v>
      </c>
      <c r="C17" s="423">
        <v>0</v>
      </c>
      <c r="D17" s="4" t="s">
        <v>274</v>
      </c>
      <c r="E17" s="227" t="s">
        <v>308</v>
      </c>
    </row>
    <row r="18" spans="1:6">
      <c r="B18" s="1" t="str">
        <f>"Expected Equity Value ("&amp;C7&amp;") :"</f>
        <v>Expected Equity Value (HKD) :</v>
      </c>
      <c r="C18" s="258">
        <f>C125</f>
        <v>3.8978478955831006</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2.4868849907177504</v>
      </c>
      <c r="D22" s="38" t="s">
        <v>409</v>
      </c>
      <c r="E22" s="79">
        <v>0.35</v>
      </c>
    </row>
    <row r="23" spans="1:6">
      <c r="B23" s="1" t="s">
        <v>313</v>
      </c>
      <c r="C23" s="262">
        <f>E141</f>
        <v>2.8834226531731844</v>
      </c>
      <c r="D23" s="38" t="s">
        <v>410</v>
      </c>
      <c r="E23" s="451">
        <v>0.25</v>
      </c>
    </row>
    <row r="24" spans="1:6">
      <c r="B24" s="1" t="s">
        <v>315</v>
      </c>
      <c r="C24" s="262">
        <f>E144</f>
        <v>3.5796953464126804</v>
      </c>
      <c r="D24" s="38" t="s">
        <v>411</v>
      </c>
      <c r="E24" s="451">
        <v>0.1174</v>
      </c>
    </row>
    <row r="25" spans="1:6">
      <c r="B25" s="1" t="s">
        <v>314</v>
      </c>
      <c r="C25" s="262">
        <f>E145</f>
        <v>3.8751564232605564</v>
      </c>
      <c r="D25" s="38" t="s">
        <v>412</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1432063.1874217824</v>
      </c>
      <c r="D34" s="1" t="str">
        <f>Reporting_currency</f>
        <v>HKD</v>
      </c>
    </row>
    <row r="35" spans="2:6">
      <c r="B35" s="44"/>
      <c r="C35" s="73"/>
    </row>
    <row r="36" spans="2:6" ht="24.5" customHeight="1">
      <c r="B36" s="462" t="s">
        <v>198</v>
      </c>
      <c r="C36" s="462"/>
      <c r="D36" s="462"/>
      <c r="E36" s="462"/>
      <c r="F36" s="462"/>
    </row>
    <row r="37" spans="2:6">
      <c r="B37" s="44" t="s">
        <v>199</v>
      </c>
      <c r="C37" s="292">
        <f>Normalized_FCF!C15</f>
        <v>0</v>
      </c>
      <c r="D37" s="1" t="str">
        <f>Reporting_currency</f>
        <v>HKD</v>
      </c>
    </row>
    <row r="38" spans="2:6">
      <c r="B38" s="49" t="s">
        <v>200</v>
      </c>
      <c r="C38" s="292">
        <f>Normalized_FCF!C16</f>
        <v>0</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2" t="s">
        <v>206</v>
      </c>
      <c r="C51" s="462"/>
      <c r="D51" s="462"/>
      <c r="E51" s="462"/>
      <c r="F51" s="462"/>
    </row>
    <row r="52" spans="2:6">
      <c r="B52" s="44" t="s">
        <v>204</v>
      </c>
      <c r="C52" s="292">
        <f>Normalized_FCF!C12</f>
        <v>-360087.00926312926</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5.8282410327129677E-2</v>
      </c>
      <c r="F62" s="263"/>
    </row>
    <row r="63" spans="2:6">
      <c r="B63" s="206" t="s">
        <v>332</v>
      </c>
      <c r="C63" s="89">
        <f>Normalized_FCF!C92</f>
        <v>9.7826086956521757E-2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470</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473</v>
      </c>
      <c r="C92" s="219">
        <f>DCF!F8</f>
        <v>1.6736546556559</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0.79833937207218564</v>
      </c>
      <c r="D111" s="1" t="str">
        <f>Market_currency</f>
        <v>HKD</v>
      </c>
    </row>
    <row r="112" spans="2:6">
      <c r="B112" s="44" t="s">
        <v>323</v>
      </c>
      <c r="C112" s="219">
        <f>DCF!C11</f>
        <v>3.8924057246611126</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2" t="s">
        <v>358</v>
      </c>
      <c r="C124" s="462"/>
      <c r="D124" s="462"/>
      <c r="E124" s="462"/>
      <c r="F124" s="462"/>
    </row>
    <row r="125" spans="2:6">
      <c r="B125" s="193" t="s">
        <v>218</v>
      </c>
      <c r="C125" s="197">
        <f>Scenarios!C36</f>
        <v>3.8978478955831006</v>
      </c>
      <c r="D125" s="194" t="str">
        <f>Market_currency</f>
        <v>HKD</v>
      </c>
    </row>
    <row r="127" spans="2:6" ht="24.5" customHeight="1">
      <c r="B127" s="464" t="s">
        <v>359</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0.27</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0.34814814814814826</v>
      </c>
      <c r="D140" s="340">
        <f>Scenarios!D62</f>
        <v>2.1387368425696023</v>
      </c>
      <c r="E140" s="341">
        <f>Scenarios!E62</f>
        <v>2.4868849907177504</v>
      </c>
      <c r="F140" s="342">
        <f>E22</f>
        <v>0.35</v>
      </c>
    </row>
    <row r="141" spans="1:6">
      <c r="B141" s="343" t="s">
        <v>313</v>
      </c>
      <c r="C141" s="340">
        <f>Scenarios!C63</f>
        <v>0.38880000000000003</v>
      </c>
      <c r="D141" s="340">
        <f>Scenarios!D63</f>
        <v>2.4946226531731845</v>
      </c>
      <c r="E141" s="341">
        <f>Scenarios!E63</f>
        <v>2.8834226531731844</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0.45787753788943863</v>
      </c>
      <c r="D144" s="340">
        <f>Scenarios!D66</f>
        <v>3.1218178085232418</v>
      </c>
      <c r="E144" s="341">
        <f>Scenarios!E66</f>
        <v>3.5796953464126804</v>
      </c>
      <c r="F144" s="342">
        <f>E24</f>
        <v>0.1174</v>
      </c>
    </row>
    <row r="145" spans="1:6">
      <c r="B145" s="343" t="s">
        <v>314</v>
      </c>
      <c r="C145" s="340">
        <f>Scenarios!C67</f>
        <v>0.48647855640862631</v>
      </c>
      <c r="D145" s="340">
        <f>Scenarios!D67</f>
        <v>3.3886778668519302</v>
      </c>
      <c r="E145" s="341">
        <f>Scenarios!E67</f>
        <v>3.8751564232605564</v>
      </c>
      <c r="F145" s="342">
        <f>Scenarios!F67</f>
        <v>7.2499999999999995E-2</v>
      </c>
    </row>
    <row r="147" spans="1:6" ht="13.9">
      <c r="A147" s="202" t="s">
        <v>479</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413</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9.7826086956521757E-2</v>
      </c>
      <c r="E92" s="241"/>
      <c r="G92" s="22">
        <f t="shared" ref="G92:Q92" si="38">IF(G$4="","",(G88*(1-dividend_tax_rate))/Market_Price)</f>
        <v>9.7826086956521757E-2</v>
      </c>
      <c r="H92" s="22">
        <f t="shared" si="38"/>
        <v>9.1304347826086985E-2</v>
      </c>
      <c r="I92" s="22">
        <f t="shared" si="38"/>
        <v>0.14021739130434785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5.8282410327129677E-2</v>
      </c>
      <c r="D124" s="26"/>
      <c r="E124" s="238"/>
      <c r="F124" s="26"/>
      <c r="G124" s="74">
        <f t="shared" ref="G124" si="49">IF(G$4="","",G123/Market_Price)</f>
        <v>9.033282544804791E-2</v>
      </c>
      <c r="H124" s="74">
        <f t="shared" ref="H124" si="50">IF(H$4="","",H123/Market_Price)</f>
        <v>0.12445570939860764</v>
      </c>
      <c r="I124" s="74">
        <f t="shared" ref="I124" si="51">IF(I$4="","",I123/Market_Price)</f>
        <v>0.2021603055944802</v>
      </c>
      <c r="J124" s="74">
        <f t="shared" ref="J124" si="52">IF(J$4="","",J123/Market_Price)</f>
        <v>0.16613996076066723</v>
      </c>
      <c r="K124" s="74">
        <f t="shared" ref="K124" si="53">IF(K$4="","",K123/Market_Price)</f>
        <v>5.964797015977949E-2</v>
      </c>
      <c r="L124" s="74">
        <f t="shared" ref="L124" si="54">IF(L$4="","",L123/Market_Price)</f>
        <v>7.5722236064919471E-2</v>
      </c>
      <c r="M124" s="74">
        <f t="shared" ref="M124" si="55">IF(M$4="","",M123/Market_Price)</f>
        <v>6.7420537626318625E-2</v>
      </c>
      <c r="N124" s="74">
        <f t="shared" ref="N124" si="56">IF(N$4="","",N123/Market_Price)</f>
        <v>6.403395706995979E-2</v>
      </c>
      <c r="O124" s="74">
        <f t="shared" ref="O124" si="57">IF(O$4="","",O123/Market_Price)</f>
        <v>1.1335287788311938E-2</v>
      </c>
      <c r="P124" s="74">
        <f t="shared" ref="P124" si="58">IF(P$4="","",P123/Market_Price)</f>
        <v>4.9104208218309544E-3</v>
      </c>
      <c r="Q124" s="74" t="str">
        <f t="shared" ref="Q124" si="59">IF(Q$4="","",Q123/Market_Price)</f>
        <v/>
      </c>
    </row>
    <row r="125" spans="1:17" ht="15.75" customHeight="1">
      <c r="B125" s="2" t="s">
        <v>306</v>
      </c>
      <c r="C125" s="151"/>
      <c r="G125" s="22">
        <f>IF(G$4="","",(Data!C47*$C$3)/(Market_Price*Common_Shares))</f>
        <v>0.12916738211401255</v>
      </c>
      <c r="H125" s="22">
        <f>IF(H$4="","",(Data!D47*$C$3)/(Market_Price*Common_Shares))</f>
        <v>0.16375219375839986</v>
      </c>
      <c r="I125" s="22">
        <f>IF(I$4="","",(Data!E47*$C$3)/(Market_Price*Common_Shares))</f>
        <v>0.23543339218302245</v>
      </c>
      <c r="J125" s="22">
        <f>IF(J$4="","",(Data!F47*$C$3)/(Market_Price*Common_Shares))</f>
        <v>0.21783194113605703</v>
      </c>
      <c r="K125" s="22">
        <f>IF(K$4="","",(Data!G47*$C$3)/(Market_Price*Common_Shares))</f>
        <v>8.4496060242411686E-2</v>
      </c>
      <c r="L125" s="22">
        <f>IF(L$4="","",(Data!H47*$C$3)/(Market_Price*Common_Shares))</f>
        <v>8.3703111043929981E-2</v>
      </c>
      <c r="M125" s="22">
        <f>IF(M$4="","",(Data!I47*$C$3)/(Market_Price*Common_Shares))</f>
        <v>8.1979930381316679E-2</v>
      </c>
      <c r="N125" s="22">
        <f>IF(N$4="","",(Data!J47*$C$3)/(Market_Price*Common_Shares))</f>
        <v>8.4161643774662134E-2</v>
      </c>
      <c r="O125" s="22">
        <f>IF(O$4="","",(Data!K47*$C$3)/(Market_Price*Common_Shares))</f>
        <v>4.8149139268065027E-3</v>
      </c>
      <c r="P125" s="22">
        <f>IF(P$4="","",(Data!L47*$C$3)/(Market_Price*Common_Shares))</f>
        <v>-5.0633955393086447E-2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394</v>
      </c>
      <c r="C4" s="282">
        <f>Normalized_FCF!C19</f>
        <v>818946.05241834244</v>
      </c>
      <c r="D4" t="str">
        <f>Reporting_currency</f>
        <v>HKD</v>
      </c>
      <c r="E4" s="135" t="s">
        <v>435</v>
      </c>
      <c r="F4" s="282">
        <f>-BS!G31</f>
        <v>-43677</v>
      </c>
      <c r="G4" t="str">
        <f>Reporting_currency</f>
        <v>HKD</v>
      </c>
      <c r="H4" s="315" t="s">
        <v>395</v>
      </c>
      <c r="I4" s="312">
        <f>Normalized_FCF!C4</f>
        <v>3539900</v>
      </c>
      <c r="J4" s="312"/>
    </row>
    <row r="5" spans="2:15">
      <c r="B5" s="187" t="s">
        <v>105</v>
      </c>
      <c r="C5" s="188">
        <f>Equity_Cost</f>
        <v>7.2499999999999995E-2</v>
      </c>
      <c r="E5" s="135" t="s">
        <v>436</v>
      </c>
      <c r="F5" s="282">
        <f>BS!D66</f>
        <v>8300850.7282108907</v>
      </c>
      <c r="G5" t="str">
        <f>Reporting_currency</f>
        <v>HKD</v>
      </c>
      <c r="H5" s="315" t="s">
        <v>397</v>
      </c>
      <c r="I5" s="312">
        <f>Normalized_FCF!C7</f>
        <v>-208899</v>
      </c>
      <c r="J5" s="312"/>
    </row>
    <row r="6" spans="2:15" ht="13.25" customHeight="1">
      <c r="B6" s="136" t="s">
        <v>194</v>
      </c>
      <c r="C6" s="290">
        <f>(C4*(1+Terminal_Growth))/(Equity_Cost-Terminal_Growth)</f>
        <v>11295807.619563345</v>
      </c>
      <c r="D6" t="str">
        <f>Reporting_currency</f>
        <v>HKD</v>
      </c>
      <c r="E6" s="187" t="s">
        <v>437</v>
      </c>
      <c r="F6" s="291">
        <f>BS!H42</f>
        <v>263512.2</v>
      </c>
      <c r="G6" t="str">
        <f>Reporting_currency</f>
        <v>HKD</v>
      </c>
      <c r="H6" s="315" t="s">
        <v>419</v>
      </c>
      <c r="I6" s="312">
        <f>I7+I8</f>
        <v>8284.8496307346541</v>
      </c>
      <c r="J6" s="312"/>
      <c r="N6" s="135"/>
    </row>
    <row r="7" spans="2:15" ht="12.75" customHeight="1">
      <c r="B7" s="325" t="s">
        <v>434</v>
      </c>
      <c r="C7" s="282">
        <f>F7</f>
        <v>8520685.9282108899</v>
      </c>
      <c r="E7" s="140" t="s">
        <v>428</v>
      </c>
      <c r="F7" s="290">
        <f>SUM(F4:F6)</f>
        <v>8520685.9282108899</v>
      </c>
      <c r="G7" t="str">
        <f>Reporting_currency</f>
        <v>HKD</v>
      </c>
      <c r="H7" s="319" t="s">
        <v>420</v>
      </c>
      <c r="I7" s="320">
        <f>Normalized_FCF!C9</f>
        <v>0</v>
      </c>
      <c r="J7" s="320"/>
      <c r="N7" s="311"/>
      <c r="O7" s="311"/>
    </row>
    <row r="8" spans="2:15" ht="13.15">
      <c r="B8" s="136" t="s">
        <v>430</v>
      </c>
      <c r="C8" s="290">
        <f>C6+C7</f>
        <v>19816493.547774233</v>
      </c>
      <c r="D8" t="str">
        <f>Reporting_currency</f>
        <v>HKD</v>
      </c>
      <c r="E8" s="140" t="s">
        <v>468</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431</v>
      </c>
      <c r="C10" s="290">
        <f>C8*Exchange_Rate</f>
        <v>19816493.547774233</v>
      </c>
      <c r="D10" t="str">
        <f>Market_currency</f>
        <v>HKD</v>
      </c>
      <c r="H10" s="315" t="s">
        <v>399</v>
      </c>
      <c r="I10" s="313">
        <f>Normalized_FCF!C41</f>
        <v>0.25</v>
      </c>
      <c r="N10" s="311"/>
      <c r="O10" s="311"/>
    </row>
    <row r="11" spans="2:15" ht="13.15">
      <c r="B11" s="136" t="s">
        <v>429</v>
      </c>
      <c r="C11" s="108">
        <f>(C10*scaling_factor)/Common_Shares</f>
        <v>3.8924057246611126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1.2999999999999999E-3</v>
      </c>
      <c r="E16" s="315" t="s">
        <v>402</v>
      </c>
      <c r="F16" s="318">
        <f>Scenarios!C41</f>
        <v>1.2999999999999999E-3</v>
      </c>
    </row>
    <row r="17" spans="1:21" ht="13.25" customHeight="1">
      <c r="B17" s="315" t="s">
        <v>396</v>
      </c>
      <c r="C17" s="313">
        <f>Normalized_FCF!C32</f>
        <v>0.53643826452109311</v>
      </c>
      <c r="E17" s="315" t="s">
        <v>403</v>
      </c>
      <c r="F17" s="318">
        <f>Scenarios!C40</f>
        <v>0.53643826452109311</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3.904939886383807</v>
      </c>
      <c r="J18" t="str">
        <f>Market_currency</f>
        <v>HKD</v>
      </c>
    </row>
    <row r="19" spans="1:21">
      <c r="L19" s="282"/>
    </row>
    <row r="20" spans="1:21" ht="13.15">
      <c r="A20" s="121" t="s">
        <v>401</v>
      </c>
      <c r="B20" s="121" t="s">
        <v>98</v>
      </c>
      <c r="C20" s="121" t="s">
        <v>395</v>
      </c>
      <c r="D20" s="121" t="s">
        <v>102</v>
      </c>
      <c r="E20" s="121" t="s">
        <v>396</v>
      </c>
      <c r="F20" s="121" t="s">
        <v>397</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424</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0.02</v>
      </c>
      <c r="D22" s="332">
        <f>C18</f>
        <v>5</v>
      </c>
      <c r="E22" s="333">
        <f>DCF!E83</f>
        <v>4.0920698339496795</v>
      </c>
      <c r="F22" s="335">
        <f>1-F23-F24</f>
        <v>0.2</v>
      </c>
      <c r="G22" s="335">
        <f>F22*(1-F$29-F$30)</f>
        <v>0.18</v>
      </c>
    </row>
    <row r="23" spans="2:7">
      <c r="B23" s="309" t="s">
        <v>441</v>
      </c>
      <c r="C23" s="331">
        <v>0</v>
      </c>
      <c r="D23" s="332">
        <f>C18</f>
        <v>5</v>
      </c>
      <c r="E23" s="333">
        <f>DCF!E84</f>
        <v>3.8924057246611121</v>
      </c>
      <c r="F23" s="334">
        <v>0.6</v>
      </c>
      <c r="G23" s="335">
        <f t="shared" ref="G23:G24" si="0">F23*(1-F$29-F$30)</f>
        <v>0.53999999999999992</v>
      </c>
    </row>
    <row r="24" spans="2:7">
      <c r="B24" s="309" t="s">
        <v>450</v>
      </c>
      <c r="C24" s="331">
        <v>-0.02</v>
      </c>
      <c r="D24" s="332">
        <f>C18</f>
        <v>5</v>
      </c>
      <c r="E24" s="333">
        <f>DCF!E85</f>
        <v>3.7070588524814561</v>
      </c>
      <c r="F24" s="334">
        <v>0.2</v>
      </c>
      <c r="G24" s="335">
        <f t="shared" si="0"/>
        <v>0.18</v>
      </c>
    </row>
    <row r="25" spans="2:7">
      <c r="B25" s="141" t="s">
        <v>455</v>
      </c>
      <c r="C25" s="449">
        <f>E23*F23+E24*F24+E22*F22</f>
        <v>3.8952691720828945</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-0.04</v>
      </c>
      <c r="D29" s="332">
        <f>C18</f>
        <v>5</v>
      </c>
      <c r="E29" s="333">
        <f>DCF!E82</f>
        <v>3.5352170611725846</v>
      </c>
      <c r="F29" s="334">
        <v>0.05</v>
      </c>
      <c r="G29" s="335">
        <f>F29</f>
        <v>0.05</v>
      </c>
    </row>
    <row r="30" spans="2:7">
      <c r="B30" s="322" t="s">
        <v>451</v>
      </c>
      <c r="C30" s="331">
        <v>0.04</v>
      </c>
      <c r="D30" s="332">
        <f>C18</f>
        <v>5</v>
      </c>
      <c r="E30" s="333">
        <f>DCF!E86</f>
        <v>4.3068957529973311</v>
      </c>
      <c r="F30" s="334">
        <v>0.05</v>
      </c>
      <c r="G30" s="335">
        <f>F30</f>
        <v>0.05</v>
      </c>
    </row>
    <row r="31" spans="2:7">
      <c r="E31" s="336"/>
      <c r="F31" s="336"/>
    </row>
    <row r="32" spans="2:7" ht="13.15">
      <c r="B32" s="145" t="s">
        <v>460</v>
      </c>
    </row>
    <row r="33" spans="2:7">
      <c r="B33" s="97" t="s">
        <v>462</v>
      </c>
      <c r="C33" s="155">
        <f>Normalized_FCF!C88*(1-dividend_tax_rate)</f>
        <v>0.27</v>
      </c>
      <c r="D33" t="str">
        <f>Market_currency</f>
        <v>HKD</v>
      </c>
      <c r="E33" s="97" t="s">
        <v>459</v>
      </c>
      <c r="F33" s="222">
        <f>Holding_Period</f>
        <v>2</v>
      </c>
    </row>
    <row r="34" spans="2:7">
      <c r="B34" s="97" t="s">
        <v>233</v>
      </c>
      <c r="C34" s="146">
        <f>Market_Price</f>
        <v>2.76</v>
      </c>
      <c r="D34" t="str">
        <f>Market_currency</f>
        <v>HKD</v>
      </c>
      <c r="E34" s="97" t="s">
        <v>458</v>
      </c>
      <c r="F34" s="337">
        <f>RATE(Holding_Period,$C$33,-C34,$C$36)</f>
        <v>0.27874323625388697</v>
      </c>
    </row>
    <row r="35" spans="2:7">
      <c r="B35" s="97" t="s">
        <v>438</v>
      </c>
      <c r="C35" s="327">
        <f>DCF!C11</f>
        <v>3.8924057246611126</v>
      </c>
      <c r="D35" s="97" t="str">
        <f>Market_currency</f>
        <v>HKD</v>
      </c>
      <c r="E35" s="97" t="s">
        <v>458</v>
      </c>
      <c r="F35" s="337">
        <f>RATE(Holding_Period,$C$33,-C35,$C$36)</f>
        <v>7.0041263669871082E-2</v>
      </c>
    </row>
    <row r="36" spans="2:7">
      <c r="B36" s="97" t="s">
        <v>439</v>
      </c>
      <c r="C36" s="328">
        <f>E22*G22+E23*G23+E24*G24+E30*G30+E29*G29</f>
        <v>3.8978478955831006</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0.53643826452109311</v>
      </c>
      <c r="E40" s="97" t="s">
        <v>404</v>
      </c>
    </row>
    <row r="41" spans="2:7">
      <c r="B41" s="97" t="s">
        <v>402</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0.27</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0.34814814814814826</v>
      </c>
      <c r="D62" s="119">
        <f>C36/(1+F62)^Holding_Period</f>
        <v>2.1387368425696023</v>
      </c>
      <c r="E62" s="339">
        <f>C62+D62</f>
        <v>2.4868849907177504</v>
      </c>
      <c r="F62" s="308">
        <f>Thesis!E22</f>
        <v>0.35</v>
      </c>
      <c r="G62" s="448">
        <f>(1-E62/C36)</f>
        <v>0.36198511144167578</v>
      </c>
    </row>
    <row r="63" spans="2:7" ht="13.15">
      <c r="B63" s="309" t="s">
        <v>313</v>
      </c>
      <c r="C63" s="119">
        <f>PV(F63, Holding_Period, -C58, 0)</f>
        <v>0.38880000000000003</v>
      </c>
      <c r="D63" s="119">
        <f>C36/(1+F63)^Holding_Period</f>
        <v>2.4946226531731845</v>
      </c>
      <c r="E63" s="339">
        <f>C63+D63</f>
        <v>2.8834226531731844</v>
      </c>
      <c r="F63" s="308">
        <f>Thesis!E23</f>
        <v>0.25</v>
      </c>
      <c r="G63" s="448">
        <f>(1-E63/C36)</f>
        <v>0.26025264956065275</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0.45787753788943863</v>
      </c>
      <c r="D66" s="119">
        <f>C36/(1+F66)^Holding_Period</f>
        <v>3.1218178085232418</v>
      </c>
      <c r="E66" s="339">
        <f>C66+D66</f>
        <v>3.5796953464126804</v>
      </c>
      <c r="F66" s="308">
        <f>Thesis!E24</f>
        <v>0.1174</v>
      </c>
      <c r="G66" s="448">
        <f>(1-E66/C47)</f>
        <v>8.3290536969653939E-2</v>
      </c>
    </row>
    <row r="67" spans="2:7" ht="13.15">
      <c r="B67" s="309" t="s">
        <v>314</v>
      </c>
      <c r="C67" s="119">
        <f>PV(F67, Holding_Period, -C58, 0)</f>
        <v>0.48647855640862631</v>
      </c>
      <c r="D67" s="119">
        <f>C36/(1+F67)^Holding_Period</f>
        <v>3.3886778668519302</v>
      </c>
      <c r="E67" s="339">
        <f>C67+D67</f>
        <v>3.8751564232605564</v>
      </c>
      <c r="F67" s="308">
        <f>Thesis!E25</f>
        <v>7.2499999999999995E-2</v>
      </c>
      <c r="G67" s="448">
        <f>(1-E67/C36)</f>
        <v>5.8215386876069308E-3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45930</v>
      </c>
    </row>
    <row r="4" spans="1:10">
      <c r="B4" s="430" t="s">
        <v>538</v>
      </c>
      <c r="C4" s="431" t="str">
        <f>Thesis!C4</f>
        <v>首钢资源</v>
      </c>
      <c r="D4" s="356"/>
      <c r="E4" s="442" t="s">
        <v>544</v>
      </c>
      <c r="F4" s="445" t="str">
        <f>Thesis!F4</f>
        <v>INT</v>
      </c>
    </row>
    <row r="5" spans="1:10">
      <c r="B5" s="350" t="s">
        <v>365</v>
      </c>
      <c r="C5" s="362" t="str">
        <f>Thesis!C5</f>
        <v>0639.HK</v>
      </c>
      <c r="E5" s="446" t="s">
        <v>545</v>
      </c>
      <c r="F5" s="447" t="str">
        <f>Thesis!F5</f>
        <v>Y</v>
      </c>
    </row>
    <row r="6" spans="1:10">
      <c r="B6" s="357" t="s">
        <v>337</v>
      </c>
      <c r="C6" s="359" t="str">
        <f>Thesis!C6</f>
        <v>MAT_01</v>
      </c>
      <c r="E6" s="361"/>
    </row>
    <row r="7" spans="1:10">
      <c r="B7" s="350" t="s">
        <v>367</v>
      </c>
      <c r="C7" s="359" t="str">
        <f>Market_currency</f>
        <v>HKD</v>
      </c>
      <c r="D7" s="361"/>
      <c r="E7" s="361"/>
    </row>
    <row r="8" spans="1:10">
      <c r="B8" s="358" t="s">
        <v>366</v>
      </c>
      <c r="C8" s="363">
        <f>Market_Price</f>
        <v>2.76</v>
      </c>
    </row>
    <row r="9" spans="1:10">
      <c r="B9" s="358" t="s">
        <v>362</v>
      </c>
      <c r="C9" s="360">
        <f>Common_Shares</f>
        <v>5091065770</v>
      </c>
    </row>
    <row r="10" spans="1:10">
      <c r="B10" s="358" t="s">
        <v>368</v>
      </c>
      <c r="C10" s="364">
        <f>投资主题!C8*Common_Shares/1000000</f>
        <v>14051.3415252</v>
      </c>
      <c r="D10" s="350" t="s">
        <v>533</v>
      </c>
      <c r="E10" s="367">
        <f>Scenarios!F34</f>
        <v>0.27874323625388697</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HKD</v>
      </c>
    </row>
    <row r="16" spans="1:10">
      <c r="B16" s="350" t="s">
        <v>339</v>
      </c>
      <c r="C16" s="365" t="str">
        <f>Thesis!C16</f>
        <v>N</v>
      </c>
      <c r="D16" s="358" t="s">
        <v>370</v>
      </c>
      <c r="E16" s="433">
        <f>Exchange_Rate</f>
        <v>1</v>
      </c>
    </row>
    <row r="17" spans="1:6">
      <c r="B17" s="350" t="s">
        <v>539</v>
      </c>
      <c r="C17" s="432">
        <f>Terminal_Growth</f>
        <v>0</v>
      </c>
      <c r="D17" s="358" t="s">
        <v>340</v>
      </c>
      <c r="E17" s="351" t="str">
        <f>Reporting_currency</f>
        <v>HKD</v>
      </c>
    </row>
    <row r="18" spans="1:6">
      <c r="B18" s="350" t="str">
        <f>"预期股权价值 ("&amp;C7&amp;") :"</f>
        <v>预期股权价值 (HKD) :</v>
      </c>
      <c r="C18" s="366">
        <f>C125</f>
        <v>3.8978478955831006</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2.4868849907177504</v>
      </c>
      <c r="D22" s="372" t="s">
        <v>444</v>
      </c>
      <c r="E22" s="373">
        <f>Thesis!E22</f>
        <v>0.35</v>
      </c>
    </row>
    <row r="23" spans="1:6">
      <c r="B23" s="350" t="s">
        <v>342</v>
      </c>
      <c r="C23" s="374">
        <f>E141</f>
        <v>2.8834226531731844</v>
      </c>
      <c r="D23" s="372" t="s">
        <v>445</v>
      </c>
      <c r="E23" s="375">
        <f>Thesis!E23</f>
        <v>0.25</v>
      </c>
    </row>
    <row r="24" spans="1:6">
      <c r="B24" s="350" t="s">
        <v>344</v>
      </c>
      <c r="C24" s="374">
        <f>E144</f>
        <v>3.5796953464126804</v>
      </c>
      <c r="D24" s="372" t="s">
        <v>447</v>
      </c>
      <c r="E24" s="375">
        <f>Thesis!E24</f>
        <v>0.1174</v>
      </c>
    </row>
    <row r="25" spans="1:6">
      <c r="B25" s="350" t="s">
        <v>343</v>
      </c>
      <c r="C25" s="374">
        <f>E145</f>
        <v>3.8751564232605564</v>
      </c>
      <c r="D25" s="372" t="s">
        <v>446</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372</v>
      </c>
      <c r="C32" s="377">
        <f>scaling_factor</f>
        <v>1000</v>
      </c>
    </row>
    <row r="33" spans="2:6">
      <c r="B33" s="469" t="s">
        <v>505</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509</v>
      </c>
    </row>
    <row r="49" spans="2:6">
      <c r="B49" s="379" t="s">
        <v>223</v>
      </c>
      <c r="C49" s="380">
        <f>Normalized_FCF!C13</f>
        <v>-261314.97537104544</v>
      </c>
      <c r="D49" s="350" t="str">
        <f>Reporting_currency</f>
        <v>HKD</v>
      </c>
    </row>
    <row r="51" spans="2:6">
      <c r="B51" s="469" t="s">
        <v>510</v>
      </c>
      <c r="C51" s="469"/>
      <c r="D51" s="469"/>
      <c r="E51" s="469"/>
      <c r="F51" s="469"/>
    </row>
    <row r="52" spans="2:6">
      <c r="B52" s="379" t="s">
        <v>500</v>
      </c>
      <c r="C52" s="380">
        <f>Normalized_FCF!C12</f>
        <v>-360087.00926312926</v>
      </c>
      <c r="D52" s="350" t="str">
        <f>Reporting_currency</f>
        <v>HKD</v>
      </c>
    </row>
    <row r="54" spans="2:6">
      <c r="B54" s="469" t="s">
        <v>511</v>
      </c>
      <c r="C54" s="475"/>
      <c r="D54" s="475"/>
      <c r="E54" s="475"/>
      <c r="F54" s="475"/>
    </row>
    <row r="55" spans="2:6">
      <c r="B55" s="379" t="s">
        <v>207</v>
      </c>
      <c r="C55" s="380">
        <f>Normalized_FCF!C17</f>
        <v>0</v>
      </c>
      <c r="D55" s="350" t="str">
        <f>Reporting_currency</f>
        <v>HKD</v>
      </c>
    </row>
    <row r="57" spans="2:6">
      <c r="B57" s="473" t="s">
        <v>512</v>
      </c>
      <c r="C57" s="473"/>
      <c r="D57" s="473"/>
      <c r="E57" s="473"/>
      <c r="F57" s="473"/>
    </row>
    <row r="58" spans="2:6">
      <c r="B58" s="473" t="s">
        <v>513</v>
      </c>
      <c r="C58" s="473"/>
      <c r="D58" s="473"/>
      <c r="E58" s="473"/>
      <c r="F58" s="473"/>
    </row>
    <row r="60" spans="2:6">
      <c r="B60" s="379" t="s">
        <v>373</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5.8282410327129677E-2</v>
      </c>
      <c r="F62" s="386"/>
    </row>
    <row r="63" spans="2:6">
      <c r="B63" s="384" t="s">
        <v>332</v>
      </c>
      <c r="C63" s="385">
        <f>Normalized_FCF!C92</f>
        <v>9.7826086956521757E-2</v>
      </c>
      <c r="E63" s="379" t="s">
        <v>374</v>
      </c>
      <c r="F63" s="387">
        <f>Normalized_FCF!C90</f>
        <v>1.8649821028990061</v>
      </c>
    </row>
    <row r="65" spans="1:6">
      <c r="B65" s="376" t="s">
        <v>377</v>
      </c>
      <c r="C65" s="388" t="s">
        <v>327</v>
      </c>
      <c r="D65" s="388" t="s">
        <v>375</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480</v>
      </c>
      <c r="B71" s="352"/>
      <c r="C71" s="352"/>
      <c r="D71" s="352"/>
      <c r="E71" s="352"/>
      <c r="F71" s="352"/>
    </row>
    <row r="72" spans="1:6">
      <c r="A72" s="392"/>
    </row>
    <row r="73" spans="1:6">
      <c r="A73" s="393"/>
      <c r="B73" s="473" t="s">
        <v>514</v>
      </c>
      <c r="C73" s="473"/>
      <c r="D73" s="473"/>
      <c r="E73" s="473"/>
      <c r="F73" s="473"/>
    </row>
    <row r="74" spans="1:6">
      <c r="B74" s="476" t="s">
        <v>483</v>
      </c>
      <c r="C74" s="476"/>
      <c r="D74" s="476"/>
      <c r="E74" s="476"/>
      <c r="F74" s="476"/>
    </row>
    <row r="76" spans="1:6">
      <c r="B76" s="376" t="s">
        <v>372</v>
      </c>
    </row>
    <row r="77" spans="1:6">
      <c r="B77" s="473" t="s">
        <v>515</v>
      </c>
      <c r="C77" s="473"/>
      <c r="D77" s="473"/>
      <c r="E77" s="473"/>
      <c r="F77" s="473"/>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516</v>
      </c>
    </row>
    <row r="84" spans="1:6">
      <c r="B84" s="350" t="s">
        <v>224</v>
      </c>
      <c r="C84" s="380">
        <f>DCF!F5</f>
        <v>8300850.7282108907</v>
      </c>
      <c r="D84" s="350" t="str">
        <f>Reporting_currency</f>
        <v>HKD</v>
      </c>
    </row>
    <row r="85" spans="1:6">
      <c r="B85" s="389" t="s">
        <v>485</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517</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484</v>
      </c>
      <c r="C92" s="394">
        <f>DCF!F8</f>
        <v>1.6736546556559</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0.79833937207218564</v>
      </c>
      <c r="D111" s="350" t="str">
        <f>Market_currency</f>
        <v>HKD</v>
      </c>
    </row>
    <row r="112" spans="1:6">
      <c r="A112" s="392"/>
      <c r="B112" s="379" t="s">
        <v>378</v>
      </c>
      <c r="C112" s="401">
        <f>DCF!C11</f>
        <v>3.8924057246611126</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523</v>
      </c>
      <c r="C124" s="469"/>
      <c r="D124" s="469"/>
      <c r="E124" s="469"/>
      <c r="F124" s="469"/>
    </row>
    <row r="125" spans="1:6">
      <c r="B125" s="379" t="s">
        <v>218</v>
      </c>
      <c r="C125" s="411">
        <f>Scenarios!C36</f>
        <v>3.8978478955831006</v>
      </c>
      <c r="D125" s="350" t="str">
        <f>Market_currency</f>
        <v>HKD</v>
      </c>
    </row>
    <row r="127" spans="1:6">
      <c r="B127" s="471" t="s">
        <v>524</v>
      </c>
      <c r="C127" s="471"/>
      <c r="D127" s="471"/>
      <c r="E127" s="471"/>
      <c r="F127" s="471"/>
    </row>
    <row r="129" spans="1:6" ht="13.9">
      <c r="A129" s="352" t="s">
        <v>496</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0.27</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0.34814814814814826</v>
      </c>
      <c r="D140" s="416">
        <f>Scenarios!D62</f>
        <v>2.1387368425696023</v>
      </c>
      <c r="E140" s="417">
        <f>Scenarios!E62</f>
        <v>2.4868849907177504</v>
      </c>
      <c r="F140" s="418">
        <f>E22</f>
        <v>0.35</v>
      </c>
    </row>
    <row r="141" spans="1:6">
      <c r="B141" s="415" t="s">
        <v>313</v>
      </c>
      <c r="C141" s="416">
        <f>Scenarios!C63</f>
        <v>0.38880000000000003</v>
      </c>
      <c r="D141" s="416">
        <f>Scenarios!D63</f>
        <v>2.4946226531731845</v>
      </c>
      <c r="E141" s="417">
        <f>Scenarios!E63</f>
        <v>2.8834226531731844</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0.45787753788943863</v>
      </c>
      <c r="D144" s="416">
        <f>Scenarios!D66</f>
        <v>3.1218178085232418</v>
      </c>
      <c r="E144" s="417">
        <f>Scenarios!E66</f>
        <v>3.5796953464126804</v>
      </c>
      <c r="F144" s="418">
        <f>E24</f>
        <v>0.1174</v>
      </c>
    </row>
    <row r="145" spans="1:6">
      <c r="B145" s="415" t="s">
        <v>314</v>
      </c>
      <c r="C145" s="416">
        <f>Scenarios!C67</f>
        <v>0.48647855640862631</v>
      </c>
      <c r="D145" s="416">
        <f>Scenarios!D67</f>
        <v>3.3886778668519302</v>
      </c>
      <c r="E145" s="417">
        <f>Scenarios!E67</f>
        <v>3.8751564232605564</v>
      </c>
      <c r="F145" s="418">
        <f>Scenarios!F67</f>
        <v>7.2499999999999995E-2</v>
      </c>
    </row>
    <row r="147" spans="1:6" ht="13.9">
      <c r="A147" s="352" t="s">
        <v>479</v>
      </c>
      <c r="B147" s="352"/>
      <c r="C147" s="352"/>
      <c r="D147" s="352"/>
      <c r="E147" s="352"/>
      <c r="F147" s="352"/>
    </row>
    <row r="149" spans="1:6">
      <c r="B149" s="474"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69" t="s">
        <v>443</v>
      </c>
      <c r="C158" s="469"/>
      <c r="D158" s="469"/>
      <c r="E158" s="469"/>
      <c r="F158" s="469"/>
    </row>
    <row r="160" spans="1:6">
      <c r="B160" s="350" t="s">
        <v>530</v>
      </c>
    </row>
    <row r="161" spans="2:6">
      <c r="B161" s="470" t="s">
        <v>389</v>
      </c>
      <c r="C161" s="470"/>
      <c r="D161" s="470"/>
      <c r="E161" s="470"/>
      <c r="F161" s="470"/>
    </row>
    <row r="162" spans="2:6">
      <c r="B162" s="470" t="s">
        <v>390</v>
      </c>
      <c r="C162" s="470"/>
      <c r="D162" s="470"/>
      <c r="E162" s="470"/>
      <c r="F162" s="470"/>
    </row>
    <row r="164" spans="2:6">
      <c r="B164" s="350" t="s">
        <v>531</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79C3E-4AE8-47C8-AA15-12CD34FF7D58}">
  <dimension ref="B2:E2"/>
  <sheetViews>
    <sheetView showGridLines="0" tabSelected="1" workbookViewId="0">
      <selection activeCell="D49" sqref="D49"/>
    </sheetView>
  </sheetViews>
  <sheetFormatPr defaultColWidth="8.796875" defaultRowHeight="12.75"/>
  <cols>
    <col min="1" max="1" width="2.6640625" style="479" customWidth="1"/>
    <col min="2" max="2" width="22.6640625" style="479" customWidth="1"/>
    <col min="3" max="5" width="20.6640625" style="479" customWidth="1"/>
    <col min="6" max="16384" width="8.796875" style="479"/>
  </cols>
  <sheetData>
    <row r="2" spans="2:5" ht="13.9">
      <c r="B2" s="477" t="s">
        <v>334</v>
      </c>
      <c r="C2" s="478"/>
      <c r="D2" s="478"/>
      <c r="E2" s="47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