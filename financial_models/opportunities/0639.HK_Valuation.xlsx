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E96AFF-0CE9-4C29-A956-5888FEB6825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<sst xmlns="http://schemas.openxmlformats.org/spreadsheetml/2006/main" count="766" uniqueCount="556">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</sst>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2.79</v>
      </c>
      <c r="E8" s="32"/>
    </row>
    <row r="9" spans="1:9">
      <c r="B9" s="4" t="s">
        <v>346</v>
      </c>
      <c r="C9" s="48">
        <v>5091065770</v>
      </c>
    </row>
    <row r="10" spans="1:9">
      <c r="B10" s="4" t="s">
        <v>352</v>
      </c>
      <c r="C10" s="33">
        <f>Thesis!C8*Common_Shares/1000000</f>
        <v>14204.073498299998</v>
      </c>
      <c r="D10" s="1" t="s">
        <v>531</v>
      </c>
      <c r="E10" s="307">
        <f>Scenarios!F34</f>
        <v>0.20532122001811634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3.8978478955831006</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2.2903031954036961</v>
      </c>
      <c r="D22" s="38" t="s">
        <v>408</v>
      </c>
      <c r="E22" s="79">
        <v>0.29465259038036606</v>
      </c>
    </row>
    <row r="23" spans="1:6">
      <c r="B23" s="1" t="s">
        <v>313</v>
      </c>
      <c r="C23" s="259">
        <f>E141</f>
        <v>2.8195455541861039</v>
      </c>
      <c r="D23" s="38" t="s">
        <v>409</v>
      </c>
      <c r="E23" s="448">
        <v>0.20075184365903009</v>
      </c>
    </row>
    <row r="24" spans="1:6">
      <c r="B24" s="1" t="s">
        <v>315</v>
      </c>
      <c r="C24" s="259">
        <f>E144</f>
        <v>3.4452258335534998</v>
      </c>
      <c r="D24" s="38" t="s">
        <v>410</v>
      </c>
      <c r="E24" s="448">
        <v>0.1174</v>
      </c>
    </row>
    <row r="25" spans="1:6">
      <c r="B25" s="1" t="s">
        <v>314</v>
      </c>
      <c r="C25" s="259">
        <f>E145</f>
        <v>3.864947713995857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1432063.1874217824</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10905.469630734653</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8284.8496307346541</v>
      </c>
      <c r="D46" s="1" t="str">
        <f>Reporting_currency</f>
        <v>HKD</v>
      </c>
    </row>
    <row r="48" spans="2:6">
      <c r="B48" s="1" t="s">
        <v>211</v>
      </c>
    </row>
    <row r="49" spans="2:6">
      <c r="B49" s="44" t="s">
        <v>223</v>
      </c>
      <c r="C49" s="289">
        <f>Normalized_FCF!C13</f>
        <v>-261314.97537104544</v>
      </c>
      <c r="D49" s="1" t="str">
        <f>Reporting_currency</f>
        <v>HKD</v>
      </c>
    </row>
    <row r="51" spans="2:6">
      <c r="B51" s="459" t="s">
        <v>206</v>
      </c>
      <c r="C51" s="459"/>
      <c r="D51" s="459"/>
      <c r="E51" s="459"/>
      <c r="F51" s="459"/>
    </row>
    <row r="52" spans="2:6">
      <c r="B52" s="44" t="s">
        <v>204</v>
      </c>
      <c r="C52" s="289">
        <f>Normalized_FCF!C12</f>
        <v>-360087.00926312926</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1269297.3813067987</v>
      </c>
      <c r="D60" s="1" t="str">
        <f>Reporting_currency</f>
        <v>HKD</v>
      </c>
    </row>
    <row r="61" spans="2:6">
      <c r="B61" s="44" t="s">
        <v>213</v>
      </c>
      <c r="C61" s="289">
        <f>Normalized_FCF!C19</f>
        <v>818946.05241834244</v>
      </c>
      <c r="D61" s="1" t="str">
        <f>Reporting_currency</f>
        <v>HKD</v>
      </c>
    </row>
    <row r="62" spans="2:6">
      <c r="B62" s="204" t="s">
        <v>302</v>
      </c>
      <c r="C62" s="89">
        <f>Normalized_FCF!C124</f>
        <v>5.7655717742966989E-2</v>
      </c>
      <c r="F62" s="260"/>
    </row>
    <row r="63" spans="2:6">
      <c r="B63" s="204" t="s">
        <v>332</v>
      </c>
      <c r="C63" s="89">
        <f>Normalized_FCF!C92</f>
        <v>9.6774193548387108E-2</v>
      </c>
      <c r="E63" s="44" t="s">
        <v>322</v>
      </c>
      <c r="F63" s="261">
        <f>Normalized_FCF!C90</f>
        <v>1.8649821028990061</v>
      </c>
    </row>
    <row r="65" spans="1:6">
      <c r="B65" s="192" t="s">
        <v>325</v>
      </c>
      <c r="C65" s="267" t="s">
        <v>327</v>
      </c>
      <c r="D65" s="267" t="s">
        <v>328</v>
      </c>
    </row>
    <row r="66" spans="1:6">
      <c r="B66" s="44" t="s">
        <v>326</v>
      </c>
      <c r="C66" s="89">
        <f>Normalized_FCF!C119</f>
        <v>7.6203822690338374E-2</v>
      </c>
      <c r="D66" s="89">
        <f>Normalized_FCF!G119</f>
        <v>0.12174472741716588</v>
      </c>
    </row>
    <row r="67" spans="1:6">
      <c r="B67" s="229" t="str">
        <f>Normalized_FCF!B116</f>
        <v>Pre-tax Profit/Sales</v>
      </c>
      <c r="C67" s="266">
        <f>Normalized_FCF!C116</f>
        <v>0.40688947062135006</v>
      </c>
      <c r="D67" s="266">
        <f>Normalized_FCF!G116</f>
        <v>0.45503824032169243</v>
      </c>
    </row>
    <row r="68" spans="1:6">
      <c r="B68" s="229" t="str">
        <f>Normalized_FCF!B117</f>
        <v>Sales/Total Assets</v>
      </c>
      <c r="C68" s="268">
        <f>Normalized_FCF!C117</f>
        <v>0.1542519195864642</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3.0499352531108609E-2</v>
      </c>
    </row>
    <row r="82" spans="1:6">
      <c r="A82" s="191"/>
    </row>
    <row r="83" spans="1:6">
      <c r="A83" s="191"/>
      <c r="B83" s="1" t="s">
        <v>469</v>
      </c>
    </row>
    <row r="84" spans="1:6">
      <c r="A84" s="191"/>
      <c r="B84" s="1" t="s">
        <v>224</v>
      </c>
      <c r="C84" s="289">
        <f>DCF!F5</f>
        <v>8300850.7282108907</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1.6304740703066758</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1.6736546556559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3.8924057246611126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DCF!B82&amp;" ("&amp;DCF!D82&amp;"yrs)"</f>
        <v>Snowball Scenario (5yrs)</v>
      </c>
      <c r="C118" s="206">
        <f>DCF!C82</f>
        <v>-0.04</v>
      </c>
      <c r="D118" s="207" t="str">
        <f>ROUND(DCF!E82,2)&amp;" "&amp;Market_currency</f>
        <v>3.54 HKD</v>
      </c>
      <c r="E118" s="208">
        <f>DCF!F82</f>
        <v>0.05</v>
      </c>
      <c r="F118" s="208">
        <f>RATE(Holding_Period,Scenarios!C$58,-DCF!E82,C$18)</f>
        <v>0.10715106332724116</v>
      </c>
    </row>
    <row r="119" spans="2:6">
      <c r="B119" s="205" t="str">
        <f>DCF!B83&amp;" ("&amp;DCF!D83&amp;"yrs)"</f>
        <v>Optimistic (5yrs)</v>
      </c>
      <c r="C119" s="198">
        <f>DCF!C83</f>
        <v>0.02</v>
      </c>
      <c r="D119" s="207" t="str">
        <f>ROUND(DCF!E83,2)&amp;" "&amp;Market_currency</f>
        <v>4.09 HKD</v>
      </c>
      <c r="E119" s="199">
        <f>DCF!F83</f>
        <v>0.18</v>
      </c>
      <c r="F119" s="208">
        <f>RATE(Holding_Period,Scenarios!C$58,-DCF!E83,C$18)</f>
        <v>5.0939507115417983E-2</v>
      </c>
    </row>
    <row r="120" spans="2:6">
      <c r="B120" s="205" t="str">
        <f>DCF!B84&amp;" ("&amp;DCF!D84&amp;"yrs)"</f>
        <v>Base (5yrs)</v>
      </c>
      <c r="C120" s="198">
        <f>DCF!C84</f>
        <v>0</v>
      </c>
      <c r="D120" s="207" t="str">
        <f>ROUND(DCF!E84,2)&amp;" "&amp;Market_currency</f>
        <v>3.89 HKD</v>
      </c>
      <c r="E120" s="199">
        <f>DCF!F84</f>
        <v>0.53999999999999992</v>
      </c>
      <c r="F120" s="208">
        <f>RATE(Holding_Period,Scenarios!C$58,-DCF!E84,C$18)</f>
        <v>6.980082368188234E-2</v>
      </c>
    </row>
    <row r="121" spans="2:6">
      <c r="B121" s="205" t="str">
        <f>DCF!B85&amp;" ("&amp;DCF!D85&amp;"yrs)"</f>
        <v>Pessimistic (5yrs)</v>
      </c>
      <c r="C121" s="198">
        <f>DCF!C85</f>
        <v>-0.02</v>
      </c>
      <c r="D121" s="207" t="str">
        <f>ROUND(DCF!E85,2)&amp;" "&amp;Market_currency</f>
        <v>3.71 HKD</v>
      </c>
      <c r="E121" s="199">
        <f>DCF!F85</f>
        <v>0.18</v>
      </c>
      <c r="F121" s="208">
        <f>RATE(Holding_Period,Scenarios!C$58,-DCF!E85,C$18)</f>
        <v>8.8556107900278125E-2</v>
      </c>
    </row>
    <row r="122" spans="2:6">
      <c r="B122" s="205" t="str">
        <f>DCF!B86&amp;" ("&amp;DCF!D86&amp;"yrs)"</f>
        <v>Devil's advocate (5yrs)</v>
      </c>
      <c r="C122" s="198">
        <f>DCF!C86</f>
        <v>0.04</v>
      </c>
      <c r="D122" s="207" t="str">
        <f>ROUND(DCF!E86,2)&amp;" "&amp;Market_currency</f>
        <v>4.31 HKD</v>
      </c>
      <c r="E122" s="199">
        <f>DCF!F86</f>
        <v>0.05</v>
      </c>
      <c r="F122" s="208">
        <f>RATE(Holding_Period,Scenarios!C$58,-DCF!E86,C$18)</f>
        <v>3.2024332851919662E-2</v>
      </c>
    </row>
    <row r="124" spans="2:6">
      <c r="B124" s="459" t="s">
        <v>357</v>
      </c>
      <c r="C124" s="459"/>
      <c r="D124" s="459"/>
      <c r="E124" s="459"/>
      <c r="F124" s="459"/>
    </row>
    <row r="125" spans="2:6">
      <c r="B125" s="193" t="s">
        <v>218</v>
      </c>
      <c r="C125" s="197">
        <f>Scenarios!C36</f>
        <v>3.8978478955831006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1.7962432698539639</v>
      </c>
      <c r="E140" s="338">
        <f>Scenarios!E62</f>
        <v>2.2903031954036961</v>
      </c>
      <c r="F140" s="339">
        <f>E22</f>
        <v>0.29465259038036606</v>
      </c>
    </row>
    <row r="141" spans="1:6">
      <c r="B141" s="340" t="s">
        <v>313</v>
      </c>
      <c r="C141" s="337">
        <f>Scenarios!C63</f>
        <v>0.56808106576265116</v>
      </c>
      <c r="D141" s="337">
        <f>Scenarios!D63</f>
        <v>2.2514644884234527</v>
      </c>
      <c r="E141" s="338">
        <f>Scenarios!E63</f>
        <v>2.8195455541861039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2.7938229895500646</v>
      </c>
      <c r="E144" s="338">
        <f>Scenarios!E66</f>
        <v>3.4452258335534998</v>
      </c>
      <c r="F144" s="339">
        <f>E24</f>
        <v>0.1174</v>
      </c>
    </row>
    <row r="145" spans="1:6">
      <c r="B145" s="340" t="s">
        <v>314</v>
      </c>
      <c r="C145" s="337">
        <f>Scenarios!C67</f>
        <v>0.7053413113367144</v>
      </c>
      <c r="D145" s="337">
        <f>Scenarios!D67</f>
        <v>3.1596064026591426</v>
      </c>
      <c r="E145" s="338">
        <f>Scenarios!E67</f>
        <v>3.864947713995857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3.0499352531108609E-2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0.11557091955785925</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8300850.7282108907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-302929.71196485148</v>
      </c>
      <c r="F73" s="1" t="s">
        <v>278</v>
      </c>
    </row>
    <row r="74" spans="2:6" ht="15" customHeight="1">
      <c r="B74" s="227" t="s">
        <v>259</v>
      </c>
      <c r="C74" s="228">
        <f>-$C$66/C73</f>
        <v>28.139337192930078</v>
      </c>
      <c r="D74" s="228">
        <f>-$C$66/D73</f>
        <v>33.401903479094941</v>
      </c>
      <c r="F74" s="223" t="s">
        <v>257</v>
      </c>
    </row>
    <row r="75" spans="2:6" ht="15" customHeight="1">
      <c r="B75" s="77" t="s">
        <v>258</v>
      </c>
      <c r="C75" s="264"/>
      <c r="D75" s="265">
        <f>MAX(-D73*D76,G5)</f>
        <v>1817578.2717891089</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8300850.7282108907</v>
      </c>
      <c r="D87" s="201">
        <f>C87*scaling_factor/Common_Shares</f>
        <v>1.6304740703066758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8608039.9282108899</v>
      </c>
      <c r="D89" s="216">
        <f>SUM(D86:D88)</f>
        <v>1.6908129490165456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G4*0.7</f>
        <v>3539900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-1898937.8125782176</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1640962.1874217824</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1432063.1874217824</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8284.8496307346541</v>
      </c>
      <c r="E10" s="238"/>
      <c r="G10" s="270">
        <f>G48</f>
        <v>31805.381306798692</v>
      </c>
      <c r="H10" s="270">
        <f t="shared" ref="H10:Q10" si="6">H48</f>
        <v>28269.677520879704</v>
      </c>
      <c r="I10" s="270">
        <f t="shared" si="6"/>
        <v>17872.496746841287</v>
      </c>
      <c r="J10" s="270">
        <f t="shared" si="6"/>
        <v>11223.329631461824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1440348.0370525171</v>
      </c>
      <c r="E11" s="238"/>
      <c r="G11" s="271">
        <f t="shared" ref="G11:Q11" si="7">IF(G$4="","",SUM(G8:G10))</f>
        <v>2301128.3813067987</v>
      </c>
      <c r="H11" s="271">
        <f t="shared" si="7"/>
        <v>3078439.6775208795</v>
      </c>
      <c r="I11" s="271">
        <f t="shared" si="7"/>
        <v>4751142.4967468409</v>
      </c>
      <c r="J11" s="271">
        <f t="shared" si="7"/>
        <v>3928153.3296314618</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-360087.00926312926</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-261314.97537104544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818946.05241834244</v>
      </c>
      <c r="D14" s="58"/>
      <c r="E14" s="246"/>
      <c r="F14" s="58"/>
      <c r="G14" s="271">
        <f t="shared" ref="G14:Q14" si="8">IF(G$4="","",SUM(G11:G13))</f>
        <v>1269297.3813067987</v>
      </c>
      <c r="H14" s="271">
        <f t="shared" si="8"/>
        <v>1748769.6775208795</v>
      </c>
      <c r="I14" s="271">
        <f t="shared" si="8"/>
        <v>2840623.4967468409</v>
      </c>
      <c r="J14" s="271">
        <f t="shared" si="8"/>
        <v>2334489.3296314618</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818946.05241834244</v>
      </c>
      <c r="D19" s="26"/>
      <c r="E19" s="235"/>
      <c r="F19" s="26"/>
      <c r="G19" s="275">
        <f t="shared" ref="G19:Q19" si="9">IF(G$4="","",G14+G17)</f>
        <v>1269297.3813067987</v>
      </c>
      <c r="H19" s="275">
        <f t="shared" si="9"/>
        <v>1748769.6775208795</v>
      </c>
      <c r="I19" s="275">
        <f t="shared" si="9"/>
        <v>2840623.4967468409</v>
      </c>
      <c r="J19" s="275">
        <f t="shared" si="9"/>
        <v>2334489.3296314618</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-1776157.5867924478</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-122780.22578576983</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-1898937.8125782176</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5.9012683974123563E-2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10905.469630734653</v>
      </c>
      <c r="E46" s="238"/>
      <c r="G46" s="278">
        <f t="shared" ref="G46:Q46" si="17">IFERROR(IF(G$4="","",($C$46/$C$47)*G47),0)</f>
        <v>33551.381306798692</v>
      </c>
      <c r="H46" s="278">
        <f t="shared" si="17"/>
        <v>31190.677520879704</v>
      </c>
      <c r="I46" s="278">
        <f t="shared" si="17"/>
        <v>19232.496746841287</v>
      </c>
      <c r="J46" s="278">
        <f t="shared" si="17"/>
        <v>12498.329631461824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8284.8496307346541</v>
      </c>
      <c r="E48" s="238"/>
      <c r="G48" s="271">
        <f>IF(G$4="","",(G45+G46))</f>
        <v>31805.381306798692</v>
      </c>
      <c r="H48" s="271">
        <f t="shared" ref="H48:Q48" si="18">IF(H$4="","",(H45+H46))</f>
        <v>28269.677520879704</v>
      </c>
      <c r="I48" s="271">
        <f t="shared" si="18"/>
        <v>17872.496746841287</v>
      </c>
      <c r="J48" s="271">
        <f t="shared" si="18"/>
        <v>11223.329631461824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5"/>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5"/>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5"/>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5"/>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38"/>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9.6774193548387108E-2</v>
      </c>
      <c r="E92" s="238"/>
      <c r="G92" s="22">
        <f t="shared" ref="G92:Q92" si="38">IF(G$4="","",(G88*(1-dividend_tax_rate))/Market_Price)</f>
        <v>9.6774193548387108E-2</v>
      </c>
      <c r="H92" s="22">
        <f t="shared" si="38"/>
        <v>9.0322580645161313E-2</v>
      </c>
      <c r="I92" s="22">
        <f t="shared" si="38"/>
        <v>0.13870967741935486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-0.30000000000000004</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5"/>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1.8670754662395257</v>
      </c>
      <c r="H113" s="254">
        <f>IF(H$4="","",Data!D$22/H19)</f>
        <v>2.5978326696745682</v>
      </c>
      <c r="I113" s="254">
        <f>IF(I$4="","",Data!E$22/I19)</f>
        <v>1.3544793966558177</v>
      </c>
      <c r="J113" s="254">
        <f>IF(J$4="","",Data!F$22/J19)</f>
        <v>1.652647947895767</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38"/>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1"/>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5"/>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5.7655717742966989E-2</v>
      </c>
      <c r="D124" s="26"/>
      <c r="E124" s="235"/>
      <c r="F124" s="26"/>
      <c r="G124" s="74">
        <f t="shared" ref="G124" si="49">IF(G$4="","",G123/Market_Price)</f>
        <v>8.9361504744305445E-2</v>
      </c>
      <c r="H124" s="74">
        <f t="shared" ref="H124" si="50">IF(H$4="","",H123/Market_Price)</f>
        <v>0.123117475964214</v>
      </c>
      <c r="I124" s="74">
        <f t="shared" ref="I124" si="51">IF(I$4="","",I123/Market_Price)</f>
        <v>0.1999865388676578</v>
      </c>
      <c r="J124" s="74">
        <f t="shared" ref="J124" si="52">IF(J$4="","",J123/Market_Price)</f>
        <v>0.1643535095696923</v>
      </c>
      <c r="K124" s="74">
        <f t="shared" ref="K124" si="53">IF(K$4="","",K123/Market_Price)</f>
        <v>5.9006594136556047E-2</v>
      </c>
      <c r="L124" s="74">
        <f t="shared" ref="L124" si="54">IF(L$4="","",L123/Market_Price)</f>
        <v>7.4908018472823565E-2</v>
      </c>
      <c r="M124" s="74">
        <f t="shared" ref="M124" si="55">IF(M$4="","",M123/Market_Price)</f>
        <v>6.669558560883132E-2</v>
      </c>
      <c r="N124" s="74">
        <f t="shared" ref="N124" si="56">IF(N$4="","",N123/Market_Price)</f>
        <v>6.3345419897164509E-2</v>
      </c>
      <c r="O124" s="74">
        <f t="shared" ref="O124" si="57">IF(O$4="","",O123/Market_Price)</f>
        <v>1.1213402973383852E-2</v>
      </c>
      <c r="P124" s="74">
        <f t="shared" ref="P124" si="58">IF(P$4="","",P123/Market_Price)</f>
        <v>4.8576205979402988E-3</v>
      </c>
      <c r="Q124" s="74" t="str">
        <f t="shared" ref="Q124" si="59">IF(Q$4="","",Q123/Market_Price)</f>
        <v/>
      </c>
    </row>
    <row r="125" spans="1:17" ht="15.75" customHeight="1">
      <c r="B125" s="2" t="s">
        <v>306</v>
      </c>
      <c r="C125" s="151"/>
      <c r="G125" s="22">
        <f>IF(G$4="","",(Data!C47*$C$3)/(Market_Price*Common_Shares))</f>
        <v>0.12777848553214144</v>
      </c>
      <c r="H125" s="22">
        <f>IF(H$4="","",(Data!D47*$C$3)/(Market_Price*Common_Shares))</f>
        <v>0.16199141748142781</v>
      </c>
      <c r="I125" s="22">
        <f>IF(I$4="","",(Data!E47*$C$3)/(Market_Price*Common_Shares))</f>
        <v>0.23290185033159208</v>
      </c>
      <c r="J125" s="22">
        <f>IF(J$4="","",(Data!F47*$C$3)/(Market_Price*Common_Shares))</f>
        <v>0.21548966219911017</v>
      </c>
      <c r="K125" s="22">
        <f>IF(K$4="","",(Data!G47*$C$3)/(Market_Price*Common_Shares))</f>
        <v>8.3587500454858868E-2</v>
      </c>
      <c r="L125" s="22">
        <f>IF(L$4="","",(Data!H47*$C$3)/(Market_Price*Common_Shares))</f>
        <v>8.2803077591844715E-2</v>
      </c>
      <c r="M125" s="22">
        <f>IF(M$4="","",(Data!I47*$C$3)/(Market_Price*Common_Shares))</f>
        <v>8.1098425753560577E-2</v>
      </c>
      <c r="N125" s="22">
        <f>IF(N$4="","",(Data!J47*$C$3)/(Market_Price*Common_Shares))</f>
        <v>8.3256679863106628E-2</v>
      </c>
      <c r="O125" s="22">
        <f>IF(O$4="","",(Data!K47*$C$3)/(Market_Price*Common_Shares))</f>
        <v>4.7631406587763251E-3</v>
      </c>
      <c r="P125" s="22">
        <f>IF(P$4="","",(Data!L47*$C$3)/(Market_Price*Common_Shares))</f>
        <v>-5.0089504259827451E-2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818946.05241834244</v>
      </c>
      <c r="D4" t="str">
        <f>Reporting_currency</f>
        <v>HKD</v>
      </c>
      <c r="E4" s="135" t="s">
        <v>434</v>
      </c>
      <c r="F4" s="279">
        <f>-BS!G31</f>
        <v>-43677</v>
      </c>
      <c r="G4" t="str">
        <f>Reporting_currency</f>
        <v>HKD</v>
      </c>
      <c r="H4" s="312" t="s">
        <v>394</v>
      </c>
      <c r="I4" s="309">
        <f>Normalized_FCF!C4</f>
        <v>3539900</v>
      </c>
      <c r="J4" s="309"/>
    </row>
    <row r="5" spans="2:15">
      <c r="B5" s="187" t="s">
        <v>105</v>
      </c>
      <c r="C5" s="188">
        <f>Equity_Cost</f>
        <v>7.2499999999999995E-2</v>
      </c>
      <c r="E5" s="135" t="s">
        <v>435</v>
      </c>
      <c r="F5" s="279">
        <f>BS!D66</f>
        <v>8300850.7282108907</v>
      </c>
      <c r="G5" t="str">
        <f>Reporting_currency</f>
        <v>HKD</v>
      </c>
      <c r="H5" s="312" t="s">
        <v>396</v>
      </c>
      <c r="I5" s="309">
        <f>Normalized_FCF!C7</f>
        <v>-208899</v>
      </c>
      <c r="J5" s="309"/>
    </row>
    <row r="6" spans="2:15" ht="13.25" customHeight="1">
      <c r="B6" s="136" t="s">
        <v>194</v>
      </c>
      <c r="C6" s="287">
        <f>(C4*(1+Terminal_Growth))/(Equity_Cost-Terminal_Growth)</f>
        <v>11295807.619563345</v>
      </c>
      <c r="D6" t="str">
        <f>Reporting_currency</f>
        <v>HKD</v>
      </c>
      <c r="E6" s="187" t="s">
        <v>436</v>
      </c>
      <c r="F6" s="288">
        <f>BS!H42</f>
        <v>263512.2</v>
      </c>
      <c r="G6" t="str">
        <f>Reporting_currency</f>
        <v>HKD</v>
      </c>
      <c r="H6" s="312" t="s">
        <v>418</v>
      </c>
      <c r="I6" s="309">
        <f>I7+I8</f>
        <v>8284.8496307346541</v>
      </c>
      <c r="J6" s="309"/>
      <c r="N6" s="135"/>
    </row>
    <row r="7" spans="2:15" ht="12.75" customHeight="1">
      <c r="B7" s="322" t="s">
        <v>433</v>
      </c>
      <c r="C7" s="279">
        <f>F7</f>
        <v>8520685.9282108899</v>
      </c>
      <c r="E7" s="140" t="s">
        <v>427</v>
      </c>
      <c r="F7" s="287">
        <f>SUM(F4:F6)</f>
        <v>8520685.9282108899</v>
      </c>
      <c r="G7" t="str">
        <f>Reporting_currency</f>
        <v>HKD</v>
      </c>
      <c r="H7" s="316" t="s">
        <v>419</v>
      </c>
      <c r="I7" s="317">
        <f>Normalized_FCF!C9</f>
        <v>0</v>
      </c>
      <c r="J7" s="317"/>
      <c r="N7" s="308"/>
      <c r="O7" s="308"/>
    </row>
    <row r="8" spans="2:15" ht="13.15">
      <c r="B8" s="136" t="s">
        <v>429</v>
      </c>
      <c r="C8" s="287">
        <f>C6+C7</f>
        <v>19816493.547774233</v>
      </c>
      <c r="D8" t="str">
        <f>Reporting_currency</f>
        <v>HKD</v>
      </c>
      <c r="E8" s="140" t="s">
        <v>467</v>
      </c>
      <c r="F8" s="108">
        <f>FV_adjustments*scaling_factor/Common_Shares*Exchange_Rate</f>
        <v>1.6736546556559</v>
      </c>
      <c r="G8" s="298" t="str">
        <f>Market_currency</f>
        <v>HKD</v>
      </c>
      <c r="H8" s="318" t="str">
        <f>Normalized_FCF!B10</f>
        <v>Net Interest Income</v>
      </c>
      <c r="I8" s="317">
        <f>Normalized_FCF!C10</f>
        <v>8284.8496307346541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19816493.547774233</v>
      </c>
      <c r="D10" t="str">
        <f>Market_currency</f>
        <v>HKD</v>
      </c>
      <c r="H10" s="312" t="s">
        <v>398</v>
      </c>
      <c r="I10" s="310">
        <f>Normalized_FCF!C41</f>
        <v>0.25</v>
      </c>
      <c r="N10" s="308"/>
      <c r="O10" s="308"/>
    </row>
    <row r="11" spans="2:15" ht="13.15">
      <c r="B11" s="136" t="s">
        <v>428</v>
      </c>
      <c r="C11" s="108">
        <f>(C10*scaling_factor)/Common_Shares</f>
        <v>3.8924057246611126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3.904939886383807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3544501.87</v>
      </c>
      <c r="D21" s="303">
        <f t="shared" ref="D21:D50" si="1">IF(A21="",0,IF(A21="I",$C$16,$F$16))</f>
        <v>1.2999999999999999E-3</v>
      </c>
      <c r="E21" s="303">
        <f>$C$17</f>
        <v>0.53643826452109311</v>
      </c>
      <c r="F21" s="281">
        <f>I5*(1+D21)</f>
        <v>-209170.5687</v>
      </c>
      <c r="G21" s="281">
        <f>C21*(1-E21)+F21+$I$6</f>
        <v>1442209.7191961657</v>
      </c>
      <c r="H21" s="303">
        <f t="shared" ref="H21:H50" si="2">IF(A21="",0%,IF(A21="I",$C$18,$F$18))</f>
        <v>0</v>
      </c>
      <c r="I21" s="281">
        <f>(G21*(1-$I$10)+C21*(H21-$I$9))</f>
        <v>820002.60455809638</v>
      </c>
      <c r="J21" s="303">
        <f>I21/C4-1</f>
        <v>1.2901364340593968E-3</v>
      </c>
      <c r="K21" s="119">
        <f t="shared" ref="K21:K50" si="3">IF($C$15&lt;B21,0,1/(1+Equity_Cost)^B21)</f>
        <v>0.93240093240093236</v>
      </c>
      <c r="L21" s="281">
        <f t="shared" ref="L21:L50" si="4">I21*K21</f>
        <v>764571.19306116214</v>
      </c>
    </row>
    <row r="22" spans="1:21">
      <c r="A22" s="306" t="str">
        <f t="shared" si="0"/>
        <v>I</v>
      </c>
      <c r="B22" s="117">
        <v>2</v>
      </c>
      <c r="C22" s="281">
        <f t="shared" ref="C22:C50" si="5">IF(A22="",0,C21*(1+D22))</f>
        <v>3549109.7224310003</v>
      </c>
      <c r="D22" s="303">
        <f t="shared" si="1"/>
        <v>1.2999999999999999E-3</v>
      </c>
      <c r="E22" s="303">
        <f t="shared" ref="E22:E50" si="6">IF($C$15&lt;B22,0,IF(B22&gt;=$F$15,$F$17,$C$17))</f>
        <v>0.53643826452109311</v>
      </c>
      <c r="F22" s="281">
        <f t="shared" ref="F22:F50" si="7">IF(A22="",0,F21*(1+D22))</f>
        <v>-209442.49043931003</v>
      </c>
      <c r="G22" s="281">
        <f t="shared" ref="G22:G50" si="8">IF(A22="", 0,C22*(1-E22)+F22+$I$6)</f>
        <v>1444073.8215266007</v>
      </c>
      <c r="H22" s="303">
        <f t="shared" si="2"/>
        <v>0</v>
      </c>
      <c r="I22" s="281">
        <f>IF(A22="", 0,G22*(1-$I$10)+C22*(H22-$I$9))</f>
        <v>821060.53021563194</v>
      </c>
      <c r="J22" s="303">
        <f>IF(A22="", 0,I22/I21-1)</f>
        <v>1.2901491430086232E-3</v>
      </c>
      <c r="K22" s="119">
        <f t="shared" si="3"/>
        <v>0.86937149874212816</v>
      </c>
      <c r="L22" s="281">
        <f t="shared" si="4"/>
        <v>713806.62371157028</v>
      </c>
    </row>
    <row r="23" spans="1:21">
      <c r="A23" s="306" t="str">
        <f t="shared" si="0"/>
        <v>I</v>
      </c>
      <c r="B23" s="117">
        <v>3</v>
      </c>
      <c r="C23" s="281">
        <f t="shared" si="5"/>
        <v>3553723.5650701611</v>
      </c>
      <c r="D23" s="303">
        <f t="shared" si="1"/>
        <v>1.2999999999999999E-3</v>
      </c>
      <c r="E23" s="303">
        <f t="shared" si="6"/>
        <v>0.53643826452109311</v>
      </c>
      <c r="F23" s="281">
        <f t="shared" si="7"/>
        <v>-209714.76567688116</v>
      </c>
      <c r="G23" s="281">
        <f t="shared" si="8"/>
        <v>1445940.3471900655</v>
      </c>
      <c r="H23" s="303">
        <f t="shared" si="2"/>
        <v>0</v>
      </c>
      <c r="I23" s="281">
        <f t="shared" ref="I23:I50" si="9">IF(A23="", 0,G23*(1-$I$10)+C23*(H23-$I$9))</f>
        <v>822119.83117652242</v>
      </c>
      <c r="J23" s="303">
        <f t="shared" ref="J23:J50" si="10">IF(A23="", 0,I23/I22-1)</f>
        <v>1.2901618357081812E-3</v>
      </c>
      <c r="K23" s="119">
        <f t="shared" si="3"/>
        <v>0.81060279602995633</v>
      </c>
      <c r="L23" s="281">
        <f t="shared" si="4"/>
        <v>666412.63382336474</v>
      </c>
      <c r="N23" s="279"/>
      <c r="O23" s="279"/>
      <c r="P23" s="279"/>
      <c r="Q23" s="279"/>
      <c r="R23" s="279"/>
      <c r="S23" s="279"/>
      <c r="T23" s="279"/>
      <c r="U23" s="279"/>
    </row>
    <row r="24" spans="1:21">
      <c r="A24" s="306" t="str">
        <f t="shared" si="0"/>
        <v>I</v>
      </c>
      <c r="B24" s="117">
        <v>4</v>
      </c>
      <c r="C24" s="281">
        <f t="shared" si="5"/>
        <v>3558343.4057047525</v>
      </c>
      <c r="D24" s="303">
        <f t="shared" si="1"/>
        <v>1.2999999999999999E-3</v>
      </c>
      <c r="E24" s="303">
        <f t="shared" si="6"/>
        <v>0.53643826452109311</v>
      </c>
      <c r="F24" s="281">
        <f t="shared" si="7"/>
        <v>-209987.39487226112</v>
      </c>
      <c r="G24" s="281">
        <f t="shared" si="8"/>
        <v>1447809.2993368926</v>
      </c>
      <c r="H24" s="303">
        <f t="shared" si="2"/>
        <v>0</v>
      </c>
      <c r="I24" s="281">
        <f t="shared" si="9"/>
        <v>823180.50922866189</v>
      </c>
      <c r="J24" s="303">
        <f t="shared" si="10"/>
        <v>1.2901745121773889E-3</v>
      </c>
      <c r="K24" s="119">
        <f t="shared" si="3"/>
        <v>0.75580680282513402</v>
      </c>
      <c r="L24" s="281">
        <f t="shared" si="4"/>
        <v>622165.42882808065</v>
      </c>
      <c r="N24" s="279"/>
      <c r="O24" s="279"/>
      <c r="P24" s="279"/>
      <c r="Q24" s="279"/>
      <c r="R24" s="279"/>
      <c r="S24" s="279"/>
      <c r="T24" s="279"/>
      <c r="U24" s="279"/>
    </row>
    <row r="25" spans="1:21">
      <c r="A25" s="306" t="str">
        <f t="shared" si="0"/>
        <v>I</v>
      </c>
      <c r="B25" s="117">
        <v>5</v>
      </c>
      <c r="C25" s="281">
        <f t="shared" si="5"/>
        <v>3562969.252132169</v>
      </c>
      <c r="D25" s="303">
        <f t="shared" si="1"/>
        <v>1.2999999999999999E-3</v>
      </c>
      <c r="E25" s="303">
        <f t="shared" si="6"/>
        <v>0.53643826452109311</v>
      </c>
      <c r="F25" s="281">
        <f t="shared" si="7"/>
        <v>-210260.37848559508</v>
      </c>
      <c r="G25" s="281">
        <f t="shared" si="8"/>
        <v>1449680.6811215107</v>
      </c>
      <c r="H25" s="303">
        <f t="shared" si="2"/>
        <v>0</v>
      </c>
      <c r="I25" s="281">
        <f t="shared" si="9"/>
        <v>824242.56616226933</v>
      </c>
      <c r="J25" s="303">
        <f t="shared" si="10"/>
        <v>1.2901871724375624E-3</v>
      </c>
      <c r="K25" s="119">
        <f t="shared" si="3"/>
        <v>0.70471496766912267</v>
      </c>
      <c r="L25" s="281">
        <f t="shared" si="4"/>
        <v>580856.07336455828</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3562969.252132169</v>
      </c>
      <c r="D51" s="305">
        <f>Terminal_Growth</f>
        <v>0</v>
      </c>
      <c r="E51" s="305">
        <f>F17</f>
        <v>0.53643826452109311</v>
      </c>
      <c r="F51" s="281">
        <f>VLOOKUP(C15,B21:F50,5,FALSE)*(1+Terminal_Growth)</f>
        <v>-210260.37848559508</v>
      </c>
      <c r="G51" s="281">
        <f>C51*(1-E51)+F51+$I$6</f>
        <v>1449680.6811215107</v>
      </c>
      <c r="H51" s="303">
        <f>F18</f>
        <v>0</v>
      </c>
      <c r="I51" s="281">
        <f>(G51*(1-$I$10)+C51*(H51-$I$9))/Equity_Cost</f>
        <v>11368862.981548544</v>
      </c>
      <c r="J51" s="419">
        <f>(G51*(1-$I$10)+C51*(H51-$I$9))/VLOOKUP(C15,B21:I50,8,FALSE)-1</f>
        <v>0</v>
      </c>
      <c r="K51" s="119">
        <f>1/(1+Equity_Cost)^C15</f>
        <v>0.70471496766912267</v>
      </c>
      <c r="L51" s="281">
        <f>I51*K51</f>
        <v>8011807.9084766675</v>
      </c>
    </row>
    <row r="52" spans="1:21" ht="13.15">
      <c r="G52" s="111"/>
      <c r="H52" s="111"/>
      <c r="I52" s="111"/>
      <c r="J52" s="464" t="s">
        <v>423</v>
      </c>
      <c r="K52" s="464"/>
      <c r="L52" s="321">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299"/>
      <c r="H56" s="299"/>
      <c r="I56" s="299"/>
      <c r="J56" s="299"/>
      <c r="K56" s="299"/>
      <c r="L56" s="299"/>
    </row>
    <row r="57" spans="1:21" ht="13.15">
      <c r="A57" s="131">
        <v>6</v>
      </c>
      <c r="B57" s="118">
        <v>13790462.372784462</v>
      </c>
      <c r="C57" s="118">
        <v>10209376.339307094</v>
      </c>
      <c r="D57" s="118">
        <v>11295807.619563345</v>
      </c>
      <c r="E57" s="118">
        <v>12486753.883822102</v>
      </c>
      <c r="F57" s="118">
        <v>9219681.2543010656</v>
      </c>
      <c r="G57" s="299"/>
      <c r="H57" s="299"/>
      <c r="I57" s="299"/>
      <c r="J57" s="299"/>
      <c r="K57" s="299"/>
      <c r="L57" s="299"/>
    </row>
    <row r="58" spans="1:21" ht="13.15">
      <c r="A58" s="131">
        <v>7</v>
      </c>
      <c r="B58" s="118">
        <v>14163270.865344232</v>
      </c>
      <c r="C58" s="118">
        <v>10078875.826065771</v>
      </c>
      <c r="D58" s="118">
        <v>11295807.619563345</v>
      </c>
      <c r="E58" s="118">
        <v>12652657.860513419</v>
      </c>
      <c r="F58" s="118">
        <v>8989052.656018516</v>
      </c>
      <c r="G58" s="299"/>
      <c r="H58" s="299"/>
      <c r="I58" s="299"/>
      <c r="J58" s="299"/>
      <c r="K58" s="299"/>
      <c r="L58" s="299"/>
    </row>
    <row r="59" spans="1:21" ht="13.15">
      <c r="A59" s="131">
        <v>8</v>
      </c>
      <c r="B59" s="118">
        <v>14524782.130856736</v>
      </c>
      <c r="C59" s="118">
        <v>9959630.6018452607</v>
      </c>
      <c r="D59" s="118">
        <v>11295807.619563345</v>
      </c>
      <c r="E59" s="118">
        <v>12810440.663520545</v>
      </c>
      <c r="F59" s="118">
        <v>8782615.8687446229</v>
      </c>
      <c r="G59" s="299"/>
      <c r="H59" s="299"/>
      <c r="I59" s="299"/>
      <c r="J59" s="299"/>
      <c r="K59" s="299"/>
      <c r="L59" s="299"/>
    </row>
    <row r="60" spans="1:21" ht="13.15">
      <c r="A60" s="131">
        <v>9</v>
      </c>
      <c r="B60" s="118">
        <v>14875338.509535531</v>
      </c>
      <c r="C60" s="118">
        <v>9850669.9307626523</v>
      </c>
      <c r="D60" s="118">
        <v>11295807.619563345</v>
      </c>
      <c r="E60" s="118">
        <v>12960499.832814032</v>
      </c>
      <c r="F60" s="118">
        <v>8597833.2899260353</v>
      </c>
      <c r="G60" s="299"/>
      <c r="H60" s="299"/>
      <c r="I60" s="299"/>
      <c r="J60" s="299"/>
      <c r="K60" s="299"/>
      <c r="L60" s="299"/>
    </row>
    <row r="61" spans="1:21" ht="13.15">
      <c r="A61" s="131">
        <v>10</v>
      </c>
      <c r="B61" s="118">
        <v>15215271.967648303</v>
      </c>
      <c r="C61" s="118">
        <v>9751106.8000764437</v>
      </c>
      <c r="D61" s="118">
        <v>11295807.619563345</v>
      </c>
      <c r="E61" s="118">
        <v>13103213.448365884</v>
      </c>
      <c r="F61" s="118">
        <v>8432433.499095412</v>
      </c>
      <c r="G61" s="299"/>
      <c r="H61" s="299"/>
      <c r="I61" s="299"/>
      <c r="J61" s="299"/>
      <c r="K61" s="299"/>
      <c r="L61" s="299"/>
    </row>
    <row r="62" spans="1:21" ht="13.15">
      <c r="A62" s="131">
        <v>15</v>
      </c>
      <c r="B62" s="118">
        <v>16766526.912611295</v>
      </c>
      <c r="C62" s="281">
        <v>9368210.0171512663</v>
      </c>
      <c r="D62" s="118">
        <v>11295807.619563343</v>
      </c>
      <c r="E62" s="118">
        <v>13718585.009367097</v>
      </c>
      <c r="F62" s="118">
        <v>7832026.5693013482</v>
      </c>
      <c r="G62" s="299"/>
      <c r="H62" s="299"/>
      <c r="I62" s="299"/>
      <c r="J62" s="299"/>
      <c r="K62" s="299"/>
      <c r="L62" s="299"/>
      <c r="M62" s="279"/>
      <c r="N62" s="279"/>
      <c r="O62" s="279"/>
      <c r="P62" s="279"/>
      <c r="Q62" s="279"/>
      <c r="R62" s="279"/>
      <c r="S62" s="279"/>
      <c r="T62" s="279"/>
      <c r="U62" s="279"/>
    </row>
    <row r="63" spans="1:21" ht="13.15">
      <c r="A63" s="132">
        <v>20</v>
      </c>
      <c r="B63" s="118">
        <v>18096562.835986957</v>
      </c>
      <c r="C63" s="281">
        <v>9124302.2718200237</v>
      </c>
      <c r="D63" s="118">
        <v>11295807.619563343</v>
      </c>
      <c r="E63" s="118">
        <v>14197382.401493907</v>
      </c>
      <c r="F63" s="118">
        <v>7487029.5387304705</v>
      </c>
      <c r="G63" s="299"/>
      <c r="H63" s="299"/>
      <c r="I63" s="299"/>
      <c r="J63" s="299"/>
      <c r="K63" s="299"/>
      <c r="L63" s="299"/>
      <c r="M63" s="279"/>
      <c r="N63" s="279"/>
      <c r="O63" s="279"/>
      <c r="P63" s="279"/>
      <c r="Q63" s="279"/>
      <c r="R63" s="279"/>
      <c r="S63" s="279"/>
      <c r="T63" s="279"/>
      <c r="U63" s="279"/>
    </row>
    <row r="64" spans="1:21" ht="13.15">
      <c r="A64" s="132">
        <v>25</v>
      </c>
      <c r="B64" s="118">
        <v>19236927.005792685</v>
      </c>
      <c r="C64" s="281">
        <v>8968931.4489625301</v>
      </c>
      <c r="D64" s="118">
        <v>11295807.619563343</v>
      </c>
      <c r="E64" s="118">
        <v>14569916.586100113</v>
      </c>
      <c r="F64" s="118">
        <v>7288792.4012218369</v>
      </c>
      <c r="G64" s="299"/>
      <c r="H64" s="299"/>
      <c r="I64" s="299"/>
      <c r="J64" s="299"/>
      <c r="K64" s="299"/>
      <c r="L64" s="299"/>
      <c r="M64" s="279"/>
      <c r="N64" s="279"/>
      <c r="O64" s="279"/>
      <c r="P64" s="279"/>
      <c r="Q64" s="279"/>
      <c r="R64" s="279"/>
      <c r="S64" s="279"/>
      <c r="T64" s="279"/>
      <c r="U64" s="279"/>
    </row>
    <row r="65" spans="1:21" ht="13.15">
      <c r="A65" s="132">
        <v>30</v>
      </c>
      <c r="B65" s="118">
        <v>20214667.844909411</v>
      </c>
      <c r="C65" s="281">
        <v>8869959.2225470487</v>
      </c>
      <c r="D65" s="118">
        <v>11295807.619563343</v>
      </c>
      <c r="E65" s="118">
        <v>14859771.3785077</v>
      </c>
      <c r="F65" s="118">
        <v>7174884.2825850211</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0"/>
      <c r="H69" s="300"/>
      <c r="I69" s="300"/>
      <c r="J69" s="300"/>
      <c r="K69" s="300"/>
      <c r="L69" s="300"/>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0"/>
      <c r="H70" s="300"/>
      <c r="I70" s="300"/>
      <c r="J70" s="300"/>
      <c r="K70" s="300"/>
      <c r="L70" s="300"/>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0"/>
      <c r="H71" s="300"/>
      <c r="I71" s="300"/>
      <c r="J71" s="300"/>
      <c r="K71" s="300"/>
      <c r="L71" s="300"/>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0"/>
      <c r="H72" s="300"/>
      <c r="I72" s="300"/>
      <c r="J72" s="300"/>
      <c r="K72" s="300"/>
      <c r="L72" s="300"/>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0"/>
      <c r="H73" s="300"/>
      <c r="I73" s="300"/>
      <c r="J73" s="300"/>
      <c r="K73" s="300"/>
      <c r="L73" s="300"/>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0"/>
      <c r="H74" s="300"/>
      <c r="I74" s="300"/>
      <c r="J74" s="300"/>
      <c r="K74" s="300"/>
      <c r="L74" s="300"/>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0"/>
      <c r="H75" s="300"/>
      <c r="I75" s="300"/>
      <c r="J75" s="300"/>
      <c r="K75" s="300"/>
      <c r="L75" s="300"/>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0"/>
      <c r="H76" s="300"/>
      <c r="I76" s="300"/>
      <c r="J76" s="300"/>
      <c r="K76" s="300"/>
      <c r="L76" s="300"/>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0"/>
      <c r="H77" s="300"/>
      <c r="I77" s="300"/>
      <c r="J77" s="300"/>
      <c r="K77" s="300"/>
      <c r="L77" s="300"/>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0"/>
      <c r="H78" s="300"/>
      <c r="I78" s="300"/>
      <c r="J78" s="300"/>
      <c r="K78" s="300"/>
      <c r="L78" s="300"/>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0"/>
      <c r="H79" s="300"/>
      <c r="I79" s="300"/>
      <c r="J79" s="300"/>
      <c r="K79" s="300"/>
      <c r="L79" s="300"/>
    </row>
    <row r="81" spans="2:12" ht="13.15">
      <c r="B81" s="153" t="s">
        <v>101</v>
      </c>
      <c r="C81" s="153" t="s">
        <v>110</v>
      </c>
      <c r="D81" s="153" t="s">
        <v>99</v>
      </c>
      <c r="E81" s="154" t="s">
        <v>100</v>
      </c>
      <c r="F81" s="154" t="s">
        <v>460</v>
      </c>
      <c r="G81" s="327"/>
      <c r="H81" s="327"/>
      <c r="I81" s="327"/>
      <c r="J81" s="327"/>
      <c r="K81" s="327"/>
      <c r="L81" s="327"/>
    </row>
    <row r="82" spans="2:12">
      <c r="B82" s="120" t="str">
        <f>Scenarios!B29</f>
        <v>Snowball Scenario</v>
      </c>
      <c r="C82" s="130">
        <f>Scenarios!C29</f>
        <v>-0.04</v>
      </c>
      <c r="D82" s="133">
        <f>Scenarios!D29</f>
        <v>5</v>
      </c>
      <c r="E82" s="127">
        <f>INDEX(B$69:F$79, MATCH(D82, A$69:A$79, 0), MATCH(C82, B$68:F$68, 0))</f>
        <v>3.5352170611725846</v>
      </c>
      <c r="F82" s="130">
        <f>Scenarios!F29</f>
        <v>0.05</v>
      </c>
      <c r="G82" s="301"/>
      <c r="H82" s="301"/>
      <c r="I82" s="301"/>
      <c r="J82" s="301"/>
      <c r="K82" s="301"/>
      <c r="L82" s="301"/>
    </row>
    <row r="83" spans="2:12">
      <c r="B83" s="120" t="str">
        <f>Scenarios!B22</f>
        <v>Optimistic</v>
      </c>
      <c r="C83" s="130">
        <f>Scenarios!C22</f>
        <v>0.02</v>
      </c>
      <c r="D83" s="133">
        <f>Scenarios!D22</f>
        <v>5</v>
      </c>
      <c r="E83" s="127">
        <f>INDEX(B$69:F$79, MATCH(D83, A$69:A$79, 0), MATCH(C83, B$68:F$68, 0))</f>
        <v>4.0920698339496795</v>
      </c>
      <c r="F83" s="130">
        <f>Scenarios!F22*(1-F$82-F$86)</f>
        <v>0.18</v>
      </c>
      <c r="G83" s="301"/>
      <c r="H83" s="301"/>
      <c r="I83" s="301"/>
      <c r="J83" s="301"/>
      <c r="K83" s="301"/>
      <c r="L83" s="301"/>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1"/>
      <c r="H84" s="301"/>
      <c r="I84" s="301"/>
      <c r="J84" s="301"/>
      <c r="K84" s="301"/>
      <c r="L84" s="301"/>
    </row>
    <row r="85" spans="2:12">
      <c r="B85" s="120" t="str">
        <f>Scenarios!B24</f>
        <v>Pessimistic</v>
      </c>
      <c r="C85" s="130">
        <f>Scenarios!C24</f>
        <v>-0.02</v>
      </c>
      <c r="D85" s="133">
        <f>Scenarios!D24</f>
        <v>5</v>
      </c>
      <c r="E85" s="127">
        <f>INDEX(B$69:F$79, MATCH(D85, A$69:A$79, 0), MATCH(C85, B$68:F$68, 0))</f>
        <v>3.7070588524814561</v>
      </c>
      <c r="F85" s="130">
        <f>Scenarios!F24*(1-F$82-F$86)</f>
        <v>0.18</v>
      </c>
      <c r="G85" s="301"/>
      <c r="H85" s="301"/>
      <c r="I85" s="301"/>
      <c r="J85" s="301"/>
      <c r="K85" s="301"/>
      <c r="L85" s="301"/>
    </row>
    <row r="86" spans="2:12">
      <c r="B86" s="120" t="str">
        <f>Scenarios!B30</f>
        <v>Devil's advocate</v>
      </c>
      <c r="C86" s="130">
        <f>Scenarios!C30</f>
        <v>0.04</v>
      </c>
      <c r="D86" s="133">
        <f>Scenarios!D30</f>
        <v>5</v>
      </c>
      <c r="E86" s="127">
        <f>INDEX(B$69:F$79, MATCH(D86, A$69:A$79, 0), MATCH(C86, B$68:F$68, 0))</f>
        <v>4.3068957529973311</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1269297.3813067987</v>
      </c>
      <c r="D8" s="465"/>
      <c r="E8" s="465"/>
      <c r="F8" s="465"/>
      <c r="G8" s="465"/>
    </row>
    <row r="9" spans="2:7">
      <c r="B9" s="97" t="s">
        <v>54</v>
      </c>
      <c r="C9" s="452">
        <f>Normalized_FCF!C19</f>
        <v>818946.05241834244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-0.33154087752371397</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DCF!E83</f>
        <v>4.0920698339496795</v>
      </c>
      <c r="F22" s="332">
        <f>1-F23-F24</f>
        <v>0.2</v>
      </c>
      <c r="G22" s="332">
        <f>F22*(1-F$29-F$30)</f>
        <v>0.18</v>
      </c>
    </row>
    <row r="23" spans="2:7">
      <c r="B23" s="306" t="s">
        <v>440</v>
      </c>
      <c r="C23" s="328">
        <v>0</v>
      </c>
      <c r="D23" s="329">
        <f>C18</f>
        <v>5</v>
      </c>
      <c r="E23" s="330">
        <f>DCF!E84</f>
        <v>3.8924057246611121</v>
      </c>
      <c r="F23" s="331">
        <v>0.6</v>
      </c>
      <c r="G23" s="332">
        <f t="shared" ref="G23:G24" si="0">F23*(1-F$29-F$30)</f>
        <v>0.53999999999999992</v>
      </c>
    </row>
    <row r="24" spans="2:7">
      <c r="B24" s="306" t="s">
        <v>449</v>
      </c>
      <c r="C24" s="328">
        <v>-0.02</v>
      </c>
      <c r="D24" s="329">
        <f>C18</f>
        <v>5</v>
      </c>
      <c r="E24" s="330">
        <f>DCF!E85</f>
        <v>3.7070588524814561</v>
      </c>
      <c r="F24" s="331">
        <v>0.2</v>
      </c>
      <c r="G24" s="332">
        <f t="shared" si="0"/>
        <v>0.18</v>
      </c>
    </row>
    <row r="25" spans="2:7">
      <c r="B25" s="141" t="s">
        <v>454</v>
      </c>
      <c r="C25" s="446">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DCF!E82</f>
        <v>3.5352170611725846</v>
      </c>
      <c r="F29" s="331">
        <v>0.05</v>
      </c>
      <c r="G29" s="332">
        <f>F29</f>
        <v>0.05</v>
      </c>
    </row>
    <row r="30" spans="2:7">
      <c r="B30" s="319" t="s">
        <v>450</v>
      </c>
      <c r="C30" s="328">
        <v>0.04</v>
      </c>
      <c r="D30" s="329">
        <f>C18</f>
        <v>5</v>
      </c>
      <c r="E30" s="330">
        <f>DCF!E86</f>
        <v>4.3068957529973311</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2.79</v>
      </c>
      <c r="D34" t="str">
        <f>Market_currency</f>
        <v>HKD</v>
      </c>
      <c r="E34" s="97" t="s">
        <v>457</v>
      </c>
      <c r="F34" s="334">
        <f>RATE(Holding_Period,$C$33,-C34,$C$36)</f>
        <v>0.20532122001811634</v>
      </c>
    </row>
    <row r="35" spans="2:7">
      <c r="B35" s="97" t="s">
        <v>437</v>
      </c>
      <c r="C35" s="324">
        <f>DCF!C11</f>
        <v>3.8924057246611126</v>
      </c>
      <c r="D35" s="97" t="str">
        <f>Market_currency</f>
        <v>HKD</v>
      </c>
      <c r="E35" s="97" t="s">
        <v>457</v>
      </c>
      <c r="F35" s="334">
        <f>RATE(Holding_Period,$C$33,-C35,$C$36)</f>
        <v>6.9800823681882271E-2</v>
      </c>
    </row>
    <row r="36" spans="2:7">
      <c r="B36" s="97" t="s">
        <v>438</v>
      </c>
      <c r="C36" s="325">
        <f>E22*G22+E23*G23+E24*G24+E30*G30+E29*G29</f>
        <v>3.8978478955831006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1.2999999999999999E-3</v>
      </c>
      <c r="D46" s="138"/>
      <c r="E46" s="221" t="s">
        <v>252</v>
      </c>
    </row>
    <row r="47" spans="2:7">
      <c r="B47" s="97" t="s">
        <v>96</v>
      </c>
      <c r="C47" s="146">
        <f>DCF!I18</f>
        <v>3.904939886383807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0.43378115162793118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1.7962432698539639</v>
      </c>
      <c r="E62" s="336">
        <f>C62+D62</f>
        <v>2.2903031954036961</v>
      </c>
      <c r="F62" s="305">
        <f>Thesis!E22</f>
        <v>0.29465259038036606</v>
      </c>
      <c r="G62" s="445">
        <f>(1-E62/C36)</f>
        <v>0.41241853023588115</v>
      </c>
    </row>
    <row r="63" spans="2:7" ht="13.15">
      <c r="B63" s="306" t="s">
        <v>313</v>
      </c>
      <c r="C63" s="119">
        <f>PV(F63, Holding_Period, -C58, 0)</f>
        <v>0.56808106576265116</v>
      </c>
      <c r="D63" s="119">
        <f>C36/(1+F63)^Holding_Period</f>
        <v>2.2514644884234527</v>
      </c>
      <c r="E63" s="336">
        <f>C63+D63</f>
        <v>2.8195455541861039</v>
      </c>
      <c r="F63" s="305">
        <f>Thesis!E23</f>
        <v>0.20075184365903009</v>
      </c>
      <c r="G63" s="445">
        <f>(1-E63/C36)</f>
        <v>0.27664043602596444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2.7938229895500646</v>
      </c>
      <c r="E66" s="336">
        <f>C66+D66</f>
        <v>3.4452258335534998</v>
      </c>
      <c r="F66" s="305">
        <f>Thesis!E24</f>
        <v>0.1174</v>
      </c>
      <c r="G66" s="445">
        <f>(1-E66/C36)</f>
        <v>0.11612101707265066</v>
      </c>
    </row>
    <row r="67" spans="2:7" ht="13.15">
      <c r="B67" s="306" t="s">
        <v>314</v>
      </c>
      <c r="C67" s="119">
        <f>PV(F67, Holding_Period, -C58, 0)</f>
        <v>0.7053413113367144</v>
      </c>
      <c r="D67" s="119">
        <f>C36/(1+F67)^Holding_Period</f>
        <v>3.1596064026591426</v>
      </c>
      <c r="E67" s="336">
        <f>C67+D67</f>
        <v>3.864947713995857</v>
      </c>
      <c r="F67" s="305">
        <f>Thesis!E25</f>
        <v>7.2499999999999995E-2</v>
      </c>
      <c r="G67" s="445">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2.79</v>
      </c>
    </row>
    <row r="9" spans="1:10">
      <c r="B9" s="355" t="s">
        <v>361</v>
      </c>
      <c r="C9" s="357">
        <f>Common_Shares</f>
        <v>5091065770</v>
      </c>
    </row>
    <row r="10" spans="1:10">
      <c r="B10" s="355" t="s">
        <v>367</v>
      </c>
      <c r="C10" s="361">
        <f>投资主题!C8*Common_Shares/1000000</f>
        <v>14204.073498299998</v>
      </c>
      <c r="D10" s="347" t="s">
        <v>532</v>
      </c>
      <c r="E10" s="364">
        <f>Scenarios!F34</f>
        <v>0.20532122001811634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3.8978478955831006</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2.2903031954036961</v>
      </c>
      <c r="D22" s="369" t="s">
        <v>443</v>
      </c>
      <c r="E22" s="370">
        <f>Thesis!E22</f>
        <v>0.29465259038036606</v>
      </c>
    </row>
    <row r="23" spans="1:6">
      <c r="B23" s="347" t="s">
        <v>341</v>
      </c>
      <c r="C23" s="371">
        <f>E141</f>
        <v>2.8195455541861039</v>
      </c>
      <c r="D23" s="369" t="s">
        <v>444</v>
      </c>
      <c r="E23" s="372">
        <f>Thesis!E23</f>
        <v>0.20075184365903009</v>
      </c>
    </row>
    <row r="24" spans="1:6">
      <c r="B24" s="347" t="s">
        <v>343</v>
      </c>
      <c r="C24" s="371">
        <f>E144</f>
        <v>3.4452258335534998</v>
      </c>
      <c r="D24" s="369" t="s">
        <v>446</v>
      </c>
      <c r="E24" s="372">
        <f>Thesis!E24</f>
        <v>0.1174</v>
      </c>
    </row>
    <row r="25" spans="1:6">
      <c r="B25" s="347" t="s">
        <v>342</v>
      </c>
      <c r="C25" s="371">
        <f>E145</f>
        <v>3.864947713995857</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1432063.1874217824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10905.469630734653</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8284.8496307346541</v>
      </c>
      <c r="D46" s="347" t="str">
        <f>Reporting_currency</f>
        <v>HKD</v>
      </c>
    </row>
    <row r="48" spans="2:6">
      <c r="B48" s="347" t="s">
        <v>508</v>
      </c>
    </row>
    <row r="49" spans="2:6">
      <c r="B49" s="376" t="s">
        <v>223</v>
      </c>
      <c r="C49" s="377">
        <f>Normalized_FCF!C13</f>
        <v>-261314.97537104544</v>
      </c>
      <c r="D49" s="347" t="str">
        <f>Reporting_currency</f>
        <v>HKD</v>
      </c>
    </row>
    <row r="51" spans="2:6">
      <c r="B51" s="466" t="s">
        <v>509</v>
      </c>
      <c r="C51" s="466"/>
      <c r="D51" s="466"/>
      <c r="E51" s="466"/>
      <c r="F51" s="466"/>
    </row>
    <row r="52" spans="2:6">
      <c r="B52" s="376" t="s">
        <v>499</v>
      </c>
      <c r="C52" s="377">
        <f>Normalized_FCF!C12</f>
        <v>-360087.00926312926</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1269297.3813067987</v>
      </c>
      <c r="D60" s="347" t="str">
        <f>Reporting_currency</f>
        <v>HKD</v>
      </c>
    </row>
    <row r="61" spans="2:6">
      <c r="B61" s="376" t="s">
        <v>213</v>
      </c>
      <c r="C61" s="377">
        <f>Normalized_FCF!C19</f>
        <v>818946.05241834244</v>
      </c>
      <c r="D61" s="347" t="str">
        <f>Reporting_currency</f>
        <v>HKD</v>
      </c>
    </row>
    <row r="62" spans="2:6">
      <c r="B62" s="381" t="s">
        <v>302</v>
      </c>
      <c r="C62" s="382">
        <f>Normalized_FCF!C124</f>
        <v>5.7655717742966989E-2</v>
      </c>
      <c r="F62" s="383"/>
    </row>
    <row r="63" spans="2:6">
      <c r="B63" s="381" t="s">
        <v>332</v>
      </c>
      <c r="C63" s="382">
        <f>Normalized_FCF!C92</f>
        <v>9.6774193548387108E-2</v>
      </c>
      <c r="E63" s="376" t="s">
        <v>373</v>
      </c>
      <c r="F63" s="384">
        <f>Normalized_FCF!C90</f>
        <v>1.8649821028990061</v>
      </c>
    </row>
    <row r="65" spans="1:6">
      <c r="B65" s="373" t="s">
        <v>376</v>
      </c>
      <c r="C65" s="385" t="s">
        <v>327</v>
      </c>
      <c r="D65" s="385" t="s">
        <v>374</v>
      </c>
    </row>
    <row r="66" spans="1:6">
      <c r="B66" s="376" t="s">
        <v>326</v>
      </c>
      <c r="C66" s="382">
        <f>Normalized_FCF!C119</f>
        <v>7.6203822690338374E-2</v>
      </c>
      <c r="D66" s="382">
        <f>Normalized_FCF!G119</f>
        <v>0.12174472741716588</v>
      </c>
    </row>
    <row r="67" spans="1:6">
      <c r="B67" s="386" t="str">
        <f>Normalized_FCF!B116</f>
        <v>Pre-tax Profit/Sales</v>
      </c>
      <c r="C67" s="387">
        <f>Normalized_FCF!C116</f>
        <v>0.40688947062135006</v>
      </c>
      <c r="D67" s="387">
        <f>Normalized_FCF!G116</f>
        <v>0.45503824032169243</v>
      </c>
    </row>
    <row r="68" spans="1:6">
      <c r="B68" s="386" t="str">
        <f>Normalized_FCF!B117</f>
        <v>Sales/Total Assets</v>
      </c>
      <c r="C68" s="388">
        <f>Normalized_FCF!C117</f>
        <v>0.1542519195864642</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3.0499352531108609E-2</v>
      </c>
    </row>
    <row r="83" spans="1:6">
      <c r="B83" s="347" t="s">
        <v>515</v>
      </c>
    </row>
    <row r="84" spans="1:6">
      <c r="B84" s="347" t="s">
        <v>224</v>
      </c>
      <c r="C84" s="377">
        <f>DCF!F5</f>
        <v>8300850.7282108907</v>
      </c>
      <c r="D84" s="347" t="str">
        <f>Reporting_currency</f>
        <v>HKD</v>
      </c>
    </row>
    <row r="85" spans="1:6">
      <c r="B85" s="386" t="s">
        <v>484</v>
      </c>
      <c r="C85" s="394">
        <f>BS!C66</f>
        <v>10118429</v>
      </c>
      <c r="D85" s="395" t="str">
        <f>Reporting_currency</f>
        <v>HKD</v>
      </c>
    </row>
    <row r="86" spans="1:6">
      <c r="B86" s="376" t="s">
        <v>235</v>
      </c>
      <c r="C86" s="391">
        <f>C84*scaling_factor*Exchange_Rate/Common_Shares</f>
        <v>1.6304740703066758</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1.6736546556559</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3.8924057246611126</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DCF!B82</f>
        <v>Snowball Scenario</v>
      </c>
      <c r="C118" s="400">
        <f>DCF!C82</f>
        <v>-0.04</v>
      </c>
      <c r="D118" s="401">
        <f>DCF!D82</f>
        <v>5</v>
      </c>
      <c r="E118" s="402" t="str">
        <f>ROUND(DCF!E82,2)&amp;" "&amp;Market_currency</f>
        <v>3.54 HKD</v>
      </c>
      <c r="F118" s="403">
        <f>DCF!F82</f>
        <v>0.05</v>
      </c>
    </row>
    <row r="119" spans="1:6">
      <c r="A119" s="389"/>
      <c r="B119" s="404" t="str">
        <f>DCF!B83</f>
        <v>Optimistic</v>
      </c>
      <c r="C119" s="405">
        <f>DCF!C83</f>
        <v>0.02</v>
      </c>
      <c r="D119" s="406">
        <f>DCF!D83</f>
        <v>5</v>
      </c>
      <c r="E119" s="402" t="str">
        <f>ROUND(DCF!E83,2)&amp;" "&amp;Market_currency</f>
        <v>4.09 HKD</v>
      </c>
      <c r="F119" s="407">
        <f>DCF!F83</f>
        <v>0.18</v>
      </c>
    </row>
    <row r="120" spans="1:6">
      <c r="B120" s="404" t="str">
        <f>DCF!B84</f>
        <v>Base</v>
      </c>
      <c r="C120" s="405">
        <f>DCF!C84</f>
        <v>0</v>
      </c>
      <c r="D120" s="406">
        <f>DCF!D84</f>
        <v>5</v>
      </c>
      <c r="E120" s="402" t="str">
        <f>ROUND(DCF!E84,2)&amp;" "&amp;Market_currency</f>
        <v>3.89 HKD</v>
      </c>
      <c r="F120" s="407">
        <f>DCF!F84</f>
        <v>0.53999999999999992</v>
      </c>
    </row>
    <row r="121" spans="1:6">
      <c r="B121" s="404" t="str">
        <f>DCF!B85</f>
        <v>Pessimistic</v>
      </c>
      <c r="C121" s="405">
        <f>DCF!C85</f>
        <v>-0.02</v>
      </c>
      <c r="D121" s="406">
        <f>DCF!D85</f>
        <v>5</v>
      </c>
      <c r="E121" s="402" t="str">
        <f>ROUND(DCF!E85,2)&amp;" "&amp;Market_currency</f>
        <v>3.71 HKD</v>
      </c>
      <c r="F121" s="407">
        <f>DCF!F85</f>
        <v>0.18</v>
      </c>
    </row>
    <row r="122" spans="1:6">
      <c r="B122" s="404" t="str">
        <f>DCF!B86</f>
        <v>Devil's advocate</v>
      </c>
      <c r="C122" s="405">
        <f>DCF!C86</f>
        <v>0.04</v>
      </c>
      <c r="D122" s="406">
        <f>DCF!D86</f>
        <v>5</v>
      </c>
      <c r="E122" s="402" t="str">
        <f>ROUND(DCF!E86,2)&amp;" "&amp;Market_currency</f>
        <v>4.31 HKD</v>
      </c>
      <c r="F122" s="407">
        <f>DCF!F86</f>
        <v>0.05</v>
      </c>
    </row>
    <row r="124" spans="1:6">
      <c r="B124" s="466" t="s">
        <v>522</v>
      </c>
      <c r="C124" s="466"/>
      <c r="D124" s="466"/>
      <c r="E124" s="466"/>
      <c r="F124" s="466"/>
    </row>
    <row r="125" spans="1:6">
      <c r="B125" s="376" t="s">
        <v>218</v>
      </c>
      <c r="C125" s="408">
        <f>Scenarios!C36</f>
        <v>3.8978478955831006</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1.7962432698539639</v>
      </c>
      <c r="E140" s="414">
        <f>Scenarios!E62</f>
        <v>2.2903031954036961</v>
      </c>
      <c r="F140" s="415">
        <f>E22</f>
        <v>0.29465259038036606</v>
      </c>
    </row>
    <row r="141" spans="1:6">
      <c r="B141" s="412" t="s">
        <v>313</v>
      </c>
      <c r="C141" s="413">
        <f>Scenarios!C63</f>
        <v>0.56808106576265116</v>
      </c>
      <c r="D141" s="413">
        <f>Scenarios!D63</f>
        <v>2.2514644884234527</v>
      </c>
      <c r="E141" s="414">
        <f>Scenarios!E63</f>
        <v>2.8195455541861039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2.7938229895500646</v>
      </c>
      <c r="E144" s="414">
        <f>Scenarios!E66</f>
        <v>3.4452258335534998</v>
      </c>
      <c r="F144" s="415">
        <f>E24</f>
        <v>0.1174</v>
      </c>
    </row>
    <row r="145" spans="1:6">
      <c r="B145" s="412" t="s">
        <v>314</v>
      </c>
      <c r="C145" s="413">
        <f>Scenarios!C67</f>
        <v>0.7053413113367144</v>
      </c>
      <c r="D145" s="413">
        <f>Scenarios!D67</f>
        <v>3.1596064026591426</v>
      </c>
      <c r="E145" s="414">
        <f>Scenarios!E67</f>
        <v>3.864947713995857</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