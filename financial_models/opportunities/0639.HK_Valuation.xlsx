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0EA01E-98DD-4B76-904F-403F2C5663A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7" i="9"/>
  <c r="C66"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<sst xmlns="http://schemas.openxmlformats.org/spreadsheetml/2006/main" count="766" uniqueCount="556">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</sst>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2.96</v>
      </c>
      <c r="E8" s="32"/>
    </row>
    <row r="9" spans="1:9">
      <c r="B9" s="4" t="s">
        <v>346</v>
      </c>
      <c r="C9" s="48">
        <v>5091065770</v>
      </c>
    </row>
    <row r="10" spans="1:9">
      <c r="B10" s="4" t="s">
        <v>352</v>
      </c>
      <c r="C10" s="33">
        <f>Thesis!C8*Common_Shares/1000000</f>
        <v>15069.5546792</v>
      </c>
      <c r="D10" s="1" t="s">
        <v>531</v>
      </c>
      <c r="E10" s="307">
        <f>Scenarios!F34</f>
        <v>0.18873516486553216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0.29465259038036606</v>
      </c>
    </row>
    <row r="23" spans="1:6">
      <c r="B23" s="1" t="s">
        <v>313</v>
      </c>
      <c r="C23" s="259">
        <f>E141</f>
        <v>2.87837081868983</v>
      </c>
      <c r="D23" s="38" t="s">
        <v>409</v>
      </c>
      <c r="E23" s="448">
        <v>0.20075184365903009</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1783697.9418693073</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9" t="s">
        <v>206</v>
      </c>
      <c r="C51" s="459"/>
      <c r="D51" s="459"/>
      <c r="E51" s="459"/>
      <c r="F51" s="459"/>
    </row>
    <row r="52" spans="2:6">
      <c r="B52" s="44" t="s">
        <v>204</v>
      </c>
      <c r="C52" s="289">
        <f>Normalized_FCF!C12</f>
        <v>-448300.88430917484</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6.8189912262231006E-2</v>
      </c>
      <c r="F62" s="260"/>
    </row>
    <row r="63" spans="2:6">
      <c r="B63" s="204" t="s">
        <v>332</v>
      </c>
      <c r="C63" s="89">
        <f>Normalized_FCF!C92</f>
        <v>9.1216216216216228E-2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9" t="s">
        <v>357</v>
      </c>
      <c r="C124" s="459"/>
      <c r="D124" s="459"/>
      <c r="E124" s="459"/>
      <c r="F124" s="459"/>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1.8431747164770405</v>
      </c>
      <c r="E140" s="338">
        <f>Scenarios!E62</f>
        <v>2.3372346420267727</v>
      </c>
      <c r="F140" s="339">
        <f>E22</f>
        <v>0.29465259038036606</v>
      </c>
    </row>
    <row r="141" spans="1:6">
      <c r="B141" s="340" t="s">
        <v>313</v>
      </c>
      <c r="C141" s="337">
        <f>Scenarios!C63</f>
        <v>0.56808106576265116</v>
      </c>
      <c r="D141" s="337">
        <f>Scenarios!D63</f>
        <v>2.3102897529271789</v>
      </c>
      <c r="E141" s="338">
        <f>Scenarios!E63</f>
        <v>2.87837081868983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8317228.3054346545</v>
      </c>
      <c r="D89" s="216">
        <f>SUM(D86:D88)</f>
        <v>1.63369099539931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9.1216216216216228E-2</v>
      </c>
      <c r="E92" s="238"/>
      <c r="G92" s="22">
        <f t="shared" ref="G92:Q92" si="38">IF(G$4="","",(G88*(1-dividend_tax_rate))/Market_Price)</f>
        <v>9.1216216216216228E-2</v>
      </c>
      <c r="H92" s="22">
        <f t="shared" si="38"/>
        <v>8.5135135135135154E-2</v>
      </c>
      <c r="I92" s="22">
        <f t="shared" si="38"/>
        <v>0.13074324324324327</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6.8189912262231006E-2</v>
      </c>
      <c r="D124" s="26"/>
      <c r="E124" s="235"/>
      <c r="F124" s="26"/>
      <c r="G124" s="74">
        <f t="shared" ref="G124" si="49">IF(G$4="","",G123/Market_Price)</f>
        <v>8.4478480716246238E-2</v>
      </c>
      <c r="H124" s="74">
        <f t="shared" ref="H124" si="50">IF(H$4="","",H123/Market_Price)</f>
        <v>0.11627822874774645</v>
      </c>
      <c r="I124" s="74">
        <f t="shared" ref="I124" si="51">IF(I$4="","",I123/Market_Price)</f>
        <v>0.18864368727845005</v>
      </c>
      <c r="J124" s="74">
        <f t="shared" ref="J124" si="52">IF(J$4="","",J123/Market_Price)</f>
        <v>0.15500712715220794</v>
      </c>
      <c r="K124" s="74">
        <f t="shared" ref="K124" si="53">IF(K$4="","",K123/Market_Price)</f>
        <v>5.5617701905740335E-2</v>
      </c>
      <c r="L124" s="74">
        <f t="shared" ref="L124" si="54">IF(L$4="","",L123/Market_Price)</f>
        <v>7.0605868763235727E-2</v>
      </c>
      <c r="M124" s="74">
        <f t="shared" ref="M124" si="55">IF(M$4="","",M123/Market_Price)</f>
        <v>6.286509589481061E-2</v>
      </c>
      <c r="N124" s="74">
        <f t="shared" ref="N124" si="56">IF(N$4="","",N123/Market_Price)</f>
        <v>5.9707338349016557E-2</v>
      </c>
      <c r="O124" s="74">
        <f t="shared" ref="O124" si="57">IF(O$4="","",O123/Market_Price)</f>
        <v>1.0569389964777347E-2</v>
      </c>
      <c r="P124" s="74">
        <f t="shared" ref="P124" si="58">IF(P$4="","",P123/Market_Price)</f>
        <v>4.5786356311667007E-3</v>
      </c>
      <c r="Q124" s="74" t="str">
        <f t="shared" ref="Q124" si="59">IF(Q$4="","",Q123/Market_Price)</f>
        <v/>
      </c>
    </row>
    <row r="125" spans="1:17" ht="15.75" customHeight="1">
      <c r="B125" s="2" t="s">
        <v>306</v>
      </c>
      <c r="C125" s="151"/>
      <c r="G125" s="22">
        <f>IF(G$4="","",(Data!C47*$C$3)/(Market_Price*Common_Shares))</f>
        <v>0.12043985629549817</v>
      </c>
      <c r="H125" s="22">
        <f>IF(H$4="","",(Data!D47*$C$3)/(Market_Price*Common_Shares))</f>
        <v>0.15268785634229173</v>
      </c>
      <c r="I125" s="22">
        <f>IF(I$4="","",(Data!E47*$C$3)/(Market_Price*Common_Shares))</f>
        <v>0.2195257305490344</v>
      </c>
      <c r="J125" s="22">
        <f>IF(J$4="","",(Data!F47*$C$3)/(Market_Price*Common_Shares))</f>
        <v>0.20311356673497208</v>
      </c>
      <c r="K125" s="22">
        <f>IF(K$4="","",(Data!G47*$C$3)/(Market_Price*Common_Shares))</f>
        <v>7.8786866982789264E-2</v>
      </c>
      <c r="L125" s="22">
        <f>IF(L$4="","",(Data!H47*$C$3)/(Market_Price*Common_Shares))</f>
        <v>7.8047495432853622E-2</v>
      </c>
      <c r="M125" s="22">
        <f>IF(M$4="","",(Data!I47*$C$3)/(Market_Price*Common_Shares))</f>
        <v>7.6440745896092566E-2</v>
      </c>
      <c r="N125" s="22">
        <f>IF(N$4="","",(Data!J47*$C$3)/(Market_Price*Common_Shares))</f>
        <v>7.8475046222320086E-2</v>
      </c>
      <c r="O125" s="22">
        <f>IF(O$4="","",(Data!K47*$C$3)/(Market_Price*Common_Shares))</f>
        <v>4.4895819047249819E-3</v>
      </c>
      <c r="P125" s="22">
        <f>IF(P$4="","",(Data!L47*$C$3)/(Market_Price*Common_Shares))</f>
        <v>-4.7212742190850872E-2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2.96</v>
      </c>
      <c r="D34" t="str">
        <f>Market_currency</f>
        <v>HKD</v>
      </c>
      <c r="E34" s="97" t="s">
        <v>457</v>
      </c>
      <c r="F34" s="334">
        <f>RATE(Holding_Period,$C$33,-C34,$C$36)</f>
        <v>0.18873516486553216</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0.4084544924262743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1.8431747164770405</v>
      </c>
      <c r="E62" s="336">
        <f>C62+D62</f>
        <v>2.3372346420267727</v>
      </c>
      <c r="F62" s="305">
        <f>Thesis!E22</f>
        <v>0.29465259038036606</v>
      </c>
      <c r="G62" s="445">
        <f>(1-E62/C36)</f>
        <v>0.4156459256502103</v>
      </c>
    </row>
    <row r="63" spans="2:7" ht="13.15">
      <c r="B63" s="306" t="s">
        <v>313</v>
      </c>
      <c r="C63" s="119">
        <f>PV(F63, Holding_Period, -C58, 0)</f>
        <v>0.56808106576265116</v>
      </c>
      <c r="D63" s="119">
        <f>C36/(1+F63)^Holding_Period</f>
        <v>2.3102897529271789</v>
      </c>
      <c r="E63" s="336">
        <f>C63+D63</f>
        <v>2.87837081868983</v>
      </c>
      <c r="F63" s="305">
        <f>Thesis!E23</f>
        <v>0.20075184365903009</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2.96</v>
      </c>
    </row>
    <row r="9" spans="1:10">
      <c r="B9" s="355" t="s">
        <v>361</v>
      </c>
      <c r="C9" s="357">
        <f>Common_Shares</f>
        <v>5091065770</v>
      </c>
    </row>
    <row r="10" spans="1:10">
      <c r="B10" s="355" t="s">
        <v>367</v>
      </c>
      <c r="C10" s="361">
        <f>投资主题!C8*Common_Shares/1000000</f>
        <v>15069.5546792</v>
      </c>
      <c r="D10" s="347" t="s">
        <v>532</v>
      </c>
      <c r="E10" s="364">
        <f>Scenarios!F34</f>
        <v>0.18873516486553216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0.29465259038036606</v>
      </c>
    </row>
    <row r="23" spans="1:6">
      <c r="B23" s="347" t="s">
        <v>341</v>
      </c>
      <c r="C23" s="371">
        <f>E141</f>
        <v>2.87837081868983</v>
      </c>
      <c r="D23" s="369" t="s">
        <v>444</v>
      </c>
      <c r="E23" s="372">
        <f>Thesis!E23</f>
        <v>0.20075184365903009</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6.8189912262231006E-2</v>
      </c>
      <c r="F62" s="383"/>
    </row>
    <row r="63" spans="2:6">
      <c r="B63" s="381" t="s">
        <v>332</v>
      </c>
      <c r="C63" s="382">
        <f>Normalized_FCF!C92</f>
        <v>9.1216216216216228E-2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1.8431747164770405</v>
      </c>
      <c r="E140" s="414">
        <f>Scenarios!E62</f>
        <v>2.3372346420267727</v>
      </c>
      <c r="F140" s="415">
        <f>E22</f>
        <v>0.29465259038036606</v>
      </c>
    </row>
    <row r="141" spans="1:6">
      <c r="B141" s="412" t="s">
        <v>313</v>
      </c>
      <c r="C141" s="413">
        <f>Scenarios!C63</f>
        <v>0.56808106576265116</v>
      </c>
      <c r="D141" s="413">
        <f>Scenarios!D63</f>
        <v>2.3102897529271789</v>
      </c>
      <c r="E141" s="414">
        <f>Scenarios!E63</f>
        <v>2.87837081868983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2026-01-05T02:54:32Z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