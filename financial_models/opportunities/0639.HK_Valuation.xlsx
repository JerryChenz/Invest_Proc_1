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1E0545A-72E7-4348-BBBD-B0685BACE12B}" xr6:coauthVersionLast="47" xr6:coauthVersionMax="47" xr10:uidLastSave="{00000000-0000-0000-0000-000000000000}"/>
  <bookViews>
    <workbookView xWindow="1470" yWindow="1470" windowWidth="12690"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<sst xmlns="http://schemas.openxmlformats.org/spreadsheetml/2006/main" count="766" uniqueCount="555">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</sst>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2.75</v>
      </c>
      <c r="E8" s="32"/>
    </row>
    <row r="9" spans="1:9">
      <c r="B9" s="4" t="s">
        <v>346</v>
      </c>
      <c r="C9" s="48">
        <v>5091065770</v>
      </c>
    </row>
    <row r="10" spans="1:9">
      <c r="B10" s="4" t="s">
        <v>352</v>
      </c>
      <c r="C10" s="33">
        <f>Thesis!C8*Common_Shares/1000000</f>
        <v>14000.430867499999</v>
      </c>
      <c r="D10" s="1" t="s">
        <v>531</v>
      </c>
      <c r="E10" s="310">
        <f>Scenarios!F34</f>
        <v>0.21161685845549613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2.2903031954036961</v>
      </c>
      <c r="D22" s="38" t="s">
        <v>408</v>
      </c>
      <c r="E22" s="79">
        <v>0.29465259038036606</v>
      </c>
    </row>
    <row r="23" spans="1:6">
      <c r="B23" s="1" t="s">
        <v>313</v>
      </c>
      <c r="C23" s="262">
        <f>E141</f>
        <v>2.8195455541861039</v>
      </c>
      <c r="D23" s="38" t="s">
        <v>409</v>
      </c>
      <c r="E23" s="451">
        <v>0.20075184365903009</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1432063.1874217824</v>
      </c>
      <c r="D34" s="1" t="str">
        <f>Reporting_currency</f>
        <v>HKD</v>
      </c>
    </row>
    <row r="35" spans="2:6">
      <c r="B35" s="44"/>
      <c r="C35" s="73"/>
    </row>
    <row r="36" spans="2:6" ht="24.5" customHeight="1">
      <c r="B36" s="460" t="s">
        <v>198</v>
      </c>
      <c r="C36" s="460"/>
      <c r="D36" s="460"/>
      <c r="E36" s="460"/>
      <c r="F36" s="460"/>
    </row>
    <row r="37" spans="2:6">
      <c r="B37" s="44" t="s">
        <v>199</v>
      </c>
      <c r="C37" s="292">
        <f>Normalized_FCF!C15</f>
        <v>0</v>
      </c>
      <c r="D37" s="1" t="str">
        <f>Reporting_currency</f>
        <v>HKD</v>
      </c>
    </row>
    <row r="38" spans="2:6">
      <c r="B38" s="49" t="s">
        <v>200</v>
      </c>
      <c r="C38" s="292">
        <f>Normalized_FCF!C16</f>
        <v>0</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0" t="s">
        <v>206</v>
      </c>
      <c r="C51" s="460"/>
      <c r="D51" s="460"/>
      <c r="E51" s="460"/>
      <c r="F51" s="460"/>
    </row>
    <row r="52" spans="2:6">
      <c r="B52" s="44" t="s">
        <v>204</v>
      </c>
      <c r="C52" s="292">
        <f>Normalized_FCF!C12</f>
        <v>-360087.00926312926</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5.849434636468287E-2</v>
      </c>
      <c r="F62" s="263"/>
    </row>
    <row r="63" spans="2:6">
      <c r="B63" s="206" t="s">
        <v>332</v>
      </c>
      <c r="C63" s="89">
        <f>Normalized_FCF!C92</f>
        <v>9.818181818181819E-2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0" t="s">
        <v>357</v>
      </c>
      <c r="C124" s="460"/>
      <c r="D124" s="460"/>
      <c r="E124" s="460"/>
      <c r="F124" s="460"/>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0.49405992554973227</v>
      </c>
      <c r="D140" s="340">
        <f>Scenarios!D62</f>
        <v>1.7962432698539639</v>
      </c>
      <c r="E140" s="341">
        <f>Scenarios!E62</f>
        <v>2.2903031954036961</v>
      </c>
      <c r="F140" s="342">
        <f>E22</f>
        <v>0.29465259038036606</v>
      </c>
    </row>
    <row r="141" spans="1:6">
      <c r="B141" s="343" t="s">
        <v>313</v>
      </c>
      <c r="C141" s="340">
        <f>Scenarios!C63</f>
        <v>0.56808106576265116</v>
      </c>
      <c r="D141" s="340">
        <f>Scenarios!D63</f>
        <v>2.2514644884234527</v>
      </c>
      <c r="E141" s="341">
        <f>Scenarios!E63</f>
        <v>2.8195455541861039</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9.818181818181819E-2</v>
      </c>
      <c r="E92" s="241"/>
      <c r="G92" s="22">
        <f t="shared" ref="G92:Q92" si="38">IF(G$4="","",(G88*(1-dividend_tax_rate))/Market_Price)</f>
        <v>9.818181818181819E-2</v>
      </c>
      <c r="H92" s="22">
        <f t="shared" si="38"/>
        <v>9.1636363636363655E-2</v>
      </c>
      <c r="I92" s="22">
        <f t="shared" si="38"/>
        <v>0.14072727272727276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5.849434636468287E-2</v>
      </c>
      <c r="D124" s="26"/>
      <c r="E124" s="238"/>
      <c r="F124" s="26"/>
      <c r="G124" s="74">
        <f t="shared" ref="G124" si="49">IF(G$4="","",G123/Market_Price)</f>
        <v>9.0661308449677167E-2</v>
      </c>
      <c r="H124" s="74">
        <f t="shared" ref="H124" si="50">IF(H$4="","",H123/Market_Price)</f>
        <v>0.12490827561460258</v>
      </c>
      <c r="I124" s="74">
        <f t="shared" ref="I124" si="51">IF(I$4="","",I123/Market_Price)</f>
        <v>0.2028954339784601</v>
      </c>
      <c r="J124" s="74">
        <f t="shared" ref="J124" si="52">IF(J$4="","",J123/Market_Price)</f>
        <v>0.16674410607252418</v>
      </c>
      <c r="K124" s="74">
        <f t="shared" ref="K124" si="53">IF(K$4="","",K123/Market_Price)</f>
        <v>5.9864871869451414E-2</v>
      </c>
      <c r="L124" s="74">
        <f t="shared" ref="L124" si="54">IF(L$4="","",L123/Market_Price)</f>
        <v>7.5997589650610084E-2</v>
      </c>
      <c r="M124" s="74">
        <f t="shared" ref="M124" si="55">IF(M$4="","",M123/Market_Price)</f>
        <v>6.7665703217687057E-2</v>
      </c>
      <c r="N124" s="74">
        <f t="shared" ref="N124" si="56">IF(N$4="","",N123/Market_Price)</f>
        <v>6.426680782294146E-2</v>
      </c>
      <c r="O124" s="74">
        <f t="shared" ref="O124" si="57">IF(O$4="","",O123/Market_Price)</f>
        <v>1.1376507016633071E-2</v>
      </c>
      <c r="P124" s="74">
        <f t="shared" ref="P124" si="58">IF(P$4="","",P123/Market_Price)</f>
        <v>4.9282768975467033E-3</v>
      </c>
      <c r="Q124" s="74" t="str">
        <f t="shared" ref="Q124" si="59">IF(Q$4="","",Q123/Market_Price)</f>
        <v/>
      </c>
    </row>
    <row r="125" spans="1:17" ht="15.75" customHeight="1">
      <c r="B125" s="2" t="s">
        <v>306</v>
      </c>
      <c r="C125" s="151"/>
      <c r="G125" s="22">
        <f>IF(G$4="","",(Data!C47*$C$3)/(Market_Price*Common_Shares))</f>
        <v>0.12963708168533622</v>
      </c>
      <c r="H125" s="22">
        <f>IF(H$4="","",(Data!D47*$C$3)/(Market_Price*Common_Shares))</f>
        <v>0.16434765628115766</v>
      </c>
      <c r="I125" s="22">
        <f>IF(I$4="","",(Data!E47*$C$3)/(Market_Price*Common_Shares))</f>
        <v>0.23628951360914249</v>
      </c>
      <c r="J125" s="22">
        <f>IF(J$4="","",(Data!F47*$C$3)/(Market_Price*Common_Shares))</f>
        <v>0.21862405728564269</v>
      </c>
      <c r="K125" s="22">
        <f>IF(K$4="","",(Data!G47*$C$3)/(Market_Price*Common_Shares))</f>
        <v>8.4803318643293171E-2</v>
      </c>
      <c r="L125" s="22">
        <f>IF(L$4="","",(Data!H47*$C$3)/(Market_Price*Common_Shares))</f>
        <v>8.4007485993180628E-2</v>
      </c>
      <c r="M125" s="22">
        <f>IF(M$4="","",(Data!I47*$C$3)/(Market_Price*Common_Shares))</f>
        <v>8.2278039219066915E-2</v>
      </c>
      <c r="N125" s="22">
        <f>IF(N$4="","",(Data!J47*$C$3)/(Market_Price*Common_Shares))</f>
        <v>8.4467686115660898E-2</v>
      </c>
      <c r="O125" s="22">
        <f>IF(O$4="","",(Data!K47*$C$3)/(Market_Price*Common_Shares))</f>
        <v>4.832422704722162E-3</v>
      </c>
      <c r="P125" s="22">
        <f>IF(P$4="","",(Data!L47*$C$3)/(Market_Price*Common_Shares))</f>
        <v>-5.081807886724312E-2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2.75</v>
      </c>
      <c r="D34" t="str">
        <f>Market_currency</f>
        <v>HKD</v>
      </c>
      <c r="E34" s="97" t="s">
        <v>457</v>
      </c>
      <c r="F34" s="337">
        <f>RATE(Holding_Period,$C$33,-C34,$C$36)</f>
        <v>0.21161685845549613</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0.49405992554973227</v>
      </c>
      <c r="D62" s="119">
        <f>C36/(1+F62)^Holding_Period</f>
        <v>1.7962432698539639</v>
      </c>
      <c r="E62" s="339">
        <f>C62+D62</f>
        <v>2.2903031954036961</v>
      </c>
      <c r="F62" s="308">
        <f>Thesis!E22</f>
        <v>0.29465259038036606</v>
      </c>
      <c r="G62" s="448">
        <f>(1-E62/C36)</f>
        <v>0.41241853023588115</v>
      </c>
    </row>
    <row r="63" spans="2:7" ht="13.15">
      <c r="B63" s="309" t="s">
        <v>313</v>
      </c>
      <c r="C63" s="119">
        <f>PV(F63, Holding_Period, -C58, 0)</f>
        <v>0.56808106576265116</v>
      </c>
      <c r="D63" s="119">
        <f>C36/(1+F63)^Holding_Period</f>
        <v>2.2514644884234527</v>
      </c>
      <c r="E63" s="339">
        <f>C63+D63</f>
        <v>2.8195455541861039</v>
      </c>
      <c r="F63" s="308">
        <f>Thesis!E23</f>
        <v>0.20075184365903009</v>
      </c>
      <c r="G63" s="448">
        <f>(1-E63/C36)</f>
        <v>0.27664043602596444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2.75</v>
      </c>
    </row>
    <row r="9" spans="1:10">
      <c r="B9" s="358" t="s">
        <v>361</v>
      </c>
      <c r="C9" s="360">
        <f>Common_Shares</f>
        <v>5091065770</v>
      </c>
    </row>
    <row r="10" spans="1:10">
      <c r="B10" s="358" t="s">
        <v>367</v>
      </c>
      <c r="C10" s="364">
        <f>投资主题!C8*Common_Shares/1000000</f>
        <v>14000.430867499999</v>
      </c>
      <c r="D10" s="350" t="s">
        <v>532</v>
      </c>
      <c r="E10" s="367">
        <f>Scenarios!F34</f>
        <v>0.21161685845549613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2.2903031954036961</v>
      </c>
      <c r="D22" s="372" t="s">
        <v>443</v>
      </c>
      <c r="E22" s="373">
        <f>Thesis!E22</f>
        <v>0.29465259038036606</v>
      </c>
    </row>
    <row r="23" spans="1:6">
      <c r="B23" s="350" t="s">
        <v>341</v>
      </c>
      <c r="C23" s="374">
        <f>E141</f>
        <v>2.8195455541861039</v>
      </c>
      <c r="D23" s="372" t="s">
        <v>444</v>
      </c>
      <c r="E23" s="375">
        <f>Thesis!E23</f>
        <v>0.20075184365903009</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2"/>
      <c r="D54" s="472"/>
      <c r="E54" s="472"/>
      <c r="F54" s="472"/>
    </row>
    <row r="55" spans="2:6">
      <c r="B55" s="379" t="s">
        <v>207</v>
      </c>
      <c r="C55" s="380">
        <f>Normalized_FCF!C17</f>
        <v>0</v>
      </c>
      <c r="D55" s="350" t="str">
        <f>Reporting_currency</f>
        <v>HKD</v>
      </c>
    </row>
    <row r="57" spans="2:6">
      <c r="B57" s="470" t="s">
        <v>511</v>
      </c>
      <c r="C57" s="470"/>
      <c r="D57" s="470"/>
      <c r="E57" s="470"/>
      <c r="F57" s="470"/>
    </row>
    <row r="58" spans="2:6">
      <c r="B58" s="470" t="s">
        <v>512</v>
      </c>
      <c r="C58" s="470"/>
      <c r="D58" s="470"/>
      <c r="E58" s="470"/>
      <c r="F58" s="470"/>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5.849434636468287E-2</v>
      </c>
      <c r="F62" s="386"/>
    </row>
    <row r="63" spans="2:6">
      <c r="B63" s="384" t="s">
        <v>332</v>
      </c>
      <c r="C63" s="385">
        <f>Normalized_FCF!C92</f>
        <v>9.818181818181819E-2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0.49405992554973227</v>
      </c>
      <c r="D140" s="416">
        <f>Scenarios!D62</f>
        <v>1.7962432698539639</v>
      </c>
      <c r="E140" s="417">
        <f>Scenarios!E62</f>
        <v>2.2903031954036961</v>
      </c>
      <c r="F140" s="418">
        <f>E22</f>
        <v>0.29465259038036606</v>
      </c>
    </row>
    <row r="141" spans="1:6">
      <c r="B141" s="415" t="s">
        <v>313</v>
      </c>
      <c r="C141" s="416">
        <f>Scenarios!C63</f>
        <v>0.56808106576265116</v>
      </c>
      <c r="D141" s="416">
        <f>Scenarios!D63</f>
        <v>2.2514644884234527</v>
      </c>
      <c r="E141" s="417">
        <f>Scenarios!E63</f>
        <v>2.8195455541861039</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