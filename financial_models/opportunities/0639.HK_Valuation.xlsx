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90F8B47-75E6-4793-9468-14B8F59B50AF}"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G17" i="3"/>
  <c r="C19" i="3"/>
  <c r="C23" i="3"/>
  <c r="G4" i="3"/>
  <c r="C4"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92" i="2" s="1"/>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<sst xmlns="http://schemas.openxmlformats.org/spreadsheetml/2006/main" count="836" uniqueCount="560">
  <si>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</si>
  <si>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</si>
  <si>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</si>
  <si>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</si>
  <si>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</si>
  <si>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</si>
  <si>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</si>
  <si>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</si>
  <si>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</si>
  <si>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</si>
  <si>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</si>
  <si>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</si>
  <si>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</si>
  <si>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</si>
  <si>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</si>
  <si>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</si>
  <si>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</si>
  <si>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</si>
  <si>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</si>
  <si>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</si>
  <si>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</si>
  <si>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</si>
  <si>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</si>
  <si>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</si>
  <si>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</si>
  <si>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</si>
  <si>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</si>
  <si>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</si>
  <si>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</si>
  <si>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</si>
  <si>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</si>
  <si>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</si>
  <si>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</si>
  <si>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</si>
  <si>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</si>
  <si>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</si>
  <si>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</si>
  <si>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</si>
  <si>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</si>
  <si>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</si>
  <si>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</si>
  <si>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</si>
  <si>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</si>
  <si>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</si>
  <si>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</si>
  <si>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</si>
  <si>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</si>
  <si>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</si>
  <si>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</si>
  <si>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</si>
  <si>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</si>
  <si>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</si>
  <si>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</si>
  <si>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</si>
  <si>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</si>
  <si>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</si>
  <si>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</si>
  <si>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</si>
  <si>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</si>
  <si>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</si>
  <si>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</si>
  <si>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</si>
  <si>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</si>
  <si>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</si>
  <si>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</si>
  <si>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</si>
  <si>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</si>
  <si>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</si>
  <si>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</si>
  <si>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</si>
  <si>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</si>
  <si>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</si>
  <si>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</si>
  <si>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</si>
  <si>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</si>
  <si>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</si>
  <si>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</si>
  <si>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</si>
  <si>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</si>
  <si>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</si>
  <si>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</si>
  <si>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</si>
  <si>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</si>
  <si>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</si>
  <si>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</si>
  <si>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</si>
  <si>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</si>
  <si>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</si>
  <si>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</si>
  <si>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</si>
  <si>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</si>
  <si>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</si>
  <si>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</si>
  <si>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</si>
  <si>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</si>
  <si>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</si>
  <si>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</si>
  <si>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</si>
  <si>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</si>
  <si>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</si>
  <si>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</si>
  <si>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</si>
  <si>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</si>
  <si>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</si>
  <si>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</si>
  <si>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</si>
  <si>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</si>
  <si>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</si>
  <si>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</si>
  <si>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</si>
  <si>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</si>
  <si>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</si>
  <si>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</si>
  <si>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</si>
  <si>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</si>
  <si>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</si>
  <si>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</si>
  <si>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</si>
  <si>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</si>
  <si>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</si>
  <si>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</si>
  <si>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</si>
  <si>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</si>
  <si>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</si>
  <si>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</si>
  <si>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</si>
  <si>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</si>
  <si>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</si>
  <si>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</si>
  <si>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</si>
  <si>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</si>
  <si>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</si>
  <si>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</si>
  <si>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</si>
  <si>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</si>
  <si>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</si>
  <si>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</si>
  <si>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</si>
  <si>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</si>
  <si>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</si>
  <si>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</si>
  <si>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</si>
  <si>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</si>
  <si>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</si>
  <si>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</si>
  <si>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</si>
  <si>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</si>
  <si>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</si>
  <si>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</si>
  <si>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</si>
  <si>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</si>
  <si>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</si>
  <si>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</si>
  <si>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</si>
  <si>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</si>
  <si>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</si>
  <si>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</si>
  <si>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</si>
  <si>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</si>
  <si>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</si>
  <si>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</si>
  <si>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</si>
  <si>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</si>
  <si>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</si>
  <si>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</si>
  <si>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</si>
  <si>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</si>
  <si>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</si>
  <si>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</si>
  <si>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</si>
  <si>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</si>
  <si>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</si>
  <si>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</si>
  <si>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</si>
  <si>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</si>
  <si>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</si>
  <si>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</si>
  <si>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</si>
  <si>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</si>
  <si>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</si>
  <si>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</si>
  <si>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</si>
  <si>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</si>
  <si>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</si>
  <si>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</si>
  <si>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</si>
  <si>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</si>
  <si>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</si>
  <si>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</si>
  <si>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</si>
  <si>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</si>
  <si>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</si>
  <si>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</si>
  <si>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</si>
  <si>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</si>
  <si>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</si>
  <si>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</si>
  <si>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</si>
  <si>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</si>
  <si>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</si>
  <si>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</si>
  <si>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</si>
  <si>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</si>
  <si>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</si>
  <si>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</si>
  <si>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</si>
  <si>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</si>
  <si>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</si>
  <si>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</si>
  <si>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</si>
  <si>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</si>
  <si>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</si>
  <si>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</si>
  <si>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</si>
  <si>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</si>
  <si>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</si>
  <si>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</si>
  <si>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</si>
  <si>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</si>
  <si>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</si>
  <si>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</si>
  <si>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</si>
  <si>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</si>
  <si>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</si>
  <si>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</si>
  <si>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</si>
  <si>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</si>
  <si>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</si>
  <si>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</si>
  <si>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</si>
  <si>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</si>
  <si>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</si>
  <si>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</si>
  <si>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</si>
  <si>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</si>
  <si>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</si>
  <si>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</si>
  <si>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</si>
  <si>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</si>
  <si>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</si>
  <si>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</si>
  <si>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</si>
  <si>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</si>
  <si>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</si>
  <si>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</si>
  <si>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</si>
  <si>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</si>
  <si>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</si>
  <si>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</si>
  <si>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</si>
  <si>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</si>
  <si>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</si>
  <si>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</si>
  <si>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</si>
  <si>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</si>
  <si>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</si>
  <si>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</si>
  <si>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</si>
  <si>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</si>
  <si>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</si>
  <si>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</si>
  <si>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</si>
  <si>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</si>
  <si>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</si>
  <si>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</si>
  <si>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</si>
  <si>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</si>
  <si>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</si>
  <si>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</si>
  <si>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</si>
  <si>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</si>
  <si>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</si>
  <si>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</si>
  <si>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</si>
  <si>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</si>
  <si>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</si>
  <si>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</si>
  <si>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</si>
  <si>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</si>
  <si>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</si>
  <si>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</si>
  <si>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</si>
  <si>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</si>
  <si>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</si>
  <si>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</si>
  <si>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</si>
  <si>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</si>
  <si>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</si>
  <si>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</si>
  <si>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</si>
  <si>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</si>
  <si>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</si>
  <si>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</si>
  <si>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</si>
  <si>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</si>
  <si>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</si>
  <si>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</si>
  <si>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</si>
  <si>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</si>
  <si>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</si>
  <si>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</si>
  <si>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</si>
  <si>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</si>
  <si>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</si>
  <si>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</si>
  <si>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</si>
  <si>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</si>
  <si>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</si>
  <si>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</si>
  <si>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</si>
  <si>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</si>
  <si>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</si>
  <si>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</si>
  <si>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</si>
  <si>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</si>
  <si>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</si>
  <si>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</si>
  <si>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</si>
  <si>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</si>
  <si>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</si>
  <si>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</si>
  <si>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</si>
  <si>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</si>
  <si>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</si>
  <si>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</si>
  <si>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</si>
  <si>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</si>
  <si>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</si>
  <si>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</si>
  <si>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</si>
  <si>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</si>
  <si>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</si>
  <si>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</si>
  <si>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</si>
  <si>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</si>
  <si>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</si>
  <si>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</si>
  <si>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</si>
  <si>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</si>
  <si>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</si>
  <si>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</si>
  <si>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</si>
  <si>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</si>
  <si>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</si>
  <si>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</si>
  <si>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</si>
  <si>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</si>
  <si>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</si>
  <si>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</si>
  <si>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</si>
  <si>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</si>
  <si>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</si>
  <si>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</si>
  <si>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</si>
  <si>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</si>
  <si>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</si>
  <si>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</si>
  <si>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</si>
  <si>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</si>
  <si>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</si>
  <si>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</si>
  <si>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</si>
  <si>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</si>
  <si>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</si>
  <si>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</si>
  <si>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</si>
  <si>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</si>
  <si>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</si>
  <si>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</si>
  <si>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</si>
  <si>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</si>
  <si>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</si>
  <si>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</si>
  <si>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</si>
  <si>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</si>
  <si>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</si>
  <si>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</si>
  <si>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</si>
  <si>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</si>
  <si>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</si>
  <si>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</si>
  <si>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</si>
  <si>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</si>
  <si>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</si>
  <si>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</si>
  <si>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</si>
  <si>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</si>
  <si>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</si>
  <si>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</si>
  <si>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</si>
  <si>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</si>
  <si>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</si>
  <si>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</si>
  <si>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</si>
  <si>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</si>
  <si>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</si>
  <si>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</si>
  <si>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</si>
  <si>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</si>
  <si>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</si>
  <si>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</si>
  <si>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</si>
  <si>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</si>
  <si>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</si>
  <si>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</si>
  <si>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</si>
  <si>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</si>
  <si>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</si>
  <si>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</si>
  <si>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</si>
  <si>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</si>
  <si>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</si>
  <si>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</si>
  <si>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</si>
  <si>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</si>
  <si>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</si>
  <si>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</si>
  <si>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</si>
  <si>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</si>
  <si>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</si>
  <si>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</si>
  <si>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</si>
  <si>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</si>
  <si>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</si>
  <si>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</si>
  <si>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</si>
  <si>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</si>
  <si>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</si>
  <si>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</si>
  <si>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</si>
  <si>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</si>
  <si>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</si>
  <si>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</si>
  <si>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</si>
  <si>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</si>
  <si>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</si>
  <si>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</si>
  <si>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</si>
  <si>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</si>
  <si>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</si>
  <si>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</si>
  <si>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</si>
  <si>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</si>
  <si>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</si>
  <si>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</si>
  <si>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</si>
  <si>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</si>
  <si>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</si>
  <si>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</si>
  <si>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</si>
  <si>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</si>
  <si>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</si>
  <si>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</si>
  <si>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</si>
  <si>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</si>
  <si>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</si>
  <si>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</si>
  <si>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</si>
  <si>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</si>
  <si>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</si>
  <si>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</si>
  <si>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</si>
  <si>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</si>
  <si>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</si>
  <si>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</si>
  <si>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</si>
  <si>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</si>
  <si>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</si>
  <si>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</si>
  <si>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</si>
  <si>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</si>
  <si>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</si>
  <si>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</si>
  <si>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</si>
  <si>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</si>
  <si>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</si>
  <si>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</si>
  <si>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</si>
  <si>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</si>
  <si>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</si>
  <si>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</si>
  <si>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</si>
  <si>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</si>
  <si>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</si>
  <si>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</si>
  <si>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</si>
  <si>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</si>
  <si>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</si>
  <si>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</si>
  <si>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</si>
  <si>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</si>
  <si>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</si>
  <si>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</si>
  <si>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</si>
  <si>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</si>
  <si>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</si>
  <si>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</si>
  <si>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</si>
  <si>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</si>
  <si>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</si>
  <si>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</si>
  <si>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</si>
  <si>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</si>
  <si>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</si>
  <si>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</si>
  <si>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</si>
  <si>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</si>
  <si>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</si>
  <si>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</si>
  <si>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</si>
  <si>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</si>
  <si>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</si>
  <si>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</si>
  <si>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</si>
  <si>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</si>
  <si>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</si>
  <si>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</si>
  <si>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</si>
  <si>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</si>
  <si>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</si>
  <si>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</si>
  <si>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</si>
  <si>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</si>
  <si>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</si>
  <si>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</si>
  <si>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</si>
  <si>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</si>
  <si>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</si>
  <si>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</si>
  <si>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</si>
  <si>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</si>
  <si>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</si>
  <si>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</si>
  <si>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</si>
  <si>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</si>
  <si>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</si>
  <si>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</si>
  <si>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</si>
  <si>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</si>
  <si>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</si>
  <si>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</si>
  <si>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</si>
  <si>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</si>
  <si>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</si>
  <si>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</si>
  <si>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</si>
  <si>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</si>
  <si>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</si>
  <si>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</si>
  <si>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</si>
  <si>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</si>
  <si>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</si>
  <si>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首钢资源</t>
  </si>
  <si>
    <t>0639.HK</t>
  </si>
  <si>
    <t/>
  </si>
  <si>
    <t>MAT_01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</si>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</sst>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C04B486E-6FC7-49BB-B6BA-011B4CED336A}"/>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639.HK_Valuation_backup.xlsx" TargetMode="External"/><Relationship Id="rId1" Type="http://schemas.openxmlformats.org/officeDocument/2006/relationships/externalLinkPath" Target="063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5091065770</v>
          </cell>
        </row>
        <row r="12">
          <cell r="C12">
            <v>2.62</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45807</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首钢资源</v>
      </c>
    </row>
    <row r="6" spans="1:10">
      <c r="B6" s="4" t="s">
        <v>480</v>
      </c>
      <c r="C6" s="34">
        <f>Common_Shares</f>
        <v>5091065770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0639.HK</v>
      </c>
      <c r="D11" s="49"/>
      <c r="E11" s="34"/>
    </row>
    <row r="12" spans="1:10">
      <c r="B12" s="4" t="s">
        <v>484</v>
      </c>
      <c r="C12" s="366">
        <f>Market_Price</f>
        <v>2.63</v>
      </c>
      <c r="D12" s="50"/>
      <c r="E12" s="48"/>
    </row>
    <row r="13" spans="1:10">
      <c r="B13" s="1" t="s">
        <v>485</v>
      </c>
      <c r="C13" s="32" t="str">
        <f>Market_currency</f>
        <v>HKD</v>
      </c>
      <c r="D13" s="48"/>
      <c r="E13" s="5"/>
    </row>
    <row r="14" spans="1:10">
      <c r="B14" s="4" t="s">
        <v>486</v>
      </c>
      <c r="C14" s="35">
        <f>投资主题!C12*Common_Shares/1000000</f>
        <v>13389.5029751</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MAT_01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4.4858408799140586</v>
      </c>
      <c r="D26" s="1" t="s">
        <v>446</v>
      </c>
      <c r="E26" s="301">
        <f ca="1">Scenarios!C87</f>
        <v>0.28236042533963035</v>
      </c>
    </row>
    <row r="27" spans="2:6">
      <c r="D27" s="5"/>
      <c r="E27" s="5"/>
    </row>
    <row r="28" spans="2:6">
      <c r="B28" s="45" t="s">
        <v>448</v>
      </c>
      <c r="C28" s="309" t="str">
        <f>C145&amp;" ("&amp;Market_currency&amp;")"</f>
        <v>0639.HK (HKD)</v>
      </c>
      <c r="D28" s="309" t="str">
        <f>IF(D11="","",D145&amp;" ("&amp;D13&amp;")")</f>
        <v/>
      </c>
      <c r="E28" s="305" t="s">
        <v>453</v>
      </c>
      <c r="F28" s="361">
        <f>Thesis!F28</f>
        <v>3</v>
      </c>
    </row>
    <row r="29" spans="2:6">
      <c r="B29" s="1" t="s">
        <v>449</v>
      </c>
      <c r="C29" s="310">
        <f>C149</f>
        <v>2.2811221378505544</v>
      </c>
      <c r="D29" s="310" t="str">
        <f>D149</f>
        <v/>
      </c>
      <c r="E29" s="306" t="s">
        <v>455</v>
      </c>
      <c r="F29" s="362">
        <f>Thesis!F29</f>
        <v>0.35</v>
      </c>
    </row>
    <row r="30" spans="2:6">
      <c r="B30" s="1" t="s">
        <v>450</v>
      </c>
      <c r="C30" s="311">
        <f>C157</f>
        <v>2.823790530515998</v>
      </c>
      <c r="D30" s="311" t="str">
        <f>D157</f>
        <v/>
      </c>
      <c r="E30" s="307" t="s">
        <v>454</v>
      </c>
      <c r="F30" s="224">
        <f>Thesis!F30</f>
        <v>0.25</v>
      </c>
    </row>
    <row r="31" spans="2:6">
      <c r="B31" s="1" t="s">
        <v>451</v>
      </c>
      <c r="C31" s="311">
        <f>C165</f>
        <v>4.3130669791905083</v>
      </c>
      <c r="D31" s="311" t="str">
        <f>D165</f>
        <v/>
      </c>
      <c r="E31" s="307" t="s">
        <v>491</v>
      </c>
      <c r="F31" s="224">
        <f>Thesis!F31</f>
        <v>7.4999999999999997E-2</v>
      </c>
    </row>
    <row r="32" spans="2:6">
      <c r="B32" s="1" t="s">
        <v>452</v>
      </c>
      <c r="C32" s="311">
        <f>C173</f>
        <v>3.8666759160925035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v>
      </c>
    </row>
    <row r="40" spans="1:6">
      <c r="B40" s="370" t="s">
        <v>494</v>
      </c>
      <c r="C40" s="370"/>
      <c r="D40" s="370"/>
      <c r="E40" s="370"/>
      <c r="F40" s="370"/>
    </row>
    <row r="41" spans="1:6">
      <c r="B41" s="47" t="s">
        <v>228</v>
      </c>
      <c r="C41" s="349">
        <f>Normalized_FCF!C8</f>
        <v>1880349.4511684938</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498</v>
      </c>
    </row>
    <row r="56" spans="2:6">
      <c r="B56" s="47" t="s">
        <v>261</v>
      </c>
      <c r="C56" s="349">
        <f>Normalized_FCF!C15</f>
        <v>-332702.30828345218</v>
      </c>
      <c r="D56" s="1" t="str">
        <f>Reporting_currency</f>
        <v>HKD</v>
      </c>
    </row>
    <row r="58" spans="2:6">
      <c r="B58" s="370" t="s">
        <v>237</v>
      </c>
      <c r="C58" s="370"/>
      <c r="D58" s="370"/>
      <c r="E58" s="370"/>
      <c r="F58" s="370"/>
    </row>
    <row r="59" spans="2:6">
      <c r="B59" s="47" t="s">
        <v>235</v>
      </c>
      <c r="C59" s="349">
        <f>Normalized_FCF!C14</f>
        <v>-474843.26014191285</v>
      </c>
      <c r="D59" s="1" t="str">
        <f>Reporting_currency</f>
        <v>HKD</v>
      </c>
    </row>
    <row r="61" spans="2:6">
      <c r="B61" s="370"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8.1543540053183483E-2</v>
      </c>
      <c r="F69" s="314"/>
    </row>
    <row r="70" spans="1:6">
      <c r="B70" s="227" t="s">
        <v>434</v>
      </c>
      <c r="C70" s="92">
        <f>Normalized_FCF!C94</f>
        <v>0.10266159695817492</v>
      </c>
      <c r="E70" s="47" t="s">
        <v>503</v>
      </c>
      <c r="F70" s="315">
        <f>Normalized_FCF!C92</f>
        <v>1.3988654526188369</v>
      </c>
    </row>
    <row r="72" spans="1:6">
      <c r="B72" s="210" t="s">
        <v>513</v>
      </c>
      <c r="C72" s="323" t="s">
        <v>429</v>
      </c>
      <c r="D72" s="323" t="s">
        <v>504</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2.8594601378649682</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514</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515</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c r="B116" s="371" t="s">
        <v>516</v>
      </c>
      <c r="C116" s="371"/>
      <c r="D116" s="371"/>
      <c r="E116" s="371"/>
      <c r="F116" s="371"/>
    </row>
    <row r="118" spans="1:6">
      <c r="B118" s="47" t="s">
        <v>517</v>
      </c>
      <c r="C118" s="223">
        <f>IF(valuation_method="DCF",DCF!C12,DDM!C7)</f>
        <v>4.4821665874192913</v>
      </c>
      <c r="D118" s="1" t="str">
        <f>Market_currency</f>
        <v>HKD</v>
      </c>
    </row>
    <row r="119" spans="1:6">
      <c r="B119" s="296" t="s">
        <v>550</v>
      </c>
      <c r="C119" s="223">
        <f>BS!D47</f>
        <v>0.79833937207218564</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0.27</v>
      </c>
      <c r="D143" s="212" t="str">
        <f>Market_currency</f>
        <v>HKD</v>
      </c>
    </row>
    <row r="145" spans="2:4">
      <c r="B145" s="210" t="s">
        <v>531</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532</v>
      </c>
      <c r="C150" s="298" t="str">
        <f>Market_currency</f>
        <v>HKD</v>
      </c>
      <c r="D150" s="298" t="str">
        <f>IF($D$11="","",D$13)</f>
        <v/>
      </c>
    </row>
    <row r="151" spans="2:4">
      <c r="B151" s="214" t="s">
        <v>533</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532</v>
      </c>
      <c r="C158" s="298" t="str">
        <f>Market_currency</f>
        <v>HKD</v>
      </c>
      <c r="D158" s="298" t="str">
        <f>IF($D$11="","",D$13)</f>
        <v/>
      </c>
    </row>
    <row r="159" spans="2:4">
      <c r="B159" s="214" t="s">
        <v>533</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532</v>
      </c>
      <c r="C166" s="298" t="str">
        <f>Market_currency</f>
        <v>HKD</v>
      </c>
      <c r="D166" s="298" t="str">
        <f>IF($D$11="","",D$13)</f>
        <v/>
      </c>
    </row>
    <row r="167" spans="2:4">
      <c r="B167" s="214" t="s">
        <v>533</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532</v>
      </c>
      <c r="C174" s="298" t="str">
        <f>Market_currency</f>
        <v>HKD</v>
      </c>
      <c r="D174" s="298" t="str">
        <f>IF($D$11="","",D$13)</f>
        <v/>
      </c>
    </row>
    <row r="175" spans="2:4">
      <c r="B175" s="214" t="s">
        <v>533</v>
      </c>
      <c r="C175" s="92">
        <f>Scenarios!F105</f>
        <v>0.13842067503200794</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45807</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5091065770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2.63</v>
      </c>
      <c r="D12" s="50"/>
      <c r="E12" s="48"/>
    </row>
    <row r="13" spans="1:10">
      <c r="B13" s="1" t="s">
        <v>464</v>
      </c>
      <c r="C13" s="48" t="s">
        <v>377</v>
      </c>
      <c r="D13" s="48"/>
      <c r="E13" s="5"/>
    </row>
    <row r="14" spans="1:10">
      <c r="B14" s="4" t="s">
        <v>465</v>
      </c>
      <c r="C14" s="35">
        <f>Thesis!C12*Common_Shares/1000000</f>
        <v>13389.5029751</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4.4858408799140586</v>
      </c>
      <c r="D26" s="1" t="s">
        <v>380</v>
      </c>
      <c r="E26" s="301">
        <f ca="1">Scenarios!C87</f>
        <v>0.28236042533963035</v>
      </c>
    </row>
    <row r="27" spans="2:6">
      <c r="D27" s="5"/>
      <c r="E27" s="5"/>
    </row>
    <row r="28" spans="2:6">
      <c r="B28" s="45" t="s">
        <v>409</v>
      </c>
      <c r="C28" s="309" t="str">
        <f>C145&amp;" ("&amp;Market_currency&amp;")"</f>
        <v>0639.HK (HKD)</v>
      </c>
      <c r="D28" s="309" t="str">
        <f>IF(D11="","",D145&amp;" ("&amp;D13&amp;")")</f>
        <v/>
      </c>
      <c r="E28" s="305" t="s">
        <v>405</v>
      </c>
      <c r="F28" s="303">
        <v>3</v>
      </c>
    </row>
    <row r="29" spans="2:6">
      <c r="B29" s="1" t="s">
        <v>401</v>
      </c>
      <c r="C29" s="310">
        <f>C149</f>
        <v>2.2811221378505544</v>
      </c>
      <c r="D29" s="310" t="str">
        <f>D149</f>
        <v/>
      </c>
      <c r="E29" s="306" t="s">
        <v>400</v>
      </c>
      <c r="F29" s="302">
        <v>0.35</v>
      </c>
    </row>
    <row r="30" spans="2:6">
      <c r="B30" s="1" t="s">
        <v>402</v>
      </c>
      <c r="C30" s="311">
        <f>C157</f>
        <v>2.823790530515998</v>
      </c>
      <c r="D30" s="311" t="str">
        <f>D157</f>
        <v/>
      </c>
      <c r="E30" s="307" t="s">
        <v>413</v>
      </c>
      <c r="F30" s="312">
        <v>0.25</v>
      </c>
    </row>
    <row r="31" spans="2:6">
      <c r="B31" s="1" t="s">
        <v>403</v>
      </c>
      <c r="C31" s="311">
        <f>C165</f>
        <v>4.3130669791905083</v>
      </c>
      <c r="D31" s="311" t="str">
        <f>D165</f>
        <v/>
      </c>
      <c r="E31" s="307" t="s">
        <v>412</v>
      </c>
      <c r="F31" s="312">
        <v>7.4999999999999997E-2</v>
      </c>
    </row>
    <row r="32" spans="2:6">
      <c r="B32" s="1" t="s">
        <v>404</v>
      </c>
      <c r="C32" s="311">
        <f>C173</f>
        <v>3.8666759160925035</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1880349.4511684938</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242</v>
      </c>
    </row>
    <row r="56" spans="2:6">
      <c r="B56" s="47" t="s">
        <v>261</v>
      </c>
      <c r="C56" s="349">
        <f>Normalized_FCF!C15</f>
        <v>-332702.30828345218</v>
      </c>
      <c r="D56" s="1" t="str">
        <f>Reporting_currency</f>
        <v>HKD</v>
      </c>
    </row>
    <row r="58" spans="2:6">
      <c r="B58" s="370" t="s">
        <v>237</v>
      </c>
      <c r="C58" s="370"/>
      <c r="D58" s="370"/>
      <c r="E58" s="370"/>
      <c r="F58" s="370"/>
    </row>
    <row r="59" spans="2:6">
      <c r="B59" s="47" t="s">
        <v>235</v>
      </c>
      <c r="C59" s="349">
        <f>Normalized_FCF!C14</f>
        <v>-474843.26014191285</v>
      </c>
      <c r="D59" s="1" t="str">
        <f>Reporting_currency</f>
        <v>HKD</v>
      </c>
    </row>
    <row r="61" spans="2:6">
      <c r="B61" s="370"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8.1543540053183483E-2</v>
      </c>
      <c r="F69" s="314"/>
    </row>
    <row r="70" spans="1:6">
      <c r="B70" s="227" t="s">
        <v>434</v>
      </c>
      <c r="C70" s="92">
        <f>Normalized_FCF!C94</f>
        <v>0.10266159695817492</v>
      </c>
      <c r="E70" s="47" t="s">
        <v>424</v>
      </c>
      <c r="F70" s="315">
        <f>Normalized_FCF!C92</f>
        <v>1.3988654526188369</v>
      </c>
    </row>
    <row r="72" spans="1:6">
      <c r="B72" s="210" t="s">
        <v>427</v>
      </c>
      <c r="C72" s="323" t="s">
        <v>429</v>
      </c>
      <c r="D72" s="323" t="s">
        <v>430</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2.8594601378649682</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250</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252</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ht="24.6" customHeight="1">
      <c r="B116" s="371" t="s">
        <v>352</v>
      </c>
      <c r="C116" s="371"/>
      <c r="D116" s="371"/>
      <c r="E116" s="371"/>
      <c r="F116" s="371"/>
    </row>
    <row r="118" spans="1:6">
      <c r="B118" s="47" t="s">
        <v>425</v>
      </c>
      <c r="C118" s="223">
        <f>IF(valuation_method="DCF",DCF!C12,DDM!C7)</f>
        <v>4.4821665874192913</v>
      </c>
      <c r="D118" s="1" t="str">
        <f>Market_currency</f>
        <v>HKD</v>
      </c>
    </row>
    <row r="119" spans="1:6">
      <c r="B119" s="296" t="s">
        <v>549</v>
      </c>
      <c r="C119" s="223">
        <f>BS!D47</f>
        <v>0.79833937207218564</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0.27</v>
      </c>
      <c r="D143" s="212" t="str">
        <f>Market_currency</f>
        <v>HKD</v>
      </c>
    </row>
    <row r="145" spans="2:4">
      <c r="B145" s="210" t="s">
        <v>388</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395</v>
      </c>
      <c r="C150" s="298" t="str">
        <f>Market_currency</f>
        <v>HKD</v>
      </c>
      <c r="D150" s="298" t="str">
        <f>IF($D$11="","",D$13)</f>
        <v/>
      </c>
    </row>
    <row r="151" spans="2:4">
      <c r="B151" s="214" t="s">
        <v>258</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395</v>
      </c>
      <c r="C158" s="298" t="str">
        <f>Market_currency</f>
        <v>HKD</v>
      </c>
      <c r="D158" s="298" t="str">
        <f>IF($D$11="","",D$13)</f>
        <v/>
      </c>
    </row>
    <row r="159" spans="2:4">
      <c r="B159" s="214" t="s">
        <v>258</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395</v>
      </c>
      <c r="C166" s="298" t="str">
        <f>Market_currency</f>
        <v>HKD</v>
      </c>
      <c r="D166" s="298" t="str">
        <f>IF($D$11="","",D$13)</f>
        <v/>
      </c>
    </row>
    <row r="167" spans="2:4">
      <c r="B167" s="214" t="s">
        <v>258</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395</v>
      </c>
      <c r="C174" s="298" t="str">
        <f>Market_currency</f>
        <v>HKD</v>
      </c>
      <c r="D174" s="298" t="str">
        <f>IF($D$11="","",D$13)</f>
        <v/>
      </c>
    </row>
    <row r="175" spans="2:4">
      <c r="B175" s="214" t="s">
        <v>258</v>
      </c>
      <c r="C175" s="92">
        <f>Scenarios!F105</f>
        <v>0.13842067503200794</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41</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52</v>
      </c>
      <c r="C6" s="351">
        <v>318991</v>
      </c>
      <c r="D6" s="351">
        <v>415858</v>
      </c>
      <c r="E6" s="351">
        <v>556324</v>
      </c>
      <c r="F6" s="351">
        <v>477644</v>
      </c>
      <c r="G6" s="351">
        <v>498500</v>
      </c>
      <c r="H6" s="351">
        <v>432342</v>
      </c>
      <c r="I6" s="351">
        <v>413972</v>
      </c>
      <c r="J6" s="351">
        <v>408672</v>
      </c>
      <c r="K6" s="351">
        <v>371167</v>
      </c>
      <c r="L6" s="351">
        <v>543649</v>
      </c>
      <c r="M6" s="351"/>
    </row>
    <row r="7" spans="2:13">
      <c r="B7" s="69" t="s">
        <v>59</v>
      </c>
      <c r="C7" s="352">
        <v>110092</v>
      </c>
      <c r="D7" s="352">
        <v>214562</v>
      </c>
      <c r="E7" s="352">
        <v>348512</v>
      </c>
      <c r="F7" s="352">
        <v>269741</v>
      </c>
      <c r="G7" s="352">
        <v>316586</v>
      </c>
      <c r="H7" s="352">
        <v>250051</v>
      </c>
      <c r="I7" s="352">
        <v>208621</v>
      </c>
      <c r="J7" s="352">
        <v>206638</v>
      </c>
      <c r="K7" s="352">
        <v>167412</v>
      </c>
      <c r="L7" s="352">
        <v>201907</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1746</v>
      </c>
      <c r="D12" s="351">
        <v>2921</v>
      </c>
      <c r="E12" s="351">
        <v>1360</v>
      </c>
      <c r="F12" s="351">
        <v>1275</v>
      </c>
      <c r="G12" s="351"/>
      <c r="H12" s="351"/>
      <c r="I12" s="351"/>
      <c r="J12" s="351"/>
      <c r="K12" s="351"/>
      <c r="L12" s="351"/>
      <c r="M12" s="351"/>
    </row>
    <row r="13" spans="2:13">
      <c r="B13" s="40" t="s">
        <v>65</v>
      </c>
      <c r="C13" s="351">
        <v>186780</v>
      </c>
      <c r="D13" s="351">
        <v>173638</v>
      </c>
      <c r="E13" s="351">
        <v>107067</v>
      </c>
      <c r="F13" s="351">
        <v>69578</v>
      </c>
      <c r="G13" s="351"/>
      <c r="H13" s="351"/>
      <c r="I13" s="351"/>
      <c r="J13" s="351"/>
      <c r="K13" s="351"/>
      <c r="L13" s="351"/>
      <c r="M13" s="351"/>
    </row>
    <row r="14" spans="2:13">
      <c r="B14" s="40" t="s">
        <v>48</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40</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42</v>
      </c>
      <c r="C16" s="351">
        <v>320909</v>
      </c>
      <c r="D16" s="351">
        <v>411691</v>
      </c>
      <c r="E16" s="351">
        <v>592781</v>
      </c>
      <c r="F16" s="351">
        <v>522336</v>
      </c>
      <c r="G16" s="351">
        <v>107242</v>
      </c>
      <c r="H16" s="351">
        <v>35728</v>
      </c>
      <c r="I16" s="351">
        <v>51440</v>
      </c>
      <c r="J16" s="351">
        <v>101935</v>
      </c>
      <c r="K16" s="351">
        <v>-44139</v>
      </c>
      <c r="L16" s="351">
        <v>-295004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356</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355</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26</v>
      </c>
      <c r="C27" s="97" t="s">
        <v>558</v>
      </c>
    </row>
    <row r="28" spans="2:13">
      <c r="B28" s="26" t="s">
        <v>22</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30</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38</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28</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168</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41</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56</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52</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59</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62</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164</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66</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40</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42</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66</v>
      </c>
    </row>
    <row r="51" spans="2:13">
      <c r="B51" s="40" t="s">
        <v>37</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34</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56</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164</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83</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84</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38</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28</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519815+18089</f>
        <v>537904</v>
      </c>
      <c r="D4" s="261">
        <v>0.6</v>
      </c>
      <c r="E4" s="25"/>
      <c r="F4" s="4" t="s">
        <v>75</v>
      </c>
      <c r="G4" s="19">
        <f>1505443+7675879</f>
        <v>9181322</v>
      </c>
      <c r="H4" s="261">
        <v>0.9</v>
      </c>
    </row>
    <row r="5" spans="2:8" ht="15" customHeight="1">
      <c r="B5" s="1" t="s">
        <v>31</v>
      </c>
      <c r="C5" s="19">
        <v>0</v>
      </c>
      <c r="D5" s="261">
        <v>0.6</v>
      </c>
      <c r="E5" s="25"/>
      <c r="F5" s="1" t="s">
        <v>27</v>
      </c>
      <c r="G5" s="19">
        <v>937107</v>
      </c>
      <c r="H5" s="261">
        <v>0.7</v>
      </c>
    </row>
    <row r="6" spans="2:8" ht="15" customHeight="1">
      <c r="B6" s="4" t="s">
        <v>8</v>
      </c>
      <c r="C6" s="19">
        <v>137638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207695</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883237</v>
      </c>
      <c r="D12" s="20">
        <f>C4*D4+C5*D5+C9*D9+C6*D6+C8*D8+C7*D7+C10*D10+C11*D11</f>
        <v>412330.89999999997</v>
      </c>
      <c r="F12" s="80" t="s">
        <v>68</v>
      </c>
      <c r="G12" s="81">
        <f>SUM(G4:G9)</f>
        <v>10118429</v>
      </c>
      <c r="H12" s="20">
        <f>G4*H4+G5*H5+G6*H6+G7*H7+G8*H8+G9*H9</f>
        <v>8919164.6999999993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453310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439187</f>
        <v>439187</v>
      </c>
      <c r="H17" s="261">
        <v>0.6</v>
      </c>
    </row>
    <row r="18" spans="2:8" ht="15" customHeight="1">
      <c r="B18" s="4" t="s">
        <v>169</v>
      </c>
      <c r="C18" s="19">
        <v>0</v>
      </c>
      <c r="D18" s="261">
        <v>0.6</v>
      </c>
      <c r="F18" s="4" t="s">
        <v>177</v>
      </c>
      <c r="G18" s="19">
        <v>0</v>
      </c>
      <c r="H18" s="261">
        <v>0.1</v>
      </c>
    </row>
    <row r="19" spans="2:8" ht="15" customHeight="1">
      <c r="B19" s="4" t="s">
        <v>24</v>
      </c>
      <c r="C19" s="19">
        <f>3715248+73168+31796</f>
        <v>3820212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5970133</v>
      </c>
      <c r="D21" s="261">
        <v>0.05</v>
      </c>
      <c r="F21" s="1" t="s">
        <v>176</v>
      </c>
      <c r="G21" s="19">
        <v>0</v>
      </c>
      <c r="H21" s="261">
        <v>0.1</v>
      </c>
    </row>
    <row r="22" spans="2:8" ht="15" customHeight="1">
      <c r="B22" s="4" t="s">
        <v>18</v>
      </c>
      <c r="C22" s="19">
        <v>84764</v>
      </c>
      <c r="D22" s="261">
        <v>0.9</v>
      </c>
      <c r="H22" s="262"/>
    </row>
    <row r="23" spans="2:8" ht="15" customHeight="1">
      <c r="B23" s="4" t="s">
        <v>19</v>
      </c>
      <c r="C23" s="19">
        <f>1179551</f>
        <v>1179551</v>
      </c>
      <c r="D23" s="261">
        <v>0</v>
      </c>
      <c r="H23" s="262"/>
    </row>
    <row r="24" spans="2:8" ht="15" customHeight="1">
      <c r="B24" s="80" t="s">
        <v>71</v>
      </c>
      <c r="C24" s="81">
        <f>SUM(C15:C23)</f>
        <v>11507970</v>
      </c>
      <c r="D24" s="20">
        <f>C15*D15+C16*D16+C18*D18+C17*D17+C19*D19+C20*D20+C21*D21+C22*D22+C23*D23</f>
        <v>938139.45</v>
      </c>
      <c r="F24" s="80" t="s">
        <v>69</v>
      </c>
      <c r="G24" s="81">
        <f>SUM(G15:G21)</f>
        <v>439187</v>
      </c>
      <c r="H24" s="20">
        <f>G15*H15+G16*H16+G17*H17+G18*H18+G19*H19+G20*H20+G21*H21</f>
        <v>263512.2</v>
      </c>
    </row>
    <row r="26" spans="2:8" ht="15" customHeight="1">
      <c r="B26" s="16" t="s">
        <v>196</v>
      </c>
      <c r="C26" s="182" t="s">
        <v>132</v>
      </c>
      <c r="F26" s="184" t="s">
        <v>192</v>
      </c>
      <c r="G26" s="185" t="s">
        <v>132</v>
      </c>
      <c r="H26" s="186" t="s">
        <v>33</v>
      </c>
    </row>
    <row r="27" spans="2:8" ht="15" customHeight="1">
      <c r="B27" s="4" t="s">
        <v>3</v>
      </c>
      <c r="C27" s="19">
        <v>0</v>
      </c>
      <c r="F27" s="187" t="s">
        <v>28</v>
      </c>
      <c r="G27" s="85">
        <f>G32-G30</f>
        <v>18901257</v>
      </c>
      <c r="H27" s="188">
        <f>H32-G30</f>
        <v>6485581.2499999981</v>
      </c>
    </row>
    <row r="28" spans="2:8" ht="15" customHeight="1">
      <c r="B28" s="4" t="s">
        <v>4</v>
      </c>
      <c r="C28" s="19">
        <v>12125</v>
      </c>
      <c r="F28" s="189" t="s">
        <v>240</v>
      </c>
      <c r="G28" s="12">
        <v>2421183</v>
      </c>
      <c r="H28" s="188"/>
    </row>
    <row r="29" spans="2:8" ht="15" customHeight="1">
      <c r="B29" s="4" t="s">
        <v>5</v>
      </c>
      <c r="C29" s="19">
        <v>0</v>
      </c>
      <c r="F29" s="190" t="s">
        <v>73</v>
      </c>
      <c r="G29" s="14">
        <f>G27-G28</f>
        <v>16480074</v>
      </c>
      <c r="H29" s="188">
        <f>H27-G28</f>
        <v>4064398.2499999981</v>
      </c>
    </row>
    <row r="30" spans="2:8" ht="15" customHeight="1">
      <c r="B30" s="2" t="s">
        <v>6</v>
      </c>
      <c r="C30" s="19">
        <v>0</v>
      </c>
      <c r="F30" s="187" t="s">
        <v>21</v>
      </c>
      <c r="G30" s="85">
        <f>C33+C42</f>
        <v>4047566</v>
      </c>
      <c r="H30" s="188"/>
    </row>
    <row r="31" spans="2:8" ht="15" customHeight="1">
      <c r="B31" s="80" t="s">
        <v>199</v>
      </c>
      <c r="C31" s="81">
        <f>SUM(C27:C30)</f>
        <v>12125</v>
      </c>
      <c r="F31" s="190" t="s">
        <v>74</v>
      </c>
      <c r="G31" s="191">
        <f>C31+C40</f>
        <v>43677</v>
      </c>
      <c r="H31" s="188"/>
    </row>
    <row r="32" spans="2:8" ht="15" customHeight="1">
      <c r="B32" s="4" t="s">
        <v>7</v>
      </c>
      <c r="C32" s="21">
        <f>C33-C31</f>
        <v>2578910</v>
      </c>
      <c r="F32" s="192" t="s">
        <v>72</v>
      </c>
      <c r="G32" s="193">
        <f>G35+G40</f>
        <v>22948823</v>
      </c>
      <c r="H32" s="188">
        <f>H35+H40</f>
        <v>10533147.249999998</v>
      </c>
    </row>
    <row r="33" spans="2:8" ht="15" customHeight="1">
      <c r="B33" s="83" t="s">
        <v>2</v>
      </c>
      <c r="C33" s="84">
        <v>2591035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12391207</v>
      </c>
      <c r="H35" s="200">
        <f>D12+D24</f>
        <v>1350470.3499999999</v>
      </c>
    </row>
    <row r="36" spans="2:8" ht="15" customHeight="1">
      <c r="B36" s="4" t="s">
        <v>11</v>
      </c>
      <c r="C36" s="19">
        <v>0</v>
      </c>
      <c r="F36" s="190" t="s">
        <v>193</v>
      </c>
      <c r="G36" s="191">
        <f>C4+C15</f>
        <v>991214</v>
      </c>
      <c r="H36" s="195"/>
    </row>
    <row r="37" spans="2:8" ht="15" customHeight="1">
      <c r="B37" s="4" t="s">
        <v>12</v>
      </c>
      <c r="C37" s="19">
        <v>31552</v>
      </c>
      <c r="F37" s="190" t="s">
        <v>194</v>
      </c>
      <c r="G37" s="191">
        <f>C6</f>
        <v>137638</v>
      </c>
      <c r="H37" s="195"/>
    </row>
    <row r="38" spans="2:8" ht="15" customHeight="1">
      <c r="B38" s="4" t="s">
        <v>13</v>
      </c>
      <c r="C38" s="19">
        <v>0</v>
      </c>
      <c r="F38" s="190" t="s">
        <v>195</v>
      </c>
      <c r="G38" s="191">
        <f>C7+C17</f>
        <v>0</v>
      </c>
      <c r="H38" s="195"/>
    </row>
    <row r="39" spans="2:8" ht="15" customHeight="1">
      <c r="B39" s="2" t="s">
        <v>14</v>
      </c>
      <c r="C39" s="19">
        <v>0</v>
      </c>
      <c r="F39" s="190" t="s">
        <v>77</v>
      </c>
      <c r="G39" s="191">
        <f>C7+C17+C19+C20</f>
        <v>3820212</v>
      </c>
      <c r="H39" s="188">
        <f>C7*D7+C17*D17+C19*D19+C20*D20</f>
        <v>382021.2</v>
      </c>
    </row>
    <row r="40" spans="2:8" ht="15" customHeight="1">
      <c r="B40" s="80" t="s">
        <v>200</v>
      </c>
      <c r="C40" s="81">
        <f>SUM(C36:C39)</f>
        <v>31552</v>
      </c>
      <c r="F40" s="199" t="s">
        <v>134</v>
      </c>
      <c r="G40" s="193">
        <f>G12+G24</f>
        <v>10557616</v>
      </c>
      <c r="H40" s="200">
        <f>H12+H24</f>
        <v>9182676.8999999985</v>
      </c>
    </row>
    <row r="41" spans="2:8" ht="15" customHeight="1">
      <c r="B41" s="4" t="s">
        <v>15</v>
      </c>
      <c r="C41" s="21">
        <f>C42-C40</f>
        <v>1424979</v>
      </c>
      <c r="F41" s="190" t="s">
        <v>187</v>
      </c>
      <c r="G41" s="191">
        <f>C70</f>
        <v>10118429</v>
      </c>
      <c r="H41" s="200">
        <f>H40-H42</f>
        <v>8919164.6999999993</v>
      </c>
    </row>
    <row r="42" spans="2:8" ht="15" customHeight="1">
      <c r="B42" s="83" t="s">
        <v>20</v>
      </c>
      <c r="C42" s="84">
        <v>1456531</v>
      </c>
      <c r="F42" s="201" t="s">
        <v>188</v>
      </c>
      <c r="G42" s="202">
        <f>C82</f>
        <v>439187</v>
      </c>
      <c r="H42" s="203">
        <f>D82</f>
        <v>263512.2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2.3228129203780753E-2</v>
      </c>
      <c r="D50" s="95">
        <f>G31/Normalized_FCF!G8</f>
        <v>1.9246709260867668E-2</v>
      </c>
      <c r="F50" s="253"/>
    </row>
    <row r="51" spans="2:8" ht="15" customHeight="1">
      <c r="B51" s="1" t="s">
        <v>172</v>
      </c>
      <c r="C51" s="181"/>
      <c r="D51" s="92">
        <f>G29/G32</f>
        <v>0.71812284229130185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0.15174869172700398</v>
      </c>
      <c r="D54" s="92">
        <f>Normalized_FCF!G8/G35</f>
        <v>0.18313978614028481</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0.16646657652115754</v>
      </c>
      <c r="F59" s="253"/>
    </row>
    <row r="60" spans="2:8" ht="15" customHeight="1">
      <c r="F60" s="253"/>
    </row>
    <row r="61" spans="2:8" ht="15" customHeight="1">
      <c r="B61" s="157" t="s">
        <v>269</v>
      </c>
      <c r="C61" s="235" t="s">
        <v>133</v>
      </c>
      <c r="D61" s="197" t="s">
        <v>92</v>
      </c>
      <c r="F61" s="253"/>
    </row>
    <row r="62" spans="2:8" ht="15" customHeight="1">
      <c r="B62" s="1" t="s">
        <v>241</v>
      </c>
      <c r="C62" s="92">
        <f>IF(G28&lt;=0,0,G28/G29)</f>
        <v>0.14691578448009396</v>
      </c>
      <c r="D62" s="92">
        <f>G28/G29</f>
        <v>0.14691578448009396</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10118429</v>
      </c>
      <c r="D66" s="76">
        <f>C66-D75</f>
        <v>8041470.060084247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10118429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-359583.06091666664</v>
      </c>
      <c r="D73" s="349">
        <f>(Normalized_FCF!C25+Normalized_FCF!C35-Normalized_FCF!C91)/12</f>
        <v>-346159.82331929216</v>
      </c>
      <c r="F73" s="1" t="s">
        <v>342</v>
      </c>
    </row>
    <row r="74" spans="2:6" ht="15" customHeight="1">
      <c r="B74" s="257" t="s">
        <v>312</v>
      </c>
      <c r="C74" s="258">
        <f>-$C$66/C73</f>
        <v>28.139337192930078</v>
      </c>
      <c r="D74" s="258">
        <f>-$C$66/D73</f>
        <v>29.230512377130857</v>
      </c>
      <c r="F74" s="253" t="s">
        <v>310</v>
      </c>
    </row>
    <row r="75" spans="2:6" ht="15" customHeight="1">
      <c r="B75" s="80" t="s">
        <v>311</v>
      </c>
      <c r="C75" s="320"/>
      <c r="D75" s="321">
        <f>MAX(-D73*D76,G5)</f>
        <v>2076958.939915753</v>
      </c>
      <c r="F75" s="253" t="s">
        <v>343</v>
      </c>
    </row>
    <row r="76" spans="2:6" ht="15" customHeight="1">
      <c r="B76" s="259" t="s">
        <v>313</v>
      </c>
      <c r="C76" s="260"/>
      <c r="D76" s="290">
        <f>IF(valuation_method="DCF",IF(D74&lt;=3,1,IF(D74&gt;18,6,2)),-C66/D73)</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439187</v>
      </c>
      <c r="D79" s="76">
        <f>G7*H7+G17*H17</f>
        <v>263512.2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439187</v>
      </c>
      <c r="D82" s="81">
        <f>SUM(D79:D81)</f>
        <v>263512.2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-43677</v>
      </c>
      <c r="D86" s="223">
        <f>C86*scaling_factor/Common_Shares</f>
        <v>-8.5791466803226933E-3</v>
      </c>
      <c r="E86" s="240" t="str">
        <f>Market_currency</f>
        <v>HKD</v>
      </c>
    </row>
    <row r="87" spans="2:8" ht="15" customHeight="1">
      <c r="B87" s="238" t="s">
        <v>282</v>
      </c>
      <c r="C87" s="76">
        <f>DCF!C8*Exchange_Rate</f>
        <v>8041470.060084247</v>
      </c>
      <c r="D87" s="223">
        <f>C87*scaling_factor/Common_Shares</f>
        <v>1.5795258642050989</v>
      </c>
      <c r="E87" s="240" t="str">
        <f>Market_currency</f>
        <v>HKD</v>
      </c>
    </row>
    <row r="88" spans="2:8" ht="15" customHeight="1">
      <c r="B88" s="239" t="s">
        <v>185</v>
      </c>
      <c r="C88" s="76">
        <f>DCF!C9*Exchange_Rate</f>
        <v>263512.2</v>
      </c>
      <c r="D88" s="223">
        <f>C88*scaling_factor/Common_Shares</f>
        <v>5.1759732029547124E-2</v>
      </c>
      <c r="E88" s="240" t="str">
        <f>Market_currency</f>
        <v>HKD</v>
      </c>
    </row>
    <row r="89" spans="2:8" ht="15" customHeight="1">
      <c r="B89" s="80" t="s">
        <v>286</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44</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46</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43</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148</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61</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239</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150</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60</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44</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0.50175360512795497</v>
      </c>
      <c r="D28" s="26"/>
      <c r="E28" s="266" t="s">
        <v>324</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324</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44</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-208899</v>
      </c>
      <c r="E33" s="266" t="s">
        <v>324</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1.845938732188564E-2</v>
      </c>
      <c r="H53" s="169"/>
      <c r="I53" s="169"/>
      <c r="J53" s="169"/>
      <c r="K53" s="169"/>
      <c r="L53" s="169"/>
      <c r="M53" s="169"/>
      <c r="N53" s="169"/>
      <c r="O53" s="169"/>
      <c r="P53" s="169"/>
      <c r="Q53" s="169"/>
    </row>
    <row r="54" spans="1:17" ht="15.75" customHeight="1">
      <c r="A54" s="10"/>
      <c r="B54" s="8" t="s">
        <v>85</v>
      </c>
      <c r="C54" s="82">
        <f>G54</f>
        <v>3.9975273026993614E-2</v>
      </c>
      <c r="E54" s="265" t="s">
        <v>327</v>
      </c>
      <c r="G54" s="23">
        <f>IFERROR(ABS(Normalized_FCF!G47/BS!$G$31),0)</f>
        <v>3.9975273026993614E-2</v>
      </c>
      <c r="H54" s="169"/>
      <c r="I54" s="169"/>
      <c r="J54" s="169"/>
      <c r="K54" s="169"/>
      <c r="L54" s="169"/>
      <c r="M54" s="169"/>
      <c r="N54" s="169"/>
      <c r="O54" s="169"/>
      <c r="P54" s="169"/>
      <c r="Q54" s="169"/>
    </row>
    <row r="55" spans="1:17" ht="15.75" customHeight="1">
      <c r="A55" s="10"/>
      <c r="B55" s="26" t="s">
        <v>88</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191</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46</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43</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148</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61</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150</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0.10266159695817492</v>
      </c>
      <c r="E94" s="268"/>
      <c r="G94" s="23">
        <f t="shared" ref="G94:Q94" si="39">IF(G$4="","",(G90*(1-dividend_tax_rate))/Market_Price)</f>
        <v>0.10266159695817492</v>
      </c>
      <c r="H94" s="23">
        <f t="shared" si="39"/>
        <v>9.5817490494296609E-2</v>
      </c>
      <c r="I94" s="23">
        <f t="shared" si="39"/>
        <v>0.14714828897338406</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-0.10877049634170466</v>
      </c>
      <c r="D97" s="27"/>
      <c r="E97" s="265"/>
      <c r="F97" s="27"/>
      <c r="G97" s="6">
        <f t="shared" ref="G97:Q97" si="40">IF(H4="","",G4/H4-1)</f>
        <v>-0.1415817980712496</v>
      </c>
      <c r="H97" s="6">
        <f t="shared" si="40"/>
        <v>-0.28286433169533853</v>
      </c>
      <c r="I97" s="6">
        <f t="shared" si="40"/>
        <v>0.16095679679720432</v>
      </c>
      <c r="J97" s="6">
        <f t="shared" si="40"/>
        <v>0.77030391415856747</v>
      </c>
      <c r="K97" s="6">
        <f t="shared" si="40"/>
        <v>3.2988586072755233E-2</v>
      </c>
      <c r="L97" s="6">
        <f t="shared" si="40"/>
        <v>4.9680753170765479E-2</v>
      </c>
      <c r="M97" s="6">
        <f t="shared" si="40"/>
        <v>6.1710487735611608E-2</v>
      </c>
      <c r="N97" s="6">
        <f t="shared" si="40"/>
        <v>0.91831083190368457</v>
      </c>
      <c r="O97" s="6">
        <f t="shared" si="40"/>
        <v>-9.3529644215324947E-2</v>
      </c>
      <c r="P97" s="6" t="str">
        <f t="shared" si="40"/>
        <v/>
      </c>
      <c r="Q97" s="6" t="str">
        <f t="shared" si="40"/>
        <v/>
      </c>
    </row>
    <row r="98" spans="1:17" ht="15.75" customHeight="1">
      <c r="A98" s="10"/>
      <c r="B98" s="70" t="s">
        <v>160</v>
      </c>
      <c r="C98" s="77">
        <f>C13/G13-1</f>
        <v>-0.17630446220988327</v>
      </c>
      <c r="D98" s="27"/>
      <c r="E98" s="265"/>
      <c r="F98" s="27"/>
      <c r="G98" s="6">
        <f t="shared" ref="G98:Q98" si="41">IF(H5="","",G13/H13-1)</f>
        <v>-0.2520278721940431</v>
      </c>
      <c r="H98" s="6">
        <f t="shared" si="41"/>
        <v>-0.3515010495227936</v>
      </c>
      <c r="I98" s="6">
        <f t="shared" si="41"/>
        <v>0.20965989881388936</v>
      </c>
      <c r="J98" s="6">
        <f t="shared" si="41"/>
        <v>1.867087514324127</v>
      </c>
      <c r="K98" s="6">
        <f t="shared" si="41"/>
        <v>-0.11930986937171073</v>
      </c>
      <c r="L98" s="6">
        <f t="shared" si="41"/>
        <v>4.6974579064557931E-2</v>
      </c>
      <c r="M98" s="6">
        <f t="shared" si="41"/>
        <v>1.3525306599978748E-2</v>
      </c>
      <c r="N98" s="6">
        <f t="shared" si="41"/>
        <v>5.2182333090267772</v>
      </c>
      <c r="O98" s="6">
        <f t="shared" si="41"/>
        <v>-5.2530066172625807</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22948823</v>
      </c>
      <c r="D102" s="26"/>
      <c r="E102" s="269"/>
      <c r="F102" s="26"/>
      <c r="G102" s="333">
        <f t="shared" ref="G102:Q102" si="42">IF(G$4="","",G106+G105)</f>
        <v>22948823</v>
      </c>
      <c r="H102" s="333">
        <f t="shared" si="42"/>
        <v>22491544</v>
      </c>
      <c r="I102" s="333">
        <f t="shared" si="42"/>
        <v>23463484</v>
      </c>
      <c r="J102" s="333">
        <f t="shared" si="42"/>
        <v>24779977</v>
      </c>
      <c r="K102" s="333">
        <f t="shared" si="42"/>
        <v>21433646</v>
      </c>
      <c r="L102" s="333">
        <f t="shared" si="42"/>
        <v>21472710</v>
      </c>
      <c r="M102" s="333">
        <f t="shared" si="42"/>
        <v>21251042</v>
      </c>
      <c r="N102" s="333">
        <f t="shared" si="42"/>
        <v>21694645</v>
      </c>
      <c r="O102" s="333">
        <f t="shared" si="42"/>
        <v>19104456</v>
      </c>
      <c r="P102" s="333">
        <f t="shared" si="42"/>
        <v>20727669</v>
      </c>
      <c r="Q102" s="333" t="str">
        <f t="shared" si="42"/>
        <v/>
      </c>
    </row>
    <row r="103" spans="1:17" ht="15.75" customHeight="1">
      <c r="A103" s="10"/>
      <c r="B103" s="93" t="s">
        <v>206</v>
      </c>
      <c r="C103" s="345">
        <f>BS!C4</f>
        <v>537904</v>
      </c>
      <c r="D103" s="89"/>
      <c r="E103" s="270"/>
      <c r="F103" s="89"/>
      <c r="G103" s="346">
        <f>IF(G$4="","",Data!D77)</f>
        <v>687833</v>
      </c>
      <c r="H103" s="346">
        <f>IF(H$4="","",Data!E77)</f>
        <v>2889765</v>
      </c>
      <c r="I103" s="346">
        <f>IF(I$4="","",Data!F77)</f>
        <v>3144251</v>
      </c>
      <c r="J103" s="346">
        <f>IF(J$4="","",Data!G77)</f>
        <v>2049144</v>
      </c>
      <c r="K103" s="346">
        <f>IF(K$4="","",Data!H77)</f>
        <v>1797319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137638</v>
      </c>
      <c r="D104" s="89"/>
      <c r="E104" s="270"/>
      <c r="F104" s="89"/>
      <c r="G104" s="346">
        <f>IF(G$4="","",Data!D78)</f>
        <v>125636</v>
      </c>
      <c r="H104" s="346">
        <f>IF(H$4="","",Data!E78)</f>
        <v>42046</v>
      </c>
      <c r="I104" s="346">
        <f>IF(I$4="","",Data!F78)</f>
        <v>142658</v>
      </c>
      <c r="J104" s="346">
        <f>IF(J$4="","",Data!G78)</f>
        <v>131170</v>
      </c>
      <c r="K104" s="346">
        <f>IF(K$4="","",Data!H78)</f>
        <v>123530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4047566</v>
      </c>
      <c r="D105" s="26"/>
      <c r="E105" s="269"/>
      <c r="F105" s="26"/>
      <c r="G105" s="333">
        <f>Data!C79</f>
        <v>4047566</v>
      </c>
      <c r="H105" s="333">
        <f>Data!D79</f>
        <v>4021026</v>
      </c>
      <c r="I105" s="333">
        <f>Data!E79</f>
        <v>4786265</v>
      </c>
      <c r="J105" s="333">
        <f>Data!F79</f>
        <v>5631759</v>
      </c>
      <c r="K105" s="333">
        <f>Data!G79</f>
        <v>4142576</v>
      </c>
      <c r="L105" s="333">
        <f>Data!H79</f>
        <v>4426398</v>
      </c>
      <c r="M105" s="333">
        <f>Data!I79</f>
        <v>4475236</v>
      </c>
      <c r="N105" s="333">
        <f>Data!J79</f>
        <v>4318962</v>
      </c>
      <c r="O105" s="333">
        <f>Data!K79</f>
        <v>3438763</v>
      </c>
      <c r="P105" s="333">
        <f>Data!L79</f>
        <v>3683389</v>
      </c>
      <c r="Q105" s="333" t="str">
        <f>Data!M79</f>
        <v/>
      </c>
    </row>
    <row r="106" spans="1:17" ht="15.75" customHeight="1">
      <c r="A106" s="10"/>
      <c r="B106" s="26" t="s">
        <v>28</v>
      </c>
      <c r="C106" s="344">
        <f>BS!G27</f>
        <v>18901257</v>
      </c>
      <c r="D106" s="26"/>
      <c r="E106" s="269"/>
      <c r="F106" s="26"/>
      <c r="G106" s="333">
        <f>Data!C80</f>
        <v>18901257</v>
      </c>
      <c r="H106" s="333">
        <f>Data!D80</f>
        <v>18470518</v>
      </c>
      <c r="I106" s="333">
        <f>Data!E80</f>
        <v>18677219</v>
      </c>
      <c r="J106" s="333">
        <f>Data!F80</f>
        <v>19148218</v>
      </c>
      <c r="K106" s="333">
        <f>Data!G80</f>
        <v>17291070</v>
      </c>
      <c r="L106" s="333">
        <f>Data!H80</f>
        <v>17046312</v>
      </c>
      <c r="M106" s="333">
        <f>Data!I80</f>
        <v>16775806</v>
      </c>
      <c r="N106" s="333">
        <f>Data!J80</f>
        <v>17375683</v>
      </c>
      <c r="O106" s="333">
        <f>Data!K80</f>
        <v>15665693</v>
      </c>
      <c r="P106" s="333">
        <f>Data!L80</f>
        <v>17044280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0.11934995649827392</v>
      </c>
      <c r="D109" s="26"/>
      <c r="E109" s="269"/>
      <c r="F109" s="26"/>
      <c r="G109" s="94">
        <f t="shared" ref="G109:Q109" si="43">IF(G$4="","",G103/G$4)</f>
        <v>0.1360160174016215</v>
      </c>
      <c r="H109" s="94">
        <f t="shared" si="43"/>
        <v>0.49053329549073277</v>
      </c>
      <c r="I109" s="94">
        <f t="shared" si="43"/>
        <v>0.38275819294610075</v>
      </c>
      <c r="J109" s="94">
        <f t="shared" si="43"/>
        <v>0.28959817790678055</v>
      </c>
      <c r="K109" s="94">
        <f t="shared" si="43"/>
        <v>0.44967251287293741</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3.0539072608698627E-2</v>
      </c>
      <c r="D110" s="26"/>
      <c r="E110" s="269"/>
      <c r="F110" s="26"/>
      <c r="G110" s="94">
        <f t="shared" ref="G110:Q110" si="44">IF(G$4="","",G104/G$4)</f>
        <v>2.4843978643464503E-2</v>
      </c>
      <c r="H110" s="94">
        <f t="shared" si="44"/>
        <v>7.1372457421981887E-3</v>
      </c>
      <c r="I110" s="94">
        <f t="shared" si="44"/>
        <v>1.7366144843177229E-2</v>
      </c>
      <c r="J110" s="94">
        <f t="shared" si="44"/>
        <v>1.8537786019934374E-2</v>
      </c>
      <c r="K110" s="94">
        <f t="shared" si="44"/>
        <v>3.0906058142819364E-2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1.3057336877918428</v>
      </c>
      <c r="H114" s="295">
        <f>IF(H$4="","",Data!D$22/Data!D15)</f>
        <v>1.9744169551721951</v>
      </c>
      <c r="I114" s="295">
        <f>IF(I$4="","",Data!E$22/Data!E15)</f>
        <v>1.1630549354549591</v>
      </c>
      <c r="J114" s="295">
        <f>IF(J$4="","",Data!F$22/Data!F15)</f>
        <v>1.260471094287793</v>
      </c>
      <c r="K114" s="295">
        <f>IF(K$4="","",Data!G$22/Data!G15)</f>
        <v>0.70481763825473787</v>
      </c>
      <c r="L114" s="295">
        <f>IF(L$4="","",Data!H$22/Data!H15)</f>
        <v>1.6343627167150878</v>
      </c>
      <c r="M114" s="295">
        <f>IF(M$4="","",Data!I$22/Data!I15)</f>
        <v>1.4261750734420902</v>
      </c>
      <c r="N114" s="295">
        <f>IF(N$4="","",Data!J$22/Data!J15)</f>
        <v>1.2985902058542986</v>
      </c>
      <c r="O114" s="295">
        <f>IF(O$4="","",Data!K$22/Data!K15)</f>
        <v>3.2823548539671279</v>
      </c>
      <c r="P114" s="295">
        <f>IF(P$4="","",Data!L$22/Data!L15)</f>
        <v>-1.1544903194068661</v>
      </c>
      <c r="Q114" s="295" t="str">
        <f>IF(Q$4="","",Data!M$22/Data!M15)</f>
        <v/>
      </c>
    </row>
    <row r="115" spans="1:17" ht="15.75" customHeight="1">
      <c r="A115" s="10"/>
      <c r="B115" s="2" t="s">
        <v>373</v>
      </c>
      <c r="C115" s="169"/>
      <c r="E115" s="268"/>
      <c r="G115" s="295">
        <f>IF(G$4="","",Data!C$22/G19)</f>
        <v>1.8600590034912892</v>
      </c>
      <c r="H115" s="295">
        <f>IF(H$4="","",Data!D$22/H19)</f>
        <v>2.5912372285003169</v>
      </c>
      <c r="I115" s="295">
        <f>IF(I$4="","",Data!E$22/I19)</f>
        <v>1.3531719635852699</v>
      </c>
      <c r="J115" s="295">
        <f>IF(J$4="","",Data!F$22/J19)</f>
        <v>1.6513862562439221</v>
      </c>
      <c r="K115" s="295">
        <f>IF(K$4="","",Data!G$22/K19)</f>
        <v>0.99842984534692547</v>
      </c>
      <c r="L115" s="295">
        <f>IF(L$4="","",Data!H$22/L19)</f>
        <v>1.8066191791533639</v>
      </c>
      <c r="M115" s="295">
        <f>IF(M$4="","",Data!I$22/M19)</f>
        <v>1.7341560501990292</v>
      </c>
      <c r="N115" s="295">
        <f>IF(N$4="","",Data!J$22/N19)</f>
        <v>1.7067738949034357</v>
      </c>
      <c r="O115" s="295">
        <f>IF(O$4="","",Data!K$22/O19)</f>
        <v>1.3942527436650844</v>
      </c>
      <c r="P115" s="295">
        <f>IF(P$4="","",Data!L$22/P19)</f>
        <v>11.904562451085539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0.42143224397986156</v>
      </c>
      <c r="E118" s="268"/>
      <c r="G118" s="23">
        <f t="shared" ref="G118:Q118" si="45">IF(G4="","",IF(valuation_method="DDM",G13/(G4+G12),G81))</f>
        <v>0.45598504835348186</v>
      </c>
      <c r="H118" s="23">
        <f t="shared" si="45"/>
        <v>0.52331611133982803</v>
      </c>
      <c r="I118" s="23">
        <f t="shared" si="45"/>
        <v>0.57870355682784558</v>
      </c>
      <c r="J118" s="23">
        <f t="shared" si="45"/>
        <v>0.55540390178162879</v>
      </c>
      <c r="K118" s="23">
        <f t="shared" si="45"/>
        <v>0.3429381546083502</v>
      </c>
      <c r="L118" s="23">
        <f t="shared" si="45"/>
        <v>0.40224272660641125</v>
      </c>
      <c r="M118" s="23">
        <f t="shared" si="45"/>
        <v>0.40328242601546971</v>
      </c>
      <c r="N118" s="23">
        <f t="shared" si="45"/>
        <v>0.42245534317879263</v>
      </c>
      <c r="O118" s="23">
        <f t="shared" si="45"/>
        <v>0.13032651245797386</v>
      </c>
      <c r="P118" s="23">
        <f t="shared" si="45"/>
        <v>-2.777731867061933E-2</v>
      </c>
      <c r="Q118" s="23" t="str">
        <f t="shared" si="45"/>
        <v/>
      </c>
    </row>
    <row r="119" spans="1:17" ht="15.75" customHeight="1">
      <c r="B119" s="7" t="s">
        <v>81</v>
      </c>
      <c r="C119" s="42">
        <f>IF(valuation_method="DDM",(C4+C12)/C102,C4/C102)</f>
        <v>0.19639123104483397</v>
      </c>
      <c r="E119" s="268"/>
      <c r="G119" s="42">
        <f t="shared" ref="G119:Q119" si="46">IF(G4="","",IF(valuation_method="DDM",(G4+G12)/G102,G4/G102))</f>
        <v>0.22035988512352028</v>
      </c>
      <c r="H119" s="42">
        <f t="shared" si="46"/>
        <v>0.26192368118435977</v>
      </c>
      <c r="I119" s="42">
        <f t="shared" si="46"/>
        <v>0.3501065314937884</v>
      </c>
      <c r="J119" s="42">
        <f t="shared" si="46"/>
        <v>0.2855457856155395</v>
      </c>
      <c r="K119" s="42">
        <f t="shared" si="46"/>
        <v>0.18648021899773842</v>
      </c>
      <c r="L119" s="42">
        <f t="shared" si="46"/>
        <v>0.18019653783802789</v>
      </c>
      <c r="M119" s="42">
        <f t="shared" si="46"/>
        <v>0.17345860028887053</v>
      </c>
      <c r="N119" s="42">
        <f t="shared" si="46"/>
        <v>0.16003589825968575</v>
      </c>
      <c r="O119" s="42">
        <f t="shared" si="46"/>
        <v>9.4736275139161247E-2</v>
      </c>
      <c r="P119" s="42">
        <f t="shared" si="46"/>
        <v>9.632675048988866E-2</v>
      </c>
      <c r="Q119" s="42" t="str">
        <f t="shared" si="46"/>
        <v/>
      </c>
    </row>
    <row r="120" spans="1:17" ht="15.75" customHeight="1">
      <c r="B120" s="7" t="s">
        <v>89</v>
      </c>
      <c r="C120" s="15">
        <f>C102/C106</f>
        <v>1.2141426890285656</v>
      </c>
      <c r="D120" s="11"/>
      <c r="E120" s="272"/>
      <c r="F120" s="11"/>
      <c r="G120" s="15">
        <f t="shared" ref="G120:Q120" si="47">IF(G$4="","",G102/G106)</f>
        <v>1.2141426890285656</v>
      </c>
      <c r="H120" s="15">
        <f t="shared" si="47"/>
        <v>1.2176996876860735</v>
      </c>
      <c r="I120" s="15">
        <f t="shared" si="47"/>
        <v>1.2562621876415327</v>
      </c>
      <c r="J120" s="15">
        <f t="shared" si="47"/>
        <v>1.2941140005821952</v>
      </c>
      <c r="K120" s="15">
        <f t="shared" si="47"/>
        <v>1.2395789271571973</v>
      </c>
      <c r="L120" s="15">
        <f t="shared" si="47"/>
        <v>1.2596689536129575</v>
      </c>
      <c r="M120" s="15">
        <f t="shared" si="47"/>
        <v>1.2667672718675931</v>
      </c>
      <c r="N120" s="15">
        <f t="shared" si="47"/>
        <v>1.2485635816445315</v>
      </c>
      <c r="O120" s="15">
        <f t="shared" si="47"/>
        <v>1.2195091528986302</v>
      </c>
      <c r="P120" s="15">
        <f t="shared" si="47"/>
        <v>1.2161070458828416</v>
      </c>
      <c r="Q120" s="15" t="str">
        <f t="shared" si="47"/>
        <v/>
      </c>
    </row>
    <row r="121" spans="1:17" ht="15.75" customHeight="1">
      <c r="A121" s="10"/>
      <c r="B121" s="70" t="s">
        <v>218</v>
      </c>
      <c r="C121" s="102">
        <f>C13/C106</f>
        <v>0.10048924474005361</v>
      </c>
      <c r="D121" s="103"/>
      <c r="E121" s="271"/>
      <c r="F121" s="103"/>
      <c r="G121" s="102">
        <f t="shared" ref="G121:Q121" si="48">IF(G$4="","",G13/G106)</f>
        <v>0.12199804433766272</v>
      </c>
      <c r="H121" s="102">
        <f t="shared" si="48"/>
        <v>0.16690873517453589</v>
      </c>
      <c r="I121" s="102">
        <f t="shared" si="48"/>
        <v>0.25452863746156656</v>
      </c>
      <c r="J121" s="102">
        <f t="shared" si="48"/>
        <v>0.20523773676990104</v>
      </c>
      <c r="K121" s="102">
        <f t="shared" si="48"/>
        <v>7.927253778973771E-2</v>
      </c>
      <c r="L121" s="102">
        <f t="shared" si="48"/>
        <v>9.1304265696885045E-2</v>
      </c>
      <c r="M121" s="102">
        <f t="shared" si="48"/>
        <v>8.8613924123824517E-2</v>
      </c>
      <c r="N121" s="102">
        <f t="shared" si="48"/>
        <v>8.4412911998912502E-2</v>
      </c>
      <c r="O121" s="102">
        <f t="shared" si="48"/>
        <v>1.5056850660867668E-2</v>
      </c>
      <c r="P121" s="102">
        <f t="shared" si="48"/>
        <v>-3.2539362178983212E-3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0.21445951033987257</v>
      </c>
      <c r="D125" s="27"/>
      <c r="E125" s="265"/>
      <c r="F125" s="27"/>
      <c r="G125" s="177">
        <f t="shared" ref="G125:Q125" si="49">IF(G$4="","",G16*$C$3/Common_Shares*Exchange_Rate)</f>
        <v>0.25025907090639649</v>
      </c>
      <c r="H125" s="177">
        <f t="shared" si="49"/>
        <v>0.34437205815129318</v>
      </c>
      <c r="I125" s="177">
        <f t="shared" si="49"/>
        <v>0.55850154606061642</v>
      </c>
      <c r="J125" s="177">
        <f t="shared" si="49"/>
        <v>0.45889663010515008</v>
      </c>
      <c r="K125" s="177">
        <f t="shared" si="49"/>
        <v>0.16462839764099138</v>
      </c>
      <c r="L125" s="177">
        <f t="shared" si="49"/>
        <v>0.20899337153917774</v>
      </c>
      <c r="M125" s="177">
        <f t="shared" si="49"/>
        <v>0.18608068384863941</v>
      </c>
      <c r="N125" s="177">
        <f t="shared" si="49"/>
        <v>0.176733721513089</v>
      </c>
      <c r="O125" s="177">
        <f t="shared" si="49"/>
        <v>3.1285394295740947E-2</v>
      </c>
      <c r="P125" s="177">
        <f t="shared" si="49"/>
        <v>1.3552761468253434E-2</v>
      </c>
      <c r="Q125" s="177" t="str">
        <f t="shared" si="49"/>
        <v/>
      </c>
    </row>
    <row r="126" spans="1:17" ht="15.75" customHeight="1">
      <c r="A126" s="10"/>
      <c r="B126" s="27" t="s">
        <v>264</v>
      </c>
      <c r="C126" s="77">
        <f>C19*Exchange_Rate*$C$3/(Market_Price*Common_Shares)</f>
        <v>8.1543540053183483E-2</v>
      </c>
      <c r="D126" s="27"/>
      <c r="E126" s="265"/>
      <c r="F126" s="27"/>
      <c r="G126" s="77">
        <f t="shared" ref="G126" si="50">IF(G$4="","",G125/Market_Price)</f>
        <v>9.5155540268591826E-2</v>
      </c>
      <c r="H126" s="77">
        <f t="shared" ref="H126" si="51">IF(H$4="","",H125/Market_Price)</f>
        <v>0.13093994606513049</v>
      </c>
      <c r="I126" s="77">
        <f t="shared" ref="I126" si="52">IF(I$4="","",I125/Market_Price)</f>
        <v>0.2123580023044169</v>
      </c>
      <c r="J126" s="77">
        <f t="shared" ref="J126" si="53">IF(J$4="","",J125/Market_Price)</f>
        <v>0.17448541068636886</v>
      </c>
      <c r="K126" s="77">
        <f t="shared" ref="K126" si="54">IF(K$4="","",K125/Market_Price)</f>
        <v>6.2596348912924482E-2</v>
      </c>
      <c r="L126" s="77">
        <f t="shared" ref="L126" si="55">IF(L$4="","",L125/Market_Price)</f>
        <v>7.9465160281056185E-2</v>
      </c>
      <c r="M126" s="77">
        <f t="shared" ref="M126" si="56">IF(M$4="","",M125/Market_Price)</f>
        <v>7.0753111729520687E-2</v>
      </c>
      <c r="N126" s="77">
        <f t="shared" ref="N126" si="57">IF(N$4="","",N125/Market_Price)</f>
        <v>6.7199133655166929E-2</v>
      </c>
      <c r="O126" s="77">
        <f t="shared" ref="O126" si="58">IF(O$4="","",O125/Market_Price)</f>
        <v>1.1895587184692375E-2</v>
      </c>
      <c r="P126" s="77">
        <f t="shared" ref="P126" si="59">IF(P$4="","",P125/Market_Price)</f>
        <v>5.1531412426819145E-3</v>
      </c>
      <c r="Q126" s="77" t="str">
        <f t="shared" ref="Q126" si="60">IF(Q$4="","",Q125/Market_Price)</f>
        <v/>
      </c>
    </row>
    <row r="127" spans="1:17" ht="15.75" customHeight="1">
      <c r="B127" s="2" t="s">
        <v>375</v>
      </c>
      <c r="C127" s="169"/>
      <c r="G127" s="23">
        <f>IF(G$4="","",(Data!C47*$C$3)/(Market_Price*Common_Shares))</f>
        <v>0.13555208161014243</v>
      </c>
      <c r="H127" s="23">
        <f>IF(H$4="","",(Data!D47*$C$3)/(Market_Price*Common_Shares))</f>
        <v>0.17184640865900516</v>
      </c>
      <c r="I127" s="23">
        <f>IF(I$4="","",(Data!E47*$C$3)/(Market_Price*Common_Shares))</f>
        <v>0.24707078419206915</v>
      </c>
      <c r="J127" s="23">
        <f>IF(J$4="","",(Data!F47*$C$3)/(Market_Price*Common_Shares))</f>
        <v>0.22859929944316248</v>
      </c>
      <c r="K127" s="23">
        <f>IF(K$4="","",(Data!G47*$C$3)/(Market_Price*Common_Shares))</f>
        <v>8.8672671585192486E-2</v>
      </c>
      <c r="L127" s="23">
        <f>IF(L$4="","",(Data!H47*$C$3)/(Market_Price*Common_Shares))</f>
        <v>8.7840527179181269E-2</v>
      </c>
      <c r="M127" s="23">
        <f>IF(M$4="","",(Data!I47*$C$3)/(Market_Price*Common_Shares))</f>
        <v>8.6032170286096582E-2</v>
      </c>
      <c r="N127" s="23">
        <f>IF(N$4="","",(Data!J47*$C$3)/(Market_Price*Common_Shares))</f>
        <v>8.8321725025881162E-2</v>
      </c>
      <c r="O127" s="23">
        <f>IF(O$4="","",(Data!K47*$C$3)/(Market_Price*Common_Shares))</f>
        <v>5.0529134745193709E-3</v>
      </c>
      <c r="P127" s="23">
        <f>IF(P$4="","",(Data!L47*$C$3)/(Market_Price*Common_Shares))</f>
        <v>-5.3136774480957633E-2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1091827.4721422864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14557699.628563819</v>
      </c>
      <c r="D6" t="str">
        <f>Reporting_currency</f>
        <v>HKD</v>
      </c>
      <c r="E6" s="378" t="s">
        <v>245</v>
      </c>
      <c r="F6" s="378"/>
      <c r="H6" s="120"/>
    </row>
    <row r="7" spans="2:8">
      <c r="B7" s="148" t="s">
        <v>220</v>
      </c>
      <c r="C7" s="338">
        <f>BS!G31</f>
        <v>43677</v>
      </c>
      <c r="D7" t="str">
        <f>Reporting_currency</f>
        <v>HKD</v>
      </c>
      <c r="E7" s="378"/>
      <c r="F7" s="378"/>
      <c r="H7" s="120"/>
    </row>
    <row r="8" spans="2:8">
      <c r="B8" s="148" t="s">
        <v>221</v>
      </c>
      <c r="C8" s="338">
        <f>BS!D66</f>
        <v>8041470.060084247</v>
      </c>
      <c r="D8" t="str">
        <f>Reporting_currency</f>
        <v>HKD</v>
      </c>
      <c r="E8" s="378"/>
      <c r="F8" s="378"/>
      <c r="H8" s="120"/>
    </row>
    <row r="9" spans="2:8">
      <c r="B9" s="205" t="s">
        <v>186</v>
      </c>
      <c r="C9" s="348">
        <f>BS!H42</f>
        <v>263512.2</v>
      </c>
      <c r="D9" t="str">
        <f>Reporting_currency</f>
        <v>HKD</v>
      </c>
      <c r="E9" s="378"/>
      <c r="F9" s="378"/>
      <c r="H9" s="120"/>
    </row>
    <row r="10" spans="2:8" ht="13.15">
      <c r="B10" s="149" t="s">
        <v>223</v>
      </c>
      <c r="C10" s="347">
        <f>C6-C7+C8+C9</f>
        <v>22819004.888648067</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4.4821665874192913</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1.28005644478456E-3</v>
      </c>
      <c r="H16" s="120"/>
    </row>
    <row r="17" spans="2:17" ht="13.35" customHeight="1">
      <c r="B17" s="118" t="s">
        <v>130</v>
      </c>
      <c r="C17" s="162">
        <f>Scenarios!C64</f>
        <v>5</v>
      </c>
      <c r="H17" s="120"/>
    </row>
    <row r="18" spans="2:17" ht="13.35" customHeight="1">
      <c r="B18" s="153" t="s">
        <v>103</v>
      </c>
      <c r="C18" s="140">
        <f>(F52-C7+C8+C9)*Exchange_Rate/Common_Shares*scaling_factor</f>
        <v>4.4878931098261345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1093225.0729345949</v>
      </c>
      <c r="D21" s="138">
        <f>IF($C$17&lt;B21,0,DCF!$C$16)</f>
        <v>1.28005644478456E-3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1.28005644478456E-3</v>
      </c>
      <c r="E22" s="124">
        <f t="shared" si="0"/>
        <v>0.86533261222282321</v>
      </c>
      <c r="F22" s="125">
        <f t="shared" si="1"/>
        <v>947214.24574131321</v>
      </c>
      <c r="H22" s="120"/>
    </row>
    <row r="23" spans="2:17">
      <c r="B23" s="122">
        <v>3</v>
      </c>
      <c r="C23" s="123">
        <f t="shared" si="2"/>
        <v>1096025.6438329476</v>
      </c>
      <c r="D23" s="138">
        <f>IF($C$17&lt;B23,0,DCF!$C$16)</f>
        <v>1.28005644478456E-3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1.28005644478456E-3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1.28005644478456E-3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14576334.3057946</v>
      </c>
      <c r="D51" s="139">
        <f>Terminal_Growth</f>
        <v>0</v>
      </c>
      <c r="E51" s="124">
        <f>1/(1+Equity_Cost)^C17</f>
        <v>0.69655863235011617</v>
      </c>
      <c r="F51" s="125">
        <f t="shared" si="1"/>
        <v>10153271.488722367</v>
      </c>
      <c r="H51" s="120"/>
    </row>
    <row r="52" spans="1:17">
      <c r="C52" s="114"/>
      <c r="E52" s="127" t="s">
        <v>97</v>
      </c>
      <c r="F52" s="137">
        <f>SUM(F21:F51)</f>
        <v>14586853.730770443</v>
      </c>
      <c r="H52" s="120"/>
    </row>
    <row r="53" spans="1:17">
      <c r="C53" s="114"/>
      <c r="H53" s="120"/>
    </row>
    <row r="54" spans="1:17" ht="13.15">
      <c r="B54" s="119" t="s">
        <v>125</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113</v>
      </c>
      <c r="C73" s="171" t="s">
        <v>128</v>
      </c>
      <c r="D73" s="171" t="s">
        <v>108</v>
      </c>
      <c r="E73" s="172" t="s">
        <v>109</v>
      </c>
      <c r="F73" s="172" t="s">
        <v>115</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1374587.7578999999</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18327836.772</v>
      </c>
      <c r="D6" t="str">
        <f>Reporting_currency</f>
        <v>HKD</v>
      </c>
      <c r="E6" s="378"/>
      <c r="F6" s="378"/>
      <c r="H6" s="120"/>
    </row>
    <row r="7" spans="2:8" ht="13.15">
      <c r="B7" s="149" t="s">
        <v>420</v>
      </c>
      <c r="C7" s="111">
        <f>(C6*scaling_factor)/Common_Shares*Exchange_Rate</f>
        <v>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1.28005644478456E-3</v>
      </c>
      <c r="H11" s="120"/>
    </row>
    <row r="12" spans="2:8" ht="13.35" customHeight="1">
      <c r="B12" s="118" t="s">
        <v>130</v>
      </c>
      <c r="C12" s="162">
        <f>Scenarios!C64</f>
        <v>5</v>
      </c>
      <c r="H12" s="120"/>
    </row>
    <row r="13" spans="2:8" ht="13.35" customHeight="1">
      <c r="B13" s="153" t="s">
        <v>103</v>
      </c>
      <c r="C13" s="140">
        <f>F47/Common_Shares*scaling_factor</f>
        <v>3.6072095709227234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1376347.3078184216</v>
      </c>
      <c r="D16" s="138">
        <f>IF($C$12&lt;B16,0,DDM!$C$11)</f>
        <v>1.28005644478456E-3</v>
      </c>
      <c r="E16" s="124">
        <f t="shared" ref="E16:E45" si="0">IF($C$12&lt;B16,0,1/(1+Equity_Cost)^B16)</f>
        <v>0.93023255813953487</v>
      </c>
      <c r="F16" s="125">
        <f t="shared" ref="F16:F46" si="1">C16*E16</f>
        <v>1280323.0770403922</v>
      </c>
      <c r="H16" s="120"/>
    </row>
    <row r="17" spans="2:8">
      <c r="B17" s="122">
        <v>2</v>
      </c>
      <c r="C17" s="123">
        <f t="shared" ref="C17:C45" si="2">IF(ROW()-ROW($C$16)&lt;$C$12, $C$16*(1+D17)^(ROW()-ROW($C$16)), 0)</f>
        <v>1378109.1100600564</v>
      </c>
      <c r="D17" s="138">
        <f>IF($C$12&lt;B17,0,DDM!$C$11)</f>
        <v>1.28005644478456E-3</v>
      </c>
      <c r="E17" s="124">
        <f t="shared" si="0"/>
        <v>0.86533261222282321</v>
      </c>
      <c r="F17" s="125">
        <f t="shared" si="1"/>
        <v>1192522.7561363387</v>
      </c>
      <c r="H17" s="120"/>
    </row>
    <row r="18" spans="2:8">
      <c r="B18" s="122">
        <v>3</v>
      </c>
      <c r="C18" s="123">
        <f t="shared" si="2"/>
        <v>1379873.1675080052</v>
      </c>
      <c r="D18" s="138">
        <f>IF($C$12&lt;B18,0,DDM!$C$11)</f>
        <v>1.28005644478456E-3</v>
      </c>
      <c r="E18" s="124">
        <f t="shared" si="0"/>
        <v>0.80496056950960304</v>
      </c>
      <c r="F18" s="125">
        <f t="shared" si="1"/>
        <v>1110743.4907682638</v>
      </c>
      <c r="H18" s="120"/>
    </row>
    <row r="19" spans="2:8">
      <c r="B19" s="122">
        <v>4</v>
      </c>
      <c r="C19" s="123">
        <f t="shared" si="2"/>
        <v>1381639.4830490591</v>
      </c>
      <c r="D19" s="138">
        <f>IF($C$12&lt;B19,0,DDM!$C$11)</f>
        <v>1.28005644478456E-3</v>
      </c>
      <c r="E19" s="124">
        <f t="shared" si="0"/>
        <v>0.7488005297763749</v>
      </c>
      <c r="F19" s="125">
        <f t="shared" si="1"/>
        <v>1034572.3768670922</v>
      </c>
      <c r="H19" s="120"/>
    </row>
    <row r="20" spans="2:8">
      <c r="B20" s="122">
        <v>5</v>
      </c>
      <c r="C20" s="123">
        <f t="shared" si="2"/>
        <v>1383408.0595737051</v>
      </c>
      <c r="D20" s="138">
        <f>IF($C$12&lt;B20,0,DDM!$C$11)</f>
        <v>1.28005644478456E-3</v>
      </c>
      <c r="E20" s="124">
        <f t="shared" si="0"/>
        <v>0.69655863235011617</v>
      </c>
      <c r="F20" s="125">
        <f t="shared" si="1"/>
        <v>963624.82595878805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18351297.437578958</v>
      </c>
      <c r="D46" s="139">
        <f>Terminal_Growth</f>
        <v>0</v>
      </c>
      <c r="E46" s="124">
        <f>1/(1+Equity_Cost)^C12</f>
        <v>0.69655863235011617</v>
      </c>
      <c r="F46" s="125">
        <f t="shared" si="1"/>
        <v>12782754.64497019</v>
      </c>
      <c r="H46" s="120"/>
    </row>
    <row r="47" spans="2:8">
      <c r="C47" s="114"/>
      <c r="E47" s="127" t="s">
        <v>97</v>
      </c>
      <c r="F47" s="137">
        <f>SUM(F16:F46)</f>
        <v>18364541.171741065</v>
      </c>
      <c r="H47" s="120"/>
    </row>
    <row r="48" spans="2:8">
      <c r="C48" s="114"/>
      <c r="H48" s="120"/>
    </row>
    <row r="49" spans="1:8" ht="13.15">
      <c r="B49" s="119" t="s">
        <v>125</v>
      </c>
      <c r="C49" s="136"/>
      <c r="D49" s="136"/>
      <c r="E49" s="117"/>
      <c r="F49" s="117"/>
      <c r="H49" s="120"/>
    </row>
    <row r="50" spans="1:8" ht="13.15">
      <c r="A50" s="133">
        <f>F47</f>
        <v>18364541.171741065</v>
      </c>
      <c r="B50" s="131">
        <f>C73</f>
        <v>-0.04</v>
      </c>
      <c r="C50" s="131">
        <f>C72</f>
        <v>-0.02</v>
      </c>
      <c r="D50" s="131">
        <f>C71</f>
        <v>0</v>
      </c>
      <c r="E50" s="131">
        <f>C70</f>
        <v>0.02</v>
      </c>
      <c r="F50" s="131">
        <f>C69</f>
        <v>0.04</v>
      </c>
      <c r="H50" s="120"/>
    </row>
    <row r="51" spans="1:8" ht="13.15">
      <c r="A51" s="143">
        <v>5</v>
      </c>
      <c r="B51" s="123">
        <f t="dataTable" ref="B51:F56" dt2D="1" dtr="1" r1="C11" r2="C12"/>
        <v>17213396.058839627</v>
      </c>
      <c r="C51" s="123">
        <v>17762861.308128104</v>
      </c>
      <c r="D51" s="123">
        <v>18327836.772</v>
      </c>
      <c r="E51" s="123">
        <v>18909021.700721703</v>
      </c>
      <c r="F51" s="123">
        <v>19507137.680675663</v>
      </c>
      <c r="H51" s="120"/>
    </row>
    <row r="52" spans="1:8" ht="13.15">
      <c r="A52" s="143">
        <v>10</v>
      </c>
      <c r="B52" s="123">
        <v>16310208.268459827</v>
      </c>
      <c r="C52" s="123">
        <v>17273176.936549474</v>
      </c>
      <c r="D52" s="123">
        <v>18327836.772000004</v>
      </c>
      <c r="E52" s="123">
        <v>19485341.133646969</v>
      </c>
      <c r="F52" s="123">
        <v>20758122.021255791</v>
      </c>
      <c r="H52" s="120"/>
    </row>
    <row r="53" spans="1:8" ht="13.15">
      <c r="A53" s="143">
        <v>15</v>
      </c>
      <c r="B53" s="123">
        <v>15318973.444012141</v>
      </c>
      <c r="C53" s="123">
        <v>16710783.079386476</v>
      </c>
      <c r="D53" s="123">
        <v>18327836.772</v>
      </c>
      <c r="E53" s="123">
        <v>20215029.026424088</v>
      </c>
      <c r="F53" s="123">
        <v>22426287.697008274</v>
      </c>
      <c r="H53" s="120"/>
    </row>
    <row r="54" spans="1:8" ht="13.15">
      <c r="A54" s="144">
        <v>20</v>
      </c>
      <c r="B54" s="123">
        <v>14422857.231675627</v>
      </c>
      <c r="C54" s="123">
        <v>16179704.827895835</v>
      </c>
      <c r="D54" s="123">
        <v>18327836.772000004</v>
      </c>
      <c r="E54" s="123">
        <v>20975740.559166513</v>
      </c>
      <c r="F54" s="123">
        <v>24263511.580213804</v>
      </c>
      <c r="H54" s="120"/>
    </row>
    <row r="55" spans="1:8" ht="13.15">
      <c r="A55" s="144">
        <v>25</v>
      </c>
      <c r="B55" s="123">
        <v>13681852.419646977</v>
      </c>
      <c r="C55" s="123">
        <v>15722045.796225419</v>
      </c>
      <c r="D55" s="123">
        <v>18327836.772000004</v>
      </c>
      <c r="E55" s="123">
        <v>21699762.367366578</v>
      </c>
      <c r="F55" s="123">
        <v>26115498.790985707</v>
      </c>
      <c r="H55" s="120"/>
    </row>
    <row r="56" spans="1:8" ht="13.15">
      <c r="A56" s="144">
        <v>30</v>
      </c>
      <c r="B56" s="123">
        <v>13099357.827543562</v>
      </c>
      <c r="C56" s="123">
        <v>15348020.480061561</v>
      </c>
      <c r="D56" s="123">
        <v>18327836.772000004</v>
      </c>
      <c r="E56" s="123">
        <v>22353391.985071633</v>
      </c>
      <c r="F56" s="123">
        <v>27890483.813257601</v>
      </c>
      <c r="H56" s="120"/>
    </row>
    <row r="57" spans="1:8">
      <c r="C57" s="114"/>
      <c r="D57" s="114"/>
      <c r="E57" s="114"/>
      <c r="F57" s="114"/>
      <c r="H57" s="120"/>
    </row>
    <row r="58" spans="1:8" ht="13.15">
      <c r="B58" s="119" t="s">
        <v>126</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3.3810987397319807</v>
      </c>
      <c r="C61" s="124">
        <f t="shared" si="4"/>
        <v>3.4890260921001817</v>
      </c>
      <c r="D61" s="124">
        <f t="shared" si="4"/>
        <v>3.6</v>
      </c>
      <c r="E61" s="124">
        <f t="shared" si="4"/>
        <v>3.714157811935261</v>
      </c>
      <c r="F61" s="124">
        <f t="shared" si="4"/>
        <v>3.8316412637261341</v>
      </c>
      <c r="H61" s="120"/>
    </row>
    <row r="62" spans="1:8" ht="13.15">
      <c r="A62" s="143">
        <f t="shared" si="3"/>
        <v>10</v>
      </c>
      <c r="B62" s="124">
        <f t="shared" si="4"/>
        <v>3.2036923122405128</v>
      </c>
      <c r="C62" s="124">
        <f t="shared" si="4"/>
        <v>3.3928410507549724</v>
      </c>
      <c r="D62" s="124">
        <f t="shared" si="4"/>
        <v>3.600000000000001</v>
      </c>
      <c r="E62" s="124">
        <f t="shared" si="4"/>
        <v>3.8273599308945814</v>
      </c>
      <c r="F62" s="124">
        <f t="shared" si="4"/>
        <v>4.0773627682393494</v>
      </c>
      <c r="H62" s="120"/>
    </row>
    <row r="63" spans="1:8" ht="13.15">
      <c r="A63" s="143">
        <f t="shared" si="3"/>
        <v>15</v>
      </c>
      <c r="B63" s="124">
        <f t="shared" si="4"/>
        <v>3.0089914638859874</v>
      </c>
      <c r="C63" s="124">
        <f t="shared" si="4"/>
        <v>3.2823742285667774</v>
      </c>
      <c r="D63" s="124">
        <f t="shared" si="4"/>
        <v>3.6</v>
      </c>
      <c r="E63" s="124">
        <f t="shared" si="4"/>
        <v>3.9706870701896446</v>
      </c>
      <c r="F63" s="124">
        <f t="shared" si="4"/>
        <v>4.405028084523896</v>
      </c>
      <c r="H63" s="120"/>
    </row>
    <row r="64" spans="1:8" ht="13.15">
      <c r="A64" s="144">
        <f t="shared" si="3"/>
        <v>20</v>
      </c>
      <c r="B64" s="124">
        <f t="shared" si="4"/>
        <v>2.8329740536185661</v>
      </c>
      <c r="C64" s="124">
        <f t="shared" si="4"/>
        <v>3.1780584967567282</v>
      </c>
      <c r="D64" s="124">
        <f t="shared" si="4"/>
        <v>3.600000000000001</v>
      </c>
      <c r="E64" s="124">
        <f t="shared" si="4"/>
        <v>4.1201079512210885</v>
      </c>
      <c r="F64" s="124">
        <f t="shared" si="4"/>
        <v>4.7659002410047053</v>
      </c>
      <c r="H64" s="120"/>
    </row>
    <row r="65" spans="1:8" ht="13.15">
      <c r="A65" s="144">
        <f t="shared" si="3"/>
        <v>25</v>
      </c>
      <c r="B65" s="124">
        <f t="shared" si="4"/>
        <v>2.6874240164544125</v>
      </c>
      <c r="C65" s="124">
        <f t="shared" si="4"/>
        <v>3.0881639535812595</v>
      </c>
      <c r="D65" s="124">
        <f t="shared" si="4"/>
        <v>3.600000000000001</v>
      </c>
      <c r="E65" s="124">
        <f t="shared" si="4"/>
        <v>4.2623221438694117</v>
      </c>
      <c r="F65" s="124">
        <f t="shared" si="4"/>
        <v>5.1296722475823975</v>
      </c>
    </row>
    <row r="66" spans="1:8" ht="13.15">
      <c r="A66" s="144">
        <f t="shared" si="3"/>
        <v>30</v>
      </c>
      <c r="B66" s="124">
        <f t="shared" si="4"/>
        <v>2.5730089571291401</v>
      </c>
      <c r="C66" s="124">
        <f t="shared" si="4"/>
        <v>3.014696956087755</v>
      </c>
      <c r="D66" s="124">
        <f t="shared" si="4"/>
        <v>3.600000000000001</v>
      </c>
      <c r="E66" s="124">
        <f t="shared" si="4"/>
        <v>4.3907097246303373</v>
      </c>
      <c r="F66" s="124">
        <f t="shared" si="4"/>
        <v>5.4783192897658441</v>
      </c>
    </row>
    <row r="68" spans="1:8" ht="13.15">
      <c r="B68" s="171" t="s">
        <v>113</v>
      </c>
      <c r="C68" s="171" t="s">
        <v>128</v>
      </c>
      <c r="D68" s="171" t="s">
        <v>108</v>
      </c>
      <c r="E68" s="172" t="s">
        <v>109</v>
      </c>
      <c r="F68" s="172" t="s">
        <v>115</v>
      </c>
    </row>
    <row r="69" spans="1:8">
      <c r="B69" s="127" t="str">
        <f>Scenarios!B54</f>
        <v>Snowball Scenario</v>
      </c>
      <c r="C69" s="142">
        <f>Scenarios!C56</f>
        <v>0.04</v>
      </c>
      <c r="D69" s="145">
        <f>Scenarios!C55</f>
        <v>10</v>
      </c>
      <c r="E69" s="135">
        <f>INDEX(B$60:F$66, MATCH(D69, A$60:A$66, 0), MATCH(C69, B$59:F$59, 0))</f>
        <v>4.0773627682393494</v>
      </c>
      <c r="F69" s="142">
        <f>Scenarios!C58</f>
        <v>0.05</v>
      </c>
    </row>
    <row r="70" spans="1:8">
      <c r="B70" s="127" t="str">
        <f>Scenarios!B36</f>
        <v>Optimistic</v>
      </c>
      <c r="C70" s="142">
        <f>Scenarios!C38</f>
        <v>0.02</v>
      </c>
      <c r="D70" s="145">
        <f>Scenarios!C37</f>
        <v>5</v>
      </c>
      <c r="E70" s="135">
        <f>INDEX(B$60:F$66, MATCH(D70, A$60:A$66, 0), MATCH(C70, B$59:F$59, 0))</f>
        <v>3.714157811935261</v>
      </c>
      <c r="F70" s="142">
        <f>Scenarios!C40*(1-F$69-F$73)</f>
        <v>0.18</v>
      </c>
      <c r="H70" s="120"/>
    </row>
    <row r="71" spans="1:8">
      <c r="B71" s="127" t="str">
        <f>Scenarios!B24</f>
        <v>Base</v>
      </c>
      <c r="C71" s="142">
        <f>Scenarios!C26</f>
        <v>0</v>
      </c>
      <c r="D71" s="145">
        <f>Scenarios!C25</f>
        <v>5</v>
      </c>
      <c r="E71" s="135">
        <f>INDEX(B$60:F$66, MATCH(D71, A$60:A$66, 0), MATCH(C71, B$59:F$59, 0))</f>
        <v>3.6</v>
      </c>
      <c r="F71" s="142">
        <f>Scenarios!C28*(1-F$69-F$73)</f>
        <v>0.53999999999999992</v>
      </c>
      <c r="H71" s="120"/>
    </row>
    <row r="72" spans="1:8">
      <c r="B72" s="127" t="str">
        <f>Scenarios!B30</f>
        <v>Pessimistic</v>
      </c>
      <c r="C72" s="142">
        <f>Scenarios!C32</f>
        <v>-0.02</v>
      </c>
      <c r="D72" s="145">
        <f>Scenarios!C31</f>
        <v>5</v>
      </c>
      <c r="E72" s="135">
        <f>INDEX(B$60:F$66, MATCH(D72, A$60:A$66, 0), MATCH(C72, B$59:F$59, 0))</f>
        <v>3.4890260921001817</v>
      </c>
      <c r="F72" s="142">
        <f>Scenarios!C34*(1-F$69-F$73)</f>
        <v>0.18</v>
      </c>
      <c r="H72" s="120"/>
    </row>
    <row r="73" spans="1:8">
      <c r="B73" s="127" t="str">
        <f>Scenarios!B48</f>
        <v>Devil's advocate</v>
      </c>
      <c r="C73" s="142">
        <f>Scenarios!C50</f>
        <v>-0.04</v>
      </c>
      <c r="D73" s="145">
        <f>Scenarios!C49</f>
        <v>10</v>
      </c>
      <c r="E73" s="135">
        <f>INDEX(B$60:F$66, MATCH(D73, A$60:A$66, 0), MATCH(C73, B$59:F$59, 0))</f>
        <v>3.2036923122405128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-2.63</v>
      </c>
    </row>
    <row r="4" spans="2:9">
      <c r="B4" s="152" t="s">
        <v>142</v>
      </c>
      <c r="C4" s="120">
        <v>3</v>
      </c>
      <c r="D4" s="120"/>
      <c r="E4" s="155" t="s">
        <v>146</v>
      </c>
      <c r="F4" s="155"/>
      <c r="H4" s="247">
        <v>1</v>
      </c>
      <c r="I4" s="124">
        <f t="shared" ref="I4:I13" si="0">IF(ROW()-3 &lt; $C$76, $C$77, IF(ROW()-3 = $C$76, $C$77 + $C$60, ""))</f>
        <v>0.27</v>
      </c>
    </row>
    <row r="5" spans="2:9">
      <c r="H5" s="247">
        <v>2</v>
      </c>
      <c r="I5" s="124">
        <f t="shared" si="0"/>
        <v>0.27</v>
      </c>
    </row>
    <row r="6" spans="2:9" ht="13.15">
      <c r="B6" s="159" t="s">
        <v>92</v>
      </c>
      <c r="C6" s="107">
        <f>DCF!C3</f>
        <v>1000</v>
      </c>
      <c r="E6" s="100" t="s">
        <v>274</v>
      </c>
      <c r="F6" s="100"/>
      <c r="H6" s="247">
        <v>3</v>
      </c>
      <c r="I6" s="124">
        <f t="shared" si="0"/>
        <v>4.755840879914059</v>
      </c>
    </row>
    <row r="7" spans="2:9" ht="12.75" customHeight="1">
      <c r="B7" s="100" t="s">
        <v>270</v>
      </c>
      <c r="C7" s="338">
        <f>Normalized_FCF!G8</f>
        <v>2269323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80"/>
      <c r="H7" s="247">
        <v>4</v>
      </c>
      <c r="I7" s="124" t="str">
        <f t="shared" si="0"/>
        <v/>
      </c>
    </row>
    <row r="8" spans="2:9">
      <c r="B8" s="100" t="s">
        <v>64</v>
      </c>
      <c r="C8" s="338">
        <f>Normalized_FCF!G19</f>
        <v>1274085.3895235579</v>
      </c>
      <c r="D8" t="str">
        <f>Reporting_currency</f>
        <v>HKD</v>
      </c>
      <c r="E8" s="380"/>
      <c r="F8" s="380"/>
      <c r="H8" s="247">
        <v>5</v>
      </c>
      <c r="I8" s="124" t="str">
        <f t="shared" si="0"/>
        <v/>
      </c>
    </row>
    <row r="9" spans="2:9">
      <c r="B9" s="100" t="s">
        <v>55</v>
      </c>
      <c r="C9" s="338">
        <f>Normalized_FCF!C19</f>
        <v>1091827.4721422864</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-0.1059288114314666</v>
      </c>
      <c r="D12" s="158"/>
      <c r="E12" s="380"/>
      <c r="F12" s="380"/>
      <c r="H12" s="247">
        <v>9</v>
      </c>
      <c r="I12" s="124" t="str">
        <f t="shared" si="0"/>
        <v/>
      </c>
    </row>
    <row r="13" spans="2:9">
      <c r="B13" s="148" t="s">
        <v>148</v>
      </c>
      <c r="C13" s="158">
        <f ca="1">(Normalized_FCF!G8/OFFSET(Normalized_FCF!G8, 0, $C$4))^(1/$C$4) - 1</f>
        <v>-0.1663504856430581</v>
      </c>
      <c r="E13" s="380"/>
      <c r="F13" s="380"/>
      <c r="H13" s="247">
        <v>10</v>
      </c>
      <c r="I13" s="124" t="str">
        <f t="shared" si="0"/>
        <v/>
      </c>
    </row>
    <row r="14" spans="2:9">
      <c r="B14" s="100" t="s">
        <v>64</v>
      </c>
      <c r="C14" s="158">
        <f ca="1">(Normalized_FCF!G19/OFFSET(Normalized_FCF!G19, 0, $C$4))^(1/$C$4) - 1</f>
        <v>-0.18299448813777219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2.63</v>
      </c>
      <c r="D21" t="str">
        <f>Market_currency</f>
        <v>HKD</v>
      </c>
      <c r="E21" s="381"/>
      <c r="F21" s="381"/>
    </row>
    <row r="22" spans="2:6">
      <c r="B22" s="100" t="s">
        <v>273</v>
      </c>
      <c r="C22" s="160">
        <f>IF(valuation_method="DCF",DCF!C12,DDM!C7)</f>
        <v>4.4821665874192913</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v>
      </c>
      <c r="D26" s="164"/>
      <c r="E26" s="379"/>
      <c r="F26" s="379"/>
    </row>
    <row r="27" spans="2:6">
      <c r="B27" s="100" t="s">
        <v>109</v>
      </c>
      <c r="C27" s="160">
        <f>IF(valuation_method="DCF",DCF!E76,DDM!E71)</f>
        <v>4.4821665874192913</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4.3940206246463394</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0.02</v>
      </c>
      <c r="D38" s="164"/>
      <c r="E38" s="379"/>
      <c r="F38" s="379"/>
    </row>
    <row r="39" spans="2:6">
      <c r="B39" s="100" t="s">
        <v>109</v>
      </c>
      <c r="C39" s="160">
        <f>IF(valuation_method="DCF",DCF!E75,DDM!E70)</f>
        <v>4.5728415076011704</v>
      </c>
      <c r="D39" t="str">
        <f>Market_currency</f>
        <v>HKD</v>
      </c>
      <c r="E39" s="379"/>
      <c r="F39" s="379"/>
    </row>
    <row r="40" spans="2:6">
      <c r="B40" s="100" t="s">
        <v>143</v>
      </c>
      <c r="C40" s="167">
        <f>1-C28-C34</f>
        <v>0.2</v>
      </c>
      <c r="D40" s="165"/>
      <c r="E40" s="379"/>
      <c r="F40" s="379"/>
    </row>
    <row r="42" spans="2:6" ht="13.15">
      <c r="B42" s="100" t="s">
        <v>116</v>
      </c>
      <c r="C42" s="154">
        <f>C27*C28+C33*C34+C39*C40</f>
        <v>4.4826723789010767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-0.04</v>
      </c>
      <c r="D50" s="164"/>
      <c r="E50" s="379"/>
      <c r="F50" s="379"/>
    </row>
    <row r="51" spans="2:6">
      <c r="B51" s="100" t="s">
        <v>109</v>
      </c>
      <c r="C51" s="160">
        <f>IF(valuation_method="DCF",DCF!E78,DDM!E73)</f>
        <v>4.1673815775643765</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0.04</v>
      </c>
      <c r="D56" s="164"/>
      <c r="E56" s="379"/>
      <c r="F56" s="379"/>
    </row>
    <row r="57" spans="2:6">
      <c r="B57" s="100" t="s">
        <v>109</v>
      </c>
      <c r="C57" s="160">
        <f>IF(valuation_method="DCF",DCF!E74,DDM!E69)</f>
        <v>4.8613332004974268</v>
      </c>
      <c r="D57" t="str">
        <f>Market_currency</f>
        <v>HKD</v>
      </c>
      <c r="E57" s="379"/>
      <c r="F57" s="379"/>
    </row>
    <row r="58" spans="2:6">
      <c r="B58" s="100" t="s">
        <v>143</v>
      </c>
      <c r="C58" s="165">
        <v>0.05</v>
      </c>
      <c r="D58" s="165"/>
      <c r="E58" s="379"/>
      <c r="F58" s="379"/>
    </row>
    <row r="60" spans="2:6" ht="13.15">
      <c r="B60" s="100" t="s">
        <v>116</v>
      </c>
      <c r="C60" s="154">
        <f>C51*C52+C57*C58+C42*(1-C52-C58)</f>
        <v>4.4858408799140586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1.28005644478456E-3</v>
      </c>
      <c r="D65" s="151"/>
      <c r="E65" s="251" t="s">
        <v>304</v>
      </c>
    </row>
    <row r="66" spans="2:6">
      <c r="B66" s="100" t="s">
        <v>99</v>
      </c>
      <c r="C66" s="160">
        <f>IF(valuation_method="DCF",DCF!C18,DDM!C13)</f>
        <v>4.4878931098261345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0.36173963655737423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0.27</v>
      </c>
      <c r="D77" t="str">
        <f>Market_currency</f>
        <v>HKD</v>
      </c>
    </row>
    <row r="79" spans="2:6" ht="13.15">
      <c r="B79" s="109" t="s">
        <v>296</v>
      </c>
    </row>
    <row r="80" spans="2:6">
      <c r="B80" s="148" t="s">
        <v>294</v>
      </c>
      <c r="C80" s="167">
        <f>Thesis!F29</f>
        <v>0.35</v>
      </c>
    </row>
    <row r="81" spans="2:8">
      <c r="B81" s="100" t="s">
        <v>117</v>
      </c>
      <c r="C81" s="116">
        <f>PV(C80, C76, -C77, 0)</f>
        <v>0.45788751714677645</v>
      </c>
      <c r="D81" s="116"/>
      <c r="E81" s="100"/>
      <c r="F81" s="100"/>
    </row>
    <row r="82" spans="2:8">
      <c r="B82" s="100" t="s">
        <v>118</v>
      </c>
      <c r="C82" s="116">
        <f>C60/(1+C80)^C76</f>
        <v>1.823234620703778</v>
      </c>
      <c r="D82" s="116"/>
    </row>
    <row r="83" spans="2:8" ht="13.15">
      <c r="B83" s="110" t="s">
        <v>98</v>
      </c>
      <c r="C83" s="111">
        <f>C81+C82</f>
        <v>2.2811221378505544</v>
      </c>
      <c r="D83" t="str">
        <f>Market_currency</f>
        <v>HKD</v>
      </c>
      <c r="E83" s="146" t="s">
        <v>122</v>
      </c>
      <c r="F83" s="291">
        <f>(1-C83/C60)</f>
        <v>0.49148393825902781</v>
      </c>
    </row>
    <row r="84" spans="2:8">
      <c r="E84" s="120"/>
    </row>
    <row r="85" spans="2:8" ht="13.15">
      <c r="B85" s="109" t="s">
        <v>297</v>
      </c>
    </row>
    <row r="86" spans="2:8">
      <c r="B86" s="148" t="s">
        <v>295</v>
      </c>
      <c r="C86" s="116">
        <f>Market_Price</f>
        <v>2.63</v>
      </c>
      <c r="D86" t="str">
        <f>Market_currency</f>
        <v>HKD</v>
      </c>
    </row>
    <row r="87" spans="2:8" ht="13.15">
      <c r="B87" s="100" t="s">
        <v>293</v>
      </c>
      <c r="C87" s="237">
        <f ca="1">IRR(OFFSET($I$3, 0, 0, $C$76 + 1, 1))</f>
        <v>0.28236042533963035</v>
      </c>
    </row>
    <row r="88" spans="2:8">
      <c r="B88" s="100"/>
    </row>
    <row r="89" spans="2:8" ht="13.15">
      <c r="B89" s="109" t="s">
        <v>392</v>
      </c>
    </row>
    <row r="90" spans="2:8">
      <c r="B90" s="148" t="s">
        <v>393</v>
      </c>
      <c r="C90" s="167">
        <f>Thesis!F30</f>
        <v>0.25</v>
      </c>
    </row>
    <row r="91" spans="2:8">
      <c r="B91" s="100" t="s">
        <v>117</v>
      </c>
      <c r="C91" s="116">
        <f>PV(C90, C76, -C77, 0)</f>
        <v>0.52704000000000006</v>
      </c>
      <c r="D91" s="116"/>
      <c r="E91" s="100"/>
      <c r="F91" s="100"/>
    </row>
    <row r="92" spans="2:8">
      <c r="B92" s="100" t="s">
        <v>118</v>
      </c>
      <c r="C92" s="116">
        <f>C60/(1+C90)^C76</f>
        <v>2.2967505305159981</v>
      </c>
      <c r="D92" s="116"/>
    </row>
    <row r="93" spans="2:8" ht="13.15">
      <c r="B93" s="110" t="s">
        <v>98</v>
      </c>
      <c r="C93" s="111">
        <f>C91+C92</f>
        <v>2.823790530515998</v>
      </c>
      <c r="D93" t="str">
        <f>Market_currency</f>
        <v>HKD</v>
      </c>
      <c r="E93" s="146" t="s">
        <v>122</v>
      </c>
      <c r="F93" s="291">
        <f>(1-C93/C60)</f>
        <v>0.37051032212045443</v>
      </c>
    </row>
    <row r="95" spans="2:8" ht="13.15">
      <c r="B95" s="109" t="s">
        <v>378</v>
      </c>
      <c r="G95" s="2"/>
      <c r="H95" s="281"/>
    </row>
    <row r="96" spans="2:8">
      <c r="B96" s="148" t="s">
        <v>383</v>
      </c>
      <c r="C96" s="134">
        <f>Thesis!F31</f>
        <v>7.4999999999999997E-2</v>
      </c>
      <c r="G96" s="2"/>
      <c r="H96" s="281"/>
    </row>
    <row r="97" spans="2:8">
      <c r="B97" s="100" t="s">
        <v>117</v>
      </c>
      <c r="C97" s="116">
        <f>PV(C96, C76, -C77, 0)</f>
        <v>0.70214194976542921</v>
      </c>
      <c r="D97" s="116"/>
      <c r="G97" s="2"/>
      <c r="H97" s="281"/>
    </row>
    <row r="98" spans="2:8">
      <c r="B98" s="100" t="s">
        <v>118</v>
      </c>
      <c r="C98" s="116">
        <f>C60/(1+C96)^C76</f>
        <v>3.6109250294250792</v>
      </c>
      <c r="D98" s="116"/>
      <c r="G98" s="2"/>
      <c r="H98" s="281"/>
    </row>
    <row r="99" spans="2:8" ht="13.15">
      <c r="B99" s="110" t="s">
        <v>379</v>
      </c>
      <c r="C99" s="111">
        <f>C97+C98</f>
        <v>4.3130669791905083</v>
      </c>
      <c r="D99" t="s">
        <v>377</v>
      </c>
      <c r="E99" s="146" t="s">
        <v>122</v>
      </c>
      <c r="F99" s="291">
        <f>(1-C99/C60)</f>
        <v>3.8515387716307137E-2</v>
      </c>
    </row>
    <row r="100" spans="2:8">
      <c r="B100" s="100"/>
    </row>
    <row r="101" spans="2:8" ht="13.15">
      <c r="B101" s="109" t="s">
        <v>398</v>
      </c>
    </row>
    <row r="102" spans="2:8">
      <c r="B102" s="148" t="s">
        <v>397</v>
      </c>
      <c r="C102" s="134">
        <f>Thesis!F32</f>
        <v>0.1174</v>
      </c>
    </row>
    <row r="103" spans="2:8">
      <c r="B103" s="100" t="s">
        <v>117</v>
      </c>
      <c r="C103" s="116">
        <f>PV(C102, C76, -C77, 0)</f>
        <v>0.65140284400343529</v>
      </c>
      <c r="D103" s="116"/>
    </row>
    <row r="104" spans="2:8">
      <c r="B104" s="100" t="s">
        <v>118</v>
      </c>
      <c r="C104" s="116">
        <f>C60/(1+C102)^C76</f>
        <v>3.2152730720890683</v>
      </c>
      <c r="D104" s="116"/>
    </row>
    <row r="105" spans="2:8" ht="13.15">
      <c r="B105" s="110" t="s">
        <v>379</v>
      </c>
      <c r="C105" s="111">
        <f>C103+C104</f>
        <v>3.8666759160925035</v>
      </c>
      <c r="D105" t="s">
        <v>377</v>
      </c>
      <c r="E105" s="146" t="s">
        <v>122</v>
      </c>
      <c r="F105" s="291">
        <f>(1-C105/C66)</f>
        <v>0.13842067503200794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7E01B-0970-4659-AAA7-C41D486D7CC3}">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2025-07-11T02:32:25Z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