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D77B75A-8232-437A-AB9E-CAC0B786DD4B}"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19" i="3"/>
  <c r="C23" i="3"/>
  <c r="G4" i="3"/>
  <c r="C4"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29"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<sst xmlns="http://schemas.openxmlformats.org/spreadsheetml/2006/main" count="768" uniqueCount="558">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</sst>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45930</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3.22</v>
      </c>
      <c r="E8" s="32"/>
    </row>
    <row r="9" spans="1:9">
      <c r="B9" s="4" t="s">
        <v>346</v>
      </c>
      <c r="C9" s="48">
        <v>5091065770</v>
      </c>
    </row>
    <row r="10" spans="1:9">
      <c r="B10" s="4" t="s">
        <v>352</v>
      </c>
      <c r="C10" s="33">
        <f>Thesis!C8*Common_Shares/1000000</f>
        <v>16393.231779400001</v>
      </c>
      <c r="D10" s="1" t="s">
        <v>528</v>
      </c>
      <c r="E10" s="303">
        <f>Scenarios!F34</f>
        <v>0.18874907084051606</v>
      </c>
    </row>
    <row r="11" spans="1:9">
      <c r="D11" s="5"/>
      <c r="E11" s="5"/>
    </row>
    <row r="12" spans="1:9" ht="24.5" customHeight="1">
      <c r="B12" s="463" t="s">
        <v>355</v>
      </c>
      <c r="C12" s="463"/>
      <c r="D12" s="463"/>
      <c r="E12" s="463"/>
      <c r="F12" s="463"/>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v>
      </c>
      <c r="D17" s="4" t="s">
        <v>274</v>
      </c>
      <c r="E17" s="224" t="s">
        <v>308</v>
      </c>
    </row>
    <row r="18" spans="1:6">
      <c r="B18" s="1" t="str">
        <f>"Expected Equity Value ("&amp;C7&amp;") :"</f>
        <v>Expected Equity Value (HKD) :</v>
      </c>
      <c r="C18" s="252">
        <f>C125</f>
        <v>4.4366120194593153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2.5097460261535343</v>
      </c>
      <c r="D22" s="38" t="s">
        <v>406</v>
      </c>
      <c r="E22" s="79">
        <v>0.3</v>
      </c>
    </row>
    <row r="23" spans="1:6">
      <c r="B23" s="1" t="s">
        <v>313</v>
      </c>
      <c r="C23" s="256">
        <f>E141</f>
        <v>3.1362338075574741</v>
      </c>
      <c r="D23" s="38" t="s">
        <v>407</v>
      </c>
      <c r="E23" s="443">
        <v>0.2</v>
      </c>
    </row>
    <row r="24" spans="1:6">
      <c r="B24" s="1" t="s">
        <v>315</v>
      </c>
      <c r="C24" s="256">
        <f>E144</f>
        <v>3.8313906187252909</v>
      </c>
      <c r="D24" s="38" t="s">
        <v>408</v>
      </c>
      <c r="E24" s="443">
        <v>0.1174</v>
      </c>
    </row>
    <row r="25" spans="1:6">
      <c r="B25" s="1" t="s">
        <v>314</v>
      </c>
      <c r="C25" s="256">
        <f>E145</f>
        <v>4.3016714192105461</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v>
      </c>
    </row>
    <row r="33" spans="2:6" ht="24.5" customHeight="1">
      <c r="B33" s="464" t="s">
        <v>196</v>
      </c>
      <c r="C33" s="464"/>
      <c r="D33" s="464"/>
      <c r="E33" s="464"/>
      <c r="F33" s="464"/>
    </row>
    <row r="34" spans="2:6">
      <c r="B34" s="44" t="s">
        <v>197</v>
      </c>
      <c r="C34" s="285">
        <f>Normalized_FCF!C8</f>
        <v>2135332.6963168322</v>
      </c>
      <c r="D34" s="1" t="str">
        <f>Reporting_currency</f>
        <v>HKD</v>
      </c>
    </row>
    <row r="35" spans="2:6">
      <c r="B35" s="44"/>
      <c r="C35" s="73"/>
    </row>
    <row r="36" spans="2:6" ht="24.5" customHeight="1">
      <c r="B36" s="464" t="s">
        <v>198</v>
      </c>
      <c r="C36" s="464"/>
      <c r="D36" s="464"/>
      <c r="E36" s="464"/>
      <c r="F36" s="464"/>
    </row>
    <row r="37" spans="2:6">
      <c r="B37" s="44" t="s">
        <v>199</v>
      </c>
      <c r="C37" s="285">
        <f>Normalized_FCF!C15</f>
        <v>0</v>
      </c>
      <c r="D37" s="1" t="str">
        <f>Reporting_currency</f>
        <v>HKD</v>
      </c>
    </row>
    <row r="38" spans="2:6">
      <c r="B38" s="49" t="s">
        <v>200</v>
      </c>
      <c r="C38" s="285">
        <f>Normalized_FCF!C16</f>
        <v>0</v>
      </c>
      <c r="D38" s="1" t="str">
        <f>Reporting_currency</f>
        <v>HKD</v>
      </c>
    </row>
    <row r="40" spans="2:6">
      <c r="B40" s="464" t="s">
        <v>201</v>
      </c>
      <c r="C40" s="464"/>
      <c r="D40" s="464"/>
      <c r="E40" s="464"/>
      <c r="F40" s="464"/>
    </row>
    <row r="41" spans="2:6">
      <c r="B41" s="44" t="s">
        <v>202</v>
      </c>
      <c r="C41" s="285">
        <f>Normalized_FCF!C9</f>
        <v>0</v>
      </c>
      <c r="D41" s="1" t="str">
        <f>Reporting_currency</f>
        <v>HKD</v>
      </c>
    </row>
    <row r="43" spans="2:6">
      <c r="B43" s="464" t="s">
        <v>205</v>
      </c>
      <c r="C43" s="464"/>
      <c r="D43" s="464"/>
      <c r="E43" s="464"/>
      <c r="F43" s="464"/>
    </row>
    <row r="44" spans="2:6">
      <c r="B44" s="44" t="s">
        <v>267</v>
      </c>
      <c r="C44" s="286">
        <f>Normalized_FCF!C46</f>
        <v>13346.961104049504</v>
      </c>
      <c r="D44" s="1" t="str">
        <f>Reporting_currency</f>
        <v>HKD</v>
      </c>
      <c r="E44" s="244"/>
      <c r="F44" s="244"/>
    </row>
    <row r="45" spans="2:6">
      <c r="B45" s="44" t="s">
        <v>268</v>
      </c>
      <c r="C45" s="286">
        <f>Normalized_FCF!C45</f>
        <v>-2620.62</v>
      </c>
      <c r="D45" s="1" t="str">
        <f>Reporting_currency</f>
        <v>HKD</v>
      </c>
      <c r="E45" s="244"/>
      <c r="F45" s="244"/>
    </row>
    <row r="46" spans="2:6">
      <c r="B46" s="44" t="s">
        <v>203</v>
      </c>
      <c r="C46" s="285">
        <f>Normalized_FCF!C10</f>
        <v>10726.341104049505</v>
      </c>
      <c r="D46" s="1" t="str">
        <f>Reporting_currency</f>
        <v>HKD</v>
      </c>
    </row>
    <row r="48" spans="2:6">
      <c r="B48" s="1" t="s">
        <v>211</v>
      </c>
    </row>
    <row r="49" spans="2:6">
      <c r="B49" s="44" t="s">
        <v>223</v>
      </c>
      <c r="C49" s="285">
        <f>Normalized_FCF!C13</f>
        <v>-373307.10767292208</v>
      </c>
      <c r="D49" s="1" t="str">
        <f>Reporting_currency</f>
        <v>HKD</v>
      </c>
    </row>
    <row r="51" spans="2:6">
      <c r="B51" s="464" t="s">
        <v>206</v>
      </c>
      <c r="C51" s="464"/>
      <c r="D51" s="464"/>
      <c r="E51" s="464"/>
      <c r="F51" s="464"/>
    </row>
    <row r="52" spans="2:6">
      <c r="B52" s="44" t="s">
        <v>204</v>
      </c>
      <c r="C52" s="285">
        <f>Normalized_FCF!C12</f>
        <v>-536514.75935522048</v>
      </c>
      <c r="D52" s="1" t="str">
        <f>Reporting_currency</f>
        <v>HKD</v>
      </c>
    </row>
    <row r="54" spans="2:6">
      <c r="B54" s="464" t="s">
        <v>265</v>
      </c>
      <c r="C54" s="465"/>
      <c r="D54" s="465"/>
      <c r="E54" s="465"/>
      <c r="F54" s="465"/>
    </row>
    <row r="55" spans="2:6">
      <c r="B55" s="44" t="s">
        <v>207</v>
      </c>
      <c r="C55" s="285">
        <f>Normalized_FCF!C17</f>
        <v>0</v>
      </c>
      <c r="D55" s="1" t="str">
        <f>Reporting_currency</f>
        <v>HKD</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1276808.7874316322</v>
      </c>
      <c r="D60" s="1" t="str">
        <f>Reporting_currency</f>
        <v>HKD</v>
      </c>
    </row>
    <row r="61" spans="2:6">
      <c r="B61" s="44" t="s">
        <v>213</v>
      </c>
      <c r="C61" s="285">
        <f>Normalized_FCF!C19</f>
        <v>1236237.1703927394</v>
      </c>
      <c r="D61" s="1" t="str">
        <f>Reporting_currency</f>
        <v>HKD</v>
      </c>
    </row>
    <row r="62" spans="2:6">
      <c r="B62" s="204" t="s">
        <v>302</v>
      </c>
      <c r="C62" s="89">
        <f>Normalized_FCF!C124</f>
        <v>7.5411437294885003E-2</v>
      </c>
      <c r="F62" s="257"/>
    </row>
    <row r="63" spans="2:6">
      <c r="B63" s="204" t="s">
        <v>332</v>
      </c>
      <c r="C63" s="89">
        <f>Normalized_FCF!C92</f>
        <v>8.3850931677018639E-2</v>
      </c>
      <c r="E63" s="44" t="s">
        <v>322</v>
      </c>
      <c r="F63" s="258">
        <f>Normalized_FCF!C90</f>
        <v>1.2354585087542602</v>
      </c>
    </row>
    <row r="65" spans="1:6">
      <c r="B65" s="192" t="s">
        <v>325</v>
      </c>
      <c r="C65" s="264" t="s">
        <v>327</v>
      </c>
      <c r="D65" s="264" t="s">
        <v>328</v>
      </c>
    </row>
    <row r="66" spans="1:6">
      <c r="B66" s="44" t="s">
        <v>326</v>
      </c>
      <c r="C66" s="89">
        <f>Normalized_FCF!E119</f>
        <v>0.11354054587062024</v>
      </c>
      <c r="D66" s="89">
        <f>Normalized_FCF!G119</f>
        <v>0.12214212988224181</v>
      </c>
    </row>
    <row r="67" spans="1:6">
      <c r="B67" s="229" t="str">
        <f>Normalized_FCF!B116</f>
        <v>Pre-tax Profit/Sales</v>
      </c>
      <c r="C67" s="263">
        <f>Normalized_FCF!E116</f>
        <v>0.4243739445166862</v>
      </c>
      <c r="D67" s="263">
        <f>Normalized_FCF!G116</f>
        <v>0.45652358857655373</v>
      </c>
    </row>
    <row r="68" spans="1:6">
      <c r="B68" s="229" t="str">
        <f>Normalized_FCF!B117</f>
        <v>Sales/Total Assets</v>
      </c>
      <c r="C68" s="265">
        <f>Normalized_FCF!E117</f>
        <v>0.22035988512352028</v>
      </c>
      <c r="D68" s="265">
        <f>Normalized_FCF!G117</f>
        <v>0.22035988512352028</v>
      </c>
    </row>
    <row r="69" spans="1:6">
      <c r="B69" s="229" t="str">
        <f>Normalized_FCF!B118</f>
        <v>Total Assets/Equity</v>
      </c>
      <c r="C69" s="265">
        <f>Normalized_FCF!E118</f>
        <v>1.2141426890285656</v>
      </c>
      <c r="D69" s="265">
        <f>Normalized_FCF!G118</f>
        <v>1.2141426890285656</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37">
        <f>IF(BS!G31/BS!G27&gt;300%,"nm",BS!G31/BS!G27)</f>
        <v>2.3107986944995245E-3</v>
      </c>
    </row>
    <row r="81" spans="1:6">
      <c r="A81" s="191"/>
      <c r="B81" s="229" t="s">
        <v>311</v>
      </c>
      <c r="C81" s="338">
        <f>IF(BS!C50&gt;30,"nm",BS!C50)</f>
        <v>2.0454423835375664E-2</v>
      </c>
    </row>
    <row r="82" spans="1:6">
      <c r="A82" s="191"/>
    </row>
    <row r="83" spans="1:6">
      <c r="A83" s="191"/>
      <c r="B83" s="1" t="s">
        <v>466</v>
      </c>
    </row>
    <row r="84" spans="1:6">
      <c r="A84" s="191"/>
      <c r="B84" s="1" t="s">
        <v>224</v>
      </c>
      <c r="C84" s="285">
        <f>DCF!F5</f>
        <v>7893935.482658416</v>
      </c>
      <c r="D84" s="1" t="str">
        <f>Reporting_currency</f>
        <v>HKD</v>
      </c>
    </row>
    <row r="85" spans="1:6">
      <c r="A85" s="191"/>
      <c r="B85" s="229" t="s">
        <v>222</v>
      </c>
      <c r="C85" s="291">
        <f>BS!C66</f>
        <v>10118429</v>
      </c>
      <c r="D85" s="339" t="str">
        <f>Reporting_currency</f>
        <v>HKD</v>
      </c>
    </row>
    <row r="86" spans="1:6">
      <c r="A86" s="191"/>
      <c r="B86" s="44" t="s">
        <v>235</v>
      </c>
      <c r="C86" s="201">
        <f>C84*scaling_factor*Exchange_Rate/Common_Shares</f>
        <v>1.5505467497934948</v>
      </c>
      <c r="D86" s="1" t="str">
        <f>Market_currency</f>
        <v>HKD</v>
      </c>
    </row>
    <row r="87" spans="1:6">
      <c r="A87" s="191"/>
    </row>
    <row r="88" spans="1:6">
      <c r="A88" s="191"/>
      <c r="B88" s="1" t="s">
        <v>216</v>
      </c>
    </row>
    <row r="89" spans="1:6">
      <c r="A89" s="191"/>
      <c r="B89" s="1" t="s">
        <v>217</v>
      </c>
      <c r="C89" s="285">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469</v>
      </c>
      <c r="C92" s="216">
        <f>DCF!F8</f>
        <v>1.5937273351427192</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0.79833937207218564</v>
      </c>
      <c r="D111" s="1" t="str">
        <f>Market_currency</f>
        <v>HKD</v>
      </c>
    </row>
    <row r="112" spans="2:6">
      <c r="B112" s="44" t="s">
        <v>323</v>
      </c>
      <c r="C112" s="216">
        <f>DCF!C11</f>
        <v>4.943035308791405</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-0.3</v>
      </c>
      <c r="D118" s="207" t="str">
        <f>ROUND(DCF!E90,2)&amp;" "&amp;Market_currency</f>
        <v>2.85 HKD</v>
      </c>
      <c r="E118" s="208">
        <f>DCF!F90</f>
        <v>0.15</v>
      </c>
      <c r="F118" s="208">
        <f>RATE(Holding_Period,Scenarios!C$58,-DCF!E90,C$18)</f>
        <v>0.24116795645400396</v>
      </c>
    </row>
    <row r="119" spans="2:6">
      <c r="B119" s="205" t="str">
        <f>DCF!B91&amp;" ("&amp;DCF!D91&amp;"yrs)"</f>
        <v>Optimistic (3yrs)</v>
      </c>
      <c r="C119" s="198">
        <f>DCF!C91</f>
        <v>0.02</v>
      </c>
      <c r="D119" s="207" t="str">
        <f>ROUND(DCF!E91,2)&amp;" "&amp;Market_currency</f>
        <v>5.13 HKD</v>
      </c>
      <c r="E119" s="199">
        <f>DCF!F91</f>
        <v>0.15999999999999995</v>
      </c>
      <c r="F119" s="208">
        <f>RATE(Holding_Period,Scenarios!C$58,-DCF!E91,C$18)</f>
        <v>7.6345433025618919E-3</v>
      </c>
    </row>
    <row r="120" spans="2:6">
      <c r="B120" s="205" t="str">
        <f>DCF!B92&amp;" ("&amp;DCF!D92&amp;"yrs)"</f>
        <v>Base (3yrs)</v>
      </c>
      <c r="C120" s="198">
        <f>DCF!C92</f>
        <v>0</v>
      </c>
      <c r="D120" s="207" t="str">
        <f>ROUND(DCF!E92,2)&amp;" "&amp;Market_currency</f>
        <v>4.94 HKD</v>
      </c>
      <c r="E120" s="199">
        <f>DCF!F92</f>
        <v>0.44</v>
      </c>
      <c r="F120" s="208">
        <f>RATE(Holding_Period,Scenarios!C$58,-DCF!E92,C$18)</f>
        <v>2.1185052271601251E-2</v>
      </c>
    </row>
    <row r="121" spans="2:6">
      <c r="B121" s="205" t="str">
        <f>DCF!B93&amp;" ("&amp;DCF!D93&amp;"yrs)"</f>
        <v>Pessimistic (3yrs)</v>
      </c>
      <c r="C121" s="198">
        <f>DCF!C93</f>
        <v>-0.15</v>
      </c>
      <c r="D121" s="207" t="str">
        <f>ROUND(DCF!E93,2)&amp;" "&amp;Market_currency</f>
        <v>3.73 HKD</v>
      </c>
      <c r="E121" s="199">
        <f>DCF!F93</f>
        <v>0.19999999999999998</v>
      </c>
      <c r="F121" s="208">
        <f>RATE(Holding_Period,Scenarios!C$58,-DCF!E93,C$18)</f>
        <v>0.12842537879786403</v>
      </c>
    </row>
    <row r="122" spans="2:6">
      <c r="B122" s="205" t="str">
        <f>DCF!B94&amp;" ("&amp;DCF!D94&amp;"yrs)"</f>
        <v>Devil's advocate (3yrs)</v>
      </c>
      <c r="C122" s="198">
        <f>DCF!C94</f>
        <v>0.04</v>
      </c>
      <c r="D122" s="207" t="str">
        <f>ROUND(DCF!E94,2)&amp;" "&amp;Market_currency</f>
        <v>5.33 HKD</v>
      </c>
      <c r="E122" s="199">
        <f>DCF!F94</f>
        <v>0.05</v>
      </c>
      <c r="F122" s="208">
        <f>RATE(Holding_Period,Scenarios!C$58,-DCF!E94,C$18)</f>
        <v>-5.7145561978796094E-3</v>
      </c>
    </row>
    <row r="124" spans="2:6">
      <c r="B124" s="464" t="s">
        <v>357</v>
      </c>
      <c r="C124" s="464"/>
      <c r="D124" s="464"/>
      <c r="E124" s="464"/>
      <c r="F124" s="464"/>
    </row>
    <row r="125" spans="2:6">
      <c r="B125" s="193" t="s">
        <v>218</v>
      </c>
      <c r="C125" s="197">
        <f>Scenarios!C36</f>
        <v>4.4366120194593153</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0.27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0.49035047792444258</v>
      </c>
      <c r="D140" s="333">
        <f>Scenarios!D62</f>
        <v>2.0193955482290917</v>
      </c>
      <c r="E140" s="334">
        <f>Scenarios!E62</f>
        <v>2.5097460261535343</v>
      </c>
      <c r="F140" s="335">
        <f>E22</f>
        <v>0.3</v>
      </c>
    </row>
    <row r="141" spans="1:6">
      <c r="B141" s="336" t="s">
        <v>313</v>
      </c>
      <c r="C141" s="333">
        <f>Scenarios!C63</f>
        <v>0.56874999999999998</v>
      </c>
      <c r="D141" s="333">
        <f>Scenarios!D63</f>
        <v>2.567483807557474</v>
      </c>
      <c r="E141" s="334">
        <f>Scenarios!E63</f>
        <v>3.1362338075574741</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0.65140284400343529</v>
      </c>
      <c r="D144" s="333">
        <f>Scenarios!D66</f>
        <v>3.1799877747218557</v>
      </c>
      <c r="E144" s="334">
        <f>Scenarios!E66</f>
        <v>3.8313906187252909</v>
      </c>
      <c r="F144" s="335">
        <f>E24</f>
        <v>0.1174</v>
      </c>
    </row>
    <row r="145" spans="1:6">
      <c r="B145" s="336" t="s">
        <v>314</v>
      </c>
      <c r="C145" s="333">
        <f>Scenarios!C67</f>
        <v>0.7053413113367144</v>
      </c>
      <c r="D145" s="333">
        <f>Scenarios!D67</f>
        <v>3.5963301078738321</v>
      </c>
      <c r="E145" s="334">
        <f>Scenarios!E67</f>
        <v>4.3016714192105461</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5057000</v>
      </c>
      <c r="D4" s="287">
        <v>5891068</v>
      </c>
      <c r="E4" s="287">
        <v>8214719</v>
      </c>
      <c r="F4" s="287">
        <v>7075818</v>
      </c>
      <c r="G4" s="287">
        <v>3996951</v>
      </c>
      <c r="H4" s="287">
        <v>3869308</v>
      </c>
      <c r="I4" s="287">
        <v>3686176</v>
      </c>
      <c r="J4" s="287">
        <v>3471922</v>
      </c>
      <c r="K4" s="287">
        <v>1809885</v>
      </c>
      <c r="L4" s="287">
        <v>1996629</v>
      </c>
      <c r="M4" s="287"/>
    </row>
    <row r="5" spans="2:13">
      <c r="B5" s="38" t="s">
        <v>40</v>
      </c>
      <c r="C5" s="287">
        <v>2468686</v>
      </c>
      <c r="D5" s="287">
        <v>2425040</v>
      </c>
      <c r="E5" s="287">
        <v>2925125</v>
      </c>
      <c r="F5" s="287">
        <v>2681244</v>
      </c>
      <c r="G5" s="287">
        <v>2127744</v>
      </c>
      <c r="H5" s="287">
        <v>1880565</v>
      </c>
      <c r="I5" s="287">
        <v>1785634</v>
      </c>
      <c r="J5" s="287">
        <v>1596518</v>
      </c>
      <c r="K5" s="287">
        <v>1202842</v>
      </c>
      <c r="L5" s="287">
        <v>1508441</v>
      </c>
      <c r="M5" s="287"/>
    </row>
    <row r="6" spans="2:13">
      <c r="B6" s="38" t="s">
        <v>51</v>
      </c>
      <c r="C6" s="287">
        <v>318991</v>
      </c>
      <c r="D6" s="287">
        <v>415858</v>
      </c>
      <c r="E6" s="287">
        <v>556324</v>
      </c>
      <c r="F6" s="287">
        <v>477644</v>
      </c>
      <c r="G6" s="287">
        <v>498500</v>
      </c>
      <c r="H6" s="287">
        <v>432342</v>
      </c>
      <c r="I6" s="287">
        <v>413972</v>
      </c>
      <c r="J6" s="287">
        <v>408672</v>
      </c>
      <c r="K6" s="287">
        <v>371167</v>
      </c>
      <c r="L6" s="287">
        <v>543649</v>
      </c>
      <c r="M6" s="287"/>
    </row>
    <row r="7" spans="2:13">
      <c r="B7" s="66" t="s">
        <v>58</v>
      </c>
      <c r="C7" s="288">
        <v>110092</v>
      </c>
      <c r="D7" s="288">
        <v>214562</v>
      </c>
      <c r="E7" s="288">
        <v>348512</v>
      </c>
      <c r="F7" s="288">
        <v>269741</v>
      </c>
      <c r="G7" s="288">
        <v>316586</v>
      </c>
      <c r="H7" s="288">
        <v>250051</v>
      </c>
      <c r="I7" s="288">
        <v>208621</v>
      </c>
      <c r="J7" s="288">
        <v>206638</v>
      </c>
      <c r="K7" s="288">
        <v>167412</v>
      </c>
      <c r="L7" s="288">
        <v>201907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1746</v>
      </c>
      <c r="D12" s="287">
        <v>2921</v>
      </c>
      <c r="E12" s="287">
        <v>1360</v>
      </c>
      <c r="F12" s="287">
        <v>1275</v>
      </c>
      <c r="G12" s="287"/>
      <c r="H12" s="287"/>
      <c r="I12" s="287"/>
      <c r="J12" s="287"/>
      <c r="K12" s="287"/>
      <c r="L12" s="287"/>
      <c r="M12" s="287"/>
    </row>
    <row r="13" spans="2:13">
      <c r="B13" s="38" t="s">
        <v>64</v>
      </c>
      <c r="C13" s="287">
        <v>186780</v>
      </c>
      <c r="D13" s="287">
        <v>173638</v>
      </c>
      <c r="E13" s="287">
        <v>107067</v>
      </c>
      <c r="F13" s="287">
        <v>69578</v>
      </c>
      <c r="G13" s="287"/>
      <c r="H13" s="287"/>
      <c r="I13" s="287"/>
      <c r="J13" s="287"/>
      <c r="K13" s="287"/>
      <c r="L13" s="287"/>
      <c r="M13" s="287"/>
    </row>
    <row r="14" spans="2:13">
      <c r="B14" s="38" t="s">
        <v>47</v>
      </c>
      <c r="C14" s="287">
        <v>710922</v>
      </c>
      <c r="D14" s="287">
        <v>917979</v>
      </c>
      <c r="E14" s="287">
        <v>1317738</v>
      </c>
      <c r="F14" s="287">
        <v>1071328</v>
      </c>
      <c r="G14" s="287">
        <v>425331</v>
      </c>
      <c r="H14" s="287">
        <v>456674</v>
      </c>
      <c r="I14" s="287">
        <v>487781</v>
      </c>
      <c r="J14" s="287">
        <v>465034</v>
      </c>
      <c r="K14" s="287">
        <v>76600</v>
      </c>
      <c r="L14" s="287">
        <v>-124459</v>
      </c>
      <c r="M14" s="287"/>
    </row>
    <row r="15" spans="2:13">
      <c r="B15" s="41" t="s">
        <v>39</v>
      </c>
      <c r="C15" s="289">
        <v>1814975</v>
      </c>
      <c r="D15" s="289">
        <v>2300938</v>
      </c>
      <c r="E15" s="289">
        <v>3308155</v>
      </c>
      <c r="F15" s="289">
        <v>3060831</v>
      </c>
      <c r="G15" s="289">
        <v>1187283</v>
      </c>
      <c r="H15" s="289">
        <v>1176141</v>
      </c>
      <c r="I15" s="289">
        <v>1151928</v>
      </c>
      <c r="J15" s="289">
        <v>1182584</v>
      </c>
      <c r="K15" s="289">
        <v>67656</v>
      </c>
      <c r="L15" s="289">
        <v>-711475</v>
      </c>
      <c r="M15" s="289"/>
    </row>
    <row r="16" spans="2:13">
      <c r="B16" s="27" t="s">
        <v>41</v>
      </c>
      <c r="C16" s="287">
        <v>320909</v>
      </c>
      <c r="D16" s="287">
        <v>411691</v>
      </c>
      <c r="E16" s="287">
        <v>592781</v>
      </c>
      <c r="F16" s="287">
        <v>522336</v>
      </c>
      <c r="G16" s="287">
        <v>107242</v>
      </c>
      <c r="H16" s="287">
        <v>35728</v>
      </c>
      <c r="I16" s="287">
        <v>51440</v>
      </c>
      <c r="J16" s="287">
        <v>101935</v>
      </c>
      <c r="K16" s="287">
        <v>-44139</v>
      </c>
      <c r="L16" s="287">
        <v>-295004</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2369874</v>
      </c>
      <c r="D22" s="287">
        <v>4543011</v>
      </c>
      <c r="E22" s="287">
        <v>3847566</v>
      </c>
      <c r="F22" s="287">
        <v>3858089</v>
      </c>
      <c r="G22" s="287">
        <v>836818</v>
      </c>
      <c r="H22" s="287">
        <v>1922241</v>
      </c>
      <c r="I22" s="287">
        <v>1642851</v>
      </c>
      <c r="J22" s="287">
        <v>1535692</v>
      </c>
      <c r="K22" s="287">
        <v>222071</v>
      </c>
      <c r="L22" s="287">
        <v>821391</v>
      </c>
      <c r="M22" s="287"/>
    </row>
    <row r="23" spans="2:13">
      <c r="B23" s="26" t="s">
        <v>288</v>
      </c>
      <c r="C23" s="287">
        <v>-182373</v>
      </c>
      <c r="D23" s="287">
        <v>759311</v>
      </c>
      <c r="E23" s="287">
        <v>-1150823</v>
      </c>
      <c r="F23" s="287">
        <v>-1949086</v>
      </c>
      <c r="G23" s="287">
        <v>226332</v>
      </c>
      <c r="H23" s="287">
        <v>-727776</v>
      </c>
      <c r="I23" s="287">
        <v>-319345</v>
      </c>
      <c r="J23" s="287">
        <v>266424</v>
      </c>
      <c r="K23" s="287">
        <v>377546</v>
      </c>
      <c r="L23" s="287">
        <v>571097</v>
      </c>
      <c r="M23" s="287"/>
    </row>
    <row r="24" spans="2:13">
      <c r="B24" s="26" t="s">
        <v>287</v>
      </c>
      <c r="C24" s="287">
        <v>-971717</v>
      </c>
      <c r="D24" s="287">
        <v>-2342230</v>
      </c>
      <c r="E24" s="287">
        <v>-2819292</v>
      </c>
      <c r="F24" s="287">
        <v>-913829</v>
      </c>
      <c r="G24" s="287">
        <v>-1490643</v>
      </c>
      <c r="H24" s="287">
        <v>-893331</v>
      </c>
      <c r="I24" s="287">
        <v>-1135313</v>
      </c>
      <c r="J24" s="287">
        <v>-317532</v>
      </c>
      <c r="K24" s="287">
        <v>-1060796</v>
      </c>
      <c r="L24" s="287">
        <v>-1009824</v>
      </c>
      <c r="M24" s="287"/>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547</v>
      </c>
    </row>
    <row r="28" spans="2:13">
      <c r="B28" s="25" t="s">
        <v>22</v>
      </c>
      <c r="C28" s="270">
        <f>BS!C4</f>
        <v>537904</v>
      </c>
      <c r="D28" s="287">
        <v>687833</v>
      </c>
      <c r="E28" s="287">
        <v>2889765</v>
      </c>
      <c r="F28" s="287">
        <v>3144251</v>
      </c>
      <c r="G28" s="287">
        <v>2049144</v>
      </c>
      <c r="H28" s="287">
        <v>1797319</v>
      </c>
      <c r="I28" s="287">
        <v>2248182</v>
      </c>
      <c r="J28" s="287">
        <v>2297795</v>
      </c>
      <c r="K28" s="287">
        <v>1943651</v>
      </c>
      <c r="L28" s="287">
        <v>1757738</v>
      </c>
      <c r="M28" s="287"/>
    </row>
    <row r="29" spans="2:13">
      <c r="B29" s="25" t="s">
        <v>30</v>
      </c>
      <c r="C29" s="270">
        <f>BS!C6</f>
        <v>137638</v>
      </c>
      <c r="D29" s="287">
        <v>125636</v>
      </c>
      <c r="E29" s="287">
        <v>42046</v>
      </c>
      <c r="F29" s="287">
        <v>142658</v>
      </c>
      <c r="G29" s="287">
        <v>131170</v>
      </c>
      <c r="H29" s="287">
        <v>123530</v>
      </c>
      <c r="I29" s="287">
        <v>130069</v>
      </c>
      <c r="J29" s="287">
        <v>195983</v>
      </c>
      <c r="K29" s="287">
        <v>198599</v>
      </c>
      <c r="L29" s="287">
        <v>167312</v>
      </c>
      <c r="M29" s="287"/>
    </row>
    <row r="30" spans="2:13">
      <c r="B30" s="28" t="s">
        <v>38</v>
      </c>
      <c r="C30" s="271">
        <f>BS!C33+BS!C42</f>
        <v>4047566</v>
      </c>
      <c r="D30" s="289">
        <v>4021026</v>
      </c>
      <c r="E30" s="289">
        <v>4786265</v>
      </c>
      <c r="F30" s="289">
        <v>5631759</v>
      </c>
      <c r="G30" s="289">
        <v>4142576</v>
      </c>
      <c r="H30" s="289">
        <v>4426398</v>
      </c>
      <c r="I30" s="289">
        <v>4475236</v>
      </c>
      <c r="J30" s="289">
        <v>4318962</v>
      </c>
      <c r="K30" s="289">
        <v>3438763</v>
      </c>
      <c r="L30" s="289">
        <v>3683389</v>
      </c>
      <c r="M30" s="289"/>
    </row>
    <row r="31" spans="2:13">
      <c r="B31" s="28" t="s">
        <v>28</v>
      </c>
      <c r="C31" s="271">
        <f>BS!G27</f>
        <v>18901257</v>
      </c>
      <c r="D31" s="289">
        <v>18470518</v>
      </c>
      <c r="E31" s="289">
        <v>18677219</v>
      </c>
      <c r="F31" s="289">
        <v>19148218</v>
      </c>
      <c r="G31" s="289">
        <v>17291070</v>
      </c>
      <c r="H31" s="289">
        <v>17046312</v>
      </c>
      <c r="I31" s="289">
        <v>16775806</v>
      </c>
      <c r="J31" s="289">
        <v>17375683</v>
      </c>
      <c r="K31" s="289">
        <v>15665693</v>
      </c>
      <c r="L31" s="289">
        <v>17044280</v>
      </c>
      <c r="M31" s="289"/>
    </row>
    <row r="32" spans="2:13">
      <c r="B32" s="25" t="s">
        <v>143</v>
      </c>
      <c r="C32" s="270">
        <f>BS!G28</f>
        <v>2421183</v>
      </c>
      <c r="D32" s="287">
        <v>2188672</v>
      </c>
      <c r="E32" s="287">
        <v>1908542</v>
      </c>
      <c r="F32" s="287">
        <v>1848135</v>
      </c>
      <c r="G32" s="287">
        <v>1453904</v>
      </c>
      <c r="H32" s="287">
        <v>1364732</v>
      </c>
      <c r="I32" s="287">
        <v>1391690</v>
      </c>
      <c r="J32" s="287">
        <v>1440871</v>
      </c>
      <c r="K32" s="287">
        <v>1146669</v>
      </c>
      <c r="L32" s="287">
        <v>1253165</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5057000</v>
      </c>
      <c r="D36" s="270">
        <f t="shared" si="1"/>
        <v>5891068</v>
      </c>
      <c r="E36" s="270">
        <f t="shared" si="1"/>
        <v>8214719</v>
      </c>
      <c r="F36" s="270">
        <f t="shared" si="1"/>
        <v>7075818</v>
      </c>
      <c r="G36" s="270">
        <f t="shared" si="1"/>
        <v>3996951</v>
      </c>
      <c r="H36" s="270">
        <f t="shared" si="1"/>
        <v>3869308</v>
      </c>
      <c r="I36" s="270">
        <f t="shared" si="1"/>
        <v>3686176</v>
      </c>
      <c r="J36" s="270">
        <f t="shared" si="1"/>
        <v>3471922</v>
      </c>
      <c r="K36" s="270">
        <f t="shared" si="1"/>
        <v>1809885</v>
      </c>
      <c r="L36" s="270">
        <f t="shared" si="1"/>
        <v>1996629</v>
      </c>
      <c r="M36" s="270" t="str">
        <f t="shared" si="1"/>
        <v/>
      </c>
    </row>
    <row r="37" spans="2:13">
      <c r="B37" s="38" t="s">
        <v>40</v>
      </c>
      <c r="C37" s="270">
        <f t="shared" ref="C37:M37" si="2">IF(C$4="","",-C5)</f>
        <v>-2468686</v>
      </c>
      <c r="D37" s="270">
        <f t="shared" si="2"/>
        <v>-2425040</v>
      </c>
      <c r="E37" s="270">
        <f t="shared" si="2"/>
        <v>-2925125</v>
      </c>
      <c r="F37" s="270">
        <f t="shared" si="2"/>
        <v>-2681244</v>
      </c>
      <c r="G37" s="270">
        <f t="shared" si="2"/>
        <v>-2127744</v>
      </c>
      <c r="H37" s="270">
        <f t="shared" si="2"/>
        <v>-1880565</v>
      </c>
      <c r="I37" s="270">
        <f t="shared" si="2"/>
        <v>-1785634</v>
      </c>
      <c r="J37" s="270">
        <f t="shared" si="2"/>
        <v>-1596518</v>
      </c>
      <c r="K37" s="270">
        <f t="shared" si="2"/>
        <v>-1202842</v>
      </c>
      <c r="L37" s="270">
        <f t="shared" si="2"/>
        <v>-1508441</v>
      </c>
      <c r="M37" s="270" t="str">
        <f t="shared" si="2"/>
        <v/>
      </c>
    </row>
    <row r="38" spans="2:13">
      <c r="B38" s="30" t="s">
        <v>55</v>
      </c>
      <c r="C38" s="267">
        <f>IF(C36="","",C36+C37)</f>
        <v>2588314</v>
      </c>
      <c r="D38" s="267">
        <f t="shared" ref="D38" si="3">IF(D36="","",D36+D37)</f>
        <v>3466028</v>
      </c>
      <c r="E38" s="267">
        <f t="shared" ref="E38" si="4">IF(E36="","",E36+E37)</f>
        <v>5289594</v>
      </c>
      <c r="F38" s="267">
        <f t="shared" ref="F38" si="5">IF(F36="","",F36+F37)</f>
        <v>4394574</v>
      </c>
      <c r="G38" s="267">
        <f t="shared" ref="G38" si="6">IF(G36="","",G36+G37)</f>
        <v>1869207</v>
      </c>
      <c r="H38" s="267">
        <f t="shared" ref="H38" si="7">IF(H36="","",H36+H37)</f>
        <v>1988743</v>
      </c>
      <c r="I38" s="267">
        <f t="shared" ref="I38" si="8">IF(I36="","",I36+I37)</f>
        <v>1900542</v>
      </c>
      <c r="J38" s="267">
        <f t="shared" ref="J38" si="9">IF(J36="","",J36+J37)</f>
        <v>1875404</v>
      </c>
      <c r="K38" s="267">
        <f t="shared" ref="K38" si="10">IF(K36="","",K36+K37)</f>
        <v>607043</v>
      </c>
      <c r="L38" s="267">
        <f t="shared" ref="L38" si="11">IF(L36="","",L36+L37)</f>
        <v>488188</v>
      </c>
      <c r="M38" s="267" t="str">
        <f t="shared" ref="M38" si="12">IF(M36="","",M36+M37)</f>
        <v/>
      </c>
    </row>
    <row r="39" spans="2:13">
      <c r="B39" s="38" t="s">
        <v>51</v>
      </c>
      <c r="C39" s="270">
        <f t="shared" ref="C39:M39" si="13">IF(C$4="","",-C6)</f>
        <v>-318991</v>
      </c>
      <c r="D39" s="270">
        <f t="shared" si="13"/>
        <v>-415858</v>
      </c>
      <c r="E39" s="270">
        <f t="shared" si="13"/>
        <v>-556324</v>
      </c>
      <c r="F39" s="270">
        <f t="shared" si="13"/>
        <v>-477644</v>
      </c>
      <c r="G39" s="270">
        <f t="shared" si="13"/>
        <v>-498500</v>
      </c>
      <c r="H39" s="270">
        <f t="shared" si="13"/>
        <v>-432342</v>
      </c>
      <c r="I39" s="270">
        <f t="shared" si="13"/>
        <v>-413972</v>
      </c>
      <c r="J39" s="270">
        <f t="shared" si="13"/>
        <v>-408672</v>
      </c>
      <c r="K39" s="270">
        <f t="shared" si="13"/>
        <v>-371167</v>
      </c>
      <c r="L39" s="270">
        <f t="shared" si="13"/>
        <v>-543649</v>
      </c>
      <c r="M39" s="270" t="str">
        <f t="shared" si="13"/>
        <v/>
      </c>
    </row>
    <row r="40" spans="2:13">
      <c r="B40" s="66" t="s">
        <v>58</v>
      </c>
      <c r="C40" s="282">
        <f t="shared" ref="C40:M40" si="14">IF(C$4="","",-C7)</f>
        <v>-110092</v>
      </c>
      <c r="D40" s="282">
        <f t="shared" si="14"/>
        <v>-214562</v>
      </c>
      <c r="E40" s="282">
        <f t="shared" si="14"/>
        <v>-348512</v>
      </c>
      <c r="F40" s="282">
        <f t="shared" si="14"/>
        <v>-269741</v>
      </c>
      <c r="G40" s="282">
        <f t="shared" si="14"/>
        <v>-316586</v>
      </c>
      <c r="H40" s="282">
        <f t="shared" si="14"/>
        <v>-250051</v>
      </c>
      <c r="I40" s="282">
        <f t="shared" si="14"/>
        <v>-208621</v>
      </c>
      <c r="J40" s="282">
        <f t="shared" si="14"/>
        <v>-206638</v>
      </c>
      <c r="K40" s="282">
        <f t="shared" si="14"/>
        <v>-167412</v>
      </c>
      <c r="L40" s="282">
        <f t="shared" si="14"/>
        <v>-201907</v>
      </c>
      <c r="M40" s="282" t="str">
        <f t="shared" si="14"/>
        <v/>
      </c>
    </row>
    <row r="41" spans="2:13">
      <c r="B41" s="66" t="s">
        <v>61</v>
      </c>
      <c r="C41" s="282">
        <f>IF(C$4="","",C39-C40)</f>
        <v>-208899</v>
      </c>
      <c r="D41" s="282">
        <f t="shared" ref="D41:M41" si="15">IF(D$4="","",D39-D40)</f>
        <v>-201296</v>
      </c>
      <c r="E41" s="282">
        <f t="shared" si="15"/>
        <v>-207812</v>
      </c>
      <c r="F41" s="282">
        <f t="shared" si="15"/>
        <v>-207903</v>
      </c>
      <c r="G41" s="282">
        <f t="shared" si="15"/>
        <v>-181914</v>
      </c>
      <c r="H41" s="282">
        <f t="shared" si="15"/>
        <v>-182291</v>
      </c>
      <c r="I41" s="282">
        <f t="shared" si="15"/>
        <v>-205351</v>
      </c>
      <c r="J41" s="282">
        <f t="shared" si="15"/>
        <v>-202034</v>
      </c>
      <c r="K41" s="282">
        <f t="shared" si="15"/>
        <v>-203755</v>
      </c>
      <c r="L41" s="282">
        <f t="shared" si="15"/>
        <v>-341742</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2269323</v>
      </c>
      <c r="D43" s="271">
        <f t="shared" ref="D43:M43" si="17">IF(D$4="","",D38+D39+D42)</f>
        <v>3050170</v>
      </c>
      <c r="E43" s="271">
        <f t="shared" si="17"/>
        <v>4733270</v>
      </c>
      <c r="F43" s="271">
        <f t="shared" si="17"/>
        <v>3916930</v>
      </c>
      <c r="G43" s="271">
        <f t="shared" si="17"/>
        <v>1370707</v>
      </c>
      <c r="H43" s="271">
        <f t="shared" si="17"/>
        <v>1556401</v>
      </c>
      <c r="I43" s="271">
        <f t="shared" si="17"/>
        <v>1486570</v>
      </c>
      <c r="J43" s="271">
        <f t="shared" si="17"/>
        <v>1466732</v>
      </c>
      <c r="K43" s="271">
        <f t="shared" si="17"/>
        <v>235876</v>
      </c>
      <c r="L43" s="271">
        <f t="shared" si="17"/>
        <v>-55461</v>
      </c>
      <c r="M43" s="271" t="str">
        <f t="shared" si="17"/>
        <v/>
      </c>
    </row>
    <row r="44" spans="2:13">
      <c r="B44" s="41" t="s">
        <v>139</v>
      </c>
      <c r="C44" s="290">
        <f t="shared" ref="C44:M44" si="18">IF(C$4="","",C47-C46-C45-C43)</f>
        <v>71540</v>
      </c>
      <c r="D44" s="290">
        <f t="shared" si="18"/>
        <v>-1970</v>
      </c>
      <c r="E44" s="290">
        <f t="shared" si="18"/>
        <v>-213084</v>
      </c>
      <c r="F44" s="290">
        <f t="shared" si="18"/>
        <v>146926</v>
      </c>
      <c r="G44" s="290">
        <f t="shared" si="18"/>
        <v>241907</v>
      </c>
      <c r="H44" s="290">
        <f t="shared" si="18"/>
        <v>76414</v>
      </c>
      <c r="I44" s="290">
        <f t="shared" si="18"/>
        <v>153139</v>
      </c>
      <c r="J44" s="290">
        <f t="shared" si="18"/>
        <v>180886</v>
      </c>
      <c r="K44" s="290">
        <f t="shared" si="18"/>
        <v>-91620</v>
      </c>
      <c r="L44" s="290">
        <f t="shared" si="18"/>
        <v>-780473</v>
      </c>
      <c r="M44" s="290" t="str">
        <f t="shared" si="18"/>
        <v/>
      </c>
    </row>
    <row r="45" spans="2:13">
      <c r="B45" s="38" t="s">
        <v>65</v>
      </c>
      <c r="C45" s="285">
        <f t="shared" ref="C45:M45" si="19">IF(C$4="","",C51+C52)</f>
        <v>185034</v>
      </c>
      <c r="D45" s="285">
        <f t="shared" si="19"/>
        <v>170717</v>
      </c>
      <c r="E45" s="285">
        <f t="shared" si="19"/>
        <v>105707</v>
      </c>
      <c r="F45" s="285">
        <f t="shared" si="19"/>
        <v>68303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-710922</v>
      </c>
      <c r="D46" s="270">
        <f t="shared" ref="D46:M46" si="20">IF(D$4="","",-D14)</f>
        <v>-917979</v>
      </c>
      <c r="E46" s="270">
        <f t="shared" si="20"/>
        <v>-1317738</v>
      </c>
      <c r="F46" s="270">
        <f t="shared" si="20"/>
        <v>-1071328</v>
      </c>
      <c r="G46" s="270">
        <f t="shared" si="20"/>
        <v>-425331</v>
      </c>
      <c r="H46" s="270">
        <f t="shared" si="20"/>
        <v>-456674</v>
      </c>
      <c r="I46" s="270">
        <f t="shared" si="20"/>
        <v>-487781</v>
      </c>
      <c r="J46" s="270">
        <f t="shared" si="20"/>
        <v>-465034</v>
      </c>
      <c r="K46" s="270">
        <f t="shared" si="20"/>
        <v>-76600</v>
      </c>
      <c r="L46" s="270">
        <f t="shared" si="20"/>
        <v>124459</v>
      </c>
      <c r="M46" s="270" t="str">
        <f t="shared" si="20"/>
        <v/>
      </c>
    </row>
    <row r="47" spans="2:13">
      <c r="B47" s="41" t="s">
        <v>39</v>
      </c>
      <c r="C47" s="271">
        <f t="shared" ref="C47:M47" si="21">IF(C$4="","",C15)</f>
        <v>1814975</v>
      </c>
      <c r="D47" s="271">
        <f t="shared" si="21"/>
        <v>2300938</v>
      </c>
      <c r="E47" s="271">
        <f t="shared" si="21"/>
        <v>3308155</v>
      </c>
      <c r="F47" s="271">
        <f t="shared" si="21"/>
        <v>3060831</v>
      </c>
      <c r="G47" s="271">
        <f t="shared" si="21"/>
        <v>1187283</v>
      </c>
      <c r="H47" s="271">
        <f t="shared" si="21"/>
        <v>1176141</v>
      </c>
      <c r="I47" s="271">
        <f t="shared" si="21"/>
        <v>1151928</v>
      </c>
      <c r="J47" s="271">
        <f t="shared" si="21"/>
        <v>1182584</v>
      </c>
      <c r="K47" s="271">
        <f t="shared" si="21"/>
        <v>67656</v>
      </c>
      <c r="L47" s="271">
        <f t="shared" si="21"/>
        <v>-711475</v>
      </c>
      <c r="M47" s="271" t="str">
        <f t="shared" si="21"/>
        <v/>
      </c>
    </row>
    <row r="48" spans="2:13">
      <c r="B48" s="27" t="s">
        <v>41</v>
      </c>
      <c r="C48" s="270">
        <f t="shared" ref="C48:M48" si="22">IF(C$4="","",MIN(-C16,0))</f>
        <v>-320909</v>
      </c>
      <c r="D48" s="270">
        <f t="shared" si="22"/>
        <v>-411691</v>
      </c>
      <c r="E48" s="270">
        <f t="shared" si="22"/>
        <v>-592781</v>
      </c>
      <c r="F48" s="270">
        <f t="shared" si="22"/>
        <v>-522336</v>
      </c>
      <c r="G48" s="270">
        <f t="shared" si="22"/>
        <v>-107242</v>
      </c>
      <c r="H48" s="270">
        <f t="shared" si="22"/>
        <v>-35728</v>
      </c>
      <c r="I48" s="270">
        <f t="shared" si="22"/>
        <v>-51440</v>
      </c>
      <c r="J48" s="270">
        <f t="shared" si="22"/>
        <v>-101935</v>
      </c>
      <c r="K48" s="270">
        <f t="shared" si="22"/>
        <v>0</v>
      </c>
      <c r="L48" s="270">
        <f t="shared" si="22"/>
        <v>0</v>
      </c>
      <c r="M48" s="270" t="str">
        <f t="shared" si="22"/>
        <v/>
      </c>
    </row>
    <row r="50" spans="2:13">
      <c r="B50" s="16" t="s">
        <v>65</v>
      </c>
    </row>
    <row r="51" spans="2:13">
      <c r="B51" s="38" t="s">
        <v>37</v>
      </c>
      <c r="C51" s="270">
        <f t="shared" ref="C51:M51" si="23">IF(C$4="","",-C12)</f>
        <v>-1746</v>
      </c>
      <c r="D51" s="270">
        <f t="shared" si="23"/>
        <v>-2921</v>
      </c>
      <c r="E51" s="270">
        <f t="shared" si="23"/>
        <v>-1360</v>
      </c>
      <c r="F51" s="270">
        <f t="shared" si="23"/>
        <v>-1275</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186780</v>
      </c>
      <c r="D52" s="270">
        <f t="shared" ref="D52:M52" si="24">IF(D$4="","",D13)</f>
        <v>173638</v>
      </c>
      <c r="E52" s="270">
        <f t="shared" si="24"/>
        <v>107067</v>
      </c>
      <c r="F52" s="270">
        <f t="shared" si="24"/>
        <v>69578</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71540</v>
      </c>
      <c r="D58" s="285">
        <f t="shared" ref="D58:M58" si="28">IF(D$4="","",D44-D55-D56-D57)</f>
        <v>-1970</v>
      </c>
      <c r="E58" s="285">
        <f t="shared" si="28"/>
        <v>-213084</v>
      </c>
      <c r="F58" s="285">
        <f t="shared" si="28"/>
        <v>146926</v>
      </c>
      <c r="G58" s="285">
        <f t="shared" si="28"/>
        <v>241907</v>
      </c>
      <c r="H58" s="285">
        <f t="shared" si="28"/>
        <v>76414</v>
      </c>
      <c r="I58" s="285">
        <f t="shared" si="28"/>
        <v>153139</v>
      </c>
      <c r="J58" s="285">
        <f t="shared" si="28"/>
        <v>180886</v>
      </c>
      <c r="K58" s="285">
        <f t="shared" si="28"/>
        <v>-91620</v>
      </c>
      <c r="L58" s="285">
        <f t="shared" si="28"/>
        <v>-780473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1215784</v>
      </c>
      <c r="D64" s="270">
        <f t="shared" ref="D64:M64" si="32">IF(D$4="","",D22+D23+D24)</f>
        <v>2960092</v>
      </c>
      <c r="E64" s="270">
        <f t="shared" si="32"/>
        <v>-122549</v>
      </c>
      <c r="F64" s="270">
        <f t="shared" si="32"/>
        <v>995174</v>
      </c>
      <c r="G64" s="270">
        <f t="shared" si="32"/>
        <v>-427493</v>
      </c>
      <c r="H64" s="270">
        <f t="shared" si="32"/>
        <v>301134</v>
      </c>
      <c r="I64" s="270">
        <f t="shared" si="32"/>
        <v>188193</v>
      </c>
      <c r="J64" s="270">
        <f t="shared" si="32"/>
        <v>1484584</v>
      </c>
      <c r="K64" s="270">
        <f t="shared" si="32"/>
        <v>-461179</v>
      </c>
      <c r="L64" s="270">
        <f t="shared" si="32"/>
        <v>382664</v>
      </c>
      <c r="M64" s="270"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5">
        <f t="shared" ref="D76:M76" si="39">IF(D$4="","",D79+D80)</f>
        <v>22491544</v>
      </c>
      <c r="E76" s="285">
        <f t="shared" si="39"/>
        <v>23463484</v>
      </c>
      <c r="F76" s="285">
        <f t="shared" si="39"/>
        <v>24779977</v>
      </c>
      <c r="G76" s="285">
        <f t="shared" si="39"/>
        <v>21433646</v>
      </c>
      <c r="H76" s="285">
        <f t="shared" si="39"/>
        <v>21472710</v>
      </c>
      <c r="I76" s="285">
        <f t="shared" si="39"/>
        <v>21251042</v>
      </c>
      <c r="J76" s="285">
        <f t="shared" si="39"/>
        <v>21694645</v>
      </c>
      <c r="K76" s="285">
        <f t="shared" si="39"/>
        <v>19104456</v>
      </c>
      <c r="L76" s="285">
        <f t="shared" si="39"/>
        <v>20727669</v>
      </c>
      <c r="M76" s="285" t="str">
        <f t="shared" si="39"/>
        <v/>
      </c>
    </row>
    <row r="77" spans="2:13">
      <c r="B77" s="90" t="s">
        <v>82</v>
      </c>
      <c r="C77" s="260">
        <f t="shared" ref="C77:H78" si="40">IF(C$4="","",C28)</f>
        <v>537904</v>
      </c>
      <c r="D77" s="282">
        <f t="shared" si="40"/>
        <v>687833</v>
      </c>
      <c r="E77" s="282">
        <f t="shared" si="40"/>
        <v>2889765</v>
      </c>
      <c r="F77" s="282">
        <f t="shared" si="40"/>
        <v>3144251</v>
      </c>
      <c r="G77" s="282">
        <f t="shared" si="40"/>
        <v>2049144</v>
      </c>
      <c r="H77" s="282">
        <f t="shared" si="40"/>
        <v>1797319</v>
      </c>
      <c r="I77" s="291"/>
      <c r="J77" s="291"/>
      <c r="K77" s="291"/>
      <c r="L77" s="291"/>
      <c r="M77" s="291"/>
    </row>
    <row r="78" spans="2:13">
      <c r="B78" s="90" t="s">
        <v>83</v>
      </c>
      <c r="C78" s="260">
        <f t="shared" si="40"/>
        <v>137638</v>
      </c>
      <c r="D78" s="282">
        <f t="shared" si="40"/>
        <v>125636</v>
      </c>
      <c r="E78" s="282">
        <f t="shared" si="40"/>
        <v>42046</v>
      </c>
      <c r="F78" s="282">
        <f t="shared" si="40"/>
        <v>142658</v>
      </c>
      <c r="G78" s="282">
        <f t="shared" si="40"/>
        <v>131170</v>
      </c>
      <c r="H78" s="282">
        <f t="shared" si="40"/>
        <v>123530</v>
      </c>
      <c r="I78" s="291"/>
      <c r="J78" s="291"/>
      <c r="K78" s="291"/>
      <c r="L78" s="291"/>
      <c r="M78" s="291"/>
    </row>
    <row r="79" spans="2:13">
      <c r="B79" s="25" t="s">
        <v>38</v>
      </c>
      <c r="C79" s="259">
        <f t="shared" ref="C79:M79" si="41">IF(C$4="","",C30)</f>
        <v>4047566</v>
      </c>
      <c r="D79" s="270">
        <f t="shared" si="41"/>
        <v>4021026</v>
      </c>
      <c r="E79" s="270">
        <f t="shared" si="41"/>
        <v>4786265</v>
      </c>
      <c r="F79" s="270">
        <f t="shared" si="41"/>
        <v>5631759</v>
      </c>
      <c r="G79" s="270">
        <f t="shared" si="41"/>
        <v>4142576</v>
      </c>
      <c r="H79" s="270">
        <f t="shared" si="41"/>
        <v>4426398</v>
      </c>
      <c r="I79" s="270">
        <f t="shared" si="41"/>
        <v>4475236</v>
      </c>
      <c r="J79" s="270">
        <f t="shared" si="41"/>
        <v>4318962</v>
      </c>
      <c r="K79" s="270">
        <f t="shared" si="41"/>
        <v>3438763</v>
      </c>
      <c r="L79" s="270">
        <f t="shared" si="41"/>
        <v>3683389</v>
      </c>
      <c r="M79" s="270" t="str">
        <f t="shared" si="41"/>
        <v/>
      </c>
    </row>
    <row r="80" spans="2:13">
      <c r="B80" s="25" t="s">
        <v>28</v>
      </c>
      <c r="C80" s="259">
        <f t="shared" ref="C80:M80" si="42">IF(C$4="","",C31)</f>
        <v>18901257</v>
      </c>
      <c r="D80" s="270">
        <f t="shared" si="42"/>
        <v>18470518</v>
      </c>
      <c r="E80" s="270">
        <f t="shared" si="42"/>
        <v>18677219</v>
      </c>
      <c r="F80" s="270">
        <f t="shared" si="42"/>
        <v>19148218</v>
      </c>
      <c r="G80" s="270">
        <f t="shared" si="42"/>
        <v>17291070</v>
      </c>
      <c r="H80" s="270">
        <f t="shared" si="42"/>
        <v>17046312</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87">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2.0454423835375664E-2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0.17232644861124766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7893935.482658416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-359583.06091666664</v>
      </c>
      <c r="D73" s="285">
        <f>(Normalized_FCF!C26+Normalized_FCF!C35-Normalized_FCF!C89)/12</f>
        <v>-370748.91955693066</v>
      </c>
      <c r="F73" s="1" t="s">
        <v>278</v>
      </c>
    </row>
    <row r="74" spans="2:6" ht="15" customHeight="1">
      <c r="B74" s="227" t="s">
        <v>259</v>
      </c>
      <c r="C74" s="228">
        <f>-$C$66/C73</f>
        <v>28.139337192930078</v>
      </c>
      <c r="D74" s="228">
        <f>-$C$66/D73</f>
        <v>27.291863755374358</v>
      </c>
      <c r="F74" s="223" t="s">
        <v>257</v>
      </c>
    </row>
    <row r="75" spans="2:6" ht="15" customHeight="1">
      <c r="B75" s="77" t="s">
        <v>258</v>
      </c>
      <c r="C75" s="261"/>
      <c r="D75" s="262">
        <f>MAX(-D73*D76,G5)</f>
        <v>2224493.517341584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7893935.482658416</v>
      </c>
      <c r="D87" s="201">
        <f>C87*scaling_factor/Common_Shares</f>
        <v>1.5505467497934948</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8113770.6826584162</v>
      </c>
      <c r="D89" s="216">
        <f>SUM(D86:D88)</f>
        <v>1.5937273351427192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5057000</v>
      </c>
      <c r="D4" s="54"/>
      <c r="E4" s="235"/>
      <c r="F4" s="54"/>
      <c r="G4" s="270">
        <f>Data!C36</f>
        <v>5057000</v>
      </c>
      <c r="H4" s="270">
        <f>Data!D36</f>
        <v>5891068</v>
      </c>
      <c r="I4" s="270">
        <f>Data!E36</f>
        <v>8214719</v>
      </c>
      <c r="J4" s="270">
        <f>Data!F36</f>
        <v>7075818</v>
      </c>
      <c r="K4" s="270">
        <f>Data!G36</f>
        <v>3996951</v>
      </c>
      <c r="L4" s="270">
        <f>Data!H36</f>
        <v>3869308</v>
      </c>
      <c r="M4" s="270">
        <f>Data!I36</f>
        <v>3686176</v>
      </c>
      <c r="N4" s="270">
        <f>Data!J36</f>
        <v>3471922</v>
      </c>
      <c r="O4" s="270">
        <f>Data!K36</f>
        <v>1809885</v>
      </c>
      <c r="P4" s="270">
        <f>Data!L36</f>
        <v>1996629</v>
      </c>
      <c r="Q4" s="270" t="str">
        <f>Data!M36</f>
        <v/>
      </c>
    </row>
    <row r="5" spans="1:17" ht="15.75" customHeight="1">
      <c r="A5" s="10"/>
      <c r="B5" s="2" t="s">
        <v>43</v>
      </c>
      <c r="C5" s="266">
        <f>C26</f>
        <v>-2712768.3036831678</v>
      </c>
      <c r="E5" s="237"/>
      <c r="G5" s="270">
        <f t="shared" ref="G5:Q5" si="1">G26</f>
        <v>-2578778</v>
      </c>
      <c r="H5" s="270">
        <f t="shared" si="1"/>
        <v>-2639602</v>
      </c>
      <c r="I5" s="270">
        <f t="shared" si="1"/>
        <v>-3273637</v>
      </c>
      <c r="J5" s="270">
        <f t="shared" si="1"/>
        <v>-2950985</v>
      </c>
      <c r="K5" s="270">
        <f t="shared" si="1"/>
        <v>-2444330</v>
      </c>
      <c r="L5" s="270">
        <f t="shared" si="1"/>
        <v>-2130616</v>
      </c>
      <c r="M5" s="270">
        <f t="shared" si="1"/>
        <v>-1994255</v>
      </c>
      <c r="N5" s="270">
        <f t="shared" si="1"/>
        <v>-1803156</v>
      </c>
      <c r="O5" s="270">
        <f t="shared" si="1"/>
        <v>-1370254</v>
      </c>
      <c r="P5" s="270">
        <f t="shared" si="1"/>
        <v>-1710348</v>
      </c>
      <c r="Q5" s="270" t="str">
        <f t="shared" si="1"/>
        <v/>
      </c>
    </row>
    <row r="6" spans="1:17" ht="15.75" customHeight="1">
      <c r="A6" s="10"/>
      <c r="B6" s="30" t="s">
        <v>45</v>
      </c>
      <c r="C6" s="267">
        <f>C4+C5</f>
        <v>2344231.6963168322</v>
      </c>
      <c r="E6" s="237"/>
      <c r="G6" s="267">
        <f>IF(G4="","",G4+G5)</f>
        <v>2478222</v>
      </c>
      <c r="H6" s="267">
        <f t="shared" ref="H6:Q6" si="2">IF(H4="","",H4+H5)</f>
        <v>3251466</v>
      </c>
      <c r="I6" s="267">
        <f t="shared" si="2"/>
        <v>4941082</v>
      </c>
      <c r="J6" s="267">
        <f t="shared" si="2"/>
        <v>4124833</v>
      </c>
      <c r="K6" s="267">
        <f t="shared" si="2"/>
        <v>1552621</v>
      </c>
      <c r="L6" s="267">
        <f t="shared" si="2"/>
        <v>1738692</v>
      </c>
      <c r="M6" s="267">
        <f t="shared" si="2"/>
        <v>1691921</v>
      </c>
      <c r="N6" s="267">
        <f t="shared" si="2"/>
        <v>1668766</v>
      </c>
      <c r="O6" s="267">
        <f t="shared" si="2"/>
        <v>439631</v>
      </c>
      <c r="P6" s="267">
        <f t="shared" si="2"/>
        <v>286281</v>
      </c>
      <c r="Q6" s="267" t="str">
        <f t="shared" si="2"/>
        <v/>
      </c>
    </row>
    <row r="7" spans="1:17" ht="15.75" customHeight="1">
      <c r="A7" s="10"/>
      <c r="B7" s="8" t="s">
        <v>42</v>
      </c>
      <c r="C7" s="266">
        <f>C35</f>
        <v>-208899</v>
      </c>
      <c r="E7" s="237"/>
      <c r="G7" s="266">
        <f t="shared" ref="G7:Q7" si="3">G35</f>
        <v>-208899</v>
      </c>
      <c r="H7" s="266">
        <f t="shared" si="3"/>
        <v>-201296</v>
      </c>
      <c r="I7" s="266">
        <f t="shared" si="3"/>
        <v>-207812</v>
      </c>
      <c r="J7" s="266">
        <f t="shared" si="3"/>
        <v>-207903</v>
      </c>
      <c r="K7" s="266">
        <f t="shared" si="3"/>
        <v>-181914</v>
      </c>
      <c r="L7" s="266">
        <f t="shared" si="3"/>
        <v>-182291</v>
      </c>
      <c r="M7" s="266">
        <f t="shared" si="3"/>
        <v>-205351</v>
      </c>
      <c r="N7" s="266">
        <f t="shared" si="3"/>
        <v>-202034</v>
      </c>
      <c r="O7" s="266">
        <f t="shared" si="3"/>
        <v>-203755</v>
      </c>
      <c r="P7" s="266">
        <f t="shared" si="3"/>
        <v>-341742</v>
      </c>
      <c r="Q7" s="266" t="str">
        <f t="shared" si="3"/>
        <v/>
      </c>
    </row>
    <row r="8" spans="1:17" ht="15.75" customHeight="1">
      <c r="A8" s="10"/>
      <c r="B8" s="28" t="s">
        <v>127</v>
      </c>
      <c r="C8" s="268">
        <f>C6+C7</f>
        <v>2135332.6963168322</v>
      </c>
      <c r="D8" s="56"/>
      <c r="E8" s="241"/>
      <c r="F8" s="56"/>
      <c r="G8" s="267">
        <f>IF(G$4="","",G6+G7)</f>
        <v>2269323</v>
      </c>
      <c r="H8" s="267">
        <f t="shared" ref="H8:Q8" si="4">IF(H$4="","",H6+H7)</f>
        <v>3050170</v>
      </c>
      <c r="I8" s="267">
        <f t="shared" si="4"/>
        <v>4733270</v>
      </c>
      <c r="J8" s="267">
        <f t="shared" si="4"/>
        <v>3916930</v>
      </c>
      <c r="K8" s="267">
        <f t="shared" si="4"/>
        <v>1370707</v>
      </c>
      <c r="L8" s="267">
        <f t="shared" si="4"/>
        <v>1556401</v>
      </c>
      <c r="M8" s="267">
        <f t="shared" si="4"/>
        <v>1486570</v>
      </c>
      <c r="N8" s="267">
        <f t="shared" si="4"/>
        <v>1466732</v>
      </c>
      <c r="O8" s="267">
        <f t="shared" si="4"/>
        <v>235876</v>
      </c>
      <c r="P8" s="267">
        <f t="shared" si="4"/>
        <v>-55461</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10726.341104049505</v>
      </c>
      <c r="E10" s="237"/>
      <c r="G10" s="266">
        <f>G48</f>
        <v>39316.78743163203</v>
      </c>
      <c r="H10" s="266">
        <f t="shared" ref="H10:Q10" si="6">H48</f>
        <v>35252.574708500499</v>
      </c>
      <c r="I10" s="266">
        <f t="shared" si="6"/>
        <v>22178.223910175322</v>
      </c>
      <c r="J10" s="266">
        <f t="shared" si="6"/>
        <v>14021.426940347434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2146059.0374208819</v>
      </c>
      <c r="E11" s="237"/>
      <c r="G11" s="267">
        <f t="shared" ref="G11:Q11" si="7">IF(G$4="","",SUM(G8:G10))</f>
        <v>2308639.7874316322</v>
      </c>
      <c r="H11" s="267">
        <f t="shared" si="7"/>
        <v>3085422.5747085004</v>
      </c>
      <c r="I11" s="267">
        <f t="shared" si="7"/>
        <v>4755448.2239101753</v>
      </c>
      <c r="J11" s="267">
        <f t="shared" si="7"/>
        <v>3930951.4269403475</v>
      </c>
      <c r="K11" s="267">
        <f t="shared" si="7"/>
        <v>1370707</v>
      </c>
      <c r="L11" s="267">
        <f t="shared" si="7"/>
        <v>1556401</v>
      </c>
      <c r="M11" s="267">
        <f t="shared" si="7"/>
        <v>1486570</v>
      </c>
      <c r="N11" s="267">
        <f t="shared" si="7"/>
        <v>1466732</v>
      </c>
      <c r="O11" s="267">
        <f t="shared" si="7"/>
        <v>235876</v>
      </c>
      <c r="P11" s="267">
        <f t="shared" si="7"/>
        <v>-55461</v>
      </c>
      <c r="Q11" s="267" t="str">
        <f t="shared" si="7"/>
        <v/>
      </c>
    </row>
    <row r="12" spans="1:17" ht="15.75" customHeight="1">
      <c r="A12" s="10"/>
      <c r="B12" s="2" t="s">
        <v>60</v>
      </c>
      <c r="C12" s="266">
        <f>-C11*C41</f>
        <v>-536514.75935522048</v>
      </c>
      <c r="E12" s="237"/>
      <c r="G12" s="266">
        <f>Data!C46</f>
        <v>-710922</v>
      </c>
      <c r="H12" s="266">
        <f>Data!D46</f>
        <v>-917979</v>
      </c>
      <c r="I12" s="266">
        <f>Data!E46</f>
        <v>-1317738</v>
      </c>
      <c r="J12" s="266">
        <f>Data!F46</f>
        <v>-1071328</v>
      </c>
      <c r="K12" s="266">
        <f>Data!G46</f>
        <v>-425331</v>
      </c>
      <c r="L12" s="266">
        <f>Data!H46</f>
        <v>-456674</v>
      </c>
      <c r="M12" s="266">
        <f>Data!I46</f>
        <v>-487781</v>
      </c>
      <c r="N12" s="266">
        <f>Data!J46</f>
        <v>-465034</v>
      </c>
      <c r="O12" s="266">
        <f>Data!K46</f>
        <v>-76600</v>
      </c>
      <c r="P12" s="266">
        <f>Data!L46</f>
        <v>124459</v>
      </c>
      <c r="Q12" s="266" t="str">
        <f>Data!M46</f>
        <v/>
      </c>
    </row>
    <row r="13" spans="1:17" ht="15.75" customHeight="1">
      <c r="A13" s="10"/>
      <c r="B13" s="38" t="s">
        <v>208</v>
      </c>
      <c r="C13" s="266">
        <f>-C4*C79</f>
        <v>-373307.10767292208</v>
      </c>
      <c r="D13" s="57"/>
      <c r="E13" s="242"/>
      <c r="F13" s="57"/>
      <c r="G13" s="270">
        <f>Data!C48</f>
        <v>-320909</v>
      </c>
      <c r="H13" s="270">
        <f>Data!D48</f>
        <v>-411691</v>
      </c>
      <c r="I13" s="270">
        <f>Data!E48</f>
        <v>-592781</v>
      </c>
      <c r="J13" s="270">
        <f>Data!F48</f>
        <v>-522336</v>
      </c>
      <c r="K13" s="270">
        <f>Data!G48</f>
        <v>-107242</v>
      </c>
      <c r="L13" s="270">
        <f>Data!H48</f>
        <v>-35728</v>
      </c>
      <c r="M13" s="270">
        <f>Data!I48</f>
        <v>-51440</v>
      </c>
      <c r="N13" s="270">
        <f>Data!J48</f>
        <v>-101935</v>
      </c>
      <c r="O13" s="270">
        <f>Data!K48</f>
        <v>0</v>
      </c>
      <c r="P13" s="270">
        <f>Data!L48</f>
        <v>0</v>
      </c>
      <c r="Q13" s="270" t="str">
        <f>Data!M48</f>
        <v/>
      </c>
    </row>
    <row r="14" spans="1:17" ht="15.75" customHeight="1">
      <c r="A14" s="10"/>
      <c r="B14" s="39" t="s">
        <v>129</v>
      </c>
      <c r="C14" s="269">
        <f>SUM(C11:C13)</f>
        <v>1236237.1703927394</v>
      </c>
      <c r="D14" s="58"/>
      <c r="E14" s="243"/>
      <c r="F14" s="58"/>
      <c r="G14" s="267">
        <f t="shared" ref="G14:Q14" si="8">IF(G$4="","",SUM(G11:G13))</f>
        <v>1276808.7874316322</v>
      </c>
      <c r="H14" s="267">
        <f t="shared" si="8"/>
        <v>1755752.5747085004</v>
      </c>
      <c r="I14" s="267">
        <f t="shared" si="8"/>
        <v>2844929.2239101753</v>
      </c>
      <c r="J14" s="267">
        <f t="shared" si="8"/>
        <v>2337287.4269403475</v>
      </c>
      <c r="K14" s="267">
        <f t="shared" si="8"/>
        <v>838134</v>
      </c>
      <c r="L14" s="267">
        <f t="shared" si="8"/>
        <v>1063999</v>
      </c>
      <c r="M14" s="267">
        <f t="shared" si="8"/>
        <v>947349</v>
      </c>
      <c r="N14" s="267">
        <f t="shared" si="8"/>
        <v>899763</v>
      </c>
      <c r="O14" s="267">
        <f t="shared" si="8"/>
        <v>159276</v>
      </c>
      <c r="P14" s="267">
        <f t="shared" si="8"/>
        <v>68998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1236237.1703927394</v>
      </c>
      <c r="D19" s="26"/>
      <c r="E19" s="234"/>
      <c r="F19" s="26"/>
      <c r="G19" s="271">
        <f t="shared" ref="G19:Q19" si="9">IF(G$4="","",G14+G17)</f>
        <v>1276808.7874316322</v>
      </c>
      <c r="H19" s="271">
        <f t="shared" si="9"/>
        <v>1755752.5747085004</v>
      </c>
      <c r="I19" s="271">
        <f t="shared" si="9"/>
        <v>2844929.2239101753</v>
      </c>
      <c r="J19" s="271">
        <f t="shared" si="9"/>
        <v>2337287.4269403475</v>
      </c>
      <c r="K19" s="271">
        <f t="shared" si="9"/>
        <v>838134</v>
      </c>
      <c r="L19" s="271">
        <f t="shared" si="9"/>
        <v>1063999</v>
      </c>
      <c r="M19" s="271">
        <f t="shared" si="9"/>
        <v>947349</v>
      </c>
      <c r="N19" s="271">
        <f t="shared" si="9"/>
        <v>899763</v>
      </c>
      <c r="O19" s="271">
        <f t="shared" si="9"/>
        <v>159276</v>
      </c>
      <c r="P19" s="271">
        <f t="shared" si="9"/>
        <v>68998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-2537367.9811320682</v>
      </c>
      <c r="D23" s="55"/>
      <c r="E23" s="236"/>
      <c r="F23" s="55"/>
      <c r="G23" s="270">
        <f>Data!C37</f>
        <v>-2468686</v>
      </c>
      <c r="H23" s="270">
        <f>Data!D37</f>
        <v>-2425040</v>
      </c>
      <c r="I23" s="270">
        <f>Data!E37</f>
        <v>-2925125</v>
      </c>
      <c r="J23" s="270">
        <f>Data!F37</f>
        <v>-2681244</v>
      </c>
      <c r="K23" s="270">
        <f>Data!G37</f>
        <v>-2127744</v>
      </c>
      <c r="L23" s="270">
        <f>Data!H37</f>
        <v>-1880565</v>
      </c>
      <c r="M23" s="270">
        <f>Data!I37</f>
        <v>-1785634</v>
      </c>
      <c r="N23" s="270">
        <f>Data!J37</f>
        <v>-1596518</v>
      </c>
      <c r="O23" s="270">
        <f>Data!K37</f>
        <v>-1202842</v>
      </c>
      <c r="P23" s="270">
        <f>Data!L37</f>
        <v>-1508441</v>
      </c>
      <c r="Q23" s="270" t="str">
        <f>Data!M37</f>
        <v/>
      </c>
    </row>
    <row r="24" spans="1:17" ht="15.75" customHeight="1">
      <c r="A24" s="10"/>
      <c r="B24" s="65" t="s">
        <v>59</v>
      </c>
      <c r="C24" s="266">
        <f>-C4*C30</f>
        <v>-175400.32255109976</v>
      </c>
      <c r="D24" s="26"/>
      <c r="E24" s="234"/>
      <c r="F24" s="26"/>
      <c r="G24" s="270">
        <f>Data!C40</f>
        <v>-110092</v>
      </c>
      <c r="H24" s="270">
        <f>Data!D40</f>
        <v>-214562</v>
      </c>
      <c r="I24" s="270">
        <f>Data!E40</f>
        <v>-348512</v>
      </c>
      <c r="J24" s="270">
        <f>Data!F40</f>
        <v>-269741</v>
      </c>
      <c r="K24" s="270">
        <f>Data!G40</f>
        <v>-316586</v>
      </c>
      <c r="L24" s="270">
        <f>Data!H40</f>
        <v>-250051</v>
      </c>
      <c r="M24" s="270">
        <f>Data!I40</f>
        <v>-208621</v>
      </c>
      <c r="N24" s="270">
        <f>Data!J40</f>
        <v>-206638</v>
      </c>
      <c r="O24" s="270">
        <f>Data!K40</f>
        <v>-167412</v>
      </c>
      <c r="P24" s="270">
        <f>Data!L40</f>
        <v>-201907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-2712768.3036831678</v>
      </c>
      <c r="D26" s="9"/>
      <c r="E26" s="240"/>
      <c r="F26" s="9"/>
      <c r="G26" s="267">
        <f>IF(G$4="","",SUM(G23:G25))</f>
        <v>-2578778</v>
      </c>
      <c r="H26" s="267">
        <f t="shared" ref="H26:Q26" si="10">IF(H$4="","",SUM(H23:H25))</f>
        <v>-2639602</v>
      </c>
      <c r="I26" s="267">
        <f t="shared" si="10"/>
        <v>-3273637</v>
      </c>
      <c r="J26" s="267">
        <f t="shared" si="10"/>
        <v>-2950985</v>
      </c>
      <c r="K26" s="267">
        <f t="shared" si="10"/>
        <v>-2444330</v>
      </c>
      <c r="L26" s="267">
        <f t="shared" si="10"/>
        <v>-2130616</v>
      </c>
      <c r="M26" s="267">
        <f t="shared" si="10"/>
        <v>-1994255</v>
      </c>
      <c r="N26" s="267">
        <f t="shared" si="10"/>
        <v>-1803156</v>
      </c>
      <c r="O26" s="267">
        <f t="shared" si="10"/>
        <v>-1370254</v>
      </c>
      <c r="P26" s="267">
        <f t="shared" si="10"/>
        <v>-1710348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-208899</v>
      </c>
      <c r="D35" s="55"/>
      <c r="E35" s="236"/>
      <c r="F35" s="55"/>
      <c r="G35" s="267">
        <f>IF(G4="","",Data!C41)</f>
        <v>-208899</v>
      </c>
      <c r="H35" s="267">
        <f>IF(H4="","",Data!D41)</f>
        <v>-201296</v>
      </c>
      <c r="I35" s="267">
        <f>IF(I4="","",Data!E41)</f>
        <v>-207812</v>
      </c>
      <c r="J35" s="267">
        <f>IF(J4="","",Data!F41)</f>
        <v>-207903</v>
      </c>
      <c r="K35" s="267">
        <f>IF(K4="","",Data!G41)</f>
        <v>-181914</v>
      </c>
      <c r="L35" s="267">
        <f>IF(L4="","",Data!H41)</f>
        <v>-182291</v>
      </c>
      <c r="M35" s="267">
        <f>IF(M4="","",Data!I41)</f>
        <v>-205351</v>
      </c>
      <c r="N35" s="267">
        <f>IF(N4="","",Data!J41)</f>
        <v>-202034</v>
      </c>
      <c r="O35" s="267">
        <f>IF(O4="","",Data!K41)</f>
        <v>-203755</v>
      </c>
      <c r="P35" s="267">
        <f>IF(P4="","",Data!L41)</f>
        <v>-341742</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4.1308878781886493E-2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0.30793976776728021</v>
      </c>
      <c r="H41" s="6">
        <f t="shared" si="16"/>
        <v>0.29752132091233152</v>
      </c>
      <c r="I41" s="6">
        <f t="shared" si="16"/>
        <v>0.2771006933425274</v>
      </c>
      <c r="J41" s="6">
        <f t="shared" si="16"/>
        <v>0.27253656523399661</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-2620.62</v>
      </c>
      <c r="E45" s="237"/>
      <c r="G45" s="266">
        <f>Data!C51</f>
        <v>-1746</v>
      </c>
      <c r="H45" s="266">
        <f>Data!D51</f>
        <v>-2921</v>
      </c>
      <c r="I45" s="266">
        <f>Data!E51</f>
        <v>-1360</v>
      </c>
      <c r="J45" s="266">
        <f>Data!F51</f>
        <v>-1275</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13346.961104049504</v>
      </c>
      <c r="E46" s="237"/>
      <c r="G46" s="274">
        <f t="shared" ref="G46:Q46" si="17">IFERROR(IF(G$4="","",($C$46/$C$47)*G47),0)</f>
        <v>41062.78743163203</v>
      </c>
      <c r="H46" s="274">
        <f t="shared" si="17"/>
        <v>38173.574708500499</v>
      </c>
      <c r="I46" s="274">
        <f t="shared" si="17"/>
        <v>23538.223910175322</v>
      </c>
      <c r="J46" s="274">
        <f t="shared" si="17"/>
        <v>15296.426940347434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60710.574000000001</v>
      </c>
      <c r="D47" s="246"/>
      <c r="E47" s="247"/>
      <c r="F47" s="246"/>
      <c r="G47" s="278">
        <f>Data!C52</f>
        <v>186780</v>
      </c>
      <c r="H47" s="278">
        <f>Data!D52</f>
        <v>173638</v>
      </c>
      <c r="I47" s="278">
        <f>Data!E52</f>
        <v>107067</v>
      </c>
      <c r="J47" s="278">
        <f>Data!F52</f>
        <v>69578</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10726.341104049505</v>
      </c>
      <c r="E48" s="237"/>
      <c r="G48" s="267">
        <f>IF(G$4="","",(G45+G46))</f>
        <v>39316.78743163203</v>
      </c>
      <c r="H48" s="267">
        <f t="shared" ref="H48:Q48" si="18">IF(H$4="","",(H45+H46))</f>
        <v>35252.574708500499</v>
      </c>
      <c r="I48" s="267">
        <f t="shared" si="18"/>
        <v>22178.223910175322</v>
      </c>
      <c r="J48" s="267">
        <f t="shared" si="18"/>
        <v>14021.426940347434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814.81965959079616</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71540</v>
      </c>
      <c r="H60" s="266">
        <f>Data!D58</f>
        <v>-1970</v>
      </c>
      <c r="I60" s="266">
        <f>Data!E58</f>
        <v>-213084</v>
      </c>
      <c r="J60" s="266">
        <f>Data!F58</f>
        <v>146926</v>
      </c>
      <c r="K60" s="266">
        <f>Data!G58</f>
        <v>241907</v>
      </c>
      <c r="L60" s="266">
        <f>Data!H58</f>
        <v>76414</v>
      </c>
      <c r="M60" s="266">
        <f>Data!I58</f>
        <v>153139</v>
      </c>
      <c r="N60" s="266">
        <f>Data!J58</f>
        <v>180886</v>
      </c>
      <c r="O60" s="266">
        <f>Data!K58</f>
        <v>-91620</v>
      </c>
      <c r="P60" s="266">
        <f>Data!L58</f>
        <v>-780473</v>
      </c>
      <c r="Q60" s="266" t="str">
        <f>Data!M58</f>
        <v/>
      </c>
    </row>
    <row r="61" spans="1:17" ht="15.75" customHeight="1">
      <c r="A61" s="10"/>
      <c r="B61" s="30" t="s">
        <v>164</v>
      </c>
      <c r="C61" s="267">
        <f>C59+C60</f>
        <v>0</v>
      </c>
      <c r="E61" s="237"/>
      <c r="G61" s="267">
        <f t="shared" ref="G61:Q61" si="21">IF(G4="","",G59+G60)</f>
        <v>71540</v>
      </c>
      <c r="H61" s="267">
        <f t="shared" si="21"/>
        <v>-1970</v>
      </c>
      <c r="I61" s="267">
        <f t="shared" si="21"/>
        <v>-213084</v>
      </c>
      <c r="J61" s="267">
        <f t="shared" si="21"/>
        <v>146926</v>
      </c>
      <c r="K61" s="267">
        <f t="shared" si="21"/>
        <v>241907</v>
      </c>
      <c r="L61" s="267">
        <f t="shared" si="21"/>
        <v>76414</v>
      </c>
      <c r="M61" s="267">
        <f t="shared" si="21"/>
        <v>153139</v>
      </c>
      <c r="N61" s="267">
        <f t="shared" si="21"/>
        <v>180886</v>
      </c>
      <c r="O61" s="267">
        <f t="shared" si="21"/>
        <v>-91620</v>
      </c>
      <c r="P61" s="267">
        <f t="shared" si="21"/>
        <v>-780473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4.1308878781886493E-2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0.4222528566970204</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2.1210878196657118E-3</v>
      </c>
      <c r="D76" s="26"/>
      <c r="E76" s="234"/>
      <c r="F76" s="26"/>
      <c r="G76" s="6">
        <f t="shared" ref="G76:Q76" si="28">IF(G$4="","",ABS(G10/G$4))</f>
        <v>7.7747256143231224E-3</v>
      </c>
      <c r="H76" s="6">
        <f t="shared" si="28"/>
        <v>5.9840719388234015E-3</v>
      </c>
      <c r="I76" s="6">
        <f t="shared" si="28"/>
        <v>2.699815284025579E-3</v>
      </c>
      <c r="J76" s="6">
        <f t="shared" si="28"/>
        <v>1.9815980202356016E-3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0.42437394451668614</v>
      </c>
      <c r="D77" s="26"/>
      <c r="E77" s="234"/>
      <c r="F77" s="26"/>
      <c r="G77" s="62">
        <f t="shared" ref="G77:Q77" si="29">IF(G$4="","",G11/G$4)</f>
        <v>0.45652358857655373</v>
      </c>
      <c r="H77" s="62">
        <f t="shared" si="29"/>
        <v>0.52374587675927364</v>
      </c>
      <c r="I77" s="62">
        <f t="shared" si="29"/>
        <v>0.57889359622771941</v>
      </c>
      <c r="J77" s="62">
        <f t="shared" si="29"/>
        <v>0.55554727763494594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0.10609348612917154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0.24446058342747465</v>
      </c>
      <c r="D80" s="26"/>
      <c r="E80" s="234"/>
      <c r="F80" s="26"/>
      <c r="G80" s="62">
        <f t="shared" ref="G80:Q80" si="32">IF(G$4="","",ABS(G14/G$4))</f>
        <v>0.25248344619965041</v>
      </c>
      <c r="H80" s="62">
        <f t="shared" si="32"/>
        <v>0.29803637892288809</v>
      </c>
      <c r="I80" s="62">
        <f t="shared" si="32"/>
        <v>0.34632094219049675</v>
      </c>
      <c r="J80" s="62">
        <f t="shared" si="32"/>
        <v>0.33032045580318031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0.24446058342747465</v>
      </c>
      <c r="D85" s="72"/>
      <c r="E85" s="234"/>
      <c r="F85" s="72"/>
      <c r="G85" s="62">
        <f t="shared" ref="G85:Q85" si="35">IF(G$4="","",ABS(G19/G$4))</f>
        <v>0.25248344619965041</v>
      </c>
      <c r="H85" s="62">
        <f t="shared" si="35"/>
        <v>0.29803637892288809</v>
      </c>
      <c r="I85" s="62">
        <f t="shared" si="35"/>
        <v>0.34632094219049675</v>
      </c>
      <c r="J85" s="62">
        <f t="shared" si="35"/>
        <v>0.33032045580318031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1.2354585087542602</v>
      </c>
      <c r="E90" s="237"/>
      <c r="G90" s="152">
        <f t="shared" ref="G90:Q90" si="37">IF(G$4="","",G88/(G19*scaling_factor/Common_Shares))</f>
        <v>1.1962008297830433</v>
      </c>
      <c r="H90" s="152">
        <f t="shared" si="37"/>
        <v>0.8119016518239589</v>
      </c>
      <c r="I90" s="152">
        <f t="shared" si="37"/>
        <v>0.769494812982075</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8.3850931677018639E-2</v>
      </c>
      <c r="E92" s="237"/>
      <c r="G92" s="22">
        <f t="shared" ref="G92:Q92" si="38">IF(G$4="","",(G88*(1-dividend_tax_rate))/Market_Price)</f>
        <v>8.3850931677018639E-2</v>
      </c>
      <c r="H92" s="22">
        <f t="shared" si="38"/>
        <v>7.8260869565217397E-2</v>
      </c>
      <c r="I92" s="22">
        <f t="shared" si="38"/>
        <v>0.12018633540372672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-7.0422744551076888E-2</v>
      </c>
      <c r="D96" s="26"/>
      <c r="E96" s="234"/>
      <c r="F96" s="26"/>
      <c r="G96" s="6">
        <f t="shared" ref="G96:Q96" si="40">IF(H5="","",G11/H11-1)</f>
        <v>-0.25175896282221755</v>
      </c>
      <c r="H96" s="6">
        <f t="shared" si="40"/>
        <v>-0.35118154389839906</v>
      </c>
      <c r="I96" s="6">
        <f t="shared" si="40"/>
        <v>0.20974484480251498</v>
      </c>
      <c r="J96" s="6">
        <f t="shared" si="40"/>
        <v>1.8678276443764767</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22948823</v>
      </c>
      <c r="D100" s="25"/>
      <c r="E100" s="238"/>
      <c r="F100" s="25"/>
      <c r="G100" s="270">
        <f t="shared" ref="G100:Q100" si="41">IF(G$4="","",G104+G103)</f>
        <v>22948823</v>
      </c>
      <c r="H100" s="270">
        <f t="shared" si="41"/>
        <v>22491544</v>
      </c>
      <c r="I100" s="270">
        <f t="shared" si="41"/>
        <v>23463484</v>
      </c>
      <c r="J100" s="270">
        <f t="shared" si="41"/>
        <v>24779977</v>
      </c>
      <c r="K100" s="270">
        <f t="shared" si="41"/>
        <v>21433646</v>
      </c>
      <c r="L100" s="270">
        <f t="shared" si="41"/>
        <v>21472710</v>
      </c>
      <c r="M100" s="270">
        <f t="shared" si="41"/>
        <v>21251042</v>
      </c>
      <c r="N100" s="270">
        <f t="shared" si="41"/>
        <v>21694645</v>
      </c>
      <c r="O100" s="270">
        <f t="shared" si="41"/>
        <v>19104456</v>
      </c>
      <c r="P100" s="270">
        <f t="shared" si="41"/>
        <v>20727669</v>
      </c>
      <c r="Q100" s="270" t="str">
        <f t="shared" si="41"/>
        <v/>
      </c>
    </row>
    <row r="101" spans="1:17" ht="15.75" customHeight="1">
      <c r="A101" s="10"/>
      <c r="B101" s="90" t="s">
        <v>179</v>
      </c>
      <c r="C101" s="281">
        <f>BS!C4</f>
        <v>537904</v>
      </c>
      <c r="D101" s="86"/>
      <c r="E101" s="239"/>
      <c r="F101" s="86"/>
      <c r="G101" s="282">
        <f>IF(G$4="","",Data!D77)</f>
        <v>687833</v>
      </c>
      <c r="H101" s="282">
        <f>IF(H$4="","",Data!E77)</f>
        <v>2889765</v>
      </c>
      <c r="I101" s="282">
        <f>IF(I$4="","",Data!F77)</f>
        <v>3144251</v>
      </c>
      <c r="J101" s="282">
        <f>IF(J$4="","",Data!G77)</f>
        <v>2049144</v>
      </c>
      <c r="K101" s="282">
        <f>IF(K$4="","",Data!H77)</f>
        <v>1797319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137638</v>
      </c>
      <c r="D102" s="86"/>
      <c r="E102" s="239"/>
      <c r="F102" s="86"/>
      <c r="G102" s="282">
        <f>IF(G$4="","",Data!D78)</f>
        <v>125636</v>
      </c>
      <c r="H102" s="282">
        <f>IF(H$4="","",Data!E78)</f>
        <v>42046</v>
      </c>
      <c r="I102" s="282">
        <f>IF(I$4="","",Data!F78)</f>
        <v>142658</v>
      </c>
      <c r="J102" s="282">
        <f>IF(J$4="","",Data!G78)</f>
        <v>131170</v>
      </c>
      <c r="K102" s="282">
        <f>IF(K$4="","",Data!H78)</f>
        <v>123530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4047566</v>
      </c>
      <c r="D103" s="25"/>
      <c r="E103" s="238"/>
      <c r="F103" s="25"/>
      <c r="G103" s="270">
        <f>Data!C79</f>
        <v>4047566</v>
      </c>
      <c r="H103" s="270">
        <f>Data!D79</f>
        <v>4021026</v>
      </c>
      <c r="I103" s="270">
        <f>Data!E79</f>
        <v>4786265</v>
      </c>
      <c r="J103" s="270">
        <f>Data!F79</f>
        <v>5631759</v>
      </c>
      <c r="K103" s="270">
        <f>Data!G79</f>
        <v>4142576</v>
      </c>
      <c r="L103" s="270">
        <f>Data!H79</f>
        <v>4426398</v>
      </c>
      <c r="M103" s="270">
        <f>Data!I79</f>
        <v>4475236</v>
      </c>
      <c r="N103" s="270">
        <f>Data!J79</f>
        <v>4318962</v>
      </c>
      <c r="O103" s="270">
        <f>Data!K79</f>
        <v>3438763</v>
      </c>
      <c r="P103" s="270">
        <f>Data!L79</f>
        <v>3683389</v>
      </c>
      <c r="Q103" s="270" t="str">
        <f>Data!M79</f>
        <v/>
      </c>
    </row>
    <row r="104" spans="1:17" ht="15.75" customHeight="1">
      <c r="A104" s="10"/>
      <c r="B104" s="25" t="s">
        <v>28</v>
      </c>
      <c r="C104" s="280">
        <f>BS!G27</f>
        <v>18901257</v>
      </c>
      <c r="D104" s="25"/>
      <c r="E104" s="238"/>
      <c r="F104" s="25"/>
      <c r="G104" s="270">
        <f>Data!C80</f>
        <v>18901257</v>
      </c>
      <c r="H104" s="270">
        <f>Data!D80</f>
        <v>18470518</v>
      </c>
      <c r="I104" s="270">
        <f>Data!E80</f>
        <v>18677219</v>
      </c>
      <c r="J104" s="270">
        <f>Data!F80</f>
        <v>19148218</v>
      </c>
      <c r="K104" s="270">
        <f>Data!G80</f>
        <v>17291070</v>
      </c>
      <c r="L104" s="270">
        <f>Data!H80</f>
        <v>17046312</v>
      </c>
      <c r="M104" s="270">
        <f>Data!I80</f>
        <v>16775806</v>
      </c>
      <c r="N104" s="270">
        <f>Data!J80</f>
        <v>17375683</v>
      </c>
      <c r="O104" s="270">
        <f>Data!K80</f>
        <v>15665693</v>
      </c>
      <c r="P104" s="270">
        <f>Data!L80</f>
        <v>17044280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0.10636820249159581</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2.7217322523235121E-2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1.3057336877918428</v>
      </c>
      <c r="H112" s="251">
        <f>IF(H$4="","",Data!D$22/Data!D15)</f>
        <v>1.9744169551721951</v>
      </c>
      <c r="I112" s="251">
        <f>IF(I$4="","",Data!E$22/Data!E15)</f>
        <v>1.1630549354549591</v>
      </c>
      <c r="J112" s="251">
        <f>IF(J$4="","",Data!F$22/Data!F15)</f>
        <v>1.260471094287793</v>
      </c>
      <c r="K112" s="251">
        <f>IF(K$4="","",Data!G$22/Data!G15)</f>
        <v>0.70481763825473787</v>
      </c>
      <c r="L112" s="251">
        <f>IF(L$4="","",Data!H$22/Data!H15)</f>
        <v>1.6343627167150878</v>
      </c>
      <c r="M112" s="251">
        <f>IF(M$4="","",Data!I$22/Data!I15)</f>
        <v>1.4261750734420902</v>
      </c>
      <c r="N112" s="251">
        <f>IF(N$4="","",Data!J$22/Data!J15)</f>
        <v>1.2985902058542986</v>
      </c>
      <c r="O112" s="251">
        <f>IF(O$4="","",Data!K$22/Data!K15)</f>
        <v>3.2823548539671279</v>
      </c>
      <c r="P112" s="251">
        <f>IF(P$4="","",Data!L$22/Data!L15)</f>
        <v>-1.1544903194068661</v>
      </c>
      <c r="Q112" s="251" t="str">
        <f>IF(Q$4="","",Data!M$22/Data!M15)</f>
        <v/>
      </c>
    </row>
    <row r="113" spans="1:17" ht="15.75" customHeight="1">
      <c r="A113" s="10"/>
      <c r="B113" s="2" t="s">
        <v>304</v>
      </c>
      <c r="C113" s="151"/>
      <c r="E113" s="459">
        <f>(Normalized_FCF!E117/Normalized_FCF!C117)^(1/DCF!C15)-1</f>
        <v>0</v>
      </c>
      <c r="G113" s="251">
        <f>IF(G$4="","",Data!C$22/G19)</f>
        <v>1.8560915489680532</v>
      </c>
      <c r="H113" s="251">
        <f>IF(H$4="","",Data!D$22/H19)</f>
        <v>2.5875006908386595</v>
      </c>
      <c r="I113" s="251">
        <f>IF(I$4="","",Data!E$22/I19)</f>
        <v>1.3524294269478394</v>
      </c>
      <c r="J113" s="251">
        <f>IF(J$4="","",Data!F$22/J19)</f>
        <v>1.6506694707421907</v>
      </c>
      <c r="K113" s="251">
        <f>IF(K$4="","",Data!G$22/K19)</f>
        <v>0.99842984534692547</v>
      </c>
      <c r="L113" s="251">
        <f>IF(L$4="","",Data!H$22/L19)</f>
        <v>1.8066191791533639</v>
      </c>
      <c r="M113" s="251">
        <f>IF(M$4="","",Data!I$22/M19)</f>
        <v>1.7341560501990292</v>
      </c>
      <c r="N113" s="251">
        <f>IF(N$4="","",Data!J$22/N19)</f>
        <v>1.7067738949034357</v>
      </c>
      <c r="O113" s="251">
        <f>IF(O$4="","",Data!K$22/O19)</f>
        <v>1.3942527436650844</v>
      </c>
      <c r="P113" s="251">
        <f>IF(P$4="","",Data!L$22/P19)</f>
        <v>11.904562451085539</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0.42437394451668614</v>
      </c>
      <c r="E116" s="22">
        <f>E119/E117/E118</f>
        <v>0.4243739445166862</v>
      </c>
      <c r="G116" s="22">
        <f t="shared" ref="G116:Q116" si="44">IF(G4="","",G77)</f>
        <v>0.45652358857655373</v>
      </c>
      <c r="H116" s="22">
        <f t="shared" si="44"/>
        <v>0.52374587675927364</v>
      </c>
      <c r="I116" s="22">
        <f t="shared" si="44"/>
        <v>0.57889359622771941</v>
      </c>
      <c r="J116" s="22">
        <f t="shared" si="44"/>
        <v>0.55554727763494594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52">
        <f>G117</f>
        <v>0.22035988512352028</v>
      </c>
      <c r="E117" s="452">
        <f>C117</f>
        <v>0.22035988512352028</v>
      </c>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15">
        <f>C100/C104</f>
        <v>1.2141426890285656</v>
      </c>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62">
        <f>C11/C104</f>
        <v>0.11354054587062024</v>
      </c>
      <c r="D119" s="100"/>
      <c r="E119" s="453">
        <f>C11/C104</f>
        <v>0.11354054587062024</v>
      </c>
      <c r="F119" s="100"/>
      <c r="G119" s="99">
        <f t="shared" ref="G119:Q119" si="47">IF(G$4="","",G11/G104)</f>
        <v>0.12214212988224181</v>
      </c>
      <c r="H119" s="99">
        <f t="shared" si="47"/>
        <v>0.16704580644183886</v>
      </c>
      <c r="I119" s="99">
        <f t="shared" si="47"/>
        <v>0.25461222165410041</v>
      </c>
      <c r="J119" s="99">
        <f t="shared" si="47"/>
        <v>0.20529071827677894</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0.24282482808952974</v>
      </c>
      <c r="D123" s="26"/>
      <c r="E123" s="234"/>
      <c r="F123" s="26"/>
      <c r="G123" s="159">
        <f t="shared" ref="G123:Q123" si="48">IF(G$4="","",G14*$C$3/Common_Shares*Exchange_Rate)</f>
        <v>0.25079400760356557</v>
      </c>
      <c r="H123" s="159">
        <f t="shared" si="48"/>
        <v>0.34486935624650167</v>
      </c>
      <c r="I123" s="159">
        <f t="shared" si="48"/>
        <v>0.55880818524765896</v>
      </c>
      <c r="J123" s="159">
        <f t="shared" si="48"/>
        <v>0.45909590104162956</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7.5411437294885003E-2</v>
      </c>
      <c r="D124" s="26"/>
      <c r="E124" s="234"/>
      <c r="F124" s="26"/>
      <c r="G124" s="74">
        <f t="shared" ref="G124" si="49">IF(G$4="","",G123/Market_Price)</f>
        <v>7.788633776508247E-2</v>
      </c>
      <c r="H124" s="74">
        <f t="shared" ref="H124" si="50">IF(H$4="","",H123/Market_Price)</f>
        <v>0.107102284548603</v>
      </c>
      <c r="I124" s="74">
        <f t="shared" ref="I124" si="51">IF(I$4="","",I123/Market_Price)</f>
        <v>0.173542914673186</v>
      </c>
      <c r="J124" s="74">
        <f t="shared" ref="J124" si="52">IF(J$4="","",J123/Market_Price)</f>
        <v>0.14257636678311475</v>
      </c>
      <c r="K124" s="74">
        <f t="shared" ref="K124" si="53">IF(K$4="","",K123/Market_Price)</f>
        <v>5.112683156552527E-2</v>
      </c>
      <c r="L124" s="74">
        <f t="shared" ref="L124" si="54">IF(L$4="","",L123/Market_Price)</f>
        <v>6.4904773769930965E-2</v>
      </c>
      <c r="M124" s="74">
        <f t="shared" ref="M124" si="55">IF(M$4="","",M123/Market_Price)</f>
        <v>5.7789032251130246E-2</v>
      </c>
      <c r="N124" s="74">
        <f t="shared" ref="N124" si="56">IF(N$4="","",N123/Market_Price)</f>
        <v>5.4886248917108381E-2</v>
      </c>
      <c r="O124" s="74">
        <f t="shared" ref="O124" si="57">IF(O$4="","",O123/Market_Price)</f>
        <v>9.7159609614102319E-3</v>
      </c>
      <c r="P124" s="74">
        <f t="shared" ref="P124" si="58">IF(P$4="","",P123/Market_Price)</f>
        <v>4.208932132997961E-3</v>
      </c>
      <c r="Q124" s="74" t="str">
        <f t="shared" ref="Q124" si="59">IF(Q$4="","",Q123/Market_Price)</f>
        <v/>
      </c>
    </row>
    <row r="125" spans="1:17" ht="15.75" customHeight="1">
      <c r="B125" s="2" t="s">
        <v>306</v>
      </c>
      <c r="C125" s="151"/>
      <c r="G125" s="22">
        <f>IF(G$4="","",(Data!C47*$C$3)/(Market_Price*Common_Shares))</f>
        <v>0.11071489895486787</v>
      </c>
      <c r="H125" s="22">
        <f>IF(H$4="","",(Data!D47*$C$3)/(Market_Price*Common_Shares))</f>
        <v>0.14035902322148558</v>
      </c>
      <c r="I125" s="22">
        <f>IF(I$4="","",(Data!E47*$C$3)/(Market_Price*Common_Shares))</f>
        <v>0.20180005044259064</v>
      </c>
      <c r="J125" s="22">
        <f>IF(J$4="","",(Data!F47*$C$3)/(Market_Price*Common_Shares))</f>
        <v>0.18671309240233458</v>
      </c>
      <c r="K125" s="22">
        <f>IF(K$4="","",(Data!G47*$C$3)/(Market_Price*Common_Shares))</f>
        <v>7.2425194493495715E-2</v>
      </c>
      <c r="L125" s="22">
        <f>IF(L$4="","",(Data!H47*$C$3)/(Market_Price*Common_Shares))</f>
        <v>7.1745523751939974E-2</v>
      </c>
      <c r="M125" s="22">
        <f>IF(M$4="","",(Data!I47*$C$3)/(Market_Price*Common_Shares))</f>
        <v>7.0268511755414279E-2</v>
      </c>
      <c r="N125" s="22">
        <f>IF(N$4="","",(Data!J47*$C$3)/(Market_Price*Common_Shares))</f>
        <v>7.2138551806853246E-2</v>
      </c>
      <c r="O125" s="22">
        <f>IF(O$4="","",(Data!K47*$C$3)/(Market_Price*Common_Shares))</f>
        <v>4.1270690801198584E-3</v>
      </c>
      <c r="P125" s="22">
        <f>IF(P$4="","",(Data!L47*$C$3)/(Market_Price*Common_Shares))</f>
        <v>-4.3400533194074088E-2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1236237.1703927394</v>
      </c>
      <c r="D4" t="str">
        <f>Reporting_currency</f>
        <v>HKD</v>
      </c>
      <c r="E4" s="135" t="s">
        <v>431</v>
      </c>
      <c r="F4" s="275">
        <f>-BS!G31</f>
        <v>-43677</v>
      </c>
      <c r="G4" t="str">
        <f>Reporting_currency</f>
        <v>HKD</v>
      </c>
      <c r="H4" s="308" t="s">
        <v>394</v>
      </c>
      <c r="I4" s="305">
        <f>Normalized_FCF!C4</f>
        <v>5057000</v>
      </c>
      <c r="J4" s="305"/>
    </row>
    <row r="5" spans="2:15">
      <c r="B5" s="187" t="s">
        <v>105</v>
      </c>
      <c r="C5" s="188">
        <f>Equity_Cost</f>
        <v>7.2499999999999995E-2</v>
      </c>
      <c r="E5" s="135" t="s">
        <v>432</v>
      </c>
      <c r="F5" s="275">
        <f>BS!D66</f>
        <v>7893935.482658416</v>
      </c>
      <c r="G5" t="str">
        <f>Reporting_currency</f>
        <v>HKD</v>
      </c>
      <c r="H5" s="308" t="s">
        <v>395</v>
      </c>
      <c r="I5" s="305">
        <f>Normalized_FCF!C7</f>
        <v>-208899</v>
      </c>
      <c r="J5" s="305"/>
    </row>
    <row r="6" spans="2:15" ht="13.25" customHeight="1">
      <c r="B6" s="136" t="s">
        <v>194</v>
      </c>
      <c r="C6" s="283">
        <f>(C4*(1+Terminal_Growth))/(Equity_Cost-Terminal_Growth)</f>
        <v>17051547.17783089</v>
      </c>
      <c r="D6" t="str">
        <f>Reporting_currency</f>
        <v>HKD</v>
      </c>
      <c r="E6" s="187" t="s">
        <v>433</v>
      </c>
      <c r="F6" s="284">
        <f>BS!H42</f>
        <v>263512.2</v>
      </c>
      <c r="G6" t="str">
        <f>Reporting_currency</f>
        <v>HKD</v>
      </c>
      <c r="H6" s="308" t="s">
        <v>416</v>
      </c>
      <c r="I6" s="305">
        <f>I7+I8</f>
        <v>10726.341104049505</v>
      </c>
      <c r="J6" s="305"/>
      <c r="N6" s="135"/>
    </row>
    <row r="7" spans="2:15" ht="12.75" customHeight="1">
      <c r="B7" s="318" t="s">
        <v>430</v>
      </c>
      <c r="C7" s="275">
        <f>F7</f>
        <v>8113770.6826584162</v>
      </c>
      <c r="E7" s="140" t="s">
        <v>424</v>
      </c>
      <c r="F7" s="283">
        <f>SUM(F4:F6)</f>
        <v>8113770.6826584162</v>
      </c>
      <c r="G7" t="str">
        <f>Reporting_currency</f>
        <v>HKD</v>
      </c>
      <c r="H7" s="312" t="s">
        <v>417</v>
      </c>
      <c r="I7" s="313">
        <f>Normalized_FCF!C9</f>
        <v>0</v>
      </c>
      <c r="J7" s="313"/>
      <c r="N7" s="304"/>
      <c r="O7" s="304"/>
    </row>
    <row r="8" spans="2:15" ht="13.15">
      <c r="B8" s="136" t="s">
        <v>426</v>
      </c>
      <c r="C8" s="283">
        <f>C6+C7</f>
        <v>25165317.860489305</v>
      </c>
      <c r="D8" t="str">
        <f>Reporting_currency</f>
        <v>HKD</v>
      </c>
      <c r="E8" s="140" t="s">
        <v>464</v>
      </c>
      <c r="F8" s="108">
        <f>FV_adjustments*scaling_factor/Common_Shares*Exchange_Rate</f>
        <v>1.5937273351427192</v>
      </c>
      <c r="G8" s="294" t="str">
        <f>Market_currency</f>
        <v>HKD</v>
      </c>
      <c r="H8" s="314" t="str">
        <f>Normalized_FCF!B10</f>
        <v>Net Interest Income</v>
      </c>
      <c r="I8" s="313">
        <f>Normalized_FCF!C10</f>
        <v>10726.341104049505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3.5" thickTop="1">
      <c r="B10" s="107" t="s">
        <v>427</v>
      </c>
      <c r="C10" s="283">
        <f>C8*Exchange_Rate</f>
        <v>25165317.860489305</v>
      </c>
      <c r="D10" t="str">
        <f>Market_currency</f>
        <v>HKD</v>
      </c>
      <c r="H10" s="308" t="s">
        <v>397</v>
      </c>
      <c r="I10" s="306">
        <f>Normalized_FCF!C41</f>
        <v>0.25</v>
      </c>
      <c r="N10" s="304"/>
      <c r="O10" s="304"/>
    </row>
    <row r="11" spans="2:15" ht="13.15">
      <c r="B11" s="136" t="s">
        <v>425</v>
      </c>
      <c r="C11" s="108">
        <f>(C10*scaling_factor)/Common_Shares</f>
        <v>4.943035308791405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1.2999999999999999E-3</v>
      </c>
      <c r="E16" s="308" t="s">
        <v>400</v>
      </c>
      <c r="F16" s="311">
        <f>Scenarios!C41</f>
        <v>1.2999999999999999E-3</v>
      </c>
    </row>
    <row r="17" spans="1:21" ht="13.25" customHeight="1">
      <c r="B17" s="308" t="s">
        <v>549</v>
      </c>
      <c r="C17" s="306">
        <f>Normalized_FCF!C77</f>
        <v>0.42437394451668614</v>
      </c>
      <c r="E17" s="308" t="s">
        <v>550</v>
      </c>
      <c r="F17" s="311">
        <f>Scenarios!C40</f>
        <v>0.4243739445166862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4.9552496331131763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5063574.1000000006</v>
      </c>
      <c r="D21" s="299">
        <f t="shared" ref="D21:D50" si="1">IF(A21="",0,IF(A21="I",$C$16,$F$16))</f>
        <v>1.2999999999999999E-3</v>
      </c>
      <c r="E21" s="299">
        <f>$C$17</f>
        <v>0.42437394451668614</v>
      </c>
      <c r="F21" s="277">
        <f>C21*E21</f>
        <v>2148848.914169529</v>
      </c>
      <c r="G21" s="299">
        <f t="shared" ref="G21:G50" si="2">IF(A21="",0%,IF(A21="I",$C$18,$F$18))</f>
        <v>0</v>
      </c>
      <c r="H21" s="277">
        <f>(F21*(1-$I$10)+C21*(G21-$I$9))</f>
        <v>1237844.2787142498</v>
      </c>
      <c r="I21" s="299">
        <f>H21/C4-1</f>
        <v>1.2999999999998568E-3</v>
      </c>
      <c r="J21" s="299">
        <f>H21/C21</f>
        <v>0.24446058342747462</v>
      </c>
      <c r="K21" s="119">
        <f t="shared" ref="K21:K50" si="3">IF($C$15&lt;B21,0,1/(1+Equity_Cost)^B21)</f>
        <v>0.93240093240093236</v>
      </c>
      <c r="L21" s="277">
        <f t="shared" ref="L21:L51" si="4">H21*K21</f>
        <v>1154167.1596403262</v>
      </c>
    </row>
    <row r="22" spans="1:21">
      <c r="A22" s="302" t="str">
        <f t="shared" si="0"/>
        <v>I</v>
      </c>
      <c r="B22" s="117">
        <v>2</v>
      </c>
      <c r="C22" s="277">
        <f t="shared" ref="C22:C50" si="5">IF(A22="",0,C21*(1+D22))</f>
        <v>5070156.7463300014</v>
      </c>
      <c r="D22" s="299">
        <f t="shared" si="1"/>
        <v>1.2999999999999999E-3</v>
      </c>
      <c r="E22" s="299">
        <f t="shared" ref="E22:E50" si="6">IF($C$15&lt;B22,0,IF(B22&gt;=$F$15,$F$17,$C$17))</f>
        <v>0.42437394451668614</v>
      </c>
      <c r="F22" s="277">
        <f t="shared" ref="F22:F50" si="7">IF(A22="", 0,C22*E22)</f>
        <v>2151642.4177579498</v>
      </c>
      <c r="G22" s="299">
        <f t="shared" si="2"/>
        <v>0</v>
      </c>
      <c r="H22" s="277">
        <f t="shared" ref="H22:H50" si="8">IF(A22="", 0,F22*(1-$I$10)+C22*(G22-$I$9))</f>
        <v>1239453.4762765786</v>
      </c>
      <c r="I22" s="299">
        <f t="shared" ref="I22:I50" si="9">IF(A22="", 0,H22/H21-1)</f>
        <v>1.3000000000003009E-3</v>
      </c>
      <c r="J22" s="299">
        <f>IF(A22="", 0,H22/C22)</f>
        <v>0.24446058342747462</v>
      </c>
      <c r="K22" s="119">
        <f t="shared" si="3"/>
        <v>0.86937149874212816</v>
      </c>
      <c r="L22" s="277">
        <f t="shared" si="4"/>
        <v>1077545.5262917099</v>
      </c>
    </row>
    <row r="23" spans="1:21">
      <c r="A23" s="302" t="str">
        <f t="shared" si="0"/>
        <v>I</v>
      </c>
      <c r="B23" s="117">
        <v>3</v>
      </c>
      <c r="C23" s="277">
        <f t="shared" si="5"/>
        <v>5076747.950100231</v>
      </c>
      <c r="D23" s="299">
        <f t="shared" si="1"/>
        <v>1.2999999999999999E-3</v>
      </c>
      <c r="E23" s="299">
        <f t="shared" si="6"/>
        <v>0.42437394451668614</v>
      </c>
      <c r="F23" s="277">
        <f t="shared" si="7"/>
        <v>2154439.5529010356</v>
      </c>
      <c r="G23" s="299">
        <f t="shared" si="2"/>
        <v>0</v>
      </c>
      <c r="H23" s="277">
        <f t="shared" si="8"/>
        <v>1241064.7657957387</v>
      </c>
      <c r="I23" s="299">
        <f t="shared" si="9"/>
        <v>1.3000000000003009E-3</v>
      </c>
      <c r="J23" s="299">
        <f t="shared" ref="J23:J50" si="10">IF(A23="", 0,H23/C23)</f>
        <v>0.2444605834274747</v>
      </c>
      <c r="K23" s="119">
        <f t="shared" si="3"/>
        <v>0.81060279602995633</v>
      </c>
      <c r="L23" s="277">
        <f t="shared" si="4"/>
        <v>1006010.5692082887</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5076747.950100231</v>
      </c>
      <c r="D51" s="301">
        <f>Terminal_Growth</f>
        <v>0</v>
      </c>
      <c r="E51" s="301">
        <f>F17</f>
        <v>0.4243739445166862</v>
      </c>
      <c r="F51" s="277">
        <f>C51*E51</f>
        <v>2154439.5529010356</v>
      </c>
      <c r="G51" s="299">
        <f>F18</f>
        <v>0</v>
      </c>
      <c r="H51" s="277">
        <f>(F51*(1-$I$10)+C51*(G51-$I$9))/Equity_Cost</f>
        <v>17118134.700630881</v>
      </c>
      <c r="I51" s="415">
        <f>(F51*(1-$I$10)+C51*(G51-$I$9))/VLOOKUP(C15,B21:H50,COLUMN(H20)-1,FALSE)-1</f>
        <v>0</v>
      </c>
      <c r="J51" s="454"/>
      <c r="K51" s="119">
        <f>1/(1+Equity_Cost)^C15</f>
        <v>0.81060279602995633</v>
      </c>
      <c r="L51" s="277">
        <f t="shared" si="4"/>
        <v>13876007.851148812</v>
      </c>
    </row>
    <row r="52" spans="1:21" ht="13.15">
      <c r="G52" s="111"/>
      <c r="H52" s="111"/>
      <c r="I52" s="111"/>
      <c r="J52" s="460" t="s">
        <v>420</v>
      </c>
      <c r="K52" s="460"/>
      <c r="L52" s="317">
        <f>SUM(L21:L51)</f>
        <v>17113731.106289137</v>
      </c>
    </row>
    <row r="53" spans="1:21">
      <c r="C53" s="111"/>
    </row>
    <row r="54" spans="1:21" ht="13.15">
      <c r="B54" s="115" t="s">
        <v>108</v>
      </c>
      <c r="C54" s="128"/>
      <c r="D54" s="128"/>
      <c r="E54" s="113"/>
      <c r="F54" s="113"/>
      <c r="G54" s="113"/>
      <c r="H54" s="113"/>
      <c r="I54" s="113"/>
      <c r="J54" s="113"/>
      <c r="K54" s="113"/>
      <c r="L54" s="113"/>
    </row>
    <row r="55" spans="1:21" ht="13.15">
      <c r="A55" s="125">
        <f>L52</f>
        <v>17113731.106289137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17733609.064944126</v>
      </c>
      <c r="C56" s="118">
        <v>14493815.101156257</v>
      </c>
      <c r="D56" s="118">
        <v>17051547.17783089</v>
      </c>
      <c r="E56" s="118">
        <v>17392578.121387511</v>
      </c>
      <c r="F56" s="118">
        <v>11936083.024481621</v>
      </c>
      <c r="G56" s="295"/>
      <c r="H56" s="295"/>
      <c r="I56" s="295"/>
      <c r="J56" s="295"/>
      <c r="K56" s="295"/>
      <c r="L56" s="295"/>
    </row>
    <row r="57" spans="1:21" ht="13.15">
      <c r="A57" s="131">
        <v>2</v>
      </c>
      <c r="B57" s="118">
        <v>18395002.41002363</v>
      </c>
      <c r="C57" s="118">
        <v>12466708.094001539</v>
      </c>
      <c r="D57" s="118">
        <v>17051547.17783089</v>
      </c>
      <c r="E57" s="118">
        <v>17716915.242532261</v>
      </c>
      <c r="F57" s="118">
        <v>8597318.542109143</v>
      </c>
      <c r="G57" s="295"/>
      <c r="H57" s="295"/>
      <c r="I57" s="295"/>
      <c r="J57" s="295"/>
      <c r="K57" s="295"/>
      <c r="L57" s="295"/>
    </row>
    <row r="58" spans="1:21" ht="13.15">
      <c r="A58" s="131">
        <v>3</v>
      </c>
      <c r="B58" s="118">
        <v>19036353.532524962</v>
      </c>
      <c r="C58" s="118">
        <v>10860143.09998614</v>
      </c>
      <c r="D58" s="118">
        <v>17051547.17783089</v>
      </c>
      <c r="E58" s="118">
        <v>18025375.721383218</v>
      </c>
      <c r="F58" s="118">
        <v>6418171.560607288</v>
      </c>
      <c r="G58" s="295"/>
      <c r="H58" s="295"/>
      <c r="I58" s="295"/>
      <c r="J58" s="295"/>
      <c r="K58" s="295"/>
      <c r="L58" s="295"/>
    </row>
    <row r="59" spans="1:21" ht="13.15">
      <c r="A59" s="131">
        <v>4</v>
      </c>
      <c r="B59" s="118">
        <v>19658269.772526257</v>
      </c>
      <c r="C59" s="118">
        <v>9586874.8063608818</v>
      </c>
      <c r="D59" s="118">
        <v>17051547.17783089</v>
      </c>
      <c r="E59" s="118">
        <v>18318736.736234479</v>
      </c>
      <c r="F59" s="118">
        <v>4995884.4864335833</v>
      </c>
      <c r="G59" s="295"/>
      <c r="H59" s="295"/>
      <c r="I59" s="295"/>
      <c r="J59" s="295"/>
      <c r="K59" s="295"/>
      <c r="L59" s="295"/>
    </row>
    <row r="60" spans="1:21" ht="13.15">
      <c r="A60" s="131">
        <v>5</v>
      </c>
      <c r="B60" s="118">
        <v>20261340.065860845</v>
      </c>
      <c r="C60" s="118">
        <v>8577757.7438140586</v>
      </c>
      <c r="D60" s="118">
        <v>17051547.17783089</v>
      </c>
      <c r="E60" s="118">
        <v>18597737.421687424</v>
      </c>
      <c r="F60" s="118">
        <v>4067585.2305626352</v>
      </c>
      <c r="G60" s="295"/>
      <c r="H60" s="295"/>
      <c r="I60" s="295"/>
      <c r="J60" s="295"/>
      <c r="K60" s="295"/>
      <c r="L60" s="295"/>
    </row>
    <row r="61" spans="1:21" ht="13.15">
      <c r="A61" s="131">
        <v>6</v>
      </c>
      <c r="B61" s="118">
        <v>20846135.50182166</v>
      </c>
      <c r="C61" s="118">
        <v>7777991.3072967622</v>
      </c>
      <c r="D61" s="118">
        <v>17051547.17783089</v>
      </c>
      <c r="E61" s="118">
        <v>18863080.730929386</v>
      </c>
      <c r="F61" s="118">
        <v>3461702.2663578205</v>
      </c>
      <c r="G61" s="295"/>
      <c r="H61" s="295"/>
      <c r="I61" s="295"/>
      <c r="J61" s="295"/>
      <c r="K61" s="295"/>
      <c r="L61" s="295"/>
    </row>
    <row r="62" spans="1:21" ht="13.15">
      <c r="A62" s="131">
        <v>7</v>
      </c>
      <c r="B62" s="118">
        <v>21413209.863965482</v>
      </c>
      <c r="C62" s="118">
        <v>7144143.7818518206</v>
      </c>
      <c r="D62" s="118">
        <v>17051547.17783089</v>
      </c>
      <c r="E62" s="118">
        <v>19115435.206851814</v>
      </c>
      <c r="F62" s="118">
        <v>3066254.1778325336</v>
      </c>
      <c r="G62" s="295"/>
      <c r="H62" s="295"/>
      <c r="I62" s="295"/>
      <c r="J62" s="295"/>
      <c r="K62" s="295"/>
      <c r="L62" s="295"/>
    </row>
    <row r="63" spans="1:21" ht="13.15">
      <c r="A63" s="131">
        <v>8</v>
      </c>
      <c r="B63" s="118">
        <v>21963100.15452918</v>
      </c>
      <c r="C63" s="118">
        <v>6641793.7616856648</v>
      </c>
      <c r="D63" s="118">
        <v>17051547.17783089</v>
      </c>
      <c r="E63" s="118">
        <v>19355436.666470345</v>
      </c>
      <c r="F63" s="118">
        <v>2808152.8613125323</v>
      </c>
      <c r="G63" s="295"/>
      <c r="H63" s="295"/>
      <c r="I63" s="295"/>
      <c r="J63" s="295"/>
      <c r="K63" s="295"/>
      <c r="L63" s="295"/>
    </row>
    <row r="64" spans="1:21" ht="13.15">
      <c r="A64" s="131">
        <v>9</v>
      </c>
      <c r="B64" s="118">
        <v>22496327.102954589</v>
      </c>
      <c r="C64" s="118">
        <v>6243660.8785702959</v>
      </c>
      <c r="D64" s="118">
        <v>17051547.17783089</v>
      </c>
      <c r="E64" s="118">
        <v>19583689.802890763</v>
      </c>
      <c r="F64" s="118">
        <v>2639695.1255885223</v>
      </c>
      <c r="G64" s="295"/>
      <c r="H64" s="295"/>
      <c r="I64" s="295"/>
      <c r="J64" s="295"/>
      <c r="K64" s="295"/>
      <c r="L64" s="295"/>
    </row>
    <row r="65" spans="1:21" ht="13.15">
      <c r="A65" s="131">
        <v>10</v>
      </c>
      <c r="B65" s="118">
        <v>23013395.659003474</v>
      </c>
      <c r="C65" s="118">
        <v>5928124.3278494924</v>
      </c>
      <c r="D65" s="118">
        <v>17051547.17783089</v>
      </c>
      <c r="E65" s="118">
        <v>19800769.708857037</v>
      </c>
      <c r="F65" s="118">
        <v>2529746.0206870702</v>
      </c>
      <c r="G65" s="295"/>
      <c r="H65" s="295"/>
      <c r="I65" s="295"/>
      <c r="J65" s="295"/>
      <c r="K65" s="295"/>
      <c r="L65" s="295"/>
    </row>
    <row r="66" spans="1:21" ht="13.15">
      <c r="A66" s="131">
        <v>15</v>
      </c>
      <c r="B66" s="118">
        <v>25372990.265868001</v>
      </c>
      <c r="C66" s="277">
        <v>5099621.649837099</v>
      </c>
      <c r="D66" s="118">
        <v>17051547.17783089</v>
      </c>
      <c r="E66" s="118">
        <v>20736803.738125458</v>
      </c>
      <c r="F66" s="118">
        <v>2347602.1230820511</v>
      </c>
      <c r="G66" s="295"/>
      <c r="H66" s="295"/>
      <c r="I66" s="295"/>
      <c r="J66" s="295"/>
      <c r="K66" s="295"/>
      <c r="L66" s="295"/>
      <c r="M66" s="275"/>
      <c r="N66" s="275"/>
      <c r="O66" s="275"/>
      <c r="P66" s="275"/>
      <c r="Q66" s="275"/>
      <c r="R66" s="275"/>
      <c r="S66" s="275"/>
      <c r="T66" s="275"/>
      <c r="U66" s="275"/>
    </row>
    <row r="67" spans="1:21" ht="13.15">
      <c r="A67" s="132">
        <v>20</v>
      </c>
      <c r="B67" s="118">
        <v>27396091.369863629</v>
      </c>
      <c r="C67" s="277">
        <v>4840560.6479121121</v>
      </c>
      <c r="D67" s="118">
        <v>17051547.17783089</v>
      </c>
      <c r="E67" s="118">
        <v>21465096.497424398</v>
      </c>
      <c r="F67" s="118">
        <v>2326028.7367216968</v>
      </c>
      <c r="G67" s="295"/>
      <c r="H67" s="295"/>
      <c r="I67" s="295"/>
      <c r="J67" s="295"/>
      <c r="K67" s="295"/>
      <c r="L67" s="295"/>
      <c r="M67" s="275"/>
      <c r="N67" s="275"/>
      <c r="O67" s="275"/>
      <c r="P67" s="275"/>
      <c r="Q67" s="275"/>
      <c r="R67" s="275"/>
      <c r="S67" s="275"/>
      <c r="T67" s="275"/>
      <c r="U67" s="275"/>
    </row>
    <row r="68" spans="1:21" ht="13.15">
      <c r="A68" s="132">
        <v>25</v>
      </c>
      <c r="B68" s="118">
        <v>29130685.128080036</v>
      </c>
      <c r="C68" s="277">
        <v>4759555.9577650838</v>
      </c>
      <c r="D68" s="118">
        <v>17051547.17783089</v>
      </c>
      <c r="E68" s="118">
        <v>22031753.613151081</v>
      </c>
      <c r="F68" s="118">
        <v>2323473.5536759137</v>
      </c>
      <c r="G68" s="295"/>
      <c r="H68" s="295"/>
      <c r="I68" s="295"/>
      <c r="J68" s="295"/>
      <c r="K68" s="295"/>
      <c r="L68" s="295"/>
      <c r="M68" s="275"/>
      <c r="N68" s="275"/>
      <c r="O68" s="275"/>
      <c r="P68" s="275"/>
      <c r="Q68" s="275"/>
      <c r="R68" s="275"/>
      <c r="S68" s="275"/>
      <c r="T68" s="275"/>
      <c r="U68" s="275"/>
    </row>
    <row r="69" spans="1:21" ht="13.15">
      <c r="A69" s="132">
        <v>30</v>
      </c>
      <c r="B69" s="118">
        <v>30617914.560213163</v>
      </c>
      <c r="C69" s="277">
        <v>4734226.9434516281</v>
      </c>
      <c r="D69" s="118">
        <v>17051547.17783089</v>
      </c>
      <c r="E69" s="118">
        <v>22472648.133526061</v>
      </c>
      <c r="F69" s="118">
        <v>2323170.9141047127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4.943035308791405</v>
      </c>
      <c r="C73" s="119">
        <f>C11</f>
        <v>4.943035308791405</v>
      </c>
      <c r="D73" s="119">
        <f>C11</f>
        <v>4.943035308791405</v>
      </c>
      <c r="E73" s="119">
        <f>C11</f>
        <v>4.943035308791405</v>
      </c>
      <c r="F73" s="119">
        <f>C11</f>
        <v>4.943035308791405</v>
      </c>
      <c r="G73" s="296"/>
      <c r="H73" s="296"/>
      <c r="I73" s="296"/>
      <c r="J73" s="296"/>
      <c r="K73" s="296"/>
      <c r="L73" s="296"/>
    </row>
    <row r="74" spans="1:21" ht="13.15">
      <c r="A74" s="131">
        <v>1</v>
      </c>
      <c r="B74" s="119">
        <f t="shared" ref="B74:F87" si="11">(B56+FV_adjustments)/Common_Shares*scaling_factor*Exchange_Rate</f>
        <v>5.0770076277373528</v>
      </c>
      <c r="C74" s="119">
        <f t="shared" si="11"/>
        <v>4.4406391127441029</v>
      </c>
      <c r="D74" s="119">
        <f t="shared" si="11"/>
        <v>4.9430353087914058</v>
      </c>
      <c r="E74" s="119">
        <f t="shared" si="11"/>
        <v>5.0100214682643802</v>
      </c>
      <c r="F74" s="119">
        <f t="shared" si="11"/>
        <v>3.9382429166967992</v>
      </c>
      <c r="G74" s="296"/>
      <c r="H74" s="296"/>
      <c r="I74" s="296"/>
      <c r="J74" s="296"/>
      <c r="K74" s="296"/>
      <c r="L74" s="296"/>
    </row>
    <row r="75" spans="1:21" ht="13.15">
      <c r="A75" s="131">
        <v>2</v>
      </c>
      <c r="B75" s="119">
        <f t="shared" si="11"/>
        <v>5.2069201794425153</v>
      </c>
      <c r="C75" s="119">
        <f t="shared" si="11"/>
        <v>4.0424696333592944</v>
      </c>
      <c r="D75" s="119">
        <f t="shared" si="11"/>
        <v>4.9430353087914058</v>
      </c>
      <c r="E75" s="119">
        <f t="shared" si="11"/>
        <v>5.0737285849659486</v>
      </c>
      <c r="F75" s="119">
        <f t="shared" si="11"/>
        <v>3.2824343624159384</v>
      </c>
      <c r="G75" s="296"/>
      <c r="H75" s="296"/>
      <c r="I75" s="296"/>
      <c r="J75" s="296"/>
      <c r="K75" s="296"/>
      <c r="L75" s="296"/>
    </row>
    <row r="76" spans="1:21" ht="13.15">
      <c r="A76" s="131">
        <v>3</v>
      </c>
      <c r="B76" s="119">
        <f t="shared" si="11"/>
        <v>5.3328959871566095</v>
      </c>
      <c r="C76" s="119">
        <f t="shared" si="11"/>
        <v>3.7269040786021028</v>
      </c>
      <c r="D76" s="119">
        <f t="shared" si="11"/>
        <v>4.9430353087914058</v>
      </c>
      <c r="E76" s="119">
        <f t="shared" si="11"/>
        <v>5.1343171714793296</v>
      </c>
      <c r="F76" s="119">
        <f t="shared" si="11"/>
        <v>2.8544008071743501</v>
      </c>
      <c r="G76" s="296"/>
      <c r="H76" s="296"/>
      <c r="I76" s="296"/>
      <c r="J76" s="296"/>
      <c r="K76" s="296"/>
      <c r="L76" s="296"/>
    </row>
    <row r="77" spans="1:21" ht="13.15">
      <c r="A77" s="131">
        <v>4</v>
      </c>
      <c r="B77" s="119">
        <f t="shared" si="11"/>
        <v>5.4550543461520968</v>
      </c>
      <c r="C77" s="119">
        <f t="shared" si="11"/>
        <v>3.4768055037362631</v>
      </c>
      <c r="D77" s="119">
        <f t="shared" si="11"/>
        <v>4.9430353087914058</v>
      </c>
      <c r="E77" s="119">
        <f t="shared" si="11"/>
        <v>5.1919398831284189</v>
      </c>
      <c r="F77" s="119">
        <f t="shared" si="11"/>
        <v>2.57503158697005</v>
      </c>
      <c r="G77" s="296"/>
      <c r="H77" s="296"/>
      <c r="I77" s="296"/>
      <c r="J77" s="296"/>
      <c r="K77" s="296"/>
      <c r="L77" s="296"/>
    </row>
    <row r="78" spans="1:21" ht="13.15">
      <c r="A78" s="131">
        <v>5</v>
      </c>
      <c r="B78" s="119">
        <f t="shared" si="11"/>
        <v>5.5735109366931743</v>
      </c>
      <c r="C78" s="119">
        <f t="shared" si="11"/>
        <v>3.2785921809987686</v>
      </c>
      <c r="D78" s="119">
        <f t="shared" si="11"/>
        <v>4.9430353087914058</v>
      </c>
      <c r="E78" s="119">
        <f t="shared" si="11"/>
        <v>5.2467419025988811</v>
      </c>
      <c r="F78" s="119">
        <f t="shared" si="11"/>
        <v>2.3926927019882229</v>
      </c>
      <c r="G78" s="296"/>
      <c r="H78" s="296"/>
      <c r="I78" s="296"/>
      <c r="J78" s="296"/>
      <c r="K78" s="296"/>
      <c r="L78" s="296"/>
    </row>
    <row r="79" spans="1:21" ht="13.15">
      <c r="A79" s="131">
        <v>6</v>
      </c>
      <c r="B79" s="119">
        <f t="shared" si="11"/>
        <v>5.688377933581493</v>
      </c>
      <c r="C79" s="119">
        <f t="shared" si="11"/>
        <v>3.1215000371042505</v>
      </c>
      <c r="D79" s="119">
        <f t="shared" si="11"/>
        <v>4.9430353087914058</v>
      </c>
      <c r="E79" s="119">
        <f t="shared" si="11"/>
        <v>5.2988613057316289</v>
      </c>
      <c r="F79" s="119">
        <f t="shared" si="11"/>
        <v>2.2736836395292213</v>
      </c>
      <c r="G79" s="296"/>
      <c r="H79" s="296"/>
      <c r="I79" s="296"/>
      <c r="J79" s="296"/>
      <c r="K79" s="296"/>
      <c r="L79" s="296"/>
    </row>
    <row r="80" spans="1:21" ht="13.15">
      <c r="A80" s="131">
        <f t="shared" ref="A80" si="12">A62</f>
        <v>7</v>
      </c>
      <c r="B80" s="119">
        <f t="shared" si="11"/>
        <v>5.7997641123822872</v>
      </c>
      <c r="C80" s="119">
        <f t="shared" si="11"/>
        <v>2.9969981048801571</v>
      </c>
      <c r="D80" s="119">
        <f t="shared" si="11"/>
        <v>4.9430353087914058</v>
      </c>
      <c r="E80" s="119">
        <f t="shared" si="11"/>
        <v>5.3484294094103273</v>
      </c>
      <c r="F80" s="119">
        <f t="shared" si="11"/>
        <v>2.1960087269685675</v>
      </c>
      <c r="G80" s="296"/>
      <c r="H80" s="296"/>
      <c r="I80" s="296"/>
      <c r="J80" s="296"/>
      <c r="K80" s="296"/>
      <c r="L80" s="296"/>
    </row>
    <row r="81" spans="1:12" ht="13.15">
      <c r="A81" s="131">
        <v>8</v>
      </c>
      <c r="B81" s="119">
        <f t="shared" si="11"/>
        <v>5.9077749524315406</v>
      </c>
      <c r="C81" s="119">
        <f t="shared" si="11"/>
        <v>2.8983252448424133</v>
      </c>
      <c r="D81" s="119">
        <f t="shared" si="11"/>
        <v>4.9430353087914058</v>
      </c>
      <c r="E81" s="119">
        <f t="shared" si="11"/>
        <v>5.3955711024194368</v>
      </c>
      <c r="F81" s="119">
        <f t="shared" si="11"/>
        <v>2.1453118143415675</v>
      </c>
      <c r="G81" s="296"/>
      <c r="H81" s="296"/>
      <c r="I81" s="296"/>
      <c r="J81" s="296"/>
      <c r="K81" s="296"/>
      <c r="L81" s="296"/>
    </row>
    <row r="82" spans="1:12" ht="13.15">
      <c r="A82" s="131">
        <f t="shared" ref="A82" si="13">A64</f>
        <v>9</v>
      </c>
      <c r="B82" s="119">
        <f t="shared" si="11"/>
        <v>6.0125127367217264</v>
      </c>
      <c r="C82" s="119">
        <f t="shared" si="11"/>
        <v>2.8201229781458332</v>
      </c>
      <c r="D82" s="119">
        <f t="shared" si="11"/>
        <v>4.9430353087914058</v>
      </c>
      <c r="E82" s="119">
        <f t="shared" si="11"/>
        <v>5.4404051601064225</v>
      </c>
      <c r="F82" s="119">
        <f t="shared" si="11"/>
        <v>2.112222920319283</v>
      </c>
      <c r="G82" s="296"/>
      <c r="H82" s="296"/>
      <c r="I82" s="296"/>
      <c r="J82" s="296"/>
      <c r="K82" s="296"/>
      <c r="L82" s="296"/>
    </row>
    <row r="83" spans="1:12" ht="13.15">
      <c r="A83" s="131">
        <f t="shared" ref="A83:A87" si="14">A65</f>
        <v>10</v>
      </c>
      <c r="B83" s="119">
        <f t="shared" si="11"/>
        <v>6.1140766487606957</v>
      </c>
      <c r="C83" s="119">
        <f t="shared" si="11"/>
        <v>2.7581444917196398</v>
      </c>
      <c r="D83" s="119">
        <f t="shared" si="11"/>
        <v>4.9430353087914058</v>
      </c>
      <c r="E83" s="119">
        <f t="shared" si="11"/>
        <v>5.483044543640899</v>
      </c>
      <c r="F83" s="119">
        <f t="shared" si="11"/>
        <v>2.0906264393723375</v>
      </c>
      <c r="G83" s="296"/>
      <c r="H83" s="296"/>
      <c r="I83" s="296"/>
      <c r="J83" s="296"/>
      <c r="K83" s="296"/>
      <c r="L83" s="296"/>
    </row>
    <row r="84" spans="1:12" ht="13.15">
      <c r="A84" s="131">
        <f t="shared" si="14"/>
        <v>15</v>
      </c>
      <c r="B84" s="119">
        <f t="shared" si="11"/>
        <v>6.5775541824372104</v>
      </c>
      <c r="C84" s="119">
        <f t="shared" si="11"/>
        <v>2.5954079026748684</v>
      </c>
      <c r="D84" s="119">
        <f t="shared" si="11"/>
        <v>4.9430353087914058</v>
      </c>
      <c r="E84" s="119">
        <f t="shared" si="11"/>
        <v>5.6669027123536599</v>
      </c>
      <c r="F84" s="119">
        <f t="shared" si="11"/>
        <v>2.0548492748583111</v>
      </c>
      <c r="G84" s="296"/>
      <c r="H84" s="296"/>
      <c r="I84" s="296"/>
      <c r="J84" s="296"/>
      <c r="K84" s="296"/>
      <c r="L84" s="296"/>
    </row>
    <row r="85" spans="1:12" ht="13.15">
      <c r="A85" s="132">
        <f t="shared" si="14"/>
        <v>20</v>
      </c>
      <c r="B85" s="119">
        <f t="shared" si="11"/>
        <v>6.9749368122034783</v>
      </c>
      <c r="C85" s="119">
        <f t="shared" si="11"/>
        <v>2.5445224862161875</v>
      </c>
      <c r="D85" s="119">
        <f t="shared" si="11"/>
        <v>4.9430353087914058</v>
      </c>
      <c r="E85" s="119">
        <f t="shared" si="11"/>
        <v>5.8099558160064415</v>
      </c>
      <c r="F85" s="119">
        <f t="shared" si="11"/>
        <v>2.0506117758089997</v>
      </c>
      <c r="G85" s="296"/>
      <c r="H85" s="296"/>
      <c r="I85" s="296"/>
      <c r="J85" s="296"/>
      <c r="K85" s="296"/>
      <c r="L85" s="296"/>
    </row>
    <row r="86" spans="1:12" ht="13.15">
      <c r="A86" s="132">
        <f t="shared" si="14"/>
        <v>25</v>
      </c>
      <c r="B86" s="119">
        <f t="shared" si="11"/>
        <v>7.3156501002615117</v>
      </c>
      <c r="C86" s="119">
        <f t="shared" si="11"/>
        <v>2.5286113403369956</v>
      </c>
      <c r="D86" s="119">
        <f t="shared" si="11"/>
        <v>4.9430353087914058</v>
      </c>
      <c r="E86" s="119">
        <f t="shared" si="11"/>
        <v>5.9212600382118996</v>
      </c>
      <c r="F86" s="119">
        <f t="shared" si="11"/>
        <v>2.0501098803000395</v>
      </c>
      <c r="G86" s="296"/>
      <c r="H86" s="296"/>
      <c r="I86" s="296"/>
      <c r="J86" s="296"/>
      <c r="K86" s="296"/>
      <c r="L86" s="296"/>
    </row>
    <row r="87" spans="1:12" ht="13.15">
      <c r="A87" s="132">
        <f t="shared" si="14"/>
        <v>30</v>
      </c>
      <c r="B87" s="119">
        <f t="shared" si="11"/>
        <v>7.6077754624787692</v>
      </c>
      <c r="C87" s="119">
        <f t="shared" si="11"/>
        <v>2.5236361513573695</v>
      </c>
      <c r="D87" s="119">
        <f t="shared" si="11"/>
        <v>4.9430353087914058</v>
      </c>
      <c r="E87" s="119">
        <f t="shared" si="11"/>
        <v>6.0078616537268728</v>
      </c>
      <c r="F87" s="119">
        <f t="shared" si="11"/>
        <v>2.0500504350709123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3</v>
      </c>
      <c r="E90" s="127">
        <f>INDEX(B$73:F$87, MATCH(D90, A$73:A$87, 0), MATCH(C90, B$72:F$72, 0))</f>
        <v>2.8544008071743501</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5.1343171714793296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4.9430353087914058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3.7269040786021028</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5.3328959871566095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2269323</v>
      </c>
      <c r="D7" s="469"/>
      <c r="E7" s="469"/>
      <c r="F7" s="469"/>
      <c r="G7" s="469"/>
    </row>
    <row r="8" spans="2:7">
      <c r="B8" s="97" t="s">
        <v>63</v>
      </c>
      <c r="C8" s="447">
        <f>Normalized_FCF!G19</f>
        <v>1276808.7874316322</v>
      </c>
      <c r="D8" s="469"/>
      <c r="E8" s="469"/>
      <c r="F8" s="469"/>
      <c r="G8" s="469"/>
    </row>
    <row r="9" spans="2:7">
      <c r="B9" s="97" t="s">
        <v>54</v>
      </c>
      <c r="C9" s="447">
        <f>Normalized_FCF!C19</f>
        <v>1236237.1703927394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-0.21539671749025913</v>
      </c>
      <c r="D12" s="469"/>
      <c r="E12" s="469"/>
      <c r="F12" s="469"/>
      <c r="G12" s="469"/>
    </row>
    <row r="13" spans="2:7">
      <c r="B13" s="135" t="s">
        <v>127</v>
      </c>
      <c r="C13" s="249">
        <f ca="1">(Normalized_FCF!G8/OFFSET(Normalized_FCF!G8, 0, $C$4))^(1/$C$4) - 1</f>
        <v>-0.3075833251044805</v>
      </c>
      <c r="D13" s="469"/>
      <c r="E13" s="469"/>
      <c r="F13" s="469"/>
      <c r="G13" s="469"/>
    </row>
    <row r="14" spans="2:7">
      <c r="B14" s="97" t="s">
        <v>63</v>
      </c>
      <c r="C14" s="249">
        <f ca="1">(Normalized_FCF!G19/OFFSET(Normalized_FCF!G19, 0, $C$4))^(1/$C$4) - 1</f>
        <v>-0.33007343689873281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5.1343171714793296</v>
      </c>
      <c r="F22" s="328">
        <f>1-F23-F24</f>
        <v>0.19999999999999996</v>
      </c>
      <c r="G22" s="328">
        <f>F22*(1-F$29-F$30)</f>
        <v>0.15999999999999995</v>
      </c>
    </row>
    <row r="23" spans="2:7">
      <c r="B23" s="302" t="s">
        <v>437</v>
      </c>
      <c r="C23" s="324">
        <v>0</v>
      </c>
      <c r="D23" s="325">
        <f>C18</f>
        <v>3</v>
      </c>
      <c r="E23" s="326">
        <f>DCF!E92</f>
        <v>4.9430353087914058</v>
      </c>
      <c r="F23" s="327">
        <v>0.55000000000000004</v>
      </c>
      <c r="G23" s="328">
        <f t="shared" ref="G23:G24" si="0">F23*(1-F$29-F$30)</f>
        <v>0.44</v>
      </c>
    </row>
    <row r="24" spans="2:7">
      <c r="B24" s="302" t="s">
        <v>446</v>
      </c>
      <c r="C24" s="324">
        <v>-0.15</v>
      </c>
      <c r="D24" s="325">
        <f>C18</f>
        <v>3</v>
      </c>
      <c r="E24" s="326">
        <f>DCF!E93</f>
        <v>3.7269040786021028</v>
      </c>
      <c r="F24" s="327">
        <v>0.25</v>
      </c>
      <c r="G24" s="328">
        <f t="shared" si="0"/>
        <v>0.19999999999999998</v>
      </c>
    </row>
    <row r="25" spans="2:7">
      <c r="B25" s="141" t="s">
        <v>451</v>
      </c>
      <c r="C25" s="441">
        <f>E23*F23+E24*F24+E22*F22</f>
        <v>4.6772588737816649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3</v>
      </c>
      <c r="E29" s="326">
        <f>DCF!E90</f>
        <v>2.8544008071743501</v>
      </c>
      <c r="F29" s="327">
        <v>0.15</v>
      </c>
      <c r="G29" s="328">
        <f>F29</f>
        <v>0.15</v>
      </c>
    </row>
    <row r="30" spans="2:7">
      <c r="B30" s="315" t="s">
        <v>447</v>
      </c>
      <c r="C30" s="324">
        <v>0.04</v>
      </c>
      <c r="D30" s="325">
        <f>C18</f>
        <v>3</v>
      </c>
      <c r="E30" s="326">
        <f>DCF!E94</f>
        <v>5.3328959871566095</v>
      </c>
      <c r="F30" s="327">
        <v>0.05</v>
      </c>
      <c r="G30" s="328">
        <f>F30</f>
        <v>0.05</v>
      </c>
    </row>
    <row r="31" spans="2:7">
      <c r="E31" s="329"/>
      <c r="F31" s="329"/>
    </row>
    <row r="32" spans="2:7" ht="13.15">
      <c r="B32" s="145" t="s">
        <v>456</v>
      </c>
    </row>
    <row r="33" spans="2:7">
      <c r="B33" s="97" t="s">
        <v>458</v>
      </c>
      <c r="C33" s="155">
        <f>Normalized_FCF!C88*(1-dividend_tax_rate)</f>
        <v>0.27</v>
      </c>
      <c r="D33" t="str">
        <f>Market_currency</f>
        <v>HKD</v>
      </c>
      <c r="E33" s="97" t="s">
        <v>455</v>
      </c>
      <c r="F33" s="219">
        <f>Holding_Period</f>
        <v>3</v>
      </c>
    </row>
    <row r="34" spans="2:7">
      <c r="B34" s="97" t="s">
        <v>233</v>
      </c>
      <c r="C34" s="146">
        <f>Market_Price</f>
        <v>3.22</v>
      </c>
      <c r="D34" t="str">
        <f>Market_currency</f>
        <v>HKD</v>
      </c>
      <c r="E34" s="97" t="s">
        <v>454</v>
      </c>
      <c r="F34" s="330">
        <f>RATE(Holding_Period,$C$33,-C34,$C$36)</f>
        <v>0.18874907084051606</v>
      </c>
    </row>
    <row r="35" spans="2:7">
      <c r="B35" s="97" t="s">
        <v>434</v>
      </c>
      <c r="C35" s="320">
        <f>DCF!C11</f>
        <v>4.943035308791405</v>
      </c>
      <c r="D35" s="97" t="str">
        <f>Market_currency</f>
        <v>HKD</v>
      </c>
      <c r="E35" s="97" t="s">
        <v>454</v>
      </c>
      <c r="F35" s="330">
        <f>RATE(Holding_Period,$C$33,-C35,$C$36)</f>
        <v>2.1185052271601241E-2</v>
      </c>
    </row>
    <row r="36" spans="2:7">
      <c r="B36" s="97" t="s">
        <v>435</v>
      </c>
      <c r="C36" s="321">
        <f>E22*G22+E23*G23+E24*G24+E30*G30+E29*G29</f>
        <v>4.4366120194593153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0.4243739445166862</v>
      </c>
      <c r="E40" s="97" t="s">
        <v>401</v>
      </c>
    </row>
    <row r="41" spans="2:7">
      <c r="B41" s="97" t="s">
        <v>400</v>
      </c>
      <c r="C41" s="455">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4.9552496331131763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0.35922170524546904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0.49035047792444258</v>
      </c>
      <c r="D62" s="119">
        <f>C36/(1+F62)^Holding_Period</f>
        <v>2.0193955482290917</v>
      </c>
      <c r="E62" s="332">
        <f>C62+D62</f>
        <v>2.5097460261535343</v>
      </c>
      <c r="F62" s="301">
        <f>Thesis!E22</f>
        <v>0.3</v>
      </c>
      <c r="G62" s="440">
        <f>(1-E62/C36)</f>
        <v>0.43431023151323611</v>
      </c>
    </row>
    <row r="63" spans="2:7" ht="13.15">
      <c r="B63" s="302" t="s">
        <v>313</v>
      </c>
      <c r="C63" s="119">
        <f>PV(F63, Holding_Period, -C58, 0)</f>
        <v>0.56874999999999998</v>
      </c>
      <c r="D63" s="119">
        <f>C36/(1+F63)^Holding_Period</f>
        <v>2.567483807557474</v>
      </c>
      <c r="E63" s="332">
        <f>C63+D63</f>
        <v>3.1362338075574741</v>
      </c>
      <c r="F63" s="301">
        <f>Thesis!E23</f>
        <v>0.2</v>
      </c>
      <c r="G63" s="440">
        <f>(1-E63/C36)</f>
        <v>0.29310162939609874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0.65140284400343529</v>
      </c>
      <c r="D66" s="119">
        <f>C36/(1+F66)^Holding_Period</f>
        <v>3.1799877747218557</v>
      </c>
      <c r="E66" s="332">
        <f>C66+D66</f>
        <v>3.8313906187252909</v>
      </c>
      <c r="F66" s="301">
        <f>Thesis!E24</f>
        <v>0.1174</v>
      </c>
      <c r="G66" s="440">
        <f>(1-E66/C36)</f>
        <v>0.13641521910851739</v>
      </c>
    </row>
    <row r="67" spans="2:7" ht="13.15">
      <c r="B67" s="302" t="s">
        <v>314</v>
      </c>
      <c r="C67" s="119">
        <f>PV(F67, Holding_Period, -C58, 0)</f>
        <v>0.7053413113367144</v>
      </c>
      <c r="D67" s="119">
        <f>C36/(1+F67)^Holding_Period</f>
        <v>3.5963301078738321</v>
      </c>
      <c r="E67" s="332">
        <f>C67+D67</f>
        <v>4.3016714192105461</v>
      </c>
      <c r="F67" s="301">
        <f>Thesis!E25</f>
        <v>7.2499999999999995E-2</v>
      </c>
      <c r="G67" s="440">
        <f>(1-E67/C36)</f>
        <v>3.0415235692665799E-2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45930</v>
      </c>
    </row>
    <row r="4" spans="1:10">
      <c r="B4" s="422" t="s">
        <v>534</v>
      </c>
      <c r="C4" s="423" t="str">
        <f>Thesis!C4</f>
        <v>首钢资源</v>
      </c>
      <c r="D4" s="349"/>
      <c r="E4" s="434" t="s">
        <v>540</v>
      </c>
      <c r="F4" s="437" t="str">
        <f>Thesis!F4</f>
        <v>INT</v>
      </c>
    </row>
    <row r="5" spans="1:10">
      <c r="B5" s="343" t="s">
        <v>364</v>
      </c>
      <c r="C5" s="355" t="str">
        <f>Thesis!C5</f>
        <v>0639.HK</v>
      </c>
      <c r="E5" s="438" t="s">
        <v>541</v>
      </c>
      <c r="F5" s="439" t="str">
        <f>Thesis!F5</f>
        <v>Y</v>
      </c>
    </row>
    <row r="6" spans="1:10">
      <c r="B6" s="350" t="s">
        <v>336</v>
      </c>
      <c r="C6" s="352" t="str">
        <f>Thesis!C6</f>
        <v>MAT_01</v>
      </c>
      <c r="E6" s="354"/>
    </row>
    <row r="7" spans="1:10">
      <c r="B7" s="343" t="s">
        <v>366</v>
      </c>
      <c r="C7" s="352" t="str">
        <f>Market_currency</f>
        <v>HKD</v>
      </c>
      <c r="D7" s="354"/>
      <c r="E7" s="354"/>
    </row>
    <row r="8" spans="1:10">
      <c r="B8" s="351" t="s">
        <v>365</v>
      </c>
      <c r="C8" s="356">
        <f>Market_Price</f>
        <v>3.22</v>
      </c>
    </row>
    <row r="9" spans="1:10">
      <c r="B9" s="351" t="s">
        <v>361</v>
      </c>
      <c r="C9" s="353">
        <f>Common_Shares</f>
        <v>5091065770</v>
      </c>
    </row>
    <row r="10" spans="1:10">
      <c r="B10" s="351" t="s">
        <v>367</v>
      </c>
      <c r="C10" s="357">
        <f>投资主题!C8*Common_Shares/1000000</f>
        <v>16393.231779400001</v>
      </c>
      <c r="D10" s="343" t="s">
        <v>529</v>
      </c>
      <c r="E10" s="360">
        <f>Scenarios!F34</f>
        <v>0.18874907084051606</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v>
      </c>
      <c r="D17" s="351" t="s">
        <v>339</v>
      </c>
      <c r="E17" s="344" t="str">
        <f>Reporting_currency</f>
        <v>HKD</v>
      </c>
    </row>
    <row r="18" spans="1:6">
      <c r="B18" s="343" t="str">
        <f>"预期股权价值 ("&amp;C7&amp;") :"</f>
        <v>预期股权价值 (HKD) :</v>
      </c>
      <c r="C18" s="359">
        <f>C125</f>
        <v>4.4366120194593153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2.5097460261535343</v>
      </c>
      <c r="D22" s="365" t="s">
        <v>440</v>
      </c>
      <c r="E22" s="366">
        <f>Thesis!E22</f>
        <v>0.3</v>
      </c>
    </row>
    <row r="23" spans="1:6">
      <c r="B23" s="343" t="s">
        <v>341</v>
      </c>
      <c r="C23" s="367">
        <f>E141</f>
        <v>3.1362338075574741</v>
      </c>
      <c r="D23" s="365" t="s">
        <v>441</v>
      </c>
      <c r="E23" s="368">
        <f>Thesis!E23</f>
        <v>0.2</v>
      </c>
    </row>
    <row r="24" spans="1:6">
      <c r="B24" s="343" t="s">
        <v>343</v>
      </c>
      <c r="C24" s="367">
        <f>E144</f>
        <v>3.8313906187252909</v>
      </c>
      <c r="D24" s="365" t="s">
        <v>443</v>
      </c>
      <c r="E24" s="368">
        <f>Thesis!E24</f>
        <v>0.1174</v>
      </c>
    </row>
    <row r="25" spans="1:6">
      <c r="B25" s="343" t="s">
        <v>342</v>
      </c>
      <c r="C25" s="367">
        <f>E145</f>
        <v>4.3016714192105461</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2135332.6963168322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13346.961104049504</v>
      </c>
      <c r="D44" s="343" t="str">
        <f>Reporting_currency</f>
        <v>HKD</v>
      </c>
      <c r="E44" s="371"/>
      <c r="F44" s="371"/>
    </row>
    <row r="45" spans="2:6">
      <c r="B45" s="372" t="s">
        <v>268</v>
      </c>
      <c r="C45" s="376">
        <f>Normalized_FCF!C45</f>
        <v>-2620.62</v>
      </c>
      <c r="D45" s="343" t="str">
        <f>Reporting_currency</f>
        <v>HKD</v>
      </c>
      <c r="E45" s="371"/>
      <c r="F45" s="371"/>
    </row>
    <row r="46" spans="2:6">
      <c r="B46" s="372" t="s">
        <v>203</v>
      </c>
      <c r="C46" s="373">
        <f>Normalized_FCF!C10</f>
        <v>10726.341104049505</v>
      </c>
      <c r="D46" s="343" t="str">
        <f>Reporting_currency</f>
        <v>HKD</v>
      </c>
    </row>
    <row r="48" spans="2:6">
      <c r="B48" s="343" t="s">
        <v>505</v>
      </c>
    </row>
    <row r="49" spans="2:6">
      <c r="B49" s="372" t="s">
        <v>223</v>
      </c>
      <c r="C49" s="373">
        <f>Normalized_FCF!C13</f>
        <v>-373307.10767292208</v>
      </c>
      <c r="D49" s="343" t="str">
        <f>Reporting_currency</f>
        <v>HKD</v>
      </c>
    </row>
    <row r="51" spans="2:6">
      <c r="B51" s="470" t="s">
        <v>506</v>
      </c>
      <c r="C51" s="470"/>
      <c r="D51" s="470"/>
      <c r="E51" s="470"/>
      <c r="F51" s="470"/>
    </row>
    <row r="52" spans="2:6">
      <c r="B52" s="372" t="s">
        <v>496</v>
      </c>
      <c r="C52" s="373">
        <f>Normalized_FCF!C12</f>
        <v>-536514.75935522048</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1276808.7874316322</v>
      </c>
      <c r="D60" s="343" t="str">
        <f>Reporting_currency</f>
        <v>HKD</v>
      </c>
    </row>
    <row r="61" spans="2:6">
      <c r="B61" s="372" t="s">
        <v>213</v>
      </c>
      <c r="C61" s="373">
        <f>Normalized_FCF!C19</f>
        <v>1236237.1703927394</v>
      </c>
      <c r="D61" s="343" t="str">
        <f>Reporting_currency</f>
        <v>HKD</v>
      </c>
    </row>
    <row r="62" spans="2:6">
      <c r="B62" s="377" t="s">
        <v>302</v>
      </c>
      <c r="C62" s="378">
        <f>Normalized_FCF!C124</f>
        <v>7.5411437294885003E-2</v>
      </c>
      <c r="F62" s="379"/>
    </row>
    <row r="63" spans="2:6">
      <c r="B63" s="377" t="s">
        <v>332</v>
      </c>
      <c r="C63" s="378">
        <f>Normalized_FCF!C92</f>
        <v>8.3850931677018639E-2</v>
      </c>
      <c r="E63" s="372" t="s">
        <v>373</v>
      </c>
      <c r="F63" s="380">
        <f>Normalized_FCF!C90</f>
        <v>1.2354585087542602</v>
      </c>
    </row>
    <row r="65" spans="1:6">
      <c r="B65" s="369" t="s">
        <v>376</v>
      </c>
      <c r="C65" s="381" t="s">
        <v>327</v>
      </c>
      <c r="D65" s="381" t="s">
        <v>374</v>
      </c>
    </row>
    <row r="66" spans="1:6">
      <c r="B66" s="372" t="s">
        <v>326</v>
      </c>
      <c r="C66" s="378">
        <f>Normalized_FCF!E119</f>
        <v>0.11354054587062024</v>
      </c>
      <c r="D66" s="378">
        <f>Normalized_FCF!G119</f>
        <v>0.12214212988224181</v>
      </c>
    </row>
    <row r="67" spans="1:6">
      <c r="B67" s="382" t="str">
        <f>Normalized_FCF!B116</f>
        <v>Pre-tax Profit/Sales</v>
      </c>
      <c r="C67" s="383">
        <f>Normalized_FCF!E116</f>
        <v>0.4243739445166862</v>
      </c>
      <c r="D67" s="383">
        <f>Normalized_FCF!G116</f>
        <v>0.45652358857655373</v>
      </c>
    </row>
    <row r="68" spans="1:6">
      <c r="B68" s="382" t="str">
        <f>Normalized_FCF!B117</f>
        <v>Sales/Total Assets</v>
      </c>
      <c r="C68" s="384">
        <f>Normalized_FCF!E117</f>
        <v>0.22035988512352028</v>
      </c>
      <c r="D68" s="384">
        <f>Normalized_FCF!G117</f>
        <v>0.22035988512352028</v>
      </c>
    </row>
    <row r="69" spans="1:6">
      <c r="B69" s="382" t="str">
        <f>Normalized_FCF!B118</f>
        <v>Total Assets/Equity</v>
      </c>
      <c r="C69" s="384">
        <f>Normalized_FCF!E118</f>
        <v>1.2141426890285656</v>
      </c>
      <c r="D69" s="384">
        <f>Normalized_FCF!G118</f>
        <v>1.2141426890285656</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-43677</v>
      </c>
      <c r="D78" s="343" t="str">
        <f>Reporting_currency</f>
        <v>HKD</v>
      </c>
    </row>
    <row r="79" spans="1:6">
      <c r="B79" s="372" t="s">
        <v>234</v>
      </c>
      <c r="C79" s="387">
        <f>C78*scaling_factor*Exchange_Rate/Common_Shares</f>
        <v>-8.5791466803226933E-3</v>
      </c>
      <c r="D79" s="343" t="str">
        <f>Market_currency</f>
        <v>HKD</v>
      </c>
    </row>
    <row r="80" spans="1:6">
      <c r="B80" s="382" t="s">
        <v>309</v>
      </c>
      <c r="C80" s="388">
        <f>IF(BS!G31/BS!G27&gt;300%,"nm",BS!G31/BS!G27)</f>
        <v>2.3107986944995245E-3</v>
      </c>
    </row>
    <row r="81" spans="1:6">
      <c r="B81" s="382" t="s">
        <v>311</v>
      </c>
      <c r="C81" s="389">
        <f>IF(BS!C50&gt;30,"nm",BS!C50)</f>
        <v>2.0454423835375664E-2</v>
      </c>
    </row>
    <row r="83" spans="1:6">
      <c r="B83" s="343" t="s">
        <v>512</v>
      </c>
    </row>
    <row r="84" spans="1:6">
      <c r="B84" s="343" t="s">
        <v>224</v>
      </c>
      <c r="C84" s="373">
        <f>DCF!F5</f>
        <v>7893935.482658416</v>
      </c>
      <c r="D84" s="343" t="str">
        <f>Reporting_currency</f>
        <v>HKD</v>
      </c>
    </row>
    <row r="85" spans="1:6">
      <c r="B85" s="382" t="s">
        <v>481</v>
      </c>
      <c r="C85" s="390">
        <f>BS!C66</f>
        <v>10118429</v>
      </c>
      <c r="D85" s="391" t="str">
        <f>Reporting_currency</f>
        <v>HKD</v>
      </c>
    </row>
    <row r="86" spans="1:6">
      <c r="B86" s="372" t="s">
        <v>235</v>
      </c>
      <c r="C86" s="387">
        <f>C84*scaling_factor*Exchange_Rate/Common_Shares</f>
        <v>1.5505467497934948</v>
      </c>
      <c r="D86" s="343" t="str">
        <f>Market_currency</f>
        <v>HKD</v>
      </c>
    </row>
    <row r="88" spans="1:6">
      <c r="B88" s="343" t="s">
        <v>513</v>
      </c>
    </row>
    <row r="89" spans="1:6">
      <c r="B89" s="343" t="s">
        <v>217</v>
      </c>
      <c r="C89" s="373">
        <f>DCF!F6</f>
        <v>263512.2</v>
      </c>
      <c r="D89" s="343" t="str">
        <f>Reporting_currency</f>
        <v>HKD</v>
      </c>
    </row>
    <row r="90" spans="1:6">
      <c r="B90" s="372" t="s">
        <v>236</v>
      </c>
      <c r="C90" s="387">
        <f>C89*scaling_factor*Exchange_Rate/Common_Shares</f>
        <v>5.1759732029547124E-2</v>
      </c>
      <c r="D90" s="343" t="str">
        <f>Market_currency</f>
        <v>HKD</v>
      </c>
    </row>
    <row r="92" spans="1:6">
      <c r="B92" s="372" t="s">
        <v>480</v>
      </c>
      <c r="C92" s="387">
        <f>DCF!F8</f>
        <v>1.5937273351427192</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0.79833937207218564</v>
      </c>
      <c r="D111" s="343" t="str">
        <f>Market_currency</f>
        <v>HKD</v>
      </c>
    </row>
    <row r="112" spans="1:6">
      <c r="A112" s="385"/>
      <c r="B112" s="372" t="s">
        <v>377</v>
      </c>
      <c r="C112" s="394">
        <f>DCF!C11</f>
        <v>4.943035308791405</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3</v>
      </c>
      <c r="E118" s="398" t="str">
        <f>ROUND(DCF!E90,2)&amp;" "&amp;Market_currency</f>
        <v>2.85 HKD</v>
      </c>
      <c r="F118" s="399">
        <f>DCF!F90</f>
        <v>0.15</v>
      </c>
    </row>
    <row r="119" spans="1:6">
      <c r="A119" s="385"/>
      <c r="B119" s="400" t="str">
        <f>DCF!B91</f>
        <v>Optimistic</v>
      </c>
      <c r="C119" s="401">
        <f>DCF!C91</f>
        <v>0.02</v>
      </c>
      <c r="D119" s="402">
        <f>DCF!D91</f>
        <v>3</v>
      </c>
      <c r="E119" s="398" t="str">
        <f>ROUND(DCF!E91,2)&amp;" "&amp;Market_currency</f>
        <v>5.13 HKD</v>
      </c>
      <c r="F119" s="403">
        <f>DCF!F91</f>
        <v>0.15999999999999995</v>
      </c>
    </row>
    <row r="120" spans="1:6">
      <c r="B120" s="400" t="str">
        <f>DCF!B92</f>
        <v>Base</v>
      </c>
      <c r="C120" s="401">
        <f>DCF!C92</f>
        <v>0</v>
      </c>
      <c r="D120" s="402">
        <f>DCF!D92</f>
        <v>3</v>
      </c>
      <c r="E120" s="398" t="str">
        <f>ROUND(DCF!E92,2)&amp;" "&amp;Market_currency</f>
        <v>4.94 HKD</v>
      </c>
      <c r="F120" s="403">
        <f>DCF!F92</f>
        <v>0.44</v>
      </c>
    </row>
    <row r="121" spans="1:6">
      <c r="B121" s="400" t="str">
        <f>DCF!B93</f>
        <v>Pessimistic</v>
      </c>
      <c r="C121" s="401">
        <f>DCF!C93</f>
        <v>-0.15</v>
      </c>
      <c r="D121" s="402">
        <f>DCF!D93</f>
        <v>3</v>
      </c>
      <c r="E121" s="398" t="str">
        <f>ROUND(DCF!E93,2)&amp;" "&amp;Market_currency</f>
        <v>3.73 HKD</v>
      </c>
      <c r="F121" s="403">
        <f>DCF!F93</f>
        <v>0.19999999999999998</v>
      </c>
    </row>
    <row r="122" spans="1:6">
      <c r="B122" s="400" t="str">
        <f>DCF!B94</f>
        <v>Devil's advocate</v>
      </c>
      <c r="C122" s="401">
        <f>DCF!C94</f>
        <v>0.04</v>
      </c>
      <c r="D122" s="402">
        <f>DCF!D94</f>
        <v>3</v>
      </c>
      <c r="E122" s="398" t="str">
        <f>ROUND(DCF!E94,2)&amp;" "&amp;Market_currency</f>
        <v>5.33 HKD</v>
      </c>
      <c r="F122" s="403">
        <f>DCF!F94</f>
        <v>0.05</v>
      </c>
    </row>
    <row r="124" spans="1:6">
      <c r="B124" s="470" t="s">
        <v>519</v>
      </c>
      <c r="C124" s="470"/>
      <c r="D124" s="470"/>
      <c r="E124" s="470"/>
      <c r="F124" s="470"/>
    </row>
    <row r="125" spans="1:6">
      <c r="B125" s="372" t="s">
        <v>218</v>
      </c>
      <c r="C125" s="404">
        <f>Scenarios!C36</f>
        <v>4.4366120194593153</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0.27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0.49035047792444258</v>
      </c>
      <c r="D140" s="409">
        <f>Scenarios!D62</f>
        <v>2.0193955482290917</v>
      </c>
      <c r="E140" s="410">
        <f>Scenarios!E62</f>
        <v>2.5097460261535343</v>
      </c>
      <c r="F140" s="411">
        <f>E22</f>
        <v>0.3</v>
      </c>
    </row>
    <row r="141" spans="1:6">
      <c r="B141" s="408" t="s">
        <v>313</v>
      </c>
      <c r="C141" s="409">
        <f>Scenarios!C63</f>
        <v>0.56874999999999998</v>
      </c>
      <c r="D141" s="409">
        <f>Scenarios!D63</f>
        <v>2.567483807557474</v>
      </c>
      <c r="E141" s="410">
        <f>Scenarios!E63</f>
        <v>3.1362338075574741</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0.65140284400343529</v>
      </c>
      <c r="D144" s="409">
        <f>Scenarios!D66</f>
        <v>3.1799877747218557</v>
      </c>
      <c r="E144" s="410">
        <f>Scenarios!E66</f>
        <v>3.8313906187252909</v>
      </c>
      <c r="F144" s="411">
        <f>E24</f>
        <v>0.1174</v>
      </c>
    </row>
    <row r="145" spans="1:6">
      <c r="B145" s="408" t="s">
        <v>314</v>
      </c>
      <c r="C145" s="409">
        <f>Scenarios!C67</f>
        <v>0.7053413113367144</v>
      </c>
      <c r="D145" s="409">
        <f>Scenarios!D67</f>
        <v>3.5963301078738321</v>
      </c>
      <c r="E145" s="410">
        <f>Scenarios!E67</f>
        <v>4.3016714192105461</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2026-03-17T08:50:20Z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