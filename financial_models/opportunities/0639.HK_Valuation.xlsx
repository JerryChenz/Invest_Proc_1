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2DB708-1E1C-44F1-B0B3-FA7634261AE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<sst xmlns="http://schemas.openxmlformats.org/spreadsheetml/2006/main" count="686" uniqueCount="465">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</sst>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2.69</v>
      </c>
      <c r="D12" s="50"/>
      <c r="E12" s="48"/>
    </row>
    <row r="13" spans="1:10">
      <c r="B13" s="1" t="s">
        <v>412</v>
      </c>
      <c r="C13" s="48" t="s">
        <v>393</v>
      </c>
      <c r="D13" s="48"/>
      <c r="E13" s="5"/>
    </row>
    <row r="14" spans="1:10">
      <c r="B14" s="4" t="s">
        <v>416</v>
      </c>
      <c r="C14" s="35">
        <f>Thesis!C12*Common_Shares/1000000</f>
        <v>13694.9669213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0.27199281553693067</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7.9724725033409882E-2</v>
      </c>
      <c r="F69" s="314"/>
    </row>
    <row r="70" spans="1:6">
      <c r="B70" s="227" t="s">
        <v>454</v>
      </c>
      <c r="C70" s="92">
        <f>Normalized_FCF!C94</f>
        <v>0.10037174721189591</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0.10037174721189591</v>
      </c>
      <c r="E94" s="268"/>
      <c r="G94" s="23">
        <f t="shared" ref="G94:Q94" si="39">IF(G$4="","",(G90*(1-dividend_tax_rate))/Market_Price)</f>
        <v>0.10037174721189591</v>
      </c>
      <c r="H94" s="23">
        <f t="shared" si="39"/>
        <v>9.3680297397769535E-2</v>
      </c>
      <c r="I94" s="23">
        <f t="shared" si="39"/>
        <v>0.14386617100371751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7.9724725033409882E-2</v>
      </c>
      <c r="D126" s="27"/>
      <c r="E126" s="265"/>
      <c r="F126" s="27"/>
      <c r="G126" s="77">
        <f t="shared" ref="G126" si="50">IF(G$4="","",G125/Market_Price)</f>
        <v>9.3033111861113932E-2</v>
      </c>
      <c r="H126" s="77">
        <f t="shared" ref="H126" si="51">IF(H$4="","",H125/Market_Price)</f>
        <v>0.12801935247259968</v>
      </c>
      <c r="I126" s="77">
        <f t="shared" ref="I126" si="52">IF(I$4="","",I125/Market_Price)</f>
        <v>0.20762139258758974</v>
      </c>
      <c r="J126" s="77">
        <f t="shared" ref="J126" si="53">IF(J$4="","",J125/Market_Price)</f>
        <v>0.17059354279001862</v>
      </c>
      <c r="K126" s="77">
        <f t="shared" ref="K126" si="54">IF(K$4="","",K125/Market_Price)</f>
        <v>6.1200147821929882E-2</v>
      </c>
      <c r="L126" s="77">
        <f t="shared" ref="L126" si="55">IF(L$4="","",L125/Market_Price)</f>
        <v>7.7692703174415526E-2</v>
      </c>
      <c r="M126" s="77">
        <f t="shared" ref="M126" si="56">IF(M$4="","",M125/Market_Price)</f>
        <v>6.9174975408416134E-2</v>
      </c>
      <c r="N126" s="77">
        <f t="shared" ref="N126" si="57">IF(N$4="","",N125/Market_Price)</f>
        <v>6.5700268220479183E-2</v>
      </c>
      <c r="O126" s="77">
        <f t="shared" ref="O126" si="58">IF(O$4="","",O125/Market_Price)</f>
        <v>1.1630258102505928E-2</v>
      </c>
      <c r="P126" s="77">
        <f t="shared" ref="P126" si="59">IF(P$4="","",P125/Market_Price)</f>
        <v>5.0382012893135444E-3</v>
      </c>
      <c r="Q126" s="77" t="str">
        <f t="shared" ref="Q126" si="60">IF(Q$4="","",Q125/Market_Price)</f>
        <v/>
      </c>
    </row>
    <row r="127" spans="1:17" ht="15.75" customHeight="1">
      <c r="B127" s="2" t="s">
        <v>391</v>
      </c>
      <c r="C127" s="169"/>
      <c r="G127" s="23">
        <f>IF(G$4="","",(Data!C47*$C$3)/(Market_Price*Common_Shares))</f>
        <v>0.13252861510582697</v>
      </c>
      <c r="H127" s="23">
        <f>IF(H$4="","",(Data!D47*$C$3)/(Market_Price*Common_Shares))</f>
        <v>0.16801340326140654</v>
      </c>
      <c r="I127" s="23">
        <f>IF(I$4="","",(Data!E47*$C$3)/(Market_Price*Common_Shares))</f>
        <v>0.24155991168220889</v>
      </c>
      <c r="J127" s="23">
        <f>IF(J$4="","",(Data!F47*$C$3)/(Market_Price*Common_Shares))</f>
        <v>0.22350043031060127</v>
      </c>
      <c r="K127" s="23">
        <f>IF(K$4="","",(Data!G47*$C$3)/(Market_Price*Common_Shares))</f>
        <v>8.669484247920306E-2</v>
      </c>
      <c r="L127" s="23">
        <f>IF(L$4="","",(Data!H47*$C$3)/(Market_Price*Common_Shares))</f>
        <v>8.5881258914961622E-2</v>
      </c>
      <c r="M127" s="23">
        <f>IF(M$4="","",(Data!I47*$C$3)/(Market_Price*Common_Shares))</f>
        <v>8.4113237119863946E-2</v>
      </c>
      <c r="N127" s="23">
        <f>IF(N$4="","",(Data!J47*$C$3)/(Market_Price*Common_Shares))</f>
        <v>8.6351723724188659E-2</v>
      </c>
      <c r="O127" s="23">
        <f>IF(O$4="","",(Data!K47*$C$3)/(Market_Price*Common_Shares))</f>
        <v>4.9402090847531404E-3</v>
      </c>
      <c r="P127" s="23">
        <f>IF(P$4="","",(Data!L47*$C$3)/(Market_Price*Common_Shares))</f>
        <v>-5.1951567615211372E-2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2.69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2.69</v>
      </c>
      <c r="D86" t="str">
        <f>Market_currency</f>
        <v>HKD</v>
      </c>
    </row>
    <row r="87" spans="2:8" ht="13.15">
      <c r="B87" s="100" t="s">
        <v>297</v>
      </c>
      <c r="C87" s="237">
        <f ca="1">IRR(OFFSET($I$3, 0, 0, $C$76 + 1, 1))</f>
        <v>0.27199281553693067</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