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E2F132-4E9D-487E-9002-4F501FD2105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<sst xmlns="http://schemas.openxmlformats.org/spreadsheetml/2006/main" count="684" uniqueCount="462">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</sst>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2.56</v>
      </c>
      <c r="D12" s="50"/>
      <c r="E12" s="48"/>
    </row>
    <row r="13" spans="1:10">
      <c r="B13" s="1" t="s">
        <v>418</v>
      </c>
      <c r="C13" s="48" t="s">
        <v>399</v>
      </c>
      <c r="D13" s="48"/>
      <c r="E13" s="5"/>
    </row>
    <row r="14" spans="1:10">
      <c r="B14" s="4" t="s">
        <v>422</v>
      </c>
      <c r="C14" s="35">
        <f>Thesis!C12*Common_Shares/1000000</f>
        <v>13033.1283712</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362</v>
      </c>
      <c r="C18" s="358"/>
      <c r="D18" s="358"/>
      <c r="E18" s="358"/>
      <c r="F18" s="358"/>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0.30489849810760594</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8" t="s">
        <v>363</v>
      </c>
      <c r="C36" s="358"/>
      <c r="D36" s="358"/>
      <c r="E36" s="358"/>
      <c r="F36" s="358"/>
    </row>
    <row r="37" spans="1:6" ht="24.6" customHeight="1">
      <c r="B37" s="361" t="s">
        <v>341</v>
      </c>
      <c r="C37" s="361"/>
      <c r="D37" s="361"/>
      <c r="E37" s="361"/>
      <c r="F37" s="361"/>
    </row>
    <row r="39" spans="1:6">
      <c r="B39" s="210" t="s">
        <v>230</v>
      </c>
      <c r="C39" s="108">
        <f>scaling_factor</f>
        <v>1000</v>
      </c>
    </row>
    <row r="40" spans="1:6" ht="24.6" customHeight="1">
      <c r="B40" s="359" t="s">
        <v>231</v>
      </c>
      <c r="C40" s="359"/>
      <c r="D40" s="359"/>
      <c r="E40" s="359"/>
      <c r="F40" s="359"/>
    </row>
    <row r="41" spans="1:6">
      <c r="B41" s="47" t="s">
        <v>232</v>
      </c>
      <c r="C41" s="349">
        <f>Normalized_FCF!C8</f>
        <v>1880349.4511684938</v>
      </c>
      <c r="D41" s="1" t="str">
        <f>Reporting_currency</f>
        <v>HKD</v>
      </c>
    </row>
    <row r="42" spans="1:6">
      <c r="B42" s="47"/>
      <c r="C42" s="76"/>
    </row>
    <row r="43" spans="1:6" ht="24.6"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9" t="s">
        <v>241</v>
      </c>
      <c r="C58" s="359"/>
      <c r="D58" s="359"/>
      <c r="E58" s="359"/>
      <c r="F58" s="359"/>
    </row>
    <row r="59" spans="2:6">
      <c r="B59" s="47" t="s">
        <v>239</v>
      </c>
      <c r="C59" s="349">
        <f>Normalized_FCF!C14</f>
        <v>-474843.26014191285</v>
      </c>
      <c r="D59" s="1" t="str">
        <f>Reporting_currency</f>
        <v>HKD</v>
      </c>
    </row>
    <row r="61" spans="2:6">
      <c r="B61" s="359" t="s">
        <v>340</v>
      </c>
      <c r="C61" s="360"/>
      <c r="D61" s="360"/>
      <c r="E61" s="360"/>
      <c r="F61" s="360"/>
    </row>
    <row r="62" spans="2:6">
      <c r="B62" s="47" t="s">
        <v>242</v>
      </c>
      <c r="C62" s="349">
        <f>Normalized_FCF!C17</f>
        <v>0</v>
      </c>
      <c r="D62" s="1" t="str">
        <f>Reporting_currency</f>
        <v>HKD</v>
      </c>
    </row>
    <row r="64" spans="2:6" ht="24.6" customHeight="1">
      <c r="B64" s="358" t="s">
        <v>345</v>
      </c>
      <c r="C64" s="358"/>
      <c r="D64" s="358"/>
      <c r="E64" s="358"/>
      <c r="F64" s="358"/>
    </row>
    <row r="65" spans="1:6" ht="24.6" customHeight="1">
      <c r="B65" s="358" t="s">
        <v>364</v>
      </c>
      <c r="C65" s="358"/>
      <c r="D65" s="358"/>
      <c r="E65" s="358"/>
      <c r="F65" s="358"/>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8.3773246226512721E-2</v>
      </c>
      <c r="F69" s="314"/>
    </row>
    <row r="70" spans="1:6">
      <c r="B70" s="227" t="s">
        <v>309</v>
      </c>
      <c r="C70" s="92">
        <f>Normalized_FCF!C93</f>
        <v>0.1171875</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8" t="s">
        <v>365</v>
      </c>
      <c r="C80" s="358"/>
      <c r="D80" s="358"/>
      <c r="E80" s="358"/>
      <c r="F80" s="358"/>
    </row>
    <row r="81" spans="1:6">
      <c r="B81" s="361" t="s">
        <v>252</v>
      </c>
      <c r="C81" s="361"/>
      <c r="D81" s="361"/>
      <c r="E81" s="361"/>
      <c r="F81" s="361"/>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8" t="s">
        <v>366</v>
      </c>
      <c r="C89" s="358"/>
      <c r="D89" s="358"/>
      <c r="E89" s="358"/>
      <c r="F89" s="358"/>
    </row>
    <row r="90" spans="1:6" ht="24.6" customHeight="1">
      <c r="B90" s="358" t="s">
        <v>367</v>
      </c>
      <c r="C90" s="358"/>
      <c r="D90" s="358"/>
      <c r="E90" s="358"/>
      <c r="F90" s="358"/>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8" t="s">
        <v>368</v>
      </c>
      <c r="C97" s="358"/>
      <c r="D97" s="358"/>
      <c r="E97" s="358"/>
      <c r="F97" s="358"/>
    </row>
    <row r="98" spans="2:6">
      <c r="B98" s="1" t="s">
        <v>253</v>
      </c>
    </row>
    <row r="100" spans="2:6">
      <c r="B100" s="210" t="s">
        <v>230</v>
      </c>
    </row>
    <row r="101" spans="2:6" ht="24.6" customHeight="1">
      <c r="B101" s="358" t="s">
        <v>346</v>
      </c>
      <c r="C101" s="358"/>
      <c r="D101" s="358"/>
      <c r="E101" s="358"/>
      <c r="F101" s="358"/>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8" t="s">
        <v>369</v>
      </c>
      <c r="C116" s="358"/>
      <c r="D116" s="358"/>
      <c r="E116" s="358"/>
      <c r="F116" s="358"/>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9" t="s">
        <v>370</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2" t="s">
        <v>373</v>
      </c>
      <c r="C134" s="362"/>
      <c r="D134" s="362"/>
      <c r="E134" s="362"/>
      <c r="F134" s="362"/>
    </row>
    <row r="136" spans="1:6" ht="13.9">
      <c r="A136" s="222" t="s">
        <v>405</v>
      </c>
      <c r="B136" s="36"/>
      <c r="C136" s="36"/>
      <c r="D136" s="36"/>
      <c r="E136" s="36"/>
      <c r="F136" s="36"/>
    </row>
    <row r="138" spans="1:6">
      <c r="B138" s="363" t="s">
        <v>371</v>
      </c>
      <c r="C138" s="363"/>
      <c r="D138" s="363"/>
      <c r="E138" s="363"/>
      <c r="F138" s="363"/>
    </row>
    <row r="139" spans="1:6" ht="24.6" customHeight="1">
      <c r="B139" s="358" t="s">
        <v>372</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57" t="s">
        <v>379</v>
      </c>
      <c r="C179" s="358"/>
      <c r="D179" s="358"/>
      <c r="E179" s="358"/>
      <c r="F179" s="358"/>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9" t="s">
        <v>384</v>
      </c>
      <c r="C188" s="359"/>
      <c r="D188" s="359"/>
      <c r="E188" s="359"/>
      <c r="F188" s="359"/>
    </row>
    <row r="190" spans="1:6">
      <c r="B190" s="1" t="s">
        <v>388</v>
      </c>
    </row>
    <row r="191" spans="1:6" ht="24.6" customHeight="1">
      <c r="B191" s="356" t="s">
        <v>385</v>
      </c>
      <c r="C191" s="356"/>
      <c r="D191" s="356"/>
      <c r="E191" s="356"/>
      <c r="F191" s="356"/>
    </row>
    <row r="192" spans="1:6" ht="24.6" customHeight="1">
      <c r="B192" s="356" t="s">
        <v>386</v>
      </c>
      <c r="C192" s="356"/>
      <c r="D192" s="356"/>
      <c r="E192" s="356"/>
      <c r="F192" s="356"/>
    </row>
    <row r="194" spans="2:2">
      <c r="B194" s="1" t="s">
        <v>392</v>
      </c>
    </row>
    <row r="195" spans="2:2">
      <c r="B195" s="214" t="s">
        <v>389</v>
      </c>
    </row>
    <row r="196" spans="2:2">
      <c r="B196" s="214" t="s">
        <v>390</v>
      </c>
    </row>
    <row r="197" spans="2:2">
      <c r="B197" s="214" t="s">
        <v>391</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0.1171875</v>
      </c>
      <c r="E93" s="268"/>
      <c r="G93" s="23">
        <f t="shared" ref="G93:Q93" si="39">IF(G$4="","",G90/Market_Price)</f>
        <v>0.1171875</v>
      </c>
      <c r="H93" s="23">
        <f t="shared" si="39"/>
        <v>0.10937500000000001</v>
      </c>
      <c r="I93" s="23">
        <f t="shared" si="39"/>
        <v>0.16796875000000003</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8.3773246226512721E-2</v>
      </c>
      <c r="D125" s="27"/>
      <c r="E125" s="265"/>
      <c r="F125" s="27"/>
      <c r="G125" s="77">
        <f t="shared" ref="G125" si="50">IF(G$4="","",G124/Market_Price)</f>
        <v>9.7757449572811128E-2</v>
      </c>
      <c r="H125" s="77">
        <f t="shared" ref="H125" si="51">IF(H$4="","",H124/Market_Price)</f>
        <v>0.1345203352153489</v>
      </c>
      <c r="I125" s="77">
        <f t="shared" ref="I125" si="52">IF(I$4="","",I124/Market_Price)</f>
        <v>0.21816466642992829</v>
      </c>
      <c r="J125" s="77">
        <f t="shared" ref="J125" si="53">IF(J$4="","",J124/Market_Price)</f>
        <v>0.17925649613482425</v>
      </c>
      <c r="K125" s="77">
        <f t="shared" ref="K125" si="54">IF(K$4="","",K124/Market_Price)</f>
        <v>6.4307967828512252E-2</v>
      </c>
      <c r="L125" s="77">
        <f t="shared" ref="L125" si="55">IF(L$4="","",L124/Market_Price)</f>
        <v>8.1638035757491303E-2</v>
      </c>
      <c r="M125" s="77">
        <f t="shared" ref="M125" si="56">IF(M$4="","",M124/Market_Price)</f>
        <v>7.2687767128374769E-2</v>
      </c>
      <c r="N125" s="77">
        <f t="shared" ref="N125" si="57">IF(N$4="","",N124/Market_Price)</f>
        <v>6.9036609966050391E-2</v>
      </c>
      <c r="O125" s="77">
        <f t="shared" ref="O125" si="58">IF(O$4="","",O124/Market_Price)</f>
        <v>1.2220857146773807E-2</v>
      </c>
      <c r="P125" s="77">
        <f t="shared" ref="P125" si="59">IF(P$4="","",P124/Market_Price)</f>
        <v>5.2940474485364975E-3</v>
      </c>
      <c r="Q125" s="77" t="str">
        <f t="shared" ref="Q125" si="60">IF(Q$4="","",Q124/Market_Price)</f>
        <v/>
      </c>
    </row>
    <row r="126" spans="1:17" ht="15.75" customHeight="1">
      <c r="B126" s="2" t="s">
        <v>397</v>
      </c>
      <c r="C126" s="169"/>
      <c r="G126" s="23">
        <f>IF(G$4="","",(Data!C47*$C$3)/(Market_Price*Common_Shares))</f>
        <v>0.13925858384166975</v>
      </c>
      <c r="H126" s="23">
        <f>IF(H$4="","",(Data!D47*$C$3)/(Market_Price*Common_Shares))</f>
        <v>0.17654533389577481</v>
      </c>
      <c r="I126" s="23">
        <f>IF(I$4="","",(Data!E47*$C$3)/(Market_Price*Common_Shares))</f>
        <v>0.25382662594732103</v>
      </c>
      <c r="J126" s="23">
        <f>IF(J$4="","",(Data!F47*$C$3)/(Market_Price*Common_Shares))</f>
        <v>0.23485006153731144</v>
      </c>
      <c r="K126" s="23">
        <f>IF(K$4="","",(Data!G47*$C$3)/(Market_Price*Common_Shares))</f>
        <v>9.1097314948850081E-2</v>
      </c>
      <c r="L126" s="23">
        <f>IF(L$4="","",(Data!H47*$C$3)/(Market_Price*Common_Shares))</f>
        <v>9.0242416594236999E-2</v>
      </c>
      <c r="M126" s="23">
        <f>IF(M$4="","",(Data!I47*$C$3)/(Market_Price*Common_Shares))</f>
        <v>8.8384612442357027E-2</v>
      </c>
      <c r="N126" s="23">
        <f>IF(N$4="","",(Data!J47*$C$3)/(Market_Price*Common_Shares))</f>
        <v>9.0736772194557599E-2</v>
      </c>
      <c r="O126" s="23">
        <f>IF(O$4="","",(Data!K47*$C$3)/(Market_Price*Common_Shares))</f>
        <v>5.1910790773382603E-3</v>
      </c>
      <c r="P126" s="23">
        <f>IF(P$4="","",(Data!L47*$C$3)/(Market_Price*Common_Shares))</f>
        <v>-5.4589733158171318E-2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-2.56</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2.56</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2.56</v>
      </c>
      <c r="D86" t="str">
        <f>Market_currency</f>
        <v>HKD</v>
      </c>
    </row>
    <row r="87" spans="2:8" ht="13.15">
      <c r="B87" s="100" t="s">
        <v>299</v>
      </c>
      <c r="C87" s="237">
        <f ca="1">IRR(OFFSET($I$3, 0, 0, $C$76 + 1, 1))</f>
        <v>0.30489849810760594</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