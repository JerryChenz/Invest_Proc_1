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633CDE-44D7-4E76-A8FB-E61B2B6AD336}"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<sst xmlns="http://schemas.openxmlformats.org/spreadsheetml/2006/main" count="768" uniqueCount="558">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</sst>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3.27</v>
      </c>
      <c r="E8" s="32"/>
    </row>
    <row r="9" spans="1:9">
      <c r="B9" s="4" t="s">
        <v>346</v>
      </c>
      <c r="C9" s="48">
        <v>5091065770</v>
      </c>
    </row>
    <row r="10" spans="1:9">
      <c r="B10" s="4" t="s">
        <v>352</v>
      </c>
      <c r="C10" s="33">
        <f>Thesis!C8*Common_Shares/1000000</f>
        <v>16647.7850679</v>
      </c>
      <c r="D10" s="1" t="s">
        <v>528</v>
      </c>
      <c r="E10" s="303">
        <f>Scenarios!F34</f>
        <v>0.18222622082566256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2135332.6963168322</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2" t="s">
        <v>206</v>
      </c>
      <c r="C51" s="462"/>
      <c r="D51" s="462"/>
      <c r="E51" s="462"/>
      <c r="F51" s="462"/>
    </row>
    <row r="52" spans="2:6">
      <c r="B52" s="44" t="s">
        <v>204</v>
      </c>
      <c r="C52" s="285">
        <f>Normalized_FCF!C12</f>
        <v>-536514.75935522048</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7.4258357213923459E-2</v>
      </c>
      <c r="F62" s="257"/>
    </row>
    <row r="63" spans="2:6">
      <c r="B63" s="204" t="s">
        <v>332</v>
      </c>
      <c r="C63" s="89">
        <f>Normalized_FCF!C92</f>
        <v>8.2568807339449546E-2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2" t="s">
        <v>357</v>
      </c>
      <c r="C124" s="462"/>
      <c r="D124" s="462"/>
      <c r="E124" s="462"/>
      <c r="F124" s="462"/>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8.2568807339449546E-2</v>
      </c>
      <c r="E92" s="237"/>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7.4258357213923459E-2</v>
      </c>
      <c r="D124" s="26"/>
      <c r="E124" s="234"/>
      <c r="F124" s="26"/>
      <c r="G124" s="74">
        <f t="shared" ref="G124" si="49">IF(G$4="","",G123/Market_Price)</f>
        <v>7.6695415169286102E-2</v>
      </c>
      <c r="H124" s="74">
        <f t="shared" ref="H124" si="50">IF(H$4="","",H123/Market_Price)</f>
        <v>0.10546463493776809</v>
      </c>
      <c r="I124" s="74">
        <f t="shared" ref="I124" si="51">IF(I$4="","",I123/Market_Price)</f>
        <v>0.17088935328674587</v>
      </c>
      <c r="J124" s="74">
        <f t="shared" ref="J124" si="52">IF(J$4="","",J123/Market_Price)</f>
        <v>0.14039630001273076</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3.27</v>
      </c>
      <c r="D34" t="str">
        <f>Market_currency</f>
        <v>HKD</v>
      </c>
      <c r="E34" s="97" t="s">
        <v>454</v>
      </c>
      <c r="F34" s="330">
        <f>RATE(Holding_Period,$C$33,-C34,$C$36)</f>
        <v>0.18222622082566256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3.27</v>
      </c>
    </row>
    <row r="9" spans="1:10">
      <c r="B9" s="351" t="s">
        <v>361</v>
      </c>
      <c r="C9" s="353">
        <f>Common_Shares</f>
        <v>5091065770</v>
      </c>
    </row>
    <row r="10" spans="1:10">
      <c r="B10" s="351" t="s">
        <v>367</v>
      </c>
      <c r="C10" s="357">
        <f>投资主题!C8*Common_Shares/1000000</f>
        <v>16647.7850679</v>
      </c>
      <c r="D10" s="343" t="s">
        <v>529</v>
      </c>
      <c r="E10" s="360">
        <f>Scenarios!F34</f>
        <v>0.18222622082566256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7.4258357213923459E-2</v>
      </c>
      <c r="F62" s="379"/>
    </row>
    <row r="63" spans="2:6">
      <c r="B63" s="377" t="s">
        <v>332</v>
      </c>
      <c r="C63" s="378">
        <f>Normalized_FCF!C92</f>
        <v>8.2568807339449546E-2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