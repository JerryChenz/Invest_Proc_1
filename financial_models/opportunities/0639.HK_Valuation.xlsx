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1B64623-C6F8-4895-A32A-F390F4A50580}" xr6:coauthVersionLast="47" xr6:coauthVersionMax="47" xr10:uidLastSave="{00000000-0000-0000-0000-000000000000}"/>
  <bookViews>
    <workbookView xWindow="1103" yWindow="1103" windowWidth="12690"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5" i="4"/>
  <c r="D25" i="4"/>
  <c r="E25" i="4"/>
  <c r="C28"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<sst xmlns="http://schemas.openxmlformats.org/spreadsheetml/2006/main" count="765" uniqueCount="555">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</sst>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family val="2"/>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3">
    <cellStyle name="常规" xfId="0" builtinId="0"/>
    <cellStyle name="常规 2" xfId="2" xr:uid="{B19B9E85-ED74-4888-9C83-46CBD8711665}"/>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Breakdown"/>
      <sheetName val="投资主题"/>
    </sheetNames>
    <sheetDataSet>
      <sheetData sheetId="0">
        <row r="7">
          <cell r="C7" t="str">
            <v>HKD</v>
          </cell>
        </row>
        <row r="8">
          <cell r="C8">
            <v>2.75</v>
          </cell>
        </row>
        <row r="9">
          <cell r="C9">
            <v>5091065770</v>
          </cell>
        </row>
        <row r="16">
          <cell r="E16">
            <v>1</v>
          </cell>
        </row>
        <row r="17">
          <cell r="C17">
            <v>0</v>
          </cell>
          <cell r="E17" t="str">
            <v>HKD</v>
          </cell>
        </row>
        <row r="21">
          <cell r="E21">
            <v>2</v>
          </cell>
        </row>
        <row r="101">
          <cell r="C101">
            <v>7.4999999999999997E-2</v>
          </cell>
        </row>
      </sheetData>
      <sheetData sheetId="1">
        <row r="3">
          <cell r="C3">
            <v>1000</v>
          </cell>
        </row>
      </sheetData>
      <sheetData sheetId="2"/>
      <sheetData sheetId="3">
        <row r="91">
          <cell r="C91">
            <v>0.1</v>
          </cell>
        </row>
      </sheetData>
      <sheetData sheetId="4">
        <row r="7">
          <cell r="F7">
            <v>8520685.9282108899</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183"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543</v>
      </c>
      <c r="F3" s="439">
        <v>45930</v>
      </c>
    </row>
    <row r="4" spans="1:9" ht="12.4">
      <c r="B4" s="431" t="s">
        <v>538</v>
      </c>
      <c r="C4" s="430" t="s">
        <v>549</v>
      </c>
      <c r="E4" s="440" t="s">
        <v>542</v>
      </c>
      <c r="F4" s="441" t="s">
        <v>325</v>
      </c>
    </row>
    <row r="5" spans="1:9">
      <c r="B5" s="1" t="s">
        <v>351</v>
      </c>
      <c r="C5" s="46" t="s">
        <v>550</v>
      </c>
      <c r="E5" s="443" t="s">
        <v>544</v>
      </c>
      <c r="F5" s="442" t="s">
        <v>502</v>
      </c>
    </row>
    <row r="6" spans="1:9">
      <c r="B6" s="2" t="s">
        <v>53</v>
      </c>
      <c r="C6" s="45" t="s">
        <v>551</v>
      </c>
      <c r="D6" s="45"/>
      <c r="E6" s="45"/>
    </row>
    <row r="7" spans="1:9">
      <c r="B7" s="1" t="s">
        <v>353</v>
      </c>
      <c r="C7" s="45" t="s">
        <v>309</v>
      </c>
      <c r="D7" s="45"/>
      <c r="E7" s="45"/>
    </row>
    <row r="8" spans="1:9">
      <c r="B8" s="4" t="s">
        <v>352</v>
      </c>
      <c r="C8" s="47">
        <v>2.76</v>
      </c>
      <c r="E8" s="32"/>
    </row>
    <row r="9" spans="1:9">
      <c r="B9" s="4" t="s">
        <v>348</v>
      </c>
      <c r="C9" s="48">
        <v>5091065770</v>
      </c>
    </row>
    <row r="10" spans="1:9">
      <c r="B10" s="4" t="s">
        <v>354</v>
      </c>
      <c r="C10" s="33">
        <f>Thesis!C8*Common_Shares/1000000</f>
        <v>14051.3415252</v>
      </c>
      <c r="D10" s="1" t="s">
        <v>533</v>
      </c>
      <c r="E10" s="311">
        <f>Scenarios!F34</f>
        <v>0.27874323625388697</v>
      </c>
    </row>
    <row r="11" spans="1:9">
      <c r="D11" s="5"/>
      <c r="E11" s="5"/>
    </row>
    <row r="12" spans="1:9" ht="24.5" customHeight="1">
      <c r="B12" s="458" t="s">
        <v>357</v>
      </c>
      <c r="C12" s="458"/>
      <c r="D12" s="458"/>
      <c r="E12" s="458"/>
      <c r="F12" s="458"/>
    </row>
    <row r="14" spans="1:9">
      <c r="B14" s="42" t="str">
        <f>Scenarios!B39&amp;" Valuation Conclusion"</f>
        <v>1-stage DCF Valuation Conclusion</v>
      </c>
      <c r="C14" s="43"/>
    </row>
    <row r="15" spans="1:9">
      <c r="B15" s="1" t="s">
        <v>320</v>
      </c>
      <c r="C15" s="427" t="s">
        <v>552</v>
      </c>
      <c r="D15" s="4" t="s">
        <v>355</v>
      </c>
      <c r="E15" s="260" t="str">
        <f>IF(E17=C7,C7,E17&amp;"/"&amp;C7)</f>
        <v>HKD</v>
      </c>
    </row>
    <row r="16" spans="1:9">
      <c r="B16" s="1" t="s">
        <v>321</v>
      </c>
      <c r="C16" s="427" t="s">
        <v>552</v>
      </c>
      <c r="D16" s="4" t="s">
        <v>356</v>
      </c>
      <c r="E16" s="426">
        <v>1</v>
      </c>
    </row>
    <row r="17" spans="1:6">
      <c r="B17" s="1" t="s">
        <v>537</v>
      </c>
      <c r="C17" s="425">
        <v>0</v>
      </c>
      <c r="D17" s="4" t="s">
        <v>275</v>
      </c>
      <c r="E17" s="228" t="s">
        <v>309</v>
      </c>
    </row>
    <row r="18" spans="1:6">
      <c r="B18" s="1" t="str">
        <f>"Expected Equity Value ("&amp;C7&amp;") :"</f>
        <v>Expected Equity Value (HKD) :</v>
      </c>
      <c r="C18" s="259">
        <f>C125</f>
        <v>3.8978478955831006</v>
      </c>
      <c r="D18" s="2" t="s">
        <v>349</v>
      </c>
      <c r="E18" s="428">
        <v>6</v>
      </c>
    </row>
    <row r="19" spans="1:6">
      <c r="B19" s="2" t="s">
        <v>276</v>
      </c>
      <c r="C19" s="31" t="str">
        <f>IF(Scenarios!C50="Y",Scenarios!B50,"")&amp;IF(Scenarios!C51="Y",Scenarios!B51,"")&amp;IF(Scenarios!C52="Y",Scenarios!B52,"")&amp;" "&amp;IF(Scenarios!C53="Y",Scenarios!B53,"")</f>
        <v xml:space="preserve">Low Growth </v>
      </c>
      <c r="D19" s="1" t="s">
        <v>350</v>
      </c>
      <c r="E19" s="429">
        <f>EOMONTH(EDATE(BS!C1,E18+2),0)</f>
        <v>46081</v>
      </c>
    </row>
    <row r="20" spans="1:6">
      <c r="D20" s="5"/>
      <c r="E20" s="5"/>
    </row>
    <row r="21" spans="1:6">
      <c r="B21" s="42" t="s">
        <v>408</v>
      </c>
      <c r="C21" s="261" t="str">
        <f>C138&amp;" ("&amp;Market_currency&amp;")"</f>
        <v xml:space="preserve"> (HKD)</v>
      </c>
      <c r="D21" s="31" t="s">
        <v>317</v>
      </c>
      <c r="E21" s="452">
        <v>2</v>
      </c>
    </row>
    <row r="22" spans="1:6">
      <c r="B22" s="1" t="s">
        <v>313</v>
      </c>
      <c r="C22" s="262">
        <f>E140</f>
        <v>2.4868849907177504</v>
      </c>
      <c r="D22" s="38" t="s">
        <v>410</v>
      </c>
      <c r="E22" s="79">
        <v>0.35</v>
      </c>
    </row>
    <row r="23" spans="1:6">
      <c r="B23" s="1" t="s">
        <v>314</v>
      </c>
      <c r="C23" s="263">
        <f>E141</f>
        <v>2.8834226531731844</v>
      </c>
      <c r="D23" s="38" t="s">
        <v>411</v>
      </c>
      <c r="E23" s="453">
        <v>0.25</v>
      </c>
    </row>
    <row r="24" spans="1:6">
      <c r="B24" s="1" t="s">
        <v>316</v>
      </c>
      <c r="C24" s="263">
        <f>E144</f>
        <v>3.5796953464126804</v>
      </c>
      <c r="D24" s="38" t="s">
        <v>412</v>
      </c>
      <c r="E24" s="453">
        <v>0.1174</v>
      </c>
    </row>
    <row r="25" spans="1:6">
      <c r="B25" s="1" t="s">
        <v>315</v>
      </c>
      <c r="C25" s="263">
        <f>E145</f>
        <v>3.8751564232605564</v>
      </c>
      <c r="D25" s="38" t="s">
        <v>413</v>
      </c>
      <c r="E25" s="454">
        <v>7.2499999999999995E-2</v>
      </c>
    </row>
    <row r="26" spans="1:6">
      <c r="D26" s="5"/>
      <c r="E26" s="5"/>
    </row>
    <row r="27" spans="1:6" ht="13.9">
      <c r="A27" s="203" t="s">
        <v>281</v>
      </c>
      <c r="B27" s="34"/>
      <c r="C27" s="34"/>
      <c r="D27" s="34"/>
      <c r="E27" s="34"/>
      <c r="F27" s="34"/>
    </row>
    <row r="29" spans="1:6">
      <c r="B29" s="458" t="s">
        <v>358</v>
      </c>
      <c r="C29" s="458"/>
      <c r="D29" s="458"/>
      <c r="E29" s="458"/>
      <c r="F29" s="458"/>
    </row>
    <row r="30" spans="1:6" ht="24.5" customHeight="1">
      <c r="B30" s="460" t="s">
        <v>267</v>
      </c>
      <c r="C30" s="460"/>
      <c r="D30" s="460"/>
      <c r="E30" s="460"/>
      <c r="F30" s="460"/>
    </row>
    <row r="32" spans="1:6">
      <c r="B32" s="193" t="s">
        <v>195</v>
      </c>
      <c r="C32" s="105">
        <f>scaling_factor</f>
        <v>1000</v>
      </c>
    </row>
    <row r="33" spans="2:6" ht="24.5" customHeight="1">
      <c r="B33" s="459" t="s">
        <v>196</v>
      </c>
      <c r="C33" s="459"/>
      <c r="D33" s="459"/>
      <c r="E33" s="459"/>
      <c r="F33" s="459"/>
    </row>
    <row r="34" spans="2:6">
      <c r="B34" s="44" t="s">
        <v>197</v>
      </c>
      <c r="C34" s="293">
        <f>Normalized_FCF!C8</f>
        <v>1432063.1874217824</v>
      </c>
      <c r="D34" s="1" t="str">
        <f>Reporting_currency</f>
        <v>HKD</v>
      </c>
    </row>
    <row r="35" spans="2:6">
      <c r="B35" s="44"/>
      <c r="C35" s="73"/>
    </row>
    <row r="36" spans="2:6" ht="24.5" customHeight="1">
      <c r="B36" s="459" t="s">
        <v>198</v>
      </c>
      <c r="C36" s="459"/>
      <c r="D36" s="459"/>
      <c r="E36" s="459"/>
      <c r="F36" s="459"/>
    </row>
    <row r="37" spans="2:6">
      <c r="B37" s="44" t="s">
        <v>199</v>
      </c>
      <c r="C37" s="293">
        <f>Normalized_FCF!C15</f>
        <v>0</v>
      </c>
      <c r="D37" s="1" t="str">
        <f>Reporting_currency</f>
        <v>HKD</v>
      </c>
    </row>
    <row r="38" spans="2:6">
      <c r="B38" s="49" t="s">
        <v>200</v>
      </c>
      <c r="C38" s="293">
        <f>Normalized_FCF!C16</f>
        <v>0</v>
      </c>
      <c r="D38" s="1" t="str">
        <f>Reporting_currency</f>
        <v>HKD</v>
      </c>
    </row>
    <row r="40" spans="2:6">
      <c r="B40" s="459" t="s">
        <v>201</v>
      </c>
      <c r="C40" s="459"/>
      <c r="D40" s="459"/>
      <c r="E40" s="459"/>
      <c r="F40" s="459"/>
    </row>
    <row r="41" spans="2:6">
      <c r="B41" s="44" t="s">
        <v>202</v>
      </c>
      <c r="C41" s="293">
        <f>Normalized_FCF!C9</f>
        <v>0</v>
      </c>
      <c r="D41" s="1" t="str">
        <f>Reporting_currency</f>
        <v>HKD</v>
      </c>
    </row>
    <row r="43" spans="2:6">
      <c r="B43" s="459" t="s">
        <v>205</v>
      </c>
      <c r="C43" s="459"/>
      <c r="D43" s="459"/>
      <c r="E43" s="459"/>
      <c r="F43" s="459"/>
    </row>
    <row r="44" spans="2:6">
      <c r="B44" s="44" t="s">
        <v>268</v>
      </c>
      <c r="C44" s="294">
        <f>Normalized_FCF!C46</f>
        <v>10905.469630734653</v>
      </c>
      <c r="D44" s="1" t="str">
        <f>Reporting_currency</f>
        <v>HKD</v>
      </c>
      <c r="E44" s="251"/>
      <c r="F44" s="251"/>
    </row>
    <row r="45" spans="2:6">
      <c r="B45" s="44" t="s">
        <v>269</v>
      </c>
      <c r="C45" s="294">
        <f>Normalized_FCF!C45</f>
        <v>-2620.62</v>
      </c>
      <c r="D45" s="1" t="str">
        <f>Reporting_currency</f>
        <v>HKD</v>
      </c>
      <c r="E45" s="251"/>
      <c r="F45" s="251"/>
    </row>
    <row r="46" spans="2:6">
      <c r="B46" s="44" t="s">
        <v>203</v>
      </c>
      <c r="C46" s="293">
        <f>Normalized_FCF!C10</f>
        <v>8284.8496307346541</v>
      </c>
      <c r="D46" s="1" t="str">
        <f>Reporting_currency</f>
        <v>HKD</v>
      </c>
    </row>
    <row r="48" spans="2:6">
      <c r="B48" s="1" t="s">
        <v>211</v>
      </c>
    </row>
    <row r="49" spans="2:6">
      <c r="B49" s="44" t="s">
        <v>223</v>
      </c>
      <c r="C49" s="293">
        <f>Normalized_FCF!C13</f>
        <v>-261314.97537104544</v>
      </c>
      <c r="D49" s="1" t="str">
        <f>Reporting_currency</f>
        <v>HKD</v>
      </c>
    </row>
    <row r="51" spans="2:6">
      <c r="B51" s="459" t="s">
        <v>206</v>
      </c>
      <c r="C51" s="459"/>
      <c r="D51" s="459"/>
      <c r="E51" s="459"/>
      <c r="F51" s="459"/>
    </row>
    <row r="52" spans="2:6">
      <c r="B52" s="44" t="s">
        <v>204</v>
      </c>
      <c r="C52" s="293">
        <f>Normalized_FCF!C12</f>
        <v>-360087.00926312926</v>
      </c>
      <c r="D52" s="1" t="str">
        <f>Reporting_currency</f>
        <v>HKD</v>
      </c>
    </row>
    <row r="54" spans="2:6">
      <c r="B54" s="459" t="s">
        <v>266</v>
      </c>
      <c r="C54" s="462"/>
      <c r="D54" s="462"/>
      <c r="E54" s="462"/>
      <c r="F54" s="462"/>
    </row>
    <row r="55" spans="2:6">
      <c r="B55" s="44" t="s">
        <v>207</v>
      </c>
      <c r="C55" s="293">
        <f>Normalized_FCF!C17</f>
        <v>0</v>
      </c>
      <c r="D55" s="1" t="str">
        <f>Reporting_currency</f>
        <v>HKD</v>
      </c>
    </row>
    <row r="57" spans="2:6" ht="24.5" customHeight="1">
      <c r="B57" s="458" t="s">
        <v>271</v>
      </c>
      <c r="C57" s="458"/>
      <c r="D57" s="458"/>
      <c r="E57" s="458"/>
      <c r="F57" s="458"/>
    </row>
    <row r="58" spans="2:6" ht="24.5" customHeight="1">
      <c r="B58" s="458" t="s">
        <v>283</v>
      </c>
      <c r="C58" s="458"/>
      <c r="D58" s="458"/>
      <c r="E58" s="458"/>
      <c r="F58" s="458"/>
    </row>
    <row r="60" spans="2:6">
      <c r="B60" s="44" t="s">
        <v>227</v>
      </c>
      <c r="C60" s="293">
        <f>Normalized_FCF!G19</f>
        <v>1269297.3813067987</v>
      </c>
      <c r="D60" s="1" t="str">
        <f>Reporting_currency</f>
        <v>HKD</v>
      </c>
    </row>
    <row r="61" spans="2:6">
      <c r="B61" s="44" t="s">
        <v>213</v>
      </c>
      <c r="C61" s="293">
        <f>Normalized_FCF!C19</f>
        <v>818946.05241834244</v>
      </c>
      <c r="D61" s="1" t="str">
        <f>Reporting_currency</f>
        <v>HKD</v>
      </c>
    </row>
    <row r="62" spans="2:6">
      <c r="B62" s="207" t="s">
        <v>303</v>
      </c>
      <c r="C62" s="89">
        <f>Normalized_FCF!C124</f>
        <v>5.8282410327129677E-2</v>
      </c>
      <c r="F62" s="264"/>
    </row>
    <row r="63" spans="2:6">
      <c r="B63" s="207" t="s">
        <v>333</v>
      </c>
      <c r="C63" s="89">
        <f>Normalized_FCF!C92</f>
        <v>9.7826086956521757E-2</v>
      </c>
      <c r="E63" s="44" t="s">
        <v>323</v>
      </c>
      <c r="F63" s="265">
        <f>Normalized_FCF!C90</f>
        <v>1.8649821028990061</v>
      </c>
    </row>
    <row r="65" spans="1:6">
      <c r="B65" s="193" t="s">
        <v>326</v>
      </c>
      <c r="C65" s="271" t="s">
        <v>328</v>
      </c>
      <c r="D65" s="271" t="s">
        <v>329</v>
      </c>
    </row>
    <row r="66" spans="1:6">
      <c r="B66" s="44" t="s">
        <v>327</v>
      </c>
      <c r="C66" s="89">
        <f>Normalized_FCF!C119</f>
        <v>7.6203822690338374E-2</v>
      </c>
      <c r="D66" s="89">
        <f>Normalized_FCF!G119</f>
        <v>0.12174472741716588</v>
      </c>
    </row>
    <row r="67" spans="1:6">
      <c r="B67" s="233" t="str">
        <f>Normalized_FCF!B116</f>
        <v>Pre-tax Profit/Sales</v>
      </c>
      <c r="C67" s="270">
        <f>Normalized_FCF!C116</f>
        <v>0.40688947062135006</v>
      </c>
      <c r="D67" s="270">
        <f>Normalized_FCF!G116</f>
        <v>0.45503824032169243</v>
      </c>
    </row>
    <row r="68" spans="1:6">
      <c r="B68" s="233" t="str">
        <f>Normalized_FCF!B117</f>
        <v>Sales/Total Assets</v>
      </c>
      <c r="C68" s="272">
        <f>Normalized_FCF!C117</f>
        <v>0.1542519195864642</v>
      </c>
      <c r="D68" s="272">
        <f>Normalized_FCF!G117</f>
        <v>0.22035988512352028</v>
      </c>
    </row>
    <row r="69" spans="1:6">
      <c r="B69" s="233" t="str">
        <f>Normalized_FCF!B118</f>
        <v>Total Assets/Equity</v>
      </c>
      <c r="C69" s="272">
        <f>Normalized_FCF!C118</f>
        <v>1.2141426890285656</v>
      </c>
      <c r="D69" s="272">
        <f>Normalized_FCF!G118</f>
        <v>1.2141426890285656</v>
      </c>
    </row>
    <row r="71" spans="1:6" ht="13.9">
      <c r="A71" s="203" t="s">
        <v>482</v>
      </c>
      <c r="B71" s="34"/>
      <c r="C71" s="34"/>
      <c r="D71" s="34"/>
      <c r="E71" s="34"/>
      <c r="F71" s="34"/>
    </row>
    <row r="72" spans="1:6">
      <c r="A72" s="192"/>
    </row>
    <row r="73" spans="1:6">
      <c r="A73" s="192"/>
      <c r="B73" s="458" t="s">
        <v>483</v>
      </c>
      <c r="C73" s="458"/>
      <c r="D73" s="458"/>
      <c r="E73" s="458"/>
      <c r="F73" s="458"/>
    </row>
    <row r="74" spans="1:6">
      <c r="A74" s="192"/>
      <c r="B74" s="1" t="s">
        <v>470</v>
      </c>
    </row>
    <row r="75" spans="1:6">
      <c r="A75" s="192"/>
    </row>
    <row r="76" spans="1:6">
      <c r="A76" s="192"/>
      <c r="B76" s="193" t="s">
        <v>195</v>
      </c>
    </row>
    <row r="77" spans="1:6">
      <c r="A77" s="192"/>
      <c r="B77" s="458" t="s">
        <v>272</v>
      </c>
      <c r="C77" s="458"/>
      <c r="D77" s="458"/>
      <c r="E77" s="458"/>
      <c r="F77" s="458"/>
    </row>
    <row r="78" spans="1:6">
      <c r="A78" s="192"/>
      <c r="B78" s="1" t="s">
        <v>215</v>
      </c>
      <c r="C78" s="293">
        <f>DCF!F4</f>
        <v>-43677</v>
      </c>
      <c r="D78" s="1" t="str">
        <f>Reporting_currency</f>
        <v>HKD</v>
      </c>
    </row>
    <row r="79" spans="1:6">
      <c r="A79" s="192"/>
      <c r="B79" s="44" t="s">
        <v>235</v>
      </c>
      <c r="C79" s="204">
        <f>C78*scaling_factor*Exchange_Rate/Common_Shares</f>
        <v>-8.5791466803226933E-3</v>
      </c>
      <c r="D79" s="1" t="str">
        <f>Market_currency</f>
        <v>HKD</v>
      </c>
    </row>
    <row r="80" spans="1:6">
      <c r="A80" s="192"/>
      <c r="B80" s="233" t="s">
        <v>310</v>
      </c>
      <c r="C80" s="346">
        <f>IF(BS!G31/BS!G27&gt;300%,"nm",BS!G31/BS!G27)</f>
        <v>2.3107986944995245E-3</v>
      </c>
    </row>
    <row r="81" spans="1:6">
      <c r="A81" s="192"/>
      <c r="B81" s="233" t="s">
        <v>312</v>
      </c>
      <c r="C81" s="347">
        <f>IF(BS!C50&gt;30,"nm",BS!C50)</f>
        <v>3.0499352531108609E-2</v>
      </c>
    </row>
    <row r="82" spans="1:6">
      <c r="A82" s="192"/>
    </row>
    <row r="83" spans="1:6">
      <c r="A83" s="192"/>
      <c r="B83" s="1" t="s">
        <v>471</v>
      </c>
    </row>
    <row r="84" spans="1:6">
      <c r="A84" s="192"/>
      <c r="B84" s="1" t="s">
        <v>224</v>
      </c>
      <c r="C84" s="293">
        <f>DCF!F5</f>
        <v>8300850.7282108907</v>
      </c>
      <c r="D84" s="1" t="str">
        <f>Reporting_currency</f>
        <v>HKD</v>
      </c>
    </row>
    <row r="85" spans="1:6">
      <c r="A85" s="192"/>
      <c r="B85" s="233" t="s">
        <v>222</v>
      </c>
      <c r="C85" s="299">
        <f>BS!C66</f>
        <v>10118429</v>
      </c>
      <c r="D85" s="348" t="str">
        <f>Reporting_currency</f>
        <v>HKD</v>
      </c>
    </row>
    <row r="86" spans="1:6">
      <c r="A86" s="192"/>
      <c r="B86" s="44" t="s">
        <v>236</v>
      </c>
      <c r="C86" s="204">
        <f>C84*scaling_factor*Exchange_Rate/Common_Shares</f>
        <v>1.6304740703066758</v>
      </c>
      <c r="D86" s="1" t="str">
        <f>Market_currency</f>
        <v>HKD</v>
      </c>
    </row>
    <row r="87" spans="1:6">
      <c r="A87" s="192"/>
    </row>
    <row r="88" spans="1:6">
      <c r="A88" s="192"/>
      <c r="B88" s="1" t="s">
        <v>216</v>
      </c>
    </row>
    <row r="89" spans="1:6">
      <c r="A89" s="192"/>
      <c r="B89" s="1" t="s">
        <v>217</v>
      </c>
      <c r="C89" s="293">
        <f>DCF!F6</f>
        <v>263512.2</v>
      </c>
      <c r="D89" s="1" t="str">
        <f>Reporting_currency</f>
        <v>HKD</v>
      </c>
    </row>
    <row r="90" spans="1:6">
      <c r="A90" s="192"/>
      <c r="B90" s="44" t="s">
        <v>237</v>
      </c>
      <c r="C90" s="204">
        <f>C89*scaling_factor*Exchange_Rate/Common_Shares</f>
        <v>5.1759732029547124E-2</v>
      </c>
      <c r="D90" s="1" t="str">
        <f>Market_currency</f>
        <v>HKD</v>
      </c>
    </row>
    <row r="91" spans="1:6">
      <c r="A91" s="192"/>
    </row>
    <row r="92" spans="1:6">
      <c r="A92" s="192"/>
      <c r="B92" s="44" t="s">
        <v>474</v>
      </c>
      <c r="C92" s="220">
        <f>DCF!F8</f>
        <v>1.6736546556559</v>
      </c>
      <c r="D92" s="44" t="str">
        <f>Market_currency</f>
        <v>HKD</v>
      </c>
    </row>
    <row r="94" spans="1:6" ht="13.9">
      <c r="A94" s="203" t="s">
        <v>475</v>
      </c>
      <c r="B94" s="34"/>
      <c r="C94" s="34"/>
      <c r="D94" s="34"/>
      <c r="E94" s="34"/>
      <c r="F94" s="34"/>
    </row>
    <row r="95" spans="1:6">
      <c r="A95" s="192"/>
    </row>
    <row r="96" spans="1:6" ht="11.75" customHeight="1">
      <c r="B96" s="458" t="s">
        <v>490</v>
      </c>
      <c r="C96" s="458"/>
      <c r="D96" s="458"/>
      <c r="E96" s="458"/>
      <c r="F96" s="458"/>
    </row>
    <row r="97" spans="2:6">
      <c r="B97" s="460" t="s">
        <v>489</v>
      </c>
      <c r="C97" s="460"/>
      <c r="D97" s="460"/>
      <c r="E97" s="460"/>
      <c r="F97" s="460"/>
    </row>
    <row r="98" spans="2:6">
      <c r="B98" s="460" t="s">
        <v>488</v>
      </c>
      <c r="C98" s="460"/>
      <c r="D98" s="460"/>
      <c r="E98" s="460"/>
      <c r="F98" s="460"/>
    </row>
    <row r="100" spans="2:6">
      <c r="B100" s="193" t="s">
        <v>195</v>
      </c>
    </row>
    <row r="101" spans="2:6">
      <c r="B101" s="49" t="s">
        <v>472</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58" t="s">
        <v>284</v>
      </c>
      <c r="C107" s="458"/>
      <c r="D107" s="458"/>
      <c r="E107" s="458"/>
      <c r="F107" s="458"/>
    </row>
    <row r="108" spans="2:6">
      <c r="B108" s="458" t="s">
        <v>285</v>
      </c>
      <c r="C108" s="458"/>
      <c r="D108" s="458"/>
      <c r="E108" s="458"/>
      <c r="F108" s="458"/>
    </row>
    <row r="110" spans="2:6">
      <c r="B110" s="193" t="s">
        <v>492</v>
      </c>
    </row>
    <row r="111" spans="2:6">
      <c r="B111" s="49" t="s">
        <v>473</v>
      </c>
      <c r="C111" s="220">
        <f>BS!D47</f>
        <v>0.79833937207218564</v>
      </c>
      <c r="D111" s="1" t="str">
        <f>Market_currency</f>
        <v>HKD</v>
      </c>
    </row>
    <row r="112" spans="2:6">
      <c r="B112" s="44" t="s">
        <v>324</v>
      </c>
      <c r="C112" s="220">
        <f>DCF!C11</f>
        <v>3.8924057246611126</v>
      </c>
      <c r="D112" s="1" t="str">
        <f>Market_currency</f>
        <v>HKD</v>
      </c>
    </row>
    <row r="114" spans="2:6" ht="24.5" customHeight="1">
      <c r="B114" s="458" t="s">
        <v>496</v>
      </c>
      <c r="C114" s="458"/>
      <c r="D114" s="458"/>
      <c r="E114" s="458"/>
      <c r="F114" s="458"/>
    </row>
    <row r="116" spans="2:6">
      <c r="B116" s="193" t="s">
        <v>493</v>
      </c>
    </row>
    <row r="117" spans="2:6" ht="12.4">
      <c r="B117" s="351" t="s">
        <v>101</v>
      </c>
      <c r="C117" s="351" t="s">
        <v>110</v>
      </c>
      <c r="D117" s="351" t="s">
        <v>99</v>
      </c>
      <c r="E117" s="351" t="s">
        <v>219</v>
      </c>
      <c r="F117" s="351" t="s">
        <v>124</v>
      </c>
    </row>
    <row r="118" spans="2:6">
      <c r="B118" s="208" t="str">
        <f>DCF!B74</f>
        <v>Snowball Scenario</v>
      </c>
      <c r="C118" s="209">
        <f>DCF!C74</f>
        <v>-0.04</v>
      </c>
      <c r="D118" s="210">
        <f>DCF!D74</f>
        <v>5</v>
      </c>
      <c r="E118" s="211" t="str">
        <f>ROUND(DCF!E74,2)&amp;" "&amp;Market_currency</f>
        <v>3.54 HKD</v>
      </c>
      <c r="F118" s="212">
        <f>DCF!F74</f>
        <v>0.05</v>
      </c>
    </row>
    <row r="119" spans="2:6">
      <c r="B119" s="199" t="str">
        <f>DCF!B75</f>
        <v>Optimistic</v>
      </c>
      <c r="C119" s="200">
        <f>DCF!C75</f>
        <v>0.02</v>
      </c>
      <c r="D119" s="201">
        <f>DCF!D75</f>
        <v>5</v>
      </c>
      <c r="E119" s="211" t="str">
        <f>ROUND(DCF!E75,2)&amp;" "&amp;Market_currency</f>
        <v>4.09 HKD</v>
      </c>
      <c r="F119" s="202">
        <f>DCF!F75</f>
        <v>0.18</v>
      </c>
    </row>
    <row r="120" spans="2:6">
      <c r="B120" s="199" t="str">
        <f>DCF!B76</f>
        <v>Base</v>
      </c>
      <c r="C120" s="200">
        <f>DCF!C76</f>
        <v>0</v>
      </c>
      <c r="D120" s="201">
        <f>DCF!D76</f>
        <v>5</v>
      </c>
      <c r="E120" s="211" t="str">
        <f>ROUND(DCF!E76,2)&amp;" "&amp;Market_currency</f>
        <v>3.89 HKD</v>
      </c>
      <c r="F120" s="202">
        <f>DCF!F76</f>
        <v>0.53999999999999992</v>
      </c>
    </row>
    <row r="121" spans="2:6">
      <c r="B121" s="199" t="str">
        <f>DCF!B77</f>
        <v>Pessimistic</v>
      </c>
      <c r="C121" s="200">
        <f>DCF!C77</f>
        <v>-0.02</v>
      </c>
      <c r="D121" s="201">
        <f>DCF!D77</f>
        <v>5</v>
      </c>
      <c r="E121" s="211" t="str">
        <f>ROUND(DCF!E77,2)&amp;" "&amp;Market_currency</f>
        <v>3.71 HKD</v>
      </c>
      <c r="F121" s="202">
        <f>DCF!F77</f>
        <v>0.18</v>
      </c>
    </row>
    <row r="122" spans="2:6">
      <c r="B122" s="199" t="str">
        <f>DCF!B78</f>
        <v>Devil's advocate</v>
      </c>
      <c r="C122" s="200">
        <f>DCF!C78</f>
        <v>0.04</v>
      </c>
      <c r="D122" s="201">
        <f>DCF!D78</f>
        <v>5</v>
      </c>
      <c r="E122" s="211" t="str">
        <f>ROUND(DCF!E78,2)&amp;" "&amp;Market_currency</f>
        <v>4.31 HKD</v>
      </c>
      <c r="F122" s="202">
        <f>DCF!F78</f>
        <v>0.05</v>
      </c>
    </row>
    <row r="124" spans="2:6">
      <c r="B124" s="459" t="s">
        <v>359</v>
      </c>
      <c r="C124" s="459"/>
      <c r="D124" s="459"/>
      <c r="E124" s="459"/>
      <c r="F124" s="459"/>
    </row>
    <row r="125" spans="2:6">
      <c r="B125" s="194" t="s">
        <v>218</v>
      </c>
      <c r="C125" s="198">
        <f>Scenarios!C36</f>
        <v>3.8978478955831006</v>
      </c>
      <c r="D125" s="195" t="str">
        <f>Market_currency</f>
        <v>HKD</v>
      </c>
    </row>
    <row r="127" spans="2:6" ht="24.5" customHeight="1">
      <c r="B127" s="463" t="s">
        <v>360</v>
      </c>
      <c r="C127" s="463"/>
      <c r="D127" s="463"/>
      <c r="E127" s="463"/>
      <c r="F127" s="463"/>
    </row>
    <row r="129" spans="1:6" ht="13.9">
      <c r="A129" s="203" t="s">
        <v>479</v>
      </c>
      <c r="B129" s="34"/>
      <c r="C129" s="34"/>
      <c r="D129" s="34"/>
      <c r="E129" s="34"/>
      <c r="F129" s="34"/>
    </row>
    <row r="131" spans="1:6">
      <c r="B131" s="461" t="s">
        <v>286</v>
      </c>
      <c r="C131" s="461"/>
      <c r="D131" s="461"/>
      <c r="E131" s="461"/>
      <c r="F131" s="461"/>
    </row>
    <row r="132" spans="1:6">
      <c r="B132" s="458" t="s">
        <v>361</v>
      </c>
      <c r="C132" s="458"/>
      <c r="D132" s="458"/>
      <c r="E132" s="458"/>
      <c r="F132" s="458"/>
    </row>
    <row r="134" spans="1:6">
      <c r="B134" s="193" t="s">
        <v>195</v>
      </c>
    </row>
    <row r="135" spans="1:6">
      <c r="B135" s="1" t="s">
        <v>221</v>
      </c>
      <c r="C135" s="205">
        <f>E21</f>
        <v>2</v>
      </c>
    </row>
    <row r="136" spans="1:6">
      <c r="B136" s="195" t="s">
        <v>220</v>
      </c>
      <c r="C136" s="196">
        <f>Scenarios!C58</f>
        <v>0.27</v>
      </c>
      <c r="D136" s="195" t="str">
        <f>Market_currency</f>
        <v>HKD</v>
      </c>
    </row>
    <row r="138" spans="1:6">
      <c r="B138" s="193" t="s">
        <v>499</v>
      </c>
      <c r="C138" s="218"/>
      <c r="D138" s="219"/>
    </row>
    <row r="139" spans="1:6" ht="12.4">
      <c r="B139" s="349" t="s">
        <v>467</v>
      </c>
      <c r="C139" s="349" t="str">
        <f>"PV("&amp;Holding_Period&amp;" yrs of Dividends)"</f>
        <v>PV(2 yrs of Dividends)</v>
      </c>
      <c r="D139" s="349" t="s">
        <v>476</v>
      </c>
      <c r="E139" s="350" t="str">
        <f>"Buy below ("&amp;Market_currency&amp;")"</f>
        <v>Buy below (HKD)</v>
      </c>
      <c r="F139" s="350" t="s">
        <v>477</v>
      </c>
    </row>
    <row r="140" spans="1:6">
      <c r="B140" s="345" t="s">
        <v>313</v>
      </c>
      <c r="C140" s="342">
        <f>Scenarios!C62</f>
        <v>0.34814814814814826</v>
      </c>
      <c r="D140" s="342">
        <f>Scenarios!D62</f>
        <v>2.1387368425696023</v>
      </c>
      <c r="E140" s="343">
        <f>Scenarios!E62</f>
        <v>2.4868849907177504</v>
      </c>
      <c r="F140" s="344">
        <f>E22</f>
        <v>0.35</v>
      </c>
    </row>
    <row r="141" spans="1:6">
      <c r="B141" s="345" t="s">
        <v>314</v>
      </c>
      <c r="C141" s="342">
        <f>Scenarios!C63</f>
        <v>0.38880000000000003</v>
      </c>
      <c r="D141" s="342">
        <f>Scenarios!D63</f>
        <v>2.4946226531731845</v>
      </c>
      <c r="E141" s="343">
        <f>Scenarios!E63</f>
        <v>2.8834226531731844</v>
      </c>
      <c r="F141" s="344">
        <f>Scenarios!F63</f>
        <v>0.25</v>
      </c>
    </row>
    <row r="142" spans="1:6">
      <c r="B142" s="195"/>
      <c r="C142" s="195"/>
      <c r="D142" s="195"/>
      <c r="E142" s="195"/>
      <c r="F142" s="195"/>
    </row>
    <row r="143" spans="1:6" ht="12.4">
      <c r="B143" s="349" t="s">
        <v>468</v>
      </c>
      <c r="C143" s="349" t="str">
        <f>"PV("&amp;Holding_Period&amp;" yrs of Dividends)"</f>
        <v>PV(2 yrs of Dividends)</v>
      </c>
      <c r="D143" s="349" t="s">
        <v>476</v>
      </c>
      <c r="E143" s="350" t="str">
        <f>"Sell above ("&amp;Market_currency&amp;")"</f>
        <v>Sell above (HKD)</v>
      </c>
      <c r="F143" s="350" t="s">
        <v>477</v>
      </c>
    </row>
    <row r="144" spans="1:6">
      <c r="B144" s="345" t="s">
        <v>316</v>
      </c>
      <c r="C144" s="342">
        <f>Scenarios!C66</f>
        <v>0.45787753788943863</v>
      </c>
      <c r="D144" s="342">
        <f>Scenarios!D66</f>
        <v>3.1218178085232418</v>
      </c>
      <c r="E144" s="343">
        <f>Scenarios!E66</f>
        <v>3.5796953464126804</v>
      </c>
      <c r="F144" s="344">
        <f>E24</f>
        <v>0.1174</v>
      </c>
    </row>
    <row r="145" spans="1:6">
      <c r="B145" s="345" t="s">
        <v>315</v>
      </c>
      <c r="C145" s="342">
        <f>Scenarios!C67</f>
        <v>0.48647855640862631</v>
      </c>
      <c r="D145" s="342">
        <f>Scenarios!D67</f>
        <v>3.3886778668519302</v>
      </c>
      <c r="E145" s="343">
        <f>Scenarios!E67</f>
        <v>3.8751564232605564</v>
      </c>
      <c r="F145" s="344">
        <f>Scenarios!F67</f>
        <v>7.2499999999999995E-2</v>
      </c>
    </row>
    <row r="147" spans="1:6" ht="13.9">
      <c r="A147" s="203" t="s">
        <v>480</v>
      </c>
      <c r="B147" s="34"/>
      <c r="C147" s="34"/>
      <c r="D147" s="34"/>
      <c r="E147" s="34"/>
      <c r="F147" s="34"/>
    </row>
    <row r="149" spans="1:6">
      <c r="B149" s="465" t="s">
        <v>362</v>
      </c>
      <c r="C149" s="458"/>
      <c r="D149" s="458"/>
      <c r="E149" s="458"/>
      <c r="F149" s="458"/>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59" t="s">
        <v>443</v>
      </c>
      <c r="C158" s="459"/>
      <c r="D158" s="459"/>
      <c r="E158" s="459"/>
      <c r="F158" s="459"/>
    </row>
    <row r="160" spans="1:6">
      <c r="B160" s="1" t="s">
        <v>298</v>
      </c>
    </row>
    <row r="161" spans="2:6" ht="24.5" customHeight="1">
      <c r="B161" s="464" t="s">
        <v>295</v>
      </c>
      <c r="C161" s="464"/>
      <c r="D161" s="464"/>
      <c r="E161" s="464"/>
      <c r="F161" s="464"/>
    </row>
    <row r="162" spans="2:6" ht="24.5" customHeight="1">
      <c r="B162" s="464" t="s">
        <v>296</v>
      </c>
      <c r="C162" s="464"/>
      <c r="D162" s="464"/>
      <c r="E162" s="464"/>
      <c r="F162" s="464"/>
    </row>
    <row r="164" spans="2:6">
      <c r="B164" s="1" t="s">
        <v>302</v>
      </c>
    </row>
    <row r="165" spans="2:6">
      <c r="B165" s="197" t="s">
        <v>299</v>
      </c>
    </row>
    <row r="166" spans="2:6">
      <c r="B166" s="197" t="s">
        <v>300</v>
      </c>
    </row>
    <row r="167" spans="2:6">
      <c r="B167" s="197" t="s">
        <v>301</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5057000</v>
      </c>
      <c r="D4" s="295">
        <v>5891068</v>
      </c>
      <c r="E4" s="295">
        <v>8214719</v>
      </c>
      <c r="F4" s="295">
        <v>7075818</v>
      </c>
      <c r="G4" s="295">
        <v>3996951</v>
      </c>
      <c r="H4" s="295">
        <v>3869308</v>
      </c>
      <c r="I4" s="295">
        <v>3686176</v>
      </c>
      <c r="J4" s="295">
        <v>3471922</v>
      </c>
      <c r="K4" s="295">
        <v>1809885</v>
      </c>
      <c r="L4" s="295">
        <v>1996629</v>
      </c>
      <c r="M4" s="295"/>
    </row>
    <row r="5" spans="2:13">
      <c r="B5" s="38" t="s">
        <v>40</v>
      </c>
      <c r="C5" s="295">
        <v>2468686</v>
      </c>
      <c r="D5" s="295">
        <v>2425040</v>
      </c>
      <c r="E5" s="295">
        <v>2925125</v>
      </c>
      <c r="F5" s="295">
        <v>2681244</v>
      </c>
      <c r="G5" s="295">
        <v>2127744</v>
      </c>
      <c r="H5" s="295">
        <v>1880565</v>
      </c>
      <c r="I5" s="295">
        <v>1785634</v>
      </c>
      <c r="J5" s="295">
        <v>1596518</v>
      </c>
      <c r="K5" s="295">
        <v>1202842</v>
      </c>
      <c r="L5" s="295">
        <v>1508441</v>
      </c>
      <c r="M5" s="295"/>
    </row>
    <row r="6" spans="2:13">
      <c r="B6" s="38" t="s">
        <v>51</v>
      </c>
      <c r="C6" s="295">
        <v>318991</v>
      </c>
      <c r="D6" s="295">
        <v>415858</v>
      </c>
      <c r="E6" s="295">
        <v>556324</v>
      </c>
      <c r="F6" s="295">
        <v>477644</v>
      </c>
      <c r="G6" s="295">
        <v>498500</v>
      </c>
      <c r="H6" s="295">
        <v>432342</v>
      </c>
      <c r="I6" s="295">
        <v>413972</v>
      </c>
      <c r="J6" s="295">
        <v>408672</v>
      </c>
      <c r="K6" s="295">
        <v>371167</v>
      </c>
      <c r="L6" s="295">
        <v>543649</v>
      </c>
      <c r="M6" s="295"/>
    </row>
    <row r="7" spans="2:13">
      <c r="B7" s="66" t="s">
        <v>58</v>
      </c>
      <c r="C7" s="296">
        <v>110092</v>
      </c>
      <c r="D7" s="296">
        <v>214562</v>
      </c>
      <c r="E7" s="296">
        <v>348512</v>
      </c>
      <c r="F7" s="296">
        <v>269741</v>
      </c>
      <c r="G7" s="296">
        <v>316586</v>
      </c>
      <c r="H7" s="296">
        <v>250051</v>
      </c>
      <c r="I7" s="296">
        <v>208621</v>
      </c>
      <c r="J7" s="296">
        <v>206638</v>
      </c>
      <c r="K7" s="296">
        <v>167412</v>
      </c>
      <c r="L7" s="296">
        <v>201907</v>
      </c>
      <c r="M7" s="296"/>
    </row>
    <row r="8" spans="2:13">
      <c r="B8" s="38" t="s">
        <v>46</v>
      </c>
      <c r="C8" s="295"/>
      <c r="D8" s="295"/>
      <c r="E8" s="295"/>
      <c r="F8" s="295"/>
      <c r="G8" s="295"/>
      <c r="H8" s="295"/>
      <c r="I8" s="295"/>
      <c r="J8" s="295"/>
      <c r="K8" s="295"/>
      <c r="L8" s="295"/>
      <c r="M8" s="295"/>
    </row>
    <row r="9" spans="2:13">
      <c r="B9" s="38" t="s">
        <v>134</v>
      </c>
      <c r="C9" s="295"/>
      <c r="D9" s="295"/>
      <c r="E9" s="295"/>
      <c r="F9" s="295"/>
      <c r="G9" s="295"/>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1746</v>
      </c>
      <c r="D12" s="295">
        <v>2921</v>
      </c>
      <c r="E12" s="295">
        <v>1360</v>
      </c>
      <c r="F12" s="295">
        <v>1275</v>
      </c>
      <c r="G12" s="295"/>
      <c r="H12" s="295"/>
      <c r="I12" s="295"/>
      <c r="J12" s="295"/>
      <c r="K12" s="295"/>
      <c r="L12" s="295"/>
      <c r="M12" s="295"/>
    </row>
    <row r="13" spans="2:13">
      <c r="B13" s="38" t="s">
        <v>64</v>
      </c>
      <c r="C13" s="295">
        <v>186780</v>
      </c>
      <c r="D13" s="295">
        <v>173638</v>
      </c>
      <c r="E13" s="295">
        <v>107067</v>
      </c>
      <c r="F13" s="295">
        <v>69578</v>
      </c>
      <c r="G13" s="295"/>
      <c r="H13" s="295"/>
      <c r="I13" s="295"/>
      <c r="J13" s="295"/>
      <c r="K13" s="295"/>
      <c r="L13" s="295"/>
      <c r="M13" s="295"/>
    </row>
    <row r="14" spans="2:13">
      <c r="B14" s="38" t="s">
        <v>47</v>
      </c>
      <c r="C14" s="295">
        <v>710922</v>
      </c>
      <c r="D14" s="295">
        <v>917979</v>
      </c>
      <c r="E14" s="295">
        <v>1317738</v>
      </c>
      <c r="F14" s="295">
        <v>1071328</v>
      </c>
      <c r="G14" s="295">
        <v>425331</v>
      </c>
      <c r="H14" s="295">
        <v>456674</v>
      </c>
      <c r="I14" s="295">
        <v>487781</v>
      </c>
      <c r="J14" s="295">
        <v>465034</v>
      </c>
      <c r="K14" s="295">
        <v>76600</v>
      </c>
      <c r="L14" s="295">
        <v>-124459</v>
      </c>
      <c r="M14" s="295"/>
    </row>
    <row r="15" spans="2:13">
      <c r="B15" s="41" t="s">
        <v>39</v>
      </c>
      <c r="C15" s="297">
        <v>1814975</v>
      </c>
      <c r="D15" s="297">
        <v>2300938</v>
      </c>
      <c r="E15" s="297">
        <v>3308155</v>
      </c>
      <c r="F15" s="297">
        <v>3060831</v>
      </c>
      <c r="G15" s="297">
        <v>1187283</v>
      </c>
      <c r="H15" s="297">
        <v>1176141</v>
      </c>
      <c r="I15" s="297">
        <v>1151928</v>
      </c>
      <c r="J15" s="297">
        <v>1182584</v>
      </c>
      <c r="K15" s="297">
        <v>67656</v>
      </c>
      <c r="L15" s="297">
        <v>-711475</v>
      </c>
      <c r="M15" s="297"/>
    </row>
    <row r="16" spans="2:13">
      <c r="B16" s="27" t="s">
        <v>41</v>
      </c>
      <c r="C16" s="295">
        <v>320909</v>
      </c>
      <c r="D16" s="295">
        <v>411691</v>
      </c>
      <c r="E16" s="295">
        <v>592781</v>
      </c>
      <c r="F16" s="295">
        <v>522336</v>
      </c>
      <c r="G16" s="295">
        <v>107242</v>
      </c>
      <c r="H16" s="295">
        <v>35728</v>
      </c>
      <c r="I16" s="295">
        <v>51440</v>
      </c>
      <c r="J16" s="295">
        <v>101935</v>
      </c>
      <c r="K16" s="295">
        <v>-44139</v>
      </c>
      <c r="L16" s="295">
        <v>-295004</v>
      </c>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287</v>
      </c>
      <c r="C22" s="295">
        <v>2369874</v>
      </c>
      <c r="D22" s="295">
        <v>4543011</v>
      </c>
      <c r="E22" s="295">
        <v>3847566</v>
      </c>
      <c r="F22" s="295">
        <v>3858089</v>
      </c>
      <c r="G22" s="295">
        <v>836818</v>
      </c>
      <c r="H22" s="295">
        <v>1922241</v>
      </c>
      <c r="I22" s="295">
        <v>1642851</v>
      </c>
      <c r="J22" s="295">
        <v>1535692</v>
      </c>
      <c r="K22" s="295">
        <v>222071</v>
      </c>
      <c r="L22" s="295">
        <v>821391</v>
      </c>
      <c r="M22" s="295"/>
    </row>
    <row r="23" spans="2:13">
      <c r="B23" s="26" t="s">
        <v>289</v>
      </c>
      <c r="C23" s="295">
        <v>-182373</v>
      </c>
      <c r="D23" s="295">
        <v>759311</v>
      </c>
      <c r="E23" s="295">
        <v>-1150823</v>
      </c>
      <c r="F23" s="295">
        <v>-1949086</v>
      </c>
      <c r="G23" s="295">
        <v>226332</v>
      </c>
      <c r="H23" s="295">
        <v>-727776</v>
      </c>
      <c r="I23" s="295">
        <v>-319345</v>
      </c>
      <c r="J23" s="295">
        <v>266424</v>
      </c>
      <c r="K23" s="295">
        <v>377546</v>
      </c>
      <c r="L23" s="295">
        <v>571097</v>
      </c>
      <c r="M23" s="295"/>
    </row>
    <row r="24" spans="2:13">
      <c r="B24" s="26" t="s">
        <v>288</v>
      </c>
      <c r="C24" s="295">
        <v>-971717</v>
      </c>
      <c r="D24" s="295">
        <v>-2342230</v>
      </c>
      <c r="E24" s="295">
        <v>-2819292</v>
      </c>
      <c r="F24" s="295">
        <v>-913829</v>
      </c>
      <c r="G24" s="295">
        <v>-1490643</v>
      </c>
      <c r="H24" s="295">
        <v>-893331</v>
      </c>
      <c r="I24" s="295">
        <v>-1135313</v>
      </c>
      <c r="J24" s="295">
        <v>-317532</v>
      </c>
      <c r="K24" s="295">
        <v>-1060796</v>
      </c>
      <c r="L24" s="295">
        <v>-1009824</v>
      </c>
      <c r="M24" s="295"/>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553</v>
      </c>
    </row>
    <row r="28" spans="2:13">
      <c r="B28" s="25" t="s">
        <v>22</v>
      </c>
      <c r="C28" s="278">
        <f>BS!C4</f>
        <v>537904</v>
      </c>
      <c r="D28" s="295">
        <v>687833</v>
      </c>
      <c r="E28" s="295">
        <v>2889765</v>
      </c>
      <c r="F28" s="295">
        <v>3144251</v>
      </c>
      <c r="G28" s="295">
        <v>2049144</v>
      </c>
      <c r="H28" s="295">
        <v>1797319</v>
      </c>
      <c r="I28" s="295">
        <v>2248182</v>
      </c>
      <c r="J28" s="295">
        <v>2297795</v>
      </c>
      <c r="K28" s="295">
        <v>1943651</v>
      </c>
      <c r="L28" s="295">
        <v>1757738</v>
      </c>
      <c r="M28" s="295"/>
    </row>
    <row r="29" spans="2:13">
      <c r="B29" s="25" t="s">
        <v>30</v>
      </c>
      <c r="C29" s="278">
        <f>BS!C6</f>
        <v>137638</v>
      </c>
      <c r="D29" s="295">
        <v>125636</v>
      </c>
      <c r="E29" s="295">
        <v>42046</v>
      </c>
      <c r="F29" s="295">
        <v>142658</v>
      </c>
      <c r="G29" s="295">
        <v>131170</v>
      </c>
      <c r="H29" s="295">
        <v>123530</v>
      </c>
      <c r="I29" s="295">
        <v>130069</v>
      </c>
      <c r="J29" s="295">
        <v>195983</v>
      </c>
      <c r="K29" s="295">
        <v>198599</v>
      </c>
      <c r="L29" s="295">
        <v>167312</v>
      </c>
      <c r="M29" s="295"/>
    </row>
    <row r="30" spans="2:13">
      <c r="B30" s="28" t="s">
        <v>38</v>
      </c>
      <c r="C30" s="279">
        <f>BS!C33+BS!C42</f>
        <v>4047566</v>
      </c>
      <c r="D30" s="297">
        <v>4021026</v>
      </c>
      <c r="E30" s="297">
        <v>4786265</v>
      </c>
      <c r="F30" s="297">
        <v>5631759</v>
      </c>
      <c r="G30" s="297">
        <v>4142576</v>
      </c>
      <c r="H30" s="297">
        <v>4426398</v>
      </c>
      <c r="I30" s="297">
        <v>4475236</v>
      </c>
      <c r="J30" s="297">
        <v>4318962</v>
      </c>
      <c r="K30" s="297">
        <v>3438763</v>
      </c>
      <c r="L30" s="297">
        <v>3683389</v>
      </c>
      <c r="M30" s="297"/>
    </row>
    <row r="31" spans="2:13">
      <c r="B31" s="28" t="s">
        <v>28</v>
      </c>
      <c r="C31" s="279">
        <f>BS!G27</f>
        <v>18901257</v>
      </c>
      <c r="D31" s="297">
        <v>18470518</v>
      </c>
      <c r="E31" s="297">
        <v>18677219</v>
      </c>
      <c r="F31" s="297">
        <v>19148218</v>
      </c>
      <c r="G31" s="297">
        <v>17291070</v>
      </c>
      <c r="H31" s="297">
        <v>17046312</v>
      </c>
      <c r="I31" s="297">
        <v>16775806</v>
      </c>
      <c r="J31" s="297">
        <v>17375683</v>
      </c>
      <c r="K31" s="297">
        <v>15665693</v>
      </c>
      <c r="L31" s="297">
        <v>17044280</v>
      </c>
      <c r="M31" s="297"/>
    </row>
    <row r="32" spans="2:13">
      <c r="B32" s="25" t="s">
        <v>143</v>
      </c>
      <c r="C32" s="278">
        <f>BS!G28</f>
        <v>2421183</v>
      </c>
      <c r="D32" s="295">
        <v>2188672</v>
      </c>
      <c r="E32" s="295">
        <v>1908542</v>
      </c>
      <c r="F32" s="295">
        <v>1848135</v>
      </c>
      <c r="G32" s="295">
        <v>1453904</v>
      </c>
      <c r="H32" s="295">
        <v>1364732</v>
      </c>
      <c r="I32" s="295">
        <v>1391690</v>
      </c>
      <c r="J32" s="295">
        <v>1440871</v>
      </c>
      <c r="K32" s="295">
        <v>1146669</v>
      </c>
      <c r="L32" s="295">
        <v>1253165</v>
      </c>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5057000</v>
      </c>
      <c r="D36" s="278">
        <f t="shared" si="1"/>
        <v>5891068</v>
      </c>
      <c r="E36" s="278">
        <f t="shared" si="1"/>
        <v>8214719</v>
      </c>
      <c r="F36" s="278">
        <f t="shared" si="1"/>
        <v>7075818</v>
      </c>
      <c r="G36" s="278">
        <f t="shared" si="1"/>
        <v>3996951</v>
      </c>
      <c r="H36" s="278">
        <f t="shared" si="1"/>
        <v>3869308</v>
      </c>
      <c r="I36" s="278">
        <f t="shared" si="1"/>
        <v>3686176</v>
      </c>
      <c r="J36" s="278">
        <f t="shared" si="1"/>
        <v>3471922</v>
      </c>
      <c r="K36" s="278">
        <f t="shared" si="1"/>
        <v>1809885</v>
      </c>
      <c r="L36" s="278">
        <f t="shared" si="1"/>
        <v>1996629</v>
      </c>
      <c r="M36" s="278" t="str">
        <f t="shared" si="1"/>
        <v/>
      </c>
    </row>
    <row r="37" spans="2:13">
      <c r="B37" s="38" t="s">
        <v>40</v>
      </c>
      <c r="C37" s="278">
        <f t="shared" ref="C37:M37" si="2">IF(C$4="","",-C5)</f>
        <v>-2468686</v>
      </c>
      <c r="D37" s="278">
        <f t="shared" si="2"/>
        <v>-2425040</v>
      </c>
      <c r="E37" s="278">
        <f t="shared" si="2"/>
        <v>-2925125</v>
      </c>
      <c r="F37" s="278">
        <f t="shared" si="2"/>
        <v>-2681244</v>
      </c>
      <c r="G37" s="278">
        <f t="shared" si="2"/>
        <v>-2127744</v>
      </c>
      <c r="H37" s="278">
        <f t="shared" si="2"/>
        <v>-1880565</v>
      </c>
      <c r="I37" s="278">
        <f t="shared" si="2"/>
        <v>-1785634</v>
      </c>
      <c r="J37" s="278">
        <f t="shared" si="2"/>
        <v>-1596518</v>
      </c>
      <c r="K37" s="278">
        <f t="shared" si="2"/>
        <v>-1202842</v>
      </c>
      <c r="L37" s="278">
        <f t="shared" si="2"/>
        <v>-1508441</v>
      </c>
      <c r="M37" s="278" t="str">
        <f t="shared" si="2"/>
        <v/>
      </c>
    </row>
    <row r="38" spans="2:13">
      <c r="B38" s="30" t="s">
        <v>55</v>
      </c>
      <c r="C38" s="275">
        <f>IF(C36="","",C36+C37)</f>
        <v>2588314</v>
      </c>
      <c r="D38" s="275">
        <f t="shared" ref="D38" si="3">IF(D36="","",D36+D37)</f>
        <v>3466028</v>
      </c>
      <c r="E38" s="275">
        <f t="shared" ref="E38" si="4">IF(E36="","",E36+E37)</f>
        <v>5289594</v>
      </c>
      <c r="F38" s="275">
        <f t="shared" ref="F38" si="5">IF(F36="","",F36+F37)</f>
        <v>4394574</v>
      </c>
      <c r="G38" s="275">
        <f t="shared" ref="G38" si="6">IF(G36="","",G36+G37)</f>
        <v>1869207</v>
      </c>
      <c r="H38" s="275">
        <f t="shared" ref="H38" si="7">IF(H36="","",H36+H37)</f>
        <v>1988743</v>
      </c>
      <c r="I38" s="275">
        <f t="shared" ref="I38" si="8">IF(I36="","",I36+I37)</f>
        <v>1900542</v>
      </c>
      <c r="J38" s="275">
        <f t="shared" ref="J38" si="9">IF(J36="","",J36+J37)</f>
        <v>1875404</v>
      </c>
      <c r="K38" s="275">
        <f t="shared" ref="K38" si="10">IF(K36="","",K36+K37)</f>
        <v>607043</v>
      </c>
      <c r="L38" s="275">
        <f t="shared" ref="L38" si="11">IF(L36="","",L36+L37)</f>
        <v>488188</v>
      </c>
      <c r="M38" s="275" t="str">
        <f t="shared" ref="M38" si="12">IF(M36="","",M36+M37)</f>
        <v/>
      </c>
    </row>
    <row r="39" spans="2:13">
      <c r="B39" s="38" t="s">
        <v>51</v>
      </c>
      <c r="C39" s="278">
        <f t="shared" ref="C39:M39" si="13">IF(C$4="","",-C6)</f>
        <v>-318991</v>
      </c>
      <c r="D39" s="278">
        <f t="shared" si="13"/>
        <v>-415858</v>
      </c>
      <c r="E39" s="278">
        <f t="shared" si="13"/>
        <v>-556324</v>
      </c>
      <c r="F39" s="278">
        <f t="shared" si="13"/>
        <v>-477644</v>
      </c>
      <c r="G39" s="278">
        <f t="shared" si="13"/>
        <v>-498500</v>
      </c>
      <c r="H39" s="278">
        <f t="shared" si="13"/>
        <v>-432342</v>
      </c>
      <c r="I39" s="278">
        <f t="shared" si="13"/>
        <v>-413972</v>
      </c>
      <c r="J39" s="278">
        <f t="shared" si="13"/>
        <v>-408672</v>
      </c>
      <c r="K39" s="278">
        <f t="shared" si="13"/>
        <v>-371167</v>
      </c>
      <c r="L39" s="278">
        <f t="shared" si="13"/>
        <v>-543649</v>
      </c>
      <c r="M39" s="278" t="str">
        <f t="shared" si="13"/>
        <v/>
      </c>
    </row>
    <row r="40" spans="2:13">
      <c r="B40" s="66" t="s">
        <v>58</v>
      </c>
      <c r="C40" s="290">
        <f t="shared" ref="C40:M40" si="14">IF(C$4="","",-C7)</f>
        <v>-110092</v>
      </c>
      <c r="D40" s="290">
        <f t="shared" si="14"/>
        <v>-214562</v>
      </c>
      <c r="E40" s="290">
        <f t="shared" si="14"/>
        <v>-348512</v>
      </c>
      <c r="F40" s="290">
        <f t="shared" si="14"/>
        <v>-269741</v>
      </c>
      <c r="G40" s="290">
        <f t="shared" si="14"/>
        <v>-316586</v>
      </c>
      <c r="H40" s="290">
        <f t="shared" si="14"/>
        <v>-250051</v>
      </c>
      <c r="I40" s="290">
        <f t="shared" si="14"/>
        <v>-208621</v>
      </c>
      <c r="J40" s="290">
        <f t="shared" si="14"/>
        <v>-206638</v>
      </c>
      <c r="K40" s="290">
        <f t="shared" si="14"/>
        <v>-167412</v>
      </c>
      <c r="L40" s="290">
        <f t="shared" si="14"/>
        <v>-201907</v>
      </c>
      <c r="M40" s="290" t="str">
        <f t="shared" si="14"/>
        <v/>
      </c>
    </row>
    <row r="41" spans="2:13">
      <c r="B41" s="66" t="s">
        <v>61</v>
      </c>
      <c r="C41" s="290">
        <f>IF(C$4="","",C39-C40)</f>
        <v>-208899</v>
      </c>
      <c r="D41" s="290">
        <f t="shared" ref="D41:M41" si="15">IF(D$4="","",D39-D40)</f>
        <v>-201296</v>
      </c>
      <c r="E41" s="290">
        <f t="shared" si="15"/>
        <v>-207812</v>
      </c>
      <c r="F41" s="290">
        <f t="shared" si="15"/>
        <v>-207903</v>
      </c>
      <c r="G41" s="290">
        <f t="shared" si="15"/>
        <v>-181914</v>
      </c>
      <c r="H41" s="290">
        <f t="shared" si="15"/>
        <v>-182291</v>
      </c>
      <c r="I41" s="290">
        <f t="shared" si="15"/>
        <v>-205351</v>
      </c>
      <c r="J41" s="290">
        <f t="shared" si="15"/>
        <v>-202034</v>
      </c>
      <c r="K41" s="290">
        <f t="shared" si="15"/>
        <v>-203755</v>
      </c>
      <c r="L41" s="290">
        <f t="shared" si="15"/>
        <v>-341742</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2269323</v>
      </c>
      <c r="D43" s="279">
        <f t="shared" ref="D43:M43" si="17">IF(D$4="","",D38+D39+D42)</f>
        <v>3050170</v>
      </c>
      <c r="E43" s="279">
        <f t="shared" si="17"/>
        <v>4733270</v>
      </c>
      <c r="F43" s="279">
        <f t="shared" si="17"/>
        <v>3916930</v>
      </c>
      <c r="G43" s="279">
        <f t="shared" si="17"/>
        <v>1370707</v>
      </c>
      <c r="H43" s="279">
        <f t="shared" si="17"/>
        <v>1556401</v>
      </c>
      <c r="I43" s="279">
        <f t="shared" si="17"/>
        <v>1486570</v>
      </c>
      <c r="J43" s="279">
        <f t="shared" si="17"/>
        <v>1466732</v>
      </c>
      <c r="K43" s="279">
        <f t="shared" si="17"/>
        <v>235876</v>
      </c>
      <c r="L43" s="279">
        <f t="shared" si="17"/>
        <v>-55461</v>
      </c>
      <c r="M43" s="279" t="str">
        <f t="shared" si="17"/>
        <v/>
      </c>
    </row>
    <row r="44" spans="2:13">
      <c r="B44" s="41" t="s">
        <v>139</v>
      </c>
      <c r="C44" s="298">
        <f t="shared" ref="C44:M44" si="18">IF(C$4="","",C47-C46-C45-C43)</f>
        <v>71540</v>
      </c>
      <c r="D44" s="298">
        <f t="shared" si="18"/>
        <v>-1970</v>
      </c>
      <c r="E44" s="298">
        <f t="shared" si="18"/>
        <v>-213084</v>
      </c>
      <c r="F44" s="298">
        <f t="shared" si="18"/>
        <v>146926</v>
      </c>
      <c r="G44" s="298">
        <f t="shared" si="18"/>
        <v>241907</v>
      </c>
      <c r="H44" s="298">
        <f t="shared" si="18"/>
        <v>76414</v>
      </c>
      <c r="I44" s="298">
        <f t="shared" si="18"/>
        <v>153139</v>
      </c>
      <c r="J44" s="298">
        <f t="shared" si="18"/>
        <v>180886</v>
      </c>
      <c r="K44" s="298">
        <f t="shared" si="18"/>
        <v>-91620</v>
      </c>
      <c r="L44" s="298">
        <f t="shared" si="18"/>
        <v>-780473</v>
      </c>
      <c r="M44" s="298" t="str">
        <f t="shared" si="18"/>
        <v/>
      </c>
    </row>
    <row r="45" spans="2:13">
      <c r="B45" s="38" t="s">
        <v>65</v>
      </c>
      <c r="C45" s="293">
        <f t="shared" ref="C45:M45" si="19">IF(C$4="","",C51+C52)</f>
        <v>185034</v>
      </c>
      <c r="D45" s="293">
        <f t="shared" si="19"/>
        <v>170717</v>
      </c>
      <c r="E45" s="293">
        <f t="shared" si="19"/>
        <v>105707</v>
      </c>
      <c r="F45" s="293">
        <f t="shared" si="19"/>
        <v>68303</v>
      </c>
      <c r="G45" s="293">
        <f t="shared" si="19"/>
        <v>0</v>
      </c>
      <c r="H45" s="293">
        <f t="shared" si="19"/>
        <v>0</v>
      </c>
      <c r="I45" s="293">
        <f t="shared" si="19"/>
        <v>0</v>
      </c>
      <c r="J45" s="293">
        <f t="shared" si="19"/>
        <v>0</v>
      </c>
      <c r="K45" s="293">
        <f t="shared" si="19"/>
        <v>0</v>
      </c>
      <c r="L45" s="293">
        <f t="shared" si="19"/>
        <v>0</v>
      </c>
      <c r="M45" s="293" t="str">
        <f t="shared" si="19"/>
        <v/>
      </c>
    </row>
    <row r="46" spans="2:13">
      <c r="B46" s="38" t="s">
        <v>47</v>
      </c>
      <c r="C46" s="278">
        <f>IF(C$4="","",-C14)</f>
        <v>-710922</v>
      </c>
      <c r="D46" s="278">
        <f t="shared" ref="D46:M46" si="20">IF(D$4="","",-D14)</f>
        <v>-917979</v>
      </c>
      <c r="E46" s="278">
        <f t="shared" si="20"/>
        <v>-1317738</v>
      </c>
      <c r="F46" s="278">
        <f t="shared" si="20"/>
        <v>-1071328</v>
      </c>
      <c r="G46" s="278">
        <f t="shared" si="20"/>
        <v>-425331</v>
      </c>
      <c r="H46" s="278">
        <f t="shared" si="20"/>
        <v>-456674</v>
      </c>
      <c r="I46" s="278">
        <f t="shared" si="20"/>
        <v>-487781</v>
      </c>
      <c r="J46" s="278">
        <f t="shared" si="20"/>
        <v>-465034</v>
      </c>
      <c r="K46" s="278">
        <f t="shared" si="20"/>
        <v>-76600</v>
      </c>
      <c r="L46" s="278">
        <f t="shared" si="20"/>
        <v>124459</v>
      </c>
      <c r="M46" s="278" t="str">
        <f t="shared" si="20"/>
        <v/>
      </c>
    </row>
    <row r="47" spans="2:13">
      <c r="B47" s="41" t="s">
        <v>39</v>
      </c>
      <c r="C47" s="279">
        <f t="shared" ref="C47:M47" si="21">IF(C$4="","",C15)</f>
        <v>1814975</v>
      </c>
      <c r="D47" s="279">
        <f t="shared" si="21"/>
        <v>2300938</v>
      </c>
      <c r="E47" s="279">
        <f t="shared" si="21"/>
        <v>3308155</v>
      </c>
      <c r="F47" s="279">
        <f t="shared" si="21"/>
        <v>3060831</v>
      </c>
      <c r="G47" s="279">
        <f t="shared" si="21"/>
        <v>1187283</v>
      </c>
      <c r="H47" s="279">
        <f t="shared" si="21"/>
        <v>1176141</v>
      </c>
      <c r="I47" s="279">
        <f t="shared" si="21"/>
        <v>1151928</v>
      </c>
      <c r="J47" s="279">
        <f t="shared" si="21"/>
        <v>1182584</v>
      </c>
      <c r="K47" s="279">
        <f t="shared" si="21"/>
        <v>67656</v>
      </c>
      <c r="L47" s="279">
        <f t="shared" si="21"/>
        <v>-711475</v>
      </c>
      <c r="M47" s="279" t="str">
        <f t="shared" si="21"/>
        <v/>
      </c>
    </row>
    <row r="48" spans="2:13">
      <c r="B48" s="27" t="s">
        <v>41</v>
      </c>
      <c r="C48" s="278">
        <f t="shared" ref="C48:M48" si="22">IF(C$4="","",MIN(-C16,0))</f>
        <v>-320909</v>
      </c>
      <c r="D48" s="278">
        <f t="shared" si="22"/>
        <v>-411691</v>
      </c>
      <c r="E48" s="278">
        <f t="shared" si="22"/>
        <v>-592781</v>
      </c>
      <c r="F48" s="278">
        <f t="shared" si="22"/>
        <v>-522336</v>
      </c>
      <c r="G48" s="278">
        <f t="shared" si="22"/>
        <v>-107242</v>
      </c>
      <c r="H48" s="278">
        <f t="shared" si="22"/>
        <v>-35728</v>
      </c>
      <c r="I48" s="278">
        <f t="shared" si="22"/>
        <v>-51440</v>
      </c>
      <c r="J48" s="278">
        <f t="shared" si="22"/>
        <v>-101935</v>
      </c>
      <c r="K48" s="278">
        <f t="shared" si="22"/>
        <v>0</v>
      </c>
      <c r="L48" s="278">
        <f t="shared" si="22"/>
        <v>0</v>
      </c>
      <c r="M48" s="278" t="str">
        <f t="shared" si="22"/>
        <v/>
      </c>
    </row>
    <row r="50" spans="2:13">
      <c r="B50" s="16" t="s">
        <v>65</v>
      </c>
    </row>
    <row r="51" spans="2:13">
      <c r="B51" s="38" t="s">
        <v>37</v>
      </c>
      <c r="C51" s="278">
        <f t="shared" ref="C51:M51" si="23">IF(C$4="","",-C12)</f>
        <v>-1746</v>
      </c>
      <c r="D51" s="278">
        <f t="shared" si="23"/>
        <v>-2921</v>
      </c>
      <c r="E51" s="278">
        <f t="shared" si="23"/>
        <v>-1360</v>
      </c>
      <c r="F51" s="278">
        <f t="shared" si="23"/>
        <v>-1275</v>
      </c>
      <c r="G51" s="278">
        <f t="shared" si="23"/>
        <v>0</v>
      </c>
      <c r="H51" s="278">
        <f t="shared" si="23"/>
        <v>0</v>
      </c>
      <c r="I51" s="278">
        <f t="shared" si="23"/>
        <v>0</v>
      </c>
      <c r="J51" s="278">
        <f t="shared" si="23"/>
        <v>0</v>
      </c>
      <c r="K51" s="278">
        <f t="shared" si="23"/>
        <v>0</v>
      </c>
      <c r="L51" s="278">
        <f t="shared" si="23"/>
        <v>0</v>
      </c>
      <c r="M51" s="278" t="str">
        <f t="shared" si="23"/>
        <v/>
      </c>
    </row>
    <row r="52" spans="2:13">
      <c r="B52" s="38" t="s">
        <v>64</v>
      </c>
      <c r="C52" s="278">
        <f>IF(C$4="","",C13)</f>
        <v>186780</v>
      </c>
      <c r="D52" s="278">
        <f t="shared" ref="D52:M52" si="24">IF(D$4="","",D13)</f>
        <v>173638</v>
      </c>
      <c r="E52" s="278">
        <f t="shared" si="24"/>
        <v>107067</v>
      </c>
      <c r="F52" s="278">
        <f t="shared" si="24"/>
        <v>69578</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0</v>
      </c>
      <c r="D55" s="293">
        <f t="shared" si="25"/>
        <v>0</v>
      </c>
      <c r="E55" s="293">
        <f t="shared" si="25"/>
        <v>0</v>
      </c>
      <c r="F55" s="293">
        <f t="shared" si="25"/>
        <v>0</v>
      </c>
      <c r="G55" s="293">
        <f t="shared" si="25"/>
        <v>0</v>
      </c>
      <c r="H55" s="293">
        <f t="shared" si="25"/>
        <v>0</v>
      </c>
      <c r="I55" s="293">
        <f t="shared" si="25"/>
        <v>0</v>
      </c>
      <c r="J55" s="293">
        <f t="shared" si="25"/>
        <v>0</v>
      </c>
      <c r="K55" s="293">
        <f t="shared" si="25"/>
        <v>0</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71540</v>
      </c>
      <c r="D58" s="293">
        <f t="shared" ref="D58:M58" si="28">IF(D$4="","",D44-D55-D56-D57)</f>
        <v>-1970</v>
      </c>
      <c r="E58" s="293">
        <f t="shared" si="28"/>
        <v>-213084</v>
      </c>
      <c r="F58" s="293">
        <f t="shared" si="28"/>
        <v>146926</v>
      </c>
      <c r="G58" s="293">
        <f t="shared" si="28"/>
        <v>241907</v>
      </c>
      <c r="H58" s="293">
        <f t="shared" si="28"/>
        <v>76414</v>
      </c>
      <c r="I58" s="293">
        <f t="shared" si="28"/>
        <v>153139</v>
      </c>
      <c r="J58" s="293">
        <f t="shared" si="28"/>
        <v>180886</v>
      </c>
      <c r="K58" s="293">
        <f t="shared" si="28"/>
        <v>-91620</v>
      </c>
      <c r="L58" s="293">
        <f t="shared" si="28"/>
        <v>-780473</v>
      </c>
      <c r="M58" s="293" t="str">
        <f t="shared" si="28"/>
        <v/>
      </c>
    </row>
    <row r="60" spans="2:13">
      <c r="B60" s="16" t="s">
        <v>48</v>
      </c>
      <c r="C60" s="9"/>
    </row>
    <row r="61" spans="2:13">
      <c r="B61" s="26" t="s">
        <v>44</v>
      </c>
      <c r="C61" s="278">
        <f>IF(C$4="","",-C19)</f>
        <v>0</v>
      </c>
      <c r="D61" s="278">
        <f t="shared" ref="D61:M61" si="29">IF(D$4="","",-D19)</f>
        <v>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0</v>
      </c>
      <c r="D62" s="278">
        <f t="shared" ref="D62:M62" si="30">IF(D$4="","",IF(D20=0,D61,-D20))</f>
        <v>0</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306</v>
      </c>
      <c r="C64" s="278">
        <f>IF(C$4="","",C22+C23+C24)</f>
        <v>1215784</v>
      </c>
      <c r="D64" s="278">
        <f t="shared" ref="D64:M64" si="32">IF(D$4="","",D22+D23+D24)</f>
        <v>2960092</v>
      </c>
      <c r="E64" s="278">
        <f t="shared" si="32"/>
        <v>-122549</v>
      </c>
      <c r="F64" s="278">
        <f t="shared" si="32"/>
        <v>995174</v>
      </c>
      <c r="G64" s="278">
        <f t="shared" si="32"/>
        <v>-427493</v>
      </c>
      <c r="H64" s="278">
        <f t="shared" si="32"/>
        <v>301134</v>
      </c>
      <c r="I64" s="278">
        <f t="shared" si="32"/>
        <v>188193</v>
      </c>
      <c r="J64" s="278">
        <f t="shared" si="32"/>
        <v>1484584</v>
      </c>
      <c r="K64" s="278">
        <f t="shared" si="32"/>
        <v>-461179</v>
      </c>
      <c r="L64" s="278">
        <f t="shared" si="32"/>
        <v>382664</v>
      </c>
      <c r="M64" s="278"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93">
        <f t="shared" ref="D76:M76" si="39">IF(D$4="","",D79+D80)</f>
        <v>22491544</v>
      </c>
      <c r="E76" s="293">
        <f t="shared" si="39"/>
        <v>23463484</v>
      </c>
      <c r="F76" s="293">
        <f t="shared" si="39"/>
        <v>24779977</v>
      </c>
      <c r="G76" s="293">
        <f t="shared" si="39"/>
        <v>21433646</v>
      </c>
      <c r="H76" s="293">
        <f t="shared" si="39"/>
        <v>21472710</v>
      </c>
      <c r="I76" s="293">
        <f t="shared" si="39"/>
        <v>21251042</v>
      </c>
      <c r="J76" s="293">
        <f t="shared" si="39"/>
        <v>21694645</v>
      </c>
      <c r="K76" s="293">
        <f t="shared" si="39"/>
        <v>19104456</v>
      </c>
      <c r="L76" s="293">
        <f t="shared" si="39"/>
        <v>20727669</v>
      </c>
      <c r="M76" s="293" t="str">
        <f t="shared" si="39"/>
        <v/>
      </c>
    </row>
    <row r="77" spans="2:13">
      <c r="B77" s="90" t="s">
        <v>82</v>
      </c>
      <c r="C77" s="267">
        <f t="shared" ref="C77:H78" si="40">IF(C$4="","",C28)</f>
        <v>537904</v>
      </c>
      <c r="D77" s="290">
        <f t="shared" si="40"/>
        <v>687833</v>
      </c>
      <c r="E77" s="290">
        <f t="shared" si="40"/>
        <v>2889765</v>
      </c>
      <c r="F77" s="290">
        <f t="shared" si="40"/>
        <v>3144251</v>
      </c>
      <c r="G77" s="290">
        <f t="shared" si="40"/>
        <v>2049144</v>
      </c>
      <c r="H77" s="290">
        <f t="shared" si="40"/>
        <v>1797319</v>
      </c>
      <c r="I77" s="299"/>
      <c r="J77" s="299"/>
      <c r="K77" s="299"/>
      <c r="L77" s="299"/>
      <c r="M77" s="299"/>
    </row>
    <row r="78" spans="2:13">
      <c r="B78" s="90" t="s">
        <v>83</v>
      </c>
      <c r="C78" s="267">
        <f t="shared" si="40"/>
        <v>137638</v>
      </c>
      <c r="D78" s="290">
        <f t="shared" si="40"/>
        <v>125636</v>
      </c>
      <c r="E78" s="290">
        <f t="shared" si="40"/>
        <v>42046</v>
      </c>
      <c r="F78" s="290">
        <f t="shared" si="40"/>
        <v>142658</v>
      </c>
      <c r="G78" s="290">
        <f t="shared" si="40"/>
        <v>131170</v>
      </c>
      <c r="H78" s="290">
        <f t="shared" si="40"/>
        <v>123530</v>
      </c>
      <c r="I78" s="299"/>
      <c r="J78" s="299"/>
      <c r="K78" s="299"/>
      <c r="L78" s="299"/>
      <c r="M78" s="299"/>
    </row>
    <row r="79" spans="2:13">
      <c r="B79" s="25" t="s">
        <v>38</v>
      </c>
      <c r="C79" s="266">
        <f t="shared" ref="C79:M79" si="41">IF(C$4="","",C30)</f>
        <v>4047566</v>
      </c>
      <c r="D79" s="278">
        <f t="shared" si="41"/>
        <v>4021026</v>
      </c>
      <c r="E79" s="278">
        <f t="shared" si="41"/>
        <v>4786265</v>
      </c>
      <c r="F79" s="278">
        <f t="shared" si="41"/>
        <v>5631759</v>
      </c>
      <c r="G79" s="278">
        <f t="shared" si="41"/>
        <v>4142576</v>
      </c>
      <c r="H79" s="278">
        <f t="shared" si="41"/>
        <v>4426398</v>
      </c>
      <c r="I79" s="278">
        <f t="shared" si="41"/>
        <v>4475236</v>
      </c>
      <c r="J79" s="278">
        <f t="shared" si="41"/>
        <v>4318962</v>
      </c>
      <c r="K79" s="278">
        <f t="shared" si="41"/>
        <v>3438763</v>
      </c>
      <c r="L79" s="278">
        <f t="shared" si="41"/>
        <v>3683389</v>
      </c>
      <c r="M79" s="278" t="str">
        <f t="shared" si="41"/>
        <v/>
      </c>
    </row>
    <row r="80" spans="2:13">
      <c r="B80" s="25" t="s">
        <v>28</v>
      </c>
      <c r="C80" s="266">
        <f t="shared" ref="C80:M80" si="42">IF(C$4="","",C31)</f>
        <v>18901257</v>
      </c>
      <c r="D80" s="278">
        <f t="shared" si="42"/>
        <v>18470518</v>
      </c>
      <c r="E80" s="278">
        <f t="shared" si="42"/>
        <v>18677219</v>
      </c>
      <c r="F80" s="278">
        <f t="shared" si="42"/>
        <v>19148218</v>
      </c>
      <c r="G80" s="278">
        <f t="shared" si="42"/>
        <v>17291070</v>
      </c>
      <c r="H80" s="278">
        <f t="shared" si="42"/>
        <v>17046312</v>
      </c>
      <c r="I80" s="278">
        <f t="shared" si="42"/>
        <v>16775806</v>
      </c>
      <c r="J80" s="278">
        <f t="shared" si="42"/>
        <v>17375683</v>
      </c>
      <c r="K80" s="278">
        <f t="shared" si="42"/>
        <v>15665693</v>
      </c>
      <c r="L80" s="278">
        <f t="shared" si="42"/>
        <v>17044280</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f>519815+18089</f>
        <v>537904</v>
      </c>
      <c r="D4" s="235">
        <v>0.6</v>
      </c>
      <c r="E4" s="24"/>
      <c r="F4" s="4" t="s">
        <v>74</v>
      </c>
      <c r="G4" s="18">
        <f>1505443+7675879</f>
        <v>9181322</v>
      </c>
      <c r="H4" s="235">
        <v>0.9</v>
      </c>
    </row>
    <row r="5" spans="2:8" ht="15" customHeight="1">
      <c r="B5" s="1" t="s">
        <v>31</v>
      </c>
      <c r="C5" s="18">
        <v>0</v>
      </c>
      <c r="D5" s="235">
        <v>0.6</v>
      </c>
      <c r="E5" s="24"/>
      <c r="F5" s="1" t="s">
        <v>27</v>
      </c>
      <c r="G5" s="18">
        <v>937107</v>
      </c>
      <c r="H5" s="235">
        <v>0.7</v>
      </c>
    </row>
    <row r="6" spans="2:8" ht="15" customHeight="1">
      <c r="B6" s="4" t="s">
        <v>8</v>
      </c>
      <c r="C6" s="18">
        <v>137638</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207695</v>
      </c>
      <c r="D9" s="235">
        <v>0.1</v>
      </c>
      <c r="E9" s="24"/>
      <c r="F9" s="4" t="s">
        <v>150</v>
      </c>
      <c r="G9" s="18">
        <v>0</v>
      </c>
      <c r="H9" s="235">
        <v>0.6</v>
      </c>
    </row>
    <row r="10" spans="2:8" ht="15" customHeight="1">
      <c r="B10" s="4" t="s">
        <v>9</v>
      </c>
      <c r="C10" s="18">
        <v>0</v>
      </c>
      <c r="D10" s="235">
        <v>0.9</v>
      </c>
      <c r="F10" s="1" t="s">
        <v>406</v>
      </c>
      <c r="G10" s="18">
        <v>0</v>
      </c>
      <c r="H10" s="235">
        <v>0.6</v>
      </c>
    </row>
    <row r="11" spans="2:8" ht="15" customHeight="1">
      <c r="B11" s="4" t="s">
        <v>10</v>
      </c>
      <c r="C11" s="18">
        <v>0</v>
      </c>
      <c r="D11" s="235">
        <v>0.05</v>
      </c>
      <c r="H11" s="236"/>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453310</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f>439187</f>
        <v>439187</v>
      </c>
      <c r="H17" s="235">
        <v>0.6</v>
      </c>
    </row>
    <row r="18" spans="2:8" ht="15" customHeight="1">
      <c r="B18" s="4" t="s">
        <v>144</v>
      </c>
      <c r="C18" s="18">
        <v>0</v>
      </c>
      <c r="D18" s="235">
        <v>0.6</v>
      </c>
      <c r="F18" s="4" t="s">
        <v>151</v>
      </c>
      <c r="G18" s="18">
        <v>0</v>
      </c>
      <c r="H18" s="235">
        <v>0.1</v>
      </c>
    </row>
    <row r="19" spans="2:8" ht="15" customHeight="1">
      <c r="B19" s="4" t="s">
        <v>24</v>
      </c>
      <c r="C19" s="18">
        <f>3715248+73168+31796</f>
        <v>3820212</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5970133</v>
      </c>
      <c r="D21" s="235">
        <v>0.05</v>
      </c>
      <c r="F21" s="1" t="s">
        <v>150</v>
      </c>
      <c r="G21" s="18">
        <v>0</v>
      </c>
      <c r="H21" s="235">
        <v>0.1</v>
      </c>
    </row>
    <row r="22" spans="2:8" ht="15" customHeight="1">
      <c r="B22" s="4" t="s">
        <v>18</v>
      </c>
      <c r="C22" s="18">
        <v>84764</v>
      </c>
      <c r="D22" s="235">
        <v>0.9</v>
      </c>
      <c r="H22" s="236"/>
    </row>
    <row r="23" spans="2:8" ht="15" customHeight="1">
      <c r="B23" s="4" t="s">
        <v>19</v>
      </c>
      <c r="C23" s="18">
        <f>1179551</f>
        <v>1179551</v>
      </c>
      <c r="D23" s="235">
        <v>0</v>
      </c>
      <c r="H23" s="236"/>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5" t="s">
        <v>113</v>
      </c>
      <c r="F26" s="167" t="s">
        <v>165</v>
      </c>
      <c r="G26" s="168" t="s">
        <v>113</v>
      </c>
      <c r="H26" s="169" t="s">
        <v>33</v>
      </c>
    </row>
    <row r="27" spans="2:8" ht="15" customHeight="1">
      <c r="B27" s="4" t="s">
        <v>3</v>
      </c>
      <c r="C27" s="18">
        <v>0</v>
      </c>
      <c r="F27" s="170" t="s">
        <v>28</v>
      </c>
      <c r="G27" s="82">
        <f>G32-G30</f>
        <v>18901257</v>
      </c>
      <c r="H27" s="171">
        <f>H32-G30</f>
        <v>6485581.2499999981</v>
      </c>
    </row>
    <row r="28" spans="2:8" ht="15" customHeight="1">
      <c r="B28" s="4" t="s">
        <v>4</v>
      </c>
      <c r="C28" s="18">
        <v>12125</v>
      </c>
      <c r="F28" s="172" t="s">
        <v>209</v>
      </c>
      <c r="G28" s="295">
        <v>2421183</v>
      </c>
      <c r="H28" s="171"/>
    </row>
    <row r="29" spans="2:8" ht="15" customHeight="1">
      <c r="B29" s="4" t="s">
        <v>5</v>
      </c>
      <c r="C29" s="18">
        <v>0</v>
      </c>
      <c r="F29" s="173" t="s">
        <v>72</v>
      </c>
      <c r="G29" s="14">
        <f>G27-G28</f>
        <v>16480074</v>
      </c>
      <c r="H29" s="171">
        <f>H27-G28</f>
        <v>4064398.2499999981</v>
      </c>
    </row>
    <row r="30" spans="2:8" ht="15" customHeight="1">
      <c r="B30" s="2" t="s">
        <v>6</v>
      </c>
      <c r="C30" s="18">
        <v>0</v>
      </c>
      <c r="F30" s="170" t="s">
        <v>21</v>
      </c>
      <c r="G30" s="82">
        <f>C33+C42</f>
        <v>4047566</v>
      </c>
      <c r="H30" s="171"/>
    </row>
    <row r="31" spans="2:8" ht="15" customHeight="1">
      <c r="B31" s="77" t="s">
        <v>172</v>
      </c>
      <c r="C31" s="78">
        <f>SUM(C27:C30)</f>
        <v>12125</v>
      </c>
      <c r="F31" s="173" t="s">
        <v>73</v>
      </c>
      <c r="G31" s="174">
        <f>C31+C40</f>
        <v>43677</v>
      </c>
      <c r="H31" s="171"/>
    </row>
    <row r="32" spans="2:8" ht="15" customHeight="1">
      <c r="B32" s="4" t="s">
        <v>7</v>
      </c>
      <c r="C32" s="20">
        <f>C33-C31</f>
        <v>2578910</v>
      </c>
      <c r="F32" s="175" t="s">
        <v>71</v>
      </c>
      <c r="G32" s="176">
        <f>G35+G40</f>
        <v>22948823</v>
      </c>
      <c r="H32" s="171">
        <f>H35+H40</f>
        <v>10533147.249999998</v>
      </c>
    </row>
    <row r="33" spans="2:8" ht="15" customHeight="1">
      <c r="B33" s="80" t="s">
        <v>2</v>
      </c>
      <c r="C33" s="81">
        <v>2591035</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12391207</v>
      </c>
      <c r="H35" s="183">
        <f>D12+D24</f>
        <v>1350470.3499999999</v>
      </c>
    </row>
    <row r="36" spans="2:8" ht="15" customHeight="1">
      <c r="B36" s="4" t="s">
        <v>11</v>
      </c>
      <c r="C36" s="18">
        <v>0</v>
      </c>
      <c r="F36" s="173" t="s">
        <v>166</v>
      </c>
      <c r="G36" s="174">
        <f>C4+C15</f>
        <v>991214</v>
      </c>
      <c r="H36" s="178"/>
    </row>
    <row r="37" spans="2:8" ht="15" customHeight="1">
      <c r="B37" s="4" t="s">
        <v>12</v>
      </c>
      <c r="C37" s="18">
        <v>31552</v>
      </c>
      <c r="F37" s="173" t="s">
        <v>167</v>
      </c>
      <c r="G37" s="174">
        <f>C6</f>
        <v>137638</v>
      </c>
      <c r="H37" s="178"/>
    </row>
    <row r="38" spans="2:8" ht="15" customHeight="1">
      <c r="B38" s="4" t="s">
        <v>13</v>
      </c>
      <c r="C38" s="18">
        <v>0</v>
      </c>
      <c r="F38" s="173" t="s">
        <v>168</v>
      </c>
      <c r="G38" s="174">
        <f>C7+C17</f>
        <v>0</v>
      </c>
      <c r="H38" s="178"/>
    </row>
    <row r="39" spans="2:8" ht="15" customHeight="1">
      <c r="B39" s="2" t="s">
        <v>14</v>
      </c>
      <c r="C39" s="18">
        <v>0</v>
      </c>
      <c r="F39" s="173" t="s">
        <v>76</v>
      </c>
      <c r="G39" s="174">
        <f>C7+C17+C19+C20</f>
        <v>3820212</v>
      </c>
      <c r="H39" s="171">
        <f>C7*D7+C17*D17+C19*D19+C20*D20</f>
        <v>382021.2</v>
      </c>
    </row>
    <row r="40" spans="2:8" ht="15" customHeight="1">
      <c r="B40" s="77" t="s">
        <v>173</v>
      </c>
      <c r="C40" s="78">
        <f>SUM(C36:C39)</f>
        <v>31552</v>
      </c>
      <c r="F40" s="182" t="s">
        <v>115</v>
      </c>
      <c r="G40" s="176">
        <f>G12+G24</f>
        <v>10557616</v>
      </c>
      <c r="H40" s="183">
        <f>H12+H24</f>
        <v>9182676.8999999985</v>
      </c>
    </row>
    <row r="41" spans="2:8" ht="15" customHeight="1">
      <c r="B41" s="4" t="s">
        <v>15</v>
      </c>
      <c r="C41" s="20">
        <f>C42-C40</f>
        <v>1424979</v>
      </c>
      <c r="F41" s="173" t="s">
        <v>160</v>
      </c>
      <c r="G41" s="174">
        <f>C70</f>
        <v>10118429</v>
      </c>
      <c r="H41" s="183">
        <f>H40-H42</f>
        <v>8919164.6999999993</v>
      </c>
    </row>
    <row r="42" spans="2:8" ht="15" customHeight="1">
      <c r="B42" s="80" t="s">
        <v>20</v>
      </c>
      <c r="C42" s="81">
        <v>1456531</v>
      </c>
      <c r="F42" s="184" t="s">
        <v>161</v>
      </c>
      <c r="G42" s="185">
        <f>C82</f>
        <v>439187</v>
      </c>
      <c r="H42" s="186">
        <f>D82</f>
        <v>263512.2</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16480074</v>
      </c>
      <c r="D46" s="73">
        <f>H29</f>
        <v>4064398.2499999981</v>
      </c>
      <c r="F46" s="227"/>
    </row>
    <row r="47" spans="2:8" ht="15" customHeight="1">
      <c r="B47" s="1" t="str">
        <f>"Equity per share ("&amp;Market_currency&amp;")"</f>
        <v>Equity per share (HKD)</v>
      </c>
      <c r="C47" s="135">
        <f>C46*H1/Common_Shares*Exchange_Rate</f>
        <v>3.2370577683579995</v>
      </c>
      <c r="D47" s="135">
        <f>D46*H1/Common_Shares*Exchange_Rate</f>
        <v>0.79833937207218564</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3.0499352531108609E-2</v>
      </c>
      <c r="D50" s="92">
        <f>G31/Normalized_FCF!G8</f>
        <v>1.9246709260867668E-2</v>
      </c>
      <c r="F50" s="227"/>
    </row>
    <row r="51" spans="2:8" ht="15" customHeight="1">
      <c r="B51" s="1" t="s">
        <v>146</v>
      </c>
      <c r="C51" s="164"/>
      <c r="D51" s="89">
        <f>G29/G32</f>
        <v>0.71812284229130185</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0.11557091955785925</v>
      </c>
      <c r="D54" s="89">
        <f>Normalized_FCF!G8/G35</f>
        <v>0.18313978614028481</v>
      </c>
      <c r="F54" s="227"/>
    </row>
    <row r="55" spans="2:8" ht="15" customHeight="1">
      <c r="B55" s="1" t="s">
        <v>118</v>
      </c>
      <c r="C55" s="89">
        <f>Normalized_FCF!C9/G40</f>
        <v>0</v>
      </c>
      <c r="D55" s="89">
        <f>Normalized_FCF!G9/G40</f>
        <v>0</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v>
      </c>
      <c r="F58" s="5"/>
    </row>
    <row r="59" spans="2:8" ht="15" customHeight="1">
      <c r="B59" s="1" t="s">
        <v>89</v>
      </c>
      <c r="C59" s="95"/>
      <c r="D59" s="89">
        <f>G39/G32</f>
        <v>0.16646657652115754</v>
      </c>
      <c r="F59" s="227"/>
    </row>
    <row r="60" spans="2:8" ht="15" customHeight="1">
      <c r="F60" s="227"/>
    </row>
    <row r="61" spans="2:8" ht="15" customHeight="1">
      <c r="B61" s="144" t="s">
        <v>231</v>
      </c>
      <c r="C61" s="214" t="s">
        <v>114</v>
      </c>
      <c r="D61" s="180" t="s">
        <v>91</v>
      </c>
      <c r="F61" s="227"/>
    </row>
    <row r="62" spans="2:8" ht="15" customHeight="1">
      <c r="B62" s="1" t="s">
        <v>210</v>
      </c>
      <c r="C62" s="89">
        <f>IF(G28&lt;=0,0,G28/G29)</f>
        <v>0.14691578448009396</v>
      </c>
      <c r="D62" s="89">
        <f>G28/G29</f>
        <v>0.14691578448009396</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10118429</v>
      </c>
      <c r="D66" s="73">
        <f>C66-D75</f>
        <v>8300850.7282108907</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10118429</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-359583.06091666664</v>
      </c>
      <c r="D73" s="293">
        <f>(Normalized_FCF!C26+Normalized_FCF!C35-Normalized_FCF!C89)/12</f>
        <v>-302929.71196485148</v>
      </c>
      <c r="F73" s="1" t="s">
        <v>279</v>
      </c>
    </row>
    <row r="74" spans="2:6" ht="15" customHeight="1">
      <c r="B74" s="231" t="s">
        <v>260</v>
      </c>
      <c r="C74" s="232">
        <f>-$C$66/C73</f>
        <v>28.139337192930078</v>
      </c>
      <c r="D74" s="232">
        <f>-$C$66/D73</f>
        <v>33.401903479094941</v>
      </c>
      <c r="F74" s="227" t="s">
        <v>258</v>
      </c>
    </row>
    <row r="75" spans="2:6" ht="15" customHeight="1">
      <c r="B75" s="77" t="s">
        <v>259</v>
      </c>
      <c r="C75" s="268"/>
      <c r="D75" s="269">
        <f>MAX(-D73*D76,G5)</f>
        <v>1817578.2717891089</v>
      </c>
      <c r="F75" s="227" t="s">
        <v>280</v>
      </c>
    </row>
    <row r="76" spans="2:6" ht="15" customHeight="1">
      <c r="B76" s="233" t="s">
        <v>261</v>
      </c>
      <c r="C76" s="234"/>
      <c r="D76" s="255">
        <f>IF(D74&lt;=3,1,IF(D74&gt;18,6,2))</f>
        <v>6</v>
      </c>
      <c r="F76" s="227" t="s">
        <v>262</v>
      </c>
    </row>
    <row r="77" spans="2:6" ht="15" customHeight="1">
      <c r="F77" s="227"/>
    </row>
    <row r="78" spans="2:6" ht="15" customHeight="1">
      <c r="B78" s="16" t="s">
        <v>159</v>
      </c>
      <c r="C78" s="213" t="s">
        <v>113</v>
      </c>
      <c r="D78" s="166" t="s">
        <v>33</v>
      </c>
      <c r="F78" s="227"/>
    </row>
    <row r="79" spans="2:6" ht="15" customHeight="1">
      <c r="B79" s="102" t="s">
        <v>148</v>
      </c>
      <c r="C79" s="19">
        <f>G7+G17</f>
        <v>439187</v>
      </c>
      <c r="D79" s="73">
        <f>G7*H7+G17*H17</f>
        <v>263512.2</v>
      </c>
      <c r="F79" s="227"/>
    </row>
    <row r="80" spans="2:6" ht="15" customHeight="1">
      <c r="B80" s="102" t="s">
        <v>152</v>
      </c>
      <c r="C80" s="19">
        <f>G19</f>
        <v>0</v>
      </c>
      <c r="D80" s="73">
        <f>G19*H19</f>
        <v>0</v>
      </c>
      <c r="F80" s="227"/>
    </row>
    <row r="81" spans="2:8" ht="15" customHeight="1">
      <c r="B81" s="102" t="s">
        <v>150</v>
      </c>
      <c r="C81" s="19">
        <f>G9+G21</f>
        <v>0</v>
      </c>
      <c r="D81" s="73">
        <f>G9*H9+G21*H21</f>
        <v>0</v>
      </c>
      <c r="F81" s="227"/>
    </row>
    <row r="82" spans="2:8" ht="15" customHeight="1">
      <c r="B82" s="77" t="s">
        <v>159</v>
      </c>
      <c r="C82" s="78">
        <f>SUM(C79:C81)</f>
        <v>439187</v>
      </c>
      <c r="D82" s="78">
        <f>SUM(D79:D81)</f>
        <v>263512.2</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43677</v>
      </c>
      <c r="D86" s="204">
        <f>C86*scaling_factor/Common_Shares</f>
        <v>8.5791466803226933E-3</v>
      </c>
      <c r="E86" s="218" t="str">
        <f>Market_currency</f>
        <v>HKD</v>
      </c>
    </row>
    <row r="87" spans="2:8" ht="15" customHeight="1">
      <c r="B87" s="216" t="s">
        <v>241</v>
      </c>
      <c r="C87" s="73">
        <f>DCF!F5*Exchange_Rate</f>
        <v>8300850.7282108907</v>
      </c>
      <c r="D87" s="204">
        <f>C87*scaling_factor/Common_Shares</f>
        <v>1.6304740703066758</v>
      </c>
      <c r="E87" s="218" t="str">
        <f>Market_currency</f>
        <v>HKD</v>
      </c>
    </row>
    <row r="88" spans="2:8" ht="15" customHeight="1">
      <c r="B88" s="217" t="s">
        <v>159</v>
      </c>
      <c r="C88" s="73">
        <f>DCF!F6*Exchange_Rate</f>
        <v>263512.2</v>
      </c>
      <c r="D88" s="204">
        <f>C88*scaling_factor/Common_Shares</f>
        <v>5.1759732029547124E-2</v>
      </c>
      <c r="E88" s="218" t="str">
        <f>Market_currency</f>
        <v>HKD</v>
      </c>
    </row>
    <row r="89" spans="2:8" ht="15" customHeight="1">
      <c r="B89" s="77" t="s">
        <v>245</v>
      </c>
      <c r="C89" s="163">
        <f>SUM(C86:C88)</f>
        <v>8608039.9282108899</v>
      </c>
      <c r="D89" s="220">
        <f>SUM(D86:D88)</f>
        <v>1.6908129490165456</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414</v>
      </c>
      <c r="H3" s="104">
        <f>scaling_factor</f>
        <v>1000</v>
      </c>
    </row>
    <row r="4" spans="1:17" ht="15.75" customHeight="1">
      <c r="A4" s="10"/>
      <c r="B4" s="25" t="s">
        <v>0</v>
      </c>
      <c r="C4" s="273">
        <f>G4*0.7</f>
        <v>3539900</v>
      </c>
      <c r="D4" s="54"/>
      <c r="E4" s="240"/>
      <c r="F4" s="54"/>
      <c r="G4" s="278">
        <f>Data!C36</f>
        <v>5057000</v>
      </c>
      <c r="H4" s="278">
        <f>Data!D36</f>
        <v>5891068</v>
      </c>
      <c r="I4" s="278">
        <f>Data!E36</f>
        <v>8214719</v>
      </c>
      <c r="J4" s="278">
        <f>Data!F36</f>
        <v>7075818</v>
      </c>
      <c r="K4" s="278">
        <f>Data!G36</f>
        <v>3996951</v>
      </c>
      <c r="L4" s="278">
        <f>Data!H36</f>
        <v>3869308</v>
      </c>
      <c r="M4" s="278">
        <f>Data!I36</f>
        <v>3686176</v>
      </c>
      <c r="N4" s="278">
        <f>Data!J36</f>
        <v>3471922</v>
      </c>
      <c r="O4" s="278">
        <f>Data!K36</f>
        <v>1809885</v>
      </c>
      <c r="P4" s="278">
        <f>Data!L36</f>
        <v>1996629</v>
      </c>
      <c r="Q4" s="278" t="str">
        <f>Data!M36</f>
        <v/>
      </c>
    </row>
    <row r="5" spans="1:17" ht="15.75" customHeight="1">
      <c r="A5" s="10"/>
      <c r="B5" s="2" t="s">
        <v>43</v>
      </c>
      <c r="C5" s="274">
        <f>C26</f>
        <v>-1898937.8125782176</v>
      </c>
      <c r="E5" s="242"/>
      <c r="G5" s="278">
        <f t="shared" ref="G5:Q5" si="1">G26</f>
        <v>-2578778</v>
      </c>
      <c r="H5" s="278">
        <f t="shared" si="1"/>
        <v>-2639602</v>
      </c>
      <c r="I5" s="278">
        <f t="shared" si="1"/>
        <v>-3273637</v>
      </c>
      <c r="J5" s="278">
        <f t="shared" si="1"/>
        <v>-2950985</v>
      </c>
      <c r="K5" s="278">
        <f t="shared" si="1"/>
        <v>-2444330</v>
      </c>
      <c r="L5" s="278">
        <f t="shared" si="1"/>
        <v>-2130616</v>
      </c>
      <c r="M5" s="278">
        <f t="shared" si="1"/>
        <v>-1994255</v>
      </c>
      <c r="N5" s="278">
        <f t="shared" si="1"/>
        <v>-1803156</v>
      </c>
      <c r="O5" s="278">
        <f t="shared" si="1"/>
        <v>-1370254</v>
      </c>
      <c r="P5" s="278">
        <f t="shared" si="1"/>
        <v>-1710348</v>
      </c>
      <c r="Q5" s="278" t="str">
        <f t="shared" si="1"/>
        <v/>
      </c>
    </row>
    <row r="6" spans="1:17" ht="15.75" customHeight="1">
      <c r="A6" s="10"/>
      <c r="B6" s="30" t="s">
        <v>45</v>
      </c>
      <c r="C6" s="275">
        <f>C4+C5</f>
        <v>1640962.1874217824</v>
      </c>
      <c r="E6" s="242"/>
      <c r="G6" s="275">
        <f>IF(G4="","",G4+G5)</f>
        <v>2478222</v>
      </c>
      <c r="H6" s="275">
        <f t="shared" ref="H6:Q6" si="2">IF(H4="","",H4+H5)</f>
        <v>3251466</v>
      </c>
      <c r="I6" s="275">
        <f t="shared" si="2"/>
        <v>4941082</v>
      </c>
      <c r="J6" s="275">
        <f t="shared" si="2"/>
        <v>4124833</v>
      </c>
      <c r="K6" s="275">
        <f t="shared" si="2"/>
        <v>1552621</v>
      </c>
      <c r="L6" s="275">
        <f t="shared" si="2"/>
        <v>1738692</v>
      </c>
      <c r="M6" s="275">
        <f t="shared" si="2"/>
        <v>1691921</v>
      </c>
      <c r="N6" s="275">
        <f t="shared" si="2"/>
        <v>1668766</v>
      </c>
      <c r="O6" s="275">
        <f t="shared" si="2"/>
        <v>439631</v>
      </c>
      <c r="P6" s="275">
        <f t="shared" si="2"/>
        <v>286281</v>
      </c>
      <c r="Q6" s="275" t="str">
        <f t="shared" si="2"/>
        <v/>
      </c>
    </row>
    <row r="7" spans="1:17" ht="15.75" customHeight="1">
      <c r="A7" s="10"/>
      <c r="B7" s="8" t="s">
        <v>42</v>
      </c>
      <c r="C7" s="274">
        <f>C35</f>
        <v>-208899</v>
      </c>
      <c r="E7" s="242"/>
      <c r="G7" s="274">
        <f t="shared" ref="G7:Q7" si="3">G35</f>
        <v>-208899</v>
      </c>
      <c r="H7" s="274">
        <f t="shared" si="3"/>
        <v>-201296</v>
      </c>
      <c r="I7" s="274">
        <f t="shared" si="3"/>
        <v>-207812</v>
      </c>
      <c r="J7" s="274">
        <f t="shared" si="3"/>
        <v>-207903</v>
      </c>
      <c r="K7" s="274">
        <f t="shared" si="3"/>
        <v>-181914</v>
      </c>
      <c r="L7" s="274">
        <f t="shared" si="3"/>
        <v>-182291</v>
      </c>
      <c r="M7" s="274">
        <f t="shared" si="3"/>
        <v>-205351</v>
      </c>
      <c r="N7" s="274">
        <f t="shared" si="3"/>
        <v>-202034</v>
      </c>
      <c r="O7" s="274">
        <f t="shared" si="3"/>
        <v>-203755</v>
      </c>
      <c r="P7" s="274">
        <f t="shared" si="3"/>
        <v>-341742</v>
      </c>
      <c r="Q7" s="274" t="str">
        <f t="shared" si="3"/>
        <v/>
      </c>
    </row>
    <row r="8" spans="1:17" ht="15.75" customHeight="1">
      <c r="A8" s="10"/>
      <c r="B8" s="28" t="s">
        <v>127</v>
      </c>
      <c r="C8" s="276">
        <f>C6+C7</f>
        <v>1432063.1874217824</v>
      </c>
      <c r="D8" s="56"/>
      <c r="E8" s="248"/>
      <c r="F8" s="56"/>
      <c r="G8" s="275">
        <f>IF(G$4="","",G6+G7)</f>
        <v>2269323</v>
      </c>
      <c r="H8" s="275">
        <f t="shared" ref="H8:Q8" si="4">IF(H$4="","",H6+H7)</f>
        <v>3050170</v>
      </c>
      <c r="I8" s="275">
        <f t="shared" si="4"/>
        <v>4733270</v>
      </c>
      <c r="J8" s="275">
        <f t="shared" si="4"/>
        <v>3916930</v>
      </c>
      <c r="K8" s="275">
        <f t="shared" si="4"/>
        <v>1370707</v>
      </c>
      <c r="L8" s="275">
        <f t="shared" si="4"/>
        <v>1556401</v>
      </c>
      <c r="M8" s="275">
        <f t="shared" si="4"/>
        <v>1486570</v>
      </c>
      <c r="N8" s="275">
        <f t="shared" si="4"/>
        <v>1466732</v>
      </c>
      <c r="O8" s="275">
        <f t="shared" si="4"/>
        <v>235876</v>
      </c>
      <c r="P8" s="275">
        <f t="shared" si="4"/>
        <v>-55461</v>
      </c>
      <c r="Q8" s="275" t="str">
        <f t="shared" si="4"/>
        <v/>
      </c>
    </row>
    <row r="9" spans="1:17" ht="15.75" customHeight="1">
      <c r="A9" s="10"/>
      <c r="B9" s="26" t="s">
        <v>419</v>
      </c>
      <c r="C9" s="308">
        <f>C61</f>
        <v>0</v>
      </c>
      <c r="D9" s="55"/>
      <c r="E9" s="241"/>
      <c r="F9" s="55"/>
      <c r="G9" s="278">
        <f>G59</f>
        <v>0</v>
      </c>
      <c r="H9" s="278">
        <f t="shared" ref="H9:Q9" si="5">H59</f>
        <v>0</v>
      </c>
      <c r="I9" s="278">
        <f t="shared" si="5"/>
        <v>0</v>
      </c>
      <c r="J9" s="278">
        <f t="shared" si="5"/>
        <v>0</v>
      </c>
      <c r="K9" s="278">
        <f t="shared" si="5"/>
        <v>0</v>
      </c>
      <c r="L9" s="278">
        <f t="shared" si="5"/>
        <v>0</v>
      </c>
      <c r="M9" s="278">
        <f t="shared" si="5"/>
        <v>0</v>
      </c>
      <c r="N9" s="278">
        <f t="shared" si="5"/>
        <v>0</v>
      </c>
      <c r="O9" s="278">
        <f t="shared" si="5"/>
        <v>0</v>
      </c>
      <c r="P9" s="278">
        <f t="shared" si="5"/>
        <v>0</v>
      </c>
      <c r="Q9" s="278" t="str">
        <f t="shared" si="5"/>
        <v/>
      </c>
    </row>
    <row r="10" spans="1:17" ht="15.75" customHeight="1">
      <c r="A10" s="10"/>
      <c r="B10" s="2" t="s">
        <v>65</v>
      </c>
      <c r="C10" s="274">
        <f>C48</f>
        <v>8284.8496307346541</v>
      </c>
      <c r="E10" s="242"/>
      <c r="G10" s="274">
        <f>G48</f>
        <v>31805.381306798692</v>
      </c>
      <c r="H10" s="274">
        <f t="shared" ref="H10:Q10" si="6">H48</f>
        <v>28269.677520879704</v>
      </c>
      <c r="I10" s="274">
        <f t="shared" si="6"/>
        <v>17872.496746841287</v>
      </c>
      <c r="J10" s="274">
        <f t="shared" si="6"/>
        <v>11223.329631461824</v>
      </c>
      <c r="K10" s="274">
        <f t="shared" si="6"/>
        <v>0</v>
      </c>
      <c r="L10" s="274">
        <f t="shared" si="6"/>
        <v>0</v>
      </c>
      <c r="M10" s="274">
        <f t="shared" si="6"/>
        <v>0</v>
      </c>
      <c r="N10" s="274">
        <f t="shared" si="6"/>
        <v>0</v>
      </c>
      <c r="O10" s="274">
        <f t="shared" si="6"/>
        <v>0</v>
      </c>
      <c r="P10" s="274">
        <f t="shared" si="6"/>
        <v>0</v>
      </c>
      <c r="Q10" s="274" t="str">
        <f t="shared" si="6"/>
        <v/>
      </c>
    </row>
    <row r="11" spans="1:17" ht="15.75" customHeight="1">
      <c r="A11" s="10"/>
      <c r="B11" s="67" t="s">
        <v>137</v>
      </c>
      <c r="C11" s="275">
        <f>SUM(C8:C10)</f>
        <v>1440348.0370525171</v>
      </c>
      <c r="E11" s="242"/>
      <c r="G11" s="275">
        <f t="shared" ref="G11:Q11" si="7">IF(G$4="","",SUM(G8:G10))</f>
        <v>2301128.3813067987</v>
      </c>
      <c r="H11" s="275">
        <f t="shared" si="7"/>
        <v>3078439.6775208795</v>
      </c>
      <c r="I11" s="275">
        <f t="shared" si="7"/>
        <v>4751142.4967468409</v>
      </c>
      <c r="J11" s="275">
        <f t="shared" si="7"/>
        <v>3928153.3296314618</v>
      </c>
      <c r="K11" s="275">
        <f t="shared" si="7"/>
        <v>1370707</v>
      </c>
      <c r="L11" s="275">
        <f t="shared" si="7"/>
        <v>1556401</v>
      </c>
      <c r="M11" s="275">
        <f t="shared" si="7"/>
        <v>1486570</v>
      </c>
      <c r="N11" s="275">
        <f t="shared" si="7"/>
        <v>1466732</v>
      </c>
      <c r="O11" s="275">
        <f t="shared" si="7"/>
        <v>235876</v>
      </c>
      <c r="P11" s="275">
        <f t="shared" si="7"/>
        <v>-55461</v>
      </c>
      <c r="Q11" s="275" t="str">
        <f t="shared" si="7"/>
        <v/>
      </c>
    </row>
    <row r="12" spans="1:17" ht="15.75" customHeight="1">
      <c r="A12" s="10"/>
      <c r="B12" s="2" t="s">
        <v>60</v>
      </c>
      <c r="C12" s="274">
        <f>-C11*C41</f>
        <v>-360087.00926312926</v>
      </c>
      <c r="E12" s="242"/>
      <c r="G12" s="274">
        <f>Data!C46</f>
        <v>-710922</v>
      </c>
      <c r="H12" s="274">
        <f>Data!D46</f>
        <v>-917979</v>
      </c>
      <c r="I12" s="274">
        <f>Data!E46</f>
        <v>-1317738</v>
      </c>
      <c r="J12" s="274">
        <f>Data!F46</f>
        <v>-1071328</v>
      </c>
      <c r="K12" s="274">
        <f>Data!G46</f>
        <v>-425331</v>
      </c>
      <c r="L12" s="274">
        <f>Data!H46</f>
        <v>-456674</v>
      </c>
      <c r="M12" s="274">
        <f>Data!I46</f>
        <v>-487781</v>
      </c>
      <c r="N12" s="274">
        <f>Data!J46</f>
        <v>-465034</v>
      </c>
      <c r="O12" s="274">
        <f>Data!K46</f>
        <v>-76600</v>
      </c>
      <c r="P12" s="274">
        <f>Data!L46</f>
        <v>124459</v>
      </c>
      <c r="Q12" s="274" t="str">
        <f>Data!M46</f>
        <v/>
      </c>
    </row>
    <row r="13" spans="1:17" ht="15.75" customHeight="1">
      <c r="A13" s="10"/>
      <c r="B13" s="38" t="s">
        <v>208</v>
      </c>
      <c r="C13" s="274">
        <f>-C4*C79</f>
        <v>-261314.97537104544</v>
      </c>
      <c r="D13" s="57"/>
      <c r="E13" s="249"/>
      <c r="F13" s="57"/>
      <c r="G13" s="278">
        <f>Data!C48</f>
        <v>-320909</v>
      </c>
      <c r="H13" s="278">
        <f>Data!D48</f>
        <v>-411691</v>
      </c>
      <c r="I13" s="278">
        <f>Data!E48</f>
        <v>-592781</v>
      </c>
      <c r="J13" s="278">
        <f>Data!F48</f>
        <v>-522336</v>
      </c>
      <c r="K13" s="278">
        <f>Data!G48</f>
        <v>-107242</v>
      </c>
      <c r="L13" s="278">
        <f>Data!H48</f>
        <v>-35728</v>
      </c>
      <c r="M13" s="278">
        <f>Data!I48</f>
        <v>-51440</v>
      </c>
      <c r="N13" s="278">
        <f>Data!J48</f>
        <v>-101935</v>
      </c>
      <c r="O13" s="278">
        <f>Data!K48</f>
        <v>0</v>
      </c>
      <c r="P13" s="278">
        <f>Data!L48</f>
        <v>0</v>
      </c>
      <c r="Q13" s="278" t="str">
        <f>Data!M48</f>
        <v/>
      </c>
    </row>
    <row r="14" spans="1:17" ht="15.75" customHeight="1">
      <c r="A14" s="10"/>
      <c r="B14" s="39" t="s">
        <v>129</v>
      </c>
      <c r="C14" s="277">
        <f>SUM(C11:C13)</f>
        <v>818946.05241834244</v>
      </c>
      <c r="D14" s="58"/>
      <c r="E14" s="250"/>
      <c r="F14" s="58"/>
      <c r="G14" s="275">
        <f t="shared" ref="G14:Q14" si="8">IF(G$4="","",SUM(G11:G13))</f>
        <v>1269297.3813067987</v>
      </c>
      <c r="H14" s="275">
        <f t="shared" si="8"/>
        <v>1748769.6775208795</v>
      </c>
      <c r="I14" s="275">
        <f t="shared" si="8"/>
        <v>2840623.4967468409</v>
      </c>
      <c r="J14" s="275">
        <f t="shared" si="8"/>
        <v>2334489.3296314618</v>
      </c>
      <c r="K14" s="275">
        <f t="shared" si="8"/>
        <v>838134</v>
      </c>
      <c r="L14" s="275">
        <f t="shared" si="8"/>
        <v>1063999</v>
      </c>
      <c r="M14" s="275">
        <f t="shared" si="8"/>
        <v>947349</v>
      </c>
      <c r="N14" s="275">
        <f t="shared" si="8"/>
        <v>899763</v>
      </c>
      <c r="O14" s="275">
        <f t="shared" si="8"/>
        <v>159276</v>
      </c>
      <c r="P14" s="275">
        <f t="shared" si="8"/>
        <v>68998</v>
      </c>
      <c r="Q14" s="275" t="str">
        <f t="shared" si="8"/>
        <v/>
      </c>
    </row>
    <row r="15" spans="1:17" ht="15.75" customHeight="1">
      <c r="A15" s="10"/>
      <c r="B15" s="2" t="s">
        <v>62</v>
      </c>
      <c r="C15" s="274">
        <f>BS!$G$39*BS!D58</f>
        <v>0</v>
      </c>
      <c r="E15" s="242"/>
      <c r="G15" s="274">
        <f>IF(Data!C61="","",-Data!C61)</f>
        <v>0</v>
      </c>
      <c r="H15" s="274">
        <f>IF(Data!D61="","",-Data!D61)</f>
        <v>0</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401</v>
      </c>
      <c r="C16" s="274">
        <f>-C4*C82</f>
        <v>0</v>
      </c>
      <c r="E16" s="242"/>
      <c r="G16" s="274">
        <f>Data!C62</f>
        <v>0</v>
      </c>
      <c r="H16" s="274">
        <f>Data!D62</f>
        <v>0</v>
      </c>
      <c r="I16" s="274">
        <f>Data!E62</f>
        <v>0</v>
      </c>
      <c r="J16" s="274">
        <f>Data!F62</f>
        <v>0</v>
      </c>
      <c r="K16" s="274">
        <f>Data!G62</f>
        <v>0</v>
      </c>
      <c r="L16" s="274">
        <f>Data!H62</f>
        <v>0</v>
      </c>
      <c r="M16" s="274">
        <f>Data!I62</f>
        <v>0</v>
      </c>
      <c r="N16" s="274">
        <f>Data!J62</f>
        <v>0</v>
      </c>
      <c r="O16" s="274">
        <f>Data!K62</f>
        <v>0</v>
      </c>
      <c r="P16" s="274">
        <f>Data!L62</f>
        <v>0</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818946.05241834244</v>
      </c>
      <c r="D19" s="26"/>
      <c r="E19" s="239"/>
      <c r="F19" s="26"/>
      <c r="G19" s="279">
        <f t="shared" ref="G19:Q19" si="9">IF(G$4="","",G14+G17)</f>
        <v>1269297.3813067987</v>
      </c>
      <c r="H19" s="279">
        <f t="shared" si="9"/>
        <v>1748769.6775208795</v>
      </c>
      <c r="I19" s="279">
        <f t="shared" si="9"/>
        <v>2840623.4967468409</v>
      </c>
      <c r="J19" s="279">
        <f t="shared" si="9"/>
        <v>2334489.3296314618</v>
      </c>
      <c r="K19" s="279">
        <f t="shared" si="9"/>
        <v>838134</v>
      </c>
      <c r="L19" s="279">
        <f t="shared" si="9"/>
        <v>1063999</v>
      </c>
      <c r="M19" s="279">
        <f t="shared" si="9"/>
        <v>947349</v>
      </c>
      <c r="N19" s="279">
        <f t="shared" si="9"/>
        <v>899763</v>
      </c>
      <c r="O19" s="279">
        <f t="shared" si="9"/>
        <v>159276</v>
      </c>
      <c r="P19" s="279">
        <f t="shared" si="9"/>
        <v>68998</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-1776157.5867924478</v>
      </c>
      <c r="D23" s="55"/>
      <c r="E23" s="241"/>
      <c r="F23" s="55"/>
      <c r="G23" s="278">
        <f>Data!C37</f>
        <v>-2468686</v>
      </c>
      <c r="H23" s="278">
        <f>Data!D37</f>
        <v>-2425040</v>
      </c>
      <c r="I23" s="278">
        <f>Data!E37</f>
        <v>-2925125</v>
      </c>
      <c r="J23" s="278">
        <f>Data!F37</f>
        <v>-2681244</v>
      </c>
      <c r="K23" s="278">
        <f>Data!G37</f>
        <v>-2127744</v>
      </c>
      <c r="L23" s="278">
        <f>Data!H37</f>
        <v>-1880565</v>
      </c>
      <c r="M23" s="278">
        <f>Data!I37</f>
        <v>-1785634</v>
      </c>
      <c r="N23" s="278">
        <f>Data!J37</f>
        <v>-1596518</v>
      </c>
      <c r="O23" s="278">
        <f>Data!K37</f>
        <v>-1202842</v>
      </c>
      <c r="P23" s="278">
        <f>Data!L37</f>
        <v>-1508441</v>
      </c>
      <c r="Q23" s="278" t="str">
        <f>Data!M37</f>
        <v/>
      </c>
    </row>
    <row r="24" spans="1:17" ht="15.75" customHeight="1">
      <c r="A24" s="10"/>
      <c r="B24" s="65" t="s">
        <v>59</v>
      </c>
      <c r="C24" s="274">
        <f>-C4*C30</f>
        <v>-122780.22578576983</v>
      </c>
      <c r="D24" s="26"/>
      <c r="E24" s="239"/>
      <c r="F24" s="26"/>
      <c r="G24" s="278">
        <f>Data!C40</f>
        <v>-110092</v>
      </c>
      <c r="H24" s="278">
        <f>Data!D40</f>
        <v>-214562</v>
      </c>
      <c r="I24" s="278">
        <f>Data!E40</f>
        <v>-348512</v>
      </c>
      <c r="J24" s="278">
        <f>Data!F40</f>
        <v>-269741</v>
      </c>
      <c r="K24" s="278">
        <f>Data!G40</f>
        <v>-316586</v>
      </c>
      <c r="L24" s="278">
        <f>Data!H40</f>
        <v>-250051</v>
      </c>
      <c r="M24" s="278">
        <f>Data!I40</f>
        <v>-208621</v>
      </c>
      <c r="N24" s="278">
        <f>Data!J40</f>
        <v>-206638</v>
      </c>
      <c r="O24" s="278">
        <f>Data!K40</f>
        <v>-167412</v>
      </c>
      <c r="P24" s="278">
        <f>Data!L40</f>
        <v>-201907</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-1898937.8125782176</v>
      </c>
      <c r="D26" s="9"/>
      <c r="E26" s="247"/>
      <c r="F26" s="9"/>
      <c r="G26" s="275">
        <f>IF(G$4="","",SUM(G23:G25))</f>
        <v>-2578778</v>
      </c>
      <c r="H26" s="275">
        <f t="shared" ref="H26:Q26" si="10">IF(H$4="","",SUM(H23:H25))</f>
        <v>-2639602</v>
      </c>
      <c r="I26" s="275">
        <f t="shared" si="10"/>
        <v>-3273637</v>
      </c>
      <c r="J26" s="275">
        <f t="shared" si="10"/>
        <v>-2950985</v>
      </c>
      <c r="K26" s="275">
        <f t="shared" si="10"/>
        <v>-2444330</v>
      </c>
      <c r="L26" s="275">
        <f t="shared" si="10"/>
        <v>-2130616</v>
      </c>
      <c r="M26" s="275">
        <f t="shared" si="10"/>
        <v>-1994255</v>
      </c>
      <c r="N26" s="275">
        <f t="shared" si="10"/>
        <v>-1803156</v>
      </c>
      <c r="O26" s="275">
        <f t="shared" si="10"/>
        <v>-1370254</v>
      </c>
      <c r="P26" s="275">
        <f t="shared" si="10"/>
        <v>-1710348</v>
      </c>
      <c r="Q26" s="275" t="str">
        <f t="shared" si="10"/>
        <v/>
      </c>
    </row>
    <row r="27" spans="1:17" ht="15.75" customHeight="1">
      <c r="A27" s="10"/>
      <c r="E27" s="242"/>
    </row>
    <row r="28" spans="1:17" ht="15.75" customHeight="1">
      <c r="A28" s="10"/>
      <c r="B28" s="61" t="s">
        <v>175</v>
      </c>
      <c r="E28" s="242"/>
    </row>
    <row r="29" spans="1:17" ht="15.75" customHeight="1">
      <c r="A29" s="10"/>
      <c r="B29" s="25" t="s">
        <v>40</v>
      </c>
      <c r="C29" s="60">
        <f>AVERAGE(G29:P29)</f>
        <v>0.50175360512795497</v>
      </c>
      <c r="D29" s="25"/>
      <c r="E29" s="240"/>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40"/>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42"/>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-208899</v>
      </c>
      <c r="D35" s="55"/>
      <c r="E35" s="241"/>
      <c r="F35" s="55"/>
      <c r="G35" s="275">
        <f>IF(G4="","",Data!C41)</f>
        <v>-208899</v>
      </c>
      <c r="H35" s="275">
        <f>IF(H4="","",Data!D41)</f>
        <v>-201296</v>
      </c>
      <c r="I35" s="275">
        <f>IF(I4="","",Data!E41)</f>
        <v>-207812</v>
      </c>
      <c r="J35" s="275">
        <f>IF(J4="","",Data!F41)</f>
        <v>-207903</v>
      </c>
      <c r="K35" s="275">
        <f>IF(K4="","",Data!G41)</f>
        <v>-181914</v>
      </c>
      <c r="L35" s="275">
        <f>IF(L4="","",Data!H41)</f>
        <v>-182291</v>
      </c>
      <c r="M35" s="275">
        <f>IF(M4="","",Data!I41)</f>
        <v>-205351</v>
      </c>
      <c r="N35" s="275">
        <f>IF(N4="","",Data!J41)</f>
        <v>-202034</v>
      </c>
      <c r="O35" s="275">
        <f>IF(O4="","",Data!K41)</f>
        <v>-203755</v>
      </c>
      <c r="P35" s="275">
        <f>IF(P4="","",Data!L41)</f>
        <v>-341742</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5.9012683974123563E-2</v>
      </c>
      <c r="E38" s="242"/>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407</v>
      </c>
      <c r="F41" s="26"/>
      <c r="G41" s="6">
        <f t="shared" ref="G41:Q41" si="16">IF(G$4="","",-G12/SUM(G8+G9,G10))</f>
        <v>0.30894495316957116</v>
      </c>
      <c r="H41" s="6">
        <f t="shared" si="16"/>
        <v>0.29819619552826981</v>
      </c>
      <c r="I41" s="6">
        <f t="shared" si="16"/>
        <v>0.27735181609523807</v>
      </c>
      <c r="J41" s="6">
        <f t="shared" si="16"/>
        <v>0.27273069814220102</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-2620.62</v>
      </c>
      <c r="E45" s="242"/>
      <c r="G45" s="274">
        <f>Data!C51</f>
        <v>-1746</v>
      </c>
      <c r="H45" s="274">
        <f>Data!D51</f>
        <v>-2921</v>
      </c>
      <c r="I45" s="274">
        <f>Data!E51</f>
        <v>-1360</v>
      </c>
      <c r="J45" s="274">
        <f>Data!F51</f>
        <v>-1275</v>
      </c>
      <c r="K45" s="274">
        <f>Data!G51</f>
        <v>0</v>
      </c>
      <c r="L45" s="274">
        <f>Data!H51</f>
        <v>0</v>
      </c>
      <c r="M45" s="274">
        <f>Data!I51</f>
        <v>0</v>
      </c>
      <c r="N45" s="274">
        <f>Data!J51</f>
        <v>0</v>
      </c>
      <c r="O45" s="274">
        <f>Data!K51</f>
        <v>0</v>
      </c>
      <c r="P45" s="274">
        <f>Data!L51</f>
        <v>0</v>
      </c>
      <c r="Q45" s="274" t="str">
        <f>Data!M51</f>
        <v/>
      </c>
    </row>
    <row r="46" spans="1:17" ht="15.75" customHeight="1">
      <c r="A46" s="10"/>
      <c r="B46" s="2" t="s">
        <v>273</v>
      </c>
      <c r="C46" s="274">
        <f>BS!D75*C51</f>
        <v>10905.469630734653</v>
      </c>
      <c r="E46" s="242"/>
      <c r="G46" s="282">
        <f t="shared" ref="G46:Q46" si="17">IFERROR(IF(G$4="","",($C$46/$C$47)*G47),0)</f>
        <v>33551.381306798692</v>
      </c>
      <c r="H46" s="282">
        <f t="shared" si="17"/>
        <v>31190.677520879704</v>
      </c>
      <c r="I46" s="282">
        <f t="shared" si="17"/>
        <v>19232.496746841287</v>
      </c>
      <c r="J46" s="282">
        <f t="shared" si="17"/>
        <v>12498.329631461824</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60710.574000000001</v>
      </c>
      <c r="D47" s="253"/>
      <c r="E47" s="254"/>
      <c r="F47" s="253"/>
      <c r="G47" s="286">
        <f>Data!C52</f>
        <v>186780</v>
      </c>
      <c r="H47" s="286">
        <f>Data!D52</f>
        <v>173638</v>
      </c>
      <c r="I47" s="286">
        <f>Data!E52</f>
        <v>107067</v>
      </c>
      <c r="J47" s="286">
        <f>Data!F52</f>
        <v>69578</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8284.8496307346541</v>
      </c>
      <c r="E48" s="242"/>
      <c r="G48" s="275">
        <f>IF(G$4="","",(G45+G46))</f>
        <v>31805.381306798692</v>
      </c>
      <c r="H48" s="275">
        <f t="shared" ref="H48:Q48" si="18">IF(H$4="","",(H45+H46))</f>
        <v>28269.677520879704</v>
      </c>
      <c r="I48" s="275">
        <f t="shared" si="18"/>
        <v>17872.496746841287</v>
      </c>
      <c r="J48" s="275">
        <f t="shared" si="18"/>
        <v>11223.329631461824</v>
      </c>
      <c r="K48" s="275">
        <f t="shared" si="18"/>
        <v>0</v>
      </c>
      <c r="L48" s="275">
        <f t="shared" si="18"/>
        <v>0</v>
      </c>
      <c r="M48" s="275">
        <f t="shared" si="18"/>
        <v>0</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1.845938732188564E-2</v>
      </c>
      <c r="H51" s="152"/>
      <c r="I51" s="152"/>
      <c r="J51" s="152"/>
      <c r="K51" s="152"/>
      <c r="L51" s="152"/>
      <c r="M51" s="152"/>
      <c r="N51" s="152"/>
      <c r="O51" s="152"/>
      <c r="P51" s="152"/>
      <c r="Q51" s="152"/>
    </row>
    <row r="52" spans="1:17" ht="15.75" customHeight="1">
      <c r="A52" s="10"/>
      <c r="B52" s="8" t="s">
        <v>84</v>
      </c>
      <c r="C52" s="79">
        <v>0.06</v>
      </c>
      <c r="E52" s="239"/>
      <c r="G52" s="22">
        <f>IFERROR(ABS(Normalized_FCF!G45/BS!$G$31),0)</f>
        <v>3.9975273026993614E-2</v>
      </c>
      <c r="H52" s="152"/>
      <c r="I52" s="152"/>
      <c r="J52" s="152"/>
      <c r="K52" s="152"/>
      <c r="L52" s="152"/>
      <c r="M52" s="152"/>
      <c r="N52" s="152"/>
      <c r="O52" s="152"/>
      <c r="P52" s="152"/>
      <c r="Q52" s="152"/>
    </row>
    <row r="53" spans="1:17" ht="15.75" customHeight="1">
      <c r="A53" s="10"/>
      <c r="B53" s="25" t="s">
        <v>87</v>
      </c>
      <c r="C53" s="40">
        <f>-C8/C45</f>
        <v>546.45968794475448</v>
      </c>
      <c r="E53" s="242"/>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0</v>
      </c>
      <c r="E57" s="242"/>
      <c r="G57" s="274">
        <f>Data!C55</f>
        <v>0</v>
      </c>
      <c r="H57" s="274">
        <f>Data!D55</f>
        <v>0</v>
      </c>
      <c r="I57" s="274">
        <f>Data!E55</f>
        <v>0</v>
      </c>
      <c r="J57" s="274">
        <f>Data!F55</f>
        <v>0</v>
      </c>
      <c r="K57" s="274">
        <f>Data!G55</f>
        <v>0</v>
      </c>
      <c r="L57" s="274">
        <f>Data!H55</f>
        <v>0</v>
      </c>
      <c r="M57" s="274">
        <f>Data!I55</f>
        <v>0</v>
      </c>
      <c r="N57" s="274">
        <f>Data!J55</f>
        <v>0</v>
      </c>
      <c r="O57" s="274">
        <f>Data!K55</f>
        <v>0</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0</v>
      </c>
      <c r="E59" s="242"/>
      <c r="G59" s="275">
        <f t="shared" ref="G59:Q59" si="20">IF(G4="","",SUM(G56:G58))</f>
        <v>0</v>
      </c>
      <c r="H59" s="275">
        <f t="shared" si="20"/>
        <v>0</v>
      </c>
      <c r="I59" s="275">
        <f t="shared" si="20"/>
        <v>0</v>
      </c>
      <c r="J59" s="275">
        <f t="shared" si="20"/>
        <v>0</v>
      </c>
      <c r="K59" s="275">
        <f t="shared" si="20"/>
        <v>0</v>
      </c>
      <c r="L59" s="275">
        <f t="shared" si="20"/>
        <v>0</v>
      </c>
      <c r="M59" s="275">
        <f t="shared" si="20"/>
        <v>0</v>
      </c>
      <c r="N59" s="275">
        <f t="shared" si="20"/>
        <v>0</v>
      </c>
      <c r="O59" s="275">
        <f t="shared" si="20"/>
        <v>0</v>
      </c>
      <c r="P59" s="275">
        <f t="shared" si="20"/>
        <v>0</v>
      </c>
      <c r="Q59" s="275" t="str">
        <f t="shared" si="20"/>
        <v/>
      </c>
    </row>
    <row r="60" spans="1:17" ht="15.75" customHeight="1">
      <c r="A60" s="10"/>
      <c r="B60" s="38" t="s">
        <v>135</v>
      </c>
      <c r="C60" s="287">
        <v>0</v>
      </c>
      <c r="E60" s="240" t="s">
        <v>265</v>
      </c>
      <c r="G60" s="274">
        <f>Data!C58</f>
        <v>71540</v>
      </c>
      <c r="H60" s="274">
        <f>Data!D58</f>
        <v>-1970</v>
      </c>
      <c r="I60" s="274">
        <f>Data!E58</f>
        <v>-213084</v>
      </c>
      <c r="J60" s="274">
        <f>Data!F58</f>
        <v>146926</v>
      </c>
      <c r="K60" s="274">
        <f>Data!G58</f>
        <v>241907</v>
      </c>
      <c r="L60" s="274">
        <f>Data!H58</f>
        <v>76414</v>
      </c>
      <c r="M60" s="274">
        <f>Data!I58</f>
        <v>153139</v>
      </c>
      <c r="N60" s="274">
        <f>Data!J58</f>
        <v>180886</v>
      </c>
      <c r="O60" s="274">
        <f>Data!K58</f>
        <v>-91620</v>
      </c>
      <c r="P60" s="274">
        <f>Data!L58</f>
        <v>-780473</v>
      </c>
      <c r="Q60" s="274" t="str">
        <f>Data!M58</f>
        <v/>
      </c>
    </row>
    <row r="61" spans="1:17" ht="15.75" customHeight="1">
      <c r="A61" s="10"/>
      <c r="B61" s="30" t="s">
        <v>164</v>
      </c>
      <c r="C61" s="275">
        <f>C59+C60</f>
        <v>0</v>
      </c>
      <c r="E61" s="242"/>
      <c r="G61" s="275">
        <f t="shared" ref="G61:Q61" si="21">IF(G4="","",G59+G60)</f>
        <v>71540</v>
      </c>
      <c r="H61" s="275">
        <f t="shared" si="21"/>
        <v>-1970</v>
      </c>
      <c r="I61" s="275">
        <f t="shared" si="21"/>
        <v>-213084</v>
      </c>
      <c r="J61" s="275">
        <f t="shared" si="21"/>
        <v>146926</v>
      </c>
      <c r="K61" s="275">
        <f t="shared" si="21"/>
        <v>241907</v>
      </c>
      <c r="L61" s="275">
        <f t="shared" si="21"/>
        <v>76414</v>
      </c>
      <c r="M61" s="275">
        <f t="shared" si="21"/>
        <v>153139</v>
      </c>
      <c r="N61" s="275">
        <f t="shared" si="21"/>
        <v>180886</v>
      </c>
      <c r="O61" s="275">
        <f t="shared" si="21"/>
        <v>-91620</v>
      </c>
      <c r="P61" s="275">
        <f t="shared" si="21"/>
        <v>-780473</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f>G59/BS!C70</f>
        <v>0</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9"/>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9"/>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5.9012683974123563E-2</v>
      </c>
      <c r="D73" s="26"/>
      <c r="E73" s="239"/>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0.40454905150478332</v>
      </c>
      <c r="D74" s="26"/>
      <c r="E74" s="239"/>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9"/>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2.3404191165667543E-3</v>
      </c>
      <c r="D76" s="26"/>
      <c r="E76" s="239"/>
      <c r="F76" s="26"/>
      <c r="G76" s="6">
        <f t="shared" ref="G76:Q76" si="28">IF(G$4="","",ABS(G10/G$4))</f>
        <v>6.2893773594618731E-3</v>
      </c>
      <c r="H76" s="6">
        <f t="shared" si="28"/>
        <v>4.7987355638875167E-3</v>
      </c>
      <c r="I76" s="6">
        <f t="shared" si="28"/>
        <v>2.1756674509306145E-3</v>
      </c>
      <c r="J76" s="6">
        <f t="shared" si="28"/>
        <v>1.5861529552430296E-3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0.40688947062135006</v>
      </c>
      <c r="D77" s="26"/>
      <c r="E77" s="239"/>
      <c r="F77" s="26"/>
      <c r="G77" s="62">
        <f t="shared" ref="G77:Q77" si="29">IF(G$4="","",G11/G$4)</f>
        <v>0.45503824032169243</v>
      </c>
      <c r="H77" s="62">
        <f t="shared" si="29"/>
        <v>0.52256054038433775</v>
      </c>
      <c r="I77" s="62">
        <f t="shared" si="29"/>
        <v>0.57836944839462445</v>
      </c>
      <c r="J77" s="62">
        <f t="shared" si="29"/>
        <v>0.55515183256995326</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0.10172236765533751</v>
      </c>
      <c r="D78" s="26"/>
      <c r="E78" s="239"/>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8">
        <f>MIN(BS!C62,MAX(G79:K79))</f>
        <v>7.3819874960039958E-2</v>
      </c>
      <c r="D79" s="26"/>
      <c r="E79" s="239"/>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0.2313472280059726</v>
      </c>
      <c r="D80" s="26"/>
      <c r="E80" s="239"/>
      <c r="F80" s="26"/>
      <c r="G80" s="62">
        <f t="shared" ref="G80:Q80" si="32">IF(G$4="","",ABS(G14/G$4))</f>
        <v>0.25099809794478911</v>
      </c>
      <c r="H80" s="62">
        <f t="shared" si="32"/>
        <v>0.29685104254795219</v>
      </c>
      <c r="I80" s="62">
        <f t="shared" si="32"/>
        <v>0.34579679435740174</v>
      </c>
      <c r="J80" s="62">
        <f t="shared" si="32"/>
        <v>0.3299250107381877</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9"/>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40"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0.2313472280059726</v>
      </c>
      <c r="D85" s="72"/>
      <c r="E85" s="239"/>
      <c r="F85" s="72"/>
      <c r="G85" s="62">
        <f t="shared" ref="G85:Q85" si="35">IF(G$4="","",ABS(G19/G$4))</f>
        <v>0.25099809794478911</v>
      </c>
      <c r="H85" s="62">
        <f t="shared" si="35"/>
        <v>0.29685104254795219</v>
      </c>
      <c r="I85" s="62">
        <f t="shared" si="35"/>
        <v>0.34579679435740174</v>
      </c>
      <c r="J85" s="62">
        <f t="shared" si="35"/>
        <v>0.3299250107381877</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0.3</v>
      </c>
      <c r="E88" s="242"/>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42"/>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1.8649821028990061</v>
      </c>
      <c r="E90" s="242"/>
      <c r="G90" s="153">
        <f t="shared" ref="G90:Q90" si="37">IF(G$4="","",G88/(G19*scaling_factor/Common_Shares))</f>
        <v>1.203279667549267</v>
      </c>
      <c r="H90" s="153">
        <f t="shared" si="37"/>
        <v>0.81514360291335763</v>
      </c>
      <c r="I90" s="153">
        <f t="shared" si="37"/>
        <v>0.77066118885768686</v>
      </c>
      <c r="J90" s="153">
        <f t="shared" si="37"/>
        <v>0</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332</v>
      </c>
      <c r="C91" s="300">
        <v>0.1</v>
      </c>
      <c r="E91" s="242"/>
      <c r="G91" s="301"/>
      <c r="H91" s="301"/>
      <c r="I91" s="301"/>
      <c r="J91" s="301"/>
      <c r="K91" s="301"/>
      <c r="L91" s="301"/>
      <c r="M91" s="301"/>
      <c r="N91" s="301"/>
      <c r="O91" s="301"/>
      <c r="P91" s="301"/>
      <c r="Q91" s="301"/>
    </row>
    <row r="92" spans="1:17" ht="15.75" customHeight="1">
      <c r="A92" s="10"/>
      <c r="B92" s="2" t="s">
        <v>331</v>
      </c>
      <c r="C92" s="22">
        <f>(C88*(1-dividend_tax_rate))/Market_Price</f>
        <v>9.7826086956521757E-2</v>
      </c>
      <c r="E92" s="242"/>
      <c r="G92" s="22">
        <f t="shared" ref="G92:Q92" si="38">IF(G$4="","",(G88*(1-dividend_tax_rate))/Market_Price)</f>
        <v>9.7826086956521757E-2</v>
      </c>
      <c r="H92" s="22">
        <f t="shared" si="38"/>
        <v>9.1304347826086985E-2</v>
      </c>
      <c r="I92" s="22">
        <f t="shared" si="38"/>
        <v>0.14021739130434785</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-0.30000000000000004</v>
      </c>
      <c r="D95" s="26"/>
      <c r="E95" s="239"/>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-0.37406880522044106</v>
      </c>
      <c r="D96" s="26"/>
      <c r="E96" s="239"/>
      <c r="F96" s="26"/>
      <c r="G96" s="6">
        <f t="shared" ref="G96:Q96" si="40">IF(H5="","",G11/H11-1)</f>
        <v>-0.2525017143880055</v>
      </c>
      <c r="H96" s="6">
        <f t="shared" si="40"/>
        <v>-0.3520632816993553</v>
      </c>
      <c r="I96" s="6">
        <f t="shared" si="40"/>
        <v>0.20951044881758518</v>
      </c>
      <c r="J96" s="6">
        <f t="shared" si="40"/>
        <v>1.8657862910391949</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22948823</v>
      </c>
      <c r="D100" s="25"/>
      <c r="E100" s="243"/>
      <c r="F100" s="25"/>
      <c r="G100" s="278">
        <f t="shared" ref="G100:Q100" si="41">IF(G$4="","",G104+G103)</f>
        <v>22948823</v>
      </c>
      <c r="H100" s="278">
        <f t="shared" si="41"/>
        <v>22491544</v>
      </c>
      <c r="I100" s="278">
        <f t="shared" si="41"/>
        <v>23463484</v>
      </c>
      <c r="J100" s="278">
        <f t="shared" si="41"/>
        <v>24779977</v>
      </c>
      <c r="K100" s="278">
        <f t="shared" si="41"/>
        <v>21433646</v>
      </c>
      <c r="L100" s="278">
        <f t="shared" si="41"/>
        <v>21472710</v>
      </c>
      <c r="M100" s="278">
        <f t="shared" si="41"/>
        <v>21251042</v>
      </c>
      <c r="N100" s="278">
        <f t="shared" si="41"/>
        <v>21694645</v>
      </c>
      <c r="O100" s="278">
        <f t="shared" si="41"/>
        <v>19104456</v>
      </c>
      <c r="P100" s="278">
        <f t="shared" si="41"/>
        <v>20727669</v>
      </c>
      <c r="Q100" s="278" t="str">
        <f t="shared" si="41"/>
        <v/>
      </c>
    </row>
    <row r="101" spans="1:17" ht="15.75" customHeight="1">
      <c r="A101" s="10"/>
      <c r="B101" s="90" t="s">
        <v>179</v>
      </c>
      <c r="C101" s="289">
        <f>BS!C4</f>
        <v>537904</v>
      </c>
      <c r="D101" s="86"/>
      <c r="E101" s="244"/>
      <c r="F101" s="86"/>
      <c r="G101" s="290">
        <f>IF(G$4="","",Data!D77)</f>
        <v>687833</v>
      </c>
      <c r="H101" s="290">
        <f>IF(H$4="","",Data!E77)</f>
        <v>2889765</v>
      </c>
      <c r="I101" s="290">
        <f>IF(I$4="","",Data!F77)</f>
        <v>3144251</v>
      </c>
      <c r="J101" s="290">
        <f>IF(J$4="","",Data!G77)</f>
        <v>2049144</v>
      </c>
      <c r="K101" s="290">
        <f>IF(K$4="","",Data!H77)</f>
        <v>1797319</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137638</v>
      </c>
      <c r="D102" s="86"/>
      <c r="E102" s="244"/>
      <c r="F102" s="86"/>
      <c r="G102" s="290">
        <f>IF(G$4="","",Data!D78)</f>
        <v>125636</v>
      </c>
      <c r="H102" s="290">
        <f>IF(H$4="","",Data!E78)</f>
        <v>42046</v>
      </c>
      <c r="I102" s="290">
        <f>IF(I$4="","",Data!F78)</f>
        <v>142658</v>
      </c>
      <c r="J102" s="290">
        <f>IF(J$4="","",Data!G78)</f>
        <v>131170</v>
      </c>
      <c r="K102" s="290">
        <f>IF(K$4="","",Data!H78)</f>
        <v>123530</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4047566</v>
      </c>
      <c r="D103" s="25"/>
      <c r="E103" s="243"/>
      <c r="F103" s="25"/>
      <c r="G103" s="278">
        <f>Data!C79</f>
        <v>4047566</v>
      </c>
      <c r="H103" s="278">
        <f>Data!D79</f>
        <v>4021026</v>
      </c>
      <c r="I103" s="278">
        <f>Data!E79</f>
        <v>4786265</v>
      </c>
      <c r="J103" s="278">
        <f>Data!F79</f>
        <v>5631759</v>
      </c>
      <c r="K103" s="278">
        <f>Data!G79</f>
        <v>4142576</v>
      </c>
      <c r="L103" s="278">
        <f>Data!H79</f>
        <v>4426398</v>
      </c>
      <c r="M103" s="278">
        <f>Data!I79</f>
        <v>4475236</v>
      </c>
      <c r="N103" s="278">
        <f>Data!J79</f>
        <v>4318962</v>
      </c>
      <c r="O103" s="278">
        <f>Data!K79</f>
        <v>3438763</v>
      </c>
      <c r="P103" s="278">
        <f>Data!L79</f>
        <v>3683389</v>
      </c>
      <c r="Q103" s="278" t="str">
        <f>Data!M79</f>
        <v/>
      </c>
    </row>
    <row r="104" spans="1:17" ht="15.75" customHeight="1">
      <c r="A104" s="10"/>
      <c r="B104" s="25" t="s">
        <v>28</v>
      </c>
      <c r="C104" s="288">
        <f>BS!G27</f>
        <v>18901257</v>
      </c>
      <c r="D104" s="25"/>
      <c r="E104" s="243"/>
      <c r="F104" s="25"/>
      <c r="G104" s="278">
        <f>Data!C80</f>
        <v>18901257</v>
      </c>
      <c r="H104" s="278">
        <f>Data!D80</f>
        <v>18470518</v>
      </c>
      <c r="I104" s="278">
        <f>Data!E80</f>
        <v>18677219</v>
      </c>
      <c r="J104" s="278">
        <f>Data!F80</f>
        <v>19148218</v>
      </c>
      <c r="K104" s="278">
        <f>Data!G80</f>
        <v>17291070</v>
      </c>
      <c r="L104" s="278">
        <f>Data!H80</f>
        <v>17046312</v>
      </c>
      <c r="M104" s="278">
        <f>Data!I80</f>
        <v>16775806</v>
      </c>
      <c r="N104" s="278">
        <f>Data!J80</f>
        <v>17375683</v>
      </c>
      <c r="O104" s="278">
        <f>Data!K80</f>
        <v>15665693</v>
      </c>
      <c r="P104" s="278">
        <f>Data!L80</f>
        <v>17044280</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0.151954574987994</v>
      </c>
      <c r="D107" s="25"/>
      <c r="E107" s="243"/>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3.8881889318907313E-2</v>
      </c>
      <c r="D108" s="25"/>
      <c r="E108" s="243"/>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1.3057336877918428</v>
      </c>
      <c r="H112" s="258">
        <f>IF(H$4="","",Data!D$22/Data!D15)</f>
        <v>1.9744169551721951</v>
      </c>
      <c r="I112" s="258">
        <f>IF(I$4="","",Data!E$22/Data!E15)</f>
        <v>1.1630549354549591</v>
      </c>
      <c r="J112" s="258">
        <f>IF(J$4="","",Data!F$22/Data!F15)</f>
        <v>1.260471094287793</v>
      </c>
      <c r="K112" s="258">
        <f>IF(K$4="","",Data!G$22/Data!G15)</f>
        <v>0.70481763825473787</v>
      </c>
      <c r="L112" s="258">
        <f>IF(L$4="","",Data!H$22/Data!H15)</f>
        <v>1.6343627167150878</v>
      </c>
      <c r="M112" s="258">
        <f>IF(M$4="","",Data!I$22/Data!I15)</f>
        <v>1.4261750734420902</v>
      </c>
      <c r="N112" s="258">
        <f>IF(N$4="","",Data!J$22/Data!J15)</f>
        <v>1.2985902058542986</v>
      </c>
      <c r="O112" s="258">
        <f>IF(O$4="","",Data!K$22/Data!K15)</f>
        <v>3.2823548539671279</v>
      </c>
      <c r="P112" s="258">
        <f>IF(P$4="","",Data!L$22/Data!L15)</f>
        <v>-1.1544903194068661</v>
      </c>
      <c r="Q112" s="258" t="str">
        <f>IF(Q$4="","",Data!M$22/Data!M15)</f>
        <v/>
      </c>
    </row>
    <row r="113" spans="1:17" ht="15.75" customHeight="1">
      <c r="A113" s="10"/>
      <c r="B113" s="2" t="s">
        <v>305</v>
      </c>
      <c r="C113" s="152"/>
      <c r="E113" s="242"/>
      <c r="G113" s="258">
        <f>IF(G$4="","",Data!C$22/G19)</f>
        <v>1.8670754662395257</v>
      </c>
      <c r="H113" s="258">
        <f>IF(H$4="","",Data!D$22/H19)</f>
        <v>2.5978326696745682</v>
      </c>
      <c r="I113" s="258">
        <f>IF(I$4="","",Data!E$22/I19)</f>
        <v>1.3544793966558177</v>
      </c>
      <c r="J113" s="258">
        <f>IF(J$4="","",Data!F$22/J19)</f>
        <v>1.652647947895767</v>
      </c>
      <c r="K113" s="258">
        <f>IF(K$4="","",Data!G$22/K19)</f>
        <v>0.99842984534692547</v>
      </c>
      <c r="L113" s="258">
        <f>IF(L$4="","",Data!H$22/L19)</f>
        <v>1.8066191791533639</v>
      </c>
      <c r="M113" s="258">
        <f>IF(M$4="","",Data!I$22/M19)</f>
        <v>1.7341560501990292</v>
      </c>
      <c r="N113" s="258">
        <f>IF(N$4="","",Data!J$22/N19)</f>
        <v>1.7067738949034357</v>
      </c>
      <c r="O113" s="258">
        <f>IF(O$4="","",Data!K$22/O19)</f>
        <v>1.3942527436650844</v>
      </c>
      <c r="P113" s="258">
        <f>IF(P$4="","",Data!L$22/P19)</f>
        <v>11.904562451085539</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0.40688947062135006</v>
      </c>
      <c r="E116" s="242"/>
      <c r="G116" s="22">
        <f t="shared" ref="G116:Q116" si="44">IF(G4="","",G77)</f>
        <v>0.45503824032169243</v>
      </c>
      <c r="H116" s="22">
        <f t="shared" si="44"/>
        <v>0.52256054038433775</v>
      </c>
      <c r="I116" s="22">
        <f t="shared" si="44"/>
        <v>0.57836944839462445</v>
      </c>
      <c r="J116" s="22">
        <f t="shared" si="44"/>
        <v>0.55515183256995326</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0.1542519195864642</v>
      </c>
      <c r="E117" s="242"/>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6"/>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7.6203822690338374E-2</v>
      </c>
      <c r="D119" s="100"/>
      <c r="E119" s="245"/>
      <c r="F119" s="100"/>
      <c r="G119" s="99">
        <f t="shared" ref="G119:Q119" si="47">IF(G$4="","",G11/G104)</f>
        <v>0.12174472741716588</v>
      </c>
      <c r="H119" s="99">
        <f t="shared" si="47"/>
        <v>0.16666775006098256</v>
      </c>
      <c r="I119" s="99">
        <f t="shared" si="47"/>
        <v>0.25438168802040823</v>
      </c>
      <c r="J119" s="99">
        <f t="shared" si="47"/>
        <v>0.20514458993685269</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0.16085945250287789</v>
      </c>
      <c r="D123" s="26"/>
      <c r="E123" s="239"/>
      <c r="F123" s="26"/>
      <c r="G123" s="160">
        <f t="shared" ref="G123:Q123" si="48">IF(G$4="","",G14*$C$3/Common_Shares*Exchange_Rate)</f>
        <v>0.2493185982366122</v>
      </c>
      <c r="H123" s="160">
        <f t="shared" si="48"/>
        <v>0.34349775794015708</v>
      </c>
      <c r="I123" s="160">
        <f t="shared" si="48"/>
        <v>0.55796244344076529</v>
      </c>
      <c r="J123" s="160">
        <f t="shared" si="48"/>
        <v>0.4585462916994415</v>
      </c>
      <c r="K123" s="160">
        <f t="shared" si="48"/>
        <v>0.16462839764099138</v>
      </c>
      <c r="L123" s="160">
        <f t="shared" si="48"/>
        <v>0.20899337153917774</v>
      </c>
      <c r="M123" s="160">
        <f t="shared" si="48"/>
        <v>0.18608068384863941</v>
      </c>
      <c r="N123" s="160">
        <f t="shared" si="48"/>
        <v>0.176733721513089</v>
      </c>
      <c r="O123" s="160">
        <f t="shared" si="48"/>
        <v>3.1285394295740947E-2</v>
      </c>
      <c r="P123" s="160">
        <f t="shared" si="48"/>
        <v>1.3552761468253434E-2</v>
      </c>
      <c r="Q123" s="160" t="str">
        <f t="shared" si="48"/>
        <v/>
      </c>
    </row>
    <row r="124" spans="1:17" ht="15.75" customHeight="1">
      <c r="A124" s="10"/>
      <c r="B124" s="26" t="s">
        <v>226</v>
      </c>
      <c r="C124" s="74">
        <f>C19*Exchange_Rate*$C$3/(Market_Price*Common_Shares)</f>
        <v>5.8282410327129677E-2</v>
      </c>
      <c r="D124" s="26"/>
      <c r="E124" s="239"/>
      <c r="F124" s="26"/>
      <c r="G124" s="74">
        <f t="shared" ref="G124" si="49">IF(G$4="","",G123/Market_Price)</f>
        <v>9.033282544804791E-2</v>
      </c>
      <c r="H124" s="74">
        <f t="shared" ref="H124" si="50">IF(H$4="","",H123/Market_Price)</f>
        <v>0.12445570939860764</v>
      </c>
      <c r="I124" s="74">
        <f t="shared" ref="I124" si="51">IF(I$4="","",I123/Market_Price)</f>
        <v>0.2021603055944802</v>
      </c>
      <c r="J124" s="74">
        <f t="shared" ref="J124" si="52">IF(J$4="","",J123/Market_Price)</f>
        <v>0.16613996076066723</v>
      </c>
      <c r="K124" s="74">
        <f t="shared" ref="K124" si="53">IF(K$4="","",K123/Market_Price)</f>
        <v>5.964797015977949E-2</v>
      </c>
      <c r="L124" s="74">
        <f t="shared" ref="L124" si="54">IF(L$4="","",L123/Market_Price)</f>
        <v>7.5722236064919471E-2</v>
      </c>
      <c r="M124" s="74">
        <f t="shared" ref="M124" si="55">IF(M$4="","",M123/Market_Price)</f>
        <v>6.7420537626318625E-2</v>
      </c>
      <c r="N124" s="74">
        <f t="shared" ref="N124" si="56">IF(N$4="","",N123/Market_Price)</f>
        <v>6.403395706995979E-2</v>
      </c>
      <c r="O124" s="74">
        <f t="shared" ref="O124" si="57">IF(O$4="","",O123/Market_Price)</f>
        <v>1.1335287788311938E-2</v>
      </c>
      <c r="P124" s="74">
        <f t="shared" ref="P124" si="58">IF(P$4="","",P123/Market_Price)</f>
        <v>4.9104208218309544E-3</v>
      </c>
      <c r="Q124" s="74" t="str">
        <f t="shared" ref="Q124" si="59">IF(Q$4="","",Q123/Market_Price)</f>
        <v/>
      </c>
    </row>
    <row r="125" spans="1:17" ht="15.75" customHeight="1">
      <c r="B125" s="2" t="s">
        <v>307</v>
      </c>
      <c r="C125" s="152"/>
      <c r="G125" s="22">
        <f>IF(G$4="","",(Data!C47*$C$3)/(Market_Price*Common_Shares))</f>
        <v>0.12916738211401255</v>
      </c>
      <c r="H125" s="22">
        <f>IF(H$4="","",(Data!D47*$C$3)/(Market_Price*Common_Shares))</f>
        <v>0.16375219375839986</v>
      </c>
      <c r="I125" s="22">
        <f>IF(I$4="","",(Data!E47*$C$3)/(Market_Price*Common_Shares))</f>
        <v>0.23543339218302245</v>
      </c>
      <c r="J125" s="22">
        <f>IF(J$4="","",(Data!F47*$C$3)/(Market_Price*Common_Shares))</f>
        <v>0.21783194113605703</v>
      </c>
      <c r="K125" s="22">
        <f>IF(K$4="","",(Data!G47*$C$3)/(Market_Price*Common_Shares))</f>
        <v>8.4496060242411686E-2</v>
      </c>
      <c r="L125" s="22">
        <f>IF(L$4="","",(Data!H47*$C$3)/(Market_Price*Common_Shares))</f>
        <v>8.3703111043929981E-2</v>
      </c>
      <c r="M125" s="22">
        <f>IF(M$4="","",(Data!I47*$C$3)/(Market_Price*Common_Shares))</f>
        <v>8.1979930381316679E-2</v>
      </c>
      <c r="N125" s="22">
        <f>IF(N$4="","",(Data!J47*$C$3)/(Market_Price*Common_Shares))</f>
        <v>8.4161643774662134E-2</v>
      </c>
      <c r="O125" s="22">
        <f>IF(O$4="","",(Data!K47*$C$3)/(Market_Price*Common_Shares))</f>
        <v>4.8149139268065027E-3</v>
      </c>
      <c r="P125" s="22">
        <f>IF(P$4="","",(Data!L47*$C$3)/(Market_Price*Common_Shares))</f>
        <v>-5.0633955393086447E-2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429</v>
      </c>
      <c r="H3" s="106" t="s">
        <v>418</v>
      </c>
    </row>
    <row r="4" spans="2:15">
      <c r="B4" s="97" t="s">
        <v>395</v>
      </c>
      <c r="C4" s="283">
        <f>Normalized_FCF!C19</f>
        <v>818946.05241834244</v>
      </c>
      <c r="D4" t="str">
        <f>Reporting_currency</f>
        <v>HKD</v>
      </c>
      <c r="E4" s="136" t="s">
        <v>436</v>
      </c>
      <c r="F4" s="283">
        <f>-BS!G31</f>
        <v>-43677</v>
      </c>
      <c r="G4" t="str">
        <f>Reporting_currency</f>
        <v>HKD</v>
      </c>
      <c r="H4" s="316" t="s">
        <v>396</v>
      </c>
      <c r="I4" s="313">
        <f>Normalized_FCF!C4</f>
        <v>3539900</v>
      </c>
      <c r="J4" s="313"/>
    </row>
    <row r="5" spans="2:15">
      <c r="B5" s="188" t="s">
        <v>105</v>
      </c>
      <c r="C5" s="189">
        <f>Equity_Cost</f>
        <v>7.2499999999999995E-2</v>
      </c>
      <c r="E5" s="136" t="s">
        <v>437</v>
      </c>
      <c r="F5" s="283">
        <f>BS!D66</f>
        <v>8300850.7282108907</v>
      </c>
      <c r="G5" t="str">
        <f>Reporting_currency</f>
        <v>HKD</v>
      </c>
      <c r="H5" s="316" t="s">
        <v>398</v>
      </c>
      <c r="I5" s="313">
        <f>Normalized_FCF!C7</f>
        <v>-208899</v>
      </c>
      <c r="J5" s="313"/>
    </row>
    <row r="6" spans="2:15" ht="13.25" customHeight="1">
      <c r="B6" s="137" t="s">
        <v>194</v>
      </c>
      <c r="C6" s="291">
        <f>(C4*(1+Terminal_Growth))/(Equity_Cost-Terminal_Growth)</f>
        <v>11295807.619563345</v>
      </c>
      <c r="D6" t="str">
        <f>Reporting_currency</f>
        <v>HKD</v>
      </c>
      <c r="E6" s="188" t="s">
        <v>438</v>
      </c>
      <c r="F6" s="292">
        <f>BS!H42</f>
        <v>263512.2</v>
      </c>
      <c r="G6" t="str">
        <f>Reporting_currency</f>
        <v>HKD</v>
      </c>
      <c r="H6" s="316" t="s">
        <v>420</v>
      </c>
      <c r="I6" s="313">
        <f>I7+I8</f>
        <v>8284.8496307346541</v>
      </c>
      <c r="J6" s="313"/>
      <c r="N6" s="136"/>
    </row>
    <row r="7" spans="2:15" ht="12.75" customHeight="1">
      <c r="B7" s="326" t="s">
        <v>435</v>
      </c>
      <c r="C7" s="283">
        <f>F7</f>
        <v>8520685.9282108899</v>
      </c>
      <c r="E7" s="141" t="s">
        <v>429</v>
      </c>
      <c r="F7" s="291">
        <f>SUM(F4:F6)</f>
        <v>8520685.9282108899</v>
      </c>
      <c r="G7" t="str">
        <f>Reporting_currency</f>
        <v>HKD</v>
      </c>
      <c r="H7" s="320" t="s">
        <v>421</v>
      </c>
      <c r="I7" s="321">
        <f>Normalized_FCF!C9</f>
        <v>0</v>
      </c>
      <c r="J7" s="321"/>
      <c r="N7" s="312"/>
      <c r="O7" s="312"/>
    </row>
    <row r="8" spans="2:15" ht="13.15">
      <c r="B8" s="137" t="s">
        <v>431</v>
      </c>
      <c r="C8" s="291">
        <f>C6+C7</f>
        <v>19816493.547774233</v>
      </c>
      <c r="D8" t="str">
        <f>Reporting_currency</f>
        <v>HKD</v>
      </c>
      <c r="E8" s="141" t="s">
        <v>469</v>
      </c>
      <c r="F8" s="108">
        <f>FV_adjustments*scaling_factor/Common_Shares*Exchange_Rate</f>
        <v>1.6736546556559</v>
      </c>
      <c r="G8" s="302" t="str">
        <f>Market_currency</f>
        <v>HKD</v>
      </c>
      <c r="H8" s="322" t="str">
        <f>Normalized_FCF!B10</f>
        <v>Net Interest Income</v>
      </c>
      <c r="I8" s="321">
        <f>Normalized_FCF!C10</f>
        <v>8284.8496307346541</v>
      </c>
      <c r="J8" s="321"/>
      <c r="N8" s="312"/>
      <c r="O8" s="312"/>
    </row>
    <row r="9" spans="2:15" ht="13.15" thickBot="1">
      <c r="B9" s="190" t="str">
        <f>"*"&amp;Thesis!E15</f>
        <v>*HKD</v>
      </c>
      <c r="C9" s="191">
        <f>Exchange_Rate</f>
        <v>1</v>
      </c>
      <c r="D9" t="str">
        <f>Thesis!E15</f>
        <v>HKD</v>
      </c>
      <c r="F9" s="331"/>
      <c r="H9" s="316" t="str">
        <f>Normalized_FCF!B79</f>
        <v>NCI’s Share of Profits</v>
      </c>
      <c r="I9" s="145">
        <f>Normalized_FCF!C79</f>
        <v>7.3819874960039958E-2</v>
      </c>
      <c r="J9" s="314"/>
      <c r="N9" s="312"/>
      <c r="O9" s="312"/>
    </row>
    <row r="10" spans="2:15" ht="13.5" thickTop="1">
      <c r="B10" s="107" t="s">
        <v>432</v>
      </c>
      <c r="C10" s="291">
        <f>C8*Exchange_Rate</f>
        <v>19816493.547774233</v>
      </c>
      <c r="D10" t="str">
        <f>Market_currency</f>
        <v>HKD</v>
      </c>
      <c r="H10" s="316" t="s">
        <v>400</v>
      </c>
      <c r="I10" s="314">
        <f>Normalized_FCF!C41</f>
        <v>0.25</v>
      </c>
      <c r="N10" s="312"/>
      <c r="O10" s="312"/>
    </row>
    <row r="11" spans="2:15" ht="13.15">
      <c r="B11" s="137" t="s">
        <v>430</v>
      </c>
      <c r="C11" s="108">
        <f>(C10*scaling_factor)/Common_Shares</f>
        <v>3.8924057246611126</v>
      </c>
      <c r="D11" t="str">
        <f>Market_currency</f>
        <v>HKD</v>
      </c>
      <c r="E11" s="315"/>
      <c r="I11" s="315"/>
      <c r="J11" s="315"/>
    </row>
    <row r="13" spans="2:15" ht="13.9">
      <c r="B13" s="34" t="s">
        <v>433</v>
      </c>
      <c r="C13" s="35"/>
      <c r="D13" s="35"/>
      <c r="E13" s="35"/>
      <c r="F13" s="35"/>
      <c r="G13" s="35"/>
      <c r="H13" s="35"/>
      <c r="I13" s="35"/>
      <c r="J13" s="35"/>
      <c r="K13" s="35"/>
      <c r="L13" s="35"/>
    </row>
    <row r="14" spans="2:15" ht="13.15">
      <c r="B14" s="106" t="s">
        <v>402</v>
      </c>
      <c r="C14" s="317" t="s">
        <v>409</v>
      </c>
      <c r="E14" s="106" t="s">
        <v>402</v>
      </c>
      <c r="F14" s="317" t="str">
        <f>IF(F17=C17,"I","II")</f>
        <v>I</v>
      </c>
      <c r="H14" s="106" t="s">
        <v>417</v>
      </c>
    </row>
    <row r="15" spans="2:15">
      <c r="B15" s="140" t="s">
        <v>426</v>
      </c>
      <c r="C15" s="149">
        <f>Scenarios!C45</f>
        <v>5</v>
      </c>
      <c r="E15" s="316" t="str">
        <f>IF(F14="II","Change year","Terminal Year")</f>
        <v>Terminal Year</v>
      </c>
      <c r="F15" s="318">
        <f>IF(F14="II",_xlfn.CEILING.MATH(C15/2),C15+1)</f>
        <v>6</v>
      </c>
      <c r="H15" s="97" t="s">
        <v>434</v>
      </c>
      <c r="I15" s="127">
        <f>Terminal_Growth</f>
        <v>0</v>
      </c>
      <c r="J15" s="127"/>
    </row>
    <row r="16" spans="2:15" ht="13.25" customHeight="1">
      <c r="B16" s="114" t="s">
        <v>427</v>
      </c>
      <c r="C16" s="148">
        <f>Scenarios!C46</f>
        <v>1.2999999999999999E-3</v>
      </c>
      <c r="E16" s="316" t="s">
        <v>403</v>
      </c>
      <c r="F16" s="319">
        <f>Scenarios!C41</f>
        <v>1.2999999999999999E-3</v>
      </c>
    </row>
    <row r="17" spans="1:21" ht="13.25" customHeight="1">
      <c r="B17" s="316" t="s">
        <v>397</v>
      </c>
      <c r="C17" s="314">
        <f>Normalized_FCF!C32</f>
        <v>0.53643826452109311</v>
      </c>
      <c r="E17" s="316" t="s">
        <v>404</v>
      </c>
      <c r="F17" s="319">
        <f>Scenarios!C40</f>
        <v>0.53643826452109311</v>
      </c>
      <c r="H17" s="106" t="s">
        <v>416</v>
      </c>
    </row>
    <row r="18" spans="1:21" ht="13.25" customHeight="1">
      <c r="B18" s="316" t="s">
        <v>428</v>
      </c>
      <c r="C18" s="314">
        <f>Normalized_FCF!C81-Normalized_FCF!C82</f>
        <v>0</v>
      </c>
      <c r="E18" s="316" t="s">
        <v>428</v>
      </c>
      <c r="F18" s="145">
        <f>IF(F14="II",C18/2,C18)</f>
        <v>0</v>
      </c>
      <c r="H18" s="141" t="s">
        <v>97</v>
      </c>
      <c r="I18" s="130">
        <f>(L52+FV_adjustments)*Exchange_Rate/Common_Shares*scaling_factor</f>
        <v>3.904939886383807</v>
      </c>
      <c r="J18" t="str">
        <f>Market_currency</f>
        <v>HKD</v>
      </c>
    </row>
    <row r="19" spans="1:21">
      <c r="L19" s="283"/>
    </row>
    <row r="20" spans="1:21" ht="13.15">
      <c r="A20" s="122" t="s">
        <v>402</v>
      </c>
      <c r="B20" s="122" t="s">
        <v>98</v>
      </c>
      <c r="C20" s="122" t="s">
        <v>396</v>
      </c>
      <c r="D20" s="122" t="s">
        <v>102</v>
      </c>
      <c r="E20" s="122" t="s">
        <v>397</v>
      </c>
      <c r="F20" s="122" t="s">
        <v>398</v>
      </c>
      <c r="G20" s="122" t="s">
        <v>548</v>
      </c>
      <c r="H20" s="122" t="str">
        <f>B18</f>
        <v>D&amp;A - maint. Capx</v>
      </c>
      <c r="I20" s="122" t="s">
        <v>423</v>
      </c>
      <c r="J20" s="122" t="s">
        <v>535</v>
      </c>
      <c r="K20" s="122" t="s">
        <v>536</v>
      </c>
      <c r="L20" s="123" t="s">
        <v>424</v>
      </c>
    </row>
    <row r="21" spans="1:21">
      <c r="A21" s="310" t="str">
        <f t="shared" ref="A21:A50" si="0">IF($C$15&lt;B21,"",IF(B21&gt;=$F$15,"II","I"))</f>
        <v>I</v>
      </c>
      <c r="B21" s="118">
        <v>1</v>
      </c>
      <c r="C21" s="285">
        <f>I4*(1+D21)</f>
        <v>3544501.87</v>
      </c>
      <c r="D21" s="307">
        <f t="shared" ref="D21:D50" si="1">IF(A21="",0,IF(A21="I",$C$16,$F$16))</f>
        <v>1.2999999999999999E-3</v>
      </c>
      <c r="E21" s="307">
        <f>$C$17</f>
        <v>0.53643826452109311</v>
      </c>
      <c r="F21" s="285">
        <f>I5*(1+D21)</f>
        <v>-209170.5687</v>
      </c>
      <c r="G21" s="285">
        <f>C21*(1-E21)+F21+$I$6</f>
        <v>1442209.7191961657</v>
      </c>
      <c r="H21" s="307">
        <f t="shared" ref="H21:H50" si="2">IF(A21="",0%,IF(A21="I",$C$18,$F$18))</f>
        <v>0</v>
      </c>
      <c r="I21" s="285">
        <f>(G21*(1-$I$10)+C21*(H21-$I$9))</f>
        <v>820002.60455809638</v>
      </c>
      <c r="J21" s="307">
        <f>I21/C4-1</f>
        <v>1.2901364340593968E-3</v>
      </c>
      <c r="K21" s="120">
        <f t="shared" ref="K21:K50" si="3">IF($C$15&lt;B21,0,1/(1+Equity_Cost)^B21)</f>
        <v>0.93240093240093236</v>
      </c>
      <c r="L21" s="285">
        <f t="shared" ref="L21:L50" si="4">I21*K21</f>
        <v>764571.19306116214</v>
      </c>
    </row>
    <row r="22" spans="1:21">
      <c r="A22" s="310" t="str">
        <f t="shared" si="0"/>
        <v>I</v>
      </c>
      <c r="B22" s="118">
        <v>2</v>
      </c>
      <c r="C22" s="285">
        <f t="shared" ref="C22:C50" si="5">IF(A22="",0,C21*(1+D22))</f>
        <v>3549109.7224310003</v>
      </c>
      <c r="D22" s="307">
        <f t="shared" si="1"/>
        <v>1.2999999999999999E-3</v>
      </c>
      <c r="E22" s="307">
        <f t="shared" ref="E22:E50" si="6">IF($C$15&lt;B22,0,IF(B22&gt;=$F$15,$F$17,$C$17))</f>
        <v>0.53643826452109311</v>
      </c>
      <c r="F22" s="285">
        <f t="shared" ref="F22:F50" si="7">IF(A22="",0,F21*(1+D22))</f>
        <v>-209442.49043931003</v>
      </c>
      <c r="G22" s="285">
        <f t="shared" ref="G22:G50" si="8">IF(A22="", 0,C22*(1-E22)+F22+$I$6)</f>
        <v>1444073.8215266007</v>
      </c>
      <c r="H22" s="307">
        <f t="shared" si="2"/>
        <v>0</v>
      </c>
      <c r="I22" s="285">
        <f>IF(A22="", 0,G22*(1-$I$10)+C22*(H22-$I$9))</f>
        <v>821060.53021563194</v>
      </c>
      <c r="J22" s="307">
        <f>IF(A22="", 0,I22/I21-1)</f>
        <v>1.2901491430086232E-3</v>
      </c>
      <c r="K22" s="120">
        <f t="shared" si="3"/>
        <v>0.86937149874212816</v>
      </c>
      <c r="L22" s="285">
        <f t="shared" si="4"/>
        <v>713806.62371157028</v>
      </c>
    </row>
    <row r="23" spans="1:21">
      <c r="A23" s="310" t="str">
        <f t="shared" si="0"/>
        <v>I</v>
      </c>
      <c r="B23" s="118">
        <v>3</v>
      </c>
      <c r="C23" s="285">
        <f t="shared" si="5"/>
        <v>3553723.5650701611</v>
      </c>
      <c r="D23" s="307">
        <f t="shared" si="1"/>
        <v>1.2999999999999999E-3</v>
      </c>
      <c r="E23" s="307">
        <f t="shared" si="6"/>
        <v>0.53643826452109311</v>
      </c>
      <c r="F23" s="285">
        <f t="shared" si="7"/>
        <v>-209714.76567688116</v>
      </c>
      <c r="G23" s="285">
        <f t="shared" si="8"/>
        <v>1445940.3471900655</v>
      </c>
      <c r="H23" s="307">
        <f t="shared" si="2"/>
        <v>0</v>
      </c>
      <c r="I23" s="285">
        <f t="shared" ref="I23:I50" si="9">IF(A23="", 0,G23*(1-$I$10)+C23*(H23-$I$9))</f>
        <v>822119.83117652242</v>
      </c>
      <c r="J23" s="307">
        <f t="shared" ref="J23:J50" si="10">IF(A23="", 0,I23/I22-1)</f>
        <v>1.2901618357081812E-3</v>
      </c>
      <c r="K23" s="120">
        <f t="shared" si="3"/>
        <v>0.81060279602995633</v>
      </c>
      <c r="L23" s="285">
        <f t="shared" si="4"/>
        <v>666412.63382336474</v>
      </c>
      <c r="N23" s="283"/>
      <c r="O23" s="283"/>
      <c r="P23" s="283"/>
      <c r="Q23" s="283"/>
      <c r="R23" s="283"/>
      <c r="S23" s="283"/>
      <c r="T23" s="283"/>
      <c r="U23" s="283"/>
    </row>
    <row r="24" spans="1:21">
      <c r="A24" s="310" t="str">
        <f t="shared" si="0"/>
        <v>I</v>
      </c>
      <c r="B24" s="118">
        <v>4</v>
      </c>
      <c r="C24" s="285">
        <f t="shared" si="5"/>
        <v>3558343.4057047525</v>
      </c>
      <c r="D24" s="307">
        <f t="shared" si="1"/>
        <v>1.2999999999999999E-3</v>
      </c>
      <c r="E24" s="307">
        <f t="shared" si="6"/>
        <v>0.53643826452109311</v>
      </c>
      <c r="F24" s="285">
        <f t="shared" si="7"/>
        <v>-209987.39487226112</v>
      </c>
      <c r="G24" s="285">
        <f t="shared" si="8"/>
        <v>1447809.2993368926</v>
      </c>
      <c r="H24" s="307">
        <f t="shared" si="2"/>
        <v>0</v>
      </c>
      <c r="I24" s="285">
        <f t="shared" si="9"/>
        <v>823180.50922866189</v>
      </c>
      <c r="J24" s="307">
        <f t="shared" si="10"/>
        <v>1.2901745121773889E-3</v>
      </c>
      <c r="K24" s="120">
        <f t="shared" si="3"/>
        <v>0.75580680282513402</v>
      </c>
      <c r="L24" s="285">
        <f t="shared" si="4"/>
        <v>622165.42882808065</v>
      </c>
      <c r="N24" s="283"/>
      <c r="O24" s="283"/>
      <c r="P24" s="283"/>
      <c r="Q24" s="283"/>
      <c r="R24" s="283"/>
      <c r="S24" s="283"/>
      <c r="T24" s="283"/>
      <c r="U24" s="283"/>
    </row>
    <row r="25" spans="1:21">
      <c r="A25" s="310" t="str">
        <f t="shared" si="0"/>
        <v>I</v>
      </c>
      <c r="B25" s="118">
        <v>5</v>
      </c>
      <c r="C25" s="285">
        <f t="shared" si="5"/>
        <v>3562969.252132169</v>
      </c>
      <c r="D25" s="307">
        <f t="shared" si="1"/>
        <v>1.2999999999999999E-3</v>
      </c>
      <c r="E25" s="307">
        <f t="shared" si="6"/>
        <v>0.53643826452109311</v>
      </c>
      <c r="F25" s="285">
        <f t="shared" si="7"/>
        <v>-210260.37848559508</v>
      </c>
      <c r="G25" s="285">
        <f t="shared" si="8"/>
        <v>1449680.6811215107</v>
      </c>
      <c r="H25" s="307">
        <f t="shared" si="2"/>
        <v>0</v>
      </c>
      <c r="I25" s="285">
        <f t="shared" si="9"/>
        <v>824242.56616226933</v>
      </c>
      <c r="J25" s="307">
        <f t="shared" si="10"/>
        <v>1.2901871724375624E-3</v>
      </c>
      <c r="K25" s="120">
        <f t="shared" si="3"/>
        <v>0.70471496766912267</v>
      </c>
      <c r="L25" s="285">
        <f t="shared" si="4"/>
        <v>580856.07336455828</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422</v>
      </c>
      <c r="B51" s="324">
        <f>C15+1</f>
        <v>6</v>
      </c>
      <c r="C51" s="285">
        <f>VLOOKUP(C15,B21:C50,2,FALSE)*(1+Terminal_Growth)</f>
        <v>3562969.252132169</v>
      </c>
      <c r="D51" s="309">
        <f>Terminal_Growth</f>
        <v>0</v>
      </c>
      <c r="E51" s="309">
        <f>F17</f>
        <v>0.53643826452109311</v>
      </c>
      <c r="F51" s="285">
        <f>VLOOKUP(C15,B21:F50,5,FALSE)*(1+Terminal_Growth)</f>
        <v>-210260.37848559508</v>
      </c>
      <c r="G51" s="285">
        <f>C51*(1-E51)+F51+$I$6</f>
        <v>1449680.6811215107</v>
      </c>
      <c r="H51" s="307">
        <f>F18</f>
        <v>0</v>
      </c>
      <c r="I51" s="285">
        <f>(G51*(1-$I$10)+C51*(H51-$I$9))/Equity_Cost</f>
        <v>11368862.981548544</v>
      </c>
      <c r="J51" s="424">
        <f>(G51*(1-$I$10)+C51*(H51-$I$9))/VLOOKUP(C15,B21:I50,8,FALSE)-1</f>
        <v>0</v>
      </c>
      <c r="K51" s="120">
        <f>1/(1+Equity_Cost)^C15</f>
        <v>0.70471496766912267</v>
      </c>
      <c r="L51" s="285">
        <f>I51*K51</f>
        <v>8011807.9084766675</v>
      </c>
    </row>
    <row r="52" spans="1:21" ht="13.15">
      <c r="G52" s="111"/>
      <c r="H52" s="111"/>
      <c r="I52" s="111"/>
      <c r="J52" s="466" t="s">
        <v>425</v>
      </c>
      <c r="K52" s="466"/>
      <c r="L52" s="325">
        <f>SUM(L21:L51)</f>
        <v>11359619.861265402</v>
      </c>
    </row>
    <row r="53" spans="1:21">
      <c r="C53" s="111"/>
    </row>
    <row r="54" spans="1:21" ht="13.15">
      <c r="B54" s="115" t="s">
        <v>108</v>
      </c>
      <c r="C54" s="129"/>
      <c r="D54" s="129"/>
      <c r="E54" s="113"/>
      <c r="F54" s="113"/>
      <c r="G54" s="113"/>
      <c r="H54" s="113"/>
      <c r="I54" s="113"/>
      <c r="J54" s="113"/>
      <c r="K54" s="113"/>
      <c r="L54" s="113"/>
    </row>
    <row r="55" spans="1:21" ht="13.15">
      <c r="A55" s="126">
        <f>L52</f>
        <v>11359619.861265402</v>
      </c>
      <c r="B55" s="124">
        <f>C78</f>
        <v>0.04</v>
      </c>
      <c r="C55" s="124">
        <f>C77</f>
        <v>-0.02</v>
      </c>
      <c r="D55" s="124">
        <f>C76</f>
        <v>0</v>
      </c>
      <c r="E55" s="124">
        <f>C75</f>
        <v>0.02</v>
      </c>
      <c r="F55" s="124">
        <f>C74</f>
        <v>-0.04</v>
      </c>
      <c r="G55" s="124"/>
      <c r="H55" s="124"/>
      <c r="I55" s="124"/>
      <c r="J55" s="124"/>
      <c r="K55" s="124"/>
      <c r="L55" s="124"/>
    </row>
    <row r="56" spans="1:21" ht="13.15">
      <c r="A56" s="132">
        <v>5</v>
      </c>
      <c r="B56" s="119">
        <f t="dataTable" ref="B56:F61" dt2D="1" dtr="1" r1="C16" r2="C15"/>
        <v>13406003.614832195</v>
      </c>
      <c r="C56" s="119">
        <v>10352194.50303293</v>
      </c>
      <c r="D56" s="119">
        <v>11295807.619563345</v>
      </c>
      <c r="E56" s="119">
        <v>12312310.731859908</v>
      </c>
      <c r="F56" s="119">
        <v>9477336.6414448526</v>
      </c>
      <c r="G56" s="303"/>
      <c r="H56" s="303"/>
      <c r="I56" s="303"/>
      <c r="J56" s="303"/>
      <c r="K56" s="303"/>
      <c r="L56" s="303"/>
    </row>
    <row r="57" spans="1:21" ht="13.15">
      <c r="A57" s="132">
        <v>10</v>
      </c>
      <c r="B57" s="119">
        <v>15215271.967648303</v>
      </c>
      <c r="C57" s="119">
        <v>9751106.8000764437</v>
      </c>
      <c r="D57" s="119">
        <v>11295807.619563345</v>
      </c>
      <c r="E57" s="119">
        <v>13103213.448365884</v>
      </c>
      <c r="F57" s="119">
        <v>8432433.499095412</v>
      </c>
      <c r="G57" s="303"/>
      <c r="H57" s="303"/>
      <c r="I57" s="303"/>
      <c r="J57" s="303"/>
      <c r="K57" s="303"/>
      <c r="L57" s="303"/>
    </row>
    <row r="58" spans="1:21" ht="13.15">
      <c r="A58" s="132">
        <v>15</v>
      </c>
      <c r="B58" s="119">
        <v>16766526.912611295</v>
      </c>
      <c r="C58" s="285">
        <v>9368210.0171512663</v>
      </c>
      <c r="D58" s="119">
        <v>11295807.619563343</v>
      </c>
      <c r="E58" s="119">
        <v>13718585.009367097</v>
      </c>
      <c r="F58" s="119">
        <v>7832026.5693013482</v>
      </c>
      <c r="G58" s="303"/>
      <c r="H58" s="303"/>
      <c r="I58" s="303"/>
      <c r="J58" s="303"/>
      <c r="K58" s="303"/>
      <c r="L58" s="303"/>
      <c r="M58" s="283"/>
      <c r="N58" s="283"/>
      <c r="O58" s="283"/>
      <c r="P58" s="283"/>
      <c r="Q58" s="283"/>
      <c r="R58" s="283"/>
      <c r="S58" s="283"/>
      <c r="T58" s="283"/>
      <c r="U58" s="283"/>
    </row>
    <row r="59" spans="1:21" ht="13.15">
      <c r="A59" s="133">
        <v>20</v>
      </c>
      <c r="B59" s="119">
        <v>18096562.835986957</v>
      </c>
      <c r="C59" s="285">
        <v>9124302.2718200237</v>
      </c>
      <c r="D59" s="119">
        <v>11295807.619563343</v>
      </c>
      <c r="E59" s="119">
        <v>14197382.401493907</v>
      </c>
      <c r="F59" s="119">
        <v>7487029.5387304705</v>
      </c>
      <c r="G59" s="303"/>
      <c r="H59" s="303"/>
      <c r="I59" s="303"/>
      <c r="J59" s="303"/>
      <c r="K59" s="303"/>
      <c r="L59" s="303"/>
      <c r="M59" s="283"/>
      <c r="N59" s="283"/>
      <c r="O59" s="283"/>
      <c r="P59" s="283"/>
      <c r="Q59" s="283"/>
      <c r="R59" s="283"/>
      <c r="S59" s="283"/>
      <c r="T59" s="283"/>
      <c r="U59" s="283"/>
    </row>
    <row r="60" spans="1:21" ht="13.15">
      <c r="A60" s="133">
        <v>25</v>
      </c>
      <c r="B60" s="119">
        <v>19236927.005792685</v>
      </c>
      <c r="C60" s="285">
        <v>8968931.4489625301</v>
      </c>
      <c r="D60" s="119">
        <v>11295807.619563343</v>
      </c>
      <c r="E60" s="119">
        <v>14569916.586100113</v>
      </c>
      <c r="F60" s="119">
        <v>7288792.4012218369</v>
      </c>
      <c r="G60" s="303"/>
      <c r="H60" s="303"/>
      <c r="I60" s="303"/>
      <c r="J60" s="303"/>
      <c r="K60" s="303"/>
      <c r="L60" s="303"/>
      <c r="M60" s="283"/>
      <c r="N60" s="283"/>
      <c r="O60" s="283"/>
      <c r="P60" s="283"/>
      <c r="Q60" s="283"/>
      <c r="R60" s="283"/>
      <c r="S60" s="283"/>
      <c r="T60" s="283"/>
      <c r="U60" s="283"/>
    </row>
    <row r="61" spans="1:21" ht="13.15">
      <c r="A61" s="133">
        <v>30</v>
      </c>
      <c r="B61" s="119">
        <v>20214667.844909411</v>
      </c>
      <c r="C61" s="285">
        <v>8869959.2225470487</v>
      </c>
      <c r="D61" s="119">
        <v>11295807.619563343</v>
      </c>
      <c r="E61" s="119">
        <v>14859771.3785077</v>
      </c>
      <c r="F61" s="119">
        <v>7174884.2825850211</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0.04</v>
      </c>
      <c r="C64" s="125">
        <f>C55</f>
        <v>-0.02</v>
      </c>
      <c r="D64" s="125">
        <f>D55</f>
        <v>0</v>
      </c>
      <c r="E64" s="125">
        <f>E55</f>
        <v>0.02</v>
      </c>
      <c r="F64" s="125">
        <f>F55</f>
        <v>-0.04</v>
      </c>
      <c r="G64" s="125"/>
      <c r="H64" s="125"/>
      <c r="I64" s="125"/>
      <c r="J64" s="125"/>
      <c r="K64" s="125"/>
      <c r="L64" s="125"/>
    </row>
    <row r="65" spans="1:12" ht="13.15">
      <c r="A65" s="132">
        <v>0</v>
      </c>
      <c r="B65" s="120">
        <f>C11</f>
        <v>3.8924057246611126</v>
      </c>
      <c r="C65" s="120">
        <f>C11</f>
        <v>3.8924057246611126</v>
      </c>
      <c r="D65" s="120">
        <f>C11</f>
        <v>3.8924057246611126</v>
      </c>
      <c r="E65" s="120">
        <f>C11</f>
        <v>3.8924057246611126</v>
      </c>
      <c r="F65" s="120">
        <f>C11</f>
        <v>3.8924057246611126</v>
      </c>
      <c r="G65" s="304"/>
      <c r="H65" s="304"/>
      <c r="I65" s="304"/>
      <c r="J65" s="304"/>
      <c r="K65" s="304"/>
      <c r="L65" s="304"/>
    </row>
    <row r="66" spans="1:12" ht="13.15">
      <c r="A66" s="132">
        <f t="shared" ref="A66:A71" si="11">A56</f>
        <v>5</v>
      </c>
      <c r="B66" s="120">
        <f t="shared" ref="B66:F71" si="12">(B56+FV_adjustments)/Common_Shares*scaling_factor*Exchange_Rate</f>
        <v>4.3068957529973311</v>
      </c>
      <c r="C66" s="120">
        <f t="shared" si="12"/>
        <v>3.7070588524814561</v>
      </c>
      <c r="D66" s="120">
        <f t="shared" si="12"/>
        <v>3.8924057246611121</v>
      </c>
      <c r="E66" s="120">
        <f t="shared" si="12"/>
        <v>4.0920698339496795</v>
      </c>
      <c r="F66" s="120">
        <f t="shared" si="12"/>
        <v>3.5352170611725846</v>
      </c>
      <c r="G66" s="304"/>
      <c r="H66" s="304"/>
      <c r="I66" s="304"/>
      <c r="J66" s="304"/>
      <c r="K66" s="304"/>
      <c r="L66" s="304"/>
    </row>
    <row r="67" spans="1:12" ht="13.15">
      <c r="A67" s="132">
        <f t="shared" si="11"/>
        <v>10</v>
      </c>
      <c r="B67" s="120">
        <f t="shared" si="12"/>
        <v>4.6622768135755575</v>
      </c>
      <c r="C67" s="120">
        <f t="shared" si="12"/>
        <v>3.5889916873510224</v>
      </c>
      <c r="D67" s="120">
        <f t="shared" si="12"/>
        <v>3.8924057246611121</v>
      </c>
      <c r="E67" s="120">
        <f t="shared" si="12"/>
        <v>4.2474209435673371</v>
      </c>
      <c r="F67" s="120">
        <f t="shared" si="12"/>
        <v>3.3299745462346095</v>
      </c>
      <c r="G67" s="304"/>
      <c r="H67" s="304"/>
      <c r="I67" s="304"/>
      <c r="J67" s="304"/>
      <c r="K67" s="304"/>
      <c r="L67" s="304"/>
    </row>
    <row r="68" spans="1:12" ht="13.15">
      <c r="A68" s="132">
        <f t="shared" si="11"/>
        <v>15</v>
      </c>
      <c r="B68" s="120">
        <f t="shared" si="12"/>
        <v>4.9669782287692161</v>
      </c>
      <c r="C68" s="120">
        <f t="shared" si="12"/>
        <v>3.5137821339444528</v>
      </c>
      <c r="D68" s="120">
        <f t="shared" si="12"/>
        <v>3.8924057246611121</v>
      </c>
      <c r="E68" s="120">
        <f t="shared" si="12"/>
        <v>4.368293780179938</v>
      </c>
      <c r="F68" s="120">
        <f t="shared" si="12"/>
        <v>3.2120411002885629</v>
      </c>
      <c r="G68" s="304"/>
      <c r="H68" s="304"/>
      <c r="I68" s="304"/>
      <c r="J68" s="304"/>
      <c r="K68" s="304"/>
      <c r="L68" s="304"/>
    </row>
    <row r="69" spans="1:12" ht="13.15">
      <c r="A69" s="133">
        <f t="shared" si="11"/>
        <v>20</v>
      </c>
      <c r="B69" s="120">
        <f t="shared" si="12"/>
        <v>5.2282272448815466</v>
      </c>
      <c r="C69" s="120">
        <f t="shared" si="12"/>
        <v>3.4658731584272808</v>
      </c>
      <c r="D69" s="120">
        <f t="shared" si="12"/>
        <v>3.8924057246611121</v>
      </c>
      <c r="E69" s="120">
        <f t="shared" si="12"/>
        <v>4.462340373517665</v>
      </c>
      <c r="F69" s="120">
        <f t="shared" si="12"/>
        <v>3.1442759119848027</v>
      </c>
      <c r="G69" s="304"/>
      <c r="H69" s="304"/>
      <c r="I69" s="304"/>
      <c r="J69" s="304"/>
      <c r="K69" s="304"/>
      <c r="L69" s="304"/>
    </row>
    <row r="70" spans="1:12" ht="13.15">
      <c r="A70" s="133">
        <f t="shared" si="11"/>
        <v>25</v>
      </c>
      <c r="B70" s="120">
        <f t="shared" si="12"/>
        <v>5.4522204559937508</v>
      </c>
      <c r="C70" s="120">
        <f t="shared" si="12"/>
        <v>3.4353548288914406</v>
      </c>
      <c r="D70" s="120">
        <f t="shared" si="12"/>
        <v>3.8924057246611121</v>
      </c>
      <c r="E70" s="120">
        <f t="shared" si="12"/>
        <v>4.5355144791835995</v>
      </c>
      <c r="F70" s="120">
        <f t="shared" si="12"/>
        <v>3.105337672632881</v>
      </c>
      <c r="G70" s="304"/>
      <c r="H70" s="304"/>
      <c r="I70" s="304"/>
      <c r="J70" s="304"/>
      <c r="K70" s="304"/>
      <c r="L70" s="304"/>
    </row>
    <row r="71" spans="1:12" ht="13.15">
      <c r="A71" s="133">
        <f t="shared" si="11"/>
        <v>30</v>
      </c>
      <c r="B71" s="120">
        <f t="shared" si="12"/>
        <v>5.6442707816599853</v>
      </c>
      <c r="C71" s="120">
        <f t="shared" si="12"/>
        <v>3.4159144541473756</v>
      </c>
      <c r="D71" s="120">
        <f t="shared" si="12"/>
        <v>3.8924057246611121</v>
      </c>
      <c r="E71" s="120">
        <f t="shared" si="12"/>
        <v>4.5924484897626039</v>
      </c>
      <c r="F71" s="120">
        <f t="shared" si="12"/>
        <v>3.0829635522064591</v>
      </c>
      <c r="G71" s="304"/>
      <c r="H71" s="304"/>
      <c r="I71" s="304"/>
      <c r="J71" s="304"/>
      <c r="K71" s="304"/>
      <c r="L71" s="304"/>
    </row>
    <row r="73" spans="1:12" ht="13.15">
      <c r="B73" s="154" t="s">
        <v>101</v>
      </c>
      <c r="C73" s="154" t="s">
        <v>110</v>
      </c>
      <c r="D73" s="154" t="s">
        <v>99</v>
      </c>
      <c r="E73" s="155" t="s">
        <v>100</v>
      </c>
      <c r="F73" s="155" t="s">
        <v>462</v>
      </c>
      <c r="G73" s="332"/>
      <c r="H73" s="332"/>
      <c r="I73" s="332"/>
      <c r="J73" s="332"/>
      <c r="K73" s="332"/>
      <c r="L73" s="332"/>
    </row>
    <row r="74" spans="1:12">
      <c r="B74" s="121" t="str">
        <f>Scenarios!B29</f>
        <v>Snowball Scenario</v>
      </c>
      <c r="C74" s="131">
        <f>Scenarios!C29</f>
        <v>-0.04</v>
      </c>
      <c r="D74" s="134">
        <f>Scenarios!D29</f>
        <v>5</v>
      </c>
      <c r="E74" s="128">
        <f>INDEX(B$65:F$71, MATCH(D74, A$65:A$71, 0), MATCH(C74, B$64:F$64, 0))</f>
        <v>3.5352170611725846</v>
      </c>
      <c r="F74" s="131">
        <f>Scenarios!F29</f>
        <v>0.05</v>
      </c>
      <c r="G74" s="305"/>
      <c r="H74" s="305"/>
      <c r="I74" s="305"/>
      <c r="J74" s="305"/>
      <c r="K74" s="305"/>
      <c r="L74" s="305"/>
    </row>
    <row r="75" spans="1:12">
      <c r="B75" s="121" t="str">
        <f>Scenarios!B22</f>
        <v>Optimistic</v>
      </c>
      <c r="C75" s="131">
        <f>Scenarios!C22</f>
        <v>0.02</v>
      </c>
      <c r="D75" s="134">
        <f>Scenarios!D22</f>
        <v>5</v>
      </c>
      <c r="E75" s="128">
        <f>INDEX(B$65:F$71, MATCH(D75, A$65:A$71, 0), MATCH(C75, B$64:F$64, 0))</f>
        <v>4.0920698339496795</v>
      </c>
      <c r="F75" s="131">
        <f>Scenarios!F22*(1-F$74-F$78)</f>
        <v>0.18</v>
      </c>
      <c r="G75" s="305"/>
      <c r="H75" s="305"/>
      <c r="I75" s="305"/>
      <c r="J75" s="305"/>
      <c r="K75" s="305"/>
      <c r="L75" s="305"/>
    </row>
    <row r="76" spans="1:12">
      <c r="B76" s="121" t="str">
        <f>Scenarios!B23</f>
        <v>Base</v>
      </c>
      <c r="C76" s="131">
        <f>Scenarios!C23</f>
        <v>0</v>
      </c>
      <c r="D76" s="134">
        <f>Scenarios!D23</f>
        <v>5</v>
      </c>
      <c r="E76" s="128">
        <f>INDEX(B$65:F$71, MATCH(D76, A$65:A$71, 0), MATCH(C76, B$64:F$64, 0))</f>
        <v>3.8924057246611121</v>
      </c>
      <c r="F76" s="131">
        <f>Scenarios!F23*(1-F$74-F$78)</f>
        <v>0.53999999999999992</v>
      </c>
      <c r="G76" s="305"/>
      <c r="H76" s="305"/>
      <c r="I76" s="305"/>
      <c r="J76" s="305"/>
      <c r="K76" s="305"/>
      <c r="L76" s="305"/>
    </row>
    <row r="77" spans="1:12">
      <c r="B77" s="121" t="str">
        <f>Scenarios!B24</f>
        <v>Pessimistic</v>
      </c>
      <c r="C77" s="131">
        <f>Scenarios!C24</f>
        <v>-0.02</v>
      </c>
      <c r="D77" s="134">
        <f>Scenarios!D24</f>
        <v>5</v>
      </c>
      <c r="E77" s="128">
        <f>INDEX(B$65:F$71, MATCH(D77, A$65:A$71, 0), MATCH(C77, B$64:F$64, 0))</f>
        <v>3.7070588524814561</v>
      </c>
      <c r="F77" s="131">
        <f>Scenarios!F24*(1-F$74-F$78)</f>
        <v>0.18</v>
      </c>
      <c r="G77" s="305"/>
      <c r="H77" s="305"/>
      <c r="I77" s="305"/>
      <c r="J77" s="305"/>
      <c r="K77" s="305"/>
      <c r="L77" s="305"/>
    </row>
    <row r="78" spans="1:12">
      <c r="B78" s="121" t="str">
        <f>Scenarios!B30</f>
        <v>Devil's advocate</v>
      </c>
      <c r="C78" s="131">
        <f>Scenarios!C30</f>
        <v>0.04</v>
      </c>
      <c r="D78" s="134">
        <f>Scenarios!D30</f>
        <v>5</v>
      </c>
      <c r="E78" s="128">
        <f>INDEX(B$65:F$71, MATCH(D78, A$65:A$71, 0), MATCH(C78, B$64:F$64, 0))</f>
        <v>4.3068957529973311</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首钢资源(0639.HK).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2269323</v>
      </c>
      <c r="D7" t="str">
        <f>Reporting_currency</f>
        <v>HKD</v>
      </c>
      <c r="E7" s="467"/>
      <c r="F7" s="467"/>
      <c r="G7" s="467"/>
    </row>
    <row r="8" spans="2:7">
      <c r="B8" s="97" t="s">
        <v>63</v>
      </c>
      <c r="C8" s="283">
        <f>Normalized_FCF!G19</f>
        <v>1269297.3813067987</v>
      </c>
      <c r="D8" t="str">
        <f>Reporting_currency</f>
        <v>HKD</v>
      </c>
      <c r="E8" s="467"/>
      <c r="F8" s="467"/>
      <c r="G8" s="467"/>
    </row>
    <row r="9" spans="2:7">
      <c r="B9" s="97" t="s">
        <v>54</v>
      </c>
      <c r="C9" s="283">
        <f>Normalized_FCF!C19</f>
        <v>818946.05241834244</v>
      </c>
      <c r="D9" t="str">
        <f>Reporting_currency</f>
        <v>HKD</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-0.21539671749025913</v>
      </c>
      <c r="D12" s="145"/>
      <c r="E12" s="467"/>
      <c r="F12" s="467"/>
      <c r="G12" s="467"/>
    </row>
    <row r="13" spans="2:7">
      <c r="B13" s="136" t="s">
        <v>127</v>
      </c>
      <c r="C13" s="145">
        <f ca="1">(Normalized_FCF!G8/OFFSET(Normalized_FCF!G8, 0, $C$4))^(1/$C$4) - 1</f>
        <v>-0.3075833251044805</v>
      </c>
      <c r="E13" s="467"/>
      <c r="F13" s="467"/>
      <c r="G13" s="467"/>
    </row>
    <row r="14" spans="2:7">
      <c r="B14" s="97" t="s">
        <v>63</v>
      </c>
      <c r="C14" s="145">
        <f ca="1">(Normalized_FCF!G19/OFFSET(Normalized_FCF!G19, 0, $C$4))^(1/$C$4) - 1</f>
        <v>-0.33154087752371397</v>
      </c>
      <c r="E14" s="467"/>
      <c r="F14" s="467"/>
      <c r="G14" s="467"/>
    </row>
    <row r="16" spans="2:7" ht="13.9">
      <c r="B16" s="34" t="s">
        <v>458</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455</v>
      </c>
      <c r="E20" s="328"/>
      <c r="F20" s="328"/>
    </row>
    <row r="21" spans="2:7" ht="13.15">
      <c r="B21" s="154" t="s">
        <v>441</v>
      </c>
      <c r="C21" s="154" t="s">
        <v>381</v>
      </c>
      <c r="D21" s="154" t="s">
        <v>453</v>
      </c>
      <c r="E21" s="155" t="str">
        <f>"Value per share ("&amp;Market_currency&amp;")"</f>
        <v>Value per share (HKD)</v>
      </c>
      <c r="F21" s="155" t="s">
        <v>454</v>
      </c>
      <c r="G21" s="155" t="s">
        <v>462</v>
      </c>
    </row>
    <row r="22" spans="2:7">
      <c r="B22" s="310" t="s">
        <v>450</v>
      </c>
      <c r="C22" s="333">
        <v>0.02</v>
      </c>
      <c r="D22" s="334">
        <f>C18</f>
        <v>5</v>
      </c>
      <c r="E22" s="335">
        <f>DCF!E75</f>
        <v>4.0920698339496795</v>
      </c>
      <c r="F22" s="337">
        <f>1-F23-F24</f>
        <v>0.2</v>
      </c>
      <c r="G22" s="337">
        <f>F22*(1-F$29-F$30)</f>
        <v>0.18</v>
      </c>
    </row>
    <row r="23" spans="2:7">
      <c r="B23" s="310" t="s">
        <v>442</v>
      </c>
      <c r="C23" s="333">
        <v>0</v>
      </c>
      <c r="D23" s="334">
        <f>C18</f>
        <v>5</v>
      </c>
      <c r="E23" s="335">
        <f>DCF!E76</f>
        <v>3.8924057246611121</v>
      </c>
      <c r="F23" s="336">
        <v>0.6</v>
      </c>
      <c r="G23" s="337">
        <f t="shared" ref="G23:G24" si="0">F23*(1-F$29-F$30)</f>
        <v>0.53999999999999992</v>
      </c>
    </row>
    <row r="24" spans="2:7">
      <c r="B24" s="310" t="s">
        <v>451</v>
      </c>
      <c r="C24" s="333">
        <v>-0.02</v>
      </c>
      <c r="D24" s="334">
        <f>C18</f>
        <v>5</v>
      </c>
      <c r="E24" s="335">
        <f>DCF!E77</f>
        <v>3.7070588524814561</v>
      </c>
      <c r="F24" s="336">
        <v>0.2</v>
      </c>
      <c r="G24" s="337">
        <f t="shared" si="0"/>
        <v>0.18</v>
      </c>
    </row>
    <row r="25" spans="2:7">
      <c r="B25" s="142" t="s">
        <v>456</v>
      </c>
      <c r="C25" s="451">
        <f>E23*F23+E24*F24+E22*F22</f>
        <v>3.8952691720828945</v>
      </c>
      <c r="D25" s="142" t="str">
        <f>Market_currency</f>
        <v>HKD</v>
      </c>
      <c r="G25" s="150"/>
    </row>
    <row r="27" spans="2:7" ht="13.15">
      <c r="B27" s="106" t="s">
        <v>457</v>
      </c>
    </row>
    <row r="28" spans="2:7" ht="13.15">
      <c r="B28" s="154" t="s">
        <v>441</v>
      </c>
      <c r="C28" s="154" t="s">
        <v>381</v>
      </c>
      <c r="D28" s="154" t="s">
        <v>453</v>
      </c>
      <c r="E28" s="155" t="str">
        <f>"Value per share ("&amp;Market_currency&amp;")"</f>
        <v>Value per share (HKD)</v>
      </c>
      <c r="F28" s="155" t="s">
        <v>454</v>
      </c>
      <c r="G28" s="155" t="s">
        <v>462</v>
      </c>
    </row>
    <row r="29" spans="2:7">
      <c r="B29" s="310" t="s">
        <v>449</v>
      </c>
      <c r="C29" s="333">
        <v>-0.04</v>
      </c>
      <c r="D29" s="334">
        <f>C18</f>
        <v>5</v>
      </c>
      <c r="E29" s="335">
        <f>DCF!E74</f>
        <v>3.5352170611725846</v>
      </c>
      <c r="F29" s="336">
        <v>0.05</v>
      </c>
      <c r="G29" s="337">
        <f>F29</f>
        <v>0.05</v>
      </c>
    </row>
    <row r="30" spans="2:7">
      <c r="B30" s="323" t="s">
        <v>452</v>
      </c>
      <c r="C30" s="333">
        <v>0.04</v>
      </c>
      <c r="D30" s="334">
        <f>C18</f>
        <v>5</v>
      </c>
      <c r="E30" s="335">
        <f>DCF!E78</f>
        <v>4.3068957529973311</v>
      </c>
      <c r="F30" s="336">
        <v>0.05</v>
      </c>
      <c r="G30" s="337">
        <f>F30</f>
        <v>0.05</v>
      </c>
    </row>
    <row r="31" spans="2:7">
      <c r="E31" s="338"/>
      <c r="F31" s="338"/>
    </row>
    <row r="32" spans="2:7" ht="13.15">
      <c r="B32" s="146" t="s">
        <v>461</v>
      </c>
    </row>
    <row r="33" spans="2:7">
      <c r="B33" s="97" t="s">
        <v>463</v>
      </c>
      <c r="C33" s="156">
        <f>Normalized_FCF!C88*(1-dividend_tax_rate)</f>
        <v>0.27</v>
      </c>
      <c r="D33" t="str">
        <f>Market_currency</f>
        <v>HKD</v>
      </c>
      <c r="E33" s="97" t="s">
        <v>460</v>
      </c>
      <c r="F33" s="223">
        <f>Holding_Period</f>
        <v>2</v>
      </c>
    </row>
    <row r="34" spans="2:7">
      <c r="B34" s="97" t="s">
        <v>233</v>
      </c>
      <c r="C34" s="147">
        <f>Market_Price</f>
        <v>2.76</v>
      </c>
      <c r="D34" t="str">
        <f>Market_currency</f>
        <v>HKD</v>
      </c>
      <c r="E34" s="97" t="s">
        <v>459</v>
      </c>
      <c r="F34" s="339">
        <f>RATE(Holding_Period,$C$33,-C34,$C$36)</f>
        <v>0.27874323625388697</v>
      </c>
    </row>
    <row r="35" spans="2:7">
      <c r="B35" s="97" t="s">
        <v>439</v>
      </c>
      <c r="C35" s="329">
        <f>DCF!C11</f>
        <v>3.8924057246611126</v>
      </c>
      <c r="D35" s="97" t="str">
        <f>Market_currency</f>
        <v>HKD</v>
      </c>
      <c r="E35" s="97" t="s">
        <v>459</v>
      </c>
      <c r="F35" s="339">
        <f>RATE(Holding_Period,$C$33,-C35,$C$36)</f>
        <v>7.0041263669871082E-2</v>
      </c>
    </row>
    <row r="36" spans="2:7">
      <c r="B36" s="97" t="s">
        <v>440</v>
      </c>
      <c r="C36" s="330">
        <f>E22*G22+E23*G23+E24*G24+E30*G30+E29*G29</f>
        <v>3.8978478955831006</v>
      </c>
      <c r="D36" t="str">
        <f>Market_currency</f>
        <v>HKD</v>
      </c>
      <c r="E36" s="97" t="s">
        <v>465</v>
      </c>
      <c r="F36" s="340" t="s">
        <v>464</v>
      </c>
    </row>
    <row r="38" spans="2:7" ht="13.9">
      <c r="B38" s="34" t="s">
        <v>415</v>
      </c>
      <c r="C38" s="35"/>
      <c r="D38" s="35"/>
      <c r="E38" s="35"/>
      <c r="F38" s="35"/>
      <c r="G38" s="35"/>
    </row>
    <row r="39" spans="2:7" ht="13.15">
      <c r="B39" s="423" t="str">
        <f>IF(DCF!F14="II","2","1")&amp;"-stage DCF"</f>
        <v>1-stage DCF</v>
      </c>
      <c r="E39" s="226" t="s">
        <v>252</v>
      </c>
    </row>
    <row r="40" spans="2:7">
      <c r="B40" t="s">
        <v>404</v>
      </c>
      <c r="C40" s="139">
        <f>DCF!C17</f>
        <v>0.53643826452109311</v>
      </c>
      <c r="E40" s="97" t="s">
        <v>405</v>
      </c>
    </row>
    <row r="41" spans="2:7">
      <c r="B41" s="97" t="s">
        <v>403</v>
      </c>
      <c r="C41" s="139">
        <f>DCF!C16</f>
        <v>1.2999999999999999E-3</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1.2999999999999999E-3</v>
      </c>
      <c r="D46" s="139"/>
      <c r="E46" s="225" t="s">
        <v>253</v>
      </c>
    </row>
    <row r="47" spans="2:7">
      <c r="B47" s="97" t="s">
        <v>96</v>
      </c>
      <c r="C47" s="147">
        <f>DCF!I18</f>
        <v>3.904939886383807</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274</v>
      </c>
      <c r="F53" s="256">
        <f>BS!D89/C36</f>
        <v>0.43378115162793118</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0.27</v>
      </c>
      <c r="D58" t="str">
        <f>Market_currency</f>
        <v>HKD</v>
      </c>
    </row>
    <row r="60" spans="2:7" ht="13.15">
      <c r="B60" s="106" t="s">
        <v>478</v>
      </c>
      <c r="E60" s="422"/>
    </row>
    <row r="61" spans="2:7" ht="13.15">
      <c r="B61" s="154" t="s">
        <v>467</v>
      </c>
      <c r="C61" s="154" t="s">
        <v>103</v>
      </c>
      <c r="D61" s="154" t="s">
        <v>104</v>
      </c>
      <c r="E61" s="155" t="str">
        <f>"Buy below ("&amp;Market_currency&amp;")"</f>
        <v>Buy below (HKD)</v>
      </c>
      <c r="F61" s="155" t="s">
        <v>459</v>
      </c>
      <c r="G61" s="155" t="s">
        <v>466</v>
      </c>
    </row>
    <row r="62" spans="2:7" ht="13.15">
      <c r="B62" s="310" t="s">
        <v>313</v>
      </c>
      <c r="C62" s="120">
        <f>PV(F62, Holding_Period, -C58, 0)</f>
        <v>0.34814814814814826</v>
      </c>
      <c r="D62" s="120">
        <f>C36/(1+F62)^Holding_Period</f>
        <v>2.1387368425696023</v>
      </c>
      <c r="E62" s="341">
        <f>C62+D62</f>
        <v>2.4868849907177504</v>
      </c>
      <c r="F62" s="309">
        <f>Thesis!E22</f>
        <v>0.35</v>
      </c>
      <c r="G62" s="450">
        <f>(1-E62/C36)</f>
        <v>0.36198511144167578</v>
      </c>
    </row>
    <row r="63" spans="2:7" ht="13.15">
      <c r="B63" s="310" t="s">
        <v>314</v>
      </c>
      <c r="C63" s="120">
        <f>PV(F63, Holding_Period, -C58, 0)</f>
        <v>0.38880000000000003</v>
      </c>
      <c r="D63" s="120">
        <f>C36/(1+F63)^Holding_Period</f>
        <v>2.4946226531731845</v>
      </c>
      <c r="E63" s="341">
        <f>C63+D63</f>
        <v>2.8834226531731844</v>
      </c>
      <c r="F63" s="309">
        <f>Thesis!E23</f>
        <v>0.25</v>
      </c>
      <c r="G63" s="450">
        <f>(1-E63/C36)</f>
        <v>0.26025264956065275</v>
      </c>
    </row>
    <row r="65" spans="2:7" ht="13.15">
      <c r="B65" s="154" t="s">
        <v>468</v>
      </c>
      <c r="C65" s="154" t="s">
        <v>103</v>
      </c>
      <c r="D65" s="154" t="s">
        <v>104</v>
      </c>
      <c r="E65" s="155" t="str">
        <f>"Sell above ("&amp;Market_currency&amp;")"</f>
        <v>Sell above (HKD)</v>
      </c>
      <c r="F65" s="155" t="s">
        <v>459</v>
      </c>
      <c r="G65" s="155" t="s">
        <v>466</v>
      </c>
    </row>
    <row r="66" spans="2:7" ht="13.15">
      <c r="B66" s="310" t="s">
        <v>316</v>
      </c>
      <c r="C66" s="120">
        <f>PV(F66, Holding_Period, -C58, 0)</f>
        <v>0.45787753788943863</v>
      </c>
      <c r="D66" s="120">
        <f>C36/(1+F66)^Holding_Period</f>
        <v>3.1218178085232418</v>
      </c>
      <c r="E66" s="341">
        <f>C66+D66</f>
        <v>3.5796953464126804</v>
      </c>
      <c r="F66" s="309">
        <f>Thesis!E24</f>
        <v>0.1174</v>
      </c>
      <c r="G66" s="450">
        <f>(1-E66/C47)</f>
        <v>8.3290536969653939E-2</v>
      </c>
    </row>
    <row r="67" spans="2:7" ht="13.15">
      <c r="B67" s="310" t="s">
        <v>315</v>
      </c>
      <c r="C67" s="120">
        <f>PV(F67, Holding_Period, -C58, 0)</f>
        <v>0.48647855640862631</v>
      </c>
      <c r="D67" s="120">
        <f>C36/(1+F67)^Holding_Period</f>
        <v>3.3886778668519302</v>
      </c>
      <c r="E67" s="341">
        <f>C67+D67</f>
        <v>3.8751564232605564</v>
      </c>
      <c r="F67" s="309">
        <f>Thesis!E25</f>
        <v>7.2499999999999995E-2</v>
      </c>
      <c r="G67" s="450">
        <f>(1-E67/C36)</f>
        <v>5.8215386876069308E-3</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547</v>
      </c>
      <c r="F3" s="446">
        <f>Thesis!F3</f>
        <v>45930</v>
      </c>
    </row>
    <row r="4" spans="1:10">
      <c r="B4" s="432" t="s">
        <v>539</v>
      </c>
      <c r="C4" s="433" t="str">
        <f>Thesis!C4</f>
        <v>首钢资源</v>
      </c>
      <c r="D4" s="358"/>
      <c r="E4" s="444" t="s">
        <v>545</v>
      </c>
      <c r="F4" s="447" t="str">
        <f>Thesis!F4</f>
        <v>INT</v>
      </c>
    </row>
    <row r="5" spans="1:10">
      <c r="B5" s="352" t="s">
        <v>366</v>
      </c>
      <c r="C5" s="364" t="str">
        <f>Thesis!C5</f>
        <v>0639.HK</v>
      </c>
      <c r="E5" s="448" t="s">
        <v>546</v>
      </c>
      <c r="F5" s="449" t="str">
        <f>Thesis!F5</f>
        <v>Y</v>
      </c>
    </row>
    <row r="6" spans="1:10">
      <c r="B6" s="359" t="s">
        <v>338</v>
      </c>
      <c r="C6" s="361" t="str">
        <f>Thesis!C6</f>
        <v>MAT_01</v>
      </c>
      <c r="E6" s="363"/>
    </row>
    <row r="7" spans="1:10">
      <c r="B7" s="352" t="s">
        <v>368</v>
      </c>
      <c r="C7" s="361" t="str">
        <f>Market_currency</f>
        <v>HKD</v>
      </c>
      <c r="D7" s="363"/>
      <c r="E7" s="363"/>
    </row>
    <row r="8" spans="1:10">
      <c r="B8" s="360" t="s">
        <v>367</v>
      </c>
      <c r="C8" s="365">
        <f>Market_Price</f>
        <v>2.76</v>
      </c>
      <c r="D8" s="352" t="s">
        <v>534</v>
      </c>
      <c r="E8" s="369">
        <f>Scenarios!F34</f>
        <v>0.27874323625388697</v>
      </c>
    </row>
    <row r="9" spans="1:10">
      <c r="B9" s="360" t="s">
        <v>363</v>
      </c>
      <c r="C9" s="362">
        <f>Common_Shares</f>
        <v>5091065770</v>
      </c>
    </row>
    <row r="10" spans="1:10">
      <c r="B10" s="360" t="s">
        <v>369</v>
      </c>
      <c r="C10" s="366">
        <f>投资主题!C8*Common_Shares/1000000</f>
        <v>14051.3415252</v>
      </c>
      <c r="E10" s="362"/>
    </row>
    <row r="11" spans="1:10">
      <c r="D11" s="358"/>
      <c r="E11" s="358"/>
    </row>
    <row r="12" spans="1:10" ht="24.5" customHeight="1">
      <c r="B12" s="469" t="s">
        <v>503</v>
      </c>
      <c r="C12" s="469"/>
      <c r="D12" s="469"/>
      <c r="E12" s="469"/>
      <c r="F12" s="469"/>
    </row>
    <row r="14" spans="1:10">
      <c r="B14" s="356" t="s">
        <v>372</v>
      </c>
      <c r="C14" s="357"/>
      <c r="D14" s="358"/>
    </row>
    <row r="15" spans="1:10">
      <c r="B15" s="352" t="s">
        <v>339</v>
      </c>
      <c r="C15" s="367" t="str">
        <f>Thesis!C15</f>
        <v>N</v>
      </c>
      <c r="D15" s="360" t="s">
        <v>370</v>
      </c>
      <c r="E15" s="353" t="str">
        <f>IF(E17=C7,C7,E17&amp;"/"&amp;C7)</f>
        <v>HKD</v>
      </c>
    </row>
    <row r="16" spans="1:10">
      <c r="B16" s="352" t="s">
        <v>340</v>
      </c>
      <c r="C16" s="367" t="str">
        <f>Thesis!C16</f>
        <v>N</v>
      </c>
      <c r="D16" s="360" t="s">
        <v>371</v>
      </c>
      <c r="E16" s="435">
        <f>Exchange_Rate</f>
        <v>1</v>
      </c>
    </row>
    <row r="17" spans="1:6">
      <c r="B17" s="352" t="s">
        <v>540</v>
      </c>
      <c r="C17" s="434">
        <f>Terminal_Growth</f>
        <v>0</v>
      </c>
      <c r="D17" s="360" t="s">
        <v>341</v>
      </c>
      <c r="E17" s="353" t="str">
        <f>Reporting_currency</f>
        <v>HKD</v>
      </c>
    </row>
    <row r="18" spans="1:6">
      <c r="B18" s="352" t="str">
        <f>"预期股权价值 ("&amp;C7&amp;") :"</f>
        <v>预期股权价值 (HKD) :</v>
      </c>
      <c r="C18" s="368">
        <f>C125</f>
        <v>3.8978478955831006</v>
      </c>
      <c r="D18" s="359" t="s">
        <v>364</v>
      </c>
      <c r="E18" s="436">
        <f>Thesis!E18</f>
        <v>6</v>
      </c>
    </row>
    <row r="19" spans="1:6">
      <c r="B19" s="359" t="s">
        <v>337</v>
      </c>
      <c r="C19" s="361" t="str">
        <f>IF(Scenarios!C50="Y",Scenarios!B50,"")&amp;IF(Scenarios!C51="Y",Scenarios!B51,"")&amp;IF(Scenarios!C52="Y",Scenarios!B52,"")&amp;" "&amp;IF(Scenarios!C53="Y",Scenarios!B53,"")</f>
        <v xml:space="preserve">Low Growth </v>
      </c>
      <c r="D19" s="352" t="s">
        <v>365</v>
      </c>
      <c r="E19" s="437">
        <f>EOMONTH(EDATE(BS!C1,E18+2),0)</f>
        <v>46081</v>
      </c>
    </row>
    <row r="20" spans="1:6">
      <c r="D20" s="358"/>
      <c r="E20" s="358"/>
    </row>
    <row r="21" spans="1:6">
      <c r="B21" s="356" t="s">
        <v>498</v>
      </c>
      <c r="C21" s="370" t="str">
        <f>C138&amp;" ("&amp;Market_currency&amp;")"</f>
        <v xml:space="preserve"> (HKD)</v>
      </c>
      <c r="D21" s="371" t="s">
        <v>346</v>
      </c>
      <c r="E21" s="372">
        <f>Holding_Period</f>
        <v>2</v>
      </c>
    </row>
    <row r="22" spans="1:6">
      <c r="B22" s="352" t="s">
        <v>342</v>
      </c>
      <c r="C22" s="373">
        <f>E140</f>
        <v>2.4868849907177504</v>
      </c>
      <c r="D22" s="374" t="s">
        <v>445</v>
      </c>
      <c r="E22" s="375">
        <f>Thesis!E22</f>
        <v>0.35</v>
      </c>
    </row>
    <row r="23" spans="1:6">
      <c r="B23" s="352" t="s">
        <v>343</v>
      </c>
      <c r="C23" s="376">
        <f>E141</f>
        <v>2.8834226531731844</v>
      </c>
      <c r="D23" s="374" t="s">
        <v>446</v>
      </c>
      <c r="E23" s="377">
        <f>Thesis!E23</f>
        <v>0.25</v>
      </c>
    </row>
    <row r="24" spans="1:6">
      <c r="B24" s="352" t="s">
        <v>345</v>
      </c>
      <c r="C24" s="376">
        <f>E144</f>
        <v>3.5796953464126804</v>
      </c>
      <c r="D24" s="374" t="s">
        <v>448</v>
      </c>
      <c r="E24" s="377">
        <f>Thesis!E24</f>
        <v>0.1174</v>
      </c>
    </row>
    <row r="25" spans="1:6">
      <c r="B25" s="352" t="s">
        <v>344</v>
      </c>
      <c r="C25" s="376">
        <f>E145</f>
        <v>3.8751564232605564</v>
      </c>
      <c r="D25" s="374" t="s">
        <v>447</v>
      </c>
      <c r="E25" s="377">
        <f>Thesis!E25</f>
        <v>7.2499999999999995E-2</v>
      </c>
    </row>
    <row r="27" spans="1:6" ht="13.9">
      <c r="A27" s="354" t="s">
        <v>347</v>
      </c>
      <c r="B27" s="354"/>
      <c r="C27" s="354"/>
      <c r="D27" s="354"/>
      <c r="E27" s="354"/>
      <c r="F27" s="354"/>
    </row>
    <row r="29" spans="1:6">
      <c r="B29" s="469" t="s">
        <v>504</v>
      </c>
      <c r="C29" s="469"/>
      <c r="D29" s="469"/>
      <c r="E29" s="469"/>
      <c r="F29" s="469"/>
    </row>
    <row r="30" spans="1:6" ht="24.5" customHeight="1">
      <c r="B30" s="470" t="s">
        <v>505</v>
      </c>
      <c r="C30" s="470"/>
      <c r="D30" s="470"/>
      <c r="E30" s="470"/>
      <c r="F30" s="470"/>
    </row>
    <row r="32" spans="1:6">
      <c r="B32" s="378" t="s">
        <v>373</v>
      </c>
      <c r="C32" s="379">
        <f>scaling_factor</f>
        <v>1000</v>
      </c>
    </row>
    <row r="33" spans="2:6">
      <c r="B33" s="468" t="s">
        <v>506</v>
      </c>
      <c r="C33" s="468"/>
      <c r="D33" s="468"/>
      <c r="E33" s="468"/>
      <c r="F33" s="468"/>
    </row>
    <row r="34" spans="2:6">
      <c r="B34" s="381" t="s">
        <v>197</v>
      </c>
      <c r="C34" s="382">
        <f>Normalized_FCF!C8</f>
        <v>1432063.1874217824</v>
      </c>
      <c r="D34" s="352" t="str">
        <f>Reporting_currency</f>
        <v>HKD</v>
      </c>
    </row>
    <row r="35" spans="2:6">
      <c r="B35" s="381"/>
      <c r="C35" s="383"/>
    </row>
    <row r="36" spans="2:6" ht="24.5" customHeight="1">
      <c r="B36" s="468" t="s">
        <v>507</v>
      </c>
      <c r="C36" s="468"/>
      <c r="D36" s="468"/>
      <c r="E36" s="468"/>
      <c r="F36" s="468"/>
    </row>
    <row r="37" spans="2:6">
      <c r="B37" s="381" t="s">
        <v>199</v>
      </c>
      <c r="C37" s="382">
        <f>Normalized_FCF!C15</f>
        <v>0</v>
      </c>
      <c r="D37" s="352" t="str">
        <f>Reporting_currency</f>
        <v>HKD</v>
      </c>
    </row>
    <row r="38" spans="2:6">
      <c r="B38" s="384" t="s">
        <v>200</v>
      </c>
      <c r="C38" s="382">
        <f>Normalized_FCF!C16</f>
        <v>0</v>
      </c>
      <c r="D38" s="352" t="str">
        <f>Reporting_currency</f>
        <v>HKD</v>
      </c>
    </row>
    <row r="40" spans="2:6">
      <c r="B40" s="468" t="s">
        <v>508</v>
      </c>
      <c r="C40" s="468"/>
      <c r="D40" s="468"/>
      <c r="E40" s="468"/>
      <c r="F40" s="468"/>
    </row>
    <row r="41" spans="2:6">
      <c r="B41" s="381" t="s">
        <v>202</v>
      </c>
      <c r="C41" s="382">
        <f>Normalized_FCF!C9</f>
        <v>0</v>
      </c>
      <c r="D41" s="352" t="str">
        <f>Reporting_currency</f>
        <v>HKD</v>
      </c>
    </row>
    <row r="43" spans="2:6">
      <c r="B43" s="468" t="s">
        <v>509</v>
      </c>
      <c r="C43" s="468"/>
      <c r="D43" s="468"/>
      <c r="E43" s="468"/>
      <c r="F43" s="468"/>
    </row>
    <row r="44" spans="2:6">
      <c r="B44" s="381" t="s">
        <v>268</v>
      </c>
      <c r="C44" s="385">
        <f>Normalized_FCF!C46</f>
        <v>10905.469630734653</v>
      </c>
      <c r="D44" s="352" t="str">
        <f>Reporting_currency</f>
        <v>HKD</v>
      </c>
      <c r="E44" s="380"/>
      <c r="F44" s="380"/>
    </row>
    <row r="45" spans="2:6">
      <c r="B45" s="381" t="s">
        <v>269</v>
      </c>
      <c r="C45" s="385">
        <f>Normalized_FCF!C45</f>
        <v>-2620.62</v>
      </c>
      <c r="D45" s="352" t="str">
        <f>Reporting_currency</f>
        <v>HKD</v>
      </c>
      <c r="E45" s="380"/>
      <c r="F45" s="380"/>
    </row>
    <row r="46" spans="2:6">
      <c r="B46" s="381" t="s">
        <v>203</v>
      </c>
      <c r="C46" s="382">
        <f>Normalized_FCF!C10</f>
        <v>8284.8496307346541</v>
      </c>
      <c r="D46" s="352" t="str">
        <f>Reporting_currency</f>
        <v>HKD</v>
      </c>
    </row>
    <row r="48" spans="2:6">
      <c r="B48" s="352" t="s">
        <v>510</v>
      </c>
    </row>
    <row r="49" spans="2:6">
      <c r="B49" s="381" t="s">
        <v>223</v>
      </c>
      <c r="C49" s="382">
        <f>Normalized_FCF!C13</f>
        <v>-261314.97537104544</v>
      </c>
      <c r="D49" s="352" t="str">
        <f>Reporting_currency</f>
        <v>HKD</v>
      </c>
    </row>
    <row r="51" spans="2:6">
      <c r="B51" s="468" t="s">
        <v>511</v>
      </c>
      <c r="C51" s="468"/>
      <c r="D51" s="468"/>
      <c r="E51" s="468"/>
      <c r="F51" s="468"/>
    </row>
    <row r="52" spans="2:6">
      <c r="B52" s="381" t="s">
        <v>501</v>
      </c>
      <c r="C52" s="382">
        <f>Normalized_FCF!C12</f>
        <v>-360087.00926312926</v>
      </c>
      <c r="D52" s="352" t="str">
        <f>Reporting_currency</f>
        <v>HKD</v>
      </c>
    </row>
    <row r="54" spans="2:6">
      <c r="B54" s="468" t="s">
        <v>512</v>
      </c>
      <c r="C54" s="471"/>
      <c r="D54" s="471"/>
      <c r="E54" s="471"/>
      <c r="F54" s="471"/>
    </row>
    <row r="55" spans="2:6">
      <c r="B55" s="381" t="s">
        <v>207</v>
      </c>
      <c r="C55" s="382">
        <f>Normalized_FCF!C17</f>
        <v>0</v>
      </c>
      <c r="D55" s="352" t="str">
        <f>Reporting_currency</f>
        <v>HKD</v>
      </c>
    </row>
    <row r="57" spans="2:6">
      <c r="B57" s="469" t="s">
        <v>513</v>
      </c>
      <c r="C57" s="469"/>
      <c r="D57" s="469"/>
      <c r="E57" s="469"/>
      <c r="F57" s="469"/>
    </row>
    <row r="58" spans="2:6">
      <c r="B58" s="469" t="s">
        <v>514</v>
      </c>
      <c r="C58" s="469"/>
      <c r="D58" s="469"/>
      <c r="E58" s="469"/>
      <c r="F58" s="469"/>
    </row>
    <row r="60" spans="2:6">
      <c r="B60" s="381" t="s">
        <v>374</v>
      </c>
      <c r="C60" s="382">
        <f>Normalized_FCF!G19</f>
        <v>1269297.3813067987</v>
      </c>
      <c r="D60" s="352" t="str">
        <f>Reporting_currency</f>
        <v>HKD</v>
      </c>
    </row>
    <row r="61" spans="2:6">
      <c r="B61" s="381" t="s">
        <v>213</v>
      </c>
      <c r="C61" s="382">
        <f>Normalized_FCF!C19</f>
        <v>818946.05241834244</v>
      </c>
      <c r="D61" s="352" t="str">
        <f>Reporting_currency</f>
        <v>HKD</v>
      </c>
    </row>
    <row r="62" spans="2:6">
      <c r="B62" s="386" t="s">
        <v>303</v>
      </c>
      <c r="C62" s="387">
        <f>Normalized_FCF!C124</f>
        <v>5.8282410327129677E-2</v>
      </c>
      <c r="F62" s="388"/>
    </row>
    <row r="63" spans="2:6">
      <c r="B63" s="386" t="s">
        <v>333</v>
      </c>
      <c r="C63" s="387">
        <f>Normalized_FCF!C92</f>
        <v>9.7826086956521757E-2</v>
      </c>
      <c r="E63" s="381" t="s">
        <v>375</v>
      </c>
      <c r="F63" s="389">
        <f>Normalized_FCF!C90</f>
        <v>1.8649821028990061</v>
      </c>
    </row>
    <row r="65" spans="1:6">
      <c r="B65" s="378" t="s">
        <v>378</v>
      </c>
      <c r="C65" s="390" t="s">
        <v>328</v>
      </c>
      <c r="D65" s="390" t="s">
        <v>376</v>
      </c>
    </row>
    <row r="66" spans="1:6">
      <c r="B66" s="381" t="s">
        <v>327</v>
      </c>
      <c r="C66" s="387">
        <f>Normalized_FCF!C119</f>
        <v>7.6203822690338374E-2</v>
      </c>
      <c r="D66" s="387">
        <f>Normalized_FCF!G119</f>
        <v>0.12174472741716588</v>
      </c>
    </row>
    <row r="67" spans="1:6">
      <c r="B67" s="391" t="str">
        <f>Normalized_FCF!B116</f>
        <v>Pre-tax Profit/Sales</v>
      </c>
      <c r="C67" s="392">
        <f>Normalized_FCF!C116</f>
        <v>0.40688947062135006</v>
      </c>
      <c r="D67" s="392">
        <f>Normalized_FCF!G116</f>
        <v>0.45503824032169243</v>
      </c>
    </row>
    <row r="68" spans="1:6">
      <c r="B68" s="391" t="str">
        <f>Normalized_FCF!B117</f>
        <v>Sales/Total Assets</v>
      </c>
      <c r="C68" s="393">
        <f>Normalized_FCF!C117</f>
        <v>0.1542519195864642</v>
      </c>
      <c r="D68" s="393">
        <f>Normalized_FCF!G117</f>
        <v>0.22035988512352028</v>
      </c>
    </row>
    <row r="69" spans="1:6">
      <c r="B69" s="391" t="str">
        <f>Normalized_FCF!B118</f>
        <v>Total Assets/Equity</v>
      </c>
      <c r="C69" s="393">
        <f>Normalized_FCF!C118</f>
        <v>1.2141426890285656</v>
      </c>
      <c r="D69" s="393">
        <f>Normalized_FCF!G118</f>
        <v>1.2141426890285656</v>
      </c>
    </row>
    <row r="71" spans="1:6" ht="13.9">
      <c r="A71" s="354" t="s">
        <v>481</v>
      </c>
      <c r="B71" s="354"/>
      <c r="C71" s="354"/>
      <c r="D71" s="354"/>
      <c r="E71" s="354"/>
      <c r="F71" s="354"/>
    </row>
    <row r="72" spans="1:6">
      <c r="A72" s="394"/>
    </row>
    <row r="73" spans="1:6">
      <c r="A73" s="395"/>
      <c r="B73" s="469" t="s">
        <v>515</v>
      </c>
      <c r="C73" s="469"/>
      <c r="D73" s="469"/>
      <c r="E73" s="469"/>
      <c r="F73" s="469"/>
    </row>
    <row r="74" spans="1:6">
      <c r="B74" s="470" t="s">
        <v>484</v>
      </c>
      <c r="C74" s="470"/>
      <c r="D74" s="470"/>
      <c r="E74" s="470"/>
      <c r="F74" s="470"/>
    </row>
    <row r="76" spans="1:6">
      <c r="B76" s="378" t="s">
        <v>373</v>
      </c>
    </row>
    <row r="77" spans="1:6">
      <c r="B77" s="469" t="s">
        <v>516</v>
      </c>
      <c r="C77" s="469"/>
      <c r="D77" s="469"/>
      <c r="E77" s="469"/>
      <c r="F77" s="469"/>
    </row>
    <row r="78" spans="1:6">
      <c r="B78" s="352" t="s">
        <v>215</v>
      </c>
      <c r="C78" s="382">
        <f>DCF!F4</f>
        <v>-43677</v>
      </c>
      <c r="D78" s="352" t="str">
        <f>Reporting_currency</f>
        <v>HKD</v>
      </c>
    </row>
    <row r="79" spans="1:6">
      <c r="B79" s="381" t="s">
        <v>235</v>
      </c>
      <c r="C79" s="396">
        <f>C78*scaling_factor*Exchange_Rate/Common_Shares</f>
        <v>-8.5791466803226933E-3</v>
      </c>
      <c r="D79" s="352" t="str">
        <f>Market_currency</f>
        <v>HKD</v>
      </c>
    </row>
    <row r="80" spans="1:6">
      <c r="B80" s="391" t="s">
        <v>310</v>
      </c>
      <c r="C80" s="397">
        <f>IF(BS!G31/BS!G27&gt;300%,"nm",BS!G31/BS!G27)</f>
        <v>2.3107986944995245E-3</v>
      </c>
    </row>
    <row r="81" spans="1:6">
      <c r="B81" s="391" t="s">
        <v>312</v>
      </c>
      <c r="C81" s="398">
        <f>IF(BS!C50&gt;30,"nm",BS!C50)</f>
        <v>3.0499352531108609E-2</v>
      </c>
    </row>
    <row r="83" spans="1:6">
      <c r="B83" s="352" t="s">
        <v>517</v>
      </c>
    </row>
    <row r="84" spans="1:6">
      <c r="B84" s="352" t="s">
        <v>224</v>
      </c>
      <c r="C84" s="382">
        <f>DCF!F5</f>
        <v>8300850.7282108907</v>
      </c>
      <c r="D84" s="352" t="str">
        <f>Reporting_currency</f>
        <v>HKD</v>
      </c>
    </row>
    <row r="85" spans="1:6">
      <c r="B85" s="391" t="s">
        <v>486</v>
      </c>
      <c r="C85" s="399">
        <f>BS!C66</f>
        <v>10118429</v>
      </c>
      <c r="D85" s="400" t="str">
        <f>Reporting_currency</f>
        <v>HKD</v>
      </c>
    </row>
    <row r="86" spans="1:6">
      <c r="B86" s="381" t="s">
        <v>236</v>
      </c>
      <c r="C86" s="396">
        <f>C84*scaling_factor*Exchange_Rate/Common_Shares</f>
        <v>1.6304740703066758</v>
      </c>
      <c r="D86" s="352" t="str">
        <f>Market_currency</f>
        <v>HKD</v>
      </c>
    </row>
    <row r="88" spans="1:6">
      <c r="B88" s="352" t="s">
        <v>518</v>
      </c>
    </row>
    <row r="89" spans="1:6">
      <c r="B89" s="352" t="s">
        <v>217</v>
      </c>
      <c r="C89" s="382">
        <f>DCF!F6</f>
        <v>263512.2</v>
      </c>
      <c r="D89" s="352" t="str">
        <f>Reporting_currency</f>
        <v>HKD</v>
      </c>
    </row>
    <row r="90" spans="1:6">
      <c r="B90" s="381" t="s">
        <v>237</v>
      </c>
      <c r="C90" s="396">
        <f>C89*scaling_factor*Exchange_Rate/Common_Shares</f>
        <v>5.1759732029547124E-2</v>
      </c>
      <c r="D90" s="352" t="str">
        <f>Market_currency</f>
        <v>HKD</v>
      </c>
    </row>
    <row r="92" spans="1:6">
      <c r="B92" s="381" t="s">
        <v>485</v>
      </c>
      <c r="C92" s="396">
        <f>DCF!F8</f>
        <v>1.6736546556559</v>
      </c>
      <c r="D92" s="352" t="str">
        <f>Market_currency</f>
        <v>HKD</v>
      </c>
    </row>
    <row r="94" spans="1:6" ht="13.9">
      <c r="A94" s="354" t="s">
        <v>487</v>
      </c>
      <c r="B94" s="354"/>
      <c r="C94" s="354"/>
      <c r="D94" s="354"/>
      <c r="E94" s="354"/>
      <c r="F94" s="354"/>
    </row>
    <row r="95" spans="1:6">
      <c r="A95" s="394"/>
    </row>
    <row r="96" spans="1:6">
      <c r="A96" s="394"/>
      <c r="B96" s="469" t="s">
        <v>519</v>
      </c>
      <c r="C96" s="469"/>
      <c r="D96" s="469"/>
      <c r="E96" s="469"/>
      <c r="F96" s="469"/>
    </row>
    <row r="97" spans="1:6">
      <c r="A97" s="394"/>
      <c r="B97" s="470" t="s">
        <v>520</v>
      </c>
      <c r="C97" s="470"/>
      <c r="D97" s="470"/>
      <c r="E97" s="470"/>
      <c r="F97" s="470"/>
    </row>
    <row r="98" spans="1:6">
      <c r="A98" s="394"/>
      <c r="B98" s="470" t="s">
        <v>521</v>
      </c>
      <c r="C98" s="470"/>
      <c r="D98" s="470"/>
      <c r="E98" s="470"/>
      <c r="F98" s="470"/>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540</v>
      </c>
      <c r="C104" s="377">
        <v>0</v>
      </c>
    </row>
    <row r="105" spans="1:6">
      <c r="A105" s="394"/>
      <c r="C105" s="401"/>
    </row>
    <row r="106" spans="1:6">
      <c r="A106" s="394"/>
      <c r="B106" s="402" t="s">
        <v>377</v>
      </c>
      <c r="C106" s="401"/>
    </row>
    <row r="107" spans="1:6">
      <c r="A107" s="394"/>
      <c r="B107" s="469" t="s">
        <v>522</v>
      </c>
      <c r="C107" s="469"/>
      <c r="D107" s="469"/>
      <c r="E107" s="469"/>
      <c r="F107" s="469"/>
    </row>
    <row r="108" spans="1:6">
      <c r="A108" s="394"/>
      <c r="B108" s="469" t="s">
        <v>541</v>
      </c>
      <c r="C108" s="469"/>
      <c r="D108" s="469"/>
      <c r="E108" s="469"/>
      <c r="F108" s="469"/>
    </row>
    <row r="109" spans="1:6">
      <c r="A109" s="394"/>
    </row>
    <row r="110" spans="1:6">
      <c r="A110" s="394"/>
      <c r="B110" s="378" t="s">
        <v>494</v>
      </c>
    </row>
    <row r="111" spans="1:6">
      <c r="A111" s="394"/>
      <c r="B111" s="384" t="s">
        <v>491</v>
      </c>
      <c r="C111" s="403">
        <f>BS!D47</f>
        <v>0.79833937207218564</v>
      </c>
      <c r="D111" s="352" t="str">
        <f>Market_currency</f>
        <v>HKD</v>
      </c>
    </row>
    <row r="112" spans="1:6">
      <c r="A112" s="394"/>
      <c r="B112" s="381" t="s">
        <v>379</v>
      </c>
      <c r="C112" s="403">
        <f>DCF!C11</f>
        <v>3.8924057246611126</v>
      </c>
      <c r="D112" s="352" t="str">
        <f>Market_currency</f>
        <v>HKD</v>
      </c>
    </row>
    <row r="113" spans="1:6">
      <c r="A113" s="394"/>
    </row>
    <row r="114" spans="1:6">
      <c r="A114" s="394"/>
      <c r="B114" s="469" t="s">
        <v>523</v>
      </c>
      <c r="C114" s="469"/>
      <c r="D114" s="469"/>
      <c r="E114" s="469"/>
      <c r="F114" s="469"/>
    </row>
    <row r="115" spans="1:6">
      <c r="A115" s="394"/>
    </row>
    <row r="116" spans="1:6">
      <c r="A116" s="394"/>
      <c r="B116" s="378" t="s">
        <v>495</v>
      </c>
    </row>
    <row r="117" spans="1:6">
      <c r="A117" s="394"/>
      <c r="B117" s="351" t="s">
        <v>380</v>
      </c>
      <c r="C117" s="351" t="s">
        <v>381</v>
      </c>
      <c r="D117" s="351" t="s">
        <v>99</v>
      </c>
      <c r="E117" s="351" t="s">
        <v>382</v>
      </c>
      <c r="F117" s="351" t="s">
        <v>383</v>
      </c>
    </row>
    <row r="118" spans="1:6">
      <c r="A118" s="394"/>
      <c r="B118" s="404" t="str">
        <f>DCF!B74</f>
        <v>Snowball Scenario</v>
      </c>
      <c r="C118" s="405">
        <f>DCF!C74</f>
        <v>-0.04</v>
      </c>
      <c r="D118" s="406">
        <f>DCF!D74</f>
        <v>5</v>
      </c>
      <c r="E118" s="407" t="str">
        <f>ROUND(DCF!E74,2)&amp;" "&amp;Market_currency</f>
        <v>3.54 HKD</v>
      </c>
      <c r="F118" s="408">
        <f>DCF!F74</f>
        <v>0.05</v>
      </c>
    </row>
    <row r="119" spans="1:6">
      <c r="A119" s="394"/>
      <c r="B119" s="409" t="str">
        <f>DCF!B75</f>
        <v>Optimistic</v>
      </c>
      <c r="C119" s="410">
        <f>DCF!C75</f>
        <v>0.02</v>
      </c>
      <c r="D119" s="411">
        <f>DCF!D75</f>
        <v>5</v>
      </c>
      <c r="E119" s="407" t="str">
        <f>ROUND(DCF!E75,2)&amp;" "&amp;Market_currency</f>
        <v>4.09 HKD</v>
      </c>
      <c r="F119" s="412">
        <f>DCF!F75</f>
        <v>0.18</v>
      </c>
    </row>
    <row r="120" spans="1:6">
      <c r="B120" s="409" t="str">
        <f>DCF!B76</f>
        <v>Base</v>
      </c>
      <c r="C120" s="410">
        <f>DCF!C76</f>
        <v>0</v>
      </c>
      <c r="D120" s="411">
        <f>DCF!D76</f>
        <v>5</v>
      </c>
      <c r="E120" s="407" t="str">
        <f>ROUND(DCF!E76,2)&amp;" "&amp;Market_currency</f>
        <v>3.89 HKD</v>
      </c>
      <c r="F120" s="412">
        <f>DCF!F76</f>
        <v>0.53999999999999992</v>
      </c>
    </row>
    <row r="121" spans="1:6">
      <c r="B121" s="409" t="str">
        <f>DCF!B77</f>
        <v>Pessimistic</v>
      </c>
      <c r="C121" s="410">
        <f>DCF!C77</f>
        <v>-0.02</v>
      </c>
      <c r="D121" s="411">
        <f>DCF!D77</f>
        <v>5</v>
      </c>
      <c r="E121" s="407" t="str">
        <f>ROUND(DCF!E77,2)&amp;" "&amp;Market_currency</f>
        <v>3.71 HKD</v>
      </c>
      <c r="F121" s="412">
        <f>DCF!F77</f>
        <v>0.18</v>
      </c>
    </row>
    <row r="122" spans="1:6">
      <c r="B122" s="409" t="str">
        <f>DCF!B78</f>
        <v>Devil's advocate</v>
      </c>
      <c r="C122" s="410">
        <f>DCF!C78</f>
        <v>0.04</v>
      </c>
      <c r="D122" s="411">
        <f>DCF!D78</f>
        <v>5</v>
      </c>
      <c r="E122" s="407" t="str">
        <f>ROUND(DCF!E78,2)&amp;" "&amp;Market_currency</f>
        <v>4.31 HKD</v>
      </c>
      <c r="F122" s="412">
        <f>DCF!F78</f>
        <v>0.05</v>
      </c>
    </row>
    <row r="124" spans="1:6">
      <c r="B124" s="468" t="s">
        <v>524</v>
      </c>
      <c r="C124" s="468"/>
      <c r="D124" s="468"/>
      <c r="E124" s="468"/>
      <c r="F124" s="468"/>
    </row>
    <row r="125" spans="1:6">
      <c r="B125" s="381" t="s">
        <v>218</v>
      </c>
      <c r="C125" s="413">
        <f>Scenarios!C36</f>
        <v>3.8978478955831006</v>
      </c>
      <c r="D125" s="352" t="str">
        <f>Market_currency</f>
        <v>HKD</v>
      </c>
    </row>
    <row r="127" spans="1:6">
      <c r="B127" s="473" t="s">
        <v>525</v>
      </c>
      <c r="C127" s="473"/>
      <c r="D127" s="473"/>
      <c r="E127" s="473"/>
      <c r="F127" s="473"/>
    </row>
    <row r="129" spans="1:6" ht="13.9">
      <c r="A129" s="354" t="s">
        <v>497</v>
      </c>
      <c r="B129" s="354"/>
      <c r="C129" s="354"/>
      <c r="D129" s="354"/>
      <c r="E129" s="354"/>
      <c r="F129" s="354"/>
    </row>
    <row r="131" spans="1:6">
      <c r="B131" s="474" t="s">
        <v>526</v>
      </c>
      <c r="C131" s="474"/>
      <c r="D131" s="474"/>
      <c r="E131" s="474"/>
      <c r="F131" s="474"/>
    </row>
    <row r="132" spans="1:6" ht="24.5" customHeight="1">
      <c r="B132" s="469" t="s">
        <v>527</v>
      </c>
      <c r="C132" s="469"/>
      <c r="D132" s="469"/>
      <c r="E132" s="469"/>
      <c r="F132" s="469"/>
    </row>
    <row r="134" spans="1:6">
      <c r="B134" s="378" t="s">
        <v>373</v>
      </c>
    </row>
    <row r="135" spans="1:6">
      <c r="B135" s="352" t="s">
        <v>384</v>
      </c>
      <c r="C135" s="414">
        <f>E21</f>
        <v>2</v>
      </c>
    </row>
    <row r="136" spans="1:6">
      <c r="B136" s="352" t="s">
        <v>385</v>
      </c>
      <c r="C136" s="415">
        <f>Scenarios!C58</f>
        <v>0.27</v>
      </c>
      <c r="D136" s="352" t="str">
        <f>Market_currency</f>
        <v>HKD</v>
      </c>
    </row>
    <row r="138" spans="1:6">
      <c r="B138" s="378" t="s">
        <v>498</v>
      </c>
      <c r="C138" s="416"/>
      <c r="D138" s="416"/>
    </row>
    <row r="139" spans="1:6">
      <c r="B139" s="349" t="s">
        <v>467</v>
      </c>
      <c r="C139" s="349" t="str">
        <f>"PV("&amp;Holding_Period&amp;" yrs of Dividends)"</f>
        <v>PV(2 yrs of Dividends)</v>
      </c>
      <c r="D139" s="349" t="s">
        <v>476</v>
      </c>
      <c r="E139" s="350" t="str">
        <f>"Buy below ("&amp;Market_currency&amp;")"</f>
        <v>Buy below (HKD)</v>
      </c>
      <c r="F139" s="350" t="s">
        <v>500</v>
      </c>
    </row>
    <row r="140" spans="1:6">
      <c r="B140" s="417" t="s">
        <v>313</v>
      </c>
      <c r="C140" s="418">
        <f>Scenarios!C62</f>
        <v>0.34814814814814826</v>
      </c>
      <c r="D140" s="418">
        <f>Scenarios!D62</f>
        <v>2.1387368425696023</v>
      </c>
      <c r="E140" s="419">
        <f>Scenarios!E62</f>
        <v>2.4868849907177504</v>
      </c>
      <c r="F140" s="420">
        <f>E22</f>
        <v>0.35</v>
      </c>
    </row>
    <row r="141" spans="1:6">
      <c r="B141" s="417" t="s">
        <v>314</v>
      </c>
      <c r="C141" s="418">
        <f>Scenarios!C63</f>
        <v>0.38880000000000003</v>
      </c>
      <c r="D141" s="418">
        <f>Scenarios!D63</f>
        <v>2.4946226531731845</v>
      </c>
      <c r="E141" s="419">
        <f>Scenarios!E63</f>
        <v>2.8834226531731844</v>
      </c>
      <c r="F141" s="420">
        <f>Scenarios!F63</f>
        <v>0.25</v>
      </c>
    </row>
    <row r="143" spans="1:6">
      <c r="B143" s="349" t="s">
        <v>468</v>
      </c>
      <c r="C143" s="349" t="str">
        <f>"PV("&amp;Holding_Period&amp;" yrs of Dividends)"</f>
        <v>PV(2 yrs of Dividends)</v>
      </c>
      <c r="D143" s="349" t="s">
        <v>476</v>
      </c>
      <c r="E143" s="350" t="str">
        <f>"Sell above ("&amp;Market_currency&amp;")"</f>
        <v>Sell above (HKD)</v>
      </c>
      <c r="F143" s="350" t="s">
        <v>500</v>
      </c>
    </row>
    <row r="144" spans="1:6">
      <c r="B144" s="417" t="s">
        <v>316</v>
      </c>
      <c r="C144" s="418">
        <f>Scenarios!C66</f>
        <v>0.45787753788943863</v>
      </c>
      <c r="D144" s="418">
        <f>Scenarios!D66</f>
        <v>3.1218178085232418</v>
      </c>
      <c r="E144" s="419">
        <f>Scenarios!E66</f>
        <v>3.5796953464126804</v>
      </c>
      <c r="F144" s="420">
        <f>E24</f>
        <v>0.1174</v>
      </c>
    </row>
    <row r="145" spans="1:6">
      <c r="B145" s="417" t="s">
        <v>315</v>
      </c>
      <c r="C145" s="418">
        <f>Scenarios!C67</f>
        <v>0.48647855640862631</v>
      </c>
      <c r="D145" s="418">
        <f>Scenarios!D67</f>
        <v>3.3886778668519302</v>
      </c>
      <c r="E145" s="419">
        <f>Scenarios!E67</f>
        <v>3.8751564232605564</v>
      </c>
      <c r="F145" s="420">
        <f>Scenarios!F67</f>
        <v>7.2499999999999995E-2</v>
      </c>
    </row>
    <row r="147" spans="1:6" ht="13.9">
      <c r="A147" s="354" t="s">
        <v>480</v>
      </c>
      <c r="B147" s="354"/>
      <c r="C147" s="354"/>
      <c r="D147" s="354"/>
      <c r="E147" s="354"/>
      <c r="F147" s="354"/>
    </row>
    <row r="149" spans="1:6">
      <c r="B149" s="475" t="s">
        <v>528</v>
      </c>
      <c r="C149" s="469"/>
      <c r="D149" s="469"/>
      <c r="E149" s="469"/>
      <c r="F149" s="469"/>
    </row>
    <row r="151" spans="1:6">
      <c r="B151" s="378" t="s">
        <v>386</v>
      </c>
    </row>
    <row r="152" spans="1:6">
      <c r="B152" s="471" t="s">
        <v>529</v>
      </c>
      <c r="C152" s="471"/>
      <c r="D152" s="471"/>
      <c r="E152" s="471"/>
      <c r="F152" s="471"/>
    </row>
    <row r="153" spans="1:6">
      <c r="B153" s="421" t="s">
        <v>387</v>
      </c>
    </row>
    <row r="154" spans="1:6">
      <c r="B154" s="421" t="s">
        <v>388</v>
      </c>
    </row>
    <row r="155" spans="1:6">
      <c r="B155" s="421" t="s">
        <v>389</v>
      </c>
    </row>
    <row r="157" spans="1:6">
      <c r="B157" s="352" t="s">
        <v>530</v>
      </c>
    </row>
    <row r="158" spans="1:6" ht="24.5" customHeight="1">
      <c r="B158" s="468" t="s">
        <v>444</v>
      </c>
      <c r="C158" s="468"/>
      <c r="D158" s="468"/>
      <c r="E158" s="468"/>
      <c r="F158" s="468"/>
    </row>
    <row r="160" spans="1:6">
      <c r="B160" s="352" t="s">
        <v>531</v>
      </c>
    </row>
    <row r="161" spans="2:6">
      <c r="B161" s="472" t="s">
        <v>390</v>
      </c>
      <c r="C161" s="472"/>
      <c r="D161" s="472"/>
      <c r="E161" s="472"/>
      <c r="F161" s="472"/>
    </row>
    <row r="162" spans="2:6">
      <c r="B162" s="472" t="s">
        <v>391</v>
      </c>
      <c r="C162" s="472"/>
      <c r="D162" s="472"/>
      <c r="E162" s="472"/>
      <c r="F162" s="472"/>
    </row>
    <row r="164" spans="2:6">
      <c r="B164" s="352" t="s">
        <v>532</v>
      </c>
    </row>
    <row r="165" spans="2:6">
      <c r="B165" s="421" t="s">
        <v>392</v>
      </c>
    </row>
    <row r="166" spans="2:6">
      <c r="B166" s="421" t="s">
        <v>393</v>
      </c>
    </row>
    <row r="167" spans="2:6">
      <c r="B167" s="421" t="s">
        <v>394</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002B-0A69-4A56-882C-6412BF9EEFBC}">
  <dimension ref="B2:E2"/>
  <sheetViews>
    <sheetView showGridLines="0" workbookViewId="0">
      <selection activeCell="D49" sqref="D49"/>
    </sheetView>
  </sheetViews>
  <sheetFormatPr defaultColWidth="8.796875" defaultRowHeight="12.75"/>
  <cols>
    <col min="1" max="1" width="2.6640625" style="457" customWidth="1"/>
    <col min="2" max="2" width="22.6640625" style="457" customWidth="1"/>
    <col min="3" max="5" width="20.6640625" style="457" customWidth="1"/>
    <col min="6" max="16384" width="8.79687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2025-10-02T10:28:28Z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