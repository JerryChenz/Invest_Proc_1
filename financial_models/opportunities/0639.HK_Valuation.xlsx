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3B3CF2-C345-4B26-B915-1E0A8813A4E5}"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<sst xmlns="http://schemas.openxmlformats.org/spreadsheetml/2006/main" count="766" uniqueCount="555">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</sst>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2.76</v>
      </c>
      <c r="E8" s="32"/>
    </row>
    <row r="9" spans="1:9">
      <c r="B9" s="4" t="s">
        <v>346</v>
      </c>
      <c r="C9" s="48">
        <v>5091065770</v>
      </c>
    </row>
    <row r="10" spans="1:9">
      <c r="B10" s="4" t="s">
        <v>352</v>
      </c>
      <c r="C10" s="33">
        <f>Thesis!C8*Common_Shares/1000000</f>
        <v>14051.3415252</v>
      </c>
      <c r="D10" s="1" t="s">
        <v>531</v>
      </c>
      <c r="E10" s="310">
        <f>Scenarios!F34</f>
        <v>0.27874323625388697</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2</v>
      </c>
    </row>
    <row r="22" spans="1:6">
      <c r="B22" s="1" t="s">
        <v>312</v>
      </c>
      <c r="C22" s="261">
        <f>E140</f>
        <v>2.4868849907177504</v>
      </c>
      <c r="D22" s="38" t="s">
        <v>408</v>
      </c>
      <c r="E22" s="79">
        <v>0.35</v>
      </c>
    </row>
    <row r="23" spans="1:6">
      <c r="B23" s="1" t="s">
        <v>313</v>
      </c>
      <c r="C23" s="262">
        <f>E141</f>
        <v>2.8834226531731844</v>
      </c>
      <c r="D23" s="38" t="s">
        <v>409</v>
      </c>
      <c r="E23" s="451">
        <v>0.25</v>
      </c>
    </row>
    <row r="24" spans="1:6">
      <c r="B24" s="1" t="s">
        <v>315</v>
      </c>
      <c r="C24" s="262">
        <f>E144</f>
        <v>3.5796953464126804</v>
      </c>
      <c r="D24" s="38" t="s">
        <v>410</v>
      </c>
      <c r="E24" s="451">
        <v>0.1174</v>
      </c>
    </row>
    <row r="25" spans="1:6">
      <c r="B25" s="1" t="s">
        <v>314</v>
      </c>
      <c r="C25" s="262">
        <f>E145</f>
        <v>3.8751564232605564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1432063.1874217824</v>
      </c>
      <c r="D34" s="1" t="str">
        <f>Reporting_currency</f>
        <v>HKD</v>
      </c>
    </row>
    <row r="35" spans="2:6">
      <c r="B35" s="44"/>
      <c r="C35" s="73"/>
    </row>
    <row r="36" spans="2:6" ht="24.5" customHeight="1">
      <c r="B36" s="460" t="s">
        <v>198</v>
      </c>
      <c r="C36" s="460"/>
      <c r="D36" s="460"/>
      <c r="E36" s="460"/>
      <c r="F36" s="460"/>
    </row>
    <row r="37" spans="2:6">
      <c r="B37" s="44" t="s">
        <v>199</v>
      </c>
      <c r="C37" s="292">
        <f>Normalized_FCF!C15</f>
        <v>0</v>
      </c>
      <c r="D37" s="1" t="str">
        <f>Reporting_currency</f>
        <v>HKD</v>
      </c>
    </row>
    <row r="38" spans="2:6">
      <c r="B38" s="49" t="s">
        <v>200</v>
      </c>
      <c r="C38" s="292">
        <f>Normalized_FCF!C16</f>
        <v>0</v>
      </c>
      <c r="D38" s="1" t="str">
        <f>Reporting_currency</f>
        <v>HKD</v>
      </c>
    </row>
    <row r="40" spans="2:6">
      <c r="B40" s="460" t="s">
        <v>201</v>
      </c>
      <c r="C40" s="460"/>
      <c r="D40" s="460"/>
      <c r="E40" s="460"/>
      <c r="F40" s="460"/>
    </row>
    <row r="41" spans="2:6">
      <c r="B41" s="44" t="s">
        <v>202</v>
      </c>
      <c r="C41" s="292">
        <f>Normalized_FCF!C9</f>
        <v>0</v>
      </c>
      <c r="D41" s="1" t="str">
        <f>Reporting_currency</f>
        <v>HKD</v>
      </c>
    </row>
    <row r="43" spans="2:6">
      <c r="B43" s="460" t="s">
        <v>205</v>
      </c>
      <c r="C43" s="460"/>
      <c r="D43" s="460"/>
      <c r="E43" s="460"/>
      <c r="F43" s="460"/>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0" t="s">
        <v>206</v>
      </c>
      <c r="C51" s="460"/>
      <c r="D51" s="460"/>
      <c r="E51" s="460"/>
      <c r="F51" s="460"/>
    </row>
    <row r="52" spans="2:6">
      <c r="B52" s="44" t="s">
        <v>204</v>
      </c>
      <c r="C52" s="292">
        <f>Normalized_FCF!C12</f>
        <v>-360087.00926312926</v>
      </c>
      <c r="D52" s="1" t="str">
        <f>Reporting_currency</f>
        <v>HKD</v>
      </c>
    </row>
    <row r="54" spans="2:6">
      <c r="B54" s="460" t="s">
        <v>265</v>
      </c>
      <c r="C54" s="463"/>
      <c r="D54" s="463"/>
      <c r="E54" s="463"/>
      <c r="F54" s="463"/>
    </row>
    <row r="55" spans="2:6">
      <c r="B55" s="44" t="s">
        <v>207</v>
      </c>
      <c r="C55" s="292">
        <f>Normalized_FCF!C17</f>
        <v>0</v>
      </c>
      <c r="D55" s="1" t="str">
        <f>Reporting_currency</f>
        <v>HKD</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5.8282410327129677E-2</v>
      </c>
      <c r="F62" s="263"/>
    </row>
    <row r="63" spans="2:6">
      <c r="B63" s="206" t="s">
        <v>332</v>
      </c>
      <c r="C63" s="89">
        <f>Normalized_FCF!C92</f>
        <v>9.7826086956521757E-2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0" t="s">
        <v>357</v>
      </c>
      <c r="C124" s="460"/>
      <c r="D124" s="460"/>
      <c r="E124" s="460"/>
      <c r="F124" s="460"/>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PV(2 yrs of Dividends)</v>
      </c>
      <c r="D139" s="347" t="s">
        <v>474</v>
      </c>
      <c r="E139" s="348" t="str">
        <f>"Buy below ("&amp;Market_currency&amp;")"</f>
        <v>Buy below (HKD)</v>
      </c>
      <c r="F139" s="348" t="s">
        <v>475</v>
      </c>
    </row>
    <row r="140" spans="1:6">
      <c r="B140" s="343" t="s">
        <v>312</v>
      </c>
      <c r="C140" s="340">
        <f>Scenarios!C62</f>
        <v>0.34814814814814826</v>
      </c>
      <c r="D140" s="340">
        <f>Scenarios!D62</f>
        <v>2.1387368425696023</v>
      </c>
      <c r="E140" s="341">
        <f>Scenarios!E62</f>
        <v>2.4868849907177504</v>
      </c>
      <c r="F140" s="342">
        <f>E22</f>
        <v>0.35</v>
      </c>
    </row>
    <row r="141" spans="1:6">
      <c r="B141" s="343" t="s">
        <v>313</v>
      </c>
      <c r="C141" s="340">
        <f>Scenarios!C63</f>
        <v>0.38880000000000003</v>
      </c>
      <c r="D141" s="340">
        <f>Scenarios!D63</f>
        <v>2.4946226531731845</v>
      </c>
      <c r="E141" s="341">
        <f>Scenarios!E63</f>
        <v>2.8834226531731844</v>
      </c>
      <c r="F141" s="342">
        <f>Scenarios!F63</f>
        <v>0.25</v>
      </c>
    </row>
    <row r="142" spans="1:6">
      <c r="B142" s="194"/>
      <c r="C142" s="194"/>
      <c r="D142" s="194"/>
      <c r="E142" s="194"/>
      <c r="F142" s="194"/>
    </row>
    <row r="143" spans="1:6" ht="12.4">
      <c r="B143" s="347" t="s">
        <v>466</v>
      </c>
      <c r="C143" s="347" t="str">
        <f>"PV("&amp;Holding_Period&amp;" yrs of Dividends)"</f>
        <v>PV(2 yrs of Dividends)</v>
      </c>
      <c r="D143" s="347" t="s">
        <v>474</v>
      </c>
      <c r="E143" s="348" t="str">
        <f>"Sell above ("&amp;Market_currency&amp;")"</f>
        <v>Sell above (HKD)</v>
      </c>
      <c r="F143" s="348" t="s">
        <v>475</v>
      </c>
    </row>
    <row r="144" spans="1:6">
      <c r="B144" s="343" t="s">
        <v>315</v>
      </c>
      <c r="C144" s="340">
        <f>Scenarios!C66</f>
        <v>0.45787753788943863</v>
      </c>
      <c r="D144" s="340">
        <f>Scenarios!D66</f>
        <v>3.1218178085232418</v>
      </c>
      <c r="E144" s="341">
        <f>Scenarios!E66</f>
        <v>3.5796953464126804</v>
      </c>
      <c r="F144" s="342">
        <f>E24</f>
        <v>0.1174</v>
      </c>
    </row>
    <row r="145" spans="1:6">
      <c r="B145" s="343" t="s">
        <v>314</v>
      </c>
      <c r="C145" s="340">
        <f>Scenarios!C67</f>
        <v>0.48647855640862631</v>
      </c>
      <c r="D145" s="340">
        <f>Scenarios!D67</f>
        <v>3.3886778668519302</v>
      </c>
      <c r="E145" s="341">
        <f>Scenarios!E67</f>
        <v>3.8751564232605564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9.7826086956521757E-2</v>
      </c>
      <c r="E92" s="241"/>
      <c r="G92" s="22">
        <f t="shared" ref="G92:Q92" si="38">IF(G$4="","",(G88*(1-dividend_tax_rate))/Market_Price)</f>
        <v>9.7826086956521757E-2</v>
      </c>
      <c r="H92" s="22">
        <f t="shared" si="38"/>
        <v>9.1304347826086985E-2</v>
      </c>
      <c r="I92" s="22">
        <f t="shared" si="38"/>
        <v>0.14021739130434785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5.8282410327129677E-2</v>
      </c>
      <c r="D124" s="26"/>
      <c r="E124" s="238"/>
      <c r="F124" s="26"/>
      <c r="G124" s="74">
        <f t="shared" ref="G124" si="49">IF(G$4="","",G123/Market_Price)</f>
        <v>9.033282544804791E-2</v>
      </c>
      <c r="H124" s="74">
        <f t="shared" ref="H124" si="50">IF(H$4="","",H123/Market_Price)</f>
        <v>0.12445570939860764</v>
      </c>
      <c r="I124" s="74">
        <f t="shared" ref="I124" si="51">IF(I$4="","",I123/Market_Price)</f>
        <v>0.2021603055944802</v>
      </c>
      <c r="J124" s="74">
        <f t="shared" ref="J124" si="52">IF(J$4="","",J123/Market_Price)</f>
        <v>0.16613996076066723</v>
      </c>
      <c r="K124" s="74">
        <f t="shared" ref="K124" si="53">IF(K$4="","",K123/Market_Price)</f>
        <v>5.964797015977949E-2</v>
      </c>
      <c r="L124" s="74">
        <f t="shared" ref="L124" si="54">IF(L$4="","",L123/Market_Price)</f>
        <v>7.5722236064919471E-2</v>
      </c>
      <c r="M124" s="74">
        <f t="shared" ref="M124" si="55">IF(M$4="","",M123/Market_Price)</f>
        <v>6.7420537626318625E-2</v>
      </c>
      <c r="N124" s="74">
        <f t="shared" ref="N124" si="56">IF(N$4="","",N123/Market_Price)</f>
        <v>6.403395706995979E-2</v>
      </c>
      <c r="O124" s="74">
        <f t="shared" ref="O124" si="57">IF(O$4="","",O123/Market_Price)</f>
        <v>1.1335287788311938E-2</v>
      </c>
      <c r="P124" s="74">
        <f t="shared" ref="P124" si="58">IF(P$4="","",P123/Market_Price)</f>
        <v>4.9104208218309544E-3</v>
      </c>
      <c r="Q124" s="74" t="str">
        <f t="shared" ref="Q124" si="59">IF(Q$4="","",Q123/Market_Price)</f>
        <v/>
      </c>
    </row>
    <row r="125" spans="1:17" ht="15.75" customHeight="1">
      <c r="B125" s="2" t="s">
        <v>306</v>
      </c>
      <c r="C125" s="151"/>
      <c r="G125" s="22">
        <f>IF(G$4="","",(Data!C47*$C$3)/(Market_Price*Common_Shares))</f>
        <v>0.12916738211401255</v>
      </c>
      <c r="H125" s="22">
        <f>IF(H$4="","",(Data!D47*$C$3)/(Market_Price*Common_Shares))</f>
        <v>0.16375219375839986</v>
      </c>
      <c r="I125" s="22">
        <f>IF(I$4="","",(Data!E47*$C$3)/(Market_Price*Common_Shares))</f>
        <v>0.23543339218302245</v>
      </c>
      <c r="J125" s="22">
        <f>IF(J$4="","",(Data!F47*$C$3)/(Market_Price*Common_Shares))</f>
        <v>0.21783194113605703</v>
      </c>
      <c r="K125" s="22">
        <f>IF(K$4="","",(Data!G47*$C$3)/(Market_Price*Common_Shares))</f>
        <v>8.4496060242411686E-2</v>
      </c>
      <c r="L125" s="22">
        <f>IF(L$4="","",(Data!H47*$C$3)/(Market_Price*Common_Shares))</f>
        <v>8.3703111043929981E-2</v>
      </c>
      <c r="M125" s="22">
        <f>IF(M$4="","",(Data!I47*$C$3)/(Market_Price*Common_Shares))</f>
        <v>8.1979930381316679E-2</v>
      </c>
      <c r="N125" s="22">
        <f>IF(N$4="","",(Data!J47*$C$3)/(Market_Price*Common_Shares))</f>
        <v>8.4161643774662134E-2</v>
      </c>
      <c r="O125" s="22">
        <f>IF(O$4="","",(Data!K47*$C$3)/(Market_Price*Common_Shares))</f>
        <v>4.8149139268065027E-3</v>
      </c>
      <c r="P125" s="22">
        <f>IF(P$4="","",(Data!L47*$C$3)/(Market_Price*Common_Shares))</f>
        <v>-5.0633955393086447E-2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2</v>
      </c>
    </row>
    <row r="34" spans="2:7">
      <c r="B34" s="97" t="s">
        <v>233</v>
      </c>
      <c r="C34" s="146">
        <f>Market_Price</f>
        <v>2.76</v>
      </c>
      <c r="D34" t="str">
        <f>Market_currency</f>
        <v>HKD</v>
      </c>
      <c r="E34" s="97" t="s">
        <v>457</v>
      </c>
      <c r="F34" s="337">
        <f>RATE(Holding_Period,$C$33,-C34,$C$36)</f>
        <v>0.27874323625388697</v>
      </c>
    </row>
    <row r="35" spans="2:7">
      <c r="B35" s="97" t="s">
        <v>437</v>
      </c>
      <c r="C35" s="327">
        <f>DCF!C11</f>
        <v>3.8924057246611126</v>
      </c>
      <c r="D35" s="97" t="str">
        <f>Market_currency</f>
        <v>HKD</v>
      </c>
      <c r="E35" s="97" t="s">
        <v>457</v>
      </c>
      <c r="F35" s="337">
        <f>RATE(Holding_Period,$C$33,-C35,$C$36)</f>
        <v>7.0041263669871082E-2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0.34814814814814826</v>
      </c>
      <c r="D62" s="119">
        <f>C36/(1+F62)^Holding_Period</f>
        <v>2.1387368425696023</v>
      </c>
      <c r="E62" s="339">
        <f>C62+D62</f>
        <v>2.4868849907177504</v>
      </c>
      <c r="F62" s="308">
        <f>Thesis!E22</f>
        <v>0.35</v>
      </c>
      <c r="G62" s="448">
        <f>(1-E62/C36)</f>
        <v>0.36198511144167578</v>
      </c>
    </row>
    <row r="63" spans="2:7" ht="13.15">
      <c r="B63" s="309" t="s">
        <v>313</v>
      </c>
      <c r="C63" s="119">
        <f>PV(F63, Holding_Period, -C58, 0)</f>
        <v>0.38880000000000003</v>
      </c>
      <c r="D63" s="119">
        <f>C36/(1+F63)^Holding_Period</f>
        <v>2.4946226531731845</v>
      </c>
      <c r="E63" s="339">
        <f>C63+D63</f>
        <v>2.8834226531731844</v>
      </c>
      <c r="F63" s="308">
        <f>Thesis!E23</f>
        <v>0.25</v>
      </c>
      <c r="G63" s="448">
        <f>(1-E63/C36)</f>
        <v>0.26025264956065275</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0.45787753788943863</v>
      </c>
      <c r="D66" s="119">
        <f>C36/(1+F66)^Holding_Period</f>
        <v>3.1218178085232418</v>
      </c>
      <c r="E66" s="339">
        <f>C66+D66</f>
        <v>3.5796953464126804</v>
      </c>
      <c r="F66" s="308">
        <f>Thesis!E24</f>
        <v>0.1174</v>
      </c>
      <c r="G66" s="448">
        <f>(1-E66/C47)</f>
        <v>8.3290536969653939E-2</v>
      </c>
    </row>
    <row r="67" spans="2:7" ht="13.15">
      <c r="B67" s="309" t="s">
        <v>314</v>
      </c>
      <c r="C67" s="119">
        <f>PV(F67, Holding_Period, -C58, 0)</f>
        <v>0.48647855640862631</v>
      </c>
      <c r="D67" s="119">
        <f>C36/(1+F67)^Holding_Period</f>
        <v>3.3886778668519302</v>
      </c>
      <c r="E67" s="339">
        <f>C67+D67</f>
        <v>3.8751564232605564</v>
      </c>
      <c r="F67" s="308">
        <f>Thesis!E25</f>
        <v>7.2499999999999995E-2</v>
      </c>
      <c r="G67" s="448">
        <f>(1-E67/C36)</f>
        <v>5.8215386876069308E-3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2.76</v>
      </c>
    </row>
    <row r="9" spans="1:10">
      <c r="B9" s="358" t="s">
        <v>361</v>
      </c>
      <c r="C9" s="360">
        <f>Common_Shares</f>
        <v>5091065770</v>
      </c>
    </row>
    <row r="10" spans="1:10">
      <c r="B10" s="358" t="s">
        <v>367</v>
      </c>
      <c r="C10" s="364">
        <f>投资主题!C8*Common_Shares/1000000</f>
        <v>14051.3415252</v>
      </c>
      <c r="D10" s="350" t="s">
        <v>532</v>
      </c>
      <c r="E10" s="367">
        <f>Scenarios!F34</f>
        <v>0.27874323625388697</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2</v>
      </c>
    </row>
    <row r="22" spans="1:6">
      <c r="B22" s="350" t="s">
        <v>340</v>
      </c>
      <c r="C22" s="371">
        <f>E140</f>
        <v>2.4868849907177504</v>
      </c>
      <c r="D22" s="372" t="s">
        <v>443</v>
      </c>
      <c r="E22" s="373">
        <f>Thesis!E22</f>
        <v>0.35</v>
      </c>
    </row>
    <row r="23" spans="1:6">
      <c r="B23" s="350" t="s">
        <v>341</v>
      </c>
      <c r="C23" s="374">
        <f>E141</f>
        <v>2.8834226531731844</v>
      </c>
      <c r="D23" s="372" t="s">
        <v>444</v>
      </c>
      <c r="E23" s="375">
        <f>Thesis!E23</f>
        <v>0.25</v>
      </c>
    </row>
    <row r="24" spans="1:6">
      <c r="B24" s="350" t="s">
        <v>343</v>
      </c>
      <c r="C24" s="374">
        <f>E144</f>
        <v>3.5796953464126804</v>
      </c>
      <c r="D24" s="372" t="s">
        <v>446</v>
      </c>
      <c r="E24" s="375">
        <f>Thesis!E24</f>
        <v>0.1174</v>
      </c>
    </row>
    <row r="25" spans="1:6">
      <c r="B25" s="350" t="s">
        <v>342</v>
      </c>
      <c r="C25" s="374">
        <f>E145</f>
        <v>3.8751564232605564</v>
      </c>
      <c r="D25" s="372" t="s">
        <v>445</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2"/>
      <c r="D54" s="472"/>
      <c r="E54" s="472"/>
      <c r="F54" s="472"/>
    </row>
    <row r="55" spans="2:6">
      <c r="B55" s="379" t="s">
        <v>207</v>
      </c>
      <c r="C55" s="380">
        <f>Normalized_FCF!C17</f>
        <v>0</v>
      </c>
      <c r="D55" s="350" t="str">
        <f>Reporting_currency</f>
        <v>HKD</v>
      </c>
    </row>
    <row r="57" spans="2:6">
      <c r="B57" s="470" t="s">
        <v>511</v>
      </c>
      <c r="C57" s="470"/>
      <c r="D57" s="470"/>
      <c r="E57" s="470"/>
      <c r="F57" s="470"/>
    </row>
    <row r="58" spans="2:6">
      <c r="B58" s="470" t="s">
        <v>512</v>
      </c>
      <c r="C58" s="470"/>
      <c r="D58" s="470"/>
      <c r="E58" s="470"/>
      <c r="F58" s="470"/>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5.8282410327129677E-2</v>
      </c>
      <c r="F62" s="386"/>
    </row>
    <row r="63" spans="2:6">
      <c r="B63" s="384" t="s">
        <v>332</v>
      </c>
      <c r="C63" s="385">
        <f>Normalized_FCF!C92</f>
        <v>9.7826086956521757E-2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0" t="s">
        <v>513</v>
      </c>
      <c r="C73" s="470"/>
      <c r="D73" s="470"/>
      <c r="E73" s="470"/>
      <c r="F73" s="470"/>
    </row>
    <row r="74" spans="1:6">
      <c r="B74" s="471" t="s">
        <v>482</v>
      </c>
      <c r="C74" s="471"/>
      <c r="D74" s="471"/>
      <c r="E74" s="471"/>
      <c r="F74" s="471"/>
    </row>
    <row r="76" spans="1:6">
      <c r="B76" s="376" t="s">
        <v>371</v>
      </c>
    </row>
    <row r="77" spans="1:6">
      <c r="B77" s="470" t="s">
        <v>514</v>
      </c>
      <c r="C77" s="470"/>
      <c r="D77" s="470"/>
      <c r="E77" s="470"/>
      <c r="F77" s="470"/>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0" t="s">
        <v>521</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4" t="s">
        <v>523</v>
      </c>
      <c r="C127" s="474"/>
      <c r="D127" s="474"/>
      <c r="E127" s="474"/>
      <c r="F127" s="474"/>
    </row>
    <row r="129" spans="1:6" ht="13.9">
      <c r="A129" s="352" t="s">
        <v>495</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2</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PV(2 yrs of Dividends)</v>
      </c>
      <c r="D139" s="347" t="s">
        <v>474</v>
      </c>
      <c r="E139" s="348" t="str">
        <f>"Buy below ("&amp;Market_currency&amp;")"</f>
        <v>Buy below (HKD)</v>
      </c>
      <c r="F139" s="348" t="s">
        <v>498</v>
      </c>
    </row>
    <row r="140" spans="1:6">
      <c r="B140" s="415" t="s">
        <v>312</v>
      </c>
      <c r="C140" s="416">
        <f>Scenarios!C62</f>
        <v>0.34814814814814826</v>
      </c>
      <c r="D140" s="416">
        <f>Scenarios!D62</f>
        <v>2.1387368425696023</v>
      </c>
      <c r="E140" s="417">
        <f>Scenarios!E62</f>
        <v>2.4868849907177504</v>
      </c>
      <c r="F140" s="418">
        <f>E22</f>
        <v>0.35</v>
      </c>
    </row>
    <row r="141" spans="1:6">
      <c r="B141" s="415" t="s">
        <v>313</v>
      </c>
      <c r="C141" s="416">
        <f>Scenarios!C63</f>
        <v>0.38880000000000003</v>
      </c>
      <c r="D141" s="416">
        <f>Scenarios!D63</f>
        <v>2.4946226531731845</v>
      </c>
      <c r="E141" s="417">
        <f>Scenarios!E63</f>
        <v>2.8834226531731844</v>
      </c>
      <c r="F141" s="418">
        <f>Scenarios!F63</f>
        <v>0.25</v>
      </c>
    </row>
    <row r="143" spans="1:6">
      <c r="B143" s="347" t="s">
        <v>466</v>
      </c>
      <c r="C143" s="347" t="str">
        <f>"PV("&amp;Holding_Period&amp;" yrs of Dividends)"</f>
        <v>PV(2 yrs of Dividends)</v>
      </c>
      <c r="D143" s="347" t="s">
        <v>474</v>
      </c>
      <c r="E143" s="348" t="str">
        <f>"Sell above ("&amp;Market_currency&amp;")"</f>
        <v>Sell above (HKD)</v>
      </c>
      <c r="F143" s="348" t="s">
        <v>498</v>
      </c>
    </row>
    <row r="144" spans="1:6">
      <c r="B144" s="415" t="s">
        <v>315</v>
      </c>
      <c r="C144" s="416">
        <f>Scenarios!C66</f>
        <v>0.45787753788943863</v>
      </c>
      <c r="D144" s="416">
        <f>Scenarios!D66</f>
        <v>3.1218178085232418</v>
      </c>
      <c r="E144" s="417">
        <f>Scenarios!E66</f>
        <v>3.5796953464126804</v>
      </c>
      <c r="F144" s="418">
        <f>E24</f>
        <v>0.1174</v>
      </c>
    </row>
    <row r="145" spans="1:6">
      <c r="B145" s="415" t="s">
        <v>314</v>
      </c>
      <c r="C145" s="416">
        <f>Scenarios!C67</f>
        <v>0.48647855640862631</v>
      </c>
      <c r="D145" s="416">
        <f>Scenarios!D67</f>
        <v>3.3886778668519302</v>
      </c>
      <c r="E145" s="417">
        <f>Scenarios!E67</f>
        <v>3.8751564232605564</v>
      </c>
      <c r="F145" s="418">
        <f>Scenarios!F67</f>
        <v>7.2499999999999995E-2</v>
      </c>
    </row>
    <row r="147" spans="1:6" ht="13.9">
      <c r="A147" s="352" t="s">
        <v>478</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