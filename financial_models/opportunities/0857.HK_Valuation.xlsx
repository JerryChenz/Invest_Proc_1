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F13F17-2989-4D9C-BE8D-4A7CBB959203}"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<sst xmlns="http://schemas.openxmlformats.org/spreadsheetml/2006/main" count="688" uniqueCount="467">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</sst>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6.85</v>
      </c>
      <c r="D12" s="50">
        <v>8.1</v>
      </c>
      <c r="E12" s="48"/>
    </row>
    <row r="13" spans="1:10">
      <c r="B13" s="1" t="s">
        <v>413</v>
      </c>
      <c r="C13" s="48" t="s">
        <v>393</v>
      </c>
      <c r="D13" s="48" t="s">
        <v>411</v>
      </c>
      <c r="E13" s="5"/>
    </row>
    <row r="14" spans="1:10">
      <c r="B14" s="4" t="s">
        <v>417</v>
      </c>
      <c r="C14" s="35">
        <f>Thesis!C12*Common_Shares/1000000</f>
        <v>1253693.6980533001</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8.9133048627209526</v>
      </c>
      <c r="D26" s="1" t="s">
        <v>396</v>
      </c>
      <c r="E26" s="301">
        <f ca="1">Scenarios!C87</f>
        <v>0.14520386496127191</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4.2972710294835261</v>
      </c>
      <c r="D29" s="310">
        <f>D149</f>
        <v>3.9270947526571844</v>
      </c>
      <c r="E29" s="306" t="s">
        <v>421</v>
      </c>
      <c r="F29" s="302">
        <v>0.35</v>
      </c>
    </row>
    <row r="30" spans="2:6">
      <c r="B30" s="1" t="s">
        <v>423</v>
      </c>
      <c r="C30" s="311">
        <f>C157</f>
        <v>5.3400114215908552</v>
      </c>
      <c r="D30" s="311">
        <f>D157</f>
        <v>4.8800112185102922</v>
      </c>
      <c r="E30" s="307" t="s">
        <v>434</v>
      </c>
      <c r="F30" s="312">
        <v>0.25</v>
      </c>
    </row>
    <row r="31" spans="2:6">
      <c r="B31" s="1" t="s">
        <v>424</v>
      </c>
      <c r="C31" s="311">
        <f>C165</f>
        <v>8.2092065235533589</v>
      </c>
      <c r="D31" s="311">
        <f>D165</f>
        <v>7.5020476113651444</v>
      </c>
      <c r="E31" s="307" t="s">
        <v>433</v>
      </c>
      <c r="F31" s="312">
        <v>7.4999999999999997E-2</v>
      </c>
    </row>
    <row r="32" spans="2:6">
      <c r="B32" s="1" t="s">
        <v>425</v>
      </c>
      <c r="C32" s="311">
        <f>C173</f>
        <v>7.3483060763134347</v>
      </c>
      <c r="D32" s="311">
        <f>D173</f>
        <v>6.7153070018666412</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0.11514661201345497</v>
      </c>
      <c r="F69" s="314"/>
    </row>
    <row r="70" spans="1:6">
      <c r="B70" s="227" t="s">
        <v>455</v>
      </c>
      <c r="C70" s="92">
        <f>Normalized_FCF!C94</f>
        <v>5.8065045162567899E-2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10.516723897228889</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1.6725882325483534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7.542798826732477E-4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1.263817567162245E-2</v>
      </c>
      <c r="D114" s="1" t="str">
        <f>Market_currency</f>
        <v>HKD</v>
      </c>
    </row>
    <row r="116" spans="1:6" ht="24.6" customHeight="1">
      <c r="B116" s="360" t="s">
        <v>363</v>
      </c>
      <c r="C116" s="360"/>
      <c r="D116" s="360"/>
      <c r="E116" s="360"/>
      <c r="F116" s="360"/>
    </row>
    <row r="118" spans="1:6">
      <c r="B118" s="47" t="s">
        <v>446</v>
      </c>
      <c r="C118" s="223">
        <f>IF(valuation_method="DCF",DCF!C12,DDM!C7)</f>
        <v>8.8575281202348322</v>
      </c>
      <c r="D118" s="1" t="str">
        <f>Market_currency</f>
        <v>HKD</v>
      </c>
    </row>
    <row r="119" spans="1:6">
      <c r="B119" s="296" t="s">
        <v>402</v>
      </c>
      <c r="C119" s="223">
        <f>BS!D47</f>
        <v>-3.8827398742080192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8.9133048627209526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3.6227424123237113</v>
      </c>
    </row>
    <row r="149" spans="2:4">
      <c r="B149" s="80" t="s">
        <v>259</v>
      </c>
      <c r="C149" s="215">
        <f>Scenarios!C83</f>
        <v>4.2972710294835261</v>
      </c>
      <c r="D149" s="300">
        <f>IF($D$11="","",C149*$E$25)</f>
        <v>3.9270947526571844</v>
      </c>
    </row>
    <row r="150" spans="2:4">
      <c r="B150" s="259" t="s">
        <v>413</v>
      </c>
      <c r="C150" s="298" t="str">
        <f>Market_currency</f>
        <v>HKD</v>
      </c>
      <c r="D150" s="298" t="str">
        <f>IF($D$11="","",D$13)</f>
        <v>CNY</v>
      </c>
    </row>
    <row r="151" spans="2:4">
      <c r="B151" s="214" t="s">
        <v>261</v>
      </c>
      <c r="C151" s="92">
        <f>Scenarios!F83</f>
        <v>0.51788129143249073</v>
      </c>
    </row>
    <row r="153" spans="2:4">
      <c r="B153" s="210" t="s">
        <v>408</v>
      </c>
    </row>
    <row r="154" spans="2:4">
      <c r="B154" s="1" t="s">
        <v>407</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4.5636120897131276</v>
      </c>
    </row>
    <row r="157" spans="2:4">
      <c r="B157" s="80" t="s">
        <v>259</v>
      </c>
      <c r="C157" s="215">
        <f>Scenarios!C93</f>
        <v>5.3400114215908552</v>
      </c>
      <c r="D157" s="300">
        <f>IF($D$11="","",C157*$E$25)</f>
        <v>4.8800112185102922</v>
      </c>
    </row>
    <row r="158" spans="2:4">
      <c r="B158" s="259" t="s">
        <v>413</v>
      </c>
      <c r="C158" s="298" t="str">
        <f>Market_currency</f>
        <v>HKD</v>
      </c>
      <c r="D158" s="298" t="str">
        <f>IF($D$11="","",D$13)</f>
        <v>CNY</v>
      </c>
    </row>
    <row r="159" spans="2:4">
      <c r="B159" s="214" t="s">
        <v>261</v>
      </c>
      <c r="C159" s="92">
        <f>Scenarios!F93</f>
        <v>0.40089433674315977</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7.1748589585085716</v>
      </c>
    </row>
    <row r="165" spans="2:4">
      <c r="B165" s="80" t="s">
        <v>398</v>
      </c>
      <c r="C165" s="215">
        <f>Scenarios!C99</f>
        <v>8.2092065235533589</v>
      </c>
      <c r="D165" s="300">
        <f>IF($D$11="","",C165*$E$25)</f>
        <v>7.5020476113651444</v>
      </c>
    </row>
    <row r="166" spans="2:4">
      <c r="B166" s="259" t="s">
        <v>413</v>
      </c>
      <c r="C166" s="298" t="str">
        <f>Market_currency</f>
        <v>HKD</v>
      </c>
      <c r="D166" s="298" t="str">
        <f>IF($D$11="","",D$13)</f>
        <v>CNY</v>
      </c>
    </row>
    <row r="167" spans="2:4">
      <c r="B167" s="214" t="s">
        <v>261</v>
      </c>
      <c r="C167" s="92">
        <f>Scenarios!F99</f>
        <v>7.8994082443249236E-2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6.3887038964646212</v>
      </c>
    </row>
    <row r="173" spans="2:4">
      <c r="B173" s="80" t="s">
        <v>398</v>
      </c>
      <c r="C173" s="215">
        <f>Scenarios!C105</f>
        <v>7.3483060763134347</v>
      </c>
      <c r="D173" s="300">
        <f>IF($D$11="","",C173*$E$25)</f>
        <v>6.7153070018666412</v>
      </c>
    </row>
    <row r="174" spans="2:4">
      <c r="B174" s="259" t="s">
        <v>413</v>
      </c>
      <c r="C174" s="298" t="str">
        <f>Market_currency</f>
        <v>HKD</v>
      </c>
      <c r="D174" s="298" t="str">
        <f>IF($D$11="","",D$13)</f>
        <v>CNY</v>
      </c>
    </row>
    <row r="175" spans="2:4">
      <c r="B175" s="214" t="s">
        <v>261</v>
      </c>
      <c r="C175" s="92">
        <f>Scenarios!F105</f>
        <v>0.16280531656246777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0.1597789019691187</v>
      </c>
      <c r="H25" s="39"/>
      <c r="I25" s="39"/>
      <c r="J25" s="39"/>
      <c r="K25" s="39"/>
      <c r="L25" s="39"/>
      <c r="M25" s="39"/>
    </row>
    <row r="27" spans="2:13">
      <c r="B27" s="16" t="s">
        <v>28</v>
      </c>
      <c r="C27" s="97" t="s">
        <v>465</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0.1597789019691187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9.0602350769619573</v>
      </c>
      <c r="D47" s="147">
        <f>D46*H1/Common_Shares*Exchange_Rate</f>
        <v>-3.8827398742080192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-306118.73380788002</v>
      </c>
      <c r="D86" s="223">
        <f>C86*scaling_factor/Common_Shares</f>
        <v>-1.6725882325483534</v>
      </c>
      <c r="E86" s="240" t="str">
        <f>Market_currency</f>
        <v>HKD</v>
      </c>
    </row>
    <row r="87" spans="2:8" ht="15" customHeight="1">
      <c r="B87" s="238" t="s">
        <v>286</v>
      </c>
      <c r="C87" s="76">
        <f>DCF!C8*Exchange_Rate</f>
        <v>138.04904167530412</v>
      </c>
      <c r="D87" s="223">
        <f>C87*scaling_factor/Common_Shares</f>
        <v>7.542798826732477E-4</v>
      </c>
      <c r="E87" s="240" t="str">
        <f>Market_currency</f>
        <v>HKD</v>
      </c>
    </row>
    <row r="88" spans="2:8" ht="15" customHeight="1">
      <c r="B88" s="239" t="s">
        <v>188</v>
      </c>
      <c r="C88" s="76">
        <f>DCF!C9*Exchange_Rate</f>
        <v>2313.0512692559996</v>
      </c>
      <c r="D88" s="223">
        <f>C88*scaling_factor/Common_Shares</f>
        <v>1.263817567162245E-2</v>
      </c>
      <c r="E88" s="240" t="str">
        <f>Market_currency</f>
        <v>HKD</v>
      </c>
    </row>
    <row r="89" spans="2:8" ht="15" customHeight="1">
      <c r="B89" s="80" t="s">
        <v>290</v>
      </c>
      <c r="C89" s="180">
        <f>SUM(C86:C88)</f>
        <v>-303667.63349694875</v>
      </c>
      <c r="D89" s="242">
        <f>SUM(D86:D88)</f>
        <v>-1.6591957769940577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466</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0.1597789019691187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29242.89087307447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0.28701300333076674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5.8065045162567899E-2</v>
      </c>
      <c r="E94" s="268"/>
      <c r="G94" s="23">
        <f t="shared" ref="G94:Q94" si="39">IF(G$4="","",(G90*(1-dividend_tax_rate))/Market_Price)</f>
        <v>5.8065045162567899E-2</v>
      </c>
      <c r="H94" s="23">
        <f t="shared" si="39"/>
        <v>5.4358765684106199E-2</v>
      </c>
      <c r="I94" s="23">
        <f t="shared" si="39"/>
        <v>5.2206652733612718E-2</v>
      </c>
      <c r="J94" s="23">
        <f t="shared" si="39"/>
        <v>2.7997235180300367E-2</v>
      </c>
      <c r="K94" s="23">
        <f t="shared" si="39"/>
        <v>2.0992848433898807E-2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0.78875429229216654</v>
      </c>
      <c r="D125" s="27"/>
      <c r="E125" s="265"/>
      <c r="F125" s="27"/>
      <c r="G125" s="177">
        <f t="shared" ref="G125:Q125" si="49">IF(G$4="","",G16*$C$3/Common_Shares*Exchange_Rate)</f>
        <v>1.0486784054850105</v>
      </c>
      <c r="H125" s="177">
        <f t="shared" si="49"/>
        <v>1.835998314741063</v>
      </c>
      <c r="I125" s="177">
        <f t="shared" si="49"/>
        <v>1.0137100906875458</v>
      </c>
      <c r="J125" s="177">
        <f t="shared" si="49"/>
        <v>0.76270808158815928</v>
      </c>
      <c r="K125" s="177">
        <f t="shared" si="49"/>
        <v>0.60917100609029373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0.11514661201345497</v>
      </c>
      <c r="D126" s="27"/>
      <c r="E126" s="265"/>
      <c r="F126" s="27"/>
      <c r="G126" s="77">
        <f t="shared" ref="G126" si="50">IF(G$4="","",G125/Market_Price)</f>
        <v>0.15309173802700884</v>
      </c>
      <c r="H126" s="77">
        <f t="shared" ref="H126" si="51">IF(H$4="","",H125/Market_Price)</f>
        <v>0.26802895105708952</v>
      </c>
      <c r="I126" s="77">
        <f t="shared" ref="I126" si="52">IF(I$4="","",I125/Market_Price)</f>
        <v>0.14798687455292639</v>
      </c>
      <c r="J126" s="77">
        <f t="shared" ref="J126" si="53">IF(J$4="","",J125/Market_Price)</f>
        <v>0.11134424548732252</v>
      </c>
      <c r="K126" s="77">
        <f t="shared" ref="K126" si="54">IF(K$4="","",K125/Market_Price)</f>
        <v>8.8930073881794705E-2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0.14656450796978329</v>
      </c>
      <c r="H127" s="23">
        <f>IF(H$4="","",(Data!D47*$C$3)/(Market_Price*Common_Shares))</f>
        <v>0.14402321737787308</v>
      </c>
      <c r="I127" s="23">
        <f>IF(I$4="","",(Data!E47*$C$3)/(Market_Price*Common_Shares))</f>
        <v>0.13028940023678381</v>
      </c>
      <c r="J127" s="23">
        <f>IF(J$4="","",(Data!F47*$C$3)/(Market_Price*Common_Shares))</f>
        <v>0.10560314708894018</v>
      </c>
      <c r="K127" s="23">
        <f>IF(K$4="","",(Data!G47*$C$3)/(Market_Price*Common_Shares))</f>
        <v>0.10291030432739312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8.8575281202348322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8.7772966332528473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8.8575281202348322</v>
      </c>
      <c r="C65" s="124">
        <f>C12</f>
        <v>8.8575281202348322</v>
      </c>
      <c r="D65" s="124">
        <f>C12</f>
        <v>8.8575281202348322</v>
      </c>
      <c r="E65" s="141">
        <f>C12</f>
        <v>8.8575281202348322</v>
      </c>
      <c r="F65" s="124">
        <f>C12</f>
        <v>8.8575281202348322</v>
      </c>
      <c r="H65" s="120"/>
    </row>
    <row r="66" spans="1:8" ht="13.15">
      <c r="A66" s="143">
        <f t="shared" ref="A66:A71" si="3">A56</f>
        <v>5</v>
      </c>
      <c r="B66" s="124">
        <f t="shared" ref="B66:F71" si="4">(B56-$C$7+$C$8+$C$9)/Common_Shares*$C$3*Exchange_Rate</f>
        <v>6.6262921316624164</v>
      </c>
      <c r="C66" s="124">
        <f t="shared" si="4"/>
        <v>8.6942961331465369</v>
      </c>
      <c r="D66" s="124">
        <f t="shared" si="4"/>
        <v>9.0230852014824237</v>
      </c>
      <c r="E66" s="124">
        <f t="shared" si="4"/>
        <v>9.1910187282445346</v>
      </c>
      <c r="F66" s="124">
        <f t="shared" si="4"/>
        <v>9.8875727233251087</v>
      </c>
      <c r="H66" s="120"/>
    </row>
    <row r="67" spans="1:8" ht="13.15">
      <c r="A67" s="143">
        <f t="shared" si="3"/>
        <v>10</v>
      </c>
      <c r="B67" s="124">
        <f t="shared" si="4"/>
        <v>5.373164287506965</v>
      </c>
      <c r="C67" s="124">
        <f t="shared" si="4"/>
        <v>8.5479798230827679</v>
      </c>
      <c r="D67" s="124">
        <f t="shared" si="4"/>
        <v>9.1818183086531331</v>
      </c>
      <c r="E67" s="124">
        <f t="shared" si="4"/>
        <v>9.5217174587102082</v>
      </c>
      <c r="F67" s="124">
        <f t="shared" si="4"/>
        <v>11.056479289894082</v>
      </c>
      <c r="H67" s="120"/>
    </row>
    <row r="68" spans="1:8" ht="13.15">
      <c r="A68" s="143">
        <f t="shared" si="3"/>
        <v>15</v>
      </c>
      <c r="B68" s="124">
        <f t="shared" si="4"/>
        <v>4.2537235779942524</v>
      </c>
      <c r="C68" s="124">
        <f t="shared" si="4"/>
        <v>8.3759309584864283</v>
      </c>
      <c r="D68" s="124">
        <f t="shared" si="4"/>
        <v>9.3777967453549032</v>
      </c>
      <c r="E68" s="124">
        <f t="shared" si="4"/>
        <v>9.9404207784173888</v>
      </c>
      <c r="F68" s="124">
        <f t="shared" si="4"/>
        <v>12.701193516635467</v>
      </c>
      <c r="H68" s="120"/>
    </row>
    <row r="69" spans="1:8" ht="13.15">
      <c r="A69" s="144">
        <f t="shared" si="3"/>
        <v>20</v>
      </c>
      <c r="B69" s="124">
        <f t="shared" si="4"/>
        <v>3.3977628454975215</v>
      </c>
      <c r="C69" s="124">
        <f t="shared" si="4"/>
        <v>8.2096326526570831</v>
      </c>
      <c r="D69" s="124">
        <f t="shared" si="4"/>
        <v>9.5768361478684199</v>
      </c>
      <c r="E69" s="124">
        <f t="shared" si="4"/>
        <v>10.376925820164159</v>
      </c>
      <c r="F69" s="124">
        <f t="shared" si="4"/>
        <v>14.620988238691428</v>
      </c>
      <c r="H69" s="120"/>
    </row>
    <row r="70" spans="1:8" ht="13.15">
      <c r="A70" s="144">
        <f t="shared" si="3"/>
        <v>25</v>
      </c>
      <c r="B70" s="124">
        <f t="shared" si="4"/>
        <v>2.7779836858219422</v>
      </c>
      <c r="C70" s="124">
        <f t="shared" si="4"/>
        <v>8.0630226115128263</v>
      </c>
      <c r="D70" s="124">
        <f t="shared" si="4"/>
        <v>9.7612555744207512</v>
      </c>
      <c r="E70" s="124">
        <f t="shared" si="4"/>
        <v>10.792377875261309</v>
      </c>
      <c r="F70" s="124">
        <f t="shared" si="4"/>
        <v>16.679868245012312</v>
      </c>
    </row>
    <row r="71" spans="1:8" ht="13.15">
      <c r="A71" s="144">
        <f t="shared" si="3"/>
        <v>30</v>
      </c>
      <c r="B71" s="124">
        <f t="shared" si="4"/>
        <v>2.3389919218601003</v>
      </c>
      <c r="C71" s="124">
        <f t="shared" si="4"/>
        <v>7.9405151160897232</v>
      </c>
      <c r="D71" s="124">
        <f t="shared" si="4"/>
        <v>9.9232272702956923</v>
      </c>
      <c r="E71" s="124">
        <f t="shared" si="4"/>
        <v>11.167438080454591</v>
      </c>
      <c r="F71" s="124">
        <f t="shared" si="4"/>
        <v>18.786668543143112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11.056479289894082</v>
      </c>
      <c r="F74" s="142">
        <f>Scenarios!C58</f>
        <v>0.05</v>
      </c>
    </row>
    <row r="75" spans="1:8">
      <c r="B75" s="127" t="str">
        <f>Scenarios!B36</f>
        <v>Optimistic</v>
      </c>
      <c r="C75" s="142">
        <f>Scenarios!C38</f>
        <v>0.02</v>
      </c>
      <c r="D75" s="145">
        <f>Scenarios!C37</f>
        <v>5</v>
      </c>
      <c r="E75" s="135">
        <f>INDEX(B$65:F$71, MATCH(D75, A$65:A$71, 0), MATCH(C75, B$64:F$64, 0))</f>
        <v>9.1910187282445346</v>
      </c>
      <c r="F75" s="142">
        <f>Scenarios!C40*(1-F$74-F$78)</f>
        <v>0.18</v>
      </c>
      <c r="H75" s="120"/>
    </row>
    <row r="76" spans="1:8">
      <c r="B76" s="127" t="str">
        <f>Scenarios!B24</f>
        <v>Base</v>
      </c>
      <c r="C76" s="142">
        <f>Scenarios!C26</f>
        <v>0.01</v>
      </c>
      <c r="D76" s="145">
        <f>Scenarios!C25</f>
        <v>5</v>
      </c>
      <c r="E76" s="135">
        <f>INDEX(B$65:F$71, MATCH(D76, A$65:A$71, 0), MATCH(C76, B$64:F$64, 0))</f>
        <v>9.0230852014824237</v>
      </c>
      <c r="F76" s="142">
        <f>Scenarios!C28*(1-F$74-F$78)</f>
        <v>0.53999999999999992</v>
      </c>
      <c r="H76" s="120"/>
    </row>
    <row r="77" spans="1:8">
      <c r="B77" s="127" t="str">
        <f>Scenarios!B30</f>
        <v>Pessimistic</v>
      </c>
      <c r="C77" s="142">
        <f>Scenarios!C32</f>
        <v>-0.01</v>
      </c>
      <c r="D77" s="145">
        <f>Scenarios!C31</f>
        <v>5</v>
      </c>
      <c r="E77" s="135">
        <f>INDEX(B$65:F$71, MATCH(D77, A$65:A$71, 0), MATCH(C77, B$64:F$64, 0))</f>
        <v>8.6942961331465369</v>
      </c>
      <c r="F77" s="142">
        <f>Scenarios!C34*(1-F$74-F$78)</f>
        <v>0.18</v>
      </c>
      <c r="H77" s="120"/>
    </row>
    <row r="78" spans="1:8">
      <c r="B78" s="127" t="str">
        <f>Scenarios!B48</f>
        <v>Devil's advocate</v>
      </c>
      <c r="C78" s="142">
        <f>Scenarios!C50</f>
        <v>-0.15</v>
      </c>
      <c r="D78" s="145">
        <f>Scenarios!C49</f>
        <v>10</v>
      </c>
      <c r="E78" s="135">
        <f>INDEX(B$65:F$71, MATCH(D78, A$65:A$71, 0), MATCH(C78, B$64:F$64, 0))</f>
        <v>5.373164287506965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5.8031719867971727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5.8031719867971727</v>
      </c>
      <c r="C60" s="124">
        <f>C7</f>
        <v>5.8031719867971727</v>
      </c>
      <c r="D60" s="124">
        <f>C7</f>
        <v>5.8031719867971727</v>
      </c>
      <c r="E60" s="141">
        <f>C7</f>
        <v>5.8031719867971727</v>
      </c>
      <c r="F60" s="124">
        <f>C7</f>
        <v>5.8031719867971727</v>
      </c>
      <c r="H60" s="120"/>
    </row>
    <row r="61" spans="1:8" ht="13.15">
      <c r="A61" s="143">
        <f t="shared" ref="A61:A66" si="3">A51</f>
        <v>5</v>
      </c>
      <c r="B61" s="124">
        <f t="shared" ref="B61:F66" si="4">B51/Common_Shares*$C$3*Exchange_Rate</f>
        <v>4.5719666883269019</v>
      </c>
      <c r="C61" s="124">
        <f t="shared" si="4"/>
        <v>5.7130998974205918</v>
      </c>
      <c r="D61" s="124">
        <f t="shared" si="4"/>
        <v>5.894527072801198</v>
      </c>
      <c r="E61" s="124">
        <f t="shared" si="4"/>
        <v>5.9871934913240548</v>
      </c>
      <c r="F61" s="124">
        <f t="shared" si="4"/>
        <v>6.3715548828604787</v>
      </c>
      <c r="H61" s="120"/>
    </row>
    <row r="62" spans="1:8" ht="13.15">
      <c r="A62" s="143">
        <f t="shared" si="3"/>
        <v>10</v>
      </c>
      <c r="B62" s="124">
        <f t="shared" si="4"/>
        <v>3.8804855320140863</v>
      </c>
      <c r="C62" s="124">
        <f t="shared" si="4"/>
        <v>5.6323619489804573</v>
      </c>
      <c r="D62" s="124">
        <f t="shared" si="4"/>
        <v>5.9821166615278791</v>
      </c>
      <c r="E62" s="124">
        <f t="shared" si="4"/>
        <v>6.1696744262103902</v>
      </c>
      <c r="F62" s="124">
        <f t="shared" si="4"/>
        <v>7.0165623879147567</v>
      </c>
      <c r="H62" s="120"/>
    </row>
    <row r="63" spans="1:8" ht="13.15">
      <c r="A63" s="143">
        <f t="shared" si="3"/>
        <v>15</v>
      </c>
      <c r="B63" s="124">
        <f t="shared" si="4"/>
        <v>3.262773492617836</v>
      </c>
      <c r="C63" s="124">
        <f t="shared" si="4"/>
        <v>5.5374246699244933</v>
      </c>
      <c r="D63" s="124">
        <f t="shared" si="4"/>
        <v>6.090258377997559</v>
      </c>
      <c r="E63" s="124">
        <f t="shared" si="4"/>
        <v>6.4007166594617493</v>
      </c>
      <c r="F63" s="124">
        <f t="shared" si="4"/>
        <v>7.9241225387928598</v>
      </c>
      <c r="H63" s="120"/>
    </row>
    <row r="64" spans="1:8" ht="13.15">
      <c r="A64" s="144">
        <f t="shared" si="3"/>
        <v>20</v>
      </c>
      <c r="B64" s="124">
        <f t="shared" si="4"/>
        <v>2.7904508003835873</v>
      </c>
      <c r="C64" s="124">
        <f t="shared" si="4"/>
        <v>5.4456605731134173</v>
      </c>
      <c r="D64" s="124">
        <f t="shared" si="4"/>
        <v>6.2000891481330775</v>
      </c>
      <c r="E64" s="124">
        <f t="shared" si="4"/>
        <v>6.6415819569740338</v>
      </c>
      <c r="F64" s="124">
        <f t="shared" si="4"/>
        <v>8.9834732510780615</v>
      </c>
      <c r="H64" s="120"/>
    </row>
    <row r="65" spans="1:8" ht="13.15">
      <c r="A65" s="144">
        <f t="shared" si="3"/>
        <v>25</v>
      </c>
      <c r="B65" s="124">
        <f t="shared" si="4"/>
        <v>2.4484540823393179</v>
      </c>
      <c r="C65" s="124">
        <f t="shared" si="4"/>
        <v>5.3647605426414069</v>
      </c>
      <c r="D65" s="124">
        <f t="shared" si="4"/>
        <v>6.301852554726997</v>
      </c>
      <c r="E65" s="124">
        <f t="shared" si="4"/>
        <v>6.8708301288911802</v>
      </c>
      <c r="F65" s="124">
        <f t="shared" si="4"/>
        <v>10.119571801692897</v>
      </c>
    </row>
    <row r="66" spans="1:8" ht="13.15">
      <c r="A66" s="144">
        <f t="shared" si="3"/>
        <v>30</v>
      </c>
      <c r="B66" s="124">
        <f t="shared" si="4"/>
        <v>2.2062166011661835</v>
      </c>
      <c r="C66" s="124">
        <f t="shared" si="4"/>
        <v>5.2971603971436858</v>
      </c>
      <c r="D66" s="124">
        <f t="shared" si="4"/>
        <v>6.3912292101703478</v>
      </c>
      <c r="E66" s="124">
        <f t="shared" si="4"/>
        <v>7.0777899100368646</v>
      </c>
      <c r="F66" s="124">
        <f t="shared" si="4"/>
        <v>11.282112968634635</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7.0165623879147567</v>
      </c>
      <c r="F69" s="142">
        <f>Scenarios!C58</f>
        <v>0.05</v>
      </c>
    </row>
    <row r="70" spans="1:8">
      <c r="B70" s="127" t="str">
        <f>Scenarios!B36</f>
        <v>Optimistic</v>
      </c>
      <c r="C70" s="142">
        <f>Scenarios!C38</f>
        <v>0.02</v>
      </c>
      <c r="D70" s="145">
        <f>Scenarios!C37</f>
        <v>5</v>
      </c>
      <c r="E70" s="135">
        <f>INDEX(B$60:F$66, MATCH(D70, A$60:A$66, 0), MATCH(C70, B$59:F$59, 0))</f>
        <v>5.9871934913240548</v>
      </c>
      <c r="F70" s="142">
        <f>Scenarios!C40*(1-F$69-F$73)</f>
        <v>0.18</v>
      </c>
      <c r="H70" s="120"/>
    </row>
    <row r="71" spans="1:8">
      <c r="B71" s="127" t="str">
        <f>Scenarios!B24</f>
        <v>Base</v>
      </c>
      <c r="C71" s="142">
        <f>Scenarios!C26</f>
        <v>0.01</v>
      </c>
      <c r="D71" s="145">
        <f>Scenarios!C25</f>
        <v>5</v>
      </c>
      <c r="E71" s="135">
        <f>INDEX(B$60:F$66, MATCH(D71, A$60:A$66, 0), MATCH(C71, B$59:F$59, 0))</f>
        <v>5.894527072801198</v>
      </c>
      <c r="F71" s="142">
        <f>Scenarios!C28*(1-F$69-F$73)</f>
        <v>0.53999999999999992</v>
      </c>
      <c r="H71" s="120"/>
    </row>
    <row r="72" spans="1:8">
      <c r="B72" s="127" t="str">
        <f>Scenarios!B30</f>
        <v>Pessimistic</v>
      </c>
      <c r="C72" s="142">
        <f>Scenarios!C32</f>
        <v>-0.01</v>
      </c>
      <c r="D72" s="145">
        <f>Scenarios!C31</f>
        <v>5</v>
      </c>
      <c r="E72" s="135">
        <f>INDEX(B$60:F$66, MATCH(D72, A$60:A$66, 0), MATCH(C72, B$59:F$59, 0))</f>
        <v>5.7130998974205918</v>
      </c>
      <c r="F72" s="142">
        <f>Scenarios!C34*(1-F$69-F$73)</f>
        <v>0.18</v>
      </c>
      <c r="H72" s="120"/>
    </row>
    <row r="73" spans="1:8">
      <c r="B73" s="127" t="str">
        <f>Scenarios!B48</f>
        <v>Devil's advocate</v>
      </c>
      <c r="C73" s="142">
        <f>Scenarios!C50</f>
        <v>-0.15</v>
      </c>
      <c r="D73" s="145">
        <f>Scenarios!C49</f>
        <v>10</v>
      </c>
      <c r="E73" s="135">
        <f>INDEX(B$60:F$66, MATCH(D73, A$60:A$66, 0), MATCH(C73, B$59:F$59, 0))</f>
        <v>3.8804855320140863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-6.85</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9.3110504220845431</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6.85</v>
      </c>
      <c r="D21" t="str">
        <f>Market_currency</f>
        <v>HKD</v>
      </c>
      <c r="E21" s="369"/>
      <c r="F21" s="369"/>
    </row>
    <row r="22" spans="2:6">
      <c r="B22" s="100" t="s">
        <v>277</v>
      </c>
      <c r="C22" s="160">
        <f>IF(valuation_method="DCF",DCF!C12,DDM!C7)</f>
        <v>8.8575281202348322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9.0230852014824237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8.6942961331465369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9.1910187282445346</v>
      </c>
      <c r="D39" t="str">
        <f>Market_currency</f>
        <v>HKD</v>
      </c>
      <c r="E39" s="367"/>
      <c r="F39" s="367"/>
    </row>
    <row r="40" spans="2:6">
      <c r="B40" s="100" t="s">
        <v>146</v>
      </c>
      <c r="C40" s="167">
        <f>1-C28-C34</f>
        <v>0.2</v>
      </c>
      <c r="D40" s="165"/>
      <c r="E40" s="367"/>
      <c r="F40" s="367"/>
    </row>
    <row r="42" spans="2:6" ht="13.15">
      <c r="B42" s="100" t="s">
        <v>119</v>
      </c>
      <c r="C42" s="154">
        <f>C27*C28+C33*C34+C39*C40</f>
        <v>8.9909140931676674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5.373164287506965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11.056479289894082</v>
      </c>
      <c r="D57" t="str">
        <f>Market_currency</f>
        <v>HKD</v>
      </c>
      <c r="E57" s="367"/>
      <c r="F57" s="367"/>
    </row>
    <row r="58" spans="2:6">
      <c r="B58" s="100" t="s">
        <v>146</v>
      </c>
      <c r="C58" s="165">
        <v>0.05</v>
      </c>
      <c r="D58" s="165"/>
      <c r="E58" s="367"/>
      <c r="F58" s="367"/>
    </row>
    <row r="60" spans="2:6" ht="13.15">
      <c r="B60" s="100" t="s">
        <v>119</v>
      </c>
      <c r="C60" s="154">
        <f>C51*C52+C57*C58+C42*(1-C52-C58)</f>
        <v>8.9133048627209526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8.7772966332528473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0.35</v>
      </c>
    </row>
    <row r="81" spans="2:8">
      <c r="B81" s="100" t="s">
        <v>120</v>
      </c>
      <c r="C81" s="116">
        <f>PV(C80, C76, -C77, 0)</f>
        <v>0.67452861715981494</v>
      </c>
      <c r="D81" s="116"/>
      <c r="E81" s="100"/>
      <c r="F81" s="100"/>
    </row>
    <row r="82" spans="2:8">
      <c r="B82" s="100" t="s">
        <v>121</v>
      </c>
      <c r="C82" s="116">
        <f>C60/(1+C80)^C76</f>
        <v>3.6227424123237113</v>
      </c>
      <c r="D82" s="116"/>
    </row>
    <row r="83" spans="2:8" ht="13.15">
      <c r="B83" s="110" t="s">
        <v>101</v>
      </c>
      <c r="C83" s="111">
        <f>C81+C82</f>
        <v>4.2972710294835261</v>
      </c>
      <c r="D83" t="str">
        <f>Market_currency</f>
        <v>HKD</v>
      </c>
      <c r="E83" s="146" t="s">
        <v>125</v>
      </c>
      <c r="F83" s="291">
        <f>(1-C83/C60)</f>
        <v>0.51788129143249073</v>
      </c>
    </row>
    <row r="84" spans="2:8">
      <c r="E84" s="120"/>
    </row>
    <row r="85" spans="2:8" ht="13.15">
      <c r="B85" s="109" t="s">
        <v>301</v>
      </c>
    </row>
    <row r="86" spans="2:8">
      <c r="B86" s="148" t="s">
        <v>299</v>
      </c>
      <c r="C86" s="116">
        <f>Market_Price</f>
        <v>6.85</v>
      </c>
      <c r="D86" t="str">
        <f>Market_currency</f>
        <v>HKD</v>
      </c>
    </row>
    <row r="87" spans="2:8" ht="13.15">
      <c r="B87" s="100" t="s">
        <v>297</v>
      </c>
      <c r="C87" s="237">
        <f ca="1">IRR(OFFSET($I$3, 0, 0, $C$76 + 1, 1))</f>
        <v>0.14520386496127191</v>
      </c>
    </row>
    <row r="88" spans="2:8">
      <c r="B88" s="100"/>
    </row>
    <row r="89" spans="2:8" ht="13.15">
      <c r="B89" s="109" t="s">
        <v>409</v>
      </c>
    </row>
    <row r="90" spans="2:8">
      <c r="B90" s="148" t="s">
        <v>410</v>
      </c>
      <c r="C90" s="167">
        <f>Thesis!F30</f>
        <v>0.25</v>
      </c>
    </row>
    <row r="91" spans="2:8">
      <c r="B91" s="100" t="s">
        <v>120</v>
      </c>
      <c r="C91" s="116">
        <f>PV(C90, C76, -C77, 0)</f>
        <v>0.77639933187772781</v>
      </c>
      <c r="D91" s="116"/>
      <c r="E91" s="100"/>
      <c r="F91" s="100"/>
    </row>
    <row r="92" spans="2:8">
      <c r="B92" s="100" t="s">
        <v>121</v>
      </c>
      <c r="C92" s="116">
        <f>C60/(1+C90)^C76</f>
        <v>4.5636120897131276</v>
      </c>
      <c r="D92" s="116"/>
    </row>
    <row r="93" spans="2:8" ht="13.15">
      <c r="B93" s="110" t="s">
        <v>101</v>
      </c>
      <c r="C93" s="111">
        <f>C91+C92</f>
        <v>5.3400114215908552</v>
      </c>
      <c r="D93" t="str">
        <f>Market_currency</f>
        <v>HKD</v>
      </c>
      <c r="E93" s="146" t="s">
        <v>125</v>
      </c>
      <c r="F93" s="291">
        <f>(1-C93/C60)</f>
        <v>0.40089433674315977</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7.1748589585085716</v>
      </c>
      <c r="D98" s="116"/>
      <c r="G98" s="2"/>
      <c r="H98" s="281"/>
    </row>
    <row r="99" spans="2:8" ht="13.15">
      <c r="B99" s="110" t="s">
        <v>395</v>
      </c>
      <c r="C99" s="111">
        <f>C97+C98</f>
        <v>8.2092065235533589</v>
      </c>
      <c r="D99" t="s">
        <v>393</v>
      </c>
      <c r="E99" s="146" t="s">
        <v>125</v>
      </c>
      <c r="F99" s="291">
        <f>(1-C99/C60)</f>
        <v>7.8994082443249236E-2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6.3887038964646212</v>
      </c>
      <c r="D104" s="116"/>
    </row>
    <row r="105" spans="2:8" ht="13.15">
      <c r="B105" s="110" t="s">
        <v>395</v>
      </c>
      <c r="C105" s="111">
        <f>C103+C104</f>
        <v>7.3483060763134347</v>
      </c>
      <c r="D105" t="s">
        <v>393</v>
      </c>
      <c r="E105" s="146" t="s">
        <v>125</v>
      </c>
      <c r="F105" s="291">
        <f>(1-C105/C66)</f>
        <v>0.16280531656246777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