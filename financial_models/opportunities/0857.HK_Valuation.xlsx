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229A6F7-87A6-4E9E-A6F1-C9FCB6302058}"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D62" i="4"/>
  <c r="E62" i="4"/>
  <c r="F62" i="4"/>
  <c r="G62" i="4"/>
  <c r="H62" i="4"/>
  <c r="I62" i="4"/>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<sst xmlns="http://schemas.openxmlformats.org/spreadsheetml/2006/main" count="627" uniqueCount="440">
  <si>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</si>
  <si>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</si>
  <si>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</si>
  <si>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</si>
  <si>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</si>
  <si>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</si>
  <si>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</si>
  <si>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</si>
  <si>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</si>
  <si>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</si>
  <si>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</si>
  <si>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</si>
  <si>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</si>
  <si>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</si>
  <si>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</si>
  <si>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</si>
  <si>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</si>
  <si>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</si>
  <si>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</si>
  <si>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</si>
  <si>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</si>
  <si>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</si>
  <si>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</si>
  <si>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</si>
  <si>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</si>
  <si>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</si>
  <si>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</si>
  <si>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</si>
  <si>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</si>
  <si>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</si>
  <si>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</si>
  <si>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</si>
  <si>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</si>
  <si>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</si>
  <si>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</si>
  <si>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</si>
  <si>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</si>
  <si>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</si>
  <si>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</si>
  <si>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</si>
  <si>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</si>
  <si>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</si>
  <si>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</si>
  <si>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</si>
  <si>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</si>
  <si>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</si>
  <si>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</si>
  <si>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</si>
  <si>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</si>
  <si>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</si>
  <si>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</si>
  <si>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</si>
  <si>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</si>
  <si>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</si>
  <si>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</si>
  <si>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</si>
  <si>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</si>
  <si>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</si>
  <si>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</si>
  <si>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</si>
  <si>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</si>
  <si>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</si>
  <si>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</si>
  <si>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</si>
  <si>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</si>
  <si>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</si>
  <si>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</si>
  <si>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</si>
  <si>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</si>
  <si>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</si>
  <si>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</si>
  <si>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</si>
  <si>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</si>
  <si>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</si>
  <si>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</si>
  <si>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</si>
  <si>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</si>
  <si>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</si>
  <si>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</si>
  <si>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</si>
  <si>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</si>
  <si>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</si>
  <si>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</si>
  <si>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</si>
  <si>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</si>
  <si>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</si>
  <si>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</si>
  <si>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</si>
  <si>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</si>
  <si>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</si>
  <si>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</si>
  <si>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</si>
  <si>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</si>
  <si>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</si>
  <si>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</si>
  <si>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</si>
  <si>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</si>
  <si>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</si>
  <si>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</si>
  <si>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</si>
  <si>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</si>
  <si>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</si>
  <si>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</si>
  <si>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</si>
  <si>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</si>
  <si>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</si>
  <si>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</si>
  <si>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</si>
  <si>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</si>
  <si>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</si>
  <si>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</si>
  <si>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</si>
  <si>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</si>
  <si>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</si>
  <si>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</si>
  <si>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</si>
  <si>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</si>
  <si>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</si>
  <si>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</si>
  <si>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</si>
  <si>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</si>
  <si>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</si>
  <si>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</si>
  <si>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</si>
  <si>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</si>
  <si>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</si>
  <si>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</si>
  <si>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</si>
  <si>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</si>
  <si>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</si>
  <si>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</si>
  <si>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</si>
  <si>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</si>
  <si>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</si>
  <si>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</si>
  <si>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</si>
  <si>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</si>
  <si>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</si>
  <si>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</si>
  <si>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</si>
  <si>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</si>
  <si>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</si>
  <si>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</si>
  <si>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</si>
  <si>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</si>
  <si>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</si>
  <si>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</si>
  <si>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</si>
  <si>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</si>
  <si>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</si>
  <si>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</si>
  <si>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</si>
  <si>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</si>
  <si>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</si>
  <si>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</si>
  <si>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</si>
  <si>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</si>
  <si>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</si>
  <si>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</si>
  <si>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</si>
  <si>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</si>
  <si>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</si>
  <si>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</si>
  <si>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</si>
  <si>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</si>
  <si>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</si>
  <si>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</si>
  <si>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</si>
  <si>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</si>
  <si>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</si>
  <si>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</si>
  <si>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</si>
  <si>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</si>
  <si>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</si>
  <si>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</si>
  <si>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</si>
  <si>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</si>
  <si>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</si>
  <si>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</si>
  <si>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</si>
  <si>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</si>
  <si>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</si>
  <si>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</si>
  <si>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</si>
  <si>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</si>
  <si>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</si>
  <si>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</si>
  <si>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</si>
  <si>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</si>
  <si>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</si>
  <si>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</si>
  <si>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</si>
  <si>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</si>
  <si>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</si>
  <si>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</si>
  <si>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</si>
  <si>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</si>
  <si>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</si>
  <si>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</si>
  <si>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</si>
  <si>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</si>
  <si>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</si>
  <si>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</si>
  <si>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</si>
  <si>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</si>
  <si>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</si>
  <si>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</si>
  <si>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</si>
  <si>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</si>
  <si>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</si>
  <si>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</si>
  <si>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</si>
  <si>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</si>
  <si>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</si>
  <si>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</si>
  <si>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</si>
  <si>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</si>
  <si>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</si>
  <si>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</si>
  <si>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</si>
  <si>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</si>
  <si>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</si>
  <si>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</si>
  <si>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</si>
  <si>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</si>
  <si>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</si>
  <si>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</si>
  <si>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</si>
  <si>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</si>
  <si>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</si>
  <si>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</si>
  <si>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</si>
  <si>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</si>
  <si>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</si>
  <si>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</si>
  <si>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</si>
  <si>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</si>
  <si>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</si>
  <si>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</si>
  <si>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</si>
  <si>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</si>
  <si>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</si>
  <si>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</si>
  <si>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</si>
  <si>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</si>
  <si>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</si>
  <si>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</si>
  <si>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</si>
  <si>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</si>
  <si>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</si>
  <si>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</si>
  <si>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</si>
  <si>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</si>
  <si>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</si>
  <si>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</si>
  <si>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</si>
  <si>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</si>
  <si>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</si>
  <si>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</si>
  <si>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</si>
  <si>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</si>
  <si>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</si>
  <si>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</si>
  <si>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</si>
  <si>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</si>
  <si>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</si>
  <si>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</si>
  <si>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</si>
  <si>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</si>
  <si>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</si>
  <si>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</si>
  <si>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</si>
  <si>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</si>
  <si>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</si>
  <si>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</si>
  <si>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</si>
  <si>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</si>
  <si>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</si>
  <si>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</si>
  <si>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</si>
  <si>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</si>
  <si>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</si>
  <si>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</si>
  <si>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</si>
  <si>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</si>
  <si>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</si>
  <si>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</si>
  <si>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</si>
  <si>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</si>
  <si>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</si>
  <si>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</si>
  <si>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</si>
  <si>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</si>
  <si>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</si>
  <si>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</si>
  <si>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</si>
  <si>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</si>
  <si>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</si>
  <si>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</si>
  <si>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</si>
  <si>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</si>
  <si>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</si>
  <si>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</si>
  <si>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</si>
  <si>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</si>
  <si>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</si>
  <si>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</si>
  <si>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</si>
  <si>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</si>
  <si>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</si>
  <si>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</si>
  <si>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</si>
  <si>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</si>
  <si>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</si>
  <si>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</si>
  <si>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</si>
  <si>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</si>
  <si>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</si>
  <si>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</si>
  <si>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</si>
  <si>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</si>
  <si>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</si>
  <si>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</si>
  <si>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</si>
  <si>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</si>
  <si>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</si>
  <si>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</si>
  <si>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</si>
  <si>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</si>
  <si>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</si>
  <si>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</si>
  <si>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</si>
  <si>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</si>
  <si>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</si>
  <si>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</si>
  <si>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</si>
  <si>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</si>
  <si>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</si>
  <si>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</si>
  <si>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</si>
  <si>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</si>
  <si>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</si>
  <si>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</si>
  <si>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</si>
  <si>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</si>
  <si>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</si>
  <si>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</si>
  <si>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</si>
  <si>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</si>
  <si>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</si>
  <si>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</si>
  <si>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</si>
  <si>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</si>
  <si>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</si>
  <si>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</si>
  <si>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</si>
  <si>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</si>
  <si>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</si>
  <si>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</si>
  <si>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</si>
  <si>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</si>
  <si>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</si>
  <si>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</si>
  <si>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</si>
  <si>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</si>
  <si>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</si>
  <si>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</si>
  <si>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</si>
  <si>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</si>
  <si>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</si>
  <si>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</si>
  <si>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</si>
  <si>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</si>
  <si>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</si>
  <si>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</si>
  <si>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</si>
  <si>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</si>
  <si>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</si>
  <si>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</si>
  <si>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</si>
  <si>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</si>
  <si>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</si>
  <si>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</si>
  <si>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</si>
  <si>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</si>
  <si>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</si>
  <si>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</si>
  <si>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</si>
  <si>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</si>
  <si>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</si>
  <si>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</si>
  <si>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</si>
  <si>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</si>
  <si>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</si>
  <si>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</si>
  <si>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</si>
  <si>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</si>
  <si>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</si>
  <si>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</si>
  <si>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</si>
  <si>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</si>
  <si>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</si>
  <si>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</si>
  <si>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</si>
  <si>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</si>
  <si>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</si>
  <si>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</si>
  <si>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</si>
  <si>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</si>
  <si>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</si>
  <si>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</si>
  <si>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</si>
  <si>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</si>
  <si>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</si>
  <si>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</si>
  <si>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</si>
  <si>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</si>
  <si>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</si>
  <si>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</si>
  <si>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</si>
  <si>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</si>
  <si>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</si>
  <si>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</si>
  <si>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</si>
  <si>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</si>
  <si>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</si>
  <si>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</si>
  <si>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</si>
  <si>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</si>
  <si>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</si>
  <si>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</si>
  <si>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</si>
  <si>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Y</t>
  </si>
  <si>
    <t>中国石油股份</t>
  </si>
  <si>
    <t>0857.HK</t>
  </si>
  <si>
    <t>601857.SS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</si>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</sst>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432</v>
      </c>
    </row>
    <row r="2" spans="1:10" ht="13.9">
      <c r="A2" s="247" t="s">
        <v>268</v>
      </c>
      <c r="B2" s="36"/>
      <c r="C2" s="36"/>
      <c r="D2" s="36"/>
      <c r="E2" s="36"/>
      <c r="F2" s="36"/>
      <c r="G2" s="22"/>
      <c r="H2" s="22"/>
      <c r="I2" s="22"/>
      <c r="J2" s="22"/>
    </row>
    <row r="4" spans="1:10">
      <c r="B4" s="45" t="s">
        <v>426</v>
      </c>
      <c r="C4" s="46"/>
      <c r="D4" s="5"/>
      <c r="E4" s="2"/>
      <c r="F4" s="2"/>
    </row>
    <row r="5" spans="1:10" ht="12.4">
      <c r="B5" s="4" t="s">
        <v>323</v>
      </c>
      <c r="C5" s="333" t="s">
        <v>433</v>
      </c>
    </row>
    <row r="6" spans="1:10">
      <c r="B6" s="4" t="s">
        <v>0</v>
      </c>
      <c r="C6" s="51">
        <v>183020977818</v>
      </c>
      <c r="E6" s="48"/>
    </row>
    <row r="7" spans="1:10">
      <c r="B7" s="2" t="s">
        <v>314</v>
      </c>
      <c r="C7" s="279">
        <v>6</v>
      </c>
      <c r="D7" s="48"/>
      <c r="E7" s="48"/>
    </row>
    <row r="8" spans="1:10">
      <c r="B8" s="1" t="s">
        <v>269</v>
      </c>
      <c r="C8" s="33">
        <f>EOMONTH(EDATE(BS!C1,C7+2),0)</f>
        <v>45900</v>
      </c>
      <c r="E8" s="48"/>
    </row>
    <row r="9" spans="1:10">
      <c r="E9" s="34"/>
    </row>
    <row r="10" spans="1:10">
      <c r="B10" s="45" t="s">
        <v>429</v>
      </c>
      <c r="C10" s="46"/>
      <c r="E10" s="34"/>
    </row>
    <row r="11" spans="1:10">
      <c r="B11" s="1" t="s">
        <v>428</v>
      </c>
      <c r="C11" s="49" t="s">
        <v>434</v>
      </c>
      <c r="D11" s="49" t="s">
        <v>435</v>
      </c>
      <c r="E11" s="34"/>
    </row>
    <row r="12" spans="1:10">
      <c r="B12" s="4" t="s">
        <v>95</v>
      </c>
      <c r="C12" s="50">
        <v>6.26</v>
      </c>
      <c r="D12" s="50">
        <v>8.1</v>
      </c>
      <c r="E12" s="48"/>
    </row>
    <row r="13" spans="1:10">
      <c r="B13" s="1" t="s">
        <v>427</v>
      </c>
      <c r="C13" s="48" t="s">
        <v>404</v>
      </c>
      <c r="D13" s="48" t="s">
        <v>424</v>
      </c>
      <c r="E13" s="5"/>
    </row>
    <row r="14" spans="1:10">
      <c r="B14" s="4" t="s">
        <v>431</v>
      </c>
      <c r="C14" s="35">
        <f>Thesis!C12*Common_Shares/1000000</f>
        <v>1145711.32114068</v>
      </c>
      <c r="D14" s="35">
        <f>IF(D11="","",Thesis!D12*Common_Shares/1000000)</f>
        <v>1482469.9203258001</v>
      </c>
      <c r="E14" s="5"/>
    </row>
    <row r="15" spans="1:10">
      <c r="B15" s="4" t="s">
        <v>430</v>
      </c>
      <c r="C15" s="32" t="str">
        <f>IF(C22=C13,C13,C22&amp;"/"&amp;C13)</f>
        <v>CNY/HKD</v>
      </c>
      <c r="D15" s="32" t="str">
        <f>IF(D11="","",IF(C22=D13,D13,C22&amp;"/"&amp;D13))</f>
        <v>CNY</v>
      </c>
      <c r="E15" s="5"/>
    </row>
    <row r="16" spans="1:10">
      <c r="B16" s="4" t="s">
        <v>1</v>
      </c>
      <c r="C16" s="50">
        <v>1.0828863799999999</v>
      </c>
      <c r="D16" s="50">
        <v>1</v>
      </c>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Negative Growth </v>
      </c>
      <c r="E21" s="5"/>
    </row>
    <row r="22" spans="1:6">
      <c r="B22" s="4" t="s">
        <v>355</v>
      </c>
      <c r="C22" s="48" t="s">
        <v>424</v>
      </c>
      <c r="D22" s="32" t="str">
        <f>IF(D11="","",Market_currency&amp;"/"&amp;D13&amp;":")</f>
        <v>HKD/CNY:</v>
      </c>
      <c r="E22" s="341">
        <f>IF(D11="","",1/Exchange_Rate*D16)</f>
        <v>0.92345791624048323</v>
      </c>
    </row>
    <row r="23" spans="1:6">
      <c r="B23" s="2" t="s">
        <v>56</v>
      </c>
      <c r="C23" s="48" t="s">
        <v>425</v>
      </c>
      <c r="E23" s="5"/>
    </row>
    <row r="24" spans="1:6">
      <c r="B24" s="2" t="s">
        <v>277</v>
      </c>
      <c r="C24" s="249">
        <v>0.4</v>
      </c>
      <c r="D24" s="1" t="s">
        <v>417</v>
      </c>
      <c r="E24" s="339">
        <v>0.2</v>
      </c>
    </row>
    <row r="25" spans="1:6">
      <c r="B25" s="2" t="str">
        <f>"Target Buy Price ("&amp;Market_currency&amp;"):"</f>
        <v>Target Buy Price (HKD):</v>
      </c>
      <c r="C25" s="252">
        <f>C139</f>
        <v>3.63046551092381</v>
      </c>
      <c r="D25" s="1" t="s">
        <v>315</v>
      </c>
      <c r="E25" s="330">
        <v>3</v>
      </c>
    </row>
    <row r="26" spans="1:6">
      <c r="B26" s="1" t="s">
        <v>407</v>
      </c>
      <c r="C26" s="280">
        <f ca="1">Scenarios!C87</f>
        <v>0.15209621087146563</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247357.8376927129</v>
      </c>
      <c r="D35" s="1" t="str">
        <f>Reporting_currency</f>
        <v>CNY</v>
      </c>
    </row>
    <row r="36" spans="2:6">
      <c r="B36" s="47"/>
      <c r="C36" s="76"/>
    </row>
    <row r="37" spans="2:6" ht="24.4" customHeight="1">
      <c r="B37" s="346" t="s">
        <v>234</v>
      </c>
      <c r="C37" s="346"/>
      <c r="D37" s="346"/>
      <c r="E37" s="346"/>
      <c r="F37" s="346"/>
    </row>
    <row r="38" spans="2:6">
      <c r="B38" s="47" t="s">
        <v>235</v>
      </c>
      <c r="C38" s="188">
        <f>Normalized_FCF!C9</f>
        <v>243208.99999999997</v>
      </c>
      <c r="D38" s="1" t="str">
        <f>Reporting_currency</f>
        <v>CNY</v>
      </c>
    </row>
    <row r="39" spans="2:6">
      <c r="B39" s="52" t="s">
        <v>236</v>
      </c>
      <c r="C39" s="188">
        <f>Normalized_FCF!C10</f>
        <v>-283919.19056768838</v>
      </c>
      <c r="D39" s="1" t="str">
        <f>Reporting_currency</f>
        <v>CNY</v>
      </c>
    </row>
    <row r="41" spans="2:6">
      <c r="B41" s="346" t="s">
        <v>237</v>
      </c>
      <c r="C41" s="346"/>
      <c r="D41" s="346"/>
      <c r="E41" s="346"/>
      <c r="F41" s="346"/>
    </row>
    <row r="42" spans="2:6">
      <c r="B42" s="47" t="s">
        <v>238</v>
      </c>
      <c r="C42" s="188">
        <f>Normalized_FCF!C11</f>
        <v>18644</v>
      </c>
      <c r="D42" s="1" t="str">
        <f>Reporting_currency</f>
        <v>CNY</v>
      </c>
    </row>
    <row r="44" spans="2:6">
      <c r="B44" s="346" t="s">
        <v>241</v>
      </c>
      <c r="C44" s="346"/>
      <c r="D44" s="346"/>
      <c r="E44" s="346"/>
      <c r="F44" s="346"/>
    </row>
    <row r="45" spans="2:6">
      <c r="B45" s="47" t="s">
        <v>348</v>
      </c>
      <c r="C45" s="322">
        <f>Normalized_FCF!C48</f>
        <v>8793.8666926784372</v>
      </c>
      <c r="D45" s="1" t="str">
        <f>Reporting_currency</f>
        <v>CNY</v>
      </c>
      <c r="E45" s="321"/>
      <c r="F45" s="321"/>
    </row>
    <row r="46" spans="2:6">
      <c r="B46" s="47" t="s">
        <v>349</v>
      </c>
      <c r="C46" s="322">
        <f>Normalized_FCF!C47</f>
        <v>-20731</v>
      </c>
      <c r="D46" s="1" t="str">
        <f>Reporting_currency</f>
        <v>CNY</v>
      </c>
      <c r="E46" s="321"/>
      <c r="F46" s="321"/>
    </row>
    <row r="47" spans="2:6">
      <c r="B47" s="47" t="s">
        <v>239</v>
      </c>
      <c r="C47" s="188">
        <f>Normalized_FCF!C12</f>
        <v>-11937.133307321563</v>
      </c>
      <c r="D47" s="1" t="str">
        <f>Reporting_currency</f>
        <v>CNY</v>
      </c>
    </row>
    <row r="49" spans="2:6">
      <c r="B49" s="1" t="s">
        <v>247</v>
      </c>
    </row>
    <row r="50" spans="2:6">
      <c r="B50" s="47" t="s">
        <v>266</v>
      </c>
      <c r="C50" s="188">
        <f>Normalized_FCF!C15</f>
        <v>-17915.118234001515</v>
      </c>
      <c r="D50" s="1" t="str">
        <f>Reporting_currency</f>
        <v>CNY</v>
      </c>
    </row>
    <row r="52" spans="2:6">
      <c r="B52" s="346" t="s">
        <v>242</v>
      </c>
      <c r="C52" s="346"/>
      <c r="D52" s="346"/>
      <c r="E52" s="346"/>
      <c r="F52" s="346"/>
    </row>
    <row r="53" spans="2:6">
      <c r="B53" s="47" t="s">
        <v>240</v>
      </c>
      <c r="C53" s="188">
        <f>Normalized_FCF!C14</f>
        <v>-63516.176096347837</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175396.86669267845</v>
      </c>
      <c r="D61" s="1" t="str">
        <f>Reporting_currency</f>
        <v>CNY</v>
      </c>
    </row>
    <row r="62" spans="2:6">
      <c r="B62" s="47" t="s">
        <v>249</v>
      </c>
      <c r="C62" s="188">
        <f>Normalized_FCF!C19</f>
        <v>131923.21948735364</v>
      </c>
      <c r="D62" s="1" t="str">
        <f>Reporting_currency</f>
        <v>CNY</v>
      </c>
    </row>
    <row r="63" spans="2:6">
      <c r="B63" s="254" t="s">
        <v>398</v>
      </c>
      <c r="C63" s="92">
        <f>Normalized_FCF!C125</f>
        <v>0.12468922576969506</v>
      </c>
    </row>
    <row r="64" spans="2:6">
      <c r="B64" s="254" t="s">
        <v>316</v>
      </c>
      <c r="C64" s="92">
        <f>Normalized_FCF!C93</f>
        <v>7.0597365879231475E-2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9.7569319164786368</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279749</v>
      </c>
      <c r="D91" s="1" t="str">
        <f>Reporting_currency</f>
        <v>CNY</v>
      </c>
    </row>
    <row r="92" spans="1:6">
      <c r="B92" s="47" t="s">
        <v>285</v>
      </c>
      <c r="C92" s="248">
        <f>C91*scaling_factor*Exchange_Rate/Common_Shares</f>
        <v>1.6552003247401861</v>
      </c>
      <c r="D92" s="1" t="str">
        <f>Market_currency</f>
        <v>HKD</v>
      </c>
    </row>
    <row r="93" spans="1:6">
      <c r="B93" s="336" t="s">
        <v>412</v>
      </c>
      <c r="C93" s="337">
        <f>BS!G30/BS!G27</f>
        <v>0.61007460831657279</v>
      </c>
    </row>
    <row r="94" spans="1:6">
      <c r="B94" s="336" t="s">
        <v>413</v>
      </c>
      <c r="C94" s="337">
        <f>BS!G31/BS!G27</f>
        <v>0.16360901428944893</v>
      </c>
    </row>
    <row r="95" spans="1:6">
      <c r="B95" s="336" t="s">
        <v>415</v>
      </c>
      <c r="C95" s="338">
        <f>BS!C50</f>
        <v>1.1309485990394448</v>
      </c>
    </row>
    <row r="97" spans="1:6">
      <c r="B97" s="1" t="s">
        <v>255</v>
      </c>
    </row>
    <row r="98" spans="1:6">
      <c r="B98" s="47" t="s">
        <v>265</v>
      </c>
      <c r="C98" s="188">
        <f>BS!C66</f>
        <v>216246</v>
      </c>
      <c r="D98" s="1" t="str">
        <f>Reporting_currency</f>
        <v>CNY</v>
      </c>
    </row>
    <row r="99" spans="1:6">
      <c r="B99" s="47" t="s">
        <v>267</v>
      </c>
      <c r="C99" s="188">
        <f>Valuation_Model!C8</f>
        <v>126.15719684722717</v>
      </c>
      <c r="D99" s="1" t="str">
        <f>Reporting_currency</f>
        <v>CNY</v>
      </c>
    </row>
    <row r="100" spans="1:6">
      <c r="B100" s="47" t="s">
        <v>286</v>
      </c>
      <c r="C100" s="248">
        <f>C99*scaling_factor*Exchange_Rate/Common_Shares</f>
        <v>7.4643853307730136E-4</v>
      </c>
      <c r="D100" s="1" t="str">
        <f>Market_currency</f>
        <v>HKD</v>
      </c>
    </row>
    <row r="102" spans="1:6">
      <c r="B102" s="1" t="s">
        <v>257</v>
      </c>
    </row>
    <row r="103" spans="1:6">
      <c r="B103" s="47" t="s">
        <v>258</v>
      </c>
      <c r="C103" s="188">
        <f>Valuation_Model!C9</f>
        <v>2113.7999999999997</v>
      </c>
      <c r="D103" s="1" t="str">
        <f>Reporting_currency</f>
        <v>CNY</v>
      </c>
    </row>
    <row r="104" spans="1:6">
      <c r="B104" s="47" t="s">
        <v>287</v>
      </c>
      <c r="C104" s="248">
        <f>C103*scaling_factor*Exchange_Rate/Common_Shares</f>
        <v>1.2506791611179324E-2</v>
      </c>
      <c r="D104" s="1" t="str">
        <f>Market_currency</f>
        <v>HKD</v>
      </c>
    </row>
    <row r="106" spans="1:6" ht="24.4" customHeight="1">
      <c r="B106" s="345" t="s">
        <v>374</v>
      </c>
      <c r="C106" s="345"/>
      <c r="D106" s="345"/>
      <c r="E106" s="345"/>
      <c r="F106" s="345"/>
    </row>
    <row r="108" spans="1:6">
      <c r="B108" s="47" t="s">
        <v>283</v>
      </c>
      <c r="C108" s="248">
        <f>Valuation_Model!C12</f>
        <v>8.1149848218827092</v>
      </c>
      <c r="D108" s="1" t="str">
        <f>Market_currency</f>
        <v>HKD</v>
      </c>
    </row>
    <row r="109" spans="1:6">
      <c r="B109" s="336" t="s">
        <v>414</v>
      </c>
      <c r="C109" s="248">
        <f>BS!D47</f>
        <v>-3.842375652062942</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10.2 HKD</v>
      </c>
      <c r="F116" s="259">
        <f>Valuation_Model!F74</f>
        <v>0.05</v>
      </c>
    </row>
    <row r="117" spans="1:6">
      <c r="B117" s="242" t="str">
        <f>Valuation_Model!B75</f>
        <v>Optimistic</v>
      </c>
      <c r="C117" s="243">
        <f>Valuation_Model!C75</f>
        <v>0.02</v>
      </c>
      <c r="D117" s="244">
        <f>Valuation_Model!D75</f>
        <v>5</v>
      </c>
      <c r="E117" s="245" t="str">
        <f>ROUND(Valuation_Model!E75,2)&amp;" "&amp;Market_currency</f>
        <v>8.43 HKD</v>
      </c>
      <c r="F117" s="246">
        <f>Valuation_Model!F75</f>
        <v>0.18</v>
      </c>
    </row>
    <row r="118" spans="1:6">
      <c r="B118" s="242" t="str">
        <f>Valuation_Model!B76</f>
        <v>Base</v>
      </c>
      <c r="C118" s="243">
        <f>Valuation_Model!C76</f>
        <v>0.01</v>
      </c>
      <c r="D118" s="244">
        <f>Valuation_Model!D76</f>
        <v>5</v>
      </c>
      <c r="E118" s="245" t="str">
        <f>ROUND(Valuation_Model!E76,2)&amp;" "&amp;Market_currency</f>
        <v>8.27 HKD</v>
      </c>
      <c r="F118" s="246">
        <f>Valuation_Model!F76</f>
        <v>0.53999999999999992</v>
      </c>
    </row>
    <row r="119" spans="1:6">
      <c r="B119" s="242" t="str">
        <f>Valuation_Model!B77</f>
        <v>Pessimistic</v>
      </c>
      <c r="C119" s="243">
        <f>Valuation_Model!C77</f>
        <v>-0.06</v>
      </c>
      <c r="D119" s="244">
        <f>Valuation_Model!D77</f>
        <v>5</v>
      </c>
      <c r="E119" s="245" t="str">
        <f>ROUND(Valuation_Model!E77,2)&amp;" "&amp;Market_currency</f>
        <v>7.22 HKD</v>
      </c>
      <c r="F119" s="246">
        <f>Valuation_Model!F77</f>
        <v>0.18</v>
      </c>
    </row>
    <row r="120" spans="1:6">
      <c r="B120" s="242" t="str">
        <f>Valuation_Model!B78</f>
        <v>Devil's advocate</v>
      </c>
      <c r="C120" s="243">
        <f>Valuation_Model!C78</f>
        <v>-0.15</v>
      </c>
      <c r="D120" s="244">
        <f>Valuation_Model!D78</f>
        <v>10</v>
      </c>
      <c r="E120" s="245" t="str">
        <f>ROUND(Valuation_Model!E78,2)&amp;" "&amp;Market_currency</f>
        <v>4.82 HKD</v>
      </c>
      <c r="F120" s="246">
        <f>Valuation_Model!F78</f>
        <v>0.05</v>
      </c>
    </row>
    <row r="122" spans="1:6">
      <c r="B122" s="235" t="s">
        <v>259</v>
      </c>
      <c r="C122" s="241">
        <f>Scenarios!C60</f>
        <v>8.0351410966135415</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0.44193951040398899</v>
      </c>
      <c r="D133" s="236" t="str">
        <f>Market_currency</f>
        <v>HKD</v>
      </c>
    </row>
    <row r="135" spans="2:6">
      <c r="B135" s="234" t="s">
        <v>418</v>
      </c>
      <c r="C135" s="270" t="str">
        <f>C11</f>
        <v>0857.HK</v>
      </c>
      <c r="D135" s="270" t="str">
        <f>IF(D11="","",D11)</f>
        <v>601857.SS</v>
      </c>
    </row>
    <row r="136" spans="2:6">
      <c r="B136" s="1" t="s">
        <v>416</v>
      </c>
      <c r="C136" s="337">
        <f>C24</f>
        <v>0.4</v>
      </c>
    </row>
    <row r="137" spans="2:6">
      <c r="B137" s="236" t="str">
        <f>"PV("&amp;C131&amp;" yrs of Dividends)"</f>
        <v>PV(3 yrs of Dividends)</v>
      </c>
      <c r="C137" s="240">
        <f>Scenarios!C81</f>
        <v>0.70220709379059454</v>
      </c>
    </row>
    <row r="138" spans="2:6">
      <c r="B138" s="236" t="str">
        <f>"+ PV(Equity Value realized at year "&amp;C131&amp;")"</f>
        <v>+ PV(Equity Value realized at year 3)</v>
      </c>
      <c r="C138" s="240">
        <f>Scenarios!C82</f>
        <v>2.9282584171332156</v>
      </c>
    </row>
    <row r="139" spans="2:6">
      <c r="B139" s="80" t="s">
        <v>261</v>
      </c>
      <c r="C139" s="239">
        <f>Scenarios!C83</f>
        <v>3.63046551092381</v>
      </c>
      <c r="D139" s="342">
        <f>IF($D$11="","",C139*$E$22)</f>
        <v>3.3525821157006428</v>
      </c>
    </row>
    <row r="140" spans="2:6">
      <c r="B140" s="290" t="s">
        <v>427</v>
      </c>
      <c r="C140" s="340" t="str">
        <f>Market_currency</f>
        <v>HKD</v>
      </c>
      <c r="D140" s="340" t="str">
        <f>IF($D$11="","",D$13)</f>
        <v>CNY</v>
      </c>
    </row>
    <row r="141" spans="2:6">
      <c r="B141" s="238" t="s">
        <v>263</v>
      </c>
      <c r="C141" s="92">
        <f>Scenarios!F83</f>
        <v>0.54817650775866378</v>
      </c>
    </row>
    <row r="143" spans="2:6">
      <c r="B143" s="234" t="s">
        <v>421</v>
      </c>
    </row>
    <row r="144" spans="2:6">
      <c r="B144" s="1" t="s">
        <v>420</v>
      </c>
      <c r="C144" s="337">
        <f>Scenarios!C90</f>
        <v>0.2</v>
      </c>
    </row>
    <row r="145" spans="1:6">
      <c r="B145" s="236" t="str">
        <f>"PV("&amp;C131&amp;" yrs of Dividends)"</f>
        <v>PV(3 yrs of Dividends)</v>
      </c>
      <c r="C145" s="240">
        <f>Scenarios!C91</f>
        <v>0.93093739460099523</v>
      </c>
    </row>
    <row r="146" spans="1:6">
      <c r="B146" s="236" t="str">
        <f>"+ PV(Equity Value realized at year "&amp;C131&amp;")"</f>
        <v>+ PV(Equity Value realized at year 3)</v>
      </c>
      <c r="C146" s="240">
        <f>Scenarios!C92</f>
        <v>4.649965912392096</v>
      </c>
    </row>
    <row r="147" spans="1:6">
      <c r="B147" s="80" t="s">
        <v>261</v>
      </c>
      <c r="C147" s="239">
        <f>Scenarios!C93</f>
        <v>5.5809033069930916</v>
      </c>
      <c r="D147" s="342">
        <f>IF($D$11="","",C147*$E$22)</f>
        <v>5.1537293386154621</v>
      </c>
    </row>
    <row r="148" spans="1:6">
      <c r="B148" s="290" t="s">
        <v>427</v>
      </c>
      <c r="C148" s="340" t="str">
        <f>Market_currency</f>
        <v>HKD</v>
      </c>
      <c r="D148" s="340" t="str">
        <f>IF($D$11="","",D$13)</f>
        <v>CNY</v>
      </c>
    </row>
    <row r="149" spans="1:6">
      <c r="B149" s="238" t="s">
        <v>263</v>
      </c>
      <c r="C149" s="92">
        <f>Scenarios!F93</f>
        <v>0.30543804522048823</v>
      </c>
    </row>
    <row r="151" spans="1:6">
      <c r="B151" s="234" t="s">
        <v>408</v>
      </c>
    </row>
    <row r="152" spans="1:6">
      <c r="B152" s="1" t="s">
        <v>419</v>
      </c>
      <c r="C152" s="92">
        <f>Scenarios!C96</f>
        <v>0.08</v>
      </c>
    </row>
    <row r="153" spans="1:6">
      <c r="B153" s="236" t="str">
        <f>"PV("&amp;C131&amp;" yrs of Dividends)"</f>
        <v>PV(3 yrs of Dividends)</v>
      </c>
      <c r="C153" s="240">
        <f>Scenarios!C97</f>
        <v>1.1389209808079233</v>
      </c>
    </row>
    <row r="154" spans="1:6">
      <c r="B154" s="236" t="str">
        <f>"+ PV(Equity Value realized at year "&amp;C131&amp;")"</f>
        <v>+ PV(Equity Value realized at year 3)</v>
      </c>
      <c r="C154" s="240">
        <f>Scenarios!C98</f>
        <v>6.3785540636379903</v>
      </c>
    </row>
    <row r="155" spans="1:6">
      <c r="B155" s="80" t="s">
        <v>409</v>
      </c>
      <c r="C155" s="239">
        <f>Scenarios!C99</f>
        <v>7.5174750444459137</v>
      </c>
      <c r="D155" s="342">
        <f>IF($D$11="","",C155*$E$22)</f>
        <v>6.9420718399338579</v>
      </c>
    </row>
    <row r="156" spans="1:6">
      <c r="B156" s="290" t="s">
        <v>427</v>
      </c>
      <c r="C156" s="340" t="str">
        <f>Market_currency</f>
        <v>HKD</v>
      </c>
      <c r="D156" s="340" t="str">
        <f>IF($D$11="","",D$13)</f>
        <v>CNY</v>
      </c>
    </row>
    <row r="157" spans="1:6">
      <c r="B157" s="238" t="s">
        <v>263</v>
      </c>
      <c r="C157" s="92">
        <f>Scenarios!F99</f>
        <v>6.442525973635993E-2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0.16145738207548607</v>
      </c>
      <c r="H25" s="39"/>
      <c r="I25" s="39"/>
      <c r="J25" s="39"/>
      <c r="K25" s="39"/>
      <c r="L25" s="39"/>
      <c r="M25" s="39"/>
    </row>
    <row r="27" spans="2:13">
      <c r="B27" s="16" t="s">
        <v>28</v>
      </c>
      <c r="C27" s="97" t="s">
        <v>437</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0.16145738207548607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2">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8.9660466035691293</v>
      </c>
      <c r="D47" s="148">
        <f>D46*H1/Common_Shares*Exchange_Rate</f>
        <v>-3.842375652062942</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-302936.38191861997</v>
      </c>
      <c r="D86" s="248">
        <f>C86*scaling_factor/Common_Shares</f>
        <v>-1.6552003247401861</v>
      </c>
      <c r="E86" s="269" t="str">
        <f>Market_currency</f>
        <v>HKD</v>
      </c>
    </row>
    <row r="87" spans="2:8" ht="15" customHeight="1">
      <c r="B87" s="267" t="s">
        <v>294</v>
      </c>
      <c r="C87" s="188">
        <f>Valuation_Model!C8*Exchange_Rate</f>
        <v>136.61391020484123</v>
      </c>
      <c r="D87" s="248">
        <f>C87*scaling_factor/Common_Shares</f>
        <v>7.4643853307730136E-4</v>
      </c>
      <c r="E87" s="269" t="str">
        <f>Market_currency</f>
        <v>HKD</v>
      </c>
    </row>
    <row r="88" spans="2:8" ht="15" customHeight="1">
      <c r="B88" s="268" t="s">
        <v>190</v>
      </c>
      <c r="C88" s="188">
        <f>Valuation_Model!C9*Exchange_Rate</f>
        <v>2289.0052300439997</v>
      </c>
      <c r="D88" s="248">
        <f>C88*scaling_factor/Common_Shares</f>
        <v>1.2506791611179324E-2</v>
      </c>
      <c r="E88" s="269" t="str">
        <f>Market_currency</f>
        <v>HKD</v>
      </c>
    </row>
    <row r="89" spans="2:8" ht="15" customHeight="1">
      <c r="B89" s="80" t="s">
        <v>298</v>
      </c>
      <c r="C89" s="187">
        <f>SUM(C86:C88)</f>
        <v>-300510.76277837111</v>
      </c>
      <c r="D89" s="271">
        <f>SUM(D86:D88)</f>
        <v>-1.6419470945959294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-243209</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439</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0.16145738207548607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29550.087943389888</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0.46114963656829444</v>
      </c>
      <c r="H92" s="171">
        <f t="shared" si="38"/>
        <v>0.24658504631051184</v>
      </c>
      <c r="I92" s="171">
        <f t="shared" si="38"/>
        <v>0.42892514526464176</v>
      </c>
      <c r="J92" s="171">
        <f t="shared" si="38"/>
        <v>0.30572167114546933</v>
      </c>
      <c r="K92" s="171">
        <f t="shared" si="38"/>
        <v>0.29002807985477835</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7.0597365879231475E-2</v>
      </c>
      <c r="E93" s="302"/>
      <c r="G93" s="23">
        <f t="shared" ref="G93:Q93" si="39">IF(G$4="","",G90/Market_Price)</f>
        <v>7.0597365879231475E-2</v>
      </c>
      <c r="H93" s="23">
        <f t="shared" si="39"/>
        <v>6.6091151035876358E-2</v>
      </c>
      <c r="I93" s="23">
        <f t="shared" si="39"/>
        <v>6.3474542283501439E-2</v>
      </c>
      <c r="J93" s="23">
        <f t="shared" si="39"/>
        <v>3.4039946926705276E-2</v>
      </c>
      <c r="K93" s="23">
        <f t="shared" si="39"/>
        <v>2.5791914069566466E-2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99"/>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2.3177837076890597</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0.78055455331829093</v>
      </c>
      <c r="D124" s="27"/>
      <c r="E124" s="299"/>
      <c r="F124" s="27"/>
      <c r="G124" s="178">
        <f t="shared" ref="G124:Q124" si="49">IF(G$4="","",G16*$C$3/Common_Shares*Exchange_Rate)</f>
        <v>1.037776545074808</v>
      </c>
      <c r="H124" s="178">
        <f t="shared" si="49"/>
        <v>1.8169116269290673</v>
      </c>
      <c r="I124" s="178">
        <f t="shared" si="49"/>
        <v>1.0031717541991749</v>
      </c>
      <c r="J124" s="178">
        <f t="shared" si="49"/>
        <v>0.75477911404604447</v>
      </c>
      <c r="K124" s="178">
        <f t="shared" si="49"/>
        <v>0.60283818066011108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0.12468922576969506</v>
      </c>
      <c r="D125" s="27"/>
      <c r="E125" s="299"/>
      <c r="F125" s="27"/>
      <c r="G125" s="77">
        <f t="shared" ref="G125" si="50">IF(G$4="","",G124/Market_Price)</f>
        <v>0.16577900081067221</v>
      </c>
      <c r="H125" s="77">
        <f t="shared" ref="H125" si="51">IF(H$4="","",H124/Market_Price)</f>
        <v>0.29024147395033023</v>
      </c>
      <c r="I125" s="77">
        <f t="shared" ref="I125" si="52">IF(I$4="","",I124/Market_Price)</f>
        <v>0.1602510789455551</v>
      </c>
      <c r="J125" s="77">
        <f t="shared" ref="J125" si="53">IF(J$4="","",J124/Market_Price)</f>
        <v>0.12057174345783458</v>
      </c>
      <c r="K125" s="77">
        <f t="shared" ref="K125" si="54">IF(K$4="","",K124/Market_Price)</f>
        <v>9.6300028859442666E-2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0.1603780957816319</v>
      </c>
      <c r="H126" s="23">
        <f>IF(H$4="","",(Data!D47*$C$3)/(Market_Price*Common_Shares))</f>
        <v>0.15759729058121896</v>
      </c>
      <c r="I126" s="23">
        <f>IF(I$4="","",(Data!E47*$C$3)/(Market_Price*Common_Shares))</f>
        <v>0.14256907214408454</v>
      </c>
      <c r="J126" s="23">
        <f>IF(J$4="","",(Data!F47*$C$3)/(Market_Price*Common_Shares))</f>
        <v>0.11555615935451123</v>
      </c>
      <c r="K126" s="23">
        <f>IF(K$4="","",(Data!G47*$C$3)/(Market_Price*Common_Shares))</f>
        <v>0.11260951831352123</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1649040.2435919205</v>
      </c>
      <c r="D6" t="str">
        <f>Reporting_currency</f>
        <v>CNY</v>
      </c>
      <c r="E6" s="351" t="s">
        <v>250</v>
      </c>
      <c r="F6" s="351"/>
      <c r="H6" s="121"/>
    </row>
    <row r="7" spans="2:8">
      <c r="B7" s="149" t="s">
        <v>225</v>
      </c>
      <c r="C7" s="226">
        <f>BS!G31</f>
        <v>279749</v>
      </c>
      <c r="D7" t="str">
        <f>Reporting_currency</f>
        <v>CNY</v>
      </c>
      <c r="E7" s="351"/>
      <c r="F7" s="351"/>
      <c r="H7" s="121"/>
    </row>
    <row r="8" spans="2:8">
      <c r="B8" s="149" t="s">
        <v>226</v>
      </c>
      <c r="C8" s="201">
        <f>BS!D66</f>
        <v>126.15719684722717</v>
      </c>
      <c r="D8" t="str">
        <f>Reporting_currency</f>
        <v>CNY</v>
      </c>
      <c r="E8" s="351"/>
      <c r="F8" s="351"/>
      <c r="H8" s="121"/>
    </row>
    <row r="9" spans="2:8">
      <c r="B9" s="227" t="s">
        <v>191</v>
      </c>
      <c r="C9" s="229">
        <f>BS!H42</f>
        <v>2113.7999999999997</v>
      </c>
      <c r="D9" t="str">
        <f>Reporting_currency</f>
        <v>CNY</v>
      </c>
      <c r="E9" s="351"/>
      <c r="F9" s="351"/>
      <c r="H9" s="121"/>
    </row>
    <row r="10" spans="2:8" ht="13.15">
      <c r="B10" s="150" t="s">
        <v>228</v>
      </c>
      <c r="C10" s="232">
        <f>C6-C7+C8+C9</f>
        <v>1371531.2007887678</v>
      </c>
      <c r="D10" t="str">
        <f>Reporting_currency</f>
        <v>CNY</v>
      </c>
      <c r="H10" s="121"/>
    </row>
    <row r="11" spans="2:8" ht="13.15" thickBot="1">
      <c r="B11" s="230" t="s">
        <v>167</v>
      </c>
      <c r="C11" s="231">
        <f>Exchange_Rate</f>
        <v>1.0828863799999999</v>
      </c>
      <c r="D11" t="str">
        <f>Thesis!C15</f>
        <v>CNY/HKD</v>
      </c>
      <c r="H11" s="121"/>
    </row>
    <row r="12" spans="2:8" ht="13.5" thickTop="1">
      <c r="B12" s="150" t="s">
        <v>103</v>
      </c>
      <c r="C12" s="112">
        <f>(C10*scaling_factor)/Common_Shares*Exchange_Rate</f>
        <v>8.1149848218827092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8.0392856588535846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8.1149848218827092</v>
      </c>
      <c r="C65" s="125">
        <f>C12</f>
        <v>8.1149848218827092</v>
      </c>
      <c r="D65" s="125">
        <f>C12</f>
        <v>8.1149848218827092</v>
      </c>
      <c r="E65" s="142">
        <f>C12</f>
        <v>8.1149848218827092</v>
      </c>
      <c r="F65" s="125">
        <f>C12</f>
        <v>8.1149848218827092</v>
      </c>
      <c r="H65" s="121"/>
    </row>
    <row r="66" spans="1:8" ht="13.15">
      <c r="A66" s="144">
        <f t="shared" ref="A66:A71" si="3">A56</f>
        <v>5</v>
      </c>
      <c r="B66" s="125">
        <f t="shared" ref="B66:F71" si="4">(B56-$C$7+$C$8+$C$9)/Common_Shares*$C$3*Exchange_Rate</f>
        <v>6.0159499767909441</v>
      </c>
      <c r="C66" s="125">
        <f t="shared" si="4"/>
        <v>7.2231765903013931</v>
      </c>
      <c r="D66" s="125">
        <f t="shared" si="4"/>
        <v>8.2712364840033636</v>
      </c>
      <c r="E66" s="125">
        <f t="shared" si="4"/>
        <v>8.4297945204302369</v>
      </c>
      <c r="F66" s="125">
        <f t="shared" si="4"/>
        <v>9.0881129060322667</v>
      </c>
      <c r="H66" s="121"/>
    </row>
    <row r="67" spans="1:8" ht="13.15">
      <c r="A67" s="144">
        <f t="shared" si="3"/>
        <v>10</v>
      </c>
      <c r="B67" s="125">
        <f t="shared" si="4"/>
        <v>4.8211015729554179</v>
      </c>
      <c r="C67" s="125">
        <f t="shared" si="4"/>
        <v>6.539598565553856</v>
      </c>
      <c r="D67" s="125">
        <f t="shared" si="4"/>
        <v>8.4224891059375988</v>
      </c>
      <c r="E67" s="125">
        <f t="shared" si="4"/>
        <v>8.7448941089623595</v>
      </c>
      <c r="F67" s="125">
        <f t="shared" si="4"/>
        <v>10.201670333445225</v>
      </c>
      <c r="H67" s="121"/>
    </row>
    <row r="68" spans="1:8" ht="13.15">
      <c r="A68" s="144">
        <f t="shared" si="3"/>
        <v>15</v>
      </c>
      <c r="B68" s="125">
        <f t="shared" si="4"/>
        <v>3.7776972819867858</v>
      </c>
      <c r="C68" s="125">
        <f t="shared" si="4"/>
        <v>5.8370862897566393</v>
      </c>
      <c r="D68" s="125">
        <f t="shared" si="4"/>
        <v>8.6050522685965394</v>
      </c>
      <c r="E68" s="125">
        <f t="shared" si="4"/>
        <v>9.134917218699746</v>
      </c>
      <c r="F68" s="125">
        <f t="shared" si="4"/>
        <v>11.733411537169813</v>
      </c>
      <c r="H68" s="121"/>
    </row>
    <row r="69" spans="1:8" ht="13.15">
      <c r="A69" s="145">
        <f t="shared" si="3"/>
        <v>20</v>
      </c>
      <c r="B69" s="125">
        <f t="shared" si="4"/>
        <v>2.9980552465811723</v>
      </c>
      <c r="C69" s="125">
        <f t="shared" si="4"/>
        <v>5.2404506943390086</v>
      </c>
      <c r="D69" s="125">
        <f t="shared" si="4"/>
        <v>8.7862561252434759</v>
      </c>
      <c r="E69" s="125">
        <f t="shared" si="4"/>
        <v>9.5322882204741095</v>
      </c>
      <c r="F69" s="125">
        <f t="shared" si="4"/>
        <v>13.480711901837996</v>
      </c>
      <c r="H69" s="121"/>
    </row>
    <row r="70" spans="1:8" ht="13.15">
      <c r="A70" s="145">
        <f t="shared" si="3"/>
        <v>25</v>
      </c>
      <c r="B70" s="125">
        <f t="shared" si="4"/>
        <v>2.4464508611743652</v>
      </c>
      <c r="C70" s="125">
        <f t="shared" si="4"/>
        <v>4.7751930646337168</v>
      </c>
      <c r="D70" s="125">
        <f t="shared" si="4"/>
        <v>8.9503199206734081</v>
      </c>
      <c r="E70" s="125">
        <f t="shared" si="4"/>
        <v>9.9018653022449712</v>
      </c>
      <c r="F70" s="125">
        <f t="shared" si="4"/>
        <v>15.311829557521104</v>
      </c>
    </row>
    <row r="71" spans="1:8" ht="13.15">
      <c r="A71" s="145">
        <f t="shared" si="3"/>
        <v>30</v>
      </c>
      <c r="B71" s="125">
        <f t="shared" si="4"/>
        <v>2.0646987177695917</v>
      </c>
      <c r="C71" s="125">
        <f t="shared" si="4"/>
        <v>4.4289784253431641</v>
      </c>
      <c r="D71" s="125">
        <f t="shared" si="4"/>
        <v>9.0911199351521912</v>
      </c>
      <c r="E71" s="125">
        <f t="shared" si="4"/>
        <v>10.227883699561879</v>
      </c>
      <c r="F71" s="125">
        <f t="shared" si="4"/>
        <v>17.142714513992644</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10.201670333445225</v>
      </c>
      <c r="F74" s="143">
        <f>Scenarios!C58</f>
        <v>0.05</v>
      </c>
    </row>
    <row r="75" spans="1:8">
      <c r="B75" s="128" t="str">
        <f>Scenarios!B36</f>
        <v>Optimistic</v>
      </c>
      <c r="C75" s="143">
        <f>Scenarios!C38</f>
        <v>0.02</v>
      </c>
      <c r="D75" s="146">
        <f>Scenarios!C37</f>
        <v>5</v>
      </c>
      <c r="E75" s="136">
        <f>INDEX(B$65:F$71, MATCH(D75, A$65:A$71, 0), MATCH(C75, B$64:F$64, 0))</f>
        <v>8.4297945204302369</v>
      </c>
      <c r="F75" s="143">
        <f>Scenarios!C40*(1-F$74-F$78)</f>
        <v>0.18</v>
      </c>
      <c r="H75" s="121"/>
    </row>
    <row r="76" spans="1:8">
      <c r="B76" s="128" t="str">
        <f>Scenarios!B24</f>
        <v>Base</v>
      </c>
      <c r="C76" s="143">
        <f>Scenarios!C26</f>
        <v>0.01</v>
      </c>
      <c r="D76" s="146">
        <f>Scenarios!C25</f>
        <v>5</v>
      </c>
      <c r="E76" s="136">
        <f>INDEX(B$65:F$71, MATCH(D76, A$65:A$71, 0), MATCH(C76, B$64:F$64, 0))</f>
        <v>8.2712364840033636</v>
      </c>
      <c r="F76" s="143">
        <f>Scenarios!C28*(1-F$74-F$78)</f>
        <v>0.53999999999999992</v>
      </c>
      <c r="H76" s="121"/>
    </row>
    <row r="77" spans="1:8">
      <c r="B77" s="128" t="str">
        <f>Scenarios!B30</f>
        <v>Pessimistic</v>
      </c>
      <c r="C77" s="143">
        <f>Scenarios!C32</f>
        <v>-0.06</v>
      </c>
      <c r="D77" s="146">
        <f>Scenarios!C31</f>
        <v>5</v>
      </c>
      <c r="E77" s="136">
        <f>INDEX(B$65:F$71, MATCH(D77, A$65:A$71, 0), MATCH(C77, B$64:F$64, 0))</f>
        <v>7.2231765903013931</v>
      </c>
      <c r="F77" s="143">
        <f>Scenarios!C34*(1-F$74-F$78)</f>
        <v>0.18</v>
      </c>
      <c r="H77" s="121"/>
    </row>
    <row r="78" spans="1:8">
      <c r="B78" s="128" t="str">
        <f>Scenarios!B48</f>
        <v>Devil's advocate</v>
      </c>
      <c r="C78" s="143">
        <f>Scenarios!C50</f>
        <v>-0.15</v>
      </c>
      <c r="D78" s="146">
        <f>Scenarios!C49</f>
        <v>10</v>
      </c>
      <c r="E78" s="136">
        <f>INDEX(B$65:F$71, MATCH(D78, A$65:A$71, 0), MATCH(C78, B$64:F$64, 0))</f>
        <v>4.8211015729554179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-6.26</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8.4770806070175304</v>
      </c>
    </row>
    <row r="7" spans="2:9" ht="12.75" customHeight="1">
      <c r="B7" s="100" t="s">
        <v>276</v>
      </c>
      <c r="C7" s="115">
        <f>Normalized_FCF!G8</f>
        <v>245516</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3"/>
      <c r="H7" s="276">
        <v>4</v>
      </c>
      <c r="I7" s="264" t="str">
        <f t="shared" si="0"/>
        <v/>
      </c>
    </row>
    <row r="8" spans="2:9">
      <c r="B8" s="100" t="s">
        <v>66</v>
      </c>
      <c r="C8" s="115">
        <f>Normalized_FCF!G19</f>
        <v>175396.86669267845</v>
      </c>
      <c r="D8" t="str">
        <f>Reporting_currency</f>
        <v>CNY</v>
      </c>
      <c r="E8" s="353"/>
      <c r="F8" s="353"/>
      <c r="H8" s="276">
        <v>5</v>
      </c>
      <c r="I8" s="264" t="str">
        <f t="shared" si="0"/>
        <v/>
      </c>
    </row>
    <row r="9" spans="2:9">
      <c r="B9" s="100" t="s">
        <v>57</v>
      </c>
      <c r="C9" s="201">
        <f>Normalized_FCF!C19</f>
        <v>131923.21948735364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0.16638727228030792</v>
      </c>
      <c r="D12" s="159"/>
      <c r="E12" s="353"/>
      <c r="F12" s="353"/>
      <c r="H12" s="276">
        <v>9</v>
      </c>
      <c r="I12" s="264" t="str">
        <f t="shared" si="0"/>
        <v/>
      </c>
    </row>
    <row r="13" spans="2:9">
      <c r="B13" s="149" t="s">
        <v>153</v>
      </c>
      <c r="C13" s="159">
        <f ca="1">(Normalized_FCF!G8/OFFSET(Normalized_FCF!G8, 0, $C$4))^(1/$C$4) - 1</f>
        <v>0.15587431850223021</v>
      </c>
      <c r="E13" s="353"/>
      <c r="F13" s="353"/>
      <c r="H13" s="276">
        <v>10</v>
      </c>
      <c r="I13" s="264" t="str">
        <f t="shared" si="0"/>
        <v/>
      </c>
    </row>
    <row r="14" spans="2:9">
      <c r="B14" s="100" t="s">
        <v>66</v>
      </c>
      <c r="C14" s="159">
        <f ca="1">(Normalized_FCF!G19/OFFSET(Normalized_FCF!G19, 0, $C$4))^(1/$C$4) - 1</f>
        <v>0.1119740670927909</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6.26</v>
      </c>
      <c r="D21" t="str">
        <f>Market_currency</f>
        <v>HKD</v>
      </c>
      <c r="E21" s="354"/>
      <c r="F21" s="354"/>
    </row>
    <row r="22" spans="2:6">
      <c r="B22" s="100" t="s">
        <v>281</v>
      </c>
      <c r="C22" s="161">
        <f>Valuation_Model!C12</f>
        <v>8.1149848218827092</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0.01</v>
      </c>
      <c r="D26" s="165"/>
      <c r="E26" s="352"/>
      <c r="F26" s="352"/>
    </row>
    <row r="27" spans="2:6">
      <c r="B27" s="100" t="s">
        <v>114</v>
      </c>
      <c r="C27" s="161">
        <f>Valuation_Model!E76</f>
        <v>8.2712364840033636</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-0.06</v>
      </c>
      <c r="D32" s="165"/>
      <c r="E32" s="352"/>
      <c r="F32" s="352"/>
    </row>
    <row r="33" spans="2:6">
      <c r="B33" s="100" t="s">
        <v>114</v>
      </c>
      <c r="C33" s="161">
        <f>Valuation_Model!E77</f>
        <v>7.2231765903013931</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0.02</v>
      </c>
      <c r="D38" s="165"/>
      <c r="E38" s="352"/>
      <c r="F38" s="352"/>
    </row>
    <row r="39" spans="2:6">
      <c r="B39" s="100" t="s">
        <v>114</v>
      </c>
      <c r="C39" s="161">
        <f>Valuation_Model!E75</f>
        <v>8.4297945204302369</v>
      </c>
      <c r="D39" t="str">
        <f>Market_currency</f>
        <v>HKD</v>
      </c>
      <c r="E39" s="352"/>
      <c r="F39" s="352"/>
    </row>
    <row r="40" spans="2:6">
      <c r="B40" s="100" t="s">
        <v>148</v>
      </c>
      <c r="C40" s="168">
        <f>1-C28-C34</f>
        <v>0.2</v>
      </c>
      <c r="D40" s="166"/>
      <c r="E40" s="352"/>
      <c r="F40" s="352"/>
    </row>
    <row r="42" spans="2:6" ht="13.15">
      <c r="B42" s="100" t="s">
        <v>121</v>
      </c>
      <c r="C42" s="155">
        <f>C27*C28+C33*C34+C39*C40</f>
        <v>8.0933361125483447</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-0.15</v>
      </c>
      <c r="D50" s="165"/>
      <c r="E50" s="352"/>
      <c r="F50" s="352"/>
    </row>
    <row r="51" spans="2:6">
      <c r="B51" s="100" t="s">
        <v>114</v>
      </c>
      <c r="C51" s="161">
        <f>Valuation_Model!E78</f>
        <v>4.8211015729554179</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10.201670333445225</v>
      </c>
      <c r="D57" t="str">
        <f>Market_currency</f>
        <v>HKD</v>
      </c>
      <c r="E57" s="352"/>
      <c r="F57" s="352"/>
    </row>
    <row r="58" spans="2:6">
      <c r="B58" s="100" t="s">
        <v>148</v>
      </c>
      <c r="C58" s="166">
        <v>0.05</v>
      </c>
      <c r="D58" s="166"/>
      <c r="E58" s="352"/>
      <c r="F58" s="352"/>
    </row>
    <row r="60" spans="2:6" ht="13.15">
      <c r="B60" s="100" t="s">
        <v>121</v>
      </c>
      <c r="C60" s="155">
        <f>C51*C52+C57*C58+C42*(1-C52-C58)</f>
        <v>8.0351410966135415</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8.0392856588535846</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Thesis!C132</f>
        <v>0.4</v>
      </c>
    </row>
    <row r="81" spans="2:8">
      <c r="B81" s="100" t="s">
        <v>122</v>
      </c>
      <c r="C81" s="117">
        <f>PV(C80, C76, -C77, 0)</f>
        <v>0.70220709379059454</v>
      </c>
      <c r="D81" s="117"/>
      <c r="E81" s="100"/>
      <c r="F81" s="100"/>
    </row>
    <row r="82" spans="2:8">
      <c r="B82" s="100" t="s">
        <v>123</v>
      </c>
      <c r="C82" s="117">
        <f>C60/(1+C80)^C76</f>
        <v>2.9282584171332156</v>
      </c>
      <c r="D82" s="117"/>
    </row>
    <row r="83" spans="2:8" ht="13.15">
      <c r="B83" s="111" t="s">
        <v>102</v>
      </c>
      <c r="C83" s="112">
        <f>C81+C82</f>
        <v>3.63046551092381</v>
      </c>
      <c r="D83" t="str">
        <f>Market_currency</f>
        <v>HKD</v>
      </c>
      <c r="E83" s="147" t="s">
        <v>127</v>
      </c>
      <c r="F83" s="329">
        <f>(1-C83/C60)</f>
        <v>0.54817650775866378</v>
      </c>
    </row>
    <row r="84" spans="2:8">
      <c r="E84" s="121"/>
    </row>
    <row r="85" spans="2:8" ht="13.15">
      <c r="B85" s="109" t="s">
        <v>309</v>
      </c>
    </row>
    <row r="86" spans="2:8">
      <c r="B86" s="149" t="s">
        <v>307</v>
      </c>
      <c r="C86" s="266">
        <f>Market_Price</f>
        <v>6.26</v>
      </c>
      <c r="D86" t="str">
        <f>Market_currency</f>
        <v>HKD</v>
      </c>
    </row>
    <row r="87" spans="2:8" ht="13.15">
      <c r="B87" s="100" t="s">
        <v>305</v>
      </c>
      <c r="C87" s="265">
        <f ca="1">IRR(OFFSET($I$3, 0, 0, $C$76 + 1, 1))</f>
        <v>0.15209621087146563</v>
      </c>
    </row>
    <row r="88" spans="2:8">
      <c r="B88" s="100"/>
    </row>
    <row r="89" spans="2:8" ht="13.15">
      <c r="B89" s="109" t="s">
        <v>422</v>
      </c>
    </row>
    <row r="90" spans="2:8">
      <c r="B90" s="149" t="s">
        <v>423</v>
      </c>
      <c r="C90" s="168">
        <f>Thesis!E24</f>
        <v>0.2</v>
      </c>
    </row>
    <row r="91" spans="2:8">
      <c r="B91" s="100" t="s">
        <v>122</v>
      </c>
      <c r="C91" s="117">
        <f>PV(C90, C76, -C77, 0)</f>
        <v>0.93093739460099523</v>
      </c>
      <c r="D91" s="117"/>
      <c r="E91" s="100"/>
      <c r="F91" s="100"/>
    </row>
    <row r="92" spans="2:8">
      <c r="B92" s="100" t="s">
        <v>123</v>
      </c>
      <c r="C92" s="117">
        <f>C60/(1+C90)^C76</f>
        <v>4.649965912392096</v>
      </c>
      <c r="D92" s="117"/>
    </row>
    <row r="93" spans="2:8" ht="13.15">
      <c r="B93" s="111" t="s">
        <v>102</v>
      </c>
      <c r="C93" s="112">
        <f>C91+C92</f>
        <v>5.5809033069930916</v>
      </c>
      <c r="D93" t="str">
        <f>Market_currency</f>
        <v>HKD</v>
      </c>
      <c r="E93" s="147" t="s">
        <v>127</v>
      </c>
      <c r="F93" s="329">
        <f>(1-C93/C60)</f>
        <v>0.30543804522048823</v>
      </c>
    </row>
    <row r="95" spans="2:8" ht="13.15">
      <c r="B95" s="109" t="s">
        <v>405</v>
      </c>
      <c r="G95" s="2"/>
      <c r="H95" s="316"/>
    </row>
    <row r="96" spans="2:8">
      <c r="B96" s="149" t="s">
        <v>411</v>
      </c>
      <c r="C96" s="135">
        <f>Thesis!C72</f>
        <v>0.08</v>
      </c>
      <c r="G96" s="2"/>
      <c r="H96" s="316"/>
    </row>
    <row r="97" spans="2:8">
      <c r="B97" s="100" t="s">
        <v>122</v>
      </c>
      <c r="C97" s="117">
        <f>PV(C96, C76, -C77, 0)</f>
        <v>1.1389209808079233</v>
      </c>
      <c r="D97" s="117"/>
      <c r="G97" s="2"/>
      <c r="H97" s="316"/>
    </row>
    <row r="98" spans="2:8">
      <c r="B98" s="100" t="s">
        <v>123</v>
      </c>
      <c r="C98" s="117">
        <f>C60/(1+C96)^C76</f>
        <v>6.3785540636379903</v>
      </c>
      <c r="D98" s="117"/>
      <c r="G98" s="2"/>
      <c r="H98" s="316"/>
    </row>
    <row r="99" spans="2:8" ht="13.15">
      <c r="B99" s="111" t="s">
        <v>406</v>
      </c>
      <c r="C99" s="112">
        <f>C97+C98</f>
        <v>7.5174750444459137</v>
      </c>
      <c r="D99" t="s">
        <v>404</v>
      </c>
      <c r="E99" s="147" t="s">
        <v>127</v>
      </c>
      <c r="F99" s="329">
        <f>(1-C99/C60)</f>
        <v>6.442525973635993E-2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