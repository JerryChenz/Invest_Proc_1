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124126D-961A-4C35-9A4A-D22622A1834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6" i="3"/>
  <c r="C30" i="3"/>
  <c r="G18" i="3"/>
  <c r="C19" i="3"/>
  <c r="C23" i="3"/>
  <c r="C4" i="3"/>
  <c r="C25" i="4"/>
  <c r="D25" i="4"/>
  <c r="E25" i="4"/>
  <c r="F25" i="4"/>
  <c r="C28" i="4"/>
  <c r="D28" i="4"/>
  <c r="E28" i="4"/>
  <c r="F28"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C76" i="4"/>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<sst xmlns="http://schemas.openxmlformats.org/spreadsheetml/2006/main" count="586" uniqueCount="416">
  <si>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</si>
  <si>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</si>
  <si>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</si>
  <si>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</si>
  <si>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</si>
  <si>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</si>
  <si>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</si>
  <si>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</si>
  <si>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</si>
  <si>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</si>
  <si>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</si>
  <si>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</si>
  <si>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</si>
  <si>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</si>
  <si>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</si>
  <si>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</si>
  <si>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</si>
  <si>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</si>
  <si>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</si>
  <si>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</si>
  <si>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</si>
  <si>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</si>
  <si>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</si>
  <si>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</si>
  <si>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</si>
  <si>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</si>
  <si>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</si>
  <si>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</si>
  <si>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</si>
  <si>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</si>
  <si>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</si>
  <si>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</si>
  <si>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</si>
  <si>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</si>
  <si>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</si>
  <si>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</si>
  <si>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</si>
  <si>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</si>
  <si>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</si>
  <si>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</si>
  <si>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</si>
  <si>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</si>
  <si>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</si>
  <si>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</si>
  <si>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</si>
  <si>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</si>
  <si>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</si>
  <si>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</si>
  <si>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</si>
  <si>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</si>
  <si>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</si>
  <si>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</si>
  <si>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</si>
  <si>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</si>
  <si>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</si>
  <si>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</si>
  <si>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</si>
  <si>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</si>
  <si>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</si>
  <si>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</si>
  <si>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</si>
  <si>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</si>
  <si>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</si>
  <si>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</si>
  <si>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</si>
  <si>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</si>
  <si>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</si>
  <si>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</si>
  <si>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</si>
  <si>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</si>
  <si>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</si>
  <si>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</si>
  <si>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</si>
  <si>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</si>
  <si>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</si>
  <si>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</si>
  <si>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</si>
  <si>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</si>
  <si>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</si>
  <si>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</si>
  <si>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</si>
  <si>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</si>
  <si>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</si>
  <si>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</si>
  <si>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</si>
  <si>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</si>
  <si>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</si>
  <si>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</si>
  <si>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</si>
  <si>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</si>
  <si>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</si>
  <si>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</si>
  <si>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</si>
  <si>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</si>
  <si>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</si>
  <si>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</si>
  <si>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</si>
  <si>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</si>
  <si>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</si>
  <si>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</si>
  <si>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</si>
  <si>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</si>
  <si>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</si>
  <si>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</si>
  <si>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</si>
  <si>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</si>
  <si>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</si>
  <si>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</si>
  <si>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</si>
  <si>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</si>
  <si>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</si>
  <si>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</si>
  <si>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</si>
  <si>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</si>
  <si>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</si>
  <si>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</si>
  <si>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</si>
  <si>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</si>
  <si>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</si>
  <si>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</si>
  <si>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</si>
  <si>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</si>
  <si>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</si>
  <si>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</si>
  <si>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</si>
  <si>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</si>
  <si>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</si>
  <si>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</si>
  <si>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</si>
  <si>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</si>
  <si>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</si>
  <si>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</si>
  <si>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</si>
  <si>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</si>
  <si>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</si>
  <si>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</si>
  <si>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</si>
  <si>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</si>
  <si>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</si>
  <si>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</si>
  <si>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</si>
  <si>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</si>
  <si>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</si>
  <si>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</si>
  <si>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</si>
  <si>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</si>
  <si>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</si>
  <si>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</si>
  <si>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</si>
  <si>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</si>
  <si>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</si>
  <si>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</si>
  <si>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</si>
  <si>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</si>
  <si>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</si>
  <si>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</si>
  <si>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</si>
  <si>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</si>
  <si>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</si>
  <si>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</si>
  <si>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</si>
  <si>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</si>
  <si>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</si>
  <si>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</si>
  <si>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</si>
  <si>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</si>
  <si>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</si>
  <si>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</si>
  <si>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</si>
  <si>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</si>
  <si>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</si>
  <si>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</si>
  <si>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</si>
  <si>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</si>
  <si>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</si>
  <si>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</si>
  <si>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</si>
  <si>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</si>
  <si>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</si>
  <si>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</si>
  <si>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</si>
  <si>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</si>
  <si>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</si>
  <si>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</si>
  <si>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</si>
  <si>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</si>
  <si>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</si>
  <si>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</si>
  <si>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</si>
  <si>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</si>
  <si>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</si>
  <si>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</si>
  <si>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</si>
  <si>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</si>
  <si>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</si>
  <si>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</si>
  <si>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</si>
  <si>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</si>
  <si>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</si>
  <si>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</si>
  <si>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</si>
  <si>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</si>
  <si>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</si>
  <si>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</si>
  <si>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</si>
  <si>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</si>
  <si>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</si>
  <si>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</si>
  <si>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</si>
  <si>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</si>
  <si>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</si>
  <si>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</si>
  <si>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</si>
  <si>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</si>
  <si>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</si>
  <si>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</si>
  <si>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</si>
  <si>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</si>
  <si>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</si>
  <si>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</si>
  <si>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</si>
  <si>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</si>
  <si>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</si>
  <si>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</si>
  <si>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</si>
  <si>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</si>
  <si>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</si>
  <si>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</si>
  <si>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</si>
  <si>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</si>
  <si>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</si>
  <si>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</si>
  <si>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</si>
  <si>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</si>
  <si>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</si>
  <si>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</si>
  <si>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</si>
  <si>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</si>
  <si>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</si>
  <si>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</si>
  <si>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</si>
  <si>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</si>
  <si>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</si>
  <si>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</si>
  <si>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</si>
  <si>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</si>
  <si>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</si>
  <si>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</si>
  <si>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</si>
  <si>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</si>
  <si>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</si>
  <si>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</si>
  <si>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</si>
  <si>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</si>
  <si>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</si>
  <si>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</si>
  <si>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</si>
  <si>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</si>
  <si>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</si>
  <si>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</si>
  <si>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</si>
  <si>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</si>
  <si>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</si>
  <si>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</si>
  <si>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</si>
  <si>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</si>
  <si>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</si>
  <si>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</si>
  <si>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</si>
  <si>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</si>
  <si>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</si>
  <si>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</si>
  <si>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</si>
  <si>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</si>
  <si>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</si>
  <si>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</si>
  <si>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</si>
  <si>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</si>
  <si>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</si>
  <si>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</si>
  <si>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</si>
  <si>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</si>
  <si>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</si>
  <si>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</si>
  <si>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</si>
  <si>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</si>
  <si>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</si>
  <si>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</si>
  <si>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</si>
  <si>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</si>
  <si>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</si>
  <si>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</si>
  <si>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</si>
  <si>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</si>
  <si>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</si>
  <si>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</si>
  <si>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</si>
  <si>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</si>
  <si>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</si>
  <si>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</si>
  <si>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</si>
  <si>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</si>
  <si>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</si>
  <si>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</si>
  <si>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</si>
  <si>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</si>
  <si>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</si>
  <si>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</si>
  <si>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</si>
  <si>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</si>
  <si>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</si>
  <si>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</si>
  <si>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</si>
  <si>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</si>
  <si>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</si>
  <si>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</si>
  <si>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</si>
  <si>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</si>
  <si>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</si>
  <si>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</si>
  <si>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</si>
  <si>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</si>
  <si>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</si>
  <si>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</si>
  <si>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</si>
  <si>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</si>
  <si>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</si>
  <si>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</si>
  <si>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</si>
  <si>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</si>
  <si>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</si>
  <si>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</si>
  <si>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</si>
  <si>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</si>
  <si>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</si>
  <si>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</si>
  <si>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</si>
  <si>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</si>
  <si>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</si>
  <si>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</si>
  <si>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</si>
  <si>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</si>
  <si>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</si>
  <si>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</si>
  <si>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</si>
  <si>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</si>
  <si>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</si>
  <si>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</si>
  <si>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</si>
  <si>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</si>
  <si>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</si>
  <si>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</si>
  <si>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</si>
  <si>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</si>
  <si>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</si>
  <si>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</si>
  <si>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</si>
  <si>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</si>
  <si>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</si>
  <si>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</si>
  <si>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</si>
  <si>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</si>
  <si>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</si>
  <si>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</si>
  <si>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</si>
  <si>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</si>
  <si>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</si>
  <si>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</si>
  <si>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</si>
  <si>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</si>
  <si>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</si>
  <si>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</si>
  <si>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</si>
  <si>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</si>
  <si>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</si>
  <si>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</si>
  <si>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</si>
  <si>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</si>
  <si>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</si>
  <si>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</si>
  <si>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</si>
  <si>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</si>
  <si>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</si>
  <si>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</si>
  <si>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</si>
  <si>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</si>
  <si>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</si>
  <si>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</si>
  <si>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</si>
  <si>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</si>
  <si>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</si>
  <si>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</si>
  <si>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</si>
  <si>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</si>
  <si>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</si>
  <si>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</si>
  <si>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</si>
  <si>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</si>
  <si>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</si>
  <si>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</si>
  <si>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</si>
  <si>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</si>
  <si>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</si>
  <si>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</si>
  <si>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</si>
  <si>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</si>
  <si>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</si>
  <si>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</si>
  <si>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</si>
  <si>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</si>
  <si>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</si>
  <si>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</si>
  <si>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</si>
  <si>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中国石油股份</t>
    <phoneticPr fontId="2" type="noConversion"/>
  </si>
  <si>
    <t>0857.HK</t>
    <phoneticPr fontId="2" type="noConversion"/>
  </si>
  <si>
    <t>ENG_01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</si>
</sst>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328</v>
      </c>
      <c r="C5" s="339" t="s">
        <v>413</v>
      </c>
      <c r="D5" s="49" t="s">
        <v>414</v>
      </c>
    </row>
    <row r="6" spans="1:10" x14ac:dyDescent="0.35">
      <c r="B6" s="4" t="s">
        <v>96</v>
      </c>
      <c r="C6" s="50">
        <v>5.39</v>
      </c>
      <c r="D6" s="48" t="s">
        <v>41</v>
      </c>
      <c r="E6" s="48"/>
    </row>
    <row r="7" spans="1:10" x14ac:dyDescent="0.35">
      <c r="B7" s="4" t="s">
        <v>0</v>
      </c>
      <c r="C7" s="51">
        <v>183020977818</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986483.07043901994</v>
      </c>
      <c r="D10" s="32"/>
      <c r="E10" s="5"/>
    </row>
    <row r="11" spans="1:10" x14ac:dyDescent="0.35">
      <c r="D11" s="5"/>
      <c r="E11" s="5"/>
    </row>
    <row r="12" spans="1:10" ht="24.4" customHeight="1" x14ac:dyDescent="0.35">
      <c r="B12" s="341" t="s">
        <v>376</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Negative Growth </v>
      </c>
      <c r="E15" s="5"/>
    </row>
    <row r="16" spans="1:10" x14ac:dyDescent="0.35">
      <c r="B16" s="4" t="s">
        <v>361</v>
      </c>
      <c r="C16" s="48" t="s">
        <v>408</v>
      </c>
      <c r="D16" s="32"/>
      <c r="E16" s="5"/>
    </row>
    <row r="17" spans="1:6" x14ac:dyDescent="0.35">
      <c r="B17" s="4" t="s">
        <v>1</v>
      </c>
      <c r="C17" s="50">
        <v>1.06349396</v>
      </c>
      <c r="D17" s="32" t="str">
        <f>IF(C16=D6,D6,C16&amp;"/"&amp;D6)</f>
        <v>CNY/HKD</v>
      </c>
      <c r="E17" s="5"/>
    </row>
    <row r="18" spans="1:6" x14ac:dyDescent="0.35">
      <c r="B18" s="2" t="s">
        <v>57</v>
      </c>
      <c r="C18" s="48" t="s">
        <v>415</v>
      </c>
      <c r="E18" s="5"/>
    </row>
    <row r="19" spans="1:6" x14ac:dyDescent="0.35">
      <c r="B19" s="2" t="s">
        <v>280</v>
      </c>
      <c r="C19" s="255">
        <v>0.2</v>
      </c>
      <c r="E19" s="5"/>
    </row>
    <row r="20" spans="1:6" x14ac:dyDescent="0.35">
      <c r="B20" s="2" t="str">
        <f>"Target Buy Price ("&amp;Market_currency&amp;"):"</f>
        <v>Target Buy Price (HKD):</v>
      </c>
      <c r="C20" s="258">
        <f>C129</f>
        <v>5.6787033353656637</v>
      </c>
      <c r="D20" s="1" t="s">
        <v>319</v>
      </c>
      <c r="E20" s="336">
        <v>3</v>
      </c>
    </row>
    <row r="21" spans="1:6" x14ac:dyDescent="0.35">
      <c r="B21" s="1" t="s">
        <v>375</v>
      </c>
      <c r="C21" s="286">
        <f ca="1">Scenarios!C87</f>
        <v>0.22246108266706432</v>
      </c>
      <c r="D21" s="5"/>
      <c r="E21" s="5"/>
    </row>
    <row r="22" spans="1:6" x14ac:dyDescent="0.35">
      <c r="D22" s="5"/>
      <c r="E22" s="5"/>
    </row>
    <row r="23" spans="1:6" ht="13.9" x14ac:dyDescent="0.45">
      <c r="A23" s="253" t="s">
        <v>369</v>
      </c>
      <c r="B23" s="36"/>
      <c r="C23" s="36"/>
      <c r="D23" s="36"/>
      <c r="E23" s="36"/>
      <c r="F23" s="36"/>
    </row>
    <row r="25" spans="1:6" ht="24.4" customHeight="1" x14ac:dyDescent="0.35">
      <c r="B25" s="341" t="s">
        <v>377</v>
      </c>
      <c r="C25" s="341"/>
      <c r="D25" s="341"/>
      <c r="E25" s="341"/>
      <c r="F25" s="341"/>
    </row>
    <row r="26" spans="1:6" ht="24.4" customHeight="1" x14ac:dyDescent="0.35">
      <c r="B26" s="343" t="s">
        <v>353</v>
      </c>
      <c r="C26" s="343"/>
      <c r="D26" s="343"/>
      <c r="E26" s="343"/>
      <c r="F26" s="343"/>
    </row>
    <row r="28" spans="1:6" x14ac:dyDescent="0.35">
      <c r="B28" s="240" t="s">
        <v>232</v>
      </c>
      <c r="C28" s="111">
        <f>Data!C3</f>
        <v>1000000</v>
      </c>
    </row>
    <row r="29" spans="1:6" ht="24.4" customHeight="1" x14ac:dyDescent="0.35">
      <c r="B29" s="342" t="s">
        <v>233</v>
      </c>
      <c r="C29" s="342"/>
      <c r="D29" s="342"/>
      <c r="E29" s="342"/>
      <c r="F29" s="342"/>
    </row>
    <row r="30" spans="1:6" x14ac:dyDescent="0.35">
      <c r="B30" s="47" t="s">
        <v>234</v>
      </c>
      <c r="C30" s="191">
        <f>Normalized_FCF!C8</f>
        <v>226678.52464455273</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229584</v>
      </c>
      <c r="D33" s="1" t="str">
        <f>Reporting_currency</f>
        <v>CNY</v>
      </c>
    </row>
    <row r="34" spans="2:6" x14ac:dyDescent="0.35">
      <c r="B34" s="52" t="s">
        <v>237</v>
      </c>
      <c r="C34" s="191">
        <f>Normalized_FCF!C10</f>
        <v>-252845.35040534919</v>
      </c>
      <c r="D34" s="1" t="str">
        <f>Reporting_currency</f>
        <v>CNY</v>
      </c>
    </row>
    <row r="36" spans="2:6" x14ac:dyDescent="0.35">
      <c r="B36" s="342" t="s">
        <v>238</v>
      </c>
      <c r="C36" s="342"/>
      <c r="D36" s="342"/>
      <c r="E36" s="342"/>
      <c r="F36" s="342"/>
    </row>
    <row r="37" spans="2:6" x14ac:dyDescent="0.35">
      <c r="B37" s="47" t="s">
        <v>239</v>
      </c>
      <c r="C37" s="191">
        <f>Normalized_FCF!C11</f>
        <v>18538.000000000004</v>
      </c>
      <c r="D37" s="1" t="str">
        <f>Reporting_currency</f>
        <v>CNY</v>
      </c>
    </row>
    <row r="39" spans="2:6" x14ac:dyDescent="0.35">
      <c r="B39" s="342" t="s">
        <v>242</v>
      </c>
      <c r="C39" s="342"/>
      <c r="D39" s="342"/>
      <c r="E39" s="342"/>
      <c r="F39" s="342"/>
    </row>
    <row r="40" spans="2:6" x14ac:dyDescent="0.35">
      <c r="B40" s="47" t="s">
        <v>354</v>
      </c>
      <c r="C40" s="328">
        <f>Normalized_FCF!C48</f>
        <v>6666.227894779714</v>
      </c>
      <c r="D40" s="1" t="str">
        <f>Reporting_currency</f>
        <v>CNY</v>
      </c>
      <c r="E40" s="327"/>
      <c r="F40" s="327"/>
    </row>
    <row r="41" spans="2:6" x14ac:dyDescent="0.35">
      <c r="B41" s="47" t="s">
        <v>355</v>
      </c>
      <c r="C41" s="328">
        <f>Normalized_FCF!C47</f>
        <v>-24063</v>
      </c>
      <c r="D41" s="1" t="str">
        <f>Reporting_currency</f>
        <v>CNY</v>
      </c>
      <c r="E41" s="327"/>
      <c r="F41" s="327"/>
    </row>
    <row r="42" spans="2:6" x14ac:dyDescent="0.35">
      <c r="B42" s="47" t="s">
        <v>240</v>
      </c>
      <c r="C42" s="191">
        <f>Normalized_FCF!C12</f>
        <v>-17396.772105220287</v>
      </c>
      <c r="D42" s="1" t="str">
        <f>Reporting_currency</f>
        <v>CNY</v>
      </c>
    </row>
    <row r="44" spans="2:6" x14ac:dyDescent="0.35">
      <c r="B44" s="1" t="s">
        <v>248</v>
      </c>
    </row>
    <row r="45" spans="2:6" x14ac:dyDescent="0.35">
      <c r="B45" s="47" t="s">
        <v>268</v>
      </c>
      <c r="C45" s="191">
        <f>Normalized_FCF!C15</f>
        <v>-15629.449081156103</v>
      </c>
      <c r="D45" s="1" t="str">
        <f>Reporting_currency</f>
        <v>CNY</v>
      </c>
    </row>
    <row r="47" spans="2:6" x14ac:dyDescent="0.35">
      <c r="B47" s="342" t="s">
        <v>243</v>
      </c>
      <c r="C47" s="342"/>
      <c r="D47" s="342"/>
      <c r="E47" s="342"/>
      <c r="F47" s="342"/>
    </row>
    <row r="48" spans="2:6" x14ac:dyDescent="0.35">
      <c r="B48" s="47" t="s">
        <v>241</v>
      </c>
      <c r="C48" s="191">
        <f>Normalized_FCF!C14</f>
        <v>-56954.938134833108</v>
      </c>
      <c r="D48" s="1" t="str">
        <f>Reporting_currency</f>
        <v>CNY</v>
      </c>
    </row>
    <row r="50" spans="1:6" x14ac:dyDescent="0.35">
      <c r="B50" s="342" t="s">
        <v>352</v>
      </c>
      <c r="C50" s="345"/>
      <c r="D50" s="345"/>
      <c r="E50" s="345"/>
      <c r="F50" s="345"/>
    </row>
    <row r="51" spans="1:6" x14ac:dyDescent="0.35">
      <c r="B51" s="47" t="s">
        <v>244</v>
      </c>
      <c r="C51" s="1">
        <f>Normalized_FCF!C17</f>
        <v>0</v>
      </c>
      <c r="D51" s="1" t="str">
        <f>Reporting_currency</f>
        <v>CNY</v>
      </c>
    </row>
    <row r="53" spans="1:6" ht="24.4" customHeight="1" x14ac:dyDescent="0.35">
      <c r="B53" s="341" t="s">
        <v>357</v>
      </c>
      <c r="C53" s="341"/>
      <c r="D53" s="341"/>
      <c r="E53" s="341"/>
      <c r="F53" s="341"/>
    </row>
    <row r="54" spans="1:6" ht="24.4" customHeight="1" x14ac:dyDescent="0.35">
      <c r="B54" s="341" t="s">
        <v>378</v>
      </c>
      <c r="C54" s="341"/>
      <c r="D54" s="341"/>
      <c r="E54" s="341"/>
      <c r="F54" s="341"/>
    </row>
    <row r="56" spans="1:6" x14ac:dyDescent="0.35">
      <c r="B56" s="47" t="s">
        <v>273</v>
      </c>
      <c r="C56" s="191">
        <f>Normalized_FCF!G19</f>
        <v>305486.2278947797</v>
      </c>
      <c r="D56" s="1" t="str">
        <f>Reporting_currency</f>
        <v>CNY</v>
      </c>
    </row>
    <row r="57" spans="1:6" x14ac:dyDescent="0.35">
      <c r="B57" s="47" t="s">
        <v>250</v>
      </c>
      <c r="C57" s="191">
        <f>Normalized_FCF!C19</f>
        <v>131974.01491799403</v>
      </c>
      <c r="D57" s="1" t="str">
        <f>Reporting_currency</f>
        <v>CNY</v>
      </c>
    </row>
    <row r="58" spans="1:6" x14ac:dyDescent="0.35">
      <c r="B58" s="260" t="s">
        <v>407</v>
      </c>
      <c r="C58" s="94">
        <f>Normalized_FCF!C125</f>
        <v>0.14227671203700865</v>
      </c>
    </row>
    <row r="59" spans="1:6" x14ac:dyDescent="0.35">
      <c r="B59" s="260" t="s">
        <v>320</v>
      </c>
      <c r="C59" s="94">
        <f>Normalized_FCF!C93</f>
        <v>8.1992488015582468E-2</v>
      </c>
    </row>
    <row r="61" spans="1:6" ht="13.9" x14ac:dyDescent="0.45">
      <c r="A61" s="253" t="s">
        <v>370</v>
      </c>
      <c r="B61" s="36"/>
      <c r="C61" s="36"/>
      <c r="D61" s="36"/>
      <c r="E61" s="36"/>
      <c r="F61" s="36"/>
    </row>
    <row r="62" spans="1:6" x14ac:dyDescent="0.35">
      <c r="A62" s="239"/>
    </row>
    <row r="63" spans="1:6" ht="24.4" customHeight="1" x14ac:dyDescent="0.35">
      <c r="A63" s="17"/>
      <c r="B63" s="341" t="s">
        <v>379</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371</v>
      </c>
      <c r="C72" s="125"/>
    </row>
    <row r="73" spans="1:6" ht="24.4" customHeight="1" x14ac:dyDescent="0.35">
      <c r="B73" s="341" t="s">
        <v>380</v>
      </c>
      <c r="C73" s="341"/>
      <c r="D73" s="341"/>
      <c r="E73" s="341"/>
      <c r="F73" s="341"/>
    </row>
    <row r="74" spans="1:6" ht="24.4" customHeight="1" x14ac:dyDescent="0.35">
      <c r="B74" s="341" t="s">
        <v>381</v>
      </c>
      <c r="C74" s="341"/>
      <c r="D74" s="341"/>
      <c r="E74" s="341"/>
      <c r="F74" s="341"/>
    </row>
    <row r="76" spans="1:6" x14ac:dyDescent="0.35">
      <c r="B76" s="47" t="s">
        <v>253</v>
      </c>
      <c r="C76" s="269">
        <v>0</v>
      </c>
    </row>
    <row r="77" spans="1:6" x14ac:dyDescent="0.35">
      <c r="B77" s="47" t="s">
        <v>287</v>
      </c>
      <c r="C77" s="254">
        <f>Valuation_Model!C6*C28*Exchange_Rate/Common_Shares</f>
        <v>9.5858934734934564</v>
      </c>
      <c r="D77" s="1" t="str">
        <f>Market_currency</f>
        <v>HKD</v>
      </c>
    </row>
    <row r="79" spans="1:6" ht="13.9" x14ac:dyDescent="0.45">
      <c r="A79" s="253" t="s">
        <v>372</v>
      </c>
      <c r="B79" s="36"/>
      <c r="C79" s="36"/>
      <c r="D79" s="36"/>
      <c r="E79" s="36"/>
      <c r="F79" s="36"/>
    </row>
    <row r="80" spans="1:6" x14ac:dyDescent="0.35">
      <c r="A80" s="239"/>
    </row>
    <row r="81" spans="2:6" x14ac:dyDescent="0.35">
      <c r="B81" s="341" t="s">
        <v>382</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245714</v>
      </c>
      <c r="D86" s="1" t="str">
        <f>Reporting_currency</f>
        <v>CNY</v>
      </c>
    </row>
    <row r="87" spans="2:6" x14ac:dyDescent="0.35">
      <c r="B87" s="47" t="s">
        <v>288</v>
      </c>
      <c r="C87" s="254">
        <f>C86*C28*Exchange_Rate/Common_Shares</f>
        <v>1.4277890873651522</v>
      </c>
      <c r="D87" s="1" t="str">
        <f>Market_currency</f>
        <v>HKD</v>
      </c>
    </row>
    <row r="89" spans="2:6" x14ac:dyDescent="0.35">
      <c r="B89" s="1" t="s">
        <v>256</v>
      </c>
    </row>
    <row r="90" spans="2:6" x14ac:dyDescent="0.35">
      <c r="B90" s="47" t="s">
        <v>267</v>
      </c>
      <c r="C90" s="191">
        <f>BS!C66</f>
        <v>238880</v>
      </c>
      <c r="D90" s="1" t="str">
        <f>Reporting_currency</f>
        <v>CNY</v>
      </c>
    </row>
    <row r="91" spans="2:6" x14ac:dyDescent="0.35">
      <c r="B91" s="47" t="s">
        <v>269</v>
      </c>
      <c r="C91" s="191">
        <f>Valuation_Model!C8</f>
        <v>46208.672776167194</v>
      </c>
      <c r="D91" s="1" t="str">
        <f>Reporting_currency</f>
        <v>CNY</v>
      </c>
    </row>
    <row r="92" spans="2:6" x14ac:dyDescent="0.35">
      <c r="B92" s="47" t="s">
        <v>289</v>
      </c>
      <c r="C92" s="254">
        <f>C91*C28*Exchange_Rate/Common_Shares</f>
        <v>0.26850826054453025</v>
      </c>
      <c r="D92" s="1" t="str">
        <f>Market_currency</f>
        <v>HKD</v>
      </c>
    </row>
    <row r="94" spans="2:6" x14ac:dyDescent="0.35">
      <c r="B94" s="1" t="s">
        <v>258</v>
      </c>
    </row>
    <row r="95" spans="2:6" x14ac:dyDescent="0.35">
      <c r="B95" s="47" t="s">
        <v>259</v>
      </c>
      <c r="C95" s="191">
        <f>Valuation_Model!C9</f>
        <v>6352.8</v>
      </c>
      <c r="D95" s="1" t="str">
        <f>Reporting_currency</f>
        <v>CNY</v>
      </c>
    </row>
    <row r="96" spans="2:6" x14ac:dyDescent="0.35">
      <c r="B96" s="47" t="s">
        <v>290</v>
      </c>
      <c r="C96" s="254">
        <f>C95*C28*Exchange_Rate/Common_Shares</f>
        <v>3.6914699667960876E-2</v>
      </c>
      <c r="D96" s="1" t="str">
        <f>Market_currency</f>
        <v>HKD</v>
      </c>
    </row>
    <row r="98" spans="1:6" ht="24.4" customHeight="1" x14ac:dyDescent="0.35">
      <c r="B98" s="341" t="s">
        <v>383</v>
      </c>
      <c r="C98" s="341"/>
      <c r="D98" s="341"/>
      <c r="E98" s="341"/>
      <c r="F98" s="341"/>
    </row>
    <row r="100" spans="1:6" x14ac:dyDescent="0.35">
      <c r="B100" s="47" t="s">
        <v>286</v>
      </c>
      <c r="C100" s="254">
        <f>Valuation_Model!C12</f>
        <v>8.463527346340797</v>
      </c>
      <c r="D100" s="1" t="str">
        <f>Market_currency</f>
        <v>HKD</v>
      </c>
    </row>
    <row r="102" spans="1:6" ht="13.9" x14ac:dyDescent="0.45">
      <c r="A102" s="253" t="s">
        <v>373</v>
      </c>
      <c r="B102" s="36"/>
      <c r="C102" s="36"/>
      <c r="D102" s="36"/>
      <c r="E102" s="36"/>
      <c r="F102" s="36"/>
    </row>
    <row r="104" spans="1:6" ht="24.4" customHeight="1" x14ac:dyDescent="0.35">
      <c r="B104" s="342" t="s">
        <v>384</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10.51 HKD</v>
      </c>
      <c r="F107" s="265">
        <f>Valuation_Model!F74</f>
        <v>0.05</v>
      </c>
    </row>
    <row r="108" spans="1:6" x14ac:dyDescent="0.35">
      <c r="B108" s="248" t="str">
        <f>Valuation_Model!B75</f>
        <v>Optimistic</v>
      </c>
      <c r="C108" s="249">
        <f>Valuation_Model!C75</f>
        <v>0.02</v>
      </c>
      <c r="D108" s="250">
        <f>Valuation_Model!D75</f>
        <v>5</v>
      </c>
      <c r="E108" s="251" t="str">
        <f>ROUND(Valuation_Model!E75,2)&amp;" "&amp;Market_currency</f>
        <v>8.77 HKD</v>
      </c>
      <c r="F108" s="252">
        <f>Valuation_Model!F75</f>
        <v>0.18</v>
      </c>
    </row>
    <row r="109" spans="1:6" x14ac:dyDescent="0.35">
      <c r="B109" s="248" t="str">
        <f>Valuation_Model!B76</f>
        <v>Base</v>
      </c>
      <c r="C109" s="249">
        <f>Valuation_Model!C76</f>
        <v>0</v>
      </c>
      <c r="D109" s="250">
        <f>Valuation_Model!D76</f>
        <v>5</v>
      </c>
      <c r="E109" s="251" t="str">
        <f>ROUND(Valuation_Model!E76,2)&amp;" "&amp;Market_currency</f>
        <v>8.46 HKD</v>
      </c>
      <c r="F109" s="252">
        <f>Valuation_Model!F76</f>
        <v>0.53999999999999992</v>
      </c>
    </row>
    <row r="110" spans="1:6" x14ac:dyDescent="0.35">
      <c r="B110" s="248" t="str">
        <f>Valuation_Model!B77</f>
        <v>Pessimistic</v>
      </c>
      <c r="C110" s="249">
        <f>Valuation_Model!C77</f>
        <v>-0.1</v>
      </c>
      <c r="D110" s="250">
        <f>Valuation_Model!D77</f>
        <v>5</v>
      </c>
      <c r="E110" s="251" t="str">
        <f>ROUND(Valuation_Model!E77,2)&amp;" "&amp;Market_currency</f>
        <v>7.04 HKD</v>
      </c>
      <c r="F110" s="252">
        <f>Valuation_Model!F77</f>
        <v>0.18</v>
      </c>
    </row>
    <row r="111" spans="1:6" x14ac:dyDescent="0.35">
      <c r="B111" s="248" t="str">
        <f>Valuation_Model!B78</f>
        <v>Devil's advocate</v>
      </c>
      <c r="C111" s="249">
        <f>Valuation_Model!C78</f>
        <v>-0.15</v>
      </c>
      <c r="D111" s="250">
        <f>Valuation_Model!D78</f>
        <v>10</v>
      </c>
      <c r="E111" s="251" t="str">
        <f>ROUND(Valuation_Model!E78,2)&amp;" "&amp;Market_currency</f>
        <v>5.23 HKD</v>
      </c>
      <c r="F111" s="252">
        <f>Valuation_Model!F78</f>
        <v>0.05</v>
      </c>
    </row>
    <row r="113" spans="1:6" x14ac:dyDescent="0.35">
      <c r="B113" s="241" t="s">
        <v>260</v>
      </c>
      <c r="C113" s="247">
        <f>Scenarios!C60</f>
        <v>8.2041395456413451</v>
      </c>
      <c r="D113" s="242" t="str">
        <f>Market_currency</f>
        <v>HKD</v>
      </c>
    </row>
    <row r="115" spans="1:6" ht="24.4" customHeight="1" x14ac:dyDescent="0.35">
      <c r="B115" s="346" t="s">
        <v>387</v>
      </c>
      <c r="C115" s="346"/>
      <c r="D115" s="346"/>
      <c r="E115" s="346"/>
      <c r="F115" s="346"/>
    </row>
    <row r="117" spans="1:6" ht="13.9" x14ac:dyDescent="0.45">
      <c r="A117" s="253" t="s">
        <v>374</v>
      </c>
      <c r="B117" s="36"/>
      <c r="C117" s="36"/>
      <c r="D117" s="36"/>
      <c r="E117" s="36"/>
      <c r="F117" s="36"/>
    </row>
    <row r="119" spans="1:6" x14ac:dyDescent="0.35">
      <c r="B119" s="344" t="s">
        <v>385</v>
      </c>
      <c r="C119" s="344"/>
      <c r="D119" s="344"/>
      <c r="E119" s="344"/>
      <c r="F119" s="344"/>
    </row>
    <row r="120" spans="1:6" ht="24.4" customHeight="1" x14ac:dyDescent="0.35">
      <c r="B120" s="341" t="s">
        <v>386</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0.44193951040398949</v>
      </c>
      <c r="D124" s="242" t="str">
        <f>Market_currency</f>
        <v>HKD</v>
      </c>
    </row>
    <row r="126" spans="1:6" x14ac:dyDescent="0.35">
      <c r="B126" s="240" t="s">
        <v>265</v>
      </c>
    </row>
    <row r="127" spans="1:6" x14ac:dyDescent="0.35">
      <c r="B127" s="242" t="str">
        <f>"PV("&amp;C122&amp;" yrs of Dividends)"</f>
        <v>PV(3 yrs of Dividends)</v>
      </c>
      <c r="C127" s="246">
        <f>Scenarios!C81</f>
        <v>0.93093739460099634</v>
      </c>
    </row>
    <row r="128" spans="1:6" x14ac:dyDescent="0.35">
      <c r="B128" s="242" t="str">
        <f>"+ PV(Equity Value realized at year "&amp;C122&amp;")"</f>
        <v>+ PV(Equity Value realized at year 3)</v>
      </c>
      <c r="C128" s="246">
        <f>Scenarios!C82</f>
        <v>4.7477659407646673</v>
      </c>
    </row>
    <row r="129" spans="1:6" x14ac:dyDescent="0.35">
      <c r="B129" s="82" t="s">
        <v>262</v>
      </c>
      <c r="C129" s="245">
        <f>Scenarios!C83</f>
        <v>5.6787033353656637</v>
      </c>
      <c r="D129" s="47" t="str">
        <f>Reporting_currency</f>
        <v>CNY</v>
      </c>
    </row>
    <row r="130" spans="1:6" x14ac:dyDescent="0.35">
      <c r="B130" s="244" t="s">
        <v>264</v>
      </c>
      <c r="C130" s="94">
        <f>Scenarios!F83</f>
        <v>0.30782462880185679</v>
      </c>
    </row>
    <row r="132" spans="1:6" ht="13.9" x14ac:dyDescent="0.45">
      <c r="A132" s="253" t="s">
        <v>391</v>
      </c>
      <c r="B132" s="36"/>
      <c r="C132" s="36"/>
      <c r="D132" s="36"/>
      <c r="E132" s="36"/>
      <c r="F132" s="36"/>
    </row>
    <row r="134" spans="1:6" x14ac:dyDescent="0.35">
      <c r="B134" s="348" t="s">
        <v>393</v>
      </c>
      <c r="C134" s="341"/>
      <c r="D134" s="341"/>
      <c r="E134" s="341"/>
      <c r="F134" s="341"/>
    </row>
    <row r="136" spans="1:6" x14ac:dyDescent="0.35">
      <c r="B136" s="240" t="s">
        <v>392</v>
      </c>
    </row>
    <row r="137" spans="1:6" x14ac:dyDescent="0.35">
      <c r="B137" s="345" t="s">
        <v>397</v>
      </c>
      <c r="C137" s="345"/>
      <c r="D137" s="345"/>
      <c r="E137" s="345"/>
      <c r="F137" s="345"/>
    </row>
    <row r="138" spans="1:6" x14ac:dyDescent="0.35">
      <c r="B138" s="244" t="s">
        <v>394</v>
      </c>
    </row>
    <row r="139" spans="1:6" x14ac:dyDescent="0.35">
      <c r="B139" s="244" t="s">
        <v>395</v>
      </c>
    </row>
    <row r="140" spans="1:6" x14ac:dyDescent="0.35">
      <c r="B140" s="244" t="s">
        <v>396</v>
      </c>
    </row>
    <row r="142" spans="1:6" x14ac:dyDescent="0.35">
      <c r="B142" s="1" t="s">
        <v>401</v>
      </c>
    </row>
    <row r="143" spans="1:6" ht="46.5" customHeight="1" x14ac:dyDescent="0.35">
      <c r="B143" s="342" t="s">
        <v>398</v>
      </c>
      <c r="C143" s="342"/>
      <c r="D143" s="342"/>
      <c r="E143" s="342"/>
      <c r="F143" s="342"/>
    </row>
    <row r="145" spans="2:6" x14ac:dyDescent="0.35">
      <c r="B145" s="1" t="s">
        <v>402</v>
      </c>
    </row>
    <row r="146" spans="2:6" ht="24.4" customHeight="1" x14ac:dyDescent="0.35">
      <c r="B146" s="347" t="s">
        <v>399</v>
      </c>
      <c r="C146" s="347"/>
      <c r="D146" s="347"/>
      <c r="E146" s="347"/>
      <c r="F146" s="347"/>
    </row>
    <row r="147" spans="2:6" ht="24.4" customHeight="1" x14ac:dyDescent="0.35">
      <c r="B147" s="347" t="s">
        <v>400</v>
      </c>
      <c r="C147" s="347"/>
      <c r="D147" s="347"/>
      <c r="E147" s="347"/>
      <c r="F147" s="347"/>
    </row>
    <row r="149" spans="2:6" x14ac:dyDescent="0.35">
      <c r="B149" s="1" t="s">
        <v>406</v>
      </c>
    </row>
    <row r="150" spans="2:6" x14ac:dyDescent="0.35">
      <c r="B150" s="244" t="s">
        <v>403</v>
      </c>
    </row>
    <row r="151" spans="2:6" x14ac:dyDescent="0.35">
      <c r="B151" s="244" t="s">
        <v>404</v>
      </c>
    </row>
    <row r="152" spans="2:6" x14ac:dyDescent="0.35">
      <c r="B152" s="244"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6" sqref="D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3011012</v>
      </c>
      <c r="D4" s="184">
        <v>3239167</v>
      </c>
      <c r="E4" s="184">
        <v>1851487</v>
      </c>
      <c r="F4" s="184">
        <v>1729735</v>
      </c>
      <c r="G4" s="184"/>
      <c r="H4" s="184"/>
      <c r="I4" s="184"/>
      <c r="J4" s="184"/>
      <c r="K4" s="184"/>
      <c r="L4" s="184"/>
      <c r="M4" s="184"/>
    </row>
    <row r="5" spans="2:13" x14ac:dyDescent="0.35">
      <c r="B5" s="40" t="s">
        <v>44</v>
      </c>
      <c r="C5" s="193">
        <v>2302385</v>
      </c>
      <c r="D5" s="184">
        <v>2527935</v>
      </c>
      <c r="E5" s="184">
        <v>1379524</v>
      </c>
      <c r="F5" s="184">
        <v>1278781</v>
      </c>
      <c r="G5" s="184"/>
      <c r="H5" s="184"/>
      <c r="I5" s="184"/>
      <c r="J5" s="184"/>
      <c r="K5" s="184"/>
      <c r="L5" s="184"/>
      <c r="M5" s="184"/>
    </row>
    <row r="6" spans="2:13" x14ac:dyDescent="0.35">
      <c r="B6" s="40" t="s">
        <v>55</v>
      </c>
      <c r="C6" s="193">
        <v>420298</v>
      </c>
      <c r="D6" s="184">
        <v>395706</v>
      </c>
      <c r="E6" s="184">
        <v>296185</v>
      </c>
      <c r="F6" s="184">
        <v>285968</v>
      </c>
      <c r="G6" s="184"/>
      <c r="H6" s="184"/>
      <c r="I6" s="184"/>
      <c r="J6" s="184"/>
      <c r="K6" s="184"/>
      <c r="L6" s="184"/>
      <c r="M6" s="184"/>
    </row>
    <row r="7" spans="2:13" x14ac:dyDescent="0.35">
      <c r="B7" s="70" t="s">
        <v>62</v>
      </c>
      <c r="C7" s="194">
        <v>70260</v>
      </c>
      <c r="D7" s="192">
        <v>68352</v>
      </c>
      <c r="E7" s="192">
        <v>48552</v>
      </c>
      <c r="F7" s="192">
        <v>47670</v>
      </c>
      <c r="G7" s="192"/>
      <c r="H7" s="192"/>
      <c r="I7" s="192"/>
      <c r="J7" s="192"/>
      <c r="K7" s="192"/>
      <c r="L7" s="192"/>
      <c r="M7" s="192"/>
    </row>
    <row r="8" spans="2:13" x14ac:dyDescent="0.35">
      <c r="B8" s="40" t="s">
        <v>50</v>
      </c>
      <c r="C8" s="193">
        <v>21957</v>
      </c>
      <c r="D8" s="184">
        <v>20016</v>
      </c>
      <c r="E8" s="184">
        <v>16796</v>
      </c>
      <c r="F8" s="184">
        <v>15217</v>
      </c>
      <c r="G8" s="184"/>
      <c r="H8" s="184"/>
      <c r="I8" s="184"/>
      <c r="J8" s="184"/>
      <c r="K8" s="184"/>
      <c r="L8" s="184"/>
      <c r="M8" s="184"/>
    </row>
    <row r="9" spans="2:13" x14ac:dyDescent="0.35">
      <c r="B9" s="40" t="s">
        <v>161</v>
      </c>
      <c r="C9" s="193">
        <v>18538</v>
      </c>
      <c r="D9" s="184">
        <v>15251</v>
      </c>
      <c r="E9" s="184">
        <v>12877</v>
      </c>
      <c r="F9" s="184">
        <v>11296</v>
      </c>
      <c r="G9" s="184"/>
      <c r="H9" s="184"/>
      <c r="I9" s="184"/>
      <c r="J9" s="184"/>
      <c r="K9" s="184"/>
      <c r="L9" s="184"/>
      <c r="M9" s="184"/>
    </row>
    <row r="10" spans="2:13" x14ac:dyDescent="0.35">
      <c r="B10" s="40" t="s">
        <v>169</v>
      </c>
      <c r="C10" s="184">
        <v>0</v>
      </c>
      <c r="D10" s="184">
        <v>0</v>
      </c>
      <c r="E10" s="184">
        <v>0</v>
      </c>
      <c r="F10" s="184">
        <v>0</v>
      </c>
      <c r="G10" s="184"/>
      <c r="H10" s="184"/>
      <c r="I10" s="184"/>
      <c r="J10" s="184"/>
      <c r="K10" s="184"/>
      <c r="L10" s="184"/>
      <c r="M10" s="184"/>
    </row>
    <row r="11" spans="2:13" x14ac:dyDescent="0.35">
      <c r="B11" s="40" t="s">
        <v>160</v>
      </c>
      <c r="C11" s="193">
        <v>0</v>
      </c>
      <c r="D11" s="184">
        <v>0</v>
      </c>
      <c r="E11" s="184">
        <v>0</v>
      </c>
      <c r="F11" s="184">
        <v>0</v>
      </c>
      <c r="G11" s="184"/>
      <c r="H11" s="184"/>
      <c r="I11" s="184"/>
      <c r="J11" s="184"/>
      <c r="K11" s="184"/>
      <c r="L11" s="184"/>
      <c r="M11" s="184"/>
    </row>
    <row r="12" spans="2:13" x14ac:dyDescent="0.35">
      <c r="B12" s="40" t="s">
        <v>39</v>
      </c>
      <c r="C12" s="193">
        <v>24063</v>
      </c>
      <c r="D12" s="184">
        <v>21554</v>
      </c>
      <c r="E12" s="184">
        <v>14912</v>
      </c>
      <c r="F12" s="184">
        <v>15097</v>
      </c>
      <c r="G12" s="184"/>
      <c r="H12" s="184"/>
      <c r="I12" s="184"/>
      <c r="J12" s="184"/>
      <c r="K12" s="184"/>
      <c r="L12" s="184"/>
      <c r="M12" s="184"/>
    </row>
    <row r="13" spans="2:13" x14ac:dyDescent="0.35">
      <c r="B13" s="40" t="s">
        <v>68</v>
      </c>
      <c r="C13" s="193">
        <v>8265</v>
      </c>
      <c r="D13" s="184">
        <v>4738</v>
      </c>
      <c r="E13" s="184">
        <v>1960</v>
      </c>
      <c r="F13" s="184">
        <v>1732</v>
      </c>
      <c r="G13" s="184"/>
      <c r="H13" s="184"/>
      <c r="I13" s="184"/>
      <c r="J13" s="184"/>
      <c r="K13" s="184"/>
      <c r="L13" s="184"/>
      <c r="M13" s="184"/>
    </row>
    <row r="14" spans="2:13" x14ac:dyDescent="0.35">
      <c r="B14" s="40" t="s">
        <v>51</v>
      </c>
      <c r="C14" s="193">
        <v>57167</v>
      </c>
      <c r="D14" s="184">
        <v>49929</v>
      </c>
      <c r="E14" s="184">
        <v>24138</v>
      </c>
      <c r="F14" s="184">
        <v>17067</v>
      </c>
      <c r="G14" s="184"/>
      <c r="H14" s="184"/>
      <c r="I14" s="184"/>
      <c r="J14" s="184"/>
      <c r="K14" s="184"/>
      <c r="L14" s="184"/>
      <c r="M14" s="184"/>
    </row>
    <row r="15" spans="2:13" x14ac:dyDescent="0.35">
      <c r="B15" s="43" t="s">
        <v>43</v>
      </c>
      <c r="C15" s="195">
        <v>180291</v>
      </c>
      <c r="D15" s="185">
        <v>163343</v>
      </c>
      <c r="E15" s="185">
        <v>132394</v>
      </c>
      <c r="F15" s="185">
        <v>129018</v>
      </c>
      <c r="G15" s="185"/>
      <c r="H15" s="185"/>
      <c r="I15" s="185"/>
      <c r="J15" s="185"/>
      <c r="K15" s="185"/>
      <c r="L15" s="185"/>
      <c r="M15" s="185"/>
    </row>
    <row r="16" spans="2:13" x14ac:dyDescent="0.35">
      <c r="B16" s="28" t="s">
        <v>45</v>
      </c>
      <c r="C16" s="193">
        <v>19147</v>
      </c>
      <c r="D16" s="184">
        <v>14605</v>
      </c>
      <c r="E16" s="184">
        <v>0</v>
      </c>
      <c r="F16" s="184">
        <v>0</v>
      </c>
      <c r="G16" s="184"/>
      <c r="H16" s="184"/>
      <c r="I16" s="184"/>
      <c r="J16" s="184"/>
      <c r="K16" s="184"/>
      <c r="L16" s="184"/>
      <c r="M16" s="184"/>
    </row>
    <row r="18" spans="2:13" x14ac:dyDescent="0.35">
      <c r="B18" s="16" t="s">
        <v>52</v>
      </c>
      <c r="C18" s="9"/>
    </row>
    <row r="19" spans="2:13" x14ac:dyDescent="0.35">
      <c r="B19" s="27" t="s">
        <v>48</v>
      </c>
      <c r="C19" s="184">
        <v>229584</v>
      </c>
      <c r="D19" s="184">
        <v>222648</v>
      </c>
      <c r="E19" s="184">
        <v>238036</v>
      </c>
      <c r="F19" s="184">
        <v>236818</v>
      </c>
      <c r="G19" s="184"/>
      <c r="H19" s="184"/>
      <c r="I19" s="184"/>
      <c r="J19" s="184"/>
      <c r="K19" s="184"/>
      <c r="L19" s="184"/>
      <c r="M19" s="184"/>
    </row>
    <row r="20" spans="2:13" x14ac:dyDescent="0.35">
      <c r="B20" s="27" t="s">
        <v>54</v>
      </c>
      <c r="C20" s="184">
        <v>115297</v>
      </c>
      <c r="D20" s="184">
        <v>282508</v>
      </c>
      <c r="E20" s="184">
        <v>245237</v>
      </c>
      <c r="F20" s="184">
        <v>265563</v>
      </c>
      <c r="G20" s="184"/>
      <c r="H20" s="184"/>
      <c r="I20" s="184"/>
      <c r="J20" s="184"/>
      <c r="K20" s="184"/>
      <c r="L20" s="184"/>
      <c r="M20" s="184"/>
    </row>
    <row r="21" spans="2:13" x14ac:dyDescent="0.35">
      <c r="B21" s="27" t="s">
        <v>53</v>
      </c>
      <c r="C21" s="184">
        <v>31061</v>
      </c>
      <c r="D21" s="184">
        <v>3456</v>
      </c>
      <c r="E21" s="184">
        <v>46237</v>
      </c>
      <c r="F21" s="184">
        <v>34899</v>
      </c>
      <c r="G21" s="184"/>
      <c r="H21" s="184"/>
      <c r="I21" s="184"/>
      <c r="J21" s="184"/>
      <c r="K21" s="184"/>
      <c r="L21" s="184"/>
      <c r="M21" s="184"/>
    </row>
    <row r="22" spans="2:13" x14ac:dyDescent="0.35">
      <c r="B22" s="27" t="s">
        <v>388</v>
      </c>
      <c r="C22" s="184">
        <v>456596</v>
      </c>
      <c r="D22" s="184">
        <v>393768</v>
      </c>
      <c r="E22" s="184">
        <v>276599</v>
      </c>
      <c r="F22" s="184">
        <v>256657</v>
      </c>
      <c r="G22" s="184"/>
      <c r="H22" s="184"/>
      <c r="I22" s="184"/>
      <c r="J22" s="184"/>
      <c r="K22" s="184"/>
      <c r="L22" s="184"/>
      <c r="M22" s="184"/>
    </row>
    <row r="23" spans="2:13" x14ac:dyDescent="0.35">
      <c r="B23" s="27" t="s">
        <v>390</v>
      </c>
      <c r="C23" s="184">
        <v>-255789</v>
      </c>
      <c r="D23" s="184">
        <v>-232971</v>
      </c>
      <c r="E23" s="184">
        <v>-149026</v>
      </c>
      <c r="F23" s="184">
        <v>-140250</v>
      </c>
      <c r="G23" s="184"/>
      <c r="H23" s="184"/>
      <c r="I23" s="184"/>
      <c r="J23" s="184"/>
      <c r="K23" s="184"/>
      <c r="L23" s="184"/>
      <c r="M23" s="184"/>
    </row>
    <row r="24" spans="2:13" x14ac:dyDescent="0.35">
      <c r="B24" s="27" t="s">
        <v>389</v>
      </c>
      <c r="C24" s="184">
        <v>-146572</v>
      </c>
      <c r="D24" s="184">
        <v>-113713</v>
      </c>
      <c r="E24" s="184">
        <v>-135729</v>
      </c>
      <c r="F24" s="184">
        <v>-79554</v>
      </c>
      <c r="G24" s="184"/>
      <c r="H24" s="184"/>
      <c r="I24" s="184"/>
      <c r="J24" s="184"/>
      <c r="K24" s="184"/>
      <c r="L24" s="184"/>
      <c r="M24" s="184"/>
    </row>
    <row r="25" spans="2:13" x14ac:dyDescent="0.35">
      <c r="B25" s="24" t="str">
        <f>"Dividend per share ("&amp;Market_currency&amp;")"</f>
        <v>Dividend per share (HKD)</v>
      </c>
      <c r="C25" s="39">
        <f>(0.25+0.22)/Exchange_Rate</f>
        <v>0.44193951040398949</v>
      </c>
      <c r="D25" s="39">
        <f>(0.23+0.21)/Exchange_Rate</f>
        <v>0.41373060548458596</v>
      </c>
      <c r="E25" s="39">
        <f>(0.22+0.20258)/Exchange_Rate</f>
        <v>0.39735063469471893</v>
      </c>
      <c r="F25" s="39">
        <f>(0.09622+0.1304)/Exchange_Rate</f>
        <v>0.21309006776117467</v>
      </c>
      <c r="G25" s="39"/>
      <c r="H25" s="39"/>
      <c r="I25" s="39"/>
      <c r="J25" s="39"/>
      <c r="K25" s="39"/>
      <c r="L25" s="39"/>
      <c r="M25" s="39"/>
    </row>
    <row r="27" spans="2:13" x14ac:dyDescent="0.35">
      <c r="B27" s="16" t="s">
        <v>28</v>
      </c>
      <c r="C27" s="100"/>
    </row>
    <row r="28" spans="2:13" x14ac:dyDescent="0.35">
      <c r="B28" s="26" t="s">
        <v>24</v>
      </c>
      <c r="C28" s="186">
        <f>68761+31090</f>
        <v>99851</v>
      </c>
      <c r="D28" s="184">
        <f>72028+45849</f>
        <v>117877</v>
      </c>
      <c r="E28" s="184">
        <f>8474+15235</f>
        <v>23709</v>
      </c>
      <c r="F28" s="184">
        <f>17969+9410</f>
        <v>27379</v>
      </c>
      <c r="G28" s="184"/>
      <c r="H28" s="184"/>
      <c r="I28" s="184"/>
      <c r="J28" s="184"/>
      <c r="K28" s="184"/>
      <c r="L28" s="184"/>
      <c r="M28" s="184"/>
    </row>
    <row r="29" spans="2:13" x14ac:dyDescent="0.35">
      <c r="B29" s="26" t="s">
        <v>32</v>
      </c>
      <c r="C29" s="186">
        <v>180533</v>
      </c>
      <c r="D29" s="184">
        <v>167751</v>
      </c>
      <c r="E29" s="184">
        <v>110386</v>
      </c>
      <c r="F29" s="184">
        <v>109354</v>
      </c>
      <c r="G29" s="184"/>
      <c r="H29" s="184"/>
      <c r="I29" s="184"/>
      <c r="J29" s="184"/>
      <c r="K29" s="184"/>
      <c r="L29" s="184"/>
      <c r="M29" s="184"/>
    </row>
    <row r="30" spans="2:13" x14ac:dyDescent="0.35">
      <c r="B30" s="29" t="s">
        <v>40</v>
      </c>
      <c r="C30" s="189">
        <v>1122089</v>
      </c>
      <c r="D30" s="185">
        <v>1136250</v>
      </c>
      <c r="E30" s="185">
        <v>689466</v>
      </c>
      <c r="F30" s="185">
        <v>707978</v>
      </c>
      <c r="G30" s="185"/>
      <c r="H30" s="185"/>
      <c r="I30" s="185"/>
      <c r="J30" s="185"/>
      <c r="K30" s="185"/>
      <c r="L30" s="185"/>
      <c r="M30" s="185"/>
    </row>
    <row r="31" spans="2:13" x14ac:dyDescent="0.35">
      <c r="B31" s="29" t="s">
        <v>30</v>
      </c>
      <c r="C31" s="189">
        <v>1630621</v>
      </c>
      <c r="D31" s="185">
        <v>1534416</v>
      </c>
      <c r="E31" s="185">
        <v>1291608</v>
      </c>
      <c r="F31" s="185">
        <v>1238930</v>
      </c>
      <c r="G31" s="185"/>
      <c r="H31" s="185"/>
      <c r="I31" s="185"/>
      <c r="J31" s="185"/>
      <c r="K31" s="185"/>
      <c r="L31" s="185"/>
      <c r="M31" s="185"/>
    </row>
    <row r="32" spans="2:13" x14ac:dyDescent="0.35">
      <c r="B32" s="26" t="s">
        <v>174</v>
      </c>
      <c r="C32" s="186">
        <v>184211</v>
      </c>
      <c r="D32" s="184">
        <v>168550</v>
      </c>
      <c r="E32" s="184">
        <v>0</v>
      </c>
      <c r="F32" s="184">
        <v>0</v>
      </c>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3011012</v>
      </c>
      <c r="D36" s="186">
        <f t="shared" si="1"/>
        <v>3239167</v>
      </c>
      <c r="E36" s="186">
        <f t="shared" si="1"/>
        <v>1851487</v>
      </c>
      <c r="F36" s="186">
        <f t="shared" si="1"/>
        <v>1729735</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-2302385</v>
      </c>
      <c r="D37" s="186">
        <f t="shared" si="2"/>
        <v>-2527935</v>
      </c>
      <c r="E37" s="186">
        <f t="shared" si="2"/>
        <v>-1379524</v>
      </c>
      <c r="F37" s="186">
        <f t="shared" si="2"/>
        <v>-1278781</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708627</v>
      </c>
      <c r="D38" s="187">
        <f t="shared" ref="D38" si="3">IF(D36="","",D36+D37)</f>
        <v>711232</v>
      </c>
      <c r="E38" s="187">
        <f t="shared" ref="E38" si="4">IF(E36="","",E36+E37)</f>
        <v>471963</v>
      </c>
      <c r="F38" s="187">
        <f t="shared" ref="F38" si="5">IF(F36="","",F36+F37)</f>
        <v>450954</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-420298</v>
      </c>
      <c r="D39" s="186">
        <f t="shared" si="13"/>
        <v>-395706</v>
      </c>
      <c r="E39" s="186">
        <f t="shared" si="13"/>
        <v>-296185</v>
      </c>
      <c r="F39" s="186">
        <f t="shared" si="13"/>
        <v>-285968</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-70260</v>
      </c>
      <c r="D40" s="188">
        <f t="shared" si="14"/>
        <v>-68352</v>
      </c>
      <c r="E40" s="188">
        <f t="shared" si="14"/>
        <v>-48552</v>
      </c>
      <c r="F40" s="188">
        <f t="shared" si="14"/>
        <v>-47670</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-350038</v>
      </c>
      <c r="D41" s="188">
        <f t="shared" ref="D41:M41" si="15">IF(D$4="","",D39-D40)</f>
        <v>-327354</v>
      </c>
      <c r="E41" s="188">
        <f t="shared" si="15"/>
        <v>-247633</v>
      </c>
      <c r="F41" s="188">
        <f t="shared" si="15"/>
        <v>-238298</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-21957</v>
      </c>
      <c r="D42" s="186">
        <f t="shared" si="16"/>
        <v>-20016</v>
      </c>
      <c r="E42" s="186">
        <f t="shared" si="16"/>
        <v>-16796</v>
      </c>
      <c r="F42" s="186">
        <f t="shared" si="16"/>
        <v>-15217</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266372</v>
      </c>
      <c r="D43" s="189">
        <f t="shared" ref="D43:M43" si="17">IF(D$4="","",D38+D39+D42)</f>
        <v>295510</v>
      </c>
      <c r="E43" s="189">
        <f t="shared" si="17"/>
        <v>158982</v>
      </c>
      <c r="F43" s="189">
        <f t="shared" si="17"/>
        <v>149769</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-13116</v>
      </c>
      <c r="D44" s="190">
        <f t="shared" si="18"/>
        <v>-65422</v>
      </c>
      <c r="E44" s="190">
        <f t="shared" si="18"/>
        <v>10502</v>
      </c>
      <c r="F44" s="190">
        <f t="shared" si="18"/>
        <v>9681</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-15798</v>
      </c>
      <c r="D45" s="191">
        <f t="shared" si="19"/>
        <v>-16816</v>
      </c>
      <c r="E45" s="191">
        <f t="shared" si="19"/>
        <v>-12952</v>
      </c>
      <c r="F45" s="191">
        <f t="shared" si="19"/>
        <v>-13365</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-57167</v>
      </c>
      <c r="D46" s="186">
        <f t="shared" si="20"/>
        <v>-49929</v>
      </c>
      <c r="E46" s="186">
        <f t="shared" si="20"/>
        <v>-24138</v>
      </c>
      <c r="F46" s="186">
        <f t="shared" si="20"/>
        <v>-17067</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180291</v>
      </c>
      <c r="D47" s="189">
        <f t="shared" si="21"/>
        <v>163343</v>
      </c>
      <c r="E47" s="189">
        <f t="shared" si="21"/>
        <v>132394</v>
      </c>
      <c r="F47" s="189">
        <f t="shared" si="21"/>
        <v>129018</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-19147</v>
      </c>
      <c r="D48" s="186">
        <f t="shared" si="22"/>
        <v>-14605</v>
      </c>
      <c r="E48" s="186">
        <f t="shared" si="22"/>
        <v>0</v>
      </c>
      <c r="F48" s="186">
        <f t="shared" si="22"/>
        <v>0</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-24063</v>
      </c>
      <c r="D51" s="186">
        <f t="shared" si="23"/>
        <v>-21554</v>
      </c>
      <c r="E51" s="186">
        <f t="shared" si="23"/>
        <v>-14912</v>
      </c>
      <c r="F51" s="186">
        <f t="shared" si="23"/>
        <v>-15097</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8265</v>
      </c>
      <c r="D52" s="186">
        <f t="shared" si="24"/>
        <v>4738</v>
      </c>
      <c r="E52" s="186">
        <f t="shared" si="24"/>
        <v>1960</v>
      </c>
      <c r="F52" s="186">
        <f t="shared" si="24"/>
        <v>1732</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18538</v>
      </c>
      <c r="D55" s="191">
        <f t="shared" si="25"/>
        <v>15251</v>
      </c>
      <c r="E55" s="191">
        <f t="shared" si="25"/>
        <v>12877</v>
      </c>
      <c r="F55" s="191">
        <f t="shared" si="25"/>
        <v>11296</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-31654</v>
      </c>
      <c r="D58" s="191">
        <f t="shared" ref="D58:M58" si="28">IF(D$4="","",D44-D55-D56-D57)</f>
        <v>-80673</v>
      </c>
      <c r="E58" s="191">
        <f t="shared" si="28"/>
        <v>-2375</v>
      </c>
      <c r="F58" s="191">
        <f t="shared" si="28"/>
        <v>-1615</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-229584</v>
      </c>
      <c r="D61" s="186">
        <f t="shared" si="29"/>
        <v>-222648</v>
      </c>
      <c r="E61" s="186">
        <f t="shared" si="29"/>
        <v>-238036</v>
      </c>
      <c r="F61" s="186">
        <f t="shared" si="29"/>
        <v>-236818</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-115297</v>
      </c>
      <c r="D62" s="186">
        <f t="shared" si="30"/>
        <v>-282508</v>
      </c>
      <c r="E62" s="186">
        <f t="shared" si="30"/>
        <v>-245237</v>
      </c>
      <c r="F62" s="186">
        <f t="shared" si="30"/>
        <v>-265563</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-31061</v>
      </c>
      <c r="D63" s="186">
        <f t="shared" si="31"/>
        <v>-3456</v>
      </c>
      <c r="E63" s="186">
        <f t="shared" si="31"/>
        <v>-46237</v>
      </c>
      <c r="F63" s="186">
        <f t="shared" si="31"/>
        <v>-34899</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7" t="s">
        <v>411</v>
      </c>
      <c r="C64" s="186">
        <f>IF(C$4="","",C22+C23+C24)</f>
        <v>54235</v>
      </c>
      <c r="D64" s="186">
        <f t="shared" ref="D64:M64" si="32">IF(D$4="","",D22+D23+D24)</f>
        <v>47084</v>
      </c>
      <c r="E64" s="186">
        <f t="shared" si="32"/>
        <v>-8156</v>
      </c>
      <c r="F64" s="186">
        <f t="shared" si="32"/>
        <v>36853</v>
      </c>
      <c r="G64" s="186" t="str">
        <f t="shared" si="32"/>
        <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0.44193951040398949</v>
      </c>
      <c r="D65" s="75">
        <f t="shared" si="33"/>
        <v>0.41373060548458596</v>
      </c>
      <c r="E65" s="75">
        <f t="shared" si="33"/>
        <v>0.39735063469471893</v>
      </c>
      <c r="F65" s="75">
        <f t="shared" si="33"/>
        <v>0.21309006776117467</v>
      </c>
      <c r="G65" s="75" t="str">
        <f t="shared" si="33"/>
        <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-7.0436318967191269E-2</v>
      </c>
      <c r="D68" s="94">
        <f t="shared" si="34"/>
        <v>0.74949486547839661</v>
      </c>
      <c r="E68" s="94">
        <f t="shared" si="34"/>
        <v>7.0387660537596819E-2</v>
      </c>
      <c r="F68" s="94" t="str">
        <f t="shared" si="34"/>
        <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-8.9223021952700488E-2</v>
      </c>
      <c r="D69" s="104">
        <f t="shared" si="35"/>
        <v>0.83246902554794255</v>
      </c>
      <c r="E69" s="104">
        <f t="shared" si="35"/>
        <v>7.8780494861903749E-2</v>
      </c>
      <c r="F69" s="104" t="str">
        <f t="shared" si="35"/>
        <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-3.6626585980383819E-3</v>
      </c>
      <c r="D70" s="94">
        <f t="shared" si="36"/>
        <v>0.50696558840417572</v>
      </c>
      <c r="E70" s="94">
        <f t="shared" si="36"/>
        <v>4.6587900317992537E-2</v>
      </c>
      <c r="F70" s="94" t="str">
        <f t="shared" si="36"/>
        <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6.2147149651508915E-2</v>
      </c>
      <c r="D71" s="104">
        <f t="shared" si="37"/>
        <v>0.33600958860171848</v>
      </c>
      <c r="E71" s="104">
        <f t="shared" si="37"/>
        <v>3.5727773736921709E-2</v>
      </c>
      <c r="F71" s="104" t="str">
        <f t="shared" si="37"/>
        <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6.8181818181818121E-2</v>
      </c>
      <c r="D72" s="94">
        <f t="shared" ref="D72:M72" si="38">IF(E$36="","",D65/E65-1)</f>
        <v>4.1222963699181214E-2</v>
      </c>
      <c r="E72" s="94">
        <f t="shared" si="38"/>
        <v>0.86470743976701114</v>
      </c>
      <c r="F72" s="94" t="str">
        <f t="shared" si="38"/>
        <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2752710</v>
      </c>
      <c r="D76" s="78">
        <f t="shared" ref="D76:M76" si="39">IF(D$4="","",D79+D80)</f>
        <v>2670666</v>
      </c>
      <c r="E76" s="78">
        <f t="shared" si="39"/>
        <v>1981074</v>
      </c>
      <c r="F76" s="78">
        <f t="shared" si="39"/>
        <v>1946908</v>
      </c>
      <c r="G76" s="78" t="str">
        <f t="shared" si="39"/>
        <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99851</v>
      </c>
      <c r="D77" s="74">
        <f t="shared" si="40"/>
        <v>117877</v>
      </c>
      <c r="E77" s="74">
        <f t="shared" si="40"/>
        <v>23709</v>
      </c>
      <c r="F77" s="74">
        <f t="shared" si="40"/>
        <v>27379</v>
      </c>
      <c r="G77" s="74" t="str">
        <f t="shared" si="40"/>
        <v/>
      </c>
      <c r="H77" s="74" t="str">
        <f t="shared" si="40"/>
        <v/>
      </c>
      <c r="I77" s="96"/>
      <c r="J77" s="96"/>
      <c r="K77" s="96"/>
      <c r="L77" s="96"/>
      <c r="M77" s="96"/>
    </row>
    <row r="78" spans="2:13" x14ac:dyDescent="0.35">
      <c r="B78" s="95" t="s">
        <v>88</v>
      </c>
      <c r="C78" s="74">
        <f t="shared" si="40"/>
        <v>180533</v>
      </c>
      <c r="D78" s="74">
        <f t="shared" si="40"/>
        <v>167751</v>
      </c>
      <c r="E78" s="74">
        <f t="shared" si="40"/>
        <v>110386</v>
      </c>
      <c r="F78" s="74">
        <f t="shared" si="40"/>
        <v>109354</v>
      </c>
      <c r="G78" s="74" t="str">
        <f t="shared" si="40"/>
        <v/>
      </c>
      <c r="H78" s="74" t="str">
        <f t="shared" si="40"/>
        <v/>
      </c>
      <c r="I78" s="96"/>
      <c r="J78" s="96"/>
      <c r="K78" s="96"/>
      <c r="L78" s="96"/>
      <c r="M78" s="96"/>
    </row>
    <row r="79" spans="2:13" x14ac:dyDescent="0.35">
      <c r="B79" s="26" t="s">
        <v>40</v>
      </c>
      <c r="C79" s="58">
        <f t="shared" ref="C79:M79" si="41">IF(C$4="","",C30)</f>
        <v>1122089</v>
      </c>
      <c r="D79" s="58">
        <f t="shared" si="41"/>
        <v>1136250</v>
      </c>
      <c r="E79" s="58">
        <f t="shared" si="41"/>
        <v>689466</v>
      </c>
      <c r="F79" s="58">
        <f t="shared" si="41"/>
        <v>707978</v>
      </c>
      <c r="G79" s="58" t="str">
        <f t="shared" si="41"/>
        <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1630621</v>
      </c>
      <c r="D80" s="58">
        <f t="shared" si="42"/>
        <v>1534416</v>
      </c>
      <c r="E80" s="58">
        <f t="shared" si="42"/>
        <v>1291608</v>
      </c>
      <c r="F80" s="58">
        <f t="shared" si="42"/>
        <v>1238930</v>
      </c>
      <c r="G80" s="58" t="str">
        <f t="shared" si="42"/>
        <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90108+11142+41629</f>
        <v>142879</v>
      </c>
      <c r="D4" s="300">
        <v>0.6</v>
      </c>
      <c r="E4" s="25"/>
      <c r="F4" s="4" t="s">
        <v>79</v>
      </c>
      <c r="G4" s="19">
        <v>238880</v>
      </c>
      <c r="H4" s="300">
        <v>0.9</v>
      </c>
    </row>
    <row r="5" spans="2:8" ht="15" customHeight="1" x14ac:dyDescent="0.35">
      <c r="B5" s="1" t="s">
        <v>33</v>
      </c>
      <c r="C5" s="19">
        <v>11851</v>
      </c>
      <c r="D5" s="300">
        <v>0.6</v>
      </c>
      <c r="E5" s="25"/>
      <c r="F5" s="1" t="s">
        <v>29</v>
      </c>
      <c r="G5" s="19">
        <v>0</v>
      </c>
      <c r="H5" s="300">
        <v>0.7</v>
      </c>
    </row>
    <row r="6" spans="2:8" ht="15" customHeight="1" x14ac:dyDescent="0.35">
      <c r="B6" s="4" t="s">
        <v>10</v>
      </c>
      <c r="C6" s="19">
        <v>182674</v>
      </c>
      <c r="D6" s="300">
        <v>0.5</v>
      </c>
      <c r="E6" s="25"/>
      <c r="F6" s="4" t="s">
        <v>179</v>
      </c>
      <c r="G6" s="19">
        <v>0</v>
      </c>
      <c r="H6" s="300">
        <v>0.6</v>
      </c>
    </row>
    <row r="7" spans="2:8" ht="15" customHeight="1" x14ac:dyDescent="0.35">
      <c r="B7" s="1" t="s">
        <v>70</v>
      </c>
      <c r="C7" s="19">
        <v>0</v>
      </c>
      <c r="D7" s="300">
        <v>0.6</v>
      </c>
      <c r="E7" s="25"/>
      <c r="F7" s="4" t="s">
        <v>180</v>
      </c>
      <c r="G7" s="19">
        <v>9895</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24847</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v>61345</v>
      </c>
      <c r="D11" s="300">
        <v>0.05</v>
      </c>
      <c r="H11" s="301"/>
    </row>
    <row r="12" spans="2:8" ht="15" customHeight="1" x14ac:dyDescent="0.35">
      <c r="B12" s="82" t="s">
        <v>73</v>
      </c>
      <c r="C12" s="83">
        <f>SUM(C4:C11)</f>
        <v>423596</v>
      </c>
      <c r="D12" s="20">
        <f>C4*D4+C5*D5+C9*D9+C6*D6+C8*D8+C7*D7+C10*D10+C11*D11</f>
        <v>189726.95</v>
      </c>
      <c r="F12" s="82" t="s">
        <v>71</v>
      </c>
      <c r="G12" s="83">
        <f>SUM(G4:G9)</f>
        <v>248775</v>
      </c>
      <c r="H12" s="20">
        <f>G4*H4+G5*H5+G6*H6+G7*H7+G8*H8+G9*H9</f>
        <v>220929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693</v>
      </c>
      <c r="H17" s="300">
        <v>0.6</v>
      </c>
    </row>
    <row r="18" spans="2:8" ht="15" customHeight="1" x14ac:dyDescent="0.35">
      <c r="B18" s="4" t="s">
        <v>175</v>
      </c>
      <c r="C18" s="19">
        <v>0</v>
      </c>
      <c r="D18" s="300">
        <v>0.6</v>
      </c>
      <c r="F18" s="4" t="s">
        <v>183</v>
      </c>
      <c r="G18" s="19">
        <f>292606</f>
        <v>292606</v>
      </c>
      <c r="H18" s="300">
        <v>0.1</v>
      </c>
    </row>
    <row r="19" spans="2:8" ht="15" customHeight="1" x14ac:dyDescent="0.35">
      <c r="B19" s="4" t="s">
        <v>26</v>
      </c>
      <c r="C19" s="19">
        <f>458868+831001+201156+123479+13153</f>
        <v>1627657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91529</v>
      </c>
      <c r="D21" s="300">
        <v>0.05</v>
      </c>
      <c r="F21" s="1" t="s">
        <v>182</v>
      </c>
      <c r="G21" s="19">
        <v>0</v>
      </c>
      <c r="H21" s="300">
        <v>0.1</v>
      </c>
    </row>
    <row r="22" spans="2:8" ht="15" customHeight="1" x14ac:dyDescent="0.35">
      <c r="B22" s="4" t="s">
        <v>20</v>
      </c>
      <c r="C22" s="19">
        <v>24707</v>
      </c>
      <c r="D22" s="300">
        <v>0.9</v>
      </c>
      <c r="H22" s="301"/>
    </row>
    <row r="23" spans="2:8" ht="15" customHeight="1" x14ac:dyDescent="0.35">
      <c r="B23" s="4" t="s">
        <v>21</v>
      </c>
      <c r="C23" s="19">
        <f>7476+51258</f>
        <v>58734</v>
      </c>
      <c r="D23" s="300">
        <v>0</v>
      </c>
      <c r="H23" s="301"/>
    </row>
    <row r="24" spans="2:8" ht="15" customHeight="1" x14ac:dyDescent="0.35">
      <c r="B24" s="82" t="s">
        <v>75</v>
      </c>
      <c r="C24" s="83">
        <f>SUM(C15:C23)</f>
        <v>1802627</v>
      </c>
      <c r="D24" s="20">
        <f>C15*D15+C16*D16+C18*D18+C17*D17+C19*D19+C20*D20+C21*D21+C22*D22+C23*D23</f>
        <v>189578.45</v>
      </c>
      <c r="F24" s="82" t="s">
        <v>72</v>
      </c>
      <c r="G24" s="83">
        <f>SUM(G15:G21)</f>
        <v>293299</v>
      </c>
      <c r="H24" s="20">
        <f>G15*H15+G16*H16+G17*H17+G18*H18+G19*H19+G20*H20+G21*H21</f>
        <v>29676.400000000001</v>
      </c>
    </row>
    <row r="26" spans="2:8" ht="15" customHeight="1" x14ac:dyDescent="0.35">
      <c r="B26" s="16" t="s">
        <v>202</v>
      </c>
      <c r="C26" s="209" t="s">
        <v>138</v>
      </c>
      <c r="F26" s="211" t="s">
        <v>198</v>
      </c>
      <c r="G26" s="212" t="s">
        <v>138</v>
      </c>
      <c r="H26" s="213" t="s">
        <v>35</v>
      </c>
    </row>
    <row r="27" spans="2:8" ht="15" customHeight="1" x14ac:dyDescent="0.35">
      <c r="B27" s="4" t="s">
        <v>5</v>
      </c>
      <c r="C27" s="19">
        <v>40594</v>
      </c>
      <c r="F27" s="214" t="s">
        <v>30</v>
      </c>
      <c r="G27" s="87">
        <f>G32-G30</f>
        <v>1678153</v>
      </c>
      <c r="H27" s="215">
        <f>H32-G30</f>
        <v>-460233.19999999995</v>
      </c>
    </row>
    <row r="28" spans="2:8" ht="15" customHeight="1" x14ac:dyDescent="0.35">
      <c r="B28" s="4" t="s">
        <v>6</v>
      </c>
      <c r="C28" s="19">
        <v>0</v>
      </c>
      <c r="F28" s="216" t="s">
        <v>246</v>
      </c>
      <c r="G28" s="184">
        <v>188249</v>
      </c>
      <c r="H28" s="215"/>
    </row>
    <row r="29" spans="2:8" ht="15" customHeight="1" x14ac:dyDescent="0.35">
      <c r="B29" s="4" t="s">
        <v>7</v>
      </c>
      <c r="C29" s="19">
        <v>0</v>
      </c>
      <c r="F29" s="217" t="s">
        <v>77</v>
      </c>
      <c r="G29" s="14">
        <f>G27-G28</f>
        <v>1489904</v>
      </c>
      <c r="H29" s="215">
        <f>H27-G28</f>
        <v>-648482.19999999995</v>
      </c>
    </row>
    <row r="30" spans="2:8" ht="15" customHeight="1" x14ac:dyDescent="0.35">
      <c r="B30" s="2" t="s">
        <v>8</v>
      </c>
      <c r="C30" s="19">
        <f>4685+7139</f>
        <v>11824</v>
      </c>
      <c r="F30" s="214" t="s">
        <v>23</v>
      </c>
      <c r="G30" s="87">
        <f>C33+C42</f>
        <v>1090144</v>
      </c>
      <c r="H30" s="215"/>
    </row>
    <row r="31" spans="2:8" ht="15" customHeight="1" x14ac:dyDescent="0.35">
      <c r="B31" s="82" t="s">
        <v>205</v>
      </c>
      <c r="C31" s="83">
        <f>SUM(C27:C30)</f>
        <v>52418</v>
      </c>
      <c r="F31" s="217" t="s">
        <v>78</v>
      </c>
      <c r="G31" s="218">
        <f>C31+C40</f>
        <v>245714</v>
      </c>
      <c r="H31" s="215"/>
    </row>
    <row r="32" spans="2:8" ht="15" customHeight="1" x14ac:dyDescent="0.35">
      <c r="B32" s="4" t="s">
        <v>9</v>
      </c>
      <c r="C32" s="21">
        <f>C33-C31</f>
        <v>664223</v>
      </c>
      <c r="F32" s="219" t="s">
        <v>76</v>
      </c>
      <c r="G32" s="220">
        <f>G35+G40</f>
        <v>2768297</v>
      </c>
      <c r="H32" s="215">
        <f>H35+H40</f>
        <v>629910.80000000005</v>
      </c>
    </row>
    <row r="33" spans="2:8" ht="15" customHeight="1" x14ac:dyDescent="0.35">
      <c r="B33" s="85" t="s">
        <v>4</v>
      </c>
      <c r="C33" s="86">
        <v>716641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2226223</v>
      </c>
      <c r="H35" s="227">
        <f>D12+D24</f>
        <v>379305.4</v>
      </c>
    </row>
    <row r="36" spans="2:8" ht="15" customHeight="1" x14ac:dyDescent="0.35">
      <c r="B36" s="4" t="s">
        <v>13</v>
      </c>
      <c r="C36" s="19">
        <f>70126+11000</f>
        <v>81126</v>
      </c>
      <c r="F36" s="217" t="s">
        <v>199</v>
      </c>
      <c r="G36" s="218">
        <f>C4+C15</f>
        <v>142879</v>
      </c>
      <c r="H36" s="222"/>
    </row>
    <row r="37" spans="2:8" ht="15" customHeight="1" x14ac:dyDescent="0.35">
      <c r="B37" s="4" t="s">
        <v>14</v>
      </c>
      <c r="C37" s="19">
        <v>112170</v>
      </c>
      <c r="F37" s="217" t="s">
        <v>200</v>
      </c>
      <c r="G37" s="218">
        <f>C6</f>
        <v>182674</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1627657</v>
      </c>
      <c r="H39" s="215">
        <f>C7*D7+C17*D17+C19*D19+C20*D20</f>
        <v>162765.70000000001</v>
      </c>
    </row>
    <row r="40" spans="2:8" ht="15" customHeight="1" x14ac:dyDescent="0.35">
      <c r="B40" s="82" t="s">
        <v>206</v>
      </c>
      <c r="C40" s="83">
        <f>SUM(C36:C39)</f>
        <v>193296</v>
      </c>
      <c r="F40" s="226" t="s">
        <v>140</v>
      </c>
      <c r="G40" s="220">
        <f>G12+G24</f>
        <v>542074</v>
      </c>
      <c r="H40" s="227">
        <f>H12+H24</f>
        <v>250605.4</v>
      </c>
    </row>
    <row r="41" spans="2:8" ht="15" customHeight="1" x14ac:dyDescent="0.35">
      <c r="B41" s="4" t="s">
        <v>17</v>
      </c>
      <c r="C41" s="21">
        <f>C42-C40</f>
        <v>180207</v>
      </c>
      <c r="F41" s="217" t="s">
        <v>193</v>
      </c>
      <c r="G41" s="218">
        <f>C70</f>
        <v>531486</v>
      </c>
      <c r="H41" s="227">
        <f>H40-H42</f>
        <v>244252.6</v>
      </c>
    </row>
    <row r="42" spans="2:8" ht="15" customHeight="1" x14ac:dyDescent="0.35">
      <c r="B42" s="85" t="s">
        <v>22</v>
      </c>
      <c r="C42" s="86">
        <v>373503</v>
      </c>
      <c r="F42" s="228" t="s">
        <v>194</v>
      </c>
      <c r="G42" s="229">
        <f>C82</f>
        <v>10588</v>
      </c>
      <c r="H42" s="230">
        <f>D82</f>
        <v>6352.8</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1489904</v>
      </c>
      <c r="D46" s="191">
        <f>H29</f>
        <v>-648482.19999999995</v>
      </c>
      <c r="F46" s="289"/>
    </row>
    <row r="47" spans="2:8" ht="15" customHeight="1" x14ac:dyDescent="0.35">
      <c r="B47" s="1" t="str">
        <f>"Equity per share ("&amp;Market_currency&amp;")"</f>
        <v>Equity per share (HKD)</v>
      </c>
      <c r="C47" s="151">
        <f>C46*H1/Common_Shares*Exchange_Rate</f>
        <v>8.657498849970656</v>
      </c>
      <c r="D47" s="151">
        <f>D46*H1/Common_Shares*Exchange_Rate</f>
        <v>-3.7681849976417547</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1.0839756451798694</v>
      </c>
      <c r="D50" s="98">
        <f>G31/Normalized_FCF!G8</f>
        <v>0.9224468037181085</v>
      </c>
      <c r="F50" s="289"/>
    </row>
    <row r="51" spans="2:8" ht="15" customHeight="1" x14ac:dyDescent="0.35">
      <c r="B51" s="1" t="s">
        <v>178</v>
      </c>
      <c r="C51" s="208"/>
      <c r="D51" s="94">
        <f>G29/G32</f>
        <v>0.5382023677372767</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0.10182202081487467</v>
      </c>
      <c r="D54" s="94">
        <f>Normalized_FCF!G8/G35</f>
        <v>0.11965198454961611</v>
      </c>
      <c r="F54" s="289"/>
    </row>
    <row r="55" spans="2:8" ht="15" customHeight="1" x14ac:dyDescent="0.35">
      <c r="B55" s="1" t="s">
        <v>143</v>
      </c>
      <c r="C55" s="94">
        <f>Normalized_FCF!C11/G40</f>
        <v>3.4198282891265773E-2</v>
      </c>
      <c r="D55" s="94">
        <f>Normalized_FCF!G11/G40</f>
        <v>3.4198282891265766E-2</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0.14105183094472606</v>
      </c>
      <c r="F58" s="5"/>
    </row>
    <row r="59" spans="2:8" ht="15" customHeight="1" x14ac:dyDescent="0.35">
      <c r="B59" s="1" t="s">
        <v>94</v>
      </c>
      <c r="C59" s="101"/>
      <c r="D59" s="94">
        <f>G39/G32</f>
        <v>0.58796328573126366</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0.12634975139337837</v>
      </c>
      <c r="D62" s="94">
        <f>G28/G29</f>
        <v>0.12634975139337837</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238880</v>
      </c>
      <c r="D66" s="191">
        <f>C66-D75</f>
        <v>46208.672776167194</v>
      </c>
      <c r="F66" s="5" t="s">
        <v>228</v>
      </c>
    </row>
    <row r="67" spans="2:6" ht="15" customHeight="1" x14ac:dyDescent="0.35">
      <c r="B67" s="108" t="s">
        <v>179</v>
      </c>
      <c r="C67" s="20">
        <f>G6+G16</f>
        <v>0</v>
      </c>
      <c r="F67" s="289"/>
    </row>
    <row r="68" spans="2:6" ht="15" customHeight="1" x14ac:dyDescent="0.35">
      <c r="B68" s="108" t="s">
        <v>183</v>
      </c>
      <c r="C68" s="20">
        <f>G18</f>
        <v>292606</v>
      </c>
      <c r="F68" s="289"/>
    </row>
    <row r="69" spans="2:6" ht="15" customHeight="1" x14ac:dyDescent="0.35">
      <c r="B69" s="108" t="s">
        <v>181</v>
      </c>
      <c r="C69" s="20">
        <f>G8+G20</f>
        <v>0</v>
      </c>
      <c r="F69" s="289"/>
    </row>
    <row r="70" spans="2:6" ht="15" customHeight="1" x14ac:dyDescent="0.35">
      <c r="B70" s="82" t="s">
        <v>190</v>
      </c>
      <c r="C70" s="83">
        <f>SUM(C66:C69)</f>
        <v>531486</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-235460.35011087885</v>
      </c>
      <c r="D73" s="191">
        <f>(Normalized_FCF!C25+Normalized_FCF!C35-Normalized_FCF!C91)/12</f>
        <v>-192671.32722383281</v>
      </c>
      <c r="F73" s="1" t="s">
        <v>365</v>
      </c>
    </row>
    <row r="74" spans="2:6" ht="15" customHeight="1" x14ac:dyDescent="0.35">
      <c r="B74" s="294" t="s">
        <v>335</v>
      </c>
      <c r="C74" s="295">
        <f>-$C$66/C73</f>
        <v>1.0145232515262583</v>
      </c>
      <c r="D74" s="295">
        <f>-$C$66/D73</f>
        <v>1.2398316004876273</v>
      </c>
      <c r="F74" s="289" t="s">
        <v>332</v>
      </c>
    </row>
    <row r="75" spans="2:6" ht="15" customHeight="1" x14ac:dyDescent="0.35">
      <c r="B75" s="82" t="s">
        <v>333</v>
      </c>
      <c r="C75" s="299"/>
      <c r="D75" s="298">
        <f>MAX(-D73*D76,G5)</f>
        <v>192671.32722383281</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10588</v>
      </c>
      <c r="D79" s="191">
        <f>G7*H7+G17*H17</f>
        <v>6352.8</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10588</v>
      </c>
      <c r="D82" s="83">
        <f>SUM(D79:D81)</f>
        <v>6352.8</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-261315.35488743999</v>
      </c>
      <c r="D86" s="254">
        <f>C86*$H$1/Common_Shares</f>
        <v>-1.4277890873651522</v>
      </c>
      <c r="E86" s="275" t="str">
        <f>Market_currency</f>
        <v>HKD</v>
      </c>
    </row>
    <row r="87" spans="2:8" ht="15" customHeight="1" x14ac:dyDescent="0.35">
      <c r="B87" s="273" t="s">
        <v>298</v>
      </c>
      <c r="C87" s="191">
        <f>Valuation_Model!C8*Exchange_Rate</f>
        <v>49142.644397070238</v>
      </c>
      <c r="D87" s="254">
        <f>C87*$H$1/Common_Shares</f>
        <v>0.26850826054453025</v>
      </c>
      <c r="E87" s="275" t="str">
        <f>Market_currency</f>
        <v>HKD</v>
      </c>
    </row>
    <row r="88" spans="2:8" ht="15" customHeight="1" x14ac:dyDescent="0.35">
      <c r="B88" s="274" t="s">
        <v>191</v>
      </c>
      <c r="C88" s="191">
        <f>Valuation_Model!C9*Exchange_Rate</f>
        <v>6756.1644290880004</v>
      </c>
      <c r="D88" s="254">
        <f>C88*$H$1/Common_Shares</f>
        <v>3.6914699667960883E-2</v>
      </c>
      <c r="E88" s="275" t="str">
        <f>Market_currency</f>
        <v>HKD</v>
      </c>
    </row>
    <row r="89" spans="2:8" ht="15" customHeight="1" x14ac:dyDescent="0.35">
      <c r="B89" s="82" t="s">
        <v>302</v>
      </c>
      <c r="C89" s="190">
        <f>SUM(C86:C88)</f>
        <v>-205416.54606128176</v>
      </c>
      <c r="D89" s="277">
        <f>SUM(D86:D88)</f>
        <v>-1.1223661271526613</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AVERAGE(G4:J4)</f>
        <v>2457850.25</v>
      </c>
      <c r="D4" s="57"/>
      <c r="E4" s="306"/>
      <c r="F4" s="57"/>
      <c r="G4" s="186">
        <f>Data!C36</f>
        <v>3011012</v>
      </c>
      <c r="H4" s="186">
        <f>Data!D36</f>
        <v>3239167</v>
      </c>
      <c r="I4" s="186">
        <f>Data!E36</f>
        <v>1851487</v>
      </c>
      <c r="J4" s="186">
        <f>Data!F36</f>
        <v>1729735</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-1921844.4753554473</v>
      </c>
      <c r="E5" s="308"/>
      <c r="G5" s="186">
        <f t="shared" ref="G5:Q5" si="1">G25</f>
        <v>-2372645</v>
      </c>
      <c r="H5" s="186">
        <f t="shared" si="1"/>
        <v>-2596287</v>
      </c>
      <c r="I5" s="186">
        <f t="shared" si="1"/>
        <v>-1428076</v>
      </c>
      <c r="J5" s="186">
        <f t="shared" si="1"/>
        <v>-1326451</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536005.77464455273</v>
      </c>
      <c r="E6" s="308"/>
      <c r="G6" s="187">
        <f>IF(G4="","",G4+G5)</f>
        <v>638367</v>
      </c>
      <c r="H6" s="187">
        <f t="shared" ref="H6:Q6" si="2">IF(H4="","",H4+H5)</f>
        <v>642880</v>
      </c>
      <c r="I6" s="187">
        <f t="shared" si="2"/>
        <v>423411</v>
      </c>
      <c r="J6" s="187">
        <f t="shared" si="2"/>
        <v>403284</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-309327.25</v>
      </c>
      <c r="E7" s="308"/>
      <c r="G7" s="197">
        <f t="shared" ref="G7:Q7" si="3">G35</f>
        <v>-371995</v>
      </c>
      <c r="H7" s="197">
        <f t="shared" si="3"/>
        <v>-347370</v>
      </c>
      <c r="I7" s="197">
        <f t="shared" si="3"/>
        <v>-264429</v>
      </c>
      <c r="J7" s="197">
        <f t="shared" si="3"/>
        <v>-253515</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226678.52464455273</v>
      </c>
      <c r="D8" s="60"/>
      <c r="E8" s="314"/>
      <c r="F8" s="60"/>
      <c r="G8" s="187">
        <f>IF(G$4="","",G6+G7)</f>
        <v>266372</v>
      </c>
      <c r="H8" s="187">
        <f t="shared" ref="H8:Q8" si="4">IF(H$4="","",H6+H7)</f>
        <v>295510</v>
      </c>
      <c r="I8" s="187">
        <f t="shared" si="4"/>
        <v>158982</v>
      </c>
      <c r="J8" s="187">
        <f t="shared" si="4"/>
        <v>149769</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229584</v>
      </c>
      <c r="E9" s="308"/>
      <c r="G9" s="197">
        <f>IF(Data!C61="","",-Data!C61)</f>
        <v>229584</v>
      </c>
      <c r="H9" s="197">
        <f>IF(Data!D61="","",-Data!D61)</f>
        <v>222648</v>
      </c>
      <c r="I9" s="197">
        <f>IF(Data!E61="","",-Data!E61)</f>
        <v>238036</v>
      </c>
      <c r="J9" s="197">
        <f>IF(Data!F61="","",-Data!F61)</f>
        <v>236818</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-252845.35040534919</v>
      </c>
      <c r="E10" s="308"/>
      <c r="G10" s="197">
        <f>Data!C62</f>
        <v>-115297</v>
      </c>
      <c r="H10" s="197">
        <f>Data!D62</f>
        <v>-282508</v>
      </c>
      <c r="I10" s="197">
        <f>Data!E62</f>
        <v>-245237</v>
      </c>
      <c r="J10" s="197">
        <f>Data!F62</f>
        <v>-265563</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18538.000000000004</v>
      </c>
      <c r="D11" s="172"/>
      <c r="E11" s="307"/>
      <c r="F11" s="172"/>
      <c r="G11" s="189">
        <f>G61</f>
        <v>18538</v>
      </c>
      <c r="H11" s="189">
        <f t="shared" ref="H11:Q11" si="5">H61</f>
        <v>15251</v>
      </c>
      <c r="I11" s="189">
        <f t="shared" si="5"/>
        <v>12877</v>
      </c>
      <c r="J11" s="189">
        <f t="shared" si="5"/>
        <v>11296</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-17396.772105220287</v>
      </c>
      <c r="E12" s="308"/>
      <c r="G12" s="197">
        <f>G50</f>
        <v>-17396.772105220287</v>
      </c>
      <c r="H12" s="197">
        <f t="shared" ref="H12:Q12" si="6">H50</f>
        <v>-17732.513277015572</v>
      </c>
      <c r="I12" s="197">
        <f t="shared" si="6"/>
        <v>-13331.1401483644</v>
      </c>
      <c r="J12" s="197">
        <f t="shared" si="6"/>
        <v>-13700.036090289357</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204558.40213398324</v>
      </c>
      <c r="E13" s="308"/>
      <c r="G13" s="187">
        <f>IF(G$4="","",SUM(G8:G12))</f>
        <v>381800.2278947797</v>
      </c>
      <c r="H13" s="187">
        <f t="shared" ref="H13:Q13" si="7">IF(H$4="","",SUM(H8:H12))</f>
        <v>233168.48672298444</v>
      </c>
      <c r="I13" s="187">
        <f t="shared" si="7"/>
        <v>151326.85985163559</v>
      </c>
      <c r="J13" s="187">
        <f t="shared" si="7"/>
        <v>118619.96390971064</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-56954.938134833108</v>
      </c>
      <c r="E14" s="308"/>
      <c r="G14" s="197">
        <f>Data!C46</f>
        <v>-57167</v>
      </c>
      <c r="H14" s="197">
        <f>Data!D46</f>
        <v>-49929</v>
      </c>
      <c r="I14" s="197">
        <f>Data!E46</f>
        <v>-24138</v>
      </c>
      <c r="J14" s="197">
        <f>Data!F46</f>
        <v>-17067</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-15629.449081156103</v>
      </c>
      <c r="D15" s="61"/>
      <c r="E15" s="315"/>
      <c r="F15" s="61"/>
      <c r="G15" s="186">
        <f>Data!C48</f>
        <v>-19147</v>
      </c>
      <c r="H15" s="186">
        <f>Data!D48</f>
        <v>-14605</v>
      </c>
      <c r="I15" s="186">
        <f>Data!E48</f>
        <v>0</v>
      </c>
      <c r="J15" s="186">
        <f>Data!F48</f>
        <v>0</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131974.01491799403</v>
      </c>
      <c r="D16" s="62"/>
      <c r="E16" s="316"/>
      <c r="F16" s="62"/>
      <c r="G16" s="187">
        <f>IF(G$4="","",SUM(G13:G15))</f>
        <v>305486.2278947797</v>
      </c>
      <c r="H16" s="187">
        <f t="shared" ref="H16:Q16" si="8">IF(H$4="","",SUM(H13:H15))</f>
        <v>168634.48672298444</v>
      </c>
      <c r="I16" s="187">
        <f t="shared" si="8"/>
        <v>127188.85985163559</v>
      </c>
      <c r="J16" s="187">
        <f t="shared" si="8"/>
        <v>101552.96390971064</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131974.01491799403</v>
      </c>
      <c r="D19" s="27"/>
      <c r="E19" s="305"/>
      <c r="F19" s="27"/>
      <c r="G19" s="189">
        <f>IF(G$4="","",G16+G17)</f>
        <v>305486.2278947797</v>
      </c>
      <c r="H19" s="189">
        <f t="shared" ref="H19:Q19" si="9">IF(H$4="","",H16+H17)</f>
        <v>168634.48672298444</v>
      </c>
      <c r="I19" s="189">
        <f t="shared" si="9"/>
        <v>127188.85985163559</v>
      </c>
      <c r="J19" s="189">
        <f t="shared" si="9"/>
        <v>101552.96390971064</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-1861492.9147629351</v>
      </c>
      <c r="D23" s="59"/>
      <c r="E23" s="307"/>
      <c r="F23" s="59"/>
      <c r="G23" s="186">
        <f>Data!C37</f>
        <v>-2302385</v>
      </c>
      <c r="H23" s="186">
        <f>Data!D37</f>
        <v>-2527935</v>
      </c>
      <c r="I23" s="186">
        <f>Data!E37</f>
        <v>-1379524</v>
      </c>
      <c r="J23" s="186">
        <f>Data!F37</f>
        <v>-1278781</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-60351.560592512084</v>
      </c>
      <c r="D24" s="27"/>
      <c r="E24" s="305"/>
      <c r="F24" s="27"/>
      <c r="G24" s="186">
        <f>Data!C40</f>
        <v>-70260</v>
      </c>
      <c r="H24" s="186">
        <f>Data!D40</f>
        <v>-68352</v>
      </c>
      <c r="I24" s="186">
        <f>Data!E40</f>
        <v>-48552</v>
      </c>
      <c r="J24" s="186">
        <f>Data!F40</f>
        <v>-47670</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-1921844.4753554473</v>
      </c>
      <c r="D25" s="9"/>
      <c r="E25" s="313"/>
      <c r="F25" s="9"/>
      <c r="G25" s="187">
        <f t="shared" ref="G25:Q25" si="10">IF(G$4="","",G23+G24)</f>
        <v>-2372645</v>
      </c>
      <c r="H25" s="187">
        <f t="shared" si="10"/>
        <v>-2596287</v>
      </c>
      <c r="I25" s="187">
        <f t="shared" si="10"/>
        <v>-1428076</v>
      </c>
      <c r="J25" s="187">
        <f t="shared" si="10"/>
        <v>-1326451</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0.75736628574622689</v>
      </c>
      <c r="D28" s="26"/>
      <c r="E28" s="306" t="s">
        <v>347</v>
      </c>
      <c r="F28" s="26"/>
      <c r="G28" s="13">
        <f t="shared" ref="G28:Q28" si="11">IF(G$4="","",ABS(G23/G$4))</f>
        <v>0.76465487351096573</v>
      </c>
      <c r="H28" s="13">
        <f t="shared" si="11"/>
        <v>0.7804274987983022</v>
      </c>
      <c r="I28" s="13">
        <f t="shared" si="11"/>
        <v>0.74508975758403917</v>
      </c>
      <c r="J28" s="13">
        <f t="shared" si="11"/>
        <v>0.73929301309160078</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2.4554612549121772E-2</v>
      </c>
      <c r="D29" s="26"/>
      <c r="E29" s="306" t="s">
        <v>347</v>
      </c>
      <c r="F29" s="26"/>
      <c r="G29" s="13">
        <f t="shared" ref="G29:Q29" si="12">IF(G$4="","",ABS(G24/G$4))</f>
        <v>2.3334347388851324E-2</v>
      </c>
      <c r="H29" s="13">
        <f t="shared" si="12"/>
        <v>2.1101721522848314E-2</v>
      </c>
      <c r="I29" s="13">
        <f t="shared" si="12"/>
        <v>2.6223246504026222E-2</v>
      </c>
      <c r="J29" s="13">
        <f t="shared" si="12"/>
        <v>2.7559134780761215E-2</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0.78192089829534861</v>
      </c>
      <c r="E30" s="308"/>
      <c r="G30" s="30">
        <f t="shared" ref="G30:Q30" si="13">IF(G$4="","",ABS(G25/G$4))</f>
        <v>0.78798922089981704</v>
      </c>
      <c r="H30" s="30">
        <f t="shared" si="13"/>
        <v>0.80152922032115048</v>
      </c>
      <c r="I30" s="30">
        <f t="shared" si="13"/>
        <v>0.77131300408806547</v>
      </c>
      <c r="J30" s="30">
        <f t="shared" si="13"/>
        <v>0.766852147872362</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-290830.75</v>
      </c>
      <c r="E33" s="306" t="s">
        <v>347</v>
      </c>
      <c r="G33" s="197">
        <f>Data!C41</f>
        <v>-350038</v>
      </c>
      <c r="H33" s="197">
        <f>Data!D41</f>
        <v>-327354</v>
      </c>
      <c r="I33" s="197">
        <f>Data!E41</f>
        <v>-247633</v>
      </c>
      <c r="J33" s="197">
        <f>Data!F41</f>
        <v>-238298</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-18496.5</v>
      </c>
      <c r="D34" s="59"/>
      <c r="E34" s="306" t="s">
        <v>347</v>
      </c>
      <c r="F34" s="59"/>
      <c r="G34" s="186">
        <f>Data!C42</f>
        <v>-21957</v>
      </c>
      <c r="H34" s="186">
        <f>Data!D42</f>
        <v>-20016</v>
      </c>
      <c r="I34" s="186">
        <f>Data!E42</f>
        <v>-16796</v>
      </c>
      <c r="J34" s="186">
        <f>Data!F42</f>
        <v>-15217</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-309327.25</v>
      </c>
      <c r="D35" s="59"/>
      <c r="E35" s="307"/>
      <c r="F35" s="59"/>
      <c r="G35" s="187">
        <f t="shared" ref="G35:Q35" si="14">IF(G4="","",G33+G34)</f>
        <v>-371995</v>
      </c>
      <c r="H35" s="187">
        <f t="shared" si="14"/>
        <v>-347370</v>
      </c>
      <c r="I35" s="187">
        <f t="shared" si="14"/>
        <v>-264429</v>
      </c>
      <c r="J35" s="187">
        <f t="shared" si="14"/>
        <v>-253515</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0.11832728621281952</v>
      </c>
      <c r="D38" s="27"/>
      <c r="E38" s="305"/>
      <c r="F38" s="27"/>
      <c r="G38" s="13">
        <f t="shared" ref="G38:Q38" si="15">IF(G$4="","",ABS(G33/G$4))</f>
        <v>0.1162526087574543</v>
      </c>
      <c r="H38" s="13">
        <f t="shared" si="15"/>
        <v>0.10106116788668197</v>
      </c>
      <c r="I38" s="13">
        <f t="shared" si="15"/>
        <v>0.13374817106466316</v>
      </c>
      <c r="J38" s="13">
        <f t="shared" si="15"/>
        <v>0.13776561149540248</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7.525478820363446E-3</v>
      </c>
      <c r="D39" s="27"/>
      <c r="E39" s="305"/>
      <c r="F39" s="27"/>
      <c r="G39" s="13">
        <f t="shared" ref="G39:Q39" si="16">IF(G$4="","",ABS(G34/G$4))</f>
        <v>7.2922326447055008E-3</v>
      </c>
      <c r="H39" s="13">
        <f t="shared" si="16"/>
        <v>6.1793664852722941E-3</v>
      </c>
      <c r="I39" s="13">
        <f t="shared" si="16"/>
        <v>9.0716272920090719E-3</v>
      </c>
      <c r="J39" s="13">
        <f t="shared" si="16"/>
        <v>8.7973013207225392E-3</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0.12585276503318296</v>
      </c>
      <c r="E40" s="308"/>
      <c r="G40" s="30">
        <f t="shared" ref="G40:Q40" si="17">IF(G$4="","",ABS(G35/G$4))</f>
        <v>0.12354484140215981</v>
      </c>
      <c r="H40" s="30">
        <f t="shared" si="17"/>
        <v>0.10724053437195427</v>
      </c>
      <c r="I40" s="30">
        <f t="shared" si="17"/>
        <v>0.14281979835667225</v>
      </c>
      <c r="J40" s="30">
        <f t="shared" si="17"/>
        <v>0.14656291281612502</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0.21369784384077392</v>
      </c>
      <c r="H43" s="6">
        <f t="shared" si="18"/>
        <v>0.17038957733553248</v>
      </c>
      <c r="I43" s="6">
        <f t="shared" si="18"/>
        <v>0.15226345717775083</v>
      </c>
      <c r="J43" s="6">
        <f t="shared" si="18"/>
        <v>0.11581450262802505</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-24063</v>
      </c>
      <c r="E47" s="308"/>
      <c r="G47" s="197">
        <f>Data!C51</f>
        <v>-24063</v>
      </c>
      <c r="H47" s="197">
        <f>Data!D51</f>
        <v>-21554</v>
      </c>
      <c r="I47" s="197">
        <f>Data!E51</f>
        <v>-14912</v>
      </c>
      <c r="J47" s="197">
        <f>Data!F51</f>
        <v>-15097</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6666.227894779714</v>
      </c>
      <c r="E48" s="308"/>
      <c r="G48" s="334">
        <f>IF(G$4="","",($C$48/$C$49)*G49)</f>
        <v>6666.227894779714</v>
      </c>
      <c r="H48" s="334">
        <f t="shared" ref="H48:Q48" si="19">IF(H$4="","",($C$48/$C$49)*H49)</f>
        <v>3821.4867229844263</v>
      </c>
      <c r="I48" s="334">
        <f t="shared" si="19"/>
        <v>1580.8598516356005</v>
      </c>
      <c r="J48" s="334">
        <f t="shared" si="19"/>
        <v>1396.9639097106431</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8265</v>
      </c>
      <c r="D49" s="331"/>
      <c r="E49" s="332"/>
      <c r="F49" s="331"/>
      <c r="G49" s="330">
        <f>Data!C52</f>
        <v>8265</v>
      </c>
      <c r="H49" s="330">
        <f>Data!D52</f>
        <v>4738</v>
      </c>
      <c r="I49" s="330">
        <f>Data!E52</f>
        <v>1960</v>
      </c>
      <c r="J49" s="330">
        <f>Data!F52</f>
        <v>1732</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-17396.772105220287</v>
      </c>
      <c r="E50" s="308"/>
      <c r="G50" s="187">
        <f>IF(G$4="","",(G47+G48))</f>
        <v>-17396.772105220287</v>
      </c>
      <c r="H50" s="187">
        <f t="shared" ref="H50:Q50" si="20">IF(H$4="","",(H47+H48))</f>
        <v>-17732.513277015572</v>
      </c>
      <c r="I50" s="187">
        <f t="shared" si="20"/>
        <v>-13331.1401483644</v>
      </c>
      <c r="J50" s="187">
        <f t="shared" si="20"/>
        <v>-13700.036090289357</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3.4598961821835229E-2</v>
      </c>
      <c r="E53" s="305" t="s">
        <v>349</v>
      </c>
      <c r="G53" s="6">
        <f>IF(Normalized_FCF!G4="","",Normalized_FCF!G49/BS!$C$66)</f>
        <v>3.4598961821835229E-2</v>
      </c>
      <c r="H53" s="173"/>
      <c r="I53" s="173"/>
      <c r="J53" s="173"/>
      <c r="K53" s="173"/>
      <c r="L53" s="173"/>
      <c r="M53" s="173"/>
      <c r="N53" s="173"/>
      <c r="O53" s="173"/>
      <c r="P53" s="173"/>
      <c r="Q53" s="173"/>
    </row>
    <row r="54" spans="1:17" ht="15.75" customHeight="1" x14ac:dyDescent="0.35">
      <c r="A54" s="10"/>
      <c r="B54" s="8" t="s">
        <v>89</v>
      </c>
      <c r="C54" s="84">
        <f>G54</f>
        <v>9.7930927826660269E-2</v>
      </c>
      <c r="E54" s="305" t="s">
        <v>350</v>
      </c>
      <c r="G54" s="23">
        <f>IFERROR(ABS(Normalized_FCF!G47/BS!$G$31),0)</f>
        <v>9.7930927826660269E-2</v>
      </c>
      <c r="H54" s="173"/>
      <c r="I54" s="173"/>
      <c r="J54" s="173"/>
      <c r="K54" s="173"/>
      <c r="L54" s="173"/>
      <c r="M54" s="173"/>
      <c r="N54" s="173"/>
      <c r="O54" s="173"/>
      <c r="P54" s="173"/>
      <c r="Q54" s="173"/>
    </row>
    <row r="55" spans="1:17" ht="15.75" customHeight="1" x14ac:dyDescent="0.35">
      <c r="A55" s="10"/>
      <c r="B55" s="26" t="s">
        <v>92</v>
      </c>
      <c r="C55" s="42">
        <f>-C8/C47</f>
        <v>9.4202104743611663</v>
      </c>
      <c r="E55" s="308"/>
      <c r="G55" s="42">
        <f t="shared" ref="G55:Q55" si="21">IF(G4="","",-G8/G47)</f>
        <v>11.069775173502888</v>
      </c>
      <c r="H55" s="42">
        <f t="shared" si="21"/>
        <v>13.710216201169157</v>
      </c>
      <c r="I55" s="42">
        <f t="shared" si="21"/>
        <v>10.661346566523605</v>
      </c>
      <c r="J55" s="42">
        <f t="shared" si="21"/>
        <v>9.9204477710803474</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18538.000000000004</v>
      </c>
      <c r="E59" s="308"/>
      <c r="G59" s="197">
        <f>Data!C55</f>
        <v>18538</v>
      </c>
      <c r="H59" s="197">
        <f>Data!D55</f>
        <v>15251</v>
      </c>
      <c r="I59" s="197">
        <f>Data!E55</f>
        <v>12877</v>
      </c>
      <c r="J59" s="197">
        <f>Data!F55</f>
        <v>11296</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18538.000000000004</v>
      </c>
      <c r="E61" s="308"/>
      <c r="G61" s="187">
        <f t="shared" ref="G61:Q61" si="22">IF(G4="","",SUM(G58:G60))</f>
        <v>18538</v>
      </c>
      <c r="H61" s="187">
        <f t="shared" si="22"/>
        <v>15251</v>
      </c>
      <c r="I61" s="187">
        <f t="shared" si="22"/>
        <v>12877</v>
      </c>
      <c r="J61" s="187">
        <f t="shared" si="22"/>
        <v>11296</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-31654</v>
      </c>
      <c r="H62" s="197">
        <f>Data!D58</f>
        <v>-80673</v>
      </c>
      <c r="I62" s="197">
        <f>Data!E58</f>
        <v>-2375</v>
      </c>
      <c r="J62" s="197">
        <f>Data!F58</f>
        <v>-1615</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18538.000000000004</v>
      </c>
      <c r="E63" s="308"/>
      <c r="G63" s="187">
        <f t="shared" ref="G63:Q63" si="23">IF(G4="","",G61+G62)</f>
        <v>-13116</v>
      </c>
      <c r="H63" s="187">
        <f t="shared" si="23"/>
        <v>-65422</v>
      </c>
      <c r="I63" s="187">
        <f t="shared" si="23"/>
        <v>10502</v>
      </c>
      <c r="J63" s="187">
        <f t="shared" si="23"/>
        <v>9681</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6.3354818424775985E-2</v>
      </c>
      <c r="E67" s="308"/>
      <c r="G67" s="23">
        <f>IFERROR(G59/BS!$C$68,0)</f>
        <v>6.3354818424775985E-2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3.4879564090117152E-2</v>
      </c>
      <c r="D69" s="9"/>
      <c r="E69" s="313"/>
      <c r="F69" s="9"/>
      <c r="G69" s="72">
        <f>G61/BS!C70</f>
        <v>3.4879564090117145E-2</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0.78192089829534861</v>
      </c>
      <c r="D73" s="27"/>
      <c r="E73" s="305"/>
      <c r="F73" s="27"/>
      <c r="G73" s="6">
        <f t="shared" ref="G73:Q73" si="24">IF(G$4="","",ABS(G5/G$4))</f>
        <v>0.78798922089981704</v>
      </c>
      <c r="H73" s="6">
        <f t="shared" si="24"/>
        <v>0.80152922032115048</v>
      </c>
      <c r="I73" s="6">
        <f t="shared" si="24"/>
        <v>0.77131300408806547</v>
      </c>
      <c r="J73" s="6">
        <f t="shared" si="24"/>
        <v>0.766852147872362</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0.21807910170465133</v>
      </c>
      <c r="D74" s="27"/>
      <c r="E74" s="305"/>
      <c r="F74" s="27"/>
      <c r="G74" s="66">
        <f t="shared" ref="G74:Q74" si="25">IF(G$4="","",ABS(G6/G$4))</f>
        <v>0.21201077910018293</v>
      </c>
      <c r="H74" s="66">
        <f t="shared" si="25"/>
        <v>0.19847077967884952</v>
      </c>
      <c r="I74" s="66">
        <f t="shared" si="25"/>
        <v>0.22868699591193456</v>
      </c>
      <c r="J74" s="66">
        <f t="shared" si="25"/>
        <v>0.23314785212763806</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0.12585276503318296</v>
      </c>
      <c r="D75" s="27"/>
      <c r="E75" s="305"/>
      <c r="F75" s="27"/>
      <c r="G75" s="6">
        <f t="shared" ref="G75:Q75" si="26">IF(G$4="","",ABS(G7/G$4))</f>
        <v>0.12354484140215981</v>
      </c>
      <c r="H75" s="6">
        <f t="shared" si="26"/>
        <v>0.10724053437195427</v>
      </c>
      <c r="I75" s="6">
        <f t="shared" si="26"/>
        <v>0.14281979835667225</v>
      </c>
      <c r="J75" s="6">
        <f t="shared" si="26"/>
        <v>0.14656291281612502</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9.2226336671468387E-2</v>
      </c>
      <c r="D76" s="27"/>
      <c r="E76" s="305"/>
      <c r="F76" s="27"/>
      <c r="G76" s="66">
        <f t="shared" ref="G76:Q76" si="27">IF(G$4="","",ABS(G8/G$4))</f>
        <v>8.846593769802312E-2</v>
      </c>
      <c r="H76" s="66">
        <f t="shared" si="27"/>
        <v>9.1230245306895261E-2</v>
      </c>
      <c r="I76" s="66">
        <f t="shared" si="27"/>
        <v>8.5867197555262342E-2</v>
      </c>
      <c r="J76" s="66">
        <f t="shared" si="27"/>
        <v>8.6584939311513037E-2</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9.3408457248361651E-2</v>
      </c>
      <c r="D77" s="27"/>
      <c r="E77" s="305"/>
      <c r="F77" s="27"/>
      <c r="G77" s="6">
        <f t="shared" ref="G77:Q77" si="28">IF(G$4="","",G9/G$4)</f>
        <v>7.6248118572758927E-2</v>
      </c>
      <c r="H77" s="6">
        <f t="shared" si="28"/>
        <v>6.873619050823869E-2</v>
      </c>
      <c r="I77" s="6">
        <f t="shared" si="28"/>
        <v>0.12856476983095208</v>
      </c>
      <c r="J77" s="6">
        <f t="shared" si="28"/>
        <v>0.13690998910237695</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0.10287256125768818</v>
      </c>
      <c r="D78" s="27"/>
      <c r="E78" s="306" t="s">
        <v>368</v>
      </c>
      <c r="F78" s="27"/>
      <c r="G78" s="6">
        <f t="shared" ref="G78:Q78" si="29">IF(G$4="","",-G10/G$4)</f>
        <v>3.8291776983950913E-2</v>
      </c>
      <c r="H78" s="6">
        <f t="shared" si="29"/>
        <v>8.7216250350784633E-2</v>
      </c>
      <c r="I78" s="6">
        <f t="shared" si="29"/>
        <v>0.13245407610207363</v>
      </c>
      <c r="J78" s="6">
        <f t="shared" si="29"/>
        <v>0.15352814159394357</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7.542363494277165E-3</v>
      </c>
      <c r="D79" s="27"/>
      <c r="E79" s="305"/>
      <c r="F79" s="27"/>
      <c r="G79" s="66">
        <f t="shared" ref="G79:Q79" si="30">IF(G$4="","",G11/G$4)</f>
        <v>6.156734015008907E-3</v>
      </c>
      <c r="H79" s="66">
        <f t="shared" si="30"/>
        <v>4.7083092659316421E-3</v>
      </c>
      <c r="I79" s="66">
        <f t="shared" si="30"/>
        <v>6.9549502643010729E-3</v>
      </c>
      <c r="J79" s="66">
        <f t="shared" si="30"/>
        <v>6.5304801024434382E-3</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7.0780439553712786E-3</v>
      </c>
      <c r="D80" s="27"/>
      <c r="E80" s="305"/>
      <c r="F80" s="27"/>
      <c r="G80" s="6">
        <f t="shared" ref="G80:Q80" si="31">IF(G$4="","",ABS(G12/G$4))</f>
        <v>5.7777159656687812E-3</v>
      </c>
      <c r="H80" s="6">
        <f t="shared" si="31"/>
        <v>5.474405387871503E-3</v>
      </c>
      <c r="I80" s="6">
        <f t="shared" si="31"/>
        <v>7.2002342702727051E-3</v>
      </c>
      <c r="J80" s="6">
        <f t="shared" si="31"/>
        <v>7.9203092325063427E-3</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8.3226552201047743E-2</v>
      </c>
      <c r="D81" s="27"/>
      <c r="E81" s="305"/>
      <c r="F81" s="27"/>
      <c r="G81" s="66">
        <f t="shared" ref="G81:Q81" si="32">IF(G$4="","",G13/G$4)</f>
        <v>0.12680129733617126</v>
      </c>
      <c r="H81" s="66">
        <f t="shared" si="32"/>
        <v>7.1984089342409463E-2</v>
      </c>
      <c r="I81" s="66">
        <f t="shared" si="32"/>
        <v>8.1732607278169167E-2</v>
      </c>
      <c r="J81" s="66">
        <f t="shared" si="32"/>
        <v>6.8576957689883505E-2</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2.3172664052593564E-2</v>
      </c>
      <c r="D82" s="27"/>
      <c r="E82" s="305"/>
      <c r="F82" s="27"/>
      <c r="G82" s="6">
        <f t="shared" ref="G82:Q82" si="33">IF(G$4="","",ABS(G14/G$4))</f>
        <v>1.89859754793405E-2</v>
      </c>
      <c r="H82" s="6">
        <f t="shared" si="33"/>
        <v>1.5414148143643103E-2</v>
      </c>
      <c r="I82" s="6">
        <f t="shared" si="33"/>
        <v>1.3037088567189508E-2</v>
      </c>
      <c r="J82" s="6">
        <f t="shared" si="33"/>
        <v>9.8668293120044402E-3</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6.358991594852495E-3</v>
      </c>
      <c r="D83" s="27"/>
      <c r="E83" s="305"/>
      <c r="F83" s="27"/>
      <c r="G83" s="6">
        <f t="shared" ref="G83:Q83" si="34">IF(G$4="","",-G15/G$4)</f>
        <v>6.358991594852495E-3</v>
      </c>
      <c r="H83" s="6">
        <f t="shared" si="34"/>
        <v>4.5088752756495725E-3</v>
      </c>
      <c r="I83" s="6">
        <f t="shared" si="34"/>
        <v>0</v>
      </c>
      <c r="J83" s="6">
        <f t="shared" si="34"/>
        <v>0</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5.3694896553601684E-2</v>
      </c>
      <c r="D84" s="27"/>
      <c r="E84" s="305"/>
      <c r="F84" s="27"/>
      <c r="G84" s="66">
        <f t="shared" ref="G84:Q84" si="35">IF(G$4="","",ABS(G16/G$4))</f>
        <v>0.10145633026197827</v>
      </c>
      <c r="H84" s="66">
        <f t="shared" si="35"/>
        <v>5.2061065923116788E-2</v>
      </c>
      <c r="I84" s="66">
        <f t="shared" si="35"/>
        <v>6.8695518710979647E-2</v>
      </c>
      <c r="J84" s="66">
        <f t="shared" si="35"/>
        <v>5.8710128377879062E-2</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5.3694896553601684E-2</v>
      </c>
      <c r="D87" s="77"/>
      <c r="E87" s="305"/>
      <c r="F87" s="77"/>
      <c r="G87" s="66">
        <f t="shared" ref="G87:Q87" si="36">IF(G$4="","",ABS(G19/G$4))</f>
        <v>0.10145633026197827</v>
      </c>
      <c r="H87" s="66">
        <f t="shared" si="36"/>
        <v>5.2061065923116788E-2</v>
      </c>
      <c r="I87" s="66">
        <f t="shared" si="36"/>
        <v>6.8695518710979647E-2</v>
      </c>
      <c r="J87" s="66">
        <f t="shared" si="36"/>
        <v>5.8710128377879062E-2</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0.44193951040398949</v>
      </c>
      <c r="E90" s="308"/>
      <c r="G90" s="116">
        <f>Data!C65</f>
        <v>0.44193951040398949</v>
      </c>
      <c r="H90" s="116">
        <f>Data!D65</f>
        <v>0.41373060548458596</v>
      </c>
      <c r="I90" s="116">
        <f>Data!E65</f>
        <v>0.39735063469471893</v>
      </c>
      <c r="J90" s="116">
        <f>Data!F65</f>
        <v>0.21309006776117467</v>
      </c>
      <c r="K90" s="116" t="str">
        <f>Data!G65</f>
        <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80884.201330546348</v>
      </c>
      <c r="E91" s="308"/>
      <c r="G91" s="76">
        <f t="shared" ref="G91:Q91" si="37">IF(G$4="","",G90*Common_Shares/$C$3)</f>
        <v>80884.201330546348</v>
      </c>
      <c r="H91" s="76">
        <f t="shared" si="37"/>
        <v>75721.379969022106</v>
      </c>
      <c r="I91" s="76">
        <f t="shared" si="37"/>
        <v>72723.50169843038</v>
      </c>
      <c r="J91" s="76">
        <f t="shared" si="37"/>
        <v>38999.952564954066</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0.61287975046304477</v>
      </c>
      <c r="E92" s="308"/>
      <c r="G92" s="174">
        <f t="shared" ref="G92:Q92" si="38">IF(G$4="","",G90/(G19*$C$3/Common_Shares))</f>
        <v>0.2647720058869748</v>
      </c>
      <c r="H92" s="174">
        <f t="shared" si="38"/>
        <v>0.44902665783547285</v>
      </c>
      <c r="I92" s="174">
        <f t="shared" si="38"/>
        <v>0.5717757182764398</v>
      </c>
      <c r="J92" s="174">
        <f t="shared" si="38"/>
        <v>0.38403559151290151</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8.1992488015582468E-2</v>
      </c>
      <c r="E93" s="308"/>
      <c r="G93" s="23">
        <f t="shared" ref="G93:Q93" si="39">IF(G$4="","",G90/Market_Price)</f>
        <v>8.1992488015582468E-2</v>
      </c>
      <c r="H93" s="23">
        <f t="shared" si="39"/>
        <v>7.6758924950758062E-2</v>
      </c>
      <c r="I93" s="23">
        <f t="shared" si="39"/>
        <v>7.3719969331116686E-2</v>
      </c>
      <c r="J93" s="23">
        <f t="shared" si="39"/>
        <v>3.9534335391683613E-2</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-0.18371290117741146</v>
      </c>
      <c r="D96" s="27"/>
      <c r="E96" s="305"/>
      <c r="F96" s="27"/>
      <c r="G96" s="6">
        <f t="shared" ref="G96:Q96" si="40">IF(H4="","",G4/H4-1)</f>
        <v>-7.0436318967191269E-2</v>
      </c>
      <c r="H96" s="6">
        <f t="shared" si="40"/>
        <v>0.74949486547839661</v>
      </c>
      <c r="I96" s="6">
        <f t="shared" si="40"/>
        <v>7.0387660537596819E-2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-0.46422661070187343</v>
      </c>
      <c r="D97" s="27"/>
      <c r="E97" s="305"/>
      <c r="F97" s="27"/>
      <c r="G97" s="6">
        <f t="shared" ref="G97:Q97" si="41">IF(H5="","",G13/H13-1)</f>
        <v>0.63744352103797386</v>
      </c>
      <c r="H97" s="6">
        <f t="shared" si="41"/>
        <v>0.54082683636988382</v>
      </c>
      <c r="I97" s="6">
        <f t="shared" si="41"/>
        <v>0.27572842600778635</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2768297</v>
      </c>
      <c r="D101" s="26"/>
      <c r="E101" s="309"/>
      <c r="F101" s="26"/>
      <c r="G101" s="186">
        <f t="shared" ref="G101:Q101" si="42">IF(G$4="","",G105+G104)</f>
        <v>2752710</v>
      </c>
      <c r="H101" s="186">
        <f t="shared" si="42"/>
        <v>2670666</v>
      </c>
      <c r="I101" s="186">
        <f t="shared" si="42"/>
        <v>1981074</v>
      </c>
      <c r="J101" s="186">
        <f t="shared" si="42"/>
        <v>1946908</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142879</v>
      </c>
      <c r="D102" s="91"/>
      <c r="E102" s="310"/>
      <c r="F102" s="91"/>
      <c r="G102" s="188">
        <f>IF(G$4="","",Data!D77)</f>
        <v>117877</v>
      </c>
      <c r="H102" s="188">
        <f>IF(H$4="","",Data!E77)</f>
        <v>23709</v>
      </c>
      <c r="I102" s="188">
        <f>IF(I$4="","",Data!F77)</f>
        <v>27379</v>
      </c>
      <c r="J102" s="188" t="str">
        <f>IF(J$4="","",Data!G77)</f>
        <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182674</v>
      </c>
      <c r="D103" s="91"/>
      <c r="E103" s="310"/>
      <c r="F103" s="91"/>
      <c r="G103" s="188">
        <f>IF(G$4="","",Data!D78)</f>
        <v>167751</v>
      </c>
      <c r="H103" s="188">
        <f>IF(H$4="","",Data!E78)</f>
        <v>110386</v>
      </c>
      <c r="I103" s="188">
        <f>IF(I$4="","",Data!F78)</f>
        <v>109354</v>
      </c>
      <c r="J103" s="188" t="str">
        <f>IF(J$4="","",Data!G78)</f>
        <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1090144</v>
      </c>
      <c r="D104" s="26"/>
      <c r="E104" s="309"/>
      <c r="F104" s="26"/>
      <c r="G104" s="186">
        <f>Data!C79</f>
        <v>1122089</v>
      </c>
      <c r="H104" s="186">
        <f>Data!D79</f>
        <v>1136250</v>
      </c>
      <c r="I104" s="186">
        <f>Data!E79</f>
        <v>689466</v>
      </c>
      <c r="J104" s="186">
        <f>Data!F79</f>
        <v>707978</v>
      </c>
      <c r="K104" s="186" t="str">
        <f>Data!G79</f>
        <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1678153</v>
      </c>
      <c r="D105" s="26"/>
      <c r="E105" s="309"/>
      <c r="F105" s="26"/>
      <c r="G105" s="186">
        <f>Data!C80</f>
        <v>1630621</v>
      </c>
      <c r="H105" s="186">
        <f>Data!D80</f>
        <v>1534416</v>
      </c>
      <c r="I105" s="186">
        <f>Data!E80</f>
        <v>1291608</v>
      </c>
      <c r="J105" s="186">
        <f>Data!F80</f>
        <v>1238930</v>
      </c>
      <c r="K105" s="186" t="str">
        <f>Data!G80</f>
        <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5.8131694557062623E-2</v>
      </c>
      <c r="D108" s="26"/>
      <c r="E108" s="309"/>
      <c r="F108" s="26"/>
      <c r="G108" s="97">
        <f t="shared" ref="G108:Q108" si="43">IF(G$4="","",G102/G$4)</f>
        <v>3.9148631755702067E-2</v>
      </c>
      <c r="H108" s="97">
        <f t="shared" si="43"/>
        <v>7.3194744204296966E-3</v>
      </c>
      <c r="I108" s="97">
        <f t="shared" si="43"/>
        <v>1.478757344772067E-2</v>
      </c>
      <c r="J108" s="97" t="e">
        <f t="shared" si="43"/>
        <v>#VALUE!</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7.4322672831674749E-2</v>
      </c>
      <c r="D109" s="26"/>
      <c r="E109" s="309"/>
      <c r="F109" s="26"/>
      <c r="G109" s="97">
        <f t="shared" ref="G109:Q109" si="44">IF(G$4="","",G103/G$4)</f>
        <v>5.5712497990708772E-2</v>
      </c>
      <c r="H109" s="97">
        <f t="shared" si="44"/>
        <v>3.4078514630459002E-2</v>
      </c>
      <c r="I109" s="97">
        <f t="shared" si="44"/>
        <v>5.9062796552176708E-2</v>
      </c>
      <c r="J109" s="97" t="e">
        <f t="shared" si="44"/>
        <v>#VALUE!</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409</v>
      </c>
      <c r="C113" s="173"/>
      <c r="E113" s="308"/>
      <c r="G113" s="340">
        <f>IF(G$4="","",Data!C$22/Data!C15)</f>
        <v>2.5325501550271508</v>
      </c>
      <c r="H113" s="340">
        <f>IF(H$4="","",Data!D$22/Data!D15)</f>
        <v>2.4106818167904347</v>
      </c>
      <c r="I113" s="340">
        <f>IF(I$4="","",Data!E$22/Data!E15)</f>
        <v>2.089210991434657</v>
      </c>
      <c r="J113" s="340">
        <f>IF(J$4="","",Data!F$22/Data!F15)</f>
        <v>1.9893115689283667</v>
      </c>
      <c r="K113" s="340" t="str">
        <f>IF(K$4="","",Data!G$22/Data!G15)</f>
        <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410</v>
      </c>
      <c r="C114" s="173"/>
      <c r="E114" s="308"/>
      <c r="G114" s="340">
        <f>IF(G$4="","",Data!C$22/G19)</f>
        <v>1.4946533044928882</v>
      </c>
      <c r="H114" s="340">
        <f>IF(H$4="","",Data!D$22/H19)</f>
        <v>2.3350383877696497</v>
      </c>
      <c r="I114" s="340">
        <f>IF(I$4="","",Data!E$22/I19)</f>
        <v>2.1747109009597989</v>
      </c>
      <c r="J114" s="340">
        <f>IF(J$4="","",Data!F$22/J19)</f>
        <v>2.5273216075523925</v>
      </c>
      <c r="K114" s="340" t="str">
        <f>IF(K$4="","",Data!G$22/K19)</f>
        <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8.3226552201047743E-2</v>
      </c>
      <c r="E117" s="308"/>
      <c r="G117" s="23">
        <f t="shared" ref="G117:Q117" si="45">G81</f>
        <v>0.12680129733617126</v>
      </c>
      <c r="H117" s="23">
        <f t="shared" si="45"/>
        <v>7.1984089342409463E-2</v>
      </c>
      <c r="I117" s="23">
        <f t="shared" si="45"/>
        <v>8.1732607278169167E-2</v>
      </c>
      <c r="J117" s="23">
        <f t="shared" si="45"/>
        <v>6.8576957689883505E-2</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0.88785641497281542</v>
      </c>
      <c r="E118" s="308"/>
      <c r="G118" s="42">
        <f t="shared" ref="G118:Q118" si="46">IF(G4="","",G4/G101)</f>
        <v>1.0938355293510758</v>
      </c>
      <c r="H118" s="42">
        <f t="shared" si="46"/>
        <v>1.2128686252792376</v>
      </c>
      <c r="I118" s="42">
        <f t="shared" si="46"/>
        <v>0.93458750152694947</v>
      </c>
      <c r="J118" s="42">
        <f t="shared" si="46"/>
        <v>0.88845235624898555</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1.6496094217869288</v>
      </c>
      <c r="D119" s="11"/>
      <c r="E119" s="312"/>
      <c r="F119" s="11"/>
      <c r="G119" s="15">
        <f t="shared" ref="G119:Q119" si="47">IF(G$4="","",G101/G105)</f>
        <v>1.6881359923611925</v>
      </c>
      <c r="H119" s="15">
        <f t="shared" si="47"/>
        <v>1.7405097444239372</v>
      </c>
      <c r="I119" s="15">
        <f t="shared" si="47"/>
        <v>1.5338043740825389</v>
      </c>
      <c r="J119" s="15">
        <f t="shared" si="47"/>
        <v>1.5714431000944362</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0.13507619665462728</v>
      </c>
      <c r="D120" s="106"/>
      <c r="E120" s="311"/>
      <c r="F120" s="106"/>
      <c r="G120" s="105">
        <f t="shared" ref="G120:Q120" si="48">IF(G$4="","",G8/G105)</f>
        <v>0.16335616921406015</v>
      </c>
      <c r="H120" s="105">
        <f t="shared" si="48"/>
        <v>0.19258792921867343</v>
      </c>
      <c r="I120" s="105">
        <f t="shared" si="48"/>
        <v>0.12308842930672464</v>
      </c>
      <c r="J120" s="105">
        <f t="shared" si="48"/>
        <v>0.12088576432889671</v>
      </c>
      <c r="K120" s="105" t="str">
        <f t="shared" si="48"/>
        <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0.76687147787947652</v>
      </c>
      <c r="D124" s="27"/>
      <c r="E124" s="305"/>
      <c r="F124" s="27"/>
      <c r="G124" s="181">
        <f t="shared" ref="G124:Q124" si="49">IF(G$4="","",G16*$C$3/Common_Shares*Exchange_Rate)</f>
        <v>1.7751121325138595</v>
      </c>
      <c r="H124" s="181">
        <f t="shared" si="49"/>
        <v>0.97989727852910624</v>
      </c>
      <c r="I124" s="181">
        <f t="shared" si="49"/>
        <v>0.7390660122360998</v>
      </c>
      <c r="J124" s="181">
        <f t="shared" si="49"/>
        <v>0.59010155571059042</v>
      </c>
      <c r="K124" s="181" t="str">
        <f t="shared" si="49"/>
        <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0.14227671203700865</v>
      </c>
      <c r="D125" s="27"/>
      <c r="E125" s="305"/>
      <c r="F125" s="27"/>
      <c r="G125" s="79">
        <f t="shared" ref="G125" si="50">IF(G$4="","",G124/Market_Price)</f>
        <v>0.32933434740516876</v>
      </c>
      <c r="H125" s="79">
        <f t="shared" ref="H125" si="51">IF(H$4="","",H124/Market_Price)</f>
        <v>0.18179912403137408</v>
      </c>
      <c r="I125" s="79">
        <f t="shared" ref="I125" si="52">IF(I$4="","",I124/Market_Price)</f>
        <v>0.13711799855957327</v>
      </c>
      <c r="J125" s="79">
        <f t="shared" ref="J125" si="53">IF(J$4="","",J124/Market_Price)</f>
        <v>0.10948080810957152</v>
      </c>
      <c r="K125" s="79" t="str">
        <f t="shared" ref="K125" si="54">IF(K$4="","",K124/Market_Price)</f>
        <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412</v>
      </c>
      <c r="C126" s="173"/>
      <c r="G126" s="23">
        <f>IF(G$4="","",(Data!C47*$C$3)/(Market_Price*Common_Shares))</f>
        <v>0.18276137259990091</v>
      </c>
      <c r="H126" s="23">
        <f>IF(H$4="","",(Data!D47*$C$3)/(Market_Price*Common_Shares))</f>
        <v>0.16558114872392748</v>
      </c>
      <c r="I126" s="23">
        <f>IF(I$4="","",(Data!E47*$C$3)/(Market_Price*Common_Shares))</f>
        <v>0.13420808117982194</v>
      </c>
      <c r="J126" s="23">
        <f>IF(J$4="","",(Data!F47*$C$3)/(Market_Price*Common_Shares))</f>
        <v>0.1307858227537371</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131974.01491799403</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1649675.1864749254</v>
      </c>
      <c r="D6" t="str">
        <f>Reporting_currency</f>
        <v>CNY</v>
      </c>
      <c r="E6" s="349" t="s">
        <v>251</v>
      </c>
      <c r="F6" s="349"/>
      <c r="H6" s="124"/>
    </row>
    <row r="7" spans="2:8" x14ac:dyDescent="0.35">
      <c r="B7" s="152" t="s">
        <v>226</v>
      </c>
      <c r="C7" s="232">
        <f>BS!G31</f>
        <v>245714</v>
      </c>
      <c r="D7" t="str">
        <f>Reporting_currency</f>
        <v>CNY</v>
      </c>
      <c r="E7" s="349"/>
      <c r="F7" s="349"/>
      <c r="H7" s="124"/>
    </row>
    <row r="8" spans="2:8" x14ac:dyDescent="0.35">
      <c r="B8" s="152" t="s">
        <v>227</v>
      </c>
      <c r="C8" s="207">
        <f>BS!D66</f>
        <v>46208.672776167194</v>
      </c>
      <c r="D8" t="str">
        <f>Reporting_currency</f>
        <v>CNY</v>
      </c>
      <c r="E8" s="349"/>
      <c r="F8" s="349"/>
      <c r="H8" s="124"/>
    </row>
    <row r="9" spans="2:8" x14ac:dyDescent="0.35">
      <c r="B9" s="233" t="s">
        <v>192</v>
      </c>
      <c r="C9" s="235">
        <f>BS!H42</f>
        <v>6352.8</v>
      </c>
      <c r="D9" t="str">
        <f>Reporting_currency</f>
        <v>CNY</v>
      </c>
      <c r="E9" s="349"/>
      <c r="F9" s="349"/>
      <c r="H9" s="124"/>
    </row>
    <row r="10" spans="2:8" ht="13.15" x14ac:dyDescent="0.4">
      <c r="B10" s="153" t="s">
        <v>229</v>
      </c>
      <c r="C10" s="238">
        <f>C6-C7+C8+C9</f>
        <v>1456522.6592510927</v>
      </c>
      <c r="D10" t="str">
        <f>Reporting_currency</f>
        <v>CNY</v>
      </c>
      <c r="H10" s="124"/>
    </row>
    <row r="11" spans="2:8" ht="13.15" thickBot="1" x14ac:dyDescent="0.4">
      <c r="B11" s="236" t="s">
        <v>168</v>
      </c>
      <c r="C11" s="237">
        <f>Exchange_Rate</f>
        <v>1.06349396</v>
      </c>
      <c r="D11" t="str">
        <f>Thesis!D17</f>
        <v>CNY/HKD</v>
      </c>
      <c r="H11" s="124"/>
    </row>
    <row r="12" spans="2:8" ht="13.5" thickTop="1" x14ac:dyDescent="0.4">
      <c r="B12" s="153" t="s">
        <v>104</v>
      </c>
      <c r="C12" s="115">
        <f>(C10*C3)/Common_Shares*C11</f>
        <v>8.463527346340797</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-9.1142204532876307E-3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8.2002399621897837</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130771.17465192598</v>
      </c>
      <c r="D21" s="142">
        <f>IF($C$17&lt;B21,0,Valuation_Model!$C$16)</f>
        <v>-9.1142204532876307E-3</v>
      </c>
      <c r="E21" s="128">
        <f t="shared" ref="E21:E50" si="0">IF($C$17&lt;B21,0,1/(1+Equity_Cost)^B21)</f>
        <v>0.92592592592592582</v>
      </c>
      <c r="F21" s="129">
        <f t="shared" ref="F21:F51" si="1">C21*E21</f>
        <v>121084.42097400552</v>
      </c>
      <c r="H21" s="124"/>
    </row>
    <row r="22" spans="2:8" x14ac:dyDescent="0.35">
      <c r="B22" s="126">
        <v>2</v>
      </c>
      <c r="C22" s="127">
        <f t="shared" ref="C22:C50" si="2">IF(ROW()-ROW($C$21)&lt;$C$17, $C$21*(1+D22)^(ROW()-ROW($C$21)), 0)</f>
        <v>129579.29733721295</v>
      </c>
      <c r="D22" s="142">
        <f>IF($C$17&lt;B22,0,Valuation_Model!$C$16)</f>
        <v>-9.1142204532876307E-3</v>
      </c>
      <c r="E22" s="128">
        <f t="shared" si="0"/>
        <v>0.85733882030178321</v>
      </c>
      <c r="F22" s="129">
        <f t="shared" si="1"/>
        <v>111093.36191462015</v>
      </c>
      <c r="H22" s="124"/>
    </row>
    <row r="23" spans="2:8" x14ac:dyDescent="0.35">
      <c r="B23" s="126">
        <v>3</v>
      </c>
      <c r="C23" s="127">
        <f t="shared" si="2"/>
        <v>128398.28305509948</v>
      </c>
      <c r="D23" s="142">
        <f>IF($C$17&lt;B23,0,Valuation_Model!$C$16)</f>
        <v>-9.1142204532876307E-3</v>
      </c>
      <c r="E23" s="128">
        <f t="shared" si="0"/>
        <v>0.79383224102016958</v>
      </c>
      <c r="F23" s="129">
        <f t="shared" si="1"/>
        <v>101926.69678077169</v>
      </c>
      <c r="H23" s="124"/>
    </row>
    <row r="24" spans="2:8" x14ac:dyDescent="0.35">
      <c r="B24" s="126">
        <v>4</v>
      </c>
      <c r="C24" s="127">
        <f t="shared" si="2"/>
        <v>127228.03279751168</v>
      </c>
      <c r="D24" s="142">
        <f>IF($C$17&lt;B24,0,Valuation_Model!$C$16)</f>
        <v>-9.1142204532876307E-3</v>
      </c>
      <c r="E24" s="128">
        <f t="shared" si="0"/>
        <v>0.73502985279645328</v>
      </c>
      <c r="F24" s="129">
        <f t="shared" si="1"/>
        <v>93516.402218737334</v>
      </c>
      <c r="H24" s="124"/>
    </row>
    <row r="25" spans="2:8" x14ac:dyDescent="0.35">
      <c r="B25" s="126">
        <v>5</v>
      </c>
      <c r="C25" s="127">
        <f t="shared" si="2"/>
        <v>126068.44845875706</v>
      </c>
      <c r="D25" s="142">
        <f>IF($C$17&lt;B25,0,Valuation_Model!$C$16)</f>
        <v>-9.1142204532876307E-3</v>
      </c>
      <c r="E25" s="128">
        <f t="shared" si="0"/>
        <v>0.68058319703375303</v>
      </c>
      <c r="F25" s="129">
        <f t="shared" si="1"/>
        <v>85800.067697145802</v>
      </c>
      <c r="H25" s="124"/>
    </row>
    <row r="26" spans="2:8" x14ac:dyDescent="0.35">
      <c r="B26" s="126">
        <v>6</v>
      </c>
      <c r="C26" s="127">
        <f t="shared" si="2"/>
        <v>124919.43282730001</v>
      </c>
      <c r="D26" s="142">
        <f>IF($C$17&lt;B26,0,Valuation_Model!$C$16)</f>
        <v>-9.1142204532876307E-3</v>
      </c>
      <c r="E26" s="128">
        <f t="shared" si="0"/>
        <v>0.63016962688310452</v>
      </c>
      <c r="F26" s="129">
        <f t="shared" si="1"/>
        <v>78720.432375228687</v>
      </c>
      <c r="H26" s="124"/>
    </row>
    <row r="27" spans="2:8" x14ac:dyDescent="0.35">
      <c r="B27" s="126">
        <v>7</v>
      </c>
      <c r="C27" s="127">
        <f t="shared" si="2"/>
        <v>123780.88957761235</v>
      </c>
      <c r="D27" s="142">
        <f>IF($C$17&lt;B27,0,Valuation_Model!$C$16)</f>
        <v>-9.1142204532876307E-3</v>
      </c>
      <c r="E27" s="128">
        <f t="shared" si="0"/>
        <v>0.58349039526213387</v>
      </c>
      <c r="F27" s="129">
        <f t="shared" si="1"/>
        <v>72224.960185539574</v>
      </c>
      <c r="H27" s="124"/>
    </row>
    <row r="28" spans="2:8" x14ac:dyDescent="0.35">
      <c r="B28" s="126">
        <v>8</v>
      </c>
      <c r="C28" s="127">
        <f t="shared" si="2"/>
        <v>122652.72326209795</v>
      </c>
      <c r="D28" s="142">
        <f>IF($C$17&lt;B28,0,Valuation_Model!$C$16)</f>
        <v>-9.1142204532876307E-3</v>
      </c>
      <c r="E28" s="128">
        <f t="shared" si="0"/>
        <v>0.54026888450197574</v>
      </c>
      <c r="F28" s="129">
        <f t="shared" si="1"/>
        <v>66265.449977943194</v>
      </c>
      <c r="H28" s="124"/>
    </row>
    <row r="29" spans="2:8" x14ac:dyDescent="0.35">
      <c r="B29" s="126">
        <v>9</v>
      </c>
      <c r="C29" s="127">
        <f t="shared" si="2"/>
        <v>121534.83930309111</v>
      </c>
      <c r="D29" s="142">
        <f>IF($C$17&lt;B29,0,Valuation_Model!$C$16)</f>
        <v>-9.1142204532876307E-3</v>
      </c>
      <c r="E29" s="128">
        <f t="shared" si="0"/>
        <v>0.50024896713145905</v>
      </c>
      <c r="F29" s="129">
        <f t="shared" si="1"/>
        <v>60797.677831859182</v>
      </c>
      <c r="H29" s="124"/>
    </row>
    <row r="30" spans="2:8" x14ac:dyDescent="0.35">
      <c r="B30" s="126">
        <v>10</v>
      </c>
      <c r="C30" s="127">
        <f t="shared" si="2"/>
        <v>120427.14398492787</v>
      </c>
      <c r="D30" s="142">
        <f>IF($C$17&lt;B30,0,Valuation_Model!$C$16)</f>
        <v>-9.1142204532876307E-3</v>
      </c>
      <c r="E30" s="128">
        <f t="shared" si="0"/>
        <v>0.46319348808468425</v>
      </c>
      <c r="F30" s="129">
        <f t="shared" si="1"/>
        <v>55781.068882455242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1634639.6831490747</v>
      </c>
      <c r="D51" s="143">
        <f>Terminal_Growth</f>
        <v>0</v>
      </c>
      <c r="E51" s="128">
        <f>1/(1+Equity_Cost)^C17</f>
        <v>0.46319348808468425</v>
      </c>
      <c r="F51" s="129">
        <f t="shared" si="1"/>
        <v>757154.45659946289</v>
      </c>
      <c r="H51" s="124"/>
    </row>
    <row r="52" spans="1:8" x14ac:dyDescent="0.35">
      <c r="C52" s="118"/>
      <c r="E52" s="131" t="s">
        <v>102</v>
      </c>
      <c r="F52" s="141">
        <f>SUM(F21:F51)</f>
        <v>1604364.9954377692</v>
      </c>
      <c r="H52" s="124"/>
    </row>
    <row r="53" spans="1:8" x14ac:dyDescent="0.35">
      <c r="C53" s="118"/>
      <c r="H53" s="124"/>
    </row>
    <row r="54" spans="1:8" ht="13.15" x14ac:dyDescent="0.35">
      <c r="B54" s="123" t="s">
        <v>131</v>
      </c>
      <c r="C54" s="140"/>
      <c r="D54" s="140"/>
      <c r="E54" s="121"/>
      <c r="F54" s="121"/>
      <c r="H54" s="124"/>
    </row>
    <row r="55" spans="1:8" ht="13.15" x14ac:dyDescent="0.4">
      <c r="A55" s="137">
        <f>F52</f>
        <v>1604364.9954377692</v>
      </c>
      <c r="B55" s="135">
        <f>C78</f>
        <v>-0.15</v>
      </c>
      <c r="C55" s="135">
        <f>C77</f>
        <v>-0.1</v>
      </c>
      <c r="D55" s="135">
        <f>C76</f>
        <v>0</v>
      </c>
      <c r="E55" s="135">
        <f>C75</f>
        <v>0.02</v>
      </c>
      <c r="F55" s="135">
        <f>C74</f>
        <v>0.06</v>
      </c>
      <c r="H55" s="124"/>
    </row>
    <row r="56" spans="1:8" ht="13.15" x14ac:dyDescent="0.4">
      <c r="A56" s="147">
        <v>5</v>
      </c>
      <c r="B56" s="127">
        <f t="dataTable" ref="B56:F61" dt2D="1" dtr="1" r1="C16" r2="C17"/>
        <v>1294776.1537527773</v>
      </c>
      <c r="C56" s="127">
        <v>1405150.1823979535</v>
      </c>
      <c r="D56" s="127">
        <v>1649675.1864749249</v>
      </c>
      <c r="E56" s="127">
        <v>1702902.3435977912</v>
      </c>
      <c r="F56" s="127">
        <v>1814209.0038086427</v>
      </c>
      <c r="H56" s="124"/>
    </row>
    <row r="57" spans="1:8" ht="13.15" x14ac:dyDescent="0.4">
      <c r="A57" s="147">
        <v>10</v>
      </c>
      <c r="B57" s="127">
        <v>1092754.475188269</v>
      </c>
      <c r="C57" s="127">
        <v>1241004.2970088164</v>
      </c>
      <c r="D57" s="127">
        <v>1649675.1864749247</v>
      </c>
      <c r="E57" s="127">
        <v>1756178.5145211511</v>
      </c>
      <c r="F57" s="127">
        <v>2002486.2278830931</v>
      </c>
      <c r="H57" s="124"/>
    </row>
    <row r="58" spans="1:8" ht="13.15" x14ac:dyDescent="0.4">
      <c r="A58" s="147">
        <v>15</v>
      </c>
      <c r="B58" s="127">
        <v>916338.55028411746</v>
      </c>
      <c r="C58" s="127">
        <v>1085082.6728393636</v>
      </c>
      <c r="D58" s="127">
        <v>1649675.1864749244</v>
      </c>
      <c r="E58" s="127">
        <v>1822122.5481367675</v>
      </c>
      <c r="F58" s="127">
        <v>2261468.8135479582</v>
      </c>
      <c r="H58" s="124"/>
    </row>
    <row r="59" spans="1:8" ht="13.15" x14ac:dyDescent="0.4">
      <c r="A59" s="148">
        <v>20</v>
      </c>
      <c r="B59" s="127">
        <v>784518.82138253155</v>
      </c>
      <c r="C59" s="127">
        <v>961199.35704169539</v>
      </c>
      <c r="D59" s="127">
        <v>1649675.1864749244</v>
      </c>
      <c r="E59" s="127">
        <v>1889308.9431083992</v>
      </c>
      <c r="F59" s="127">
        <v>2556897.5486858366</v>
      </c>
      <c r="H59" s="124"/>
    </row>
    <row r="60" spans="1:8" ht="13.15" x14ac:dyDescent="0.4">
      <c r="A60" s="148">
        <v>25</v>
      </c>
      <c r="B60" s="127">
        <v>691255.07052868966</v>
      </c>
      <c r="C60" s="127">
        <v>869746.82624299312</v>
      </c>
      <c r="D60" s="127">
        <v>1649675.1864749242</v>
      </c>
      <c r="E60" s="127">
        <v>1951796.0186057189</v>
      </c>
      <c r="F60" s="127">
        <v>2866497.8806298133</v>
      </c>
      <c r="H60" s="124"/>
    </row>
    <row r="61" spans="1:8" ht="13.15" x14ac:dyDescent="0.4">
      <c r="A61" s="148">
        <v>30</v>
      </c>
      <c r="B61" s="127">
        <v>626709.46912966296</v>
      </c>
      <c r="C61" s="127">
        <v>804636.51422046276</v>
      </c>
      <c r="D61" s="127">
        <v>1649675.1864749244</v>
      </c>
      <c r="E61" s="127">
        <v>2006918.3116576658</v>
      </c>
      <c r="F61" s="127">
        <v>3176058.8684317451</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-0.15</v>
      </c>
      <c r="C64" s="136">
        <f>C55</f>
        <v>-0.1</v>
      </c>
      <c r="D64" s="136">
        <f>D55</f>
        <v>0</v>
      </c>
      <c r="E64" s="136">
        <f>E55</f>
        <v>0.02</v>
      </c>
      <c r="F64" s="136">
        <f>F55</f>
        <v>0.06</v>
      </c>
      <c r="H64" s="124"/>
    </row>
    <row r="65" spans="1:8" ht="13.15" x14ac:dyDescent="0.4">
      <c r="A65" s="147">
        <v>0</v>
      </c>
      <c r="B65" s="128">
        <f>C12</f>
        <v>8.463527346340797</v>
      </c>
      <c r="C65" s="128">
        <f>C12</f>
        <v>8.463527346340797</v>
      </c>
      <c r="D65" s="128">
        <f>C12</f>
        <v>8.463527346340797</v>
      </c>
      <c r="E65" s="145">
        <f>C12</f>
        <v>8.463527346340797</v>
      </c>
      <c r="F65" s="128">
        <f>C12</f>
        <v>8.463527346340797</v>
      </c>
      <c r="H65" s="124"/>
    </row>
    <row r="66" spans="1:8" ht="13.15" x14ac:dyDescent="0.4">
      <c r="A66" s="147">
        <f t="shared" ref="A66:A71" si="3">A56</f>
        <v>5</v>
      </c>
      <c r="B66" s="128">
        <f t="shared" ref="B66:F71" si="4">(B56-$C$7+$C$8+$C$9)/Common_Shares*$C$3*Exchange_Rate</f>
        <v>6.4012884587026022</v>
      </c>
      <c r="C66" s="128">
        <f t="shared" si="4"/>
        <v>7.0426472483039735</v>
      </c>
      <c r="D66" s="128">
        <f t="shared" si="4"/>
        <v>8.4635273463407916</v>
      </c>
      <c r="E66" s="128">
        <f t="shared" si="4"/>
        <v>8.7728184493772456</v>
      </c>
      <c r="F66" s="128">
        <f t="shared" si="4"/>
        <v>9.4195965523755056</v>
      </c>
      <c r="H66" s="124"/>
    </row>
    <row r="67" spans="1:8" ht="13.15" x14ac:dyDescent="0.4">
      <c r="A67" s="147">
        <f t="shared" si="3"/>
        <v>10</v>
      </c>
      <c r="B67" s="128">
        <f t="shared" si="4"/>
        <v>5.2273856771533396</v>
      </c>
      <c r="C67" s="128">
        <f t="shared" si="4"/>
        <v>6.0888322280181892</v>
      </c>
      <c r="D67" s="128">
        <f t="shared" si="4"/>
        <v>8.4635273463407916</v>
      </c>
      <c r="E67" s="128">
        <f t="shared" si="4"/>
        <v>9.0823943606438959</v>
      </c>
      <c r="F67" s="128">
        <f t="shared" si="4"/>
        <v>10.513633383540615</v>
      </c>
      <c r="H67" s="124"/>
    </row>
    <row r="68" spans="1:8" ht="13.15" x14ac:dyDescent="0.4">
      <c r="A68" s="147">
        <f t="shared" si="3"/>
        <v>15</v>
      </c>
      <c r="B68" s="128">
        <f t="shared" si="4"/>
        <v>4.2022722020742727</v>
      </c>
      <c r="C68" s="128">
        <f t="shared" si="4"/>
        <v>5.1828065498989311</v>
      </c>
      <c r="D68" s="128">
        <f t="shared" si="4"/>
        <v>8.4635273463407898</v>
      </c>
      <c r="E68" s="128">
        <f t="shared" si="4"/>
        <v>9.4655803881930698</v>
      </c>
      <c r="F68" s="128">
        <f t="shared" si="4"/>
        <v>12.01852325399938</v>
      </c>
      <c r="H68" s="124"/>
    </row>
    <row r="69" spans="1:8" ht="13.15" x14ac:dyDescent="0.4">
      <c r="A69" s="148">
        <f t="shared" si="3"/>
        <v>20</v>
      </c>
      <c r="B69" s="128">
        <f t="shared" si="4"/>
        <v>3.4362972457221024</v>
      </c>
      <c r="C69" s="128">
        <f t="shared" si="4"/>
        <v>4.4629483147046747</v>
      </c>
      <c r="D69" s="128">
        <f t="shared" si="4"/>
        <v>8.4635273463407898</v>
      </c>
      <c r="E69" s="128">
        <f t="shared" si="4"/>
        <v>9.8559854996637242</v>
      </c>
      <c r="F69" s="128">
        <f t="shared" si="4"/>
        <v>13.735193545980923</v>
      </c>
      <c r="H69" s="124"/>
    </row>
    <row r="70" spans="1:8" ht="13.15" x14ac:dyDescent="0.4">
      <c r="A70" s="148">
        <f t="shared" si="3"/>
        <v>25</v>
      </c>
      <c r="B70" s="128">
        <f t="shared" si="4"/>
        <v>2.8943624527682705</v>
      </c>
      <c r="C70" s="128">
        <f t="shared" si="4"/>
        <v>3.9315381163182881</v>
      </c>
      <c r="D70" s="128">
        <f t="shared" si="4"/>
        <v>8.4635273463407881</v>
      </c>
      <c r="E70" s="128">
        <f t="shared" si="4"/>
        <v>10.219083916914821</v>
      </c>
      <c r="F70" s="128">
        <f t="shared" si="4"/>
        <v>15.534211816792675</v>
      </c>
    </row>
    <row r="71" spans="1:8" ht="13.15" x14ac:dyDescent="0.4">
      <c r="A71" s="148">
        <f t="shared" si="3"/>
        <v>30</v>
      </c>
      <c r="B71" s="128">
        <f t="shared" si="4"/>
        <v>2.5193024019980603</v>
      </c>
      <c r="C71" s="128">
        <f t="shared" si="4"/>
        <v>3.5531966584416144</v>
      </c>
      <c r="D71" s="128">
        <f t="shared" si="4"/>
        <v>8.4635273463407898</v>
      </c>
      <c r="E71" s="128">
        <f t="shared" si="4"/>
        <v>10.539387230890066</v>
      </c>
      <c r="F71" s="128">
        <f t="shared" si="4"/>
        <v>17.333001467596354</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10.513633383540615</v>
      </c>
      <c r="F74" s="146">
        <f>Scenarios!C58</f>
        <v>0.05</v>
      </c>
    </row>
    <row r="75" spans="1:8" x14ac:dyDescent="0.35">
      <c r="B75" s="131" t="str">
        <f>Scenarios!B36</f>
        <v>Optimistic</v>
      </c>
      <c r="C75" s="146">
        <f>Scenarios!C38</f>
        <v>0.02</v>
      </c>
      <c r="D75" s="149">
        <f>Scenarios!C37</f>
        <v>5</v>
      </c>
      <c r="E75" s="139">
        <f>INDEX(B$65:F$71, MATCH(D75, A$65:A$71, 0), MATCH(C75, B$64:F$64, 0))</f>
        <v>8.7728184493772456</v>
      </c>
      <c r="F75" s="146">
        <f>Scenarios!C40*(1-F$74-F$78)</f>
        <v>0.18</v>
      </c>
      <c r="H75" s="124"/>
    </row>
    <row r="76" spans="1:8" x14ac:dyDescent="0.35">
      <c r="B76" s="131" t="str">
        <f>Scenarios!B24</f>
        <v>Base</v>
      </c>
      <c r="C76" s="146">
        <f>Scenarios!C26</f>
        <v>0</v>
      </c>
      <c r="D76" s="149">
        <f>Scenarios!C25</f>
        <v>5</v>
      </c>
      <c r="E76" s="139">
        <f>INDEX(B$65:F$71, MATCH(D76, A$65:A$71, 0), MATCH(C76, B$64:F$64, 0))</f>
        <v>8.4635273463407916</v>
      </c>
      <c r="F76" s="146">
        <f>Scenarios!C28*(1-F$74-F$78)</f>
        <v>0.53999999999999992</v>
      </c>
      <c r="H76" s="124"/>
    </row>
    <row r="77" spans="1:8" x14ac:dyDescent="0.35">
      <c r="B77" s="131" t="str">
        <f>Scenarios!B30</f>
        <v>Pessimistic</v>
      </c>
      <c r="C77" s="146">
        <f>Scenarios!C32</f>
        <v>-0.1</v>
      </c>
      <c r="D77" s="149">
        <f>Scenarios!C31</f>
        <v>5</v>
      </c>
      <c r="E77" s="139">
        <f>INDEX(B$65:F$71, MATCH(D77, A$65:A$71, 0), MATCH(C77, B$64:F$64, 0))</f>
        <v>7.0426472483039735</v>
      </c>
      <c r="F77" s="146">
        <f>Scenarios!C34*(1-F$74-F$78)</f>
        <v>0.18</v>
      </c>
      <c r="H77" s="124"/>
    </row>
    <row r="78" spans="1:8" x14ac:dyDescent="0.35">
      <c r="B78" s="131" t="str">
        <f>Scenarios!B48</f>
        <v>Devil's advocate</v>
      </c>
      <c r="C78" s="146">
        <f>Scenarios!C50</f>
        <v>-0.15</v>
      </c>
      <c r="D78" s="149">
        <f>Scenarios!C49</f>
        <v>10</v>
      </c>
      <c r="E78" s="139">
        <f>INDEX(B$65:F$71, MATCH(D78, A$65:A$71, 0), MATCH(C78, B$64:F$64, 0))</f>
        <v>5.2273856771533396</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-5.39</v>
      </c>
    </row>
    <row r="4" spans="2:9" x14ac:dyDescent="0.35">
      <c r="B4" s="156" t="s">
        <v>148</v>
      </c>
      <c r="C4" s="124">
        <v>3</v>
      </c>
      <c r="D4" s="124"/>
      <c r="E4" s="159" t="s">
        <v>152</v>
      </c>
      <c r="F4" s="159"/>
      <c r="H4" s="282">
        <v>1</v>
      </c>
      <c r="I4" s="270">
        <f t="shared" ref="I4:I13" si="0">IF(ROW()-3 &lt; $C$76, $C$77, IF(ROW()-3 = $C$76, $C$77 + $C$60, ""))</f>
        <v>0.44193951040398949</v>
      </c>
    </row>
    <row r="5" spans="2:9" x14ac:dyDescent="0.35">
      <c r="H5" s="282">
        <v>2</v>
      </c>
      <c r="I5" s="270">
        <f t="shared" si="0"/>
        <v>0.44193951040398949</v>
      </c>
    </row>
    <row r="6" spans="2:9" ht="13.15" x14ac:dyDescent="0.4">
      <c r="B6" s="163" t="s">
        <v>97</v>
      </c>
      <c r="C6" s="110">
        <f>Valuation_Model!C3</f>
        <v>1000000</v>
      </c>
      <c r="E6" s="103" t="s">
        <v>285</v>
      </c>
      <c r="F6" s="103"/>
      <c r="H6" s="282">
        <v>3</v>
      </c>
      <c r="I6" s="270">
        <f t="shared" si="0"/>
        <v>8.646079056045334</v>
      </c>
    </row>
    <row r="7" spans="2:9" ht="12.75" customHeight="1" x14ac:dyDescent="0.35">
      <c r="B7" s="103" t="s">
        <v>279</v>
      </c>
      <c r="C7" s="118">
        <f>Normalized_FCF!G8</f>
        <v>266372</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1"/>
      <c r="H7" s="282">
        <v>4</v>
      </c>
      <c r="I7" s="270" t="str">
        <f t="shared" si="0"/>
        <v/>
      </c>
    </row>
    <row r="8" spans="2:9" x14ac:dyDescent="0.35">
      <c r="B8" s="103" t="s">
        <v>67</v>
      </c>
      <c r="C8" s="118">
        <f>Normalized_FCF!G19</f>
        <v>305486.2278947797</v>
      </c>
      <c r="D8" t="str">
        <f>Reporting_currency</f>
        <v>CNY</v>
      </c>
      <c r="E8" s="351"/>
      <c r="F8" s="351"/>
      <c r="H8" s="282">
        <v>5</v>
      </c>
      <c r="I8" s="270" t="str">
        <f t="shared" si="0"/>
        <v/>
      </c>
    </row>
    <row r="9" spans="2:9" x14ac:dyDescent="0.35">
      <c r="B9" s="103" t="s">
        <v>58</v>
      </c>
      <c r="C9" s="207">
        <f>Normalized_FCF!C19</f>
        <v>131974.01491799403</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0.20294093668232471</v>
      </c>
      <c r="D12" s="162"/>
      <c r="E12" s="351"/>
      <c r="F12" s="351"/>
      <c r="H12" s="282">
        <v>9</v>
      </c>
      <c r="I12" s="270" t="str">
        <f t="shared" si="0"/>
        <v/>
      </c>
    </row>
    <row r="13" spans="2:9" x14ac:dyDescent="0.35">
      <c r="B13" s="152" t="s">
        <v>154</v>
      </c>
      <c r="C13" s="162">
        <f ca="1">(Normalized_FCF!G8/OFFSET(Normalized_FCF!G8, 0, $C$4))^(1/$C$4) - 1</f>
        <v>0.21158962892889099</v>
      </c>
      <c r="E13" s="351"/>
      <c r="F13" s="351"/>
      <c r="H13" s="282">
        <v>10</v>
      </c>
      <c r="I13" s="270" t="str">
        <f t="shared" si="0"/>
        <v/>
      </c>
    </row>
    <row r="14" spans="2:9" x14ac:dyDescent="0.35">
      <c r="B14" s="103" t="s">
        <v>67</v>
      </c>
      <c r="C14" s="162">
        <f ca="1">(Normalized_FCF!G19/OFFSET(Normalized_FCF!G19, 0, $C$4))^(1/$C$4) - 1</f>
        <v>0.44355392169299579</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5.39</v>
      </c>
      <c r="D21" t="str">
        <f>Market_currency</f>
        <v>HKD</v>
      </c>
      <c r="E21" s="352"/>
      <c r="F21" s="352"/>
    </row>
    <row r="22" spans="2:6" x14ac:dyDescent="0.35">
      <c r="B22" s="103" t="s">
        <v>284</v>
      </c>
      <c r="C22" s="164">
        <f>Valuation_Model!C12</f>
        <v>8.463527346340797</v>
      </c>
      <c r="D22" t="str">
        <f>Market_currency</f>
        <v>HKD</v>
      </c>
      <c r="E22" s="352"/>
      <c r="F22" s="352"/>
    </row>
    <row r="24" spans="2:6" ht="13.15" x14ac:dyDescent="0.4">
      <c r="B24" s="163" t="s">
        <v>117</v>
      </c>
      <c r="E24" s="163" t="s">
        <v>151</v>
      </c>
      <c r="F24" s="163"/>
    </row>
    <row r="25" spans="2:6" x14ac:dyDescent="0.35">
      <c r="B25" s="156" t="s">
        <v>135</v>
      </c>
      <c r="C25" s="170">
        <f>C18</f>
        <v>5</v>
      </c>
      <c r="D25" s="167"/>
      <c r="E25" s="350"/>
      <c r="F25" s="350"/>
    </row>
    <row r="26" spans="2:6" x14ac:dyDescent="0.35">
      <c r="B26" s="122" t="s">
        <v>136</v>
      </c>
      <c r="C26" s="168">
        <v>0</v>
      </c>
      <c r="D26" s="168"/>
      <c r="E26" s="350"/>
      <c r="F26" s="350"/>
    </row>
    <row r="27" spans="2:6" x14ac:dyDescent="0.35">
      <c r="B27" s="103" t="s">
        <v>115</v>
      </c>
      <c r="C27" s="164">
        <f>Valuation_Model!E76</f>
        <v>8.4635273463407916</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5</v>
      </c>
      <c r="D31" s="167"/>
      <c r="E31" s="350"/>
      <c r="F31" s="350"/>
    </row>
    <row r="32" spans="2:6" x14ac:dyDescent="0.35">
      <c r="B32" s="122" t="s">
        <v>136</v>
      </c>
      <c r="C32" s="168">
        <v>-0.1</v>
      </c>
      <c r="D32" s="168"/>
      <c r="E32" s="350"/>
      <c r="F32" s="350"/>
    </row>
    <row r="33" spans="2:6" x14ac:dyDescent="0.35">
      <c r="B33" s="103" t="s">
        <v>115</v>
      </c>
      <c r="C33" s="164">
        <f>Valuation_Model!E77</f>
        <v>7.0426472483039735</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5</v>
      </c>
      <c r="D37" s="167"/>
      <c r="E37" s="350"/>
      <c r="F37" s="350"/>
    </row>
    <row r="38" spans="2:6" x14ac:dyDescent="0.35">
      <c r="B38" s="122" t="s">
        <v>136</v>
      </c>
      <c r="C38" s="168">
        <v>0.02</v>
      </c>
      <c r="D38" s="168"/>
      <c r="E38" s="350"/>
      <c r="F38" s="350"/>
    </row>
    <row r="39" spans="2:6" x14ac:dyDescent="0.35">
      <c r="B39" s="103" t="s">
        <v>115</v>
      </c>
      <c r="C39" s="164">
        <f>Valuation_Model!E75</f>
        <v>8.7728184493772456</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8.2412095473407199</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50"/>
      <c r="F49" s="350"/>
    </row>
    <row r="50" spans="2:6" x14ac:dyDescent="0.35">
      <c r="B50" s="122" t="s">
        <v>136</v>
      </c>
      <c r="C50" s="168">
        <v>-0.15</v>
      </c>
      <c r="D50" s="168"/>
      <c r="E50" s="350"/>
      <c r="F50" s="350"/>
    </row>
    <row r="51" spans="2:6" x14ac:dyDescent="0.35">
      <c r="B51" s="103" t="s">
        <v>115</v>
      </c>
      <c r="C51" s="164">
        <f>Valuation_Model!E78</f>
        <v>5.2273856771533396</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10</v>
      </c>
      <c r="D55" s="167"/>
      <c r="E55" s="350"/>
      <c r="F55" s="350"/>
    </row>
    <row r="56" spans="2:6" x14ac:dyDescent="0.35">
      <c r="B56" s="122" t="s">
        <v>136</v>
      </c>
      <c r="C56" s="168">
        <v>0.06</v>
      </c>
      <c r="D56" s="168"/>
      <c r="E56" s="350"/>
      <c r="F56" s="350"/>
    </row>
    <row r="57" spans="2:6" x14ac:dyDescent="0.35">
      <c r="B57" s="103" t="s">
        <v>115</v>
      </c>
      <c r="C57" s="164">
        <f>Valuation_Model!E74</f>
        <v>10.513633383540615</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8.2041395456413451</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-9.1142204532876307E-3</v>
      </c>
      <c r="D65" s="155"/>
      <c r="E65" s="287" t="s">
        <v>325</v>
      </c>
    </row>
    <row r="66" spans="2:6" x14ac:dyDescent="0.35">
      <c r="B66" s="103" t="s">
        <v>104</v>
      </c>
      <c r="C66" s="164">
        <f>Valuation_Model!C18</f>
        <v>8.2002399621897837</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-0.13680485575710941</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0.44193951040398949</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0.93093739460099634</v>
      </c>
      <c r="D81" s="120"/>
      <c r="E81" s="103"/>
      <c r="F81" s="103"/>
    </row>
    <row r="82" spans="2:8" x14ac:dyDescent="0.35">
      <c r="B82" s="103" t="s">
        <v>124</v>
      </c>
      <c r="C82" s="120">
        <f>C60/(1+C80)^C76</f>
        <v>4.7477659407646673</v>
      </c>
      <c r="D82" s="120"/>
    </row>
    <row r="83" spans="2:8" ht="13.15" x14ac:dyDescent="0.4">
      <c r="B83" s="114" t="s">
        <v>103</v>
      </c>
      <c r="C83" s="115">
        <f>C81+C82</f>
        <v>5.6787033353656637</v>
      </c>
      <c r="D83" t="str">
        <f>Market_currency</f>
        <v>HKD</v>
      </c>
      <c r="E83" s="150" t="s">
        <v>128</v>
      </c>
      <c r="F83" s="335">
        <f>(1-C83/C60)</f>
        <v>0.30782462880185679</v>
      </c>
    </row>
    <row r="84" spans="2:8" x14ac:dyDescent="0.35">
      <c r="E84" s="124"/>
    </row>
    <row r="85" spans="2:8" ht="13.15" x14ac:dyDescent="0.4">
      <c r="B85" s="112" t="s">
        <v>313</v>
      </c>
    </row>
    <row r="86" spans="2:8" x14ac:dyDescent="0.35">
      <c r="B86" s="152" t="s">
        <v>311</v>
      </c>
      <c r="C86" s="272">
        <f>Market_Price</f>
        <v>5.39</v>
      </c>
      <c r="D86" t="str">
        <f>Market_currency</f>
        <v>HKD</v>
      </c>
    </row>
    <row r="87" spans="2:8" ht="13.15" x14ac:dyDescent="0.4">
      <c r="B87" s="103" t="s">
        <v>309</v>
      </c>
      <c r="C87" s="271">
        <f ca="1">IRR(OFFSET($I$3, 0, 0, $C$76 + 1, 1))</f>
        <v>0.22246108266706432</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2025-04-07T14:20:36Z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