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112630D-C06D-4630-89C7-BE68AE11522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92" i="2"/>
  <c r="P94" i="2"/>
  <c r="O92" i="2"/>
  <c r="O94" i="2"/>
  <c r="Q92" i="2"/>
  <c r="Q94" i="2"/>
  <c r="J94" i="2"/>
  <c r="N92" i="2"/>
  <c r="N94" i="2"/>
  <c r="I94" i="2"/>
  <c r="F71" i="4"/>
  <c r="L92" i="2"/>
  <c r="L94" i="2"/>
  <c r="K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<sst xmlns="http://schemas.openxmlformats.org/spreadsheetml/2006/main" count="687" uniqueCount="466">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</sst>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7.16</v>
      </c>
      <c r="D12" s="50">
        <v>8.1</v>
      </c>
      <c r="E12" s="48"/>
    </row>
    <row r="13" spans="1:10">
      <c r="B13" s="1" t="s">
        <v>413</v>
      </c>
      <c r="C13" s="48" t="s">
        <v>393</v>
      </c>
      <c r="D13" s="48" t="s">
        <v>411</v>
      </c>
      <c r="E13" s="5"/>
    </row>
    <row r="14" spans="1:10">
      <c r="B14" s="4" t="s">
        <v>417</v>
      </c>
      <c r="C14" s="35">
        <f>Thesis!C12*Common_Shares/1000000</f>
        <v>1310430.2011768802</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1.0926086399999999</v>
      </c>
      <c r="D16" s="50">
        <v>1</v>
      </c>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0.91524079472774444</v>
      </c>
    </row>
    <row r="26" spans="2:6">
      <c r="B26" s="1" t="str">
        <f>"Expected Equity Value ("&amp;C13&amp;") :"</f>
        <v>Expected Equity Value (HKD) :</v>
      </c>
      <c r="C26" s="304">
        <f>C132</f>
        <v>8.8998364523144851</v>
      </c>
      <c r="D26" s="1" t="s">
        <v>396</v>
      </c>
      <c r="E26" s="301">
        <f ca="1">Scenarios!C87</f>
        <v>0.12707510935866706</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4.1400976097236111</v>
      </c>
      <c r="D29" s="310">
        <f>D149</f>
        <v>3.7891862265738729</v>
      </c>
      <c r="E29" s="306" t="s">
        <v>421</v>
      </c>
      <c r="F29" s="302">
        <v>0.3674</v>
      </c>
    </row>
    <row r="30" spans="2:6">
      <c r="B30" s="1" t="s">
        <v>423</v>
      </c>
      <c r="C30" s="311">
        <f>C157</f>
        <v>5.7482086394073013</v>
      </c>
      <c r="D30" s="311">
        <f>D157</f>
        <v>5.2609950433920254</v>
      </c>
      <c r="E30" s="307" t="s">
        <v>434</v>
      </c>
      <c r="F30" s="312">
        <v>0.21740000000000001</v>
      </c>
    </row>
    <row r="31" spans="2:6">
      <c r="B31" s="1" t="s">
        <v>424</v>
      </c>
      <c r="C31" s="311">
        <f>C165</f>
        <v>8.1983649842421791</v>
      </c>
      <c r="D31" s="311">
        <f>D165</f>
        <v>7.5034780836459243</v>
      </c>
      <c r="E31" s="307" t="s">
        <v>433</v>
      </c>
      <c r="F31" s="312">
        <v>7.4999999999999997E-2</v>
      </c>
    </row>
    <row r="32" spans="2:6">
      <c r="B32" s="1" t="s">
        <v>425</v>
      </c>
      <c r="C32" s="311">
        <f>C173</f>
        <v>7.338652453177211</v>
      </c>
      <c r="D32" s="311">
        <f>D173</f>
        <v>6.7166341034766219</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247357.8376927129</v>
      </c>
      <c r="D41" s="1" t="str">
        <f>Reporting_currency</f>
        <v>CNY</v>
      </c>
    </row>
    <row r="42" spans="1:6">
      <c r="B42" s="47"/>
      <c r="C42" s="76"/>
    </row>
    <row r="43" spans="1:6" ht="24.6" customHeight="1">
      <c r="B43" s="359" t="s">
        <v>232</v>
      </c>
      <c r="C43" s="359"/>
      <c r="D43" s="359"/>
      <c r="E43" s="359"/>
      <c r="F43" s="359"/>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59" t="s">
        <v>235</v>
      </c>
      <c r="C47" s="359"/>
      <c r="D47" s="359"/>
      <c r="E47" s="359"/>
      <c r="F47" s="359"/>
    </row>
    <row r="48" spans="1:6">
      <c r="B48" s="47" t="s">
        <v>236</v>
      </c>
      <c r="C48" s="349">
        <f>Normalized_FCF!C11</f>
        <v>18644</v>
      </c>
      <c r="D48" s="1" t="str">
        <f>Reporting_currency</f>
        <v>CNY</v>
      </c>
    </row>
    <row r="50" spans="2:6">
      <c r="B50" s="359" t="s">
        <v>239</v>
      </c>
      <c r="C50" s="359"/>
      <c r="D50" s="359"/>
      <c r="E50" s="359"/>
      <c r="F50" s="359"/>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59" t="s">
        <v>240</v>
      </c>
      <c r="C58" s="359"/>
      <c r="D58" s="359"/>
      <c r="E58" s="359"/>
      <c r="F58" s="359"/>
    </row>
    <row r="59" spans="2:6">
      <c r="B59" s="47" t="s">
        <v>238</v>
      </c>
      <c r="C59" s="349">
        <f>Normalized_FCF!C14</f>
        <v>-63516.176096347837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0.10999475538571098</v>
      </c>
      <c r="F69" s="314"/>
    </row>
    <row r="70" spans="1:6">
      <c r="B70" s="227" t="s">
        <v>455</v>
      </c>
      <c r="C70" s="92">
        <f>Normalized_FCF!C94</f>
        <v>5.5551055777037721E-2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10.50083264748921</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279749</v>
      </c>
      <c r="D102" s="1" t="str">
        <f>Reporting_currency</f>
        <v>CNY</v>
      </c>
    </row>
    <row r="103" spans="2:6">
      <c r="B103" s="47" t="s">
        <v>280</v>
      </c>
      <c r="C103" s="223">
        <f>C102*scaling_factor*Exchange_Rate/Common_Shares</f>
        <v>1.6700608754003656</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7.531401313489466E-4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1.2619078811439154E-2</v>
      </c>
      <c r="D114" s="1" t="str">
        <f>Market_currency</f>
        <v>HKD</v>
      </c>
    </row>
    <row r="116" spans="1:6" ht="24.6" customHeight="1">
      <c r="B116" s="358" t="s">
        <v>363</v>
      </c>
      <c r="C116" s="358"/>
      <c r="D116" s="358"/>
      <c r="E116" s="358"/>
      <c r="F116" s="358"/>
    </row>
    <row r="118" spans="1:6">
      <c r="B118" s="47" t="s">
        <v>446</v>
      </c>
      <c r="C118" s="223">
        <f>IF(valuation_method="DCF",DCF!C12,DDM!C7)</f>
        <v>8.8441439910316326</v>
      </c>
      <c r="D118" s="1" t="str">
        <f>Market_currency</f>
        <v>HKD</v>
      </c>
    </row>
    <row r="119" spans="1:6">
      <c r="B119" s="296" t="s">
        <v>402</v>
      </c>
      <c r="C119" s="223">
        <f>BS!D47</f>
        <v>-3.8768728770691565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11.04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9.01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257</v>
      </c>
      <c r="C132" s="217">
        <f>Scenarios!C60</f>
        <v>8.8998364523144851</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0.3674</v>
      </c>
    </row>
    <row r="147" spans="2:4">
      <c r="B147" s="212" t="str">
        <f>"PV("&amp;C141&amp;" yrs of Dividends)"</f>
        <v>PV(3 yrs of Dividends)</v>
      </c>
      <c r="C147" s="216">
        <f>Scenarios!C81</f>
        <v>0.65916753499129832</v>
      </c>
    </row>
    <row r="148" spans="2:4">
      <c r="B148" s="212" t="str">
        <f>"+ PV(Equity Value realized at year "&amp;C141&amp;")"</f>
        <v>+ PV(Equity Value realized at year 3)</v>
      </c>
      <c r="C148" s="216">
        <f>Scenarios!C82</f>
        <v>3.4809300747323126</v>
      </c>
    </row>
    <row r="149" spans="2:4">
      <c r="B149" s="80" t="s">
        <v>259</v>
      </c>
      <c r="C149" s="215">
        <f>Scenarios!C83</f>
        <v>4.1400976097236111</v>
      </c>
      <c r="D149" s="300">
        <f>IF($D$11="","",C149*$E$25)</f>
        <v>3.7891862265738729</v>
      </c>
    </row>
    <row r="150" spans="2:4">
      <c r="B150" s="259" t="s">
        <v>413</v>
      </c>
      <c r="C150" s="298" t="str">
        <f>Market_currency</f>
        <v>HKD</v>
      </c>
      <c r="D150" s="298" t="str">
        <f>IF($D$11="","",D$13)</f>
        <v>CNY</v>
      </c>
    </row>
    <row r="151" spans="2:4">
      <c r="B151" s="214" t="s">
        <v>261</v>
      </c>
      <c r="C151" s="92">
        <f>Scenarios!F83</f>
        <v>0.53481194492659023</v>
      </c>
    </row>
    <row r="153" spans="2:4">
      <c r="B153" s="210" t="s">
        <v>408</v>
      </c>
    </row>
    <row r="154" spans="2:4">
      <c r="B154" s="1" t="s">
        <v>407</v>
      </c>
      <c r="C154" s="297">
        <f>Scenarios!C90</f>
        <v>0.21740000000000001</v>
      </c>
    </row>
    <row r="155" spans="2:4">
      <c r="B155" s="212" t="str">
        <f>"PV("&amp;C141&amp;" yrs of Dividends)"</f>
        <v>PV(3 yrs of Dividends)</v>
      </c>
      <c r="C155" s="216">
        <f>Scenarios!C91</f>
        <v>0.81553782260772523</v>
      </c>
    </row>
    <row r="156" spans="2:4">
      <c r="B156" s="212" t="str">
        <f>"+ PV(Equity Value realized at year "&amp;C141&amp;")"</f>
        <v>+ PV(Equity Value realized at year 3)</v>
      </c>
      <c r="C156" s="216">
        <f>Scenarios!C92</f>
        <v>4.9326708167995763</v>
      </c>
    </row>
    <row r="157" spans="2:4">
      <c r="B157" s="80" t="s">
        <v>259</v>
      </c>
      <c r="C157" s="215">
        <f>Scenarios!C93</f>
        <v>5.7482086394073013</v>
      </c>
      <c r="D157" s="300">
        <f>IF($D$11="","",C157*$E$25)</f>
        <v>5.2609950433920254</v>
      </c>
    </row>
    <row r="158" spans="2:4">
      <c r="B158" s="259" t="s">
        <v>413</v>
      </c>
      <c r="C158" s="298" t="str">
        <f>Market_currency</f>
        <v>HKD</v>
      </c>
      <c r="D158" s="298" t="str">
        <f>IF($D$11="","",D$13)</f>
        <v>CNY</v>
      </c>
    </row>
    <row r="159" spans="2:4">
      <c r="B159" s="214" t="s">
        <v>261</v>
      </c>
      <c r="C159" s="92">
        <f>Scenarios!F93</f>
        <v>0.35412199199318695</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7.1640174191973927</v>
      </c>
    </row>
    <row r="165" spans="2:4">
      <c r="B165" s="80" t="s">
        <v>398</v>
      </c>
      <c r="C165" s="215">
        <f>Scenarios!C99</f>
        <v>8.1983649842421791</v>
      </c>
      <c r="D165" s="300">
        <f>IF($D$11="","",C165*$E$25)</f>
        <v>7.5034780836459243</v>
      </c>
    </row>
    <row r="166" spans="2:4">
      <c r="B166" s="259" t="s">
        <v>413</v>
      </c>
      <c r="C166" s="298" t="str">
        <f>Market_currency</f>
        <v>HKD</v>
      </c>
      <c r="D166" s="298" t="str">
        <f>IF($D$11="","",D$13)</f>
        <v>CNY</v>
      </c>
    </row>
    <row r="167" spans="2:4">
      <c r="B167" s="214" t="s">
        <v>261</v>
      </c>
      <c r="C167" s="92">
        <f>Scenarios!F99</f>
        <v>7.8818467264067715E-2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6.3790502733283967</v>
      </c>
    </row>
    <row r="173" spans="2:4">
      <c r="B173" s="80" t="s">
        <v>398</v>
      </c>
      <c r="C173" s="215">
        <f>Scenarios!C105</f>
        <v>7.338652453177211</v>
      </c>
      <c r="D173" s="300">
        <f>IF($D$11="","",C173*$E$25)</f>
        <v>6.7166341034766219</v>
      </c>
    </row>
    <row r="174" spans="2:4">
      <c r="B174" s="259" t="s">
        <v>413</v>
      </c>
      <c r="C174" s="298" t="str">
        <f>Market_currency</f>
        <v>HKD</v>
      </c>
      <c r="D174" s="298" t="str">
        <f>IF($D$11="","",D$13)</f>
        <v>CNY</v>
      </c>
    </row>
    <row r="175" spans="2:4">
      <c r="B175" s="214" t="s">
        <v>261</v>
      </c>
      <c r="C175" s="92">
        <f>Scenarios!F105</f>
        <v>0.1626398673265731</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0.16002070055019885</v>
      </c>
      <c r="H25" s="39"/>
      <c r="I25" s="39"/>
      <c r="J25" s="39"/>
      <c r="K25" s="39"/>
      <c r="L25" s="39"/>
      <c r="M25" s="39"/>
    </row>
    <row r="27" spans="2:13">
      <c r="B27" s="16" t="s">
        <v>28</v>
      </c>
      <c r="C27" s="97" t="s">
        <v>464</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0.16002070055019885</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9.0465446482966065</v>
      </c>
      <c r="D47" s="147">
        <f>D46*H1/Common_Shares*Exchange_Rate</f>
        <v>-3.8768728770691565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-305656.17443135998</v>
      </c>
      <c r="D86" s="223">
        <f>C86*scaling_factor/Common_Shares</f>
        <v>-1.6700608754003656</v>
      </c>
      <c r="E86" s="240" t="str">
        <f>Market_currency</f>
        <v>HKD</v>
      </c>
    </row>
    <row r="87" spans="2:8" ht="15" customHeight="1">
      <c r="B87" s="238" t="s">
        <v>286</v>
      </c>
      <c r="C87" s="76">
        <f>DCF!C8*Exchange_Rate</f>
        <v>137.84044327346115</v>
      </c>
      <c r="D87" s="223">
        <f>C87*scaling_factor/Common_Shares</f>
        <v>7.5314013134894649E-4</v>
      </c>
      <c r="E87" s="240" t="str">
        <f>Market_currency</f>
        <v>HKD</v>
      </c>
    </row>
    <row r="88" spans="2:8" ht="15" customHeight="1">
      <c r="B88" s="239" t="s">
        <v>188</v>
      </c>
      <c r="C88" s="76">
        <f>DCF!C9*Exchange_Rate</f>
        <v>2309.5561432319996</v>
      </c>
      <c r="D88" s="223">
        <f>C88*scaling_factor/Common_Shares</f>
        <v>1.2619078811439154E-2</v>
      </c>
      <c r="E88" s="240" t="str">
        <f>Market_currency</f>
        <v>HKD</v>
      </c>
    </row>
    <row r="89" spans="2:8" ht="15" customHeight="1">
      <c r="B89" s="80" t="s">
        <v>290</v>
      </c>
      <c r="C89" s="180">
        <f>SUM(C86:C88)</f>
        <v>-303208.77784485451</v>
      </c>
      <c r="D89" s="242">
        <f>SUM(D86:D88)</f>
        <v>-1.6566886564575776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0.16002070055019885</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29287.145085818764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0.2874473493933673</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5.5551055777037721E-2</v>
      </c>
      <c r="E94" s="268"/>
      <c r="G94" s="23">
        <f t="shared" ref="G94:Q94" si="39">IF(G$4="","",(G90*(1-dividend_tax_rate))/Market_Price)</f>
        <v>5.5551055777037721E-2</v>
      </c>
      <c r="H94" s="23">
        <f t="shared" si="39"/>
        <v>5.2005243706163051E-2</v>
      </c>
      <c r="I94" s="23">
        <f t="shared" si="39"/>
        <v>4.9946308830341776E-2</v>
      </c>
      <c r="J94" s="23">
        <f t="shared" si="39"/>
        <v>2.6785064383387919E-2</v>
      </c>
      <c r="K94" s="23">
        <f t="shared" si="39"/>
        <v>2.0114333868041755E-2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0.78756244856169055</v>
      </c>
      <c r="D125" s="27"/>
      <c r="E125" s="265"/>
      <c r="F125" s="27"/>
      <c r="G125" s="177">
        <f t="shared" ref="G125:Q125" si="49">IF(G$4="","",G16*$C$3/Common_Shares*Exchange_Rate)</f>
        <v>1.0470938045578564</v>
      </c>
      <c r="H125" s="177">
        <f t="shared" si="49"/>
        <v>1.8332240375016586</v>
      </c>
      <c r="I125" s="177">
        <f t="shared" si="49"/>
        <v>1.0121783284798307</v>
      </c>
      <c r="J125" s="177">
        <f t="shared" si="49"/>
        <v>0.76155559487067659</v>
      </c>
      <c r="K125" s="177">
        <f t="shared" si="49"/>
        <v>0.60825052090055676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0.10999475538571098</v>
      </c>
      <c r="D126" s="27"/>
      <c r="E126" s="265"/>
      <c r="F126" s="27"/>
      <c r="G126" s="77">
        <f t="shared" ref="G126" si="50">IF(G$4="","",G125/Market_Price)</f>
        <v>0.14624215147456093</v>
      </c>
      <c r="H126" s="77">
        <f t="shared" ref="H126" si="51">IF(H$4="","",H125/Market_Price)</f>
        <v>0.2560368767460417</v>
      </c>
      <c r="I126" s="77">
        <f t="shared" ref="I126" si="52">IF(I$4="","",I125/Market_Price)</f>
        <v>0.14136568833517188</v>
      </c>
      <c r="J126" s="77">
        <f t="shared" ref="J126" si="53">IF(J$4="","",J125/Market_Price)</f>
        <v>0.10636251325009449</v>
      </c>
      <c r="K126" s="77">
        <f t="shared" ref="K126" si="54">IF(K$4="","",K125/Market_Price)</f>
        <v>8.4951190069910157E-2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0.14021883793198542</v>
      </c>
      <c r="H127" s="23">
        <f>IF(H$4="","",(Data!D47*$C$3)/(Market_Price*Common_Shares))</f>
        <v>0.13778757528469698</v>
      </c>
      <c r="I127" s="23">
        <f>IF(I$4="","",(Data!E47*$C$3)/(Market_Price*Common_Shares))</f>
        <v>0.1246483787181521</v>
      </c>
      <c r="J127" s="23">
        <f>IF(J$4="","",(Data!F47*$C$3)/(Market_Price*Common_Shares))</f>
        <v>0.10103094379318997</v>
      </c>
      <c r="K127" s="23">
        <f>IF(K$4="","",(Data!G47*$C$3)/(Market_Price*Common_Shares))</f>
        <v>9.8454690592547869E-2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6" t="s">
        <v>248</v>
      </c>
      <c r="F6" s="366"/>
      <c r="H6" s="120"/>
    </row>
    <row r="7" spans="2:8">
      <c r="B7" s="148" t="s">
        <v>223</v>
      </c>
      <c r="C7" s="338">
        <f>BS!G31</f>
        <v>279749</v>
      </c>
      <c r="D7" t="str">
        <f>Reporting_currency</f>
        <v>CNY</v>
      </c>
      <c r="E7" s="366"/>
      <c r="F7" s="366"/>
      <c r="H7" s="120"/>
    </row>
    <row r="8" spans="2:8">
      <c r="B8" s="148" t="s">
        <v>224</v>
      </c>
      <c r="C8" s="338">
        <f>BS!D66</f>
        <v>126.15719684722717</v>
      </c>
      <c r="D8" t="str">
        <f>Reporting_currency</f>
        <v>CNY</v>
      </c>
      <c r="E8" s="366"/>
      <c r="F8" s="366"/>
      <c r="H8" s="120"/>
    </row>
    <row r="9" spans="2:8">
      <c r="B9" s="205" t="s">
        <v>189</v>
      </c>
      <c r="C9" s="348">
        <f>BS!H42</f>
        <v>2113.7999999999997</v>
      </c>
      <c r="D9" t="str">
        <f>Reporting_currency</f>
        <v>CNY</v>
      </c>
      <c r="E9" s="366"/>
      <c r="F9" s="366"/>
      <c r="H9" s="120"/>
    </row>
    <row r="10" spans="2:8" ht="13.15">
      <c r="B10" s="149" t="s">
        <v>226</v>
      </c>
      <c r="C10" s="347">
        <f>C6-C7+C8+C9</f>
        <v>1481467.2170282293</v>
      </c>
      <c r="D10" t="str">
        <f>Reporting_currency</f>
        <v>CNY</v>
      </c>
      <c r="H10" s="120"/>
    </row>
    <row r="11" spans="2:8" ht="13.15" thickBot="1">
      <c r="B11" s="207" t="s">
        <v>165</v>
      </c>
      <c r="C11" s="208">
        <f>Exchange_Rate</f>
        <v>1.0926086399999999</v>
      </c>
      <c r="D11" t="str">
        <f>Thesis!C15</f>
        <v>CNY/HKD</v>
      </c>
      <c r="H11" s="120"/>
    </row>
    <row r="12" spans="2:8" ht="13.5" thickTop="1">
      <c r="B12" s="149" t="s">
        <v>102</v>
      </c>
      <c r="C12" s="111">
        <f>(C10*scaling_factor)/Common_Shares*Exchange_Rate</f>
        <v>8.8441439910316326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8.7640337374878445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8.8441439910316326</v>
      </c>
      <c r="C65" s="124">
        <f>C12</f>
        <v>8.8441439910316326</v>
      </c>
      <c r="D65" s="124">
        <f>C12</f>
        <v>8.8441439910316326</v>
      </c>
      <c r="E65" s="141">
        <f>C12</f>
        <v>8.8441439910316326</v>
      </c>
      <c r="F65" s="124">
        <f>C12</f>
        <v>8.8441439910316326</v>
      </c>
      <c r="H65" s="120"/>
    </row>
    <row r="66" spans="1:8" ht="13.15">
      <c r="A66" s="143">
        <f t="shared" ref="A66:A71" si="3">A56</f>
        <v>5</v>
      </c>
      <c r="B66" s="124">
        <f t="shared" ref="B66:F71" si="4">(B56-$C$7+$C$8+$C$9)/Common_Shares*$C$3*Exchange_Rate</f>
        <v>6.6162795018604621</v>
      </c>
      <c r="C66" s="124">
        <f t="shared" si="4"/>
        <v>8.6811586549249249</v>
      </c>
      <c r="D66" s="124">
        <f t="shared" si="4"/>
        <v>9.0094509079742569</v>
      </c>
      <c r="E66" s="124">
        <f t="shared" si="4"/>
        <v>9.1771306795137804</v>
      </c>
      <c r="F66" s="124">
        <f t="shared" si="4"/>
        <v>9.8726321497205287</v>
      </c>
      <c r="H66" s="120"/>
    </row>
    <row r="67" spans="1:8" ht="13.15">
      <c r="A67" s="143">
        <f t="shared" si="3"/>
        <v>10</v>
      </c>
      <c r="B67" s="124">
        <f t="shared" si="4"/>
        <v>5.3650451910640511</v>
      </c>
      <c r="C67" s="124">
        <f t="shared" si="4"/>
        <v>8.5350634354828099</v>
      </c>
      <c r="D67" s="124">
        <f t="shared" si="4"/>
        <v>9.1679441621762425</v>
      </c>
      <c r="E67" s="124">
        <f t="shared" si="4"/>
        <v>9.5073297091062745</v>
      </c>
      <c r="F67" s="124">
        <f t="shared" si="4"/>
        <v>11.039772445124333</v>
      </c>
      <c r="H67" s="120"/>
    </row>
    <row r="68" spans="1:8" ht="13.15">
      <c r="A68" s="143">
        <f t="shared" si="3"/>
        <v>15</v>
      </c>
      <c r="B68" s="124">
        <f t="shared" si="4"/>
        <v>4.2472960075491173</v>
      </c>
      <c r="C68" s="124">
        <f t="shared" si="4"/>
        <v>8.3632745445723291</v>
      </c>
      <c r="D68" s="124">
        <f t="shared" si="4"/>
        <v>9.363626466516676</v>
      </c>
      <c r="E68" s="124">
        <f t="shared" si="4"/>
        <v>9.9254003489898412</v>
      </c>
      <c r="F68" s="124">
        <f t="shared" si="4"/>
        <v>12.682001433612536</v>
      </c>
      <c r="H68" s="120"/>
    </row>
    <row r="69" spans="1:8" ht="13.15">
      <c r="A69" s="144">
        <f t="shared" si="3"/>
        <v>20</v>
      </c>
      <c r="B69" s="124">
        <f t="shared" si="4"/>
        <v>3.3926286707809798</v>
      </c>
      <c r="C69" s="124">
        <f t="shared" si="4"/>
        <v>8.1972275230721205</v>
      </c>
      <c r="D69" s="124">
        <f t="shared" si="4"/>
        <v>9.5623651114098251</v>
      </c>
      <c r="E69" s="124">
        <f t="shared" si="4"/>
        <v>10.361245811698613</v>
      </c>
      <c r="F69" s="124">
        <f t="shared" si="4"/>
        <v>14.59889525823359</v>
      </c>
      <c r="H69" s="120"/>
    </row>
    <row r="70" spans="1:8" ht="13.15">
      <c r="A70" s="144">
        <f t="shared" si="3"/>
        <v>25</v>
      </c>
      <c r="B70" s="124">
        <f t="shared" si="4"/>
        <v>2.7737860256993079</v>
      </c>
      <c r="C70" s="124">
        <f t="shared" si="4"/>
        <v>8.0508390163905847</v>
      </c>
      <c r="D70" s="124">
        <f t="shared" si="4"/>
        <v>9.7465058717926514</v>
      </c>
      <c r="E70" s="124">
        <f t="shared" si="4"/>
        <v>10.776070099781347</v>
      </c>
      <c r="F70" s="124">
        <f t="shared" si="4"/>
        <v>16.654664202907878</v>
      </c>
    </row>
    <row r="71" spans="1:8" ht="13.15">
      <c r="A71" s="144">
        <f t="shared" si="3"/>
        <v>30</v>
      </c>
      <c r="B71" s="124">
        <f t="shared" si="4"/>
        <v>2.3354575983262129</v>
      </c>
      <c r="C71" s="124">
        <f t="shared" si="4"/>
        <v>7.9285166353836996</v>
      </c>
      <c r="D71" s="124">
        <f t="shared" si="4"/>
        <v>9.9082328210435424</v>
      </c>
      <c r="E71" s="124">
        <f t="shared" si="4"/>
        <v>11.1505635718887</v>
      </c>
      <c r="F71" s="124">
        <f t="shared" si="4"/>
        <v>18.758281029644316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11.039772445124333</v>
      </c>
      <c r="F74" s="142">
        <f>Scenarios!C58</f>
        <v>0.05</v>
      </c>
    </row>
    <row r="75" spans="1:8">
      <c r="B75" s="127" t="str">
        <f>Scenarios!B36</f>
        <v>Optimistic</v>
      </c>
      <c r="C75" s="142">
        <f>Scenarios!C38</f>
        <v>0.02</v>
      </c>
      <c r="D75" s="145">
        <f>Scenarios!C37</f>
        <v>5</v>
      </c>
      <c r="E75" s="135">
        <f>INDEX(B$65:F$71, MATCH(D75, A$65:A$71, 0), MATCH(C75, B$64:F$64, 0))</f>
        <v>9.1771306795137804</v>
      </c>
      <c r="F75" s="142">
        <f>Scenarios!C40*(1-F$74-F$78)</f>
        <v>0.18</v>
      </c>
      <c r="H75" s="120"/>
    </row>
    <row r="76" spans="1:8">
      <c r="B76" s="127" t="str">
        <f>Scenarios!B24</f>
        <v>Base</v>
      </c>
      <c r="C76" s="142">
        <f>Scenarios!C26</f>
        <v>0.01</v>
      </c>
      <c r="D76" s="145">
        <f>Scenarios!C25</f>
        <v>5</v>
      </c>
      <c r="E76" s="135">
        <f>INDEX(B$65:F$71, MATCH(D76, A$65:A$71, 0), MATCH(C76, B$64:F$64, 0))</f>
        <v>9.0094509079742569</v>
      </c>
      <c r="F76" s="142">
        <f>Scenarios!C28*(1-F$74-F$78)</f>
        <v>0.53999999999999992</v>
      </c>
      <c r="H76" s="120"/>
    </row>
    <row r="77" spans="1:8">
      <c r="B77" s="127" t="str">
        <f>Scenarios!B30</f>
        <v>Pessimistic</v>
      </c>
      <c r="C77" s="142">
        <f>Scenarios!C32</f>
        <v>-0.01</v>
      </c>
      <c r="D77" s="145">
        <f>Scenarios!C31</f>
        <v>5</v>
      </c>
      <c r="E77" s="135">
        <f>INDEX(B$65:F$71, MATCH(D77, A$65:A$71, 0), MATCH(C77, B$64:F$64, 0))</f>
        <v>8.6811586549249249</v>
      </c>
      <c r="F77" s="142">
        <f>Scenarios!C34*(1-F$74-F$78)</f>
        <v>0.18</v>
      </c>
      <c r="H77" s="120"/>
    </row>
    <row r="78" spans="1:8">
      <c r="B78" s="127" t="str">
        <f>Scenarios!B48</f>
        <v>Devil's advocate</v>
      </c>
      <c r="C78" s="142">
        <f>Scenarios!C50</f>
        <v>-0.15</v>
      </c>
      <c r="D78" s="145">
        <f>Scenarios!C49</f>
        <v>10</v>
      </c>
      <c r="E78" s="135">
        <f>INDEX(B$65:F$71, MATCH(D78, A$65:A$71, 0), MATCH(C78, B$64:F$64, 0))</f>
        <v>5.3650451910640511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6"/>
      <c r="F6" s="366"/>
      <c r="H6" s="120"/>
    </row>
    <row r="7" spans="2:8" ht="13.15">
      <c r="B7" s="149" t="s">
        <v>441</v>
      </c>
      <c r="C7" s="111">
        <f>(C6*scaling_factor)/Common_Shares*Exchange_Rate</f>
        <v>5.7944031290972191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5.7944031290972191</v>
      </c>
      <c r="C60" s="124">
        <f>C7</f>
        <v>5.7944031290972191</v>
      </c>
      <c r="D60" s="124">
        <f>C7</f>
        <v>5.7944031290972191</v>
      </c>
      <c r="E60" s="141">
        <f>C7</f>
        <v>5.7944031290972191</v>
      </c>
      <c r="F60" s="124">
        <f>C7</f>
        <v>5.7944031290972191</v>
      </c>
      <c r="H60" s="120"/>
    </row>
    <row r="61" spans="1:8" ht="13.15">
      <c r="A61" s="143">
        <f t="shared" ref="A61:A66" si="3">A51</f>
        <v>5</v>
      </c>
      <c r="B61" s="124">
        <f t="shared" ref="B61:F66" si="4">B51/Common_Shares*$C$3*Exchange_Rate</f>
        <v>4.5650582380190219</v>
      </c>
      <c r="C61" s="124">
        <f t="shared" si="4"/>
        <v>5.7044671427581282</v>
      </c>
      <c r="D61" s="124">
        <f t="shared" si="4"/>
        <v>5.8856201733973004</v>
      </c>
      <c r="E61" s="124">
        <f t="shared" si="4"/>
        <v>5.9781465687329352</v>
      </c>
      <c r="F61" s="124">
        <f t="shared" si="4"/>
        <v>6.3619271726664053</v>
      </c>
      <c r="H61" s="120"/>
    </row>
    <row r="62" spans="1:8" ht="13.15">
      <c r="A62" s="143">
        <f t="shared" si="3"/>
        <v>10</v>
      </c>
      <c r="B62" s="124">
        <f t="shared" si="4"/>
        <v>3.8746219412891554</v>
      </c>
      <c r="C62" s="124">
        <f t="shared" si="4"/>
        <v>5.6238511930425652</v>
      </c>
      <c r="D62" s="124">
        <f t="shared" si="4"/>
        <v>5.9730774102582629</v>
      </c>
      <c r="E62" s="124">
        <f t="shared" si="4"/>
        <v>6.1603517665991347</v>
      </c>
      <c r="F62" s="124">
        <f t="shared" si="4"/>
        <v>7.0059600419456123</v>
      </c>
      <c r="H62" s="120"/>
    </row>
    <row r="63" spans="1:8" ht="13.15">
      <c r="A63" s="143">
        <f t="shared" si="3"/>
        <v>15</v>
      </c>
      <c r="B63" s="124">
        <f t="shared" si="4"/>
        <v>3.2578432929737375</v>
      </c>
      <c r="C63" s="124">
        <f t="shared" si="4"/>
        <v>5.5290573685477193</v>
      </c>
      <c r="D63" s="124">
        <f t="shared" si="4"/>
        <v>6.0810557196593065</v>
      </c>
      <c r="E63" s="124">
        <f t="shared" si="4"/>
        <v>6.3910448844924321</v>
      </c>
      <c r="F63" s="124">
        <f t="shared" si="4"/>
        <v>7.9121488280192072</v>
      </c>
      <c r="H63" s="120"/>
    </row>
    <row r="64" spans="1:8" ht="13.15">
      <c r="A64" s="144">
        <f t="shared" si="3"/>
        <v>20</v>
      </c>
      <c r="B64" s="124">
        <f t="shared" si="4"/>
        <v>2.7862343018819136</v>
      </c>
      <c r="C64" s="124">
        <f t="shared" si="4"/>
        <v>5.437431931474582</v>
      </c>
      <c r="D64" s="124">
        <f t="shared" si="4"/>
        <v>6.1907205304890196</v>
      </c>
      <c r="E64" s="124">
        <f t="shared" si="4"/>
        <v>6.6315462235482823</v>
      </c>
      <c r="F64" s="124">
        <f t="shared" si="4"/>
        <v>8.96989881303465</v>
      </c>
      <c r="H64" s="120"/>
    </row>
    <row r="65" spans="1:8" ht="13.15">
      <c r="A65" s="144">
        <f t="shared" si="3"/>
        <v>25</v>
      </c>
      <c r="B65" s="124">
        <f t="shared" si="4"/>
        <v>2.444754356485638</v>
      </c>
      <c r="C65" s="124">
        <f t="shared" si="4"/>
        <v>5.3566541446404896</v>
      </c>
      <c r="D65" s="124">
        <f t="shared" si="4"/>
        <v>6.2923301679316008</v>
      </c>
      <c r="E65" s="124">
        <f t="shared" si="4"/>
        <v>6.8604479910159153</v>
      </c>
      <c r="F65" s="124">
        <f t="shared" si="4"/>
        <v>10.104280666893619</v>
      </c>
    </row>
    <row r="66" spans="1:8" ht="13.15">
      <c r="A66" s="144">
        <f t="shared" si="3"/>
        <v>30</v>
      </c>
      <c r="B66" s="124">
        <f t="shared" si="4"/>
        <v>2.2028829072010696</v>
      </c>
      <c r="C66" s="124">
        <f t="shared" si="4"/>
        <v>5.2891561460475502</v>
      </c>
      <c r="D66" s="124">
        <f t="shared" si="4"/>
        <v>6.3815717711698703</v>
      </c>
      <c r="E66" s="124">
        <f t="shared" si="4"/>
        <v>7.0670950464876734</v>
      </c>
      <c r="F66" s="124">
        <f t="shared" si="4"/>
        <v>11.265065181079512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7.0059600419456123</v>
      </c>
      <c r="F69" s="142">
        <f>Scenarios!C58</f>
        <v>0.05</v>
      </c>
    </row>
    <row r="70" spans="1:8">
      <c r="B70" s="127" t="str">
        <f>Scenarios!B36</f>
        <v>Optimistic</v>
      </c>
      <c r="C70" s="142">
        <f>Scenarios!C38</f>
        <v>0.02</v>
      </c>
      <c r="D70" s="145">
        <f>Scenarios!C37</f>
        <v>5</v>
      </c>
      <c r="E70" s="135">
        <f>INDEX(B$60:F$66, MATCH(D70, A$60:A$66, 0), MATCH(C70, B$59:F$59, 0))</f>
        <v>5.9781465687329352</v>
      </c>
      <c r="F70" s="142">
        <f>Scenarios!C40*(1-F$69-F$73)</f>
        <v>0.18</v>
      </c>
      <c r="H70" s="120"/>
    </row>
    <row r="71" spans="1:8">
      <c r="B71" s="127" t="str">
        <f>Scenarios!B24</f>
        <v>Base</v>
      </c>
      <c r="C71" s="142">
        <f>Scenarios!C26</f>
        <v>0.01</v>
      </c>
      <c r="D71" s="145">
        <f>Scenarios!C25</f>
        <v>5</v>
      </c>
      <c r="E71" s="135">
        <f>INDEX(B$60:F$66, MATCH(D71, A$60:A$66, 0), MATCH(C71, B$59:F$59, 0))</f>
        <v>5.8856201733973004</v>
      </c>
      <c r="F71" s="142">
        <f>Scenarios!C28*(1-F$69-F$73)</f>
        <v>0.53999999999999992</v>
      </c>
      <c r="H71" s="120"/>
    </row>
    <row r="72" spans="1:8">
      <c r="B72" s="127" t="str">
        <f>Scenarios!B30</f>
        <v>Pessimistic</v>
      </c>
      <c r="C72" s="142">
        <f>Scenarios!C32</f>
        <v>-0.01</v>
      </c>
      <c r="D72" s="145">
        <f>Scenarios!C31</f>
        <v>5</v>
      </c>
      <c r="E72" s="135">
        <f>INDEX(B$60:F$66, MATCH(D72, A$60:A$66, 0), MATCH(C72, B$59:F$59, 0))</f>
        <v>5.7044671427581282</v>
      </c>
      <c r="F72" s="142">
        <f>Scenarios!C34*(1-F$69-F$73)</f>
        <v>0.18</v>
      </c>
      <c r="H72" s="120"/>
    </row>
    <row r="73" spans="1:8">
      <c r="B73" s="127" t="str">
        <f>Scenarios!B48</f>
        <v>Devil's advocate</v>
      </c>
      <c r="C73" s="142">
        <f>Scenarios!C50</f>
        <v>-0.15</v>
      </c>
      <c r="D73" s="145">
        <f>Scenarios!C49</f>
        <v>10</v>
      </c>
      <c r="E73" s="135">
        <f>INDEX(B$60:F$66, MATCH(D73, A$60:A$66, 0), MATCH(C73, B$59:F$59, 0))</f>
        <v>3.8746219412891554</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-7.16</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9.2975820116780756</v>
      </c>
    </row>
    <row r="7" spans="2:9" ht="12.75" customHeight="1">
      <c r="B7" s="100" t="s">
        <v>274</v>
      </c>
      <c r="C7" s="338">
        <f>Normalized_FCF!G8</f>
        <v>245516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8"/>
      <c r="H7" s="247">
        <v>4</v>
      </c>
      <c r="I7" s="124" t="str">
        <f t="shared" si="0"/>
        <v/>
      </c>
    </row>
    <row r="8" spans="2:9">
      <c r="B8" s="100" t="s">
        <v>66</v>
      </c>
      <c r="C8" s="338">
        <f>Normalized_FCF!G19</f>
        <v>175396.86669267845</v>
      </c>
      <c r="D8" t="str">
        <f>Reporting_currency</f>
        <v>CNY</v>
      </c>
      <c r="E8" s="368"/>
      <c r="F8" s="368"/>
      <c r="H8" s="247">
        <v>5</v>
      </c>
      <c r="I8" s="124" t="str">
        <f t="shared" si="0"/>
        <v/>
      </c>
    </row>
    <row r="9" spans="2:9">
      <c r="B9" s="100" t="s">
        <v>57</v>
      </c>
      <c r="C9" s="338">
        <f>Normalized_FCF!C19</f>
        <v>131923.21948735364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0.16638727228030792</v>
      </c>
      <c r="D12" s="158"/>
      <c r="E12" s="368"/>
      <c r="F12" s="368"/>
      <c r="H12" s="247">
        <v>9</v>
      </c>
      <c r="I12" s="124" t="str">
        <f t="shared" si="0"/>
        <v/>
      </c>
    </row>
    <row r="13" spans="2:9">
      <c r="B13" s="148" t="s">
        <v>151</v>
      </c>
      <c r="C13" s="158">
        <f ca="1">(Normalized_FCF!G8/OFFSET(Normalized_FCF!G8, 0, $C$4))^(1/$C$4) - 1</f>
        <v>0.15587431850223021</v>
      </c>
      <c r="E13" s="368"/>
      <c r="F13" s="368"/>
      <c r="H13" s="247">
        <v>10</v>
      </c>
      <c r="I13" s="124" t="str">
        <f t="shared" si="0"/>
        <v/>
      </c>
    </row>
    <row r="14" spans="2:9">
      <c r="B14" s="100" t="s">
        <v>66</v>
      </c>
      <c r="C14" s="158">
        <f ca="1">(Normalized_FCF!G19/OFFSET(Normalized_FCF!G19, 0, $C$4))^(1/$C$4) - 1</f>
        <v>0.1119740670927909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7.16</v>
      </c>
      <c r="D21" t="str">
        <f>Market_currency</f>
        <v>HKD</v>
      </c>
      <c r="E21" s="369"/>
      <c r="F21" s="369"/>
    </row>
    <row r="22" spans="2:6">
      <c r="B22" s="100" t="s">
        <v>277</v>
      </c>
      <c r="C22" s="160">
        <f>IF(valuation_method="DCF",DCF!C12,DDM!C7)</f>
        <v>8.8441439910316326</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0.01</v>
      </c>
      <c r="D26" s="164"/>
      <c r="E26" s="367"/>
      <c r="F26" s="367"/>
    </row>
    <row r="27" spans="2:6">
      <c r="B27" s="100" t="s">
        <v>112</v>
      </c>
      <c r="C27" s="160">
        <f>IF(valuation_method="DCF",DCF!E76,DDM!E71)</f>
        <v>9.0094509079742569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8.6811586549249249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9.1771306795137804</v>
      </c>
      <c r="D39" t="str">
        <f>Market_currency</f>
        <v>HKD</v>
      </c>
      <c r="E39" s="367"/>
      <c r="F39" s="367"/>
    </row>
    <row r="40" spans="2:6">
      <c r="B40" s="100" t="s">
        <v>146</v>
      </c>
      <c r="C40" s="167">
        <f>1-C28-C34</f>
        <v>0.2</v>
      </c>
      <c r="D40" s="165"/>
      <c r="E40" s="367"/>
      <c r="F40" s="367"/>
    </row>
    <row r="42" spans="2:6" ht="13.15">
      <c r="B42" s="100" t="s">
        <v>119</v>
      </c>
      <c r="C42" s="154">
        <f>C27*C28+C33*C34+C39*C40</f>
        <v>8.9773284116722945</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-0.15</v>
      </c>
      <c r="D50" s="164"/>
      <c r="E50" s="367"/>
      <c r="F50" s="367"/>
    </row>
    <row r="51" spans="2:6">
      <c r="B51" s="100" t="s">
        <v>112</v>
      </c>
      <c r="C51" s="160">
        <f>IF(valuation_method="DCF",DCF!E78,DDM!E73)</f>
        <v>5.3650451910640511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11.039772445124333</v>
      </c>
      <c r="D57" t="str">
        <f>Market_currency</f>
        <v>HKD</v>
      </c>
      <c r="E57" s="367"/>
      <c r="F57" s="367"/>
    </row>
    <row r="58" spans="2:6">
      <c r="B58" s="100" t="s">
        <v>146</v>
      </c>
      <c r="C58" s="165">
        <v>0.05</v>
      </c>
      <c r="D58" s="165"/>
      <c r="E58" s="367"/>
      <c r="F58" s="367"/>
    </row>
    <row r="60" spans="2:6" ht="13.15">
      <c r="B60" s="100" t="s">
        <v>119</v>
      </c>
      <c r="C60" s="154">
        <f>C51*C52+C57*C58+C42*(1-C52-C58)</f>
        <v>8.8998364523144851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8.7640337374878445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-0.18614821354686134</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0.3674</v>
      </c>
    </row>
    <row r="81" spans="2:8">
      <c r="B81" s="100" t="s">
        <v>120</v>
      </c>
      <c r="C81" s="116">
        <f>PV(C80, C76, -C77, 0)</f>
        <v>0.65916753499129832</v>
      </c>
      <c r="D81" s="116"/>
      <c r="E81" s="100"/>
      <c r="F81" s="100"/>
    </row>
    <row r="82" spans="2:8">
      <c r="B82" s="100" t="s">
        <v>121</v>
      </c>
      <c r="C82" s="116">
        <f>C60/(1+C80)^C76</f>
        <v>3.4809300747323126</v>
      </c>
      <c r="D82" s="116"/>
    </row>
    <row r="83" spans="2:8" ht="13.15">
      <c r="B83" s="110" t="s">
        <v>101</v>
      </c>
      <c r="C83" s="111">
        <f>C81+C82</f>
        <v>4.1400976097236111</v>
      </c>
      <c r="D83" t="str">
        <f>Market_currency</f>
        <v>HKD</v>
      </c>
      <c r="E83" s="146" t="s">
        <v>125</v>
      </c>
      <c r="F83" s="291">
        <f>(1-C83/C60)</f>
        <v>0.53481194492659023</v>
      </c>
    </row>
    <row r="84" spans="2:8">
      <c r="E84" s="120"/>
    </row>
    <row r="85" spans="2:8" ht="13.15">
      <c r="B85" s="109" t="s">
        <v>301</v>
      </c>
    </row>
    <row r="86" spans="2:8">
      <c r="B86" s="148" t="s">
        <v>299</v>
      </c>
      <c r="C86" s="116">
        <f>Market_Price</f>
        <v>7.16</v>
      </c>
      <c r="D86" t="str">
        <f>Market_currency</f>
        <v>HKD</v>
      </c>
    </row>
    <row r="87" spans="2:8" ht="13.15">
      <c r="B87" s="100" t="s">
        <v>297</v>
      </c>
      <c r="C87" s="237">
        <f ca="1">IRR(OFFSET($I$3, 0, 0, $C$76 + 1, 1))</f>
        <v>0.12707510935866706</v>
      </c>
    </row>
    <row r="88" spans="2:8">
      <c r="B88" s="100"/>
    </row>
    <row r="89" spans="2:8" ht="13.15">
      <c r="B89" s="109" t="s">
        <v>409</v>
      </c>
    </row>
    <row r="90" spans="2:8">
      <c r="B90" s="148" t="s">
        <v>410</v>
      </c>
      <c r="C90" s="167">
        <f>Thesis!F30</f>
        <v>0.21740000000000001</v>
      </c>
    </row>
    <row r="91" spans="2:8">
      <c r="B91" s="100" t="s">
        <v>120</v>
      </c>
      <c r="C91" s="116">
        <f>PV(C90, C76, -C77, 0)</f>
        <v>0.81553782260772523</v>
      </c>
      <c r="D91" s="116"/>
      <c r="E91" s="100"/>
      <c r="F91" s="100"/>
    </row>
    <row r="92" spans="2:8">
      <c r="B92" s="100" t="s">
        <v>121</v>
      </c>
      <c r="C92" s="116">
        <f>C60/(1+C90)^C76</f>
        <v>4.9326708167995763</v>
      </c>
      <c r="D92" s="116"/>
    </row>
    <row r="93" spans="2:8" ht="13.15">
      <c r="B93" s="110" t="s">
        <v>101</v>
      </c>
      <c r="C93" s="111">
        <f>C91+C92</f>
        <v>5.7482086394073013</v>
      </c>
      <c r="D93" t="str">
        <f>Market_currency</f>
        <v>HKD</v>
      </c>
      <c r="E93" s="146" t="s">
        <v>125</v>
      </c>
      <c r="F93" s="291">
        <f>(1-C93/C60)</f>
        <v>0.35412199199318695</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7.1640174191973927</v>
      </c>
      <c r="D98" s="116"/>
      <c r="G98" s="2"/>
      <c r="H98" s="281"/>
    </row>
    <row r="99" spans="2:8" ht="13.15">
      <c r="B99" s="110" t="s">
        <v>395</v>
      </c>
      <c r="C99" s="111">
        <f>C97+C98</f>
        <v>8.1983649842421791</v>
      </c>
      <c r="D99" t="s">
        <v>393</v>
      </c>
      <c r="E99" s="146" t="s">
        <v>125</v>
      </c>
      <c r="F99" s="291">
        <f>(1-C99/C60)</f>
        <v>7.8818467264067715E-2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6.3790502733283967</v>
      </c>
      <c r="D104" s="116"/>
    </row>
    <row r="105" spans="2:8" ht="13.15">
      <c r="B105" s="110" t="s">
        <v>395</v>
      </c>
      <c r="C105" s="111">
        <f>C103+C104</f>
        <v>7.338652453177211</v>
      </c>
      <c r="D105" t="s">
        <v>393</v>
      </c>
      <c r="E105" s="146" t="s">
        <v>125</v>
      </c>
      <c r="F105" s="291">
        <f>(1-C105/C66)</f>
        <v>0.1626398673265731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