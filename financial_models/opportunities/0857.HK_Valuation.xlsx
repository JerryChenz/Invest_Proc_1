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552FAD6-4628-4A84-828A-80107A31E3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1" i="3"/>
  <c r="C5" i="4"/>
  <c r="C6" i="4"/>
  <c r="G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E38" i="4" l="1"/>
  <c r="F38" i="4"/>
  <c r="D38" i="4"/>
  <c r="C62" i="10"/>
  <c r="D62" i="10"/>
  <c r="D64" i="10"/>
  <c r="D66" i="10"/>
  <c r="B61" i="10"/>
  <c r="E62" i="10"/>
  <c r="E64" i="10"/>
  <c r="E66" i="10"/>
  <c r="E63" i="10"/>
  <c r="B64" i="10"/>
  <c r="F61" i="10"/>
  <c r="F65" i="10"/>
  <c r="C66" i="10"/>
  <c r="C64" i="10"/>
  <c r="F62" i="10"/>
  <c r="F64" i="10"/>
  <c r="F66" i="10"/>
  <c r="C61" i="10"/>
  <c r="C63" i="10"/>
  <c r="C65" i="10"/>
  <c r="B62" i="10"/>
  <c r="D61" i="10"/>
  <c r="D63" i="10"/>
  <c r="D65" i="10"/>
  <c r="B63" i="10"/>
  <c r="E61" i="10"/>
  <c r="E65" i="10"/>
  <c r="F63" i="10"/>
  <c r="B65" i="10"/>
  <c r="B66"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C24"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6" i="8"/>
  <c r="D71" i="8"/>
  <c r="D70" i="8"/>
  <c r="C66" i="8"/>
  <c r="E70" i="8"/>
  <c r="F71" i="8"/>
  <c r="G54" i="2"/>
  <c r="C54" i="2" s="1"/>
  <c r="B67" i="8" l="1"/>
  <c r="C70" i="8"/>
  <c r="B68" i="8"/>
  <c r="C67" i="8"/>
  <c r="B66" i="8"/>
  <c r="E67" i="8"/>
  <c r="D69" i="8"/>
  <c r="B70" i="8"/>
  <c r="F66"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83" i="9" s="1"/>
  <c r="F83" i="9" s="1"/>
  <c r="I6" i="9"/>
  <c r="C87" i="9" s="1"/>
  <c r="C98" i="9"/>
  <c r="C159" i="6" s="1"/>
  <c r="F72" i="9"/>
  <c r="C72" i="9" s="1"/>
  <c r="C105" i="9"/>
  <c r="C168" i="6" s="1"/>
  <c r="C167" i="6"/>
  <c r="H76" i="2"/>
  <c r="H120" i="2"/>
  <c r="H116" i="2" s="1"/>
  <c r="H13" i="2"/>
  <c r="C99" i="9" l="1"/>
  <c r="F99" i="9" s="1"/>
  <c r="C162" i="6" s="1"/>
  <c r="C143" i="6"/>
  <c r="D168" i="6"/>
  <c r="D32" i="6" s="1"/>
  <c r="C32" i="6"/>
  <c r="E26" i="6"/>
  <c r="C93" i="9"/>
  <c r="C146" i="6"/>
  <c r="C144" i="6"/>
  <c r="H16" i="2"/>
  <c r="H19" i="2" s="1"/>
  <c r="H81" i="2"/>
  <c r="H117" i="2" s="1"/>
  <c r="C160" i="6" l="1"/>
  <c r="D160" i="6" s="1"/>
  <c r="D31" i="6" s="1"/>
  <c r="C29" i="6"/>
  <c r="D144" i="6"/>
  <c r="D29" i="6" s="1"/>
  <c r="H114" i="2"/>
  <c r="H92" i="2"/>
  <c r="F93" i="9"/>
  <c r="C154" i="6" s="1"/>
  <c r="C152" i="6"/>
  <c r="H124" i="2"/>
  <c r="H125" i="2" s="1"/>
  <c r="H84" i="2"/>
  <c r="G120" i="2"/>
  <c r="G116" i="2" s="1"/>
  <c r="G76" i="2"/>
  <c r="D54" i="3"/>
  <c r="D50" i="3"/>
  <c r="G13" i="2"/>
  <c r="G97" i="2" s="1"/>
  <c r="C31" i="6" l="1"/>
  <c r="C30" i="6"/>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<sst xmlns="http://schemas.openxmlformats.org/spreadsheetml/2006/main" count="683" uniqueCount="463">
  <si>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</si>
  <si>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</si>
  <si>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</si>
  <si>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</si>
  <si>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</si>
  <si>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</si>
  <si>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</si>
  <si>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</si>
  <si>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</si>
  <si>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</si>
  <si>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</si>
  <si>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</si>
  <si>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</si>
  <si>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</si>
  <si>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</si>
  <si>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</si>
  <si>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</si>
  <si>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</si>
  <si>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</si>
  <si>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</si>
  <si>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</si>
  <si>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</si>
  <si>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</si>
  <si>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</si>
  <si>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</si>
  <si>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</si>
  <si>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</si>
  <si>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</si>
  <si>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</si>
  <si>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</si>
  <si>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</si>
  <si>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</si>
  <si>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</si>
  <si>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</si>
  <si>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</si>
  <si>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</si>
  <si>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</si>
  <si>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</si>
  <si>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</si>
  <si>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</si>
  <si>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</si>
  <si>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</si>
  <si>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</si>
  <si>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</si>
  <si>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</si>
  <si>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</si>
  <si>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</si>
  <si>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</si>
  <si>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</si>
  <si>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</si>
  <si>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</si>
  <si>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</si>
  <si>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</si>
  <si>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</si>
  <si>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</si>
  <si>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</si>
  <si>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</si>
  <si>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</si>
  <si>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</si>
  <si>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</si>
  <si>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</si>
  <si>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</si>
  <si>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</si>
  <si>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</si>
  <si>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</si>
  <si>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</si>
  <si>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</si>
  <si>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</si>
  <si>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</si>
  <si>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</si>
  <si>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</si>
  <si>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</si>
  <si>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</si>
  <si>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</si>
  <si>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</si>
  <si>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</si>
  <si>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</si>
  <si>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</si>
  <si>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</si>
  <si>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</si>
  <si>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</si>
  <si>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</si>
  <si>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</si>
  <si>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</si>
  <si>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</si>
  <si>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</si>
  <si>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</si>
  <si>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</si>
  <si>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</si>
  <si>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</si>
  <si>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</si>
  <si>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</si>
  <si>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</si>
  <si>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</si>
  <si>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</si>
  <si>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</si>
  <si>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</si>
  <si>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</si>
  <si>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</si>
  <si>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</si>
  <si>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</si>
  <si>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</si>
  <si>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</si>
  <si>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</si>
  <si>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</si>
  <si>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</si>
  <si>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</si>
  <si>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</si>
  <si>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</si>
  <si>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</si>
  <si>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</si>
  <si>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</si>
  <si>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</si>
  <si>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</si>
  <si>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</si>
  <si>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</si>
  <si>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</si>
  <si>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</si>
  <si>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</si>
  <si>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</si>
  <si>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</si>
  <si>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</si>
  <si>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</si>
  <si>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</si>
  <si>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</si>
  <si>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</si>
  <si>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</si>
  <si>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</si>
  <si>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</si>
  <si>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</si>
  <si>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</si>
  <si>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</si>
  <si>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</si>
  <si>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</si>
  <si>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</si>
  <si>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</si>
  <si>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</si>
  <si>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</si>
  <si>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</si>
  <si>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</si>
  <si>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</si>
  <si>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</si>
  <si>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</si>
  <si>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</si>
  <si>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</si>
  <si>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</si>
  <si>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</si>
  <si>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</si>
  <si>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</si>
  <si>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</si>
  <si>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</si>
  <si>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</si>
  <si>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</si>
  <si>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</si>
  <si>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</si>
  <si>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</si>
  <si>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</si>
  <si>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</si>
  <si>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</si>
  <si>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</si>
  <si>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</si>
  <si>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</si>
  <si>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</si>
  <si>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</si>
  <si>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</si>
  <si>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</si>
  <si>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</si>
  <si>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</si>
  <si>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</si>
  <si>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</si>
  <si>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</si>
  <si>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</si>
  <si>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</si>
  <si>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</si>
  <si>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</si>
  <si>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</si>
  <si>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</si>
  <si>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</si>
  <si>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</si>
  <si>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</si>
  <si>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</si>
  <si>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</si>
  <si>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</si>
  <si>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</si>
  <si>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</si>
  <si>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</si>
  <si>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</si>
  <si>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</si>
  <si>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</si>
  <si>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</si>
  <si>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</si>
  <si>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</si>
  <si>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</si>
  <si>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</si>
  <si>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</si>
  <si>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</si>
  <si>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</si>
  <si>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</si>
  <si>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</si>
  <si>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</si>
  <si>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</si>
  <si>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</si>
  <si>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</si>
  <si>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</si>
  <si>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</si>
  <si>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</si>
  <si>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</si>
  <si>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</si>
  <si>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</si>
  <si>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</si>
  <si>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</si>
  <si>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</si>
  <si>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</si>
  <si>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</si>
  <si>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</si>
  <si>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</si>
  <si>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</si>
  <si>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</si>
  <si>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</si>
  <si>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</si>
  <si>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</si>
  <si>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</si>
  <si>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</si>
  <si>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</si>
  <si>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</si>
  <si>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</si>
  <si>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</si>
  <si>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</si>
  <si>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</si>
  <si>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</si>
  <si>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</si>
  <si>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</si>
  <si>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</si>
  <si>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</si>
  <si>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</si>
  <si>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</si>
  <si>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</si>
  <si>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</si>
  <si>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</si>
  <si>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</si>
  <si>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</si>
  <si>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</si>
  <si>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</si>
  <si>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</si>
  <si>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</si>
  <si>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</si>
  <si>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</si>
  <si>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</si>
  <si>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</si>
  <si>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</si>
  <si>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</si>
  <si>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</si>
  <si>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</si>
  <si>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</si>
  <si>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</si>
  <si>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</si>
  <si>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</si>
  <si>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</si>
  <si>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</si>
  <si>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</si>
  <si>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</si>
  <si>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</si>
  <si>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</si>
  <si>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</si>
  <si>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</si>
  <si>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</si>
  <si>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</si>
  <si>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</si>
  <si>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</si>
  <si>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</si>
  <si>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</si>
  <si>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</si>
  <si>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</si>
  <si>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</si>
  <si>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</si>
  <si>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</si>
  <si>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</si>
  <si>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</si>
  <si>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</si>
  <si>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</si>
  <si>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</si>
  <si>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</si>
  <si>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</si>
  <si>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</si>
  <si>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</si>
  <si>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</si>
  <si>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</si>
  <si>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</si>
  <si>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</si>
  <si>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</si>
  <si>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</si>
  <si>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</si>
  <si>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</si>
  <si>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</si>
  <si>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</si>
  <si>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</si>
  <si>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</si>
  <si>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</si>
  <si>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</si>
  <si>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</si>
  <si>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</si>
  <si>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</si>
  <si>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</si>
  <si>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</si>
  <si>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</si>
  <si>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</si>
  <si>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</si>
  <si>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</si>
  <si>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</si>
  <si>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</si>
  <si>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</si>
  <si>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</si>
  <si>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</si>
  <si>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</si>
  <si>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</si>
  <si>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</si>
  <si>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</si>
  <si>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</si>
  <si>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</si>
  <si>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</si>
  <si>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</si>
  <si>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</si>
  <si>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</si>
  <si>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</si>
  <si>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</si>
  <si>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</si>
  <si>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</si>
  <si>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</si>
  <si>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</si>
  <si>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</si>
  <si>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</si>
  <si>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</si>
  <si>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</si>
  <si>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</si>
  <si>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</si>
  <si>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</si>
  <si>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</si>
  <si>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</si>
  <si>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</si>
  <si>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</si>
  <si>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</si>
  <si>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</si>
  <si>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</si>
  <si>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</si>
  <si>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</si>
  <si>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</si>
  <si>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</si>
  <si>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</si>
  <si>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</si>
  <si>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</si>
  <si>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</si>
  <si>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</si>
  <si>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</si>
  <si>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</si>
  <si>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</si>
  <si>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</si>
  <si>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</si>
  <si>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</si>
  <si>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</si>
  <si>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</si>
  <si>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</si>
  <si>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</si>
  <si>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</si>
  <si>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</si>
  <si>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</si>
  <si>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</si>
  <si>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</si>
  <si>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</si>
  <si>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</si>
  <si>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</si>
  <si>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</si>
  <si>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</si>
  <si>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</si>
  <si>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</si>
  <si>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</si>
  <si>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</si>
  <si>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</si>
  <si>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</si>
  <si>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</si>
  <si>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</si>
  <si>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</si>
  <si>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</si>
  <si>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</si>
  <si>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</si>
  <si>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</si>
  <si>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</si>
  <si>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</si>
  <si>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</si>
  <si>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</si>
  <si>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</si>
  <si>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</si>
  <si>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</si>
  <si>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</si>
  <si>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</si>
  <si>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</si>
  <si>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</si>
  <si>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</si>
  <si>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</si>
  <si>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</si>
  <si>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</si>
  <si>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</si>
  <si>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</si>
  <si>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</si>
  <si>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</si>
  <si>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</si>
  <si>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</si>
  <si>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</si>
  <si>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</si>
  <si>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</si>
  <si>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</si>
  <si>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</si>
  <si>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</si>
  <si>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</si>
  <si>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</si>
  <si>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</si>
  <si>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</si>
  <si>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</si>
  <si>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</si>
  <si>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</si>
  <si>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</si>
  <si>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</si>
  <si>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</si>
  <si>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</si>
  <si>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</si>
  <si>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</si>
  <si>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</si>
  <si>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</si>
  <si>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</si>
  <si>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</si>
  <si>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</si>
  <si>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</si>
  <si>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</si>
  <si>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</si>
  <si>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</si>
  <si>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</si>
  <si>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</si>
  <si>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</si>
  <si>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</si>
  <si>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</si>
  <si>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</si>
  <si>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</si>
  <si>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</si>
  <si>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</si>
  <si>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</si>
  <si>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</si>
  <si>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</si>
  <si>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</si>
  <si>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</si>
  <si>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</si>
  <si>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</si>
  <si>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</si>
  <si>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</si>
  <si>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</si>
  <si>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中国石油股份</t>
  </si>
  <si>
    <t>0857.HK</t>
  </si>
  <si>
    <t>601857.SS</t>
  </si>
  <si>
    <t>ENG_01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</si>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</sst>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183020977818</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6.19</v>
      </c>
      <c r="D12" s="50">
        <v>8.1</v>
      </c>
      <c r="E12" s="48"/>
    </row>
    <row r="13" spans="1:10">
      <c r="B13" s="1" t="s">
        <v>418</v>
      </c>
      <c r="C13" s="48" t="s">
        <v>397</v>
      </c>
      <c r="D13" s="48" t="s">
        <v>416</v>
      </c>
      <c r="E13" s="5"/>
    </row>
    <row r="14" spans="1:10">
      <c r="B14" s="4" t="s">
        <v>422</v>
      </c>
      <c r="C14" s="35">
        <f>Thesis!C12*Common_Shares/1000000</f>
        <v>1132899.8526934201</v>
      </c>
      <c r="D14" s="35">
        <f>IF(D11="","",Thesis!D12*Common_Shares/1000000)</f>
        <v>1482469.9203258001</v>
      </c>
      <c r="E14" s="5"/>
    </row>
    <row r="15" spans="1:10">
      <c r="B15" s="4" t="s">
        <v>421</v>
      </c>
      <c r="C15" s="32" t="str">
        <f>IF(C25=C13,C13,C25&amp;"/"&amp;C13)</f>
        <v>CNY/HKD</v>
      </c>
      <c r="D15" s="32" t="str">
        <f>IF(D11="","",IF(C25=D13,D13,C25&amp;"/"&amp;D13))</f>
        <v>CNY</v>
      </c>
      <c r="E15" s="5"/>
    </row>
    <row r="16" spans="1:10">
      <c r="B16" s="4" t="s">
        <v>1</v>
      </c>
      <c r="C16" s="50">
        <v>1.0837740599999999</v>
      </c>
      <c r="D16" s="50">
        <v>1</v>
      </c>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HKD/CNY:</v>
      </c>
      <c r="E25" s="329">
        <f>IF(D11="","",1/Exchange_Rate*D16)</f>
        <v>0.922701545375611</v>
      </c>
    </row>
    <row r="26" spans="2:6">
      <c r="B26" s="1" t="str">
        <f>"Expected Equity Value ("&amp;C13&amp;") :"</f>
        <v>Expected Equity Value (HKD) :</v>
      </c>
      <c r="C26" s="334">
        <f>C127</f>
        <v>8.6882808146142203</v>
      </c>
      <c r="D26" s="1" t="s">
        <v>400</v>
      </c>
      <c r="E26" s="331">
        <f ca="1">Scenarios!C87</f>
        <v>0.18395378359215098</v>
      </c>
    </row>
    <row r="27" spans="2:6">
      <c r="D27" s="5"/>
      <c r="E27" s="5"/>
    </row>
    <row r="28" spans="2:6">
      <c r="B28" s="45" t="s">
        <v>435</v>
      </c>
      <c r="C28" s="339" t="str">
        <f>C140&amp;" ("&amp;Market_currency&amp;")"</f>
        <v>0857.HK (HKD)</v>
      </c>
      <c r="D28" s="339" t="str">
        <f>IF(D11="","",D140&amp;" ("&amp;D13&amp;")")</f>
        <v>601857.SS (CNY)</v>
      </c>
      <c r="E28" s="335" t="s">
        <v>431</v>
      </c>
      <c r="F28" s="333">
        <v>3</v>
      </c>
    </row>
    <row r="29" spans="2:6">
      <c r="B29" s="1" t="s">
        <v>427</v>
      </c>
      <c r="C29" s="340">
        <f>C144</f>
        <v>4.1305941869019183</v>
      </c>
      <c r="D29" s="340">
        <f>D144</f>
        <v>3.8113056395739155</v>
      </c>
      <c r="E29" s="336" t="s">
        <v>426</v>
      </c>
      <c r="F29" s="332">
        <v>0.3674</v>
      </c>
    </row>
    <row r="30" spans="2:6">
      <c r="B30" s="1" t="s">
        <v>428</v>
      </c>
      <c r="C30" s="341">
        <f>C152</f>
        <v>5.7215707511536058</v>
      </c>
      <c r="D30" s="341">
        <f>D152</f>
        <v>5.2793021740653279</v>
      </c>
      <c r="E30" s="337" t="s">
        <v>439</v>
      </c>
      <c r="F30" s="342">
        <v>0.21740000000000001</v>
      </c>
    </row>
    <row r="31" spans="2:6">
      <c r="B31" s="1" t="s">
        <v>429</v>
      </c>
      <c r="C31" s="341">
        <f>C160</f>
        <v>8.1429985448632056</v>
      </c>
      <c r="D31" s="341">
        <f>D160</f>
        <v>7.5135573413366314</v>
      </c>
      <c r="E31" s="337" t="s">
        <v>438</v>
      </c>
      <c r="F31" s="342">
        <v>7.4999999999999997E-2</v>
      </c>
    </row>
    <row r="32" spans="2:6">
      <c r="B32" s="1" t="s">
        <v>430</v>
      </c>
      <c r="C32" s="341">
        <f>C168</f>
        <v>7.2936402155823172</v>
      </c>
      <c r="D32" s="341">
        <f>D168</f>
        <v>6.7298530983315086</v>
      </c>
      <c r="E32" s="337" t="s">
        <v>440</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1000000</v>
      </c>
    </row>
    <row r="40" spans="1:6" ht="24.5" customHeight="1">
      <c r="B40" s="350" t="s">
        <v>232</v>
      </c>
      <c r="C40" s="350"/>
      <c r="D40" s="350"/>
      <c r="E40" s="350"/>
      <c r="F40" s="350"/>
    </row>
    <row r="41" spans="1:6">
      <c r="B41" s="47" t="s">
        <v>233</v>
      </c>
      <c r="C41" s="76">
        <f>Normalized_FCF!C8</f>
        <v>247357.8376927129</v>
      </c>
      <c r="D41" s="1" t="str">
        <f>Reporting_currency</f>
        <v>CNY</v>
      </c>
    </row>
    <row r="42" spans="1:6">
      <c r="B42" s="47"/>
      <c r="C42" s="76"/>
    </row>
    <row r="43" spans="1:6" ht="24.5" customHeight="1">
      <c r="B43" s="350" t="s">
        <v>234</v>
      </c>
      <c r="C43" s="350"/>
      <c r="D43" s="350"/>
      <c r="E43" s="350"/>
      <c r="F43" s="350"/>
    </row>
    <row r="44" spans="1:6">
      <c r="B44" s="47" t="s">
        <v>235</v>
      </c>
      <c r="C44" s="76">
        <f>Normalized_FCF!C9</f>
        <v>243209.00000000003</v>
      </c>
      <c r="D44" s="1" t="str">
        <f>Reporting_currency</f>
        <v>CNY</v>
      </c>
    </row>
    <row r="45" spans="1:6">
      <c r="B45" s="52" t="s">
        <v>236</v>
      </c>
      <c r="C45" s="76">
        <f>Normalized_FCF!C10</f>
        <v>-283919.19056768838</v>
      </c>
      <c r="D45" s="1" t="str">
        <f>Reporting_currency</f>
        <v>CNY</v>
      </c>
    </row>
    <row r="47" spans="1:6">
      <c r="B47" s="350" t="s">
        <v>237</v>
      </c>
      <c r="C47" s="350"/>
      <c r="D47" s="350"/>
      <c r="E47" s="350"/>
      <c r="F47" s="350"/>
    </row>
    <row r="48" spans="1:6">
      <c r="B48" s="47" t="s">
        <v>238</v>
      </c>
      <c r="C48" s="76">
        <f>Normalized_FCF!C11</f>
        <v>18644</v>
      </c>
      <c r="D48" s="1" t="str">
        <f>Reporting_currency</f>
        <v>CNY</v>
      </c>
    </row>
    <row r="50" spans="2:6">
      <c r="B50" s="350" t="s">
        <v>241</v>
      </c>
      <c r="C50" s="350"/>
      <c r="D50" s="350"/>
      <c r="E50" s="350"/>
      <c r="F50" s="350"/>
    </row>
    <row r="51" spans="2:6">
      <c r="B51" s="47" t="s">
        <v>341</v>
      </c>
      <c r="C51" s="312">
        <f>Normalized_FCF!C48</f>
        <v>8793.8666926784372</v>
      </c>
      <c r="D51" s="1" t="str">
        <f>Reporting_currency</f>
        <v>CNY</v>
      </c>
      <c r="E51" s="311"/>
      <c r="F51" s="311"/>
    </row>
    <row r="52" spans="2:6">
      <c r="B52" s="47" t="s">
        <v>342</v>
      </c>
      <c r="C52" s="312">
        <f>Normalized_FCF!C47</f>
        <v>-20731</v>
      </c>
      <c r="D52" s="1" t="str">
        <f>Reporting_currency</f>
        <v>CNY</v>
      </c>
      <c r="E52" s="311"/>
      <c r="F52" s="311"/>
    </row>
    <row r="53" spans="2:6">
      <c r="B53" s="47" t="s">
        <v>239</v>
      </c>
      <c r="C53" s="76">
        <f>Normalized_FCF!C12</f>
        <v>-11937.133307321563</v>
      </c>
      <c r="D53" s="1" t="str">
        <f>Reporting_currency</f>
        <v>CNY</v>
      </c>
    </row>
    <row r="55" spans="2:6">
      <c r="B55" s="1" t="s">
        <v>247</v>
      </c>
    </row>
    <row r="56" spans="2:6">
      <c r="B56" s="47" t="s">
        <v>266</v>
      </c>
      <c r="C56" s="76">
        <f>Normalized_FCF!C15</f>
        <v>-17915.118234001515</v>
      </c>
      <c r="D56" s="1" t="str">
        <f>Reporting_currency</f>
        <v>CNY</v>
      </c>
    </row>
    <row r="58" spans="2:6">
      <c r="B58" s="350" t="s">
        <v>242</v>
      </c>
      <c r="C58" s="350"/>
      <c r="D58" s="350"/>
      <c r="E58" s="350"/>
      <c r="F58" s="350"/>
    </row>
    <row r="59" spans="2:6">
      <c r="B59" s="47" t="s">
        <v>240</v>
      </c>
      <c r="C59" s="76">
        <f>Normalized_FCF!C14</f>
        <v>-63516.176096347837</v>
      </c>
      <c r="D59" s="1" t="str">
        <f>Reporting_currency</f>
        <v>CNY</v>
      </c>
    </row>
    <row r="61" spans="2:6">
      <c r="B61" s="350" t="s">
        <v>339</v>
      </c>
      <c r="C61" s="351"/>
      <c r="D61" s="351"/>
      <c r="E61" s="351"/>
      <c r="F61" s="351"/>
    </row>
    <row r="62" spans="2:6">
      <c r="B62" s="47" t="s">
        <v>243</v>
      </c>
      <c r="C62" s="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175396.86669267845</v>
      </c>
      <c r="D67" s="1" t="str">
        <f>Reporting_currency</f>
        <v>CNY</v>
      </c>
    </row>
    <row r="68" spans="1:6">
      <c r="B68" s="47" t="s">
        <v>249</v>
      </c>
      <c r="C68" s="76">
        <f>Normalized_FCF!C19</f>
        <v>131923.21948735364</v>
      </c>
      <c r="D68" s="1" t="str">
        <f>Reporting_currency</f>
        <v>CNY</v>
      </c>
    </row>
    <row r="69" spans="1:6">
      <c r="B69" s="249" t="s">
        <v>391</v>
      </c>
      <c r="C69" s="92">
        <f>Normalized_FCF!C125</f>
        <v>0.12620264964477099</v>
      </c>
      <c r="F69" s="344"/>
    </row>
    <row r="70" spans="1:6">
      <c r="B70" s="249" t="s">
        <v>309</v>
      </c>
      <c r="C70" s="92">
        <f>Normalized_FCF!C93</f>
        <v>7.1395720582227623E-2</v>
      </c>
      <c r="E70" s="47" t="s">
        <v>450</v>
      </c>
      <c r="F70" s="345">
        <f>Normalized_FCF!C92</f>
        <v>0.61311573235445438</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10.415925350681768</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279749</v>
      </c>
      <c r="D96" s="1" t="str">
        <f>Reporting_currency</f>
        <v>CNY</v>
      </c>
    </row>
    <row r="97" spans="2:6">
      <c r="B97" s="47" t="s">
        <v>282</v>
      </c>
      <c r="C97" s="245">
        <f>C96*scaling_factor*Exchange_Rate/Common_Shares</f>
        <v>1.6565571505821226</v>
      </c>
      <c r="D97" s="1" t="str">
        <f>Market_currency</f>
        <v>HKD</v>
      </c>
    </row>
    <row r="98" spans="2:6">
      <c r="B98" s="325" t="s">
        <v>405</v>
      </c>
      <c r="C98" s="326">
        <f>BS!G30/BS!G27</f>
        <v>0.61007460831657279</v>
      </c>
    </row>
    <row r="99" spans="2:6">
      <c r="B99" s="325" t="s">
        <v>406</v>
      </c>
      <c r="C99" s="326">
        <f>BS!G31/BS!G27</f>
        <v>0.16360901428944893</v>
      </c>
    </row>
    <row r="100" spans="2:6">
      <c r="B100" s="325" t="s">
        <v>408</v>
      </c>
      <c r="C100" s="327">
        <f>BS!C50</f>
        <v>1.1309485990394448</v>
      </c>
    </row>
    <row r="102" spans="2:6">
      <c r="B102" s="1" t="s">
        <v>255</v>
      </c>
    </row>
    <row r="103" spans="2:6">
      <c r="B103" s="47" t="s">
        <v>265</v>
      </c>
      <c r="C103" s="76">
        <f>BS!C66</f>
        <v>216246</v>
      </c>
      <c r="D103" s="1" t="str">
        <f>Reporting_currency</f>
        <v>CNY</v>
      </c>
    </row>
    <row r="104" spans="2:6">
      <c r="B104" s="47" t="s">
        <v>267</v>
      </c>
      <c r="C104" s="76">
        <f>DCF!C8</f>
        <v>126.15719684722717</v>
      </c>
      <c r="D104" s="1" t="str">
        <f>Reporting_currency</f>
        <v>CNY</v>
      </c>
    </row>
    <row r="105" spans="2:6">
      <c r="B105" s="47" t="s">
        <v>283</v>
      </c>
      <c r="C105" s="245">
        <f>C104*scaling_factor*Exchange_Rate/Common_Shares</f>
        <v>7.4705041496009132E-4</v>
      </c>
      <c r="D105" s="1" t="str">
        <f>Market_currency</f>
        <v>HKD</v>
      </c>
    </row>
    <row r="107" spans="2:6">
      <c r="B107" s="1" t="s">
        <v>257</v>
      </c>
    </row>
    <row r="108" spans="2:6">
      <c r="B108" s="47" t="s">
        <v>258</v>
      </c>
      <c r="C108" s="76">
        <f>DCF!C9</f>
        <v>2113.7999999999997</v>
      </c>
      <c r="D108" s="1" t="str">
        <f>Reporting_currency</f>
        <v>CNY</v>
      </c>
    </row>
    <row r="109" spans="2:6">
      <c r="B109" s="47" t="s">
        <v>284</v>
      </c>
      <c r="C109" s="245">
        <f>C108*scaling_factor*Exchange_Rate/Common_Shares</f>
        <v>1.2517043867540155E-2</v>
      </c>
      <c r="D109" s="1" t="str">
        <f>Market_currency</f>
        <v>HKD</v>
      </c>
    </row>
    <row r="111" spans="2:6" ht="24.5" customHeight="1">
      <c r="B111" s="349" t="s">
        <v>367</v>
      </c>
      <c r="C111" s="349"/>
      <c r="D111" s="349"/>
      <c r="E111" s="349"/>
      <c r="F111" s="349"/>
    </row>
    <row r="113" spans="1:6">
      <c r="B113" s="47" t="s">
        <v>451</v>
      </c>
      <c r="C113" s="245">
        <f>IF(valuation_method="DCF",DCF!C12,DDM!C7)</f>
        <v>8.7726322943821451</v>
      </c>
      <c r="D113" s="1" t="str">
        <f>Market_currency</f>
        <v>HKD</v>
      </c>
    </row>
    <row r="114" spans="1:6">
      <c r="B114" s="325" t="s">
        <v>407</v>
      </c>
      <c r="C114" s="245">
        <f>BS!D47</f>
        <v>-3.8455253823410374</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0.06</v>
      </c>
      <c r="D121" s="252">
        <f>DCF!D74</f>
        <v>10</v>
      </c>
      <c r="E121" s="253" t="str">
        <f>ROUND(IF(valuation_method="DCF",DCF!E74,DDM!E69),2)&amp;" "&amp;Market_currency</f>
        <v>10.95 HKD</v>
      </c>
      <c r="F121" s="254">
        <f>DCF!F74</f>
        <v>0.05</v>
      </c>
    </row>
    <row r="122" spans="1:6">
      <c r="B122" s="240" t="str">
        <f>DCF!B75</f>
        <v>Optimistic</v>
      </c>
      <c r="C122" s="241">
        <f>DCF!C75</f>
        <v>0.02</v>
      </c>
      <c r="D122" s="242">
        <f>DCF!D75</f>
        <v>5</v>
      </c>
      <c r="E122" s="253" t="str">
        <f>ROUND(IF(valuation_method="DCF",DCF!E75,DDM!E70),2)&amp;" "&amp;Market_currency</f>
        <v>9.1 HKD</v>
      </c>
      <c r="F122" s="243">
        <f>DCF!F75</f>
        <v>0.18</v>
      </c>
    </row>
    <row r="123" spans="1:6">
      <c r="B123" s="240" t="str">
        <f>DCF!B76</f>
        <v>Base</v>
      </c>
      <c r="C123" s="241">
        <f>DCF!C76</f>
        <v>0.01</v>
      </c>
      <c r="D123" s="242">
        <f>DCF!D76</f>
        <v>5</v>
      </c>
      <c r="E123" s="253" t="str">
        <f>ROUND(IF(valuation_method="DCF",DCF!E76,DDM!E71),2)&amp;" "&amp;Market_currency</f>
        <v>8.94 HKD</v>
      </c>
      <c r="F123" s="243">
        <f>DCF!F76</f>
        <v>0.53999999999999992</v>
      </c>
    </row>
    <row r="124" spans="1:6">
      <c r="B124" s="240" t="str">
        <f>DCF!B77</f>
        <v>Pessimistic</v>
      </c>
      <c r="C124" s="241">
        <f>DCF!C77</f>
        <v>-0.06</v>
      </c>
      <c r="D124" s="242">
        <f>DCF!D77</f>
        <v>5</v>
      </c>
      <c r="E124" s="253" t="str">
        <f>ROUND(IF(valuation_method="DCF",DCF!E77,DDM!E72),2)&amp;" "&amp;Market_currency</f>
        <v>7.84 HKD</v>
      </c>
      <c r="F124" s="243">
        <f>DCF!F77</f>
        <v>0.18</v>
      </c>
    </row>
    <row r="125" spans="1:6">
      <c r="B125" s="240" t="str">
        <f>DCF!B78</f>
        <v>Devil's advocate</v>
      </c>
      <c r="C125" s="241">
        <f>DCF!C78</f>
        <v>-0.15</v>
      </c>
      <c r="D125" s="242">
        <f>DCF!D78</f>
        <v>10</v>
      </c>
      <c r="E125" s="253" t="str">
        <f>ROUND(IF(valuation_method="DCF",DCF!E78,DDM!E73),2)&amp;" "&amp;Market_currency</f>
        <v>5.32 HKD</v>
      </c>
      <c r="F125" s="243">
        <f>DCF!F78</f>
        <v>0.05</v>
      </c>
    </row>
    <row r="127" spans="1:6">
      <c r="B127" s="233" t="s">
        <v>259</v>
      </c>
      <c r="C127" s="239">
        <f>Scenarios!C60</f>
        <v>8.6882808146142203</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0.44193951040398899</v>
      </c>
      <c r="D138" s="234" t="str">
        <f>Market_currency</f>
        <v>HKD</v>
      </c>
    </row>
    <row r="140" spans="1:6">
      <c r="B140" s="232" t="s">
        <v>410</v>
      </c>
      <c r="C140" s="263" t="str">
        <f>C11</f>
        <v>0857.HK</v>
      </c>
      <c r="D140" s="263" t="str">
        <f>IF(D11="","",D11)</f>
        <v>601857.SS</v>
      </c>
    </row>
    <row r="141" spans="1:6">
      <c r="B141" s="1" t="s">
        <v>409</v>
      </c>
      <c r="C141" s="326">
        <f>F29</f>
        <v>0.3674</v>
      </c>
    </row>
    <row r="142" spans="1:6">
      <c r="B142" s="234" t="str">
        <f>"PV("&amp;C136&amp;" yrs of Dividends)"</f>
        <v>PV(3 yrs of Dividends)</v>
      </c>
      <c r="C142" s="238">
        <f>Scenarios!C81</f>
        <v>0.73240837221255373</v>
      </c>
    </row>
    <row r="143" spans="1:6">
      <c r="B143" s="234" t="str">
        <f>"+ PV(Equity Value realized at year "&amp;C136&amp;")"</f>
        <v>+ PV(Equity Value realized at year 3)</v>
      </c>
      <c r="C143" s="238">
        <f>Scenarios!C82</f>
        <v>3.3981858146893642</v>
      </c>
    </row>
    <row r="144" spans="1:6">
      <c r="B144" s="80" t="s">
        <v>261</v>
      </c>
      <c r="C144" s="237">
        <f>Scenarios!C83</f>
        <v>4.1305941869019183</v>
      </c>
      <c r="D144" s="330">
        <f>IF($D$11="","",C144*$E$25)</f>
        <v>3.8113056395739155</v>
      </c>
    </row>
    <row r="145" spans="2:4">
      <c r="B145" s="281" t="s">
        <v>418</v>
      </c>
      <c r="C145" s="328" t="str">
        <f>Market_currency</f>
        <v>HKD</v>
      </c>
      <c r="D145" s="328" t="str">
        <f>IF($D$11="","",D$13)</f>
        <v>CNY</v>
      </c>
    </row>
    <row r="146" spans="2:4">
      <c r="B146" s="236" t="s">
        <v>263</v>
      </c>
      <c r="C146" s="92">
        <f>Scenarios!F83</f>
        <v>0.52457865082422228</v>
      </c>
    </row>
    <row r="148" spans="2:4">
      <c r="B148" s="232" t="s">
        <v>413</v>
      </c>
    </row>
    <row r="149" spans="2:4">
      <c r="B149" s="1" t="s">
        <v>412</v>
      </c>
      <c r="C149" s="326">
        <f>Scenarios!C90</f>
        <v>0.21740000000000001</v>
      </c>
    </row>
    <row r="150" spans="2:4">
      <c r="B150" s="234" t="str">
        <f>"PV("&amp;C136&amp;" yrs of Dividends)"</f>
        <v>PV(3 yrs of Dividends)</v>
      </c>
      <c r="C150" s="238">
        <f>Scenarios!C91</f>
        <v>0.90615313623080584</v>
      </c>
    </row>
    <row r="151" spans="2:4">
      <c r="B151" s="234" t="str">
        <f>"+ PV(Equity Value realized at year "&amp;C136&amp;")"</f>
        <v>+ PV(Equity Value realized at year 3)</v>
      </c>
      <c r="C151" s="238">
        <f>Scenarios!C92</f>
        <v>4.8154176149227998</v>
      </c>
    </row>
    <row r="152" spans="2:4">
      <c r="B152" s="80" t="s">
        <v>261</v>
      </c>
      <c r="C152" s="237">
        <f>Scenarios!C93</f>
        <v>5.7215707511536058</v>
      </c>
      <c r="D152" s="330">
        <f>IF($D$11="","",C152*$E$25)</f>
        <v>5.2793021740653279</v>
      </c>
    </row>
    <row r="153" spans="2:4">
      <c r="B153" s="281" t="s">
        <v>418</v>
      </c>
      <c r="C153" s="328" t="str">
        <f>Market_currency</f>
        <v>HKD</v>
      </c>
      <c r="D153" s="328" t="str">
        <f>IF($D$11="","",D$13)</f>
        <v>CNY</v>
      </c>
    </row>
    <row r="154" spans="2:4">
      <c r="B154" s="236" t="s">
        <v>263</v>
      </c>
      <c r="C154" s="92">
        <f>Scenarios!F93</f>
        <v>0.34146111604385831</v>
      </c>
    </row>
    <row r="156" spans="2:4">
      <c r="B156" s="232" t="s">
        <v>401</v>
      </c>
    </row>
    <row r="157" spans="2:4">
      <c r="B157" s="1" t="s">
        <v>411</v>
      </c>
      <c r="C157" s="92">
        <f>Scenarios!C96</f>
        <v>7.4999999999999997E-2</v>
      </c>
    </row>
    <row r="158" spans="2:4">
      <c r="B158" s="234" t="str">
        <f>"PV("&amp;C136&amp;" yrs of Dividends)"</f>
        <v>PV(3 yrs of Dividends)</v>
      </c>
      <c r="C158" s="238">
        <f>Scenarios!C97</f>
        <v>1.1492750722719851</v>
      </c>
    </row>
    <row r="159" spans="2:4">
      <c r="B159" s="234" t="str">
        <f>"+ PV(Equity Value realized at year "&amp;C136&amp;")"</f>
        <v>+ PV(Equity Value realized at year 3)</v>
      </c>
      <c r="C159" s="238">
        <f>Scenarios!C98</f>
        <v>6.9937234725912205</v>
      </c>
    </row>
    <row r="160" spans="2:4">
      <c r="B160" s="80" t="s">
        <v>402</v>
      </c>
      <c r="C160" s="237">
        <f>Scenarios!C99</f>
        <v>8.1429985448632056</v>
      </c>
      <c r="D160" s="330">
        <f>IF($D$11="","",C160*$E$25)</f>
        <v>7.5135573413366314</v>
      </c>
    </row>
    <row r="161" spans="1:6">
      <c r="B161" s="281" t="s">
        <v>418</v>
      </c>
      <c r="C161" s="328" t="str">
        <f>Market_currency</f>
        <v>HKD</v>
      </c>
      <c r="D161" s="328" t="str">
        <f>IF($D$11="","",D$13)</f>
        <v>CNY</v>
      </c>
    </row>
    <row r="162" spans="1:6">
      <c r="B162" s="236" t="s">
        <v>263</v>
      </c>
      <c r="C162" s="92">
        <f>Scenarios!F99</f>
        <v>6.2760663632535518E-2</v>
      </c>
    </row>
    <row r="164" spans="1:6">
      <c r="B164" s="232" t="s">
        <v>434</v>
      </c>
    </row>
    <row r="165" spans="1:6">
      <c r="B165" s="1" t="s">
        <v>425</v>
      </c>
      <c r="C165" s="92">
        <f>F32</f>
        <v>0.1174</v>
      </c>
    </row>
    <row r="166" spans="1:6">
      <c r="B166" s="234" t="str">
        <f>"PV("&amp;C136&amp;" yrs of Dividends)"</f>
        <v>PV(3 yrs of Dividends)</v>
      </c>
      <c r="C166" s="238">
        <f>Scenarios!C103</f>
        <v>1.06622464427646</v>
      </c>
    </row>
    <row r="167" spans="1:6">
      <c r="B167" s="234" t="str">
        <f>"+ PV(Equity Value realized at year "&amp;C136&amp;")"</f>
        <v>+ PV(Equity Value realized at year 3)</v>
      </c>
      <c r="C167" s="238">
        <f>Scenarios!C104</f>
        <v>6.2274155713058574</v>
      </c>
    </row>
    <row r="168" spans="1:6">
      <c r="B168" s="80" t="s">
        <v>402</v>
      </c>
      <c r="C168" s="237">
        <f>Scenarios!C105</f>
        <v>7.2936402155823172</v>
      </c>
      <c r="D168" s="330">
        <f>IF($D$11="","",C168*$E$25)</f>
        <v>6.7298530983315086</v>
      </c>
    </row>
    <row r="169" spans="1:6">
      <c r="B169" s="281" t="s">
        <v>418</v>
      </c>
      <c r="C169" s="328" t="str">
        <f>Market_currency</f>
        <v>HKD</v>
      </c>
      <c r="D169" s="328" t="str">
        <f>IF($D$11="","",D$13)</f>
        <v>CNY</v>
      </c>
    </row>
    <row r="170" spans="1:6">
      <c r="B170" s="236" t="s">
        <v>263</v>
      </c>
      <c r="C170" s="92">
        <f>Scenarios!F105</f>
        <v>0.1609918604357754</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8">
        <v>63190</v>
      </c>
      <c r="D7" s="188">
        <v>70260</v>
      </c>
      <c r="E7" s="188">
        <v>68352</v>
      </c>
      <c r="F7" s="188">
        <v>48552</v>
      </c>
      <c r="G7" s="188">
        <v>47670</v>
      </c>
      <c r="H7" s="188"/>
      <c r="I7" s="188"/>
      <c r="J7" s="188"/>
      <c r="K7" s="188"/>
      <c r="L7" s="188"/>
      <c r="M7" s="188"/>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372</v>
      </c>
      <c r="C22" s="181">
        <v>406532</v>
      </c>
      <c r="D22" s="181">
        <v>456596</v>
      </c>
      <c r="E22" s="181">
        <v>393768</v>
      </c>
      <c r="F22" s="181">
        <v>276599</v>
      </c>
      <c r="G22" s="181">
        <v>256657</v>
      </c>
      <c r="H22" s="181"/>
      <c r="I22" s="181"/>
      <c r="J22" s="181"/>
      <c r="K22" s="181"/>
      <c r="L22" s="181"/>
      <c r="M22" s="181"/>
    </row>
    <row r="23" spans="2:13">
      <c r="B23" s="27" t="s">
        <v>374</v>
      </c>
      <c r="C23" s="181">
        <v>-307347</v>
      </c>
      <c r="D23" s="181">
        <v>-255789</v>
      </c>
      <c r="E23" s="181">
        <v>-232971</v>
      </c>
      <c r="F23" s="181">
        <v>-149026</v>
      </c>
      <c r="G23" s="181">
        <v>-140250</v>
      </c>
      <c r="H23" s="181"/>
      <c r="I23" s="181"/>
      <c r="J23" s="181"/>
      <c r="K23" s="181"/>
      <c r="L23" s="181"/>
      <c r="M23" s="181"/>
    </row>
    <row r="24" spans="2:13">
      <c r="B24" s="27" t="s">
        <v>373</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0.16132513819347183</v>
      </c>
      <c r="H25" s="39"/>
      <c r="I25" s="39"/>
      <c r="J25" s="39"/>
      <c r="K25" s="39"/>
      <c r="L25" s="39"/>
      <c r="M25" s="39"/>
    </row>
    <row r="27" spans="2:13">
      <c r="B27" s="16" t="s">
        <v>28</v>
      </c>
      <c r="C27" s="97" t="s">
        <v>459</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0.16132513819347183</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24"/>
      <c r="J77" s="324"/>
      <c r="K77" s="324"/>
      <c r="L77" s="324"/>
      <c r="M77" s="324"/>
    </row>
    <row r="78" spans="2:13">
      <c r="B78" s="93" t="s">
        <v>87</v>
      </c>
      <c r="C78" s="185">
        <f t="shared" si="40"/>
        <v>168338</v>
      </c>
      <c r="D78" s="185">
        <f t="shared" si="40"/>
        <v>182674</v>
      </c>
      <c r="E78" s="185">
        <f t="shared" si="40"/>
        <v>167751</v>
      </c>
      <c r="F78" s="185">
        <f t="shared" si="40"/>
        <v>110386</v>
      </c>
      <c r="G78" s="185">
        <f t="shared" si="40"/>
        <v>109354</v>
      </c>
      <c r="H78" s="185" t="str">
        <f t="shared" si="40"/>
        <v/>
      </c>
      <c r="I78" s="324"/>
      <c r="J78" s="324"/>
      <c r="K78" s="324"/>
      <c r="L78" s="324"/>
      <c r="M78" s="324"/>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71610+8868+34387</f>
        <v>114865</v>
      </c>
      <c r="D4" s="285">
        <v>0.6</v>
      </c>
      <c r="E4" s="25"/>
      <c r="F4" s="4" t="s">
        <v>78</v>
      </c>
      <c r="G4" s="19">
        <v>216246</v>
      </c>
      <c r="H4" s="285">
        <v>0.9</v>
      </c>
    </row>
    <row r="5" spans="2:8" ht="15" customHeight="1">
      <c r="B5" s="1" t="s">
        <v>33</v>
      </c>
      <c r="C5" s="19">
        <v>9020</v>
      </c>
      <c r="D5" s="285">
        <v>0.6</v>
      </c>
      <c r="E5" s="25"/>
      <c r="F5" s="1" t="s">
        <v>29</v>
      </c>
      <c r="G5" s="19">
        <v>0</v>
      </c>
      <c r="H5" s="285">
        <v>0.7</v>
      </c>
    </row>
    <row r="6" spans="2:8" ht="15" customHeight="1">
      <c r="B6" s="4" t="s">
        <v>10</v>
      </c>
      <c r="C6" s="19">
        <v>168338</v>
      </c>
      <c r="D6" s="285">
        <v>0.5</v>
      </c>
      <c r="E6" s="25"/>
      <c r="F6" s="4" t="s">
        <v>178</v>
      </c>
      <c r="G6" s="19">
        <v>0</v>
      </c>
      <c r="H6" s="285">
        <v>0.6</v>
      </c>
    </row>
    <row r="7" spans="2:8" ht="15" customHeight="1">
      <c r="B7" s="1" t="s">
        <v>69</v>
      </c>
      <c r="C7" s="19">
        <v>0</v>
      </c>
      <c r="D7" s="285">
        <v>0.6</v>
      </c>
      <c r="E7" s="25"/>
      <c r="F7" s="4" t="s">
        <v>179</v>
      </c>
      <c r="G7" s="19">
        <v>2816</v>
      </c>
      <c r="H7" s="285">
        <v>0.6</v>
      </c>
    </row>
    <row r="8" spans="2:8" ht="15" customHeight="1">
      <c r="B8" s="1" t="s">
        <v>174</v>
      </c>
      <c r="C8" s="19">
        <v>0</v>
      </c>
      <c r="D8" s="285">
        <v>0.6</v>
      </c>
      <c r="E8" s="25"/>
      <c r="F8" s="1" t="s">
        <v>180</v>
      </c>
      <c r="G8" s="19">
        <v>0</v>
      </c>
      <c r="H8" s="285">
        <v>0.6</v>
      </c>
    </row>
    <row r="9" spans="2:8" ht="15" customHeight="1">
      <c r="B9" s="4" t="s">
        <v>25</v>
      </c>
      <c r="C9" s="19">
        <v>14192</v>
      </c>
      <c r="D9" s="285">
        <v>0.1</v>
      </c>
      <c r="E9" s="25"/>
      <c r="F9" s="4" t="s">
        <v>181</v>
      </c>
      <c r="G9" s="19">
        <v>0</v>
      </c>
      <c r="H9" s="285">
        <v>0.6</v>
      </c>
    </row>
    <row r="10" spans="2:8" ht="15" customHeight="1">
      <c r="B10" s="4" t="s">
        <v>11</v>
      </c>
      <c r="C10" s="19">
        <v>0</v>
      </c>
      <c r="D10" s="285">
        <v>0.9</v>
      </c>
      <c r="H10" s="286"/>
    </row>
    <row r="11" spans="2:8" ht="15" customHeight="1">
      <c r="B11" s="4" t="s">
        <v>12</v>
      </c>
      <c r="C11" s="19">
        <v>65367</v>
      </c>
      <c r="D11" s="285">
        <v>0.05</v>
      </c>
      <c r="H11" s="286"/>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707</v>
      </c>
      <c r="H17" s="285">
        <v>0.6</v>
      </c>
    </row>
    <row r="18" spans="2:8" ht="15" customHeight="1">
      <c r="B18" s="4" t="s">
        <v>174</v>
      </c>
      <c r="C18" s="19">
        <v>0</v>
      </c>
      <c r="D18" s="285">
        <v>0.6</v>
      </c>
      <c r="F18" s="4" t="s">
        <v>182</v>
      </c>
      <c r="G18" s="19">
        <v>290077</v>
      </c>
      <c r="H18" s="285">
        <v>0.1</v>
      </c>
    </row>
    <row r="19" spans="2:8" ht="15" customHeight="1">
      <c r="B19" s="4" t="s">
        <v>26</v>
      </c>
      <c r="C19" s="19">
        <f>480407+875436+214967+120865+14018</f>
        <v>1705693</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92790</v>
      </c>
      <c r="D21" s="285">
        <v>0.05</v>
      </c>
      <c r="F21" s="1" t="s">
        <v>181</v>
      </c>
      <c r="G21" s="19">
        <v>0</v>
      </c>
      <c r="H21" s="285">
        <v>0.1</v>
      </c>
    </row>
    <row r="22" spans="2:8" ht="15" customHeight="1">
      <c r="B22" s="4" t="s">
        <v>20</v>
      </c>
      <c r="C22" s="19">
        <v>26765</v>
      </c>
      <c r="D22" s="285">
        <v>0.9</v>
      </c>
      <c r="H22" s="286"/>
    </row>
    <row r="23" spans="2:8" ht="15" customHeight="1">
      <c r="B23" s="4" t="s">
        <v>21</v>
      </c>
      <c r="C23" s="19">
        <f>7436+38695</f>
        <v>46131</v>
      </c>
      <c r="D23" s="285">
        <v>0</v>
      </c>
      <c r="H23" s="286"/>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1" t="s">
        <v>137</v>
      </c>
      <c r="F26" s="203" t="s">
        <v>197</v>
      </c>
      <c r="G26" s="204" t="s">
        <v>137</v>
      </c>
      <c r="H26" s="205" t="s">
        <v>35</v>
      </c>
    </row>
    <row r="27" spans="2:8" ht="15" customHeight="1">
      <c r="B27" s="4" t="s">
        <v>5</v>
      </c>
      <c r="C27" s="19">
        <v>45955</v>
      </c>
      <c r="F27" s="206" t="s">
        <v>30</v>
      </c>
      <c r="G27" s="85">
        <f>G32-G30</f>
        <v>1709863</v>
      </c>
      <c r="H27" s="207">
        <f>H32-G30</f>
        <v>-454916.25</v>
      </c>
    </row>
    <row r="28" spans="2:8" ht="15" customHeight="1">
      <c r="B28" s="4" t="s">
        <v>6</v>
      </c>
      <c r="C28" s="19">
        <v>0</v>
      </c>
      <c r="F28" s="208" t="s">
        <v>245</v>
      </c>
      <c r="G28" s="12">
        <v>194492</v>
      </c>
      <c r="H28" s="207"/>
    </row>
    <row r="29" spans="2:8" ht="15" customHeight="1">
      <c r="B29" s="4" t="s">
        <v>7</v>
      </c>
      <c r="C29" s="19">
        <v>0</v>
      </c>
      <c r="F29" s="209" t="s">
        <v>76</v>
      </c>
      <c r="G29" s="14">
        <f>G27-G28</f>
        <v>1515371</v>
      </c>
      <c r="H29" s="207">
        <f>H27-G28</f>
        <v>-649408.25</v>
      </c>
    </row>
    <row r="30" spans="2:8" ht="15" customHeight="1">
      <c r="B30" s="2" t="s">
        <v>8</v>
      </c>
      <c r="C30" s="19">
        <f>3808+7051+14895</f>
        <v>25754</v>
      </c>
      <c r="F30" s="206" t="s">
        <v>23</v>
      </c>
      <c r="G30" s="85">
        <f>C33+C42</f>
        <v>1043144</v>
      </c>
      <c r="H30" s="207"/>
    </row>
    <row r="31" spans="2:8" ht="15" customHeight="1">
      <c r="B31" s="80" t="s">
        <v>204</v>
      </c>
      <c r="C31" s="81">
        <f>SUM(C27:C30)</f>
        <v>71709</v>
      </c>
      <c r="F31" s="209" t="s">
        <v>77</v>
      </c>
      <c r="G31" s="210">
        <f>C31+C40</f>
        <v>279749</v>
      </c>
      <c r="H31" s="207"/>
    </row>
    <row r="32" spans="2:8" ht="15" customHeight="1">
      <c r="B32" s="4" t="s">
        <v>9</v>
      </c>
      <c r="C32" s="21">
        <f>C33-C31</f>
        <v>565608</v>
      </c>
      <c r="F32" s="211" t="s">
        <v>75</v>
      </c>
      <c r="G32" s="212">
        <f>G35+G40</f>
        <v>2753007</v>
      </c>
      <c r="H32" s="207">
        <f>H35+H40</f>
        <v>588227.75</v>
      </c>
    </row>
    <row r="33" spans="2:8" ht="15" customHeight="1">
      <c r="B33" s="83" t="s">
        <v>4</v>
      </c>
      <c r="C33" s="84">
        <v>637317</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2243161</v>
      </c>
      <c r="H35" s="219">
        <f>D12+D24</f>
        <v>362484.85000000003</v>
      </c>
    </row>
    <row r="36" spans="2:8" ht="15" customHeight="1">
      <c r="B36" s="4" t="s">
        <v>13</v>
      </c>
      <c r="C36" s="19">
        <v>74072</v>
      </c>
      <c r="F36" s="209" t="s">
        <v>198</v>
      </c>
      <c r="G36" s="210">
        <f>C4+C15</f>
        <v>114865</v>
      </c>
      <c r="H36" s="214"/>
    </row>
    <row r="37" spans="2:8" ht="15" customHeight="1">
      <c r="B37" s="4" t="s">
        <v>14</v>
      </c>
      <c r="C37" s="19">
        <v>109968</v>
      </c>
      <c r="F37" s="209" t="s">
        <v>199</v>
      </c>
      <c r="G37" s="210">
        <f>C6</f>
        <v>168338</v>
      </c>
      <c r="H37" s="214"/>
    </row>
    <row r="38" spans="2:8" ht="15" customHeight="1">
      <c r="B38" s="4" t="s">
        <v>15</v>
      </c>
      <c r="C38" s="19">
        <v>0</v>
      </c>
      <c r="F38" s="209" t="s">
        <v>200</v>
      </c>
      <c r="G38" s="210">
        <f>C7+C17</f>
        <v>0</v>
      </c>
      <c r="H38" s="214"/>
    </row>
    <row r="39" spans="2:8" ht="15" customHeight="1">
      <c r="B39" s="2" t="s">
        <v>16</v>
      </c>
      <c r="C39" s="19">
        <v>24000</v>
      </c>
      <c r="F39" s="209" t="s">
        <v>80</v>
      </c>
      <c r="G39" s="210">
        <f>C7+C17+C19+C20</f>
        <v>1705693</v>
      </c>
      <c r="H39" s="207">
        <f>C7*D7+C17*D17+C19*D19+C20*D20</f>
        <v>170569.30000000002</v>
      </c>
    </row>
    <row r="40" spans="2:8" ht="15" customHeight="1">
      <c r="B40" s="80" t="s">
        <v>205</v>
      </c>
      <c r="C40" s="81">
        <f>SUM(C36:C39)</f>
        <v>208040</v>
      </c>
      <c r="F40" s="218" t="s">
        <v>139</v>
      </c>
      <c r="G40" s="212">
        <f>G12+G24</f>
        <v>509846</v>
      </c>
      <c r="H40" s="219">
        <f>H12+H24</f>
        <v>225742.9</v>
      </c>
    </row>
    <row r="41" spans="2:8" ht="15" customHeight="1">
      <c r="B41" s="4" t="s">
        <v>17</v>
      </c>
      <c r="C41" s="21">
        <f>C42-C40</f>
        <v>197787</v>
      </c>
      <c r="F41" s="209" t="s">
        <v>192</v>
      </c>
      <c r="G41" s="210">
        <f>C70</f>
        <v>506323</v>
      </c>
      <c r="H41" s="219">
        <f>H40-H42</f>
        <v>223629.1</v>
      </c>
    </row>
    <row r="42" spans="2:8" ht="15" customHeight="1">
      <c r="B42" s="83" t="s">
        <v>22</v>
      </c>
      <c r="C42" s="84">
        <v>405827</v>
      </c>
      <c r="F42" s="220" t="s">
        <v>193</v>
      </c>
      <c r="G42" s="221">
        <f>C82</f>
        <v>3523</v>
      </c>
      <c r="H42" s="222">
        <f>D82</f>
        <v>2113.7999999999997</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1515371</v>
      </c>
      <c r="D46" s="76">
        <f>H29</f>
        <v>-649408.25</v>
      </c>
      <c r="F46" s="275"/>
    </row>
    <row r="47" spans="2:8" ht="15" customHeight="1">
      <c r="B47" s="1" t="str">
        <f>"Equity per share ("&amp;Market_currency&amp;")"</f>
        <v>Equity per share (HKD)</v>
      </c>
      <c r="C47" s="148">
        <f>C46*H1/Common_Shares*Exchange_Rate</f>
        <v>8.9733963868853213</v>
      </c>
      <c r="D47" s="148">
        <f>D46*H1/Common_Shares*Exchange_Rate</f>
        <v>-3.8455253823410374</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1.1309485990394448</v>
      </c>
      <c r="D50" s="95">
        <f>G31/Normalized_FCF!G8</f>
        <v>1.1394328679189951</v>
      </c>
      <c r="F50" s="275"/>
    </row>
    <row r="51" spans="2:8" ht="15" customHeight="1">
      <c r="B51" s="1" t="s">
        <v>177</v>
      </c>
      <c r="C51" s="200"/>
      <c r="D51" s="92">
        <f>G29/G32</f>
        <v>0.55044211656563169</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0.11027199460614415</v>
      </c>
      <c r="D54" s="92">
        <f>Normalized_FCF!G8/G35</f>
        <v>0.1094509043265285</v>
      </c>
      <c r="F54" s="275"/>
    </row>
    <row r="55" spans="2:8" ht="15" customHeight="1">
      <c r="B55" s="1" t="s">
        <v>142</v>
      </c>
      <c r="C55" s="92">
        <f>Normalized_FCF!C11/G40</f>
        <v>3.656790481831769E-2</v>
      </c>
      <c r="D55" s="92">
        <f>Normalized_FCF!G11/G40</f>
        <v>3.656790481831769E-2</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0.14258662021829252</v>
      </c>
      <c r="F58" s="5"/>
    </row>
    <row r="59" spans="2:8" ht="15" customHeight="1">
      <c r="B59" s="1" t="s">
        <v>93</v>
      </c>
      <c r="C59" s="98"/>
      <c r="D59" s="92">
        <f>G39/G32</f>
        <v>0.6195745234211173</v>
      </c>
      <c r="F59" s="275"/>
    </row>
    <row r="60" spans="2:8" ht="15" customHeight="1">
      <c r="F60" s="275"/>
    </row>
    <row r="61" spans="2:8" ht="15" customHeight="1">
      <c r="B61" s="158" t="s">
        <v>275</v>
      </c>
      <c r="C61" s="257" t="s">
        <v>138</v>
      </c>
      <c r="D61" s="216" t="s">
        <v>96</v>
      </c>
      <c r="F61" s="275"/>
    </row>
    <row r="62" spans="2:8" ht="15" customHeight="1">
      <c r="B62" s="1" t="s">
        <v>246</v>
      </c>
      <c r="C62" s="92">
        <f>IF(G28&lt;=0,0,G28/G29)</f>
        <v>0.12834612777992979</v>
      </c>
      <c r="D62" s="92">
        <f>G28/G29</f>
        <v>0.12834612777992979</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216246</v>
      </c>
      <c r="D66" s="76">
        <f>C66-D75</f>
        <v>126.15719684722717</v>
      </c>
      <c r="F66" s="5" t="s">
        <v>227</v>
      </c>
    </row>
    <row r="67" spans="2:6" ht="15" customHeight="1">
      <c r="B67" s="105" t="s">
        <v>178</v>
      </c>
      <c r="C67" s="20">
        <f>G6+G16</f>
        <v>0</v>
      </c>
      <c r="F67" s="275"/>
    </row>
    <row r="68" spans="2:6" ht="15" customHeight="1">
      <c r="B68" s="105" t="s">
        <v>182</v>
      </c>
      <c r="C68" s="20">
        <f>G18</f>
        <v>290077</v>
      </c>
      <c r="F68" s="275"/>
    </row>
    <row r="69" spans="2:6" ht="15" customHeight="1">
      <c r="B69" s="105" t="s">
        <v>180</v>
      </c>
      <c r="C69" s="20">
        <f>G8+G20</f>
        <v>0</v>
      </c>
      <c r="F69" s="275"/>
    </row>
    <row r="70" spans="2:6" ht="15" customHeight="1">
      <c r="B70" s="80" t="s">
        <v>189</v>
      </c>
      <c r="C70" s="81">
        <f>SUM(C66:C69)</f>
        <v>506323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-231112.43344421219</v>
      </c>
      <c r="D73" s="76">
        <f>(Normalized_FCF!C25+Normalized_FCF!C35-Normalized_FCF!C91)/12</f>
        <v>-216119.84280315277</v>
      </c>
      <c r="F73" s="1" t="s">
        <v>352</v>
      </c>
    </row>
    <row r="74" spans="2:6" ht="15" customHeight="1">
      <c r="B74" s="279" t="s">
        <v>322</v>
      </c>
      <c r="C74" s="280">
        <f>-$C$66/C73</f>
        <v>0.93567445410590266</v>
      </c>
      <c r="D74" s="280">
        <f>-$C$66/D73</f>
        <v>1.0005837372228803</v>
      </c>
      <c r="F74" s="275" t="s">
        <v>320</v>
      </c>
    </row>
    <row r="75" spans="2:6" ht="15" customHeight="1">
      <c r="B75" s="80" t="s">
        <v>321</v>
      </c>
      <c r="C75" s="284"/>
      <c r="D75" s="283">
        <f>MAX(-D73*D76,G5)</f>
        <v>216119.84280315277</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3523</v>
      </c>
      <c r="D79" s="76">
        <f>G7*H7+G17*H17</f>
        <v>2113.7999999999997</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3523</v>
      </c>
      <c r="D82" s="81">
        <f>SUM(D79:D81)</f>
        <v>2113.7999999999997</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-303184.70951093995</v>
      </c>
      <c r="D86" s="245">
        <f>C86*scaling_factor/Common_Shares</f>
        <v>-1.6565571505821226</v>
      </c>
      <c r="E86" s="262" t="str">
        <f>Market_currency</f>
        <v>HKD</v>
      </c>
    </row>
    <row r="87" spans="2:8" ht="15" customHeight="1">
      <c r="B87" s="260" t="s">
        <v>288</v>
      </c>
      <c r="C87" s="76">
        <f>DCF!C8*Exchange_Rate</f>
        <v>136.72589742533856</v>
      </c>
      <c r="D87" s="245">
        <f>C87*scaling_factor/Common_Shares</f>
        <v>7.4705041496009132E-4</v>
      </c>
      <c r="E87" s="262" t="str">
        <f>Market_currency</f>
        <v>HKD</v>
      </c>
    </row>
    <row r="88" spans="2:8" ht="15" customHeight="1">
      <c r="B88" s="261" t="s">
        <v>190</v>
      </c>
      <c r="C88" s="76">
        <f>DCF!C9*Exchange_Rate</f>
        <v>2290.8816080279994</v>
      </c>
      <c r="D88" s="245">
        <f>C88*scaling_factor/Common_Shares</f>
        <v>1.2517043867540155E-2</v>
      </c>
      <c r="E88" s="262" t="str">
        <f>Market_currency</f>
        <v>HKD</v>
      </c>
    </row>
    <row r="89" spans="2:8" ht="15" customHeight="1">
      <c r="B89" s="80" t="s">
        <v>292</v>
      </c>
      <c r="C89" s="187">
        <f>SUM(C86:C88)</f>
        <v>-300757.10200548661</v>
      </c>
      <c r="D89" s="264">
        <f>SUM(D86:D88)</f>
        <v>-1.6432930562996224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2759911.75</v>
      </c>
      <c r="D4" s="57"/>
      <c r="E4" s="291"/>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0">
        <f>C25</f>
        <v>-2178092.4123072871</v>
      </c>
      <c r="E5" s="293"/>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293"/>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-334461.5</v>
      </c>
      <c r="E7" s="293"/>
      <c r="G7" s="190">
        <f t="shared" ref="G7:Q7" si="3">G35</f>
        <v>-354052</v>
      </c>
      <c r="H7" s="190">
        <f t="shared" si="3"/>
        <v>-371995</v>
      </c>
      <c r="I7" s="190">
        <f t="shared" si="3"/>
        <v>-347370</v>
      </c>
      <c r="J7" s="190">
        <f t="shared" si="3"/>
        <v>-264429</v>
      </c>
      <c r="K7" s="190">
        <f t="shared" si="3"/>
        <v>-253515</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247357.8376927129</v>
      </c>
      <c r="D8" s="59"/>
      <c r="E8" s="299"/>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243209.00000000003</v>
      </c>
      <c r="E9" s="293"/>
      <c r="G9" s="190">
        <f>IF(Data!C61="","",-Data!C61)</f>
        <v>243209</v>
      </c>
      <c r="H9" s="190">
        <f>IF(Data!D61="","",-Data!D61)</f>
        <v>229584</v>
      </c>
      <c r="I9" s="190">
        <f>IF(Data!E61="","",-Data!E61)</f>
        <v>222648</v>
      </c>
      <c r="J9" s="190">
        <f>IF(Data!F61="","",-Data!F61)</f>
        <v>238036</v>
      </c>
      <c r="K9" s="190">
        <f>IF(Data!G61="","",-Data!G61)</f>
        <v>236818</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-283919.19056768838</v>
      </c>
      <c r="E10" s="293"/>
      <c r="G10" s="190">
        <f>Data!C62</f>
        <v>-243209</v>
      </c>
      <c r="H10" s="190">
        <f>Data!D62</f>
        <v>-115297</v>
      </c>
      <c r="I10" s="190">
        <f>Data!E62</f>
        <v>-282508</v>
      </c>
      <c r="J10" s="190">
        <f>Data!F62</f>
        <v>-245237</v>
      </c>
      <c r="K10" s="190">
        <f>Data!G62</f>
        <v>-265563</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18644</v>
      </c>
      <c r="D11" s="169"/>
      <c r="E11" s="292"/>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-11937.133307321563</v>
      </c>
      <c r="E12" s="293"/>
      <c r="G12" s="190">
        <f>G50</f>
        <v>-11937.133307321563</v>
      </c>
      <c r="H12" s="190">
        <f t="shared" ref="H12:Q12" si="6">H50</f>
        <v>-15802.821773498434</v>
      </c>
      <c r="I12" s="190">
        <f t="shared" si="6"/>
        <v>-16818.76413343443</v>
      </c>
      <c r="J12" s="190">
        <f t="shared" si="6"/>
        <v>-12953.143457478152</v>
      </c>
      <c r="K12" s="190">
        <f t="shared" si="6"/>
        <v>-13366.010443036816</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213354.51381770297</v>
      </c>
      <c r="E13" s="293"/>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-63516.176096347837</v>
      </c>
      <c r="E14" s="293"/>
      <c r="G14" s="190">
        <f>Data!C46</f>
        <v>-57755</v>
      </c>
      <c r="H14" s="190">
        <f>Data!D46</f>
        <v>-57167</v>
      </c>
      <c r="I14" s="190">
        <f>Data!E46</f>
        <v>-49929</v>
      </c>
      <c r="J14" s="190">
        <f>Data!F46</f>
        <v>-24138</v>
      </c>
      <c r="K14" s="190">
        <f>Data!G46</f>
        <v>-17067</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-17915.118234001515</v>
      </c>
      <c r="D15" s="60"/>
      <c r="E15" s="300"/>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131923.21948735364</v>
      </c>
      <c r="D16" s="61"/>
      <c r="E16" s="301"/>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131923.21948735364</v>
      </c>
      <c r="D19" s="27"/>
      <c r="E19" s="290"/>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-2114499.0205040863</v>
      </c>
      <c r="D23" s="58"/>
      <c r="E23" s="292"/>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-63593.391803200633</v>
      </c>
      <c r="D24" s="27"/>
      <c r="E24" s="290"/>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298"/>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0.76614733079928599</v>
      </c>
      <c r="D28" s="26"/>
      <c r="E28" s="291"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91"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93"/>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-314015.75</v>
      </c>
      <c r="E33" s="291" t="s">
        <v>334</v>
      </c>
      <c r="G33" s="190">
        <f>Data!C41</f>
        <v>-331038</v>
      </c>
      <c r="H33" s="190">
        <f>Data!D41</f>
        <v>-350038</v>
      </c>
      <c r="I33" s="190">
        <f>Data!E41</f>
        <v>-327354</v>
      </c>
      <c r="J33" s="190">
        <f>Data!F41</f>
        <v>-247633</v>
      </c>
      <c r="K33" s="190">
        <f>Data!G41</f>
        <v>-238298</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-20445.75</v>
      </c>
      <c r="D34" s="58"/>
      <c r="E34" s="291" t="s">
        <v>334</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292"/>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0.11377746045684251</v>
      </c>
      <c r="D38" s="27"/>
      <c r="E38" s="290"/>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0"/>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93"/>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-20731</v>
      </c>
      <c r="E47" s="293"/>
      <c r="G47" s="190">
        <f>Data!C51</f>
        <v>-20731</v>
      </c>
      <c r="H47" s="190">
        <f>Data!D51</f>
        <v>-24063</v>
      </c>
      <c r="I47" s="190">
        <f>Data!E51</f>
        <v>-21554</v>
      </c>
      <c r="J47" s="190">
        <f>Data!F51</f>
        <v>-14912</v>
      </c>
      <c r="K47" s="190">
        <f>Data!G51</f>
        <v>-15097</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8793.8666926784372</v>
      </c>
      <c r="E48" s="293"/>
      <c r="G48" s="318">
        <f>IFERROR(IF(G$4="","",($C$48/$C$49)*G49),0)</f>
        <v>8793.8666926784372</v>
      </c>
      <c r="H48" s="318">
        <f t="shared" ref="H48:Q48" si="19">IFERROR(IF(H$4="","",($C$48/$C$49)*H49),0)</f>
        <v>8260.1782265015663</v>
      </c>
      <c r="I48" s="318">
        <f t="shared" si="19"/>
        <v>4735.2358665655684</v>
      </c>
      <c r="J48" s="318">
        <f t="shared" si="19"/>
        <v>1958.8565425218476</v>
      </c>
      <c r="K48" s="318">
        <f t="shared" si="19"/>
        <v>1730.9895569631838</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8799</v>
      </c>
      <c r="D49" s="315"/>
      <c r="E49" s="316"/>
      <c r="F49" s="315"/>
      <c r="G49" s="314">
        <f>Data!C52</f>
        <v>8799</v>
      </c>
      <c r="H49" s="314">
        <f>Data!D52</f>
        <v>8265</v>
      </c>
      <c r="I49" s="314">
        <f>Data!E52</f>
        <v>4738</v>
      </c>
      <c r="J49" s="314">
        <f>Data!F52</f>
        <v>1960</v>
      </c>
      <c r="K49" s="314">
        <f>Data!G52</f>
        <v>1732</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-11937.133307321563</v>
      </c>
      <c r="E50" s="293"/>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4.0689769984184679E-2</v>
      </c>
      <c r="E53" s="290" t="s">
        <v>336</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0" t="s">
        <v>337</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293"/>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18644</v>
      </c>
      <c r="E59" s="293"/>
      <c r="G59" s="190">
        <f>Data!C55</f>
        <v>18644</v>
      </c>
      <c r="H59" s="190">
        <f>Data!D55</f>
        <v>18538</v>
      </c>
      <c r="I59" s="190">
        <f>Data!E55</f>
        <v>15251</v>
      </c>
      <c r="J59" s="190">
        <f>Data!F55</f>
        <v>12877</v>
      </c>
      <c r="K59" s="190">
        <f>Data!G55</f>
        <v>11296</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18644</v>
      </c>
      <c r="E61" s="293"/>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-10726</v>
      </c>
      <c r="H62" s="190">
        <f>Data!D58</f>
        <v>-31384</v>
      </c>
      <c r="I62" s="190">
        <f>Data!E58</f>
        <v>-80673</v>
      </c>
      <c r="J62" s="190">
        <f>Data!F58</f>
        <v>-2375</v>
      </c>
      <c r="K62" s="190">
        <f>Data!G58</f>
        <v>-1615</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18644</v>
      </c>
      <c r="E63" s="293"/>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293"/>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298"/>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0.78918915153982261</v>
      </c>
      <c r="D73" s="27"/>
      <c r="E73" s="290"/>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0"/>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0"/>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0"/>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90"/>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91" t="s">
        <v>461</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0"/>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0"/>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0"/>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0"/>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6.4911924209176304E-3</v>
      </c>
      <c r="D83" s="27"/>
      <c r="E83" s="290"/>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0"/>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0"/>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0.44193951040398899</v>
      </c>
      <c r="E90" s="293"/>
      <c r="G90" s="113">
        <f>Data!C65</f>
        <v>0.44193951040398899</v>
      </c>
      <c r="H90" s="113">
        <f>Data!D65</f>
        <v>0.41373060548458601</v>
      </c>
      <c r="I90" s="113">
        <f>Data!E65</f>
        <v>0.39735063469471898</v>
      </c>
      <c r="J90" s="113">
        <f>Data!F65</f>
        <v>0.21309006776117501</v>
      </c>
      <c r="K90" s="113">
        <f>Data!G65</f>
        <v>0.16132513819347183</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293"/>
      <c r="G91" s="74">
        <f t="shared" ref="G91:Q91" si="37">IF(G$4="","",G90*Common_Shares/scaling_factor)</f>
        <v>80884.201330546246</v>
      </c>
      <c r="H91" s="74">
        <f t="shared" si="37"/>
        <v>75721.37996902212</v>
      </c>
      <c r="I91" s="74">
        <f t="shared" si="37"/>
        <v>72723.501698430395</v>
      </c>
      <c r="J91" s="74">
        <f t="shared" si="37"/>
        <v>38999.952564954125</v>
      </c>
      <c r="K91" s="74">
        <f t="shared" si="37"/>
        <v>29525.884538793194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93"/>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0.28979052838032671</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7.1395720582227623E-2</v>
      </c>
      <c r="E93" s="293"/>
      <c r="G93" s="23">
        <f t="shared" ref="G93:Q93" si="39">IF(G$4="","",G90/Market_Price)</f>
        <v>7.1395720582227623E-2</v>
      </c>
      <c r="H93" s="23">
        <f t="shared" si="39"/>
        <v>6.6838546928042974E-2</v>
      </c>
      <c r="I93" s="23">
        <f t="shared" si="39"/>
        <v>6.4192348092846352E-2</v>
      </c>
      <c r="J93" s="23">
        <f t="shared" si="39"/>
        <v>3.442488978371163E-2</v>
      </c>
      <c r="K93" s="23">
        <f t="shared" si="39"/>
        <v>2.6062219417362167E-2</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-6.0609394682947237E-2</v>
      </c>
      <c r="D96" s="27"/>
      <c r="E96" s="290"/>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0"/>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2753007</v>
      </c>
      <c r="D101" s="26"/>
      <c r="E101" s="294"/>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114865</v>
      </c>
      <c r="D102" s="89"/>
      <c r="E102" s="295"/>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168338</v>
      </c>
      <c r="D103" s="89"/>
      <c r="E103" s="295"/>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1043144</v>
      </c>
      <c r="D104" s="26"/>
      <c r="E104" s="294"/>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1709863</v>
      </c>
      <c r="D105" s="26"/>
      <c r="E105" s="294"/>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94"/>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94"/>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2.2124551693360979</v>
      </c>
      <c r="H113" s="323">
        <f>IF(H$4="","",Data!D$22/Data!D15)</f>
        <v>2.5287631326809223</v>
      </c>
      <c r="I113" s="323">
        <f>IF(I$4="","",Data!E$22/Data!E15)</f>
        <v>2.4106818167904347</v>
      </c>
      <c r="J113" s="323">
        <f>IF(J$4="","",Data!F$22/Data!F15)</f>
        <v>2.089210991434657</v>
      </c>
      <c r="K113" s="323">
        <f>IF(K$4="","",Data!G$22/Data!G15)</f>
        <v>1.9893115689283667</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2.3177837076890597</v>
      </c>
      <c r="H114" s="323">
        <f>IF(H$4="","",Data!D$22/H19)</f>
        <v>1.4868950599058723</v>
      </c>
      <c r="I114" s="323">
        <f>IF(I$4="","",Data!E$22/I19)</f>
        <v>2.3224541263283642</v>
      </c>
      <c r="J114" s="323">
        <f>IF(J$4="","",Data!F$22/J19)</f>
        <v>2.1682669581796996</v>
      </c>
      <c r="K114" s="323">
        <f>IF(K$4="","",Data!G$22/K19)</f>
        <v>2.5190360527484983</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93"/>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93"/>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297"/>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296"/>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0.78119440130113238</v>
      </c>
      <c r="D124" s="27"/>
      <c r="E124" s="290"/>
      <c r="F124" s="27"/>
      <c r="G124" s="178">
        <f t="shared" ref="G124:Q124" si="49">IF(G$4="","",G16*$C$3/Common_Shares*Exchange_Rate)</f>
        <v>1.038627246958723</v>
      </c>
      <c r="H124" s="178">
        <f t="shared" si="49"/>
        <v>1.8184010132052084</v>
      </c>
      <c r="I124" s="178">
        <f t="shared" si="49"/>
        <v>1.0039940893205821</v>
      </c>
      <c r="J124" s="178">
        <f t="shared" si="49"/>
        <v>0.75539783299600149</v>
      </c>
      <c r="K124" s="178">
        <f t="shared" si="49"/>
        <v>0.60333234829033677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0.12620264964477099</v>
      </c>
      <c r="D125" s="27"/>
      <c r="E125" s="290"/>
      <c r="F125" s="27"/>
      <c r="G125" s="77">
        <f t="shared" ref="G125" si="50">IF(G$4="","",G124/Market_Price)</f>
        <v>0.16779115459753197</v>
      </c>
      <c r="H125" s="77">
        <f t="shared" ref="H125" si="51">IF(H$4="","",H124/Market_Price)</f>
        <v>0.29376429938694804</v>
      </c>
      <c r="I125" s="77">
        <f t="shared" ref="I125" si="52">IF(I$4="","",I124/Market_Price)</f>
        <v>0.16219613720849468</v>
      </c>
      <c r="J125" s="77">
        <f t="shared" ref="J125" si="53">IF(J$4="","",J124/Market_Price)</f>
        <v>0.12203519111405516</v>
      </c>
      <c r="K125" s="77">
        <f t="shared" ref="K125" si="54">IF(K$4="","",K124/Market_Price)</f>
        <v>9.7468876945127098E-2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1758976.259831382</v>
      </c>
      <c r="D6" t="str">
        <f>Reporting_currency</f>
        <v>CNY</v>
      </c>
      <c r="E6" s="355" t="s">
        <v>250</v>
      </c>
      <c r="F6" s="355"/>
      <c r="H6" s="121"/>
    </row>
    <row r="7" spans="2:8">
      <c r="B7" s="149" t="s">
        <v>225</v>
      </c>
      <c r="C7" s="224">
        <f>BS!G31</f>
        <v>279749</v>
      </c>
      <c r="D7" t="str">
        <f>Reporting_currency</f>
        <v>CNY</v>
      </c>
      <c r="E7" s="355"/>
      <c r="F7" s="355"/>
      <c r="H7" s="121"/>
    </row>
    <row r="8" spans="2:8">
      <c r="B8" s="149" t="s">
        <v>226</v>
      </c>
      <c r="C8" s="115">
        <f>BS!D66</f>
        <v>126.15719684722717</v>
      </c>
      <c r="D8" t="str">
        <f>Reporting_currency</f>
        <v>CNY</v>
      </c>
      <c r="E8" s="355"/>
      <c r="F8" s="355"/>
      <c r="H8" s="121"/>
    </row>
    <row r="9" spans="2:8">
      <c r="B9" s="225" t="s">
        <v>191</v>
      </c>
      <c r="C9" s="227">
        <f>BS!H42</f>
        <v>2113.7999999999997</v>
      </c>
      <c r="D9" t="str">
        <f>Reporting_currency</f>
        <v>CNY</v>
      </c>
      <c r="E9" s="355"/>
      <c r="F9" s="355"/>
      <c r="H9" s="121"/>
    </row>
    <row r="10" spans="2:8" ht="13.15">
      <c r="B10" s="150" t="s">
        <v>228</v>
      </c>
      <c r="C10" s="230">
        <f>C6-C7+C8+C9</f>
        <v>1481467.2170282293</v>
      </c>
      <c r="D10" t="str">
        <f>Reporting_currency</f>
        <v>CNY</v>
      </c>
      <c r="H10" s="121"/>
    </row>
    <row r="11" spans="2:8" ht="13.15" thickBot="1">
      <c r="B11" s="228" t="s">
        <v>167</v>
      </c>
      <c r="C11" s="229">
        <f>Exchange_Rate</f>
        <v>1.0837740599999999</v>
      </c>
      <c r="D11" t="str">
        <f>Thesis!C15</f>
        <v>CNY/HKD</v>
      </c>
      <c r="H11" s="121"/>
    </row>
    <row r="12" spans="2:8" ht="13.5" thickTop="1">
      <c r="B12" s="150" t="s">
        <v>103</v>
      </c>
      <c r="C12" s="112">
        <f>(C10*scaling_factor)/Common_Shares*Exchange_Rate</f>
        <v>8.7726322943821451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8.6931697937645591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IF($C$17&lt;B21,0,DCF!$C$16)</f>
        <v>-4.8975772939903201E-3</v>
      </c>
      <c r="E21" s="125">
        <f t="shared" ref="E21:E50" si="0">IF($C$17&lt;B21,0,1/(1+Equity_Cost)^B21)</f>
        <v>0.93023255813953487</v>
      </c>
      <c r="F21" s="126">
        <f t="shared" ref="F21:F51" si="1">C21*E21</f>
        <v>122118.24681213233</v>
      </c>
      <c r="H21" s="121"/>
    </row>
    <row r="22" spans="2:8">
      <c r="B22" s="123">
        <v>2</v>
      </c>
      <c r="C22" s="124">
        <f t="shared" ref="C22:C50" si="2">IF(ROW()-ROW($C$21)&lt;$C$17, $C$21*(1+D22)^(ROW()-ROW($C$21)), 0)</f>
        <v>130634.17550381558</v>
      </c>
      <c r="D22" s="139">
        <f>IF($C$17&lt;B22,0,DCF!$C$16)</f>
        <v>-4.8975772939903201E-3</v>
      </c>
      <c r="E22" s="125">
        <f t="shared" si="0"/>
        <v>0.86533261222282321</v>
      </c>
      <c r="F22" s="126">
        <f t="shared" si="1"/>
        <v>113042.01233429147</v>
      </c>
      <c r="H22" s="121"/>
    </row>
    <row r="23" spans="2:8">
      <c r="B23" s="123">
        <v>3</v>
      </c>
      <c r="C23" s="124">
        <f t="shared" si="2"/>
        <v>129994.38453204895</v>
      </c>
      <c r="D23" s="139">
        <f>IF($C$17&lt;B23,0,DCF!$C$16)</f>
        <v>-4.8975772939903201E-3</v>
      </c>
      <c r="E23" s="125">
        <f t="shared" si="0"/>
        <v>0.80496056950960304</v>
      </c>
      <c r="F23" s="126">
        <f t="shared" si="1"/>
        <v>104640.35380596845</v>
      </c>
      <c r="H23" s="121"/>
    </row>
    <row r="24" spans="2:8">
      <c r="B24" s="123">
        <v>4</v>
      </c>
      <c r="C24" s="124">
        <f t="shared" si="2"/>
        <v>129357.72698601855</v>
      </c>
      <c r="D24" s="139">
        <f>IF($C$17&lt;B24,0,DCF!$C$16)</f>
        <v>-4.8975772939903201E-3</v>
      </c>
      <c r="E24" s="125">
        <f t="shared" si="0"/>
        <v>0.7488005297763749</v>
      </c>
      <c r="F24" s="126">
        <f t="shared" si="1"/>
        <v>96863.134497798354</v>
      </c>
      <c r="H24" s="121"/>
    </row>
    <row r="25" spans="2:8">
      <c r="B25" s="123">
        <v>5</v>
      </c>
      <c r="C25" s="124">
        <f t="shared" si="2"/>
        <v>128724.18751952963</v>
      </c>
      <c r="D25" s="139">
        <f>IF($C$17&lt;B25,0,DCF!$C$16)</f>
        <v>-4.8975772939903201E-3</v>
      </c>
      <c r="E25" s="125">
        <f t="shared" si="0"/>
        <v>0.69655863235011617</v>
      </c>
      <c r="F25" s="126">
        <f t="shared" si="1"/>
        <v>89663.944008983453</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1750361.5376405637</v>
      </c>
      <c r="D51" s="140">
        <f>Terminal_Growth</f>
        <v>0</v>
      </c>
      <c r="E51" s="125">
        <f>1/(1+Equity_Cost)^C17</f>
        <v>0.69655863235011617</v>
      </c>
      <c r="F51" s="126">
        <f t="shared" si="1"/>
        <v>1219229.4387771573</v>
      </c>
      <c r="H51" s="121"/>
    </row>
    <row r="52" spans="1:8">
      <c r="C52" s="115"/>
      <c r="E52" s="128" t="s">
        <v>101</v>
      </c>
      <c r="F52" s="138">
        <f>SUM(F21:F51)</f>
        <v>1745557.1302363314</v>
      </c>
      <c r="H52" s="121"/>
    </row>
    <row r="53" spans="1:8">
      <c r="C53" s="115"/>
      <c r="H53" s="121"/>
    </row>
    <row r="54" spans="1:8" ht="13.15">
      <c r="B54" s="120" t="s">
        <v>130</v>
      </c>
      <c r="C54" s="137"/>
      <c r="D54" s="137"/>
      <c r="E54" s="118"/>
      <c r="F54" s="118"/>
      <c r="H54" s="121"/>
    </row>
    <row r="55" spans="1:8" ht="13.15">
      <c r="A55" s="134">
        <f>F52</f>
        <v>1745557.1302363314</v>
      </c>
      <c r="B55" s="132">
        <f>C78</f>
        <v>-0.15</v>
      </c>
      <c r="C55" s="132">
        <f>C77</f>
        <v>-0.06</v>
      </c>
      <c r="D55" s="132">
        <f>C76</f>
        <v>0.01</v>
      </c>
      <c r="E55" s="132">
        <f>C75</f>
        <v>0.02</v>
      </c>
      <c r="F55" s="132">
        <f>C74</f>
        <v>0.06</v>
      </c>
      <c r="H55" s="121"/>
    </row>
    <row r="56" spans="1:8" ht="13.15">
      <c r="A56" s="144">
        <v>5</v>
      </c>
      <c r="B56" s="124">
        <f t="dataTable" ref="B56:F61" dt2D="1" dtr="1" r1="C16" r2="C17"/>
        <v>1385790.5441719245</v>
      </c>
      <c r="C56" s="124">
        <v>1600709.883606245</v>
      </c>
      <c r="D56" s="124">
        <v>1786666.5347123477</v>
      </c>
      <c r="E56" s="124">
        <v>1814754.2823503879</v>
      </c>
      <c r="F56" s="124">
        <v>1931256.5270618116</v>
      </c>
      <c r="H56" s="121"/>
    </row>
    <row r="57" spans="1:8" ht="13.15">
      <c r="A57" s="144">
        <v>10</v>
      </c>
      <c r="B57" s="124">
        <v>1176198.4554242184</v>
      </c>
      <c r="C57" s="124">
        <v>1480760.2655624284</v>
      </c>
      <c r="D57" s="124">
        <v>1813215.4647680391</v>
      </c>
      <c r="E57" s="124">
        <v>1870065.3489648467</v>
      </c>
      <c r="F57" s="124">
        <v>2126762.1731782411</v>
      </c>
      <c r="H57" s="121"/>
    </row>
    <row r="58" spans="1:8" ht="13.15">
      <c r="A58" s="144">
        <v>15</v>
      </c>
      <c r="B58" s="124">
        <v>988966.22877609823</v>
      </c>
      <c r="C58" s="124">
        <v>1354664.8372166334</v>
      </c>
      <c r="D58" s="124">
        <v>1845993.868096486</v>
      </c>
      <c r="E58" s="124">
        <v>1940095.6365786141</v>
      </c>
      <c r="F58" s="124">
        <v>2401849.1020846213</v>
      </c>
      <c r="H58" s="121"/>
    </row>
    <row r="59" spans="1:8" ht="13.15">
      <c r="A59" s="145">
        <v>20</v>
      </c>
      <c r="B59" s="124">
        <v>845802.38587951404</v>
      </c>
      <c r="C59" s="124">
        <v>1245083.4422767134</v>
      </c>
      <c r="D59" s="124">
        <v>1879284.2337287478</v>
      </c>
      <c r="E59" s="124">
        <v>2013103.3539278912</v>
      </c>
      <c r="F59" s="124">
        <v>2722944.6612003087</v>
      </c>
      <c r="H59" s="121"/>
    </row>
    <row r="60" spans="1:8" ht="13.15">
      <c r="A60" s="145">
        <v>25</v>
      </c>
      <c r="B60" s="124">
        <v>742141.12797629531</v>
      </c>
      <c r="C60" s="124">
        <v>1157635.5679716342</v>
      </c>
      <c r="D60" s="124">
        <v>1910129.3330512417</v>
      </c>
      <c r="E60" s="124">
        <v>2082589.8507833045</v>
      </c>
      <c r="F60" s="124">
        <v>3067302.9507541661</v>
      </c>
      <c r="H60" s="121"/>
    </row>
    <row r="61" spans="1:8" ht="13.15">
      <c r="A61" s="145">
        <v>30</v>
      </c>
      <c r="B61" s="124">
        <v>668717.49352356931</v>
      </c>
      <c r="C61" s="124">
        <v>1091039.3908491468</v>
      </c>
      <c r="D61" s="124">
        <v>1937219.9337547286</v>
      </c>
      <c r="E61" s="124">
        <v>2145320.6026209854</v>
      </c>
      <c r="F61" s="124">
        <v>3419676.1560252695</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8.7726322943821451</v>
      </c>
      <c r="C65" s="125">
        <f>C12</f>
        <v>8.7726322943821451</v>
      </c>
      <c r="D65" s="125">
        <f>C12</f>
        <v>8.7726322943821451</v>
      </c>
      <c r="E65" s="142">
        <f>C12</f>
        <v>8.7726322943821451</v>
      </c>
      <c r="F65" s="125">
        <f>C12</f>
        <v>8.7726322943821451</v>
      </c>
      <c r="H65" s="121"/>
    </row>
    <row r="66" spans="1:8" ht="13.15">
      <c r="A66" s="144">
        <f t="shared" ref="A66:A71" si="3">A56</f>
        <v>5</v>
      </c>
      <c r="B66" s="125">
        <f t="shared" ref="B66:F71" si="4">(B56-$C$7+$C$8+$C$9)/Common_Shares*$C$3*Exchange_Rate</f>
        <v>6.5627818006510461</v>
      </c>
      <c r="C66" s="125">
        <f t="shared" si="4"/>
        <v>7.83544468251411</v>
      </c>
      <c r="D66" s="125">
        <f t="shared" si="4"/>
        <v>8.9366025779422227</v>
      </c>
      <c r="E66" s="125">
        <f t="shared" si="4"/>
        <v>9.1029265297473838</v>
      </c>
      <c r="F66" s="125">
        <f t="shared" si="4"/>
        <v>9.7928043364082722</v>
      </c>
      <c r="H66" s="121"/>
    </row>
    <row r="67" spans="1:8" ht="13.15">
      <c r="A67" s="144">
        <f t="shared" si="3"/>
        <v>10</v>
      </c>
      <c r="B67" s="125">
        <f t="shared" si="4"/>
        <v>5.3216646802307572</v>
      </c>
      <c r="C67" s="125">
        <f t="shared" si="4"/>
        <v>7.1251529657248494</v>
      </c>
      <c r="D67" s="125">
        <f t="shared" si="4"/>
        <v>9.0938142924579513</v>
      </c>
      <c r="E67" s="125">
        <f t="shared" si="4"/>
        <v>9.4304556465860703</v>
      </c>
      <c r="F67" s="125">
        <f t="shared" si="4"/>
        <v>10.950507406136314</v>
      </c>
      <c r="H67" s="121"/>
    </row>
    <row r="68" spans="1:8" ht="13.15">
      <c r="A68" s="144">
        <f t="shared" si="3"/>
        <v>15</v>
      </c>
      <c r="B68" s="125">
        <f t="shared" si="4"/>
        <v>4.2129533573185887</v>
      </c>
      <c r="C68" s="125">
        <f t="shared" si="4"/>
        <v>6.3784683181230974</v>
      </c>
      <c r="D68" s="125">
        <f t="shared" si="4"/>
        <v>9.2879143550798133</v>
      </c>
      <c r="E68" s="125">
        <f t="shared" si="4"/>
        <v>9.8451458642594449</v>
      </c>
      <c r="F68" s="125">
        <f t="shared" si="4"/>
        <v>12.579457711987413</v>
      </c>
      <c r="H68" s="121"/>
    </row>
    <row r="69" spans="1:8" ht="13.15">
      <c r="A69" s="145">
        <f t="shared" si="3"/>
        <v>20</v>
      </c>
      <c r="B69" s="125">
        <f t="shared" si="4"/>
        <v>3.365196662370074</v>
      </c>
      <c r="C69" s="125">
        <f t="shared" si="4"/>
        <v>5.7295729034532039</v>
      </c>
      <c r="D69" s="125">
        <f t="shared" si="4"/>
        <v>9.4850460453936911</v>
      </c>
      <c r="E69" s="125">
        <f t="shared" si="4"/>
        <v>10.277467181664059</v>
      </c>
      <c r="F69" s="125">
        <f t="shared" si="4"/>
        <v>14.480851977823061</v>
      </c>
      <c r="H69" s="121"/>
    </row>
    <row r="70" spans="1:8" ht="13.15">
      <c r="A70" s="145">
        <f t="shared" si="3"/>
        <v>25</v>
      </c>
      <c r="B70" s="125">
        <f t="shared" si="4"/>
        <v>2.7513578353575925</v>
      </c>
      <c r="C70" s="125">
        <f t="shared" si="4"/>
        <v>5.2117429863371978</v>
      </c>
      <c r="D70" s="125">
        <f t="shared" si="4"/>
        <v>9.6676978863049818</v>
      </c>
      <c r="E70" s="125">
        <f t="shared" si="4"/>
        <v>10.688937296784175</v>
      </c>
      <c r="F70" s="125">
        <f t="shared" si="4"/>
        <v>16.519998451707405</v>
      </c>
    </row>
    <row r="71" spans="1:8" ht="13.15">
      <c r="A71" s="145">
        <f t="shared" si="3"/>
        <v>30</v>
      </c>
      <c r="B71" s="125">
        <f t="shared" si="4"/>
        <v>2.3165736299649331</v>
      </c>
      <c r="C71" s="125">
        <f t="shared" si="4"/>
        <v>4.8173881417669211</v>
      </c>
      <c r="D71" s="125">
        <f t="shared" si="4"/>
        <v>9.828117148961601</v>
      </c>
      <c r="E71" s="125">
        <f t="shared" si="4"/>
        <v>11.060402701550958</v>
      </c>
      <c r="F71" s="125">
        <f t="shared" si="4"/>
        <v>18.606605920779284</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10.950507406136314</v>
      </c>
      <c r="F74" s="143">
        <f>Scenarios!C58</f>
        <v>0.05</v>
      </c>
    </row>
    <row r="75" spans="1:8">
      <c r="B75" s="128" t="str">
        <f>Scenarios!B36</f>
        <v>Optimistic</v>
      </c>
      <c r="C75" s="143">
        <f>Scenarios!C38</f>
        <v>0.02</v>
      </c>
      <c r="D75" s="146">
        <f>Scenarios!C37</f>
        <v>5</v>
      </c>
      <c r="E75" s="136">
        <f>INDEX(B$65:F$71, MATCH(D75, A$65:A$71, 0), MATCH(C75, B$64:F$64, 0))</f>
        <v>9.1029265297473838</v>
      </c>
      <c r="F75" s="143">
        <f>Scenarios!C40*(1-F$74-F$78)</f>
        <v>0.18</v>
      </c>
      <c r="H75" s="121"/>
    </row>
    <row r="76" spans="1:8">
      <c r="B76" s="128" t="str">
        <f>Scenarios!B24</f>
        <v>Base</v>
      </c>
      <c r="C76" s="143">
        <f>Scenarios!C26</f>
        <v>0.01</v>
      </c>
      <c r="D76" s="146">
        <f>Scenarios!C25</f>
        <v>5</v>
      </c>
      <c r="E76" s="136">
        <f>INDEX(B$65:F$71, MATCH(D76, A$65:A$71, 0), MATCH(C76, B$64:F$64, 0))</f>
        <v>8.9366025779422227</v>
      </c>
      <c r="F76" s="143">
        <f>Scenarios!C28*(1-F$74-F$78)</f>
        <v>0.53999999999999992</v>
      </c>
      <c r="H76" s="121"/>
    </row>
    <row r="77" spans="1:8">
      <c r="B77" s="128" t="str">
        <f>Scenarios!B30</f>
        <v>Pessimistic</v>
      </c>
      <c r="C77" s="143">
        <f>Scenarios!C32</f>
        <v>-0.06</v>
      </c>
      <c r="D77" s="146">
        <f>Scenarios!C31</f>
        <v>5</v>
      </c>
      <c r="E77" s="136">
        <f>INDEX(B$65:F$71, MATCH(D77, A$65:A$71, 0), MATCH(C77, B$64:F$64, 0))</f>
        <v>7.83544468251411</v>
      </c>
      <c r="F77" s="143">
        <f>Scenarios!C34*(1-F$74-F$78)</f>
        <v>0.18</v>
      </c>
      <c r="H77" s="121"/>
    </row>
    <row r="78" spans="1:8">
      <c r="B78" s="128" t="str">
        <f>Scenarios!B48</f>
        <v>Devil's advocate</v>
      </c>
      <c r="C78" s="143">
        <f>Scenarios!C50</f>
        <v>-0.15</v>
      </c>
      <c r="D78" s="146">
        <f>Scenarios!C49</f>
        <v>10</v>
      </c>
      <c r="E78" s="136">
        <f>INDEX(B$65:F$71, MATCH(D78, A$65:A$71, 0), MATCH(C78, B$64:F$64, 0))</f>
        <v>5.3216646802307572</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1000000</v>
      </c>
      <c r="E3" s="109" t="s">
        <v>125</v>
      </c>
      <c r="H3" s="121"/>
    </row>
    <row r="4" spans="2:8">
      <c r="B4" s="100" t="s">
        <v>442</v>
      </c>
      <c r="C4" s="110">
        <f>Normalized_FCF!C91</f>
        <v>80884.201330546246</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1078456.0177406166</v>
      </c>
      <c r="D6" t="str">
        <f>Reporting_currency</f>
        <v>CNY</v>
      </c>
      <c r="E6" s="355"/>
      <c r="F6" s="355"/>
      <c r="H6" s="121"/>
    </row>
    <row r="7" spans="2:8" ht="13.15">
      <c r="B7" s="150" t="s">
        <v>446</v>
      </c>
      <c r="C7" s="112">
        <f>(C6*scaling_factor)/Common_Shares*Exchange_Rate</f>
        <v>6.3861676995325771</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-4.8975772939903201E-3</v>
      </c>
      <c r="H11" s="121"/>
    </row>
    <row r="12" spans="2:8" ht="13.25" customHeight="1">
      <c r="B12" s="119" t="s">
        <v>135</v>
      </c>
      <c r="C12" s="163">
        <f>Scenarios!C64</f>
        <v>5</v>
      </c>
      <c r="H12" s="121"/>
    </row>
    <row r="13" spans="2:8" ht="13.25" customHeight="1">
      <c r="B13" s="154" t="s">
        <v>107</v>
      </c>
      <c r="C13" s="141">
        <f>F47/Common_Shares*scaling_factor</f>
        <v>5.8475730543612672</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80488.064702667223</v>
      </c>
      <c r="D16" s="139">
        <f>IF($C$12&lt;B16,0,DDM!$C$11)</f>
        <v>-4.8975772939903201E-3</v>
      </c>
      <c r="E16" s="125">
        <f t="shared" ref="E16:E45" si="0">IF($C$12&lt;B16,0,1/(1+Equity_Cost)^B16)</f>
        <v>0.93023255813953487</v>
      </c>
      <c r="F16" s="126">
        <f t="shared" ref="F16:F46" si="1">C16*E16</f>
        <v>74872.618328062526</v>
      </c>
      <c r="H16" s="121"/>
    </row>
    <row r="17" spans="2:8">
      <c r="B17" s="123">
        <v>2</v>
      </c>
      <c r="C17" s="124">
        <f t="shared" ref="C17:C45" si="2">IF(ROW()-ROW($C$16)&lt;$C$12, $C$16*(1+D17)^(ROW()-ROW($C$16)), 0)</f>
        <v>80093.868184542211</v>
      </c>
      <c r="D17" s="139">
        <f>IF($C$12&lt;B17,0,DDM!$C$11)</f>
        <v>-4.8975772939903201E-3</v>
      </c>
      <c r="E17" s="125">
        <f t="shared" si="0"/>
        <v>0.86533261222282321</v>
      </c>
      <c r="F17" s="126">
        <f t="shared" si="1"/>
        <v>69307.836179160382</v>
      </c>
      <c r="H17" s="121"/>
    </row>
    <row r="18" spans="2:8">
      <c r="B18" s="123">
        <v>3</v>
      </c>
      <c r="C18" s="124">
        <f t="shared" si="2"/>
        <v>79701.602274333753</v>
      </c>
      <c r="D18" s="139">
        <f>IF($C$12&lt;B18,0,DDM!$C$11)</f>
        <v>-4.8975772939903201E-3</v>
      </c>
      <c r="E18" s="125">
        <f t="shared" si="0"/>
        <v>0.80496056950960304</v>
      </c>
      <c r="F18" s="126">
        <f t="shared" si="1"/>
        <v>64156.647157575571</v>
      </c>
      <c r="H18" s="121"/>
    </row>
    <row r="19" spans="2:8">
      <c r="B19" s="123">
        <v>4</v>
      </c>
      <c r="C19" s="124">
        <f t="shared" si="2"/>
        <v>79311.257516740327</v>
      </c>
      <c r="D19" s="139">
        <f>IF($C$12&lt;B19,0,DDM!$C$11)</f>
        <v>-4.8975772939903201E-3</v>
      </c>
      <c r="E19" s="125">
        <f t="shared" si="0"/>
        <v>0.7488005297763749</v>
      </c>
      <c r="F19" s="126">
        <f t="shared" si="1"/>
        <v>59388.311645765651</v>
      </c>
      <c r="H19" s="121"/>
    </row>
    <row r="20" spans="2:8">
      <c r="B20" s="123">
        <v>5</v>
      </c>
      <c r="C20" s="124">
        <f t="shared" si="2"/>
        <v>78922.824502768519</v>
      </c>
      <c r="D20" s="139">
        <f>IF($C$12&lt;B20,0,DDM!$C$11)</f>
        <v>-4.8975772939903201E-3</v>
      </c>
      <c r="E20" s="125">
        <f t="shared" si="0"/>
        <v>0.69655863235011617</v>
      </c>
      <c r="F20" s="126">
        <f t="shared" si="1"/>
        <v>54974.374696856677</v>
      </c>
      <c r="H20" s="121"/>
    </row>
    <row r="21" spans="2:8">
      <c r="B21" s="123">
        <v>6</v>
      </c>
      <c r="C21" s="124">
        <f t="shared" si="2"/>
        <v>0</v>
      </c>
      <c r="D21" s="139">
        <f>IF($C$12&lt;B21,0,DDM!$C$11)</f>
        <v>0</v>
      </c>
      <c r="E21" s="125">
        <f t="shared" si="0"/>
        <v>0</v>
      </c>
      <c r="F21" s="126">
        <f t="shared" si="1"/>
        <v>0</v>
      </c>
      <c r="H21" s="121"/>
    </row>
    <row r="22" spans="2:8">
      <c r="B22" s="123">
        <v>7</v>
      </c>
      <c r="C22" s="124">
        <f t="shared" si="2"/>
        <v>0</v>
      </c>
      <c r="D22" s="139">
        <f>IF($C$12&lt;B22,0,DDM!$C$11)</f>
        <v>0</v>
      </c>
      <c r="E22" s="125">
        <f t="shared" si="0"/>
        <v>0</v>
      </c>
      <c r="F22" s="126">
        <f t="shared" si="1"/>
        <v>0</v>
      </c>
      <c r="H22" s="121"/>
    </row>
    <row r="23" spans="2:8">
      <c r="B23" s="123">
        <v>8</v>
      </c>
      <c r="C23" s="124">
        <f t="shared" si="2"/>
        <v>0</v>
      </c>
      <c r="D23" s="139">
        <f>IF($C$12&lt;B23,0,DDM!$C$11)</f>
        <v>0</v>
      </c>
      <c r="E23" s="125">
        <f t="shared" si="0"/>
        <v>0</v>
      </c>
      <c r="F23" s="126">
        <f t="shared" si="1"/>
        <v>0</v>
      </c>
      <c r="H23" s="121"/>
    </row>
    <row r="24" spans="2:8">
      <c r="B24" s="123">
        <v>9</v>
      </c>
      <c r="C24" s="124">
        <f t="shared" si="2"/>
        <v>0</v>
      </c>
      <c r="D24" s="139">
        <f>IF($C$12&lt;B24,0,DDM!$C$11)</f>
        <v>0</v>
      </c>
      <c r="E24" s="125">
        <f t="shared" si="0"/>
        <v>0</v>
      </c>
      <c r="F24" s="126">
        <f t="shared" si="1"/>
        <v>0</v>
      </c>
      <c r="H24" s="121"/>
    </row>
    <row r="25" spans="2:8">
      <c r="B25" s="123">
        <v>10</v>
      </c>
      <c r="C25" s="124">
        <f t="shared" si="2"/>
        <v>0</v>
      </c>
      <c r="D25" s="139">
        <f>IF($C$12&lt;B25,0,DDM!$C$11)</f>
        <v>0</v>
      </c>
      <c r="E25" s="125">
        <f t="shared" si="0"/>
        <v>0</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1073174.196035563</v>
      </c>
      <c r="D46" s="140">
        <f>Terminal_Growth</f>
        <v>0</v>
      </c>
      <c r="E46" s="125">
        <f>1/(1+Equity_Cost)^C12</f>
        <v>0.69655863235011617</v>
      </c>
      <c r="F46" s="126">
        <f t="shared" si="1"/>
        <v>747528.7502639672</v>
      </c>
      <c r="H46" s="121"/>
    </row>
    <row r="47" spans="2:8">
      <c r="C47" s="115"/>
      <c r="E47" s="128" t="s">
        <v>101</v>
      </c>
      <c r="F47" s="138">
        <f>SUM(F16:F46)</f>
        <v>1070228.538271388</v>
      </c>
      <c r="H47" s="121"/>
    </row>
    <row r="48" spans="2:8">
      <c r="C48" s="115"/>
      <c r="H48" s="121"/>
    </row>
    <row r="49" spans="1:8" ht="13.15">
      <c r="B49" s="120" t="s">
        <v>130</v>
      </c>
      <c r="C49" s="137"/>
      <c r="D49" s="137"/>
      <c r="E49" s="118"/>
      <c r="F49" s="118"/>
      <c r="H49" s="121"/>
    </row>
    <row r="50" spans="1:8" ht="13.15">
      <c r="A50" s="134">
        <f>F47</f>
        <v>1070228.538271388</v>
      </c>
      <c r="B50" s="132">
        <f>C73</f>
        <v>-0.15</v>
      </c>
      <c r="C50" s="132">
        <f>C72</f>
        <v>-0.06</v>
      </c>
      <c r="D50" s="132">
        <f>C71</f>
        <v>0.01</v>
      </c>
      <c r="E50" s="132">
        <f>C70</f>
        <v>0.02</v>
      </c>
      <c r="F50" s="132">
        <f>C69</f>
        <v>0.06</v>
      </c>
      <c r="H50" s="121"/>
    </row>
    <row r="51" spans="1:8" ht="13.15">
      <c r="A51" s="144">
        <v>5</v>
      </c>
      <c r="B51" s="124">
        <f t="dataTable" ref="B51:F56" dt2D="1" dtr="1" r1="C11" r2="C12"/>
        <v>849649.9843798473</v>
      </c>
      <c r="C51" s="124">
        <v>981420.4125742563</v>
      </c>
      <c r="D51" s="124">
        <v>1095433.3609033562</v>
      </c>
      <c r="E51" s="124">
        <v>1112654.40086664</v>
      </c>
      <c r="F51" s="124">
        <v>1184083.7599538227</v>
      </c>
      <c r="H51" s="121"/>
    </row>
    <row r="52" spans="1:8" ht="13.15">
      <c r="A52" s="144">
        <v>10</v>
      </c>
      <c r="B52" s="124">
        <v>721145.77739159763</v>
      </c>
      <c r="C52" s="124">
        <v>907877.41466168454</v>
      </c>
      <c r="D52" s="124">
        <v>1111710.9275976787</v>
      </c>
      <c r="E52" s="124">
        <v>1146566.4859812702</v>
      </c>
      <c r="F52" s="124">
        <v>1303951.347351928</v>
      </c>
      <c r="H52" s="121"/>
    </row>
    <row r="53" spans="1:8" ht="13.15">
      <c r="A53" s="144">
        <v>15</v>
      </c>
      <c r="B53" s="124">
        <v>606350.75362988026</v>
      </c>
      <c r="C53" s="124">
        <v>830566.32376490394</v>
      </c>
      <c r="D53" s="124">
        <v>1131807.882359809</v>
      </c>
      <c r="E53" s="124">
        <v>1189503.1570585782</v>
      </c>
      <c r="F53" s="124">
        <v>1472611.4712295011</v>
      </c>
      <c r="H53" s="121"/>
    </row>
    <row r="54" spans="1:8" ht="13.15">
      <c r="A54" s="145">
        <v>20</v>
      </c>
      <c r="B54" s="124">
        <v>518574.74924566306</v>
      </c>
      <c r="C54" s="124">
        <v>763380.24655389227</v>
      </c>
      <c r="D54" s="124">
        <v>1152218.7292647809</v>
      </c>
      <c r="E54" s="124">
        <v>1234265.3371487071</v>
      </c>
      <c r="F54" s="124">
        <v>1669480.2101124786</v>
      </c>
      <c r="H54" s="121"/>
    </row>
    <row r="55" spans="1:8" ht="13.15">
      <c r="A55" s="145">
        <v>25</v>
      </c>
      <c r="B55" s="124">
        <v>455018.40118954721</v>
      </c>
      <c r="C55" s="124">
        <v>709764.57905649336</v>
      </c>
      <c r="D55" s="124">
        <v>1171130.3449254376</v>
      </c>
      <c r="E55" s="124">
        <v>1276868.6015569591</v>
      </c>
      <c r="F55" s="124">
        <v>1880611.695004619</v>
      </c>
      <c r="H55" s="121"/>
    </row>
    <row r="56" spans="1:8" ht="13.15">
      <c r="A56" s="145">
        <v>30</v>
      </c>
      <c r="B56" s="124">
        <v>410001.21577993833</v>
      </c>
      <c r="C56" s="124">
        <v>668933.41514803236</v>
      </c>
      <c r="D56" s="124">
        <v>1187740.0184156778</v>
      </c>
      <c r="E56" s="124">
        <v>1315329.8124110643</v>
      </c>
      <c r="F56" s="124">
        <v>2096657.2508164975</v>
      </c>
      <c r="H56" s="121"/>
    </row>
    <row r="57" spans="1:8">
      <c r="C57" s="115"/>
      <c r="D57" s="115"/>
      <c r="E57" s="115"/>
      <c r="F57" s="115"/>
      <c r="H57" s="121"/>
    </row>
    <row r="58" spans="1:8" ht="13.15">
      <c r="B58" s="120" t="s">
        <v>131</v>
      </c>
      <c r="C58" s="115"/>
      <c r="D58" s="115"/>
      <c r="E58" s="115"/>
      <c r="F58" s="115"/>
      <c r="H58" s="121"/>
    </row>
    <row r="59" spans="1:8" ht="13.15">
      <c r="B59" s="133">
        <f>B50</f>
        <v>-0.15</v>
      </c>
      <c r="C59" s="133">
        <f>C50</f>
        <v>-0.06</v>
      </c>
      <c r="D59" s="133">
        <f>D50</f>
        <v>0.01</v>
      </c>
      <c r="E59" s="133">
        <f>E50</f>
        <v>0.02</v>
      </c>
      <c r="F59" s="133">
        <f>F50</f>
        <v>0.06</v>
      </c>
      <c r="H59" s="121"/>
    </row>
    <row r="60" spans="1:8" ht="13.15">
      <c r="A60" s="144">
        <v>0</v>
      </c>
      <c r="B60" s="125">
        <f>C7</f>
        <v>6.3861676995325771</v>
      </c>
      <c r="C60" s="125">
        <f>C7</f>
        <v>6.3861676995325771</v>
      </c>
      <c r="D60" s="125">
        <f>C7</f>
        <v>6.3861676995325771</v>
      </c>
      <c r="E60" s="142">
        <f>C7</f>
        <v>6.3861676995325771</v>
      </c>
      <c r="F60" s="125">
        <f>C7</f>
        <v>6.3861676995325771</v>
      </c>
      <c r="H60" s="121"/>
    </row>
    <row r="61" spans="1:8" ht="13.15">
      <c r="A61" s="144">
        <f t="shared" ref="A61:A66" si="3">A51</f>
        <v>5</v>
      </c>
      <c r="B61" s="125">
        <f t="shared" ref="B61:F66" si="4">B51/Common_Shares*$C$3*Exchange_Rate</f>
        <v>5.0312735956747829</v>
      </c>
      <c r="C61" s="125">
        <f t="shared" si="4"/>
        <v>5.8115632305285851</v>
      </c>
      <c r="D61" s="125">
        <f t="shared" si="4"/>
        <v>6.4867004600218836</v>
      </c>
      <c r="E61" s="125">
        <f t="shared" si="4"/>
        <v>6.58867629154099</v>
      </c>
      <c r="F61" s="125">
        <f t="shared" si="4"/>
        <v>7.0116512282069667</v>
      </c>
      <c r="H61" s="121"/>
    </row>
    <row r="62" spans="1:8" ht="13.15">
      <c r="A62" s="144">
        <f t="shared" si="3"/>
        <v>10</v>
      </c>
      <c r="B62" s="125">
        <f t="shared" si="4"/>
        <v>4.2703251634506465</v>
      </c>
      <c r="C62" s="125">
        <f t="shared" si="4"/>
        <v>5.3760722044040348</v>
      </c>
      <c r="D62" s="125">
        <f t="shared" si="4"/>
        <v>6.5830894355018934</v>
      </c>
      <c r="E62" s="125">
        <f t="shared" si="4"/>
        <v>6.7894895458789497</v>
      </c>
      <c r="F62" s="125">
        <f t="shared" si="4"/>
        <v>7.7214571936522729</v>
      </c>
      <c r="H62" s="121"/>
    </row>
    <row r="63" spans="1:8" ht="13.15">
      <c r="A63" s="144">
        <f t="shared" si="3"/>
        <v>15</v>
      </c>
      <c r="B63" s="125">
        <f t="shared" si="4"/>
        <v>3.5905568087336759</v>
      </c>
      <c r="C63" s="125">
        <f t="shared" si="4"/>
        <v>4.9182680998518604</v>
      </c>
      <c r="D63" s="125">
        <f t="shared" si="4"/>
        <v>6.7020952375463407</v>
      </c>
      <c r="E63" s="125">
        <f t="shared" si="4"/>
        <v>7.043742642387989</v>
      </c>
      <c r="F63" s="125">
        <f t="shared" si="4"/>
        <v>8.7201922533931846</v>
      </c>
      <c r="H63" s="121"/>
    </row>
    <row r="64" spans="1:8" ht="13.15">
      <c r="A64" s="145">
        <f t="shared" si="3"/>
        <v>20</v>
      </c>
      <c r="B64" s="125">
        <f t="shared" si="4"/>
        <v>3.0707838418519255</v>
      </c>
      <c r="C64" s="125">
        <f t="shared" si="4"/>
        <v>4.5204201124650814</v>
      </c>
      <c r="D64" s="125">
        <f t="shared" si="4"/>
        <v>6.8229597782234066</v>
      </c>
      <c r="E64" s="125">
        <f t="shared" si="4"/>
        <v>7.3088056435209605</v>
      </c>
      <c r="F64" s="125">
        <f t="shared" si="4"/>
        <v>9.8859669911855672</v>
      </c>
      <c r="H64" s="121"/>
    </row>
    <row r="65" spans="1:8" ht="13.15">
      <c r="A65" s="145">
        <f t="shared" si="3"/>
        <v>25</v>
      </c>
      <c r="B65" s="125">
        <f t="shared" si="4"/>
        <v>2.6944295998805692</v>
      </c>
      <c r="C65" s="125">
        <f t="shared" si="4"/>
        <v>4.202930443597455</v>
      </c>
      <c r="D65" s="125">
        <f t="shared" si="4"/>
        <v>6.9349464954296218</v>
      </c>
      <c r="E65" s="125">
        <f t="shared" si="4"/>
        <v>7.5610844444948002</v>
      </c>
      <c r="F65" s="125">
        <f t="shared" si="4"/>
        <v>11.136199774899168</v>
      </c>
    </row>
    <row r="66" spans="1:8" ht="13.15">
      <c r="A66" s="145">
        <f t="shared" si="3"/>
        <v>30</v>
      </c>
      <c r="B66" s="125">
        <f t="shared" si="4"/>
        <v>2.4278565633750993</v>
      </c>
      <c r="C66" s="125">
        <f t="shared" si="4"/>
        <v>3.9611452842612223</v>
      </c>
      <c r="D66" s="125">
        <f t="shared" si="4"/>
        <v>7.0333020691370951</v>
      </c>
      <c r="E66" s="125">
        <f t="shared" si="4"/>
        <v>7.7888357281827298</v>
      </c>
      <c r="F66" s="125">
        <f t="shared" si="4"/>
        <v>12.415531641435445</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10</v>
      </c>
      <c r="E69" s="136">
        <f>INDEX(B$60:F$66, MATCH(D69, A$60:A$66, 0), MATCH(C69, B$59:F$59, 0))</f>
        <v>7.7214571936522729</v>
      </c>
      <c r="F69" s="143">
        <f>Scenarios!C58</f>
        <v>0.05</v>
      </c>
    </row>
    <row r="70" spans="1:8">
      <c r="B70" s="128" t="str">
        <f>Scenarios!B36</f>
        <v>Optimistic</v>
      </c>
      <c r="C70" s="143">
        <f>Scenarios!C38</f>
        <v>0.02</v>
      </c>
      <c r="D70" s="146">
        <f>Scenarios!C37</f>
        <v>5</v>
      </c>
      <c r="E70" s="136">
        <f>INDEX(B$60:F$66, MATCH(D70, A$60:A$66, 0), MATCH(C70, B$59:F$59, 0))</f>
        <v>6.58867629154099</v>
      </c>
      <c r="F70" s="143">
        <f>Scenarios!C40*(1-F$69-F$73)</f>
        <v>0.18</v>
      </c>
      <c r="H70" s="121"/>
    </row>
    <row r="71" spans="1:8">
      <c r="B71" s="128" t="str">
        <f>Scenarios!B24</f>
        <v>Base</v>
      </c>
      <c r="C71" s="143">
        <f>Scenarios!C26</f>
        <v>0.01</v>
      </c>
      <c r="D71" s="146">
        <f>Scenarios!C25</f>
        <v>5</v>
      </c>
      <c r="E71" s="136">
        <f>INDEX(B$60:F$66, MATCH(D71, A$60:A$66, 0), MATCH(C71, B$59:F$59, 0))</f>
        <v>6.4867004600218836</v>
      </c>
      <c r="F71" s="143">
        <f>Scenarios!C28*(1-F$69-F$73)</f>
        <v>0.53999999999999992</v>
      </c>
      <c r="H71" s="121"/>
    </row>
    <row r="72" spans="1:8">
      <c r="B72" s="128" t="str">
        <f>Scenarios!B30</f>
        <v>Pessimistic</v>
      </c>
      <c r="C72" s="143">
        <f>Scenarios!C32</f>
        <v>-0.06</v>
      </c>
      <c r="D72" s="146">
        <f>Scenarios!C31</f>
        <v>5</v>
      </c>
      <c r="E72" s="136">
        <f>INDEX(B$60:F$66, MATCH(D72, A$60:A$66, 0), MATCH(C72, B$59:F$59, 0))</f>
        <v>5.8115632305285851</v>
      </c>
      <c r="F72" s="143">
        <f>Scenarios!C34*(1-F$69-F$73)</f>
        <v>0.18</v>
      </c>
      <c r="H72" s="121"/>
    </row>
    <row r="73" spans="1:8">
      <c r="B73" s="128" t="str">
        <f>Scenarios!B48</f>
        <v>Devil's advocate</v>
      </c>
      <c r="C73" s="143">
        <f>Scenarios!C50</f>
        <v>-0.15</v>
      </c>
      <c r="D73" s="146">
        <f>Scenarios!C49</f>
        <v>10</v>
      </c>
      <c r="E73" s="136">
        <f>INDEX(B$60:F$66, MATCH(D73, A$60:A$66, 0), MATCH(C73, B$59:F$59, 0))</f>
        <v>4.2703251634506465</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-6.19</v>
      </c>
    </row>
    <row r="4" spans="2:9">
      <c r="B4" s="153" t="s">
        <v>147</v>
      </c>
      <c r="C4" s="121">
        <v>3</v>
      </c>
      <c r="D4" s="121"/>
      <c r="E4" s="156" t="s">
        <v>151</v>
      </c>
      <c r="F4" s="156"/>
      <c r="H4" s="269">
        <v>1</v>
      </c>
      <c r="I4" s="125">
        <f t="shared" ref="I4:I13" si="0">IF(ROW()-3 &lt; $C$76, $C$77, IF(ROW()-3 = $C$76, $C$77 + $C$60, ""))</f>
        <v>0.44193951040398899</v>
      </c>
    </row>
    <row r="5" spans="2:9">
      <c r="H5" s="269">
        <v>2</v>
      </c>
      <c r="I5" s="125">
        <f t="shared" si="0"/>
        <v>0.44193951040398899</v>
      </c>
    </row>
    <row r="6" spans="2:9" ht="13.15">
      <c r="B6" s="160" t="s">
        <v>96</v>
      </c>
      <c r="C6" s="107">
        <f>DCF!C3</f>
        <v>1000000</v>
      </c>
      <c r="E6" s="100" t="s">
        <v>280</v>
      </c>
      <c r="F6" s="100"/>
      <c r="H6" s="269">
        <v>3</v>
      </c>
      <c r="I6" s="125">
        <f t="shared" si="0"/>
        <v>9.1302203250182092</v>
      </c>
    </row>
    <row r="7" spans="2:9" ht="12.75" customHeight="1">
      <c r="B7" s="100" t="s">
        <v>276</v>
      </c>
      <c r="C7" s="115">
        <f>Normalized_FCF!G8</f>
        <v>245516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7"/>
      <c r="H7" s="269">
        <v>4</v>
      </c>
      <c r="I7" s="125" t="str">
        <f t="shared" si="0"/>
        <v/>
      </c>
    </row>
    <row r="8" spans="2:9">
      <c r="B8" s="100" t="s">
        <v>66</v>
      </c>
      <c r="C8" s="115">
        <f>Normalized_FCF!G19</f>
        <v>175396.86669267845</v>
      </c>
      <c r="D8" t="str">
        <f>Reporting_currency</f>
        <v>CNY</v>
      </c>
      <c r="E8" s="357"/>
      <c r="F8" s="357"/>
      <c r="H8" s="269">
        <v>5</v>
      </c>
      <c r="I8" s="125" t="str">
        <f t="shared" si="0"/>
        <v/>
      </c>
    </row>
    <row r="9" spans="2:9">
      <c r="B9" s="100" t="s">
        <v>57</v>
      </c>
      <c r="C9" s="115">
        <f>Normalized_FCF!C19</f>
        <v>131923.21948735364</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0.16638727228030792</v>
      </c>
      <c r="D12" s="159"/>
      <c r="E12" s="357"/>
      <c r="F12" s="357"/>
      <c r="H12" s="269">
        <v>9</v>
      </c>
      <c r="I12" s="125" t="str">
        <f t="shared" si="0"/>
        <v/>
      </c>
    </row>
    <row r="13" spans="2:9">
      <c r="B13" s="149" t="s">
        <v>153</v>
      </c>
      <c r="C13" s="159">
        <f ca="1">(Normalized_FCF!G8/OFFSET(Normalized_FCF!G8, 0, $C$4))^(1/$C$4) - 1</f>
        <v>0.15587431850223021</v>
      </c>
      <c r="E13" s="357"/>
      <c r="F13" s="357"/>
      <c r="H13" s="269">
        <v>10</v>
      </c>
      <c r="I13" s="125" t="str">
        <f t="shared" si="0"/>
        <v/>
      </c>
    </row>
    <row r="14" spans="2:9">
      <c r="B14" s="100" t="s">
        <v>66</v>
      </c>
      <c r="C14" s="159">
        <f ca="1">(Normalized_FCF!G19/OFFSET(Normalized_FCF!G19, 0, $C$4))^(1/$C$4) - 1</f>
        <v>0.1119740670927909</v>
      </c>
      <c r="E14" s="357"/>
      <c r="F14" s="357"/>
    </row>
    <row r="16" spans="2:9" ht="13.9">
      <c r="B16" s="36" t="s">
        <v>163</v>
      </c>
      <c r="C16" s="37"/>
      <c r="D16" s="37"/>
      <c r="E16" s="37"/>
      <c r="F16" s="37"/>
    </row>
    <row r="17" spans="2:6" ht="13.15">
      <c r="B17" s="109" t="s">
        <v>152</v>
      </c>
      <c r="E17" s="160" t="s">
        <v>330</v>
      </c>
    </row>
    <row r="18" spans="2:6">
      <c r="B18" s="153" t="s">
        <v>134</v>
      </c>
      <c r="C18" s="151">
        <v>5</v>
      </c>
      <c r="E18" s="357" t="s">
        <v>331</v>
      </c>
      <c r="F18" s="358"/>
    </row>
    <row r="19" spans="2:6">
      <c r="E19" s="358"/>
      <c r="F19" s="358"/>
    </row>
    <row r="20" spans="2:6" ht="13.15">
      <c r="B20" s="160" t="s">
        <v>304</v>
      </c>
      <c r="E20" s="358"/>
      <c r="F20" s="358"/>
    </row>
    <row r="21" spans="2:6">
      <c r="B21" s="100" t="s">
        <v>278</v>
      </c>
      <c r="C21" s="161">
        <f>Market_Price</f>
        <v>6.19</v>
      </c>
      <c r="D21" t="str">
        <f>Market_currency</f>
        <v>HKD</v>
      </c>
      <c r="E21" s="358"/>
      <c r="F21" s="358"/>
    </row>
    <row r="22" spans="2:6">
      <c r="B22" s="100" t="s">
        <v>279</v>
      </c>
      <c r="C22" s="161">
        <f>IF(valuation_method="DCF",DCF!C12,DDM!C7)</f>
        <v>8.7726322943821451</v>
      </c>
      <c r="D22" t="str">
        <f>Market_currency</f>
        <v>HKD</v>
      </c>
      <c r="E22" s="358"/>
      <c r="F22" s="358"/>
    </row>
    <row r="24" spans="2:6" ht="13.15">
      <c r="B24" s="160" t="s">
        <v>116</v>
      </c>
      <c r="E24" s="160" t="s">
        <v>150</v>
      </c>
      <c r="F24" s="160"/>
    </row>
    <row r="25" spans="2:6">
      <c r="B25" s="153" t="s">
        <v>134</v>
      </c>
      <c r="C25" s="167">
        <f>C18</f>
        <v>5</v>
      </c>
      <c r="D25" s="164"/>
      <c r="E25" s="356"/>
      <c r="F25" s="356"/>
    </row>
    <row r="26" spans="2:6">
      <c r="B26" s="119" t="s">
        <v>135</v>
      </c>
      <c r="C26" s="165">
        <v>0.01</v>
      </c>
      <c r="D26" s="165"/>
      <c r="E26" s="356"/>
      <c r="F26" s="356"/>
    </row>
    <row r="27" spans="2:6">
      <c r="B27" s="100" t="s">
        <v>114</v>
      </c>
      <c r="C27" s="161">
        <f>IF(valuation_method="DCF",DCF!E76,DDM!E71)</f>
        <v>8.9366025779422227</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5</v>
      </c>
      <c r="D31" s="164"/>
      <c r="E31" s="356"/>
      <c r="F31" s="356"/>
    </row>
    <row r="32" spans="2:6">
      <c r="B32" s="119" t="s">
        <v>135</v>
      </c>
      <c r="C32" s="165">
        <v>-0.06</v>
      </c>
      <c r="D32" s="165"/>
      <c r="E32" s="356"/>
      <c r="F32" s="356"/>
    </row>
    <row r="33" spans="2:6">
      <c r="B33" s="100" t="s">
        <v>114</v>
      </c>
      <c r="C33" s="161">
        <f>IF(valuation_method="DCF",DCF!E77,DDM!E72)</f>
        <v>7.83544468251411</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5</v>
      </c>
      <c r="D37" s="164"/>
      <c r="E37" s="356"/>
      <c r="F37" s="356"/>
    </row>
    <row r="38" spans="2:6">
      <c r="B38" s="119" t="s">
        <v>135</v>
      </c>
      <c r="C38" s="165">
        <v>0.02</v>
      </c>
      <c r="D38" s="165"/>
      <c r="E38" s="356"/>
      <c r="F38" s="356"/>
    </row>
    <row r="39" spans="2:6">
      <c r="B39" s="100" t="s">
        <v>114</v>
      </c>
      <c r="C39" s="161">
        <f>IF(valuation_method="DCF",DCF!E75,DDM!E70)</f>
        <v>9.1029265297473838</v>
      </c>
      <c r="D39" t="str">
        <f>Market_currency</f>
        <v>HKD</v>
      </c>
      <c r="E39" s="356"/>
      <c r="F39" s="356"/>
    </row>
    <row r="40" spans="2:6">
      <c r="B40" s="100" t="s">
        <v>148</v>
      </c>
      <c r="C40" s="168">
        <f>1-C28-C34</f>
        <v>0.2</v>
      </c>
      <c r="D40" s="166"/>
      <c r="E40" s="356"/>
      <c r="F40" s="356"/>
    </row>
    <row r="42" spans="2:6" ht="13.15">
      <c r="B42" s="100" t="s">
        <v>121</v>
      </c>
      <c r="C42" s="155">
        <f>C27*C28+C33*C34+C39*C40</f>
        <v>8.7496357892176313</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6"/>
      <c r="F49" s="356"/>
    </row>
    <row r="50" spans="2:6">
      <c r="B50" s="119" t="s">
        <v>135</v>
      </c>
      <c r="C50" s="165">
        <v>-0.15</v>
      </c>
      <c r="D50" s="165"/>
      <c r="E50" s="356"/>
      <c r="F50" s="356"/>
    </row>
    <row r="51" spans="2:6">
      <c r="B51" s="100" t="s">
        <v>114</v>
      </c>
      <c r="C51" s="161">
        <f>IF(valuation_method="DCF",DCF!E78,DDM!E73)</f>
        <v>5.3216646802307572</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10</v>
      </c>
      <c r="D55" s="164"/>
      <c r="E55" s="356"/>
      <c r="F55" s="356"/>
    </row>
    <row r="56" spans="2:6">
      <c r="B56" s="119" t="s">
        <v>135</v>
      </c>
      <c r="C56" s="165">
        <v>0.06</v>
      </c>
      <c r="D56" s="165"/>
      <c r="E56" s="356"/>
      <c r="F56" s="356"/>
    </row>
    <row r="57" spans="2:6">
      <c r="B57" s="100" t="s">
        <v>114</v>
      </c>
      <c r="C57" s="161">
        <f>IF(valuation_method="DCF",DCF!E74,DDM!E69)</f>
        <v>10.950507406136314</v>
      </c>
      <c r="D57" t="str">
        <f>Market_currency</f>
        <v>HKD</v>
      </c>
      <c r="E57" s="356"/>
      <c r="F57" s="356"/>
    </row>
    <row r="58" spans="2:6">
      <c r="B58" s="100" t="s">
        <v>148</v>
      </c>
      <c r="C58" s="166">
        <v>0.05</v>
      </c>
      <c r="D58" s="166"/>
      <c r="E58" s="356"/>
      <c r="F58" s="356"/>
    </row>
    <row r="60" spans="2:6" ht="13.15">
      <c r="B60" s="100" t="s">
        <v>121</v>
      </c>
      <c r="C60" s="155">
        <f>C51*C52+C57*C58+C42*(1-C52-C58)</f>
        <v>8.6882808146142203</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5</v>
      </c>
      <c r="D64" s="151"/>
      <c r="E64" s="273" t="s">
        <v>396</v>
      </c>
    </row>
    <row r="65" spans="2:6">
      <c r="B65" s="119" t="s">
        <v>135</v>
      </c>
      <c r="C65" s="152">
        <v>-4.8975772939903201E-3</v>
      </c>
      <c r="D65" s="152"/>
      <c r="E65" s="273" t="s">
        <v>313</v>
      </c>
    </row>
    <row r="66" spans="2:6">
      <c r="B66" s="100" t="s">
        <v>103</v>
      </c>
      <c r="C66" s="161">
        <f>IF(valuation_method="DCF",DCF!C18,DDM!C13)</f>
        <v>8.6931697937645591</v>
      </c>
      <c r="D66" s="161" t="str">
        <f>Market_currency</f>
        <v>HKD</v>
      </c>
      <c r="E66" s="273" t="s">
        <v>314</v>
      </c>
    </row>
    <row r="68" spans="2:6" ht="13.15">
      <c r="B68" s="109" t="s">
        <v>351</v>
      </c>
      <c r="E68" s="274" t="s">
        <v>315</v>
      </c>
    </row>
    <row r="69" spans="2:6">
      <c r="B69" s="100" t="s">
        <v>306</v>
      </c>
      <c r="C69" s="266" t="str">
        <f>IF(C60&lt;C22,"Y","N")</f>
        <v>Y</v>
      </c>
      <c r="E69" s="135"/>
    </row>
    <row r="70" spans="2:6">
      <c r="B70" s="100" t="s">
        <v>294</v>
      </c>
      <c r="C70" s="266" t="str">
        <f>IF(C69="Y","N",IF(C65&gt;8%,"N","Y"))</f>
        <v>N</v>
      </c>
      <c r="E70" s="273" t="s">
        <v>295</v>
      </c>
    </row>
    <row r="71" spans="2:6">
      <c r="B71" s="100" t="s">
        <v>293</v>
      </c>
      <c r="C71" s="266" t="str">
        <f>IF(C65&gt;8%,"Y","N")</f>
        <v>N</v>
      </c>
      <c r="E71" s="273"/>
    </row>
    <row r="72" spans="2:6">
      <c r="B72" s="100" t="s">
        <v>285</v>
      </c>
      <c r="C72" s="265" t="str">
        <f>IF(F72&gt;50%,"Y","N")</f>
        <v>N</v>
      </c>
      <c r="E72" s="135" t="s">
        <v>347</v>
      </c>
      <c r="F72" s="319">
        <f>BS!D89/C60</f>
        <v>-0.18913903583036851</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0.44193951040398899</v>
      </c>
      <c r="D77" t="str">
        <f>Market_currency</f>
        <v>HKD</v>
      </c>
    </row>
    <row r="79" spans="2:6" ht="13.15">
      <c r="B79" s="109" t="s">
        <v>302</v>
      </c>
    </row>
    <row r="80" spans="2:6">
      <c r="B80" s="149" t="s">
        <v>300</v>
      </c>
      <c r="C80" s="168">
        <f>Thesis!F29</f>
        <v>0.3674</v>
      </c>
    </row>
    <row r="81" spans="2:8">
      <c r="B81" s="100" t="s">
        <v>122</v>
      </c>
      <c r="C81" s="117">
        <f>PV(C80, C76, -C77, 0)</f>
        <v>0.73240837221255373</v>
      </c>
      <c r="D81" s="117"/>
      <c r="E81" s="100"/>
      <c r="F81" s="100"/>
    </row>
    <row r="82" spans="2:8">
      <c r="B82" s="100" t="s">
        <v>123</v>
      </c>
      <c r="C82" s="117">
        <f>C60/(1+C80)^C76</f>
        <v>3.3981858146893642</v>
      </c>
      <c r="D82" s="117"/>
    </row>
    <row r="83" spans="2:8" ht="13.15">
      <c r="B83" s="111" t="s">
        <v>102</v>
      </c>
      <c r="C83" s="112">
        <f>C81+C82</f>
        <v>4.1305941869019183</v>
      </c>
      <c r="D83" t="str">
        <f>Market_currency</f>
        <v>HKD</v>
      </c>
      <c r="E83" s="147" t="s">
        <v>127</v>
      </c>
      <c r="F83" s="319">
        <f>(1-C83/C60)</f>
        <v>0.52457865082422228</v>
      </c>
    </row>
    <row r="84" spans="2:8">
      <c r="E84" s="121"/>
    </row>
    <row r="85" spans="2:8" ht="13.15">
      <c r="B85" s="109" t="s">
        <v>303</v>
      </c>
    </row>
    <row r="86" spans="2:8">
      <c r="B86" s="149" t="s">
        <v>301</v>
      </c>
      <c r="C86" s="117">
        <f>Market_Price</f>
        <v>6.19</v>
      </c>
      <c r="D86" t="str">
        <f>Market_currency</f>
        <v>HKD</v>
      </c>
    </row>
    <row r="87" spans="2:8" ht="13.15">
      <c r="B87" s="100" t="s">
        <v>299</v>
      </c>
      <c r="C87" s="259">
        <f ca="1">IRR(OFFSET($I$3, 0, 0, $C$76 + 1, 1))</f>
        <v>0.18395378359215098</v>
      </c>
    </row>
    <row r="88" spans="2:8">
      <c r="B88" s="100"/>
    </row>
    <row r="89" spans="2:8" ht="13.15">
      <c r="B89" s="109" t="s">
        <v>414</v>
      </c>
    </row>
    <row r="90" spans="2:8">
      <c r="B90" s="149" t="s">
        <v>415</v>
      </c>
      <c r="C90" s="168">
        <f>Thesis!F30</f>
        <v>0.21740000000000001</v>
      </c>
    </row>
    <row r="91" spans="2:8">
      <c r="B91" s="100" t="s">
        <v>122</v>
      </c>
      <c r="C91" s="117">
        <f>PV(C90, C76, -C77, 0)</f>
        <v>0.90615313623080584</v>
      </c>
      <c r="D91" s="117"/>
      <c r="E91" s="100"/>
      <c r="F91" s="100"/>
    </row>
    <row r="92" spans="2:8">
      <c r="B92" s="100" t="s">
        <v>123</v>
      </c>
      <c r="C92" s="117">
        <f>C60/(1+C90)^C76</f>
        <v>4.8154176149227998</v>
      </c>
      <c r="D92" s="117"/>
    </row>
    <row r="93" spans="2:8" ht="13.15">
      <c r="B93" s="111" t="s">
        <v>102</v>
      </c>
      <c r="C93" s="112">
        <f>C91+C92</f>
        <v>5.7215707511536058</v>
      </c>
      <c r="D93" t="str">
        <f>Market_currency</f>
        <v>HKD</v>
      </c>
      <c r="E93" s="147" t="s">
        <v>127</v>
      </c>
      <c r="F93" s="319">
        <f>(1-C93/C60)</f>
        <v>0.34146111604385831</v>
      </c>
    </row>
    <row r="95" spans="2:8" ht="13.15">
      <c r="B95" s="109" t="s">
        <v>398</v>
      </c>
      <c r="G95" s="2"/>
      <c r="H95" s="306"/>
    </row>
    <row r="96" spans="2:8">
      <c r="B96" s="149" t="s">
        <v>404</v>
      </c>
      <c r="C96" s="135">
        <f>Thesis!F31</f>
        <v>7.4999999999999997E-2</v>
      </c>
      <c r="G96" s="2"/>
      <c r="H96" s="306"/>
    </row>
    <row r="97" spans="2:8">
      <c r="B97" s="100" t="s">
        <v>122</v>
      </c>
      <c r="C97" s="117">
        <f>PV(C96, C76, -C77, 0)</f>
        <v>1.1492750722719851</v>
      </c>
      <c r="D97" s="117"/>
      <c r="G97" s="2"/>
      <c r="H97" s="306"/>
    </row>
    <row r="98" spans="2:8">
      <c r="B98" s="100" t="s">
        <v>123</v>
      </c>
      <c r="C98" s="117">
        <f>C60/(1+C96)^C76</f>
        <v>6.9937234725912205</v>
      </c>
      <c r="D98" s="117"/>
      <c r="G98" s="2"/>
      <c r="H98" s="306"/>
    </row>
    <row r="99" spans="2:8" ht="13.15">
      <c r="B99" s="111" t="s">
        <v>399</v>
      </c>
      <c r="C99" s="112">
        <f>C97+C98</f>
        <v>8.1429985448632056</v>
      </c>
      <c r="D99" t="s">
        <v>397</v>
      </c>
      <c r="E99" s="147" t="s">
        <v>127</v>
      </c>
      <c r="F99" s="319">
        <f>(1-C99/C60)</f>
        <v>6.2760663632535518E-2</v>
      </c>
    </row>
    <row r="100" spans="2:8">
      <c r="B100" s="100"/>
    </row>
    <row r="101" spans="2:8" ht="13.15">
      <c r="B101" s="109" t="s">
        <v>424</v>
      </c>
    </row>
    <row r="102" spans="2:8">
      <c r="B102" s="149" t="s">
        <v>423</v>
      </c>
      <c r="C102" s="135">
        <f>Thesis!F32</f>
        <v>0.1174</v>
      </c>
    </row>
    <row r="103" spans="2:8">
      <c r="B103" s="100" t="s">
        <v>122</v>
      </c>
      <c r="C103" s="117">
        <f>PV(C102, C76, -C77, 0)</f>
        <v>1.06622464427646</v>
      </c>
      <c r="D103" s="117"/>
    </row>
    <row r="104" spans="2:8">
      <c r="B104" s="100" t="s">
        <v>123</v>
      </c>
      <c r="C104" s="117">
        <f>C60/(1+C102)^C76</f>
        <v>6.2274155713058574</v>
      </c>
      <c r="D104" s="117"/>
    </row>
    <row r="105" spans="2:8" ht="13.15">
      <c r="B105" s="111" t="s">
        <v>399</v>
      </c>
      <c r="C105" s="112">
        <f>C103+C104</f>
        <v>7.2936402155823172</v>
      </c>
      <c r="D105" t="s">
        <v>397</v>
      </c>
      <c r="E105" s="147" t="s">
        <v>127</v>
      </c>
      <c r="F105" s="319">
        <f>(1-C105/C66)</f>
        <v>0.1609918604357754</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