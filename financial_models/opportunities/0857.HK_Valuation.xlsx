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C959D8A-33F7-40C6-8B14-D6096DE2D186}"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C44" i="6"/>
  <c r="C44" i="12"/>
  <c r="J94"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<sst xmlns="http://schemas.openxmlformats.org/spreadsheetml/2006/main" count="837" uniqueCount="561">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</sst>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85F9CE8-C40E-4A63-BABE-CDE95F9570C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7.01</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7.39</v>
      </c>
      <c r="D12" s="50"/>
      <c r="E12" s="48"/>
    </row>
    <row r="13" spans="1:10">
      <c r="B13" s="1" t="s">
        <v>486</v>
      </c>
      <c r="C13" s="32" t="str">
        <f>Market_currency</f>
        <v>HKD</v>
      </c>
      <c r="D13" s="48"/>
      <c r="E13" s="5"/>
    </row>
    <row r="14" spans="1:10">
      <c r="B14" s="4" t="s">
        <v>487</v>
      </c>
      <c r="C14" s="35">
        <f>投资主题!C12*Common_Shares/1000000</f>
        <v>1352525.02607502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1.0934214200000001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8.9064569464300298</v>
      </c>
      <c r="D26" s="1" t="s">
        <v>447</v>
      </c>
      <c r="E26" s="301">
        <f ca="1">Scenarios!C87</f>
        <v>0.11493105893633504</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4.2944877479549293</v>
      </c>
      <c r="D29" s="310" t="str">
        <f>D149</f>
        <v/>
      </c>
      <c r="E29" s="306" t="s">
        <v>456</v>
      </c>
      <c r="F29" s="362">
        <f>Thesis!F29</f>
        <v>0.35</v>
      </c>
    </row>
    <row r="30" spans="2:6">
      <c r="B30" s="1" t="s">
        <v>451</v>
      </c>
      <c r="C30" s="311">
        <f>C157</f>
        <v>5.3365052884499029</v>
      </c>
      <c r="D30" s="311" t="str">
        <f>D157</f>
        <v/>
      </c>
      <c r="E30" s="307" t="s">
        <v>455</v>
      </c>
      <c r="F30" s="224">
        <f>Thesis!F30</f>
        <v>0.25</v>
      </c>
    </row>
    <row r="31" spans="2:6">
      <c r="B31" s="1" t="s">
        <v>452</v>
      </c>
      <c r="C31" s="311">
        <f>C165</f>
        <v>8.2036942209558639</v>
      </c>
      <c r="D31" s="311" t="str">
        <f>D165</f>
        <v/>
      </c>
      <c r="E31" s="307" t="s">
        <v>492</v>
      </c>
      <c r="F31" s="224">
        <f>Thesis!F31</f>
        <v>7.4999999999999997E-2</v>
      </c>
    </row>
    <row r="32" spans="2:6">
      <c r="B32" s="1" t="s">
        <v>453</v>
      </c>
      <c r="C32" s="311">
        <f>C173</f>
        <v>7.3433977611414214</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1000000</v>
      </c>
    </row>
    <row r="40" spans="1:6">
      <c r="B40" s="370" t="s">
        <v>495</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496</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497</v>
      </c>
      <c r="C47" s="370"/>
      <c r="D47" s="370"/>
      <c r="E47" s="370"/>
      <c r="F47" s="370"/>
    </row>
    <row r="48" spans="1:6">
      <c r="B48" s="47" t="s">
        <v>233</v>
      </c>
      <c r="C48" s="349">
        <f>Normalized_FCF!C11</f>
        <v>18644</v>
      </c>
      <c r="D48" s="1" t="str">
        <f>Reporting_currency</f>
        <v>CNY</v>
      </c>
    </row>
    <row r="50" spans="2:6">
      <c r="B50" s="370" t="s">
        <v>498</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0.10665065059937232</v>
      </c>
      <c r="F69" s="314"/>
    </row>
    <row r="70" spans="1:6">
      <c r="B70" s="227" t="s">
        <v>435</v>
      </c>
      <c r="C70" s="92">
        <f>Normalized_FCF!C94</f>
        <v>5.3822132525519636E-2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10.508644105724821</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1.6713032160048735</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7.5370038431926711E-4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1.2628466010570551E-2</v>
      </c>
      <c r="D114" s="1" t="str">
        <f>Market_currency</f>
        <v>HKD</v>
      </c>
    </row>
    <row r="116" spans="1:6">
      <c r="B116" s="371" t="s">
        <v>517</v>
      </c>
      <c r="C116" s="371"/>
      <c r="D116" s="371"/>
      <c r="E116" s="371"/>
      <c r="F116" s="371"/>
    </row>
    <row r="118" spans="1:6">
      <c r="B118" s="47" t="s">
        <v>518</v>
      </c>
      <c r="C118" s="223">
        <f>IF(valuation_method="DCF",DCF!C12,DDM!C7)</f>
        <v>8.8507230561148376</v>
      </c>
      <c r="D118" s="1" t="str">
        <f>Market_currency</f>
        <v>HKD</v>
      </c>
    </row>
    <row r="119" spans="1:6">
      <c r="B119" s="296" t="s">
        <v>551</v>
      </c>
      <c r="C119" s="223">
        <f>BS!D47</f>
        <v>-3.879756841758494</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11.05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8.9064569464300298</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3.619959130795114</v>
      </c>
    </row>
    <row r="149" spans="2:4">
      <c r="B149" s="80" t="s">
        <v>256</v>
      </c>
      <c r="C149" s="215">
        <f>Scenarios!C83</f>
        <v>4.2944877479549293</v>
      </c>
      <c r="D149" s="300" t="str">
        <f>IF($D$11="","",C149*$E$25)</f>
        <v/>
      </c>
    </row>
    <row r="150" spans="2:4">
      <c r="B150" s="259" t="s">
        <v>533</v>
      </c>
      <c r="C150" s="298" t="str">
        <f>Market_currency</f>
        <v>HKD</v>
      </c>
      <c r="D150" s="298" t="str">
        <f>IF($D$11="","",D$13)</f>
        <v/>
      </c>
    </row>
    <row r="151" spans="2:4">
      <c r="B151" s="214" t="s">
        <v>534</v>
      </c>
      <c r="C151" s="92">
        <f>Scenarios!F83</f>
        <v>0.5178231058899031</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4.5601059565721753</v>
      </c>
    </row>
    <row r="157" spans="2:4">
      <c r="B157" s="80" t="s">
        <v>256</v>
      </c>
      <c r="C157" s="215">
        <f>Scenarios!C93</f>
        <v>5.3365052884499029</v>
      </c>
      <c r="D157" s="300" t="str">
        <f>IF($D$11="","",C157*$E$25)</f>
        <v/>
      </c>
    </row>
    <row r="158" spans="2:4">
      <c r="B158" s="259" t="s">
        <v>533</v>
      </c>
      <c r="C158" s="298" t="str">
        <f>Market_currency</f>
        <v>HKD</v>
      </c>
      <c r="D158" s="298" t="str">
        <f>IF($D$11="","",D$13)</f>
        <v/>
      </c>
    </row>
    <row r="159" spans="2:4">
      <c r="B159" s="214" t="s">
        <v>534</v>
      </c>
      <c r="C159" s="92">
        <f>Scenarios!F93</f>
        <v>0.40082736372638827</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7.1693466559110766</v>
      </c>
    </row>
    <row r="165" spans="2:4">
      <c r="B165" s="80" t="s">
        <v>382</v>
      </c>
      <c r="C165" s="215">
        <f>Scenarios!C99</f>
        <v>8.2036942209558639</v>
      </c>
      <c r="D165" s="300" t="str">
        <f>IF($D$11="","",C165*$E$25)</f>
        <v/>
      </c>
    </row>
    <row r="166" spans="2:4">
      <c r="B166" s="259" t="s">
        <v>533</v>
      </c>
      <c r="C166" s="298" t="str">
        <f>Market_currency</f>
        <v>HKD</v>
      </c>
      <c r="D166" s="298" t="str">
        <f>IF($D$11="","",D$13)</f>
        <v/>
      </c>
    </row>
    <row r="167" spans="2:4">
      <c r="B167" s="214" t="s">
        <v>534</v>
      </c>
      <c r="C167" s="92">
        <f>Scenarios!F99</f>
        <v>7.8904858542638956E-2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6.383795581292607</v>
      </c>
    </row>
    <row r="173" spans="2:4">
      <c r="B173" s="80" t="s">
        <v>382</v>
      </c>
      <c r="C173" s="215">
        <f>Scenarios!C105</f>
        <v>7.3433977611414214</v>
      </c>
      <c r="D173" s="300" t="str">
        <f>IF($D$11="","",C173*$E$25)</f>
        <v/>
      </c>
    </row>
    <row r="174" spans="2:4">
      <c r="B174" s="259" t="s">
        <v>533</v>
      </c>
      <c r="C174" s="298" t="str">
        <f>Market_currency</f>
        <v>HKD</v>
      </c>
      <c r="D174" s="298" t="str">
        <f>IF($D$11="","",D$13)</f>
        <v/>
      </c>
    </row>
    <row r="175" spans="2:4">
      <c r="B175" s="214" t="s">
        <v>534</v>
      </c>
      <c r="C175" s="92">
        <f>Scenarios!F105</f>
        <v>0.16272125762036305</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7.39</v>
      </c>
      <c r="D12" s="50">
        <v>8.1</v>
      </c>
      <c r="E12" s="48"/>
    </row>
    <row r="13" spans="1:10">
      <c r="B13" s="1" t="s">
        <v>465</v>
      </c>
      <c r="C13" s="48" t="s">
        <v>377</v>
      </c>
      <c r="D13" s="48" t="s">
        <v>394</v>
      </c>
      <c r="E13" s="5"/>
    </row>
    <row r="14" spans="1:10">
      <c r="B14" s="4" t="s">
        <v>466</v>
      </c>
      <c r="C14" s="35">
        <f>Thesis!C12*Common_Shares/1000000</f>
        <v>1352525.02607502</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1.0934214200000001</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0.91456046288173132</v>
      </c>
    </row>
    <row r="26" spans="2:6">
      <c r="B26" s="1" t="str">
        <f>"Expected Equity Value ("&amp;C13&amp;") :"</f>
        <v>Expected Equity Value (HKD) :</v>
      </c>
      <c r="C26" s="304">
        <f>C132</f>
        <v>8.9064569464300298</v>
      </c>
      <c r="D26" s="1" t="s">
        <v>380</v>
      </c>
      <c r="E26" s="301">
        <f ca="1">Scenarios!C87</f>
        <v>0.11493105893633504</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4.2944877479549293</v>
      </c>
      <c r="D29" s="310">
        <f>D149</f>
        <v>3.9275687026095838</v>
      </c>
      <c r="E29" s="306" t="s">
        <v>401</v>
      </c>
      <c r="F29" s="302">
        <v>0.35</v>
      </c>
    </row>
    <row r="30" spans="2:6">
      <c r="B30" s="1" t="s">
        <v>403</v>
      </c>
      <c r="C30" s="311">
        <f>C157</f>
        <v>5.3365052884499029</v>
      </c>
      <c r="D30" s="311">
        <f>D157</f>
        <v>4.8805567467755502</v>
      </c>
      <c r="E30" s="307" t="s">
        <v>414</v>
      </c>
      <c r="F30" s="312">
        <v>0.25</v>
      </c>
    </row>
    <row r="31" spans="2:6">
      <c r="B31" s="1" t="s">
        <v>404</v>
      </c>
      <c r="C31" s="311">
        <f>C165</f>
        <v>8.2036942209558639</v>
      </c>
      <c r="D31" s="311">
        <f>D165</f>
        <v>7.5027743840575791</v>
      </c>
      <c r="E31" s="307" t="s">
        <v>413</v>
      </c>
      <c r="F31" s="312">
        <v>7.4999999999999997E-2</v>
      </c>
    </row>
    <row r="32" spans="2:6">
      <c r="B32" s="1" t="s">
        <v>405</v>
      </c>
      <c r="C32" s="311">
        <f>C173</f>
        <v>7.3433977611414214</v>
      </c>
      <c r="D32" s="311">
        <f>D173</f>
        <v>6.7159812555541674</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229</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232</v>
      </c>
      <c r="C47" s="370"/>
      <c r="D47" s="370"/>
      <c r="E47" s="370"/>
      <c r="F47" s="370"/>
    </row>
    <row r="48" spans="1:6">
      <c r="B48" s="47" t="s">
        <v>233</v>
      </c>
      <c r="C48" s="349">
        <f>Normalized_FCF!C11</f>
        <v>18644</v>
      </c>
      <c r="D48" s="1" t="str">
        <f>Reporting_currency</f>
        <v>CNY</v>
      </c>
    </row>
    <row r="50" spans="2:6">
      <c r="B50" s="370" t="s">
        <v>236</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0.10665065059937232</v>
      </c>
      <c r="F69" s="314"/>
    </row>
    <row r="70" spans="1:6">
      <c r="B70" s="227" t="s">
        <v>435</v>
      </c>
      <c r="C70" s="92">
        <f>Normalized_FCF!C94</f>
        <v>5.3822132525519636E-2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10.508644105724821</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1.6713032160048735</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7.5370038431926711E-4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1.2628466010570551E-2</v>
      </c>
      <c r="D114" s="1" t="str">
        <f>Market_currency</f>
        <v>HKD</v>
      </c>
    </row>
    <row r="116" spans="1:6" ht="24.6" customHeight="1">
      <c r="B116" s="371" t="s">
        <v>352</v>
      </c>
      <c r="C116" s="371"/>
      <c r="D116" s="371"/>
      <c r="E116" s="371"/>
      <c r="F116" s="371"/>
    </row>
    <row r="118" spans="1:6">
      <c r="B118" s="47" t="s">
        <v>426</v>
      </c>
      <c r="C118" s="223">
        <f>IF(valuation_method="DCF",DCF!C12,DDM!C7)</f>
        <v>8.8507230561148376</v>
      </c>
      <c r="D118" s="1" t="str">
        <f>Market_currency</f>
        <v>HKD</v>
      </c>
    </row>
    <row r="119" spans="1:6">
      <c r="B119" s="296" t="s">
        <v>550</v>
      </c>
      <c r="C119" s="223">
        <f>BS!D47</f>
        <v>-3.879756841758494</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11.05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8.9064569464300298</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3.619959130795114</v>
      </c>
    </row>
    <row r="149" spans="2:4">
      <c r="B149" s="80" t="s">
        <v>256</v>
      </c>
      <c r="C149" s="215">
        <f>Scenarios!C83</f>
        <v>4.2944877479549293</v>
      </c>
      <c r="D149" s="300">
        <f>IF($D$11="","",C149*$E$25)</f>
        <v>3.9275687026095838</v>
      </c>
    </row>
    <row r="150" spans="2:4">
      <c r="B150" s="259" t="s">
        <v>396</v>
      </c>
      <c r="C150" s="298" t="str">
        <f>Market_currency</f>
        <v>HKD</v>
      </c>
      <c r="D150" s="298" t="str">
        <f>IF($D$11="","",D$13)</f>
        <v>CNY</v>
      </c>
    </row>
    <row r="151" spans="2:4">
      <c r="B151" s="214" t="s">
        <v>258</v>
      </c>
      <c r="C151" s="92">
        <f>Scenarios!F83</f>
        <v>0.5178231058899031</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4.5601059565721753</v>
      </c>
    </row>
    <row r="157" spans="2:4">
      <c r="B157" s="80" t="s">
        <v>256</v>
      </c>
      <c r="C157" s="215">
        <f>Scenarios!C93</f>
        <v>5.3365052884499029</v>
      </c>
      <c r="D157" s="300">
        <f>IF($D$11="","",C157*$E$25)</f>
        <v>4.8805567467755502</v>
      </c>
    </row>
    <row r="158" spans="2:4">
      <c r="B158" s="259" t="s">
        <v>396</v>
      </c>
      <c r="C158" s="298" t="str">
        <f>Market_currency</f>
        <v>HKD</v>
      </c>
      <c r="D158" s="298" t="str">
        <f>IF($D$11="","",D$13)</f>
        <v>CNY</v>
      </c>
    </row>
    <row r="159" spans="2:4">
      <c r="B159" s="214" t="s">
        <v>258</v>
      </c>
      <c r="C159" s="92">
        <f>Scenarios!F93</f>
        <v>0.40082736372638827</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7.1693466559110766</v>
      </c>
    </row>
    <row r="165" spans="2:4">
      <c r="B165" s="80" t="s">
        <v>382</v>
      </c>
      <c r="C165" s="215">
        <f>Scenarios!C99</f>
        <v>8.2036942209558639</v>
      </c>
      <c r="D165" s="300">
        <f>IF($D$11="","",C165*$E$25)</f>
        <v>7.5027743840575791</v>
      </c>
    </row>
    <row r="166" spans="2:4">
      <c r="B166" s="259" t="s">
        <v>396</v>
      </c>
      <c r="C166" s="298" t="str">
        <f>Market_currency</f>
        <v>HKD</v>
      </c>
      <c r="D166" s="298" t="str">
        <f>IF($D$11="","",D$13)</f>
        <v>CNY</v>
      </c>
    </row>
    <row r="167" spans="2:4">
      <c r="B167" s="214" t="s">
        <v>258</v>
      </c>
      <c r="C167" s="92">
        <f>Scenarios!F99</f>
        <v>7.8904858542638956E-2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6.383795581292607</v>
      </c>
    </row>
    <row r="173" spans="2:4">
      <c r="B173" s="80" t="s">
        <v>382</v>
      </c>
      <c r="C173" s="215">
        <f>Scenarios!C105</f>
        <v>7.3433977611414214</v>
      </c>
      <c r="D173" s="300">
        <f>IF($D$11="","",C173*$E$25)</f>
        <v>6.7159812555541674</v>
      </c>
    </row>
    <row r="174" spans="2:4">
      <c r="B174" s="259" t="s">
        <v>396</v>
      </c>
      <c r="C174" s="298" t="str">
        <f>Market_currency</f>
        <v>HKD</v>
      </c>
      <c r="D174" s="298" t="str">
        <f>IF($D$11="","",D$13)</f>
        <v>CNY</v>
      </c>
    </row>
    <row r="175" spans="2:4">
      <c r="B175" s="214" t="s">
        <v>258</v>
      </c>
      <c r="C175" s="92">
        <f>Scenarios!F105</f>
        <v>0.16272125762036305</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0.1599017513302419</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0.1599017513302419</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9.0532742770859631</v>
      </c>
      <c r="D47" s="147">
        <f>D46*H1/Common_Shares*Exchange_Rate</f>
        <v>-3.879756841758494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-305883.54882358003</v>
      </c>
      <c r="D86" s="223">
        <f>C86*scaling_factor/Common_Shares</f>
        <v>-1.6713032160048735</v>
      </c>
      <c r="E86" s="240" t="str">
        <f>Market_currency</f>
        <v>HKD</v>
      </c>
    </row>
    <row r="87" spans="2:8" ht="15" customHeight="1">
      <c r="B87" s="238" t="s">
        <v>282</v>
      </c>
      <c r="C87" s="76">
        <f>DCF!C8*Exchange_Rate</f>
        <v>137.94298131991468</v>
      </c>
      <c r="D87" s="223">
        <f>C87*scaling_factor/Common_Shares</f>
        <v>7.5370038431926711E-4</v>
      </c>
      <c r="E87" s="240" t="str">
        <f>Market_currency</f>
        <v>HKD</v>
      </c>
    </row>
    <row r="88" spans="2:8" ht="15" customHeight="1">
      <c r="B88" s="239" t="s">
        <v>185</v>
      </c>
      <c r="C88" s="76">
        <f>DCF!C9*Exchange_Rate</f>
        <v>2311.2741975959998</v>
      </c>
      <c r="D88" s="223">
        <f>C88*scaling_factor/Common_Shares</f>
        <v>1.2628466010570551E-2</v>
      </c>
      <c r="E88" s="240" t="str">
        <f>Market_currency</f>
        <v>HKD</v>
      </c>
    </row>
    <row r="89" spans="2:8" ht="15" customHeight="1">
      <c r="B89" s="80" t="s">
        <v>286</v>
      </c>
      <c r="C89" s="180">
        <f>SUM(C86:C88)</f>
        <v>-303434.33164466411</v>
      </c>
      <c r="D89" s="242">
        <f>SUM(D86:D88)</f>
        <v>-1.6579210496099837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0.1599017513302419</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29265.374883271554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0.28723367930023891</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5.3822132525519636E-2</v>
      </c>
      <c r="E94" s="268"/>
      <c r="G94" s="23">
        <f t="shared" ref="G94:Q94" si="39">IF(G$4="","",(G90*(1-dividend_tax_rate))/Market_Price)</f>
        <v>5.3822132525519636E-2</v>
      </c>
      <c r="H94" s="23">
        <f t="shared" si="39"/>
        <v>5.0386677257933353E-2</v>
      </c>
      <c r="I94" s="23">
        <f t="shared" si="39"/>
        <v>4.8391822899221532E-2</v>
      </c>
      <c r="J94" s="23">
        <f t="shared" si="39"/>
        <v>2.5951429091347431E-2</v>
      </c>
      <c r="K94" s="23">
        <f t="shared" si="39"/>
        <v>1.947382627837858E-2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0.78814830792936141</v>
      </c>
      <c r="D125" s="27"/>
      <c r="E125" s="265"/>
      <c r="F125" s="27"/>
      <c r="G125" s="177">
        <f t="shared" ref="G125:Q125" si="49">IF(G$4="","",G16*$C$3/Common_Shares*Exchange_Rate)</f>
        <v>1.0478727265536305</v>
      </c>
      <c r="H125" s="177">
        <f t="shared" si="49"/>
        <v>1.8345877534550681</v>
      </c>
      <c r="I125" s="177">
        <f t="shared" si="49"/>
        <v>1.0129312772225956</v>
      </c>
      <c r="J125" s="177">
        <f t="shared" si="49"/>
        <v>0.76212210801521763</v>
      </c>
      <c r="K125" s="177">
        <f t="shared" si="49"/>
        <v>0.60870299202359091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0.10665065059937232</v>
      </c>
      <c r="D126" s="27"/>
      <c r="E126" s="265"/>
      <c r="F126" s="27"/>
      <c r="G126" s="77">
        <f t="shared" ref="G126" si="50">IF(G$4="","",G125/Market_Price)</f>
        <v>0.14179603877586341</v>
      </c>
      <c r="H126" s="77">
        <f t="shared" ref="H126" si="51">IF(H$4="","",H125/Market_Price)</f>
        <v>0.24825274065697811</v>
      </c>
      <c r="I126" s="77">
        <f t="shared" ref="I126" si="52">IF(I$4="","",I125/Market_Price)</f>
        <v>0.13706783182985055</v>
      </c>
      <c r="J126" s="77">
        <f t="shared" ref="J126" si="53">IF(J$4="","",J125/Market_Price)</f>
        <v>0.10312883734982647</v>
      </c>
      <c r="K126" s="77">
        <f t="shared" ref="K126" si="54">IF(K$4="","",K125/Market_Price)</f>
        <v>8.2368469827278884E-2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0.13585478749567195</v>
      </c>
      <c r="H127" s="23">
        <f>IF(H$4="","",(Data!D47*$C$3)/(Market_Price*Common_Shares))</f>
        <v>0.13349919337461849</v>
      </c>
      <c r="I127" s="23">
        <f>IF(I$4="","",(Data!E47*$C$3)/(Market_Price*Common_Shares))</f>
        <v>0.12076892985412302</v>
      </c>
      <c r="J127" s="23">
        <f>IF(J$4="","",(Data!F47*$C$3)/(Market_Price*Common_Shares))</f>
        <v>9.7886543648070395E-2</v>
      </c>
      <c r="K127" s="23">
        <f>IF(K$4="","",(Data!G47*$C$3)/(Market_Price*Common_Shares))</f>
        <v>9.5390471534863713E-2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1.0934214200000001</v>
      </c>
      <c r="D11" t="str">
        <f>Thesis!C15</f>
        <v>CNY/HKD</v>
      </c>
      <c r="H11" s="120"/>
    </row>
    <row r="12" spans="2:8" ht="13.5" thickTop="1">
      <c r="B12" s="149" t="s">
        <v>99</v>
      </c>
      <c r="C12" s="111">
        <f>(C10*scaling_factor)/Common_Shares*Exchange_Rate</f>
        <v>8.8507230561148376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8.7705532094015535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8.8507230561148376</v>
      </c>
      <c r="C65" s="124">
        <f>C12</f>
        <v>8.8507230561148376</v>
      </c>
      <c r="D65" s="124">
        <f>C12</f>
        <v>8.8507230561148376</v>
      </c>
      <c r="E65" s="141">
        <f>C12</f>
        <v>8.8507230561148376</v>
      </c>
      <c r="F65" s="124">
        <f>C12</f>
        <v>8.8507230561148376</v>
      </c>
      <c r="H65" s="120"/>
    </row>
    <row r="66" spans="1:8" ht="13.15">
      <c r="A66" s="143">
        <f t="shared" ref="A66:A71" si="3">A56</f>
        <v>5</v>
      </c>
      <c r="B66" s="124">
        <f t="shared" ref="B66:F71" si="4">(B56-$C$7+$C$8+$C$9)/Common_Shares*$C$3*Exchange_Rate</f>
        <v>6.6212012821362647</v>
      </c>
      <c r="C66" s="124">
        <f t="shared" si="4"/>
        <v>8.6876164769421038</v>
      </c>
      <c r="D66" s="124">
        <f t="shared" si="4"/>
        <v>9.0161529431228953</v>
      </c>
      <c r="E66" s="124">
        <f t="shared" si="4"/>
        <v>9.1839574498692631</v>
      </c>
      <c r="F66" s="124">
        <f t="shared" si="4"/>
        <v>9.8799762962565207</v>
      </c>
      <c r="H66" s="120"/>
    </row>
    <row r="67" spans="1:8" ht="13.15">
      <c r="A67" s="143">
        <f t="shared" si="3"/>
        <v>10</v>
      </c>
      <c r="B67" s="124">
        <f t="shared" si="4"/>
        <v>5.3690361913826958</v>
      </c>
      <c r="C67" s="124">
        <f t="shared" si="4"/>
        <v>8.5414125788129347</v>
      </c>
      <c r="D67" s="124">
        <f t="shared" si="4"/>
        <v>9.1747640987787342</v>
      </c>
      <c r="E67" s="124">
        <f t="shared" si="4"/>
        <v>9.5144021110241006</v>
      </c>
      <c r="F67" s="124">
        <f t="shared" si="4"/>
        <v>11.047984814969725</v>
      </c>
      <c r="H67" s="120"/>
    </row>
    <row r="68" spans="1:8" ht="13.15">
      <c r="A68" s="143">
        <f t="shared" si="3"/>
        <v>15</v>
      </c>
      <c r="B68" s="124">
        <f t="shared" si="4"/>
        <v>4.2504555260836003</v>
      </c>
      <c r="C68" s="124">
        <f t="shared" si="4"/>
        <v>8.3694958959652119</v>
      </c>
      <c r="D68" s="124">
        <f t="shared" si="4"/>
        <v>9.3705919691137058</v>
      </c>
      <c r="E68" s="124">
        <f t="shared" si="4"/>
        <v>9.9327837492306212</v>
      </c>
      <c r="F68" s="124">
        <f t="shared" si="4"/>
        <v>12.691435440216413</v>
      </c>
      <c r="H68" s="120"/>
    </row>
    <row r="69" spans="1:8" ht="13.15">
      <c r="A69" s="144">
        <f t="shared" si="3"/>
        <v>20</v>
      </c>
      <c r="B69" s="124">
        <f t="shared" si="4"/>
        <v>3.3951524113318854</v>
      </c>
      <c r="C69" s="124">
        <f t="shared" si="4"/>
        <v>8.2033253538436242</v>
      </c>
      <c r="D69" s="124">
        <f t="shared" si="4"/>
        <v>9.5694784535807731</v>
      </c>
      <c r="E69" s="124">
        <f t="shared" si="4"/>
        <v>10.368953432764865</v>
      </c>
      <c r="F69" s="124">
        <f t="shared" si="4"/>
        <v>14.609755221859714</v>
      </c>
      <c r="H69" s="120"/>
    </row>
    <row r="70" spans="1:8" ht="13.15">
      <c r="A70" s="144">
        <f t="shared" si="3"/>
        <v>25</v>
      </c>
      <c r="B70" s="124">
        <f t="shared" si="4"/>
        <v>2.7758494157581386</v>
      </c>
      <c r="C70" s="124">
        <f t="shared" si="4"/>
        <v>8.0568279503017646</v>
      </c>
      <c r="D70" s="124">
        <f t="shared" si="4"/>
        <v>9.753756194325776</v>
      </c>
      <c r="E70" s="124">
        <f t="shared" si="4"/>
        <v>10.784086304243816</v>
      </c>
      <c r="F70" s="124">
        <f t="shared" si="4"/>
        <v>16.667053431287805</v>
      </c>
    </row>
    <row r="71" spans="1:8" ht="13.15">
      <c r="A71" s="144">
        <f t="shared" si="3"/>
        <v>30</v>
      </c>
      <c r="B71" s="124">
        <f t="shared" si="4"/>
        <v>2.3371949205084426</v>
      </c>
      <c r="C71" s="124">
        <f t="shared" si="4"/>
        <v>7.9344145749706581</v>
      </c>
      <c r="D71" s="124">
        <f t="shared" si="4"/>
        <v>9.915603450542033</v>
      </c>
      <c r="E71" s="124">
        <f t="shared" si="4"/>
        <v>11.15885835808036</v>
      </c>
      <c r="F71" s="124">
        <f t="shared" si="4"/>
        <v>18.772235116310956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11.047984814969725</v>
      </c>
      <c r="F74" s="142">
        <f>Scenarios!C58</f>
        <v>0.05</v>
      </c>
    </row>
    <row r="75" spans="1:8">
      <c r="B75" s="127" t="str">
        <f>Scenarios!B36</f>
        <v>Optimistic</v>
      </c>
      <c r="C75" s="142">
        <f>Scenarios!C38</f>
        <v>0.02</v>
      </c>
      <c r="D75" s="145">
        <f>Scenarios!C37</f>
        <v>5</v>
      </c>
      <c r="E75" s="135">
        <f>INDEX(B$65:F$71, MATCH(D75, A$65:A$71, 0), MATCH(C75, B$64:F$64, 0))</f>
        <v>9.1839574498692631</v>
      </c>
      <c r="F75" s="142">
        <f>Scenarios!C40*(1-F$74-F$78)</f>
        <v>0.18</v>
      </c>
      <c r="H75" s="120"/>
    </row>
    <row r="76" spans="1:8">
      <c r="B76" s="127" t="str">
        <f>Scenarios!B24</f>
        <v>Base</v>
      </c>
      <c r="C76" s="142">
        <f>Scenarios!C26</f>
        <v>0.01</v>
      </c>
      <c r="D76" s="145">
        <f>Scenarios!C25</f>
        <v>5</v>
      </c>
      <c r="E76" s="135">
        <f>INDEX(B$65:F$71, MATCH(D76, A$65:A$71, 0), MATCH(C76, B$64:F$64, 0))</f>
        <v>9.0161529431228953</v>
      </c>
      <c r="F76" s="142">
        <f>Scenarios!C28*(1-F$74-F$78)</f>
        <v>0.53999999999999992</v>
      </c>
      <c r="H76" s="120"/>
    </row>
    <row r="77" spans="1:8">
      <c r="B77" s="127" t="str">
        <f>Scenarios!B30</f>
        <v>Pessimistic</v>
      </c>
      <c r="C77" s="142">
        <f>Scenarios!C32</f>
        <v>-0.01</v>
      </c>
      <c r="D77" s="145">
        <f>Scenarios!C31</f>
        <v>5</v>
      </c>
      <c r="E77" s="135">
        <f>INDEX(B$65:F$71, MATCH(D77, A$65:A$71, 0), MATCH(C77, B$64:F$64, 0))</f>
        <v>8.6876164769421038</v>
      </c>
      <c r="F77" s="142">
        <f>Scenarios!C34*(1-F$74-F$78)</f>
        <v>0.18</v>
      </c>
      <c r="H77" s="120"/>
    </row>
    <row r="78" spans="1:8">
      <c r="B78" s="127" t="str">
        <f>Scenarios!B48</f>
        <v>Devil's advocate</v>
      </c>
      <c r="C78" s="142">
        <f>Scenarios!C50</f>
        <v>-0.15</v>
      </c>
      <c r="D78" s="145">
        <f>Scenarios!C49</f>
        <v>10</v>
      </c>
      <c r="E78" s="135">
        <f>INDEX(B$65:F$71, MATCH(D78, A$65:A$71, 0), MATCH(C78, B$64:F$64, 0))</f>
        <v>5.3690361913826958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5.798713524240414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5.798713524240414</v>
      </c>
      <c r="C60" s="124">
        <f>C7</f>
        <v>5.798713524240414</v>
      </c>
      <c r="D60" s="124">
        <f>C7</f>
        <v>5.798713524240414</v>
      </c>
      <c r="E60" s="141">
        <f>C7</f>
        <v>5.798713524240414</v>
      </c>
      <c r="F60" s="124">
        <f>C7</f>
        <v>5.798713524240414</v>
      </c>
      <c r="H60" s="120"/>
    </row>
    <row r="61" spans="1:8" ht="13.15">
      <c r="A61" s="143">
        <f t="shared" ref="A61:A66" si="3">A51</f>
        <v>5</v>
      </c>
      <c r="B61" s="124">
        <f t="shared" ref="B61:F66" si="4">B51/Common_Shares*$C$3*Exchange_Rate</f>
        <v>4.5684541365126474</v>
      </c>
      <c r="C61" s="124">
        <f t="shared" si="4"/>
        <v>5.7087106354732251</v>
      </c>
      <c r="D61" s="124">
        <f t="shared" si="4"/>
        <v>5.8899984239340473</v>
      </c>
      <c r="E61" s="124">
        <f t="shared" si="4"/>
        <v>5.9825936486756079</v>
      </c>
      <c r="F61" s="124">
        <f t="shared" si="4"/>
        <v>6.3666597429373128</v>
      </c>
      <c r="H61" s="120"/>
    </row>
    <row r="62" spans="1:8" ht="13.15">
      <c r="A62" s="143">
        <f t="shared" si="3"/>
        <v>10</v>
      </c>
      <c r="B62" s="124">
        <f t="shared" si="4"/>
        <v>3.8775042315311965</v>
      </c>
      <c r="C62" s="124">
        <f t="shared" si="4"/>
        <v>5.6280347164061384</v>
      </c>
      <c r="D62" s="124">
        <f t="shared" si="4"/>
        <v>5.9775207193076136</v>
      </c>
      <c r="E62" s="124">
        <f t="shared" si="4"/>
        <v>6.1649343870595201</v>
      </c>
      <c r="F62" s="124">
        <f t="shared" si="4"/>
        <v>7.0111717014496904</v>
      </c>
      <c r="H62" s="120"/>
    </row>
    <row r="63" spans="1:8" ht="13.15">
      <c r="A63" s="143">
        <f t="shared" si="3"/>
        <v>15</v>
      </c>
      <c r="B63" s="124">
        <f t="shared" si="4"/>
        <v>3.2602667681090467</v>
      </c>
      <c r="C63" s="124">
        <f t="shared" si="4"/>
        <v>5.5331703757888206</v>
      </c>
      <c r="D63" s="124">
        <f t="shared" si="4"/>
        <v>6.0855793526298685</v>
      </c>
      <c r="E63" s="124">
        <f t="shared" si="4"/>
        <v>6.3957991151209024</v>
      </c>
      <c r="F63" s="124">
        <f t="shared" si="4"/>
        <v>7.918034591767551</v>
      </c>
      <c r="H63" s="120"/>
    </row>
    <row r="64" spans="1:8" ht="13.15">
      <c r="A64" s="144">
        <f t="shared" si="3"/>
        <v>20</v>
      </c>
      <c r="B64" s="124">
        <f t="shared" si="4"/>
        <v>2.7883069520816082</v>
      </c>
      <c r="C64" s="124">
        <f t="shared" si="4"/>
        <v>5.4414767795230699</v>
      </c>
      <c r="D64" s="124">
        <f t="shared" si="4"/>
        <v>6.1953257419513532</v>
      </c>
      <c r="E64" s="124">
        <f t="shared" si="4"/>
        <v>6.6364793605767209</v>
      </c>
      <c r="F64" s="124">
        <f t="shared" si="4"/>
        <v>8.9765714257985945</v>
      </c>
      <c r="H64" s="120"/>
    </row>
    <row r="65" spans="1:8" ht="13.15">
      <c r="A65" s="144">
        <f t="shared" si="3"/>
        <v>25</v>
      </c>
      <c r="B65" s="124">
        <f t="shared" si="4"/>
        <v>2.446572983369153</v>
      </c>
      <c r="C65" s="124">
        <f t="shared" si="4"/>
        <v>5.3606389029485344</v>
      </c>
      <c r="D65" s="124">
        <f t="shared" si="4"/>
        <v>6.2970109657275</v>
      </c>
      <c r="E65" s="124">
        <f t="shared" si="4"/>
        <v>6.8655514056458227</v>
      </c>
      <c r="F65" s="124">
        <f t="shared" si="4"/>
        <v>10.111797134309105</v>
      </c>
    </row>
    <row r="66" spans="1:8" ht="13.15">
      <c r="A66" s="144">
        <f t="shared" si="3"/>
        <v>30</v>
      </c>
      <c r="B66" s="124">
        <f t="shared" si="4"/>
        <v>2.2045216084741215</v>
      </c>
      <c r="C66" s="124">
        <f t="shared" si="4"/>
        <v>5.2930906933090345</v>
      </c>
      <c r="D66" s="124">
        <f t="shared" si="4"/>
        <v>6.3863189548496297</v>
      </c>
      <c r="E66" s="124">
        <f t="shared" si="4"/>
        <v>7.0723521836744023</v>
      </c>
      <c r="F66" s="124">
        <f t="shared" si="4"/>
        <v>11.273445143806038</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7.0111717014496904</v>
      </c>
      <c r="F69" s="142">
        <f>Scenarios!C58</f>
        <v>0.05</v>
      </c>
    </row>
    <row r="70" spans="1:8">
      <c r="B70" s="127" t="str">
        <f>Scenarios!B36</f>
        <v>Optimistic</v>
      </c>
      <c r="C70" s="142">
        <f>Scenarios!C38</f>
        <v>0.02</v>
      </c>
      <c r="D70" s="145">
        <f>Scenarios!C37</f>
        <v>5</v>
      </c>
      <c r="E70" s="135">
        <f>INDEX(B$60:F$66, MATCH(D70, A$60:A$66, 0), MATCH(C70, B$59:F$59, 0))</f>
        <v>5.9825936486756079</v>
      </c>
      <c r="F70" s="142">
        <f>Scenarios!C40*(1-F$69-F$73)</f>
        <v>0.18</v>
      </c>
      <c r="H70" s="120"/>
    </row>
    <row r="71" spans="1:8">
      <c r="B71" s="127" t="str">
        <f>Scenarios!B24</f>
        <v>Base</v>
      </c>
      <c r="C71" s="142">
        <f>Scenarios!C26</f>
        <v>0.01</v>
      </c>
      <c r="D71" s="145">
        <f>Scenarios!C25</f>
        <v>5</v>
      </c>
      <c r="E71" s="135">
        <f>INDEX(B$60:F$66, MATCH(D71, A$60:A$66, 0), MATCH(C71, B$59:F$59, 0))</f>
        <v>5.8899984239340473</v>
      </c>
      <c r="F71" s="142">
        <f>Scenarios!C28*(1-F$69-F$73)</f>
        <v>0.53999999999999992</v>
      </c>
      <c r="H71" s="120"/>
    </row>
    <row r="72" spans="1:8">
      <c r="B72" s="127" t="str">
        <f>Scenarios!B30</f>
        <v>Pessimistic</v>
      </c>
      <c r="C72" s="142">
        <f>Scenarios!C32</f>
        <v>-0.01</v>
      </c>
      <c r="D72" s="145">
        <f>Scenarios!C31</f>
        <v>5</v>
      </c>
      <c r="E72" s="135">
        <f>INDEX(B$60:F$66, MATCH(D72, A$60:A$66, 0), MATCH(C72, B$59:F$59, 0))</f>
        <v>5.7087106354732251</v>
      </c>
      <c r="F72" s="142">
        <f>Scenarios!C34*(1-F$69-F$73)</f>
        <v>0.18</v>
      </c>
      <c r="H72" s="120"/>
    </row>
    <row r="73" spans="1:8">
      <c r="B73" s="127" t="str">
        <f>Scenarios!B48</f>
        <v>Devil's advocate</v>
      </c>
      <c r="C73" s="142">
        <f>Scenarios!C50</f>
        <v>-0.15</v>
      </c>
      <c r="D73" s="145">
        <f>Scenarios!C49</f>
        <v>10</v>
      </c>
      <c r="E73" s="135">
        <f>INDEX(B$60:F$66, MATCH(D73, A$60:A$66, 0), MATCH(C73, B$59:F$59, 0))</f>
        <v>3.8775042315311965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-7.39</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9.3042025057936204</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7.39</v>
      </c>
      <c r="D21" t="str">
        <f>Market_currency</f>
        <v>HKD</v>
      </c>
      <c r="E21" s="381"/>
      <c r="F21" s="381"/>
    </row>
    <row r="22" spans="2:6">
      <c r="B22" s="100" t="s">
        <v>273</v>
      </c>
      <c r="C22" s="160">
        <f>IF(valuation_method="DCF",DCF!C12,DDM!C7)</f>
        <v>8.8507230561148376</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9.0161529431228953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8.6876164769421038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9.1839574498692631</v>
      </c>
      <c r="D39" t="str">
        <f>Market_currency</f>
        <v>HKD</v>
      </c>
      <c r="E39" s="379"/>
      <c r="F39" s="379"/>
    </row>
    <row r="40" spans="2:6">
      <c r="B40" s="100" t="s">
        <v>143</v>
      </c>
      <c r="C40" s="167">
        <f>1-C28-C34</f>
        <v>0.2</v>
      </c>
      <c r="D40" s="165"/>
      <c r="E40" s="379"/>
      <c r="F40" s="379"/>
    </row>
    <row r="42" spans="2:6" ht="13.15">
      <c r="B42" s="100" t="s">
        <v>116</v>
      </c>
      <c r="C42" s="154">
        <f>C27*C28+C33*C34+C39*C40</f>
        <v>8.9840065512360106</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5.3690361913826958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11.047984814969725</v>
      </c>
      <c r="D57" t="str">
        <f>Market_currency</f>
        <v>HKD</v>
      </c>
      <c r="E57" s="379"/>
      <c r="F57" s="379"/>
    </row>
    <row r="58" spans="2:6">
      <c r="B58" s="100" t="s">
        <v>143</v>
      </c>
      <c r="C58" s="165">
        <v>0.05</v>
      </c>
      <c r="D58" s="165"/>
      <c r="E58" s="379"/>
      <c r="F58" s="379"/>
    </row>
    <row r="60" spans="2:6" ht="13.15">
      <c r="B60" s="100" t="s">
        <v>116</v>
      </c>
      <c r="C60" s="154">
        <f>C51*C52+C57*C58+C42*(1-C52-C58)</f>
        <v>8.9064569464300298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8.7705532094015535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3.619959130795114</v>
      </c>
      <c r="D82" s="116"/>
    </row>
    <row r="83" spans="2:8" ht="13.15">
      <c r="B83" s="110" t="s">
        <v>98</v>
      </c>
      <c r="C83" s="111">
        <f>C81+C82</f>
        <v>4.2944877479549293</v>
      </c>
      <c r="D83" t="str">
        <f>Market_currency</f>
        <v>HKD</v>
      </c>
      <c r="E83" s="146" t="s">
        <v>122</v>
      </c>
      <c r="F83" s="291">
        <f>(1-C83/C60)</f>
        <v>0.5178231058899031</v>
      </c>
    </row>
    <row r="84" spans="2:8">
      <c r="E84" s="120"/>
    </row>
    <row r="85" spans="2:8" ht="13.15">
      <c r="B85" s="109" t="s">
        <v>297</v>
      </c>
    </row>
    <row r="86" spans="2:8">
      <c r="B86" s="148" t="s">
        <v>295</v>
      </c>
      <c r="C86" s="116">
        <f>Market_Price</f>
        <v>7.39</v>
      </c>
      <c r="D86" t="str">
        <f>Market_currency</f>
        <v>HKD</v>
      </c>
    </row>
    <row r="87" spans="2:8" ht="13.15">
      <c r="B87" s="100" t="s">
        <v>293</v>
      </c>
      <c r="C87" s="237">
        <f ca="1">IRR(OFFSET($I$3, 0, 0, $C$76 + 1, 1))</f>
        <v>0.11493105893633504</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4.5601059565721753</v>
      </c>
      <c r="D92" s="116"/>
    </row>
    <row r="93" spans="2:8" ht="13.15">
      <c r="B93" s="110" t="s">
        <v>98</v>
      </c>
      <c r="C93" s="111">
        <f>C91+C92</f>
        <v>5.3365052884499029</v>
      </c>
      <c r="D93" t="str">
        <f>Market_currency</f>
        <v>HKD</v>
      </c>
      <c r="E93" s="146" t="s">
        <v>122</v>
      </c>
      <c r="F93" s="291">
        <f>(1-C93/C60)</f>
        <v>0.40082736372638827</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7.1693466559110766</v>
      </c>
      <c r="D98" s="116"/>
      <c r="G98" s="2"/>
      <c r="H98" s="281"/>
    </row>
    <row r="99" spans="2:8" ht="13.15">
      <c r="B99" s="110" t="s">
        <v>379</v>
      </c>
      <c r="C99" s="111">
        <f>C97+C98</f>
        <v>8.2036942209558639</v>
      </c>
      <c r="D99" t="s">
        <v>377</v>
      </c>
      <c r="E99" s="146" t="s">
        <v>122</v>
      </c>
      <c r="F99" s="291">
        <f>(1-C99/C60)</f>
        <v>7.8904858542638956E-2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6.383795581292607</v>
      </c>
      <c r="D104" s="116"/>
    </row>
    <row r="105" spans="2:8" ht="13.15">
      <c r="B105" s="110" t="s">
        <v>379</v>
      </c>
      <c r="C105" s="111">
        <f>C103+C104</f>
        <v>7.3433977611414214</v>
      </c>
      <c r="D105" t="s">
        <v>377</v>
      </c>
      <c r="E105" s="146" t="s">
        <v>122</v>
      </c>
      <c r="F105" s="291">
        <f>(1-C105/C66)</f>
        <v>0.16272125762036305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A479-61E4-4D88-A437-1AC1470437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