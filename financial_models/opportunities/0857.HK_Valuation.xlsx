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2DE139-3CD5-4145-976B-0DC7356377D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N120" i="2"/>
  <c r="N118" i="2"/>
  <c r="N117" i="2"/>
  <c r="O120" i="2"/>
  <c r="O118" i="2"/>
  <c r="O117" i="2"/>
  <c r="L120" i="2"/>
  <c r="L117" i="2"/>
  <c r="L118" i="2"/>
  <c r="P120" i="2"/>
  <c r="P117" i="2"/>
  <c r="P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<sst xmlns="http://schemas.openxmlformats.org/spreadsheetml/2006/main" count="686" uniqueCount="466">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</sst>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6.45</v>
      </c>
      <c r="D12" s="50">
        <v>8.1</v>
      </c>
      <c r="E12" s="48"/>
    </row>
    <row r="13" spans="1:10">
      <c r="B13" s="1" t="s">
        <v>417</v>
      </c>
      <c r="C13" s="48" t="s">
        <v>397</v>
      </c>
      <c r="D13" s="48" t="s">
        <v>415</v>
      </c>
      <c r="E13" s="5"/>
    </row>
    <row r="14" spans="1:10">
      <c r="B14" s="4" t="s">
        <v>421</v>
      </c>
      <c r="C14" s="35">
        <f>Thesis!C12*Common_Shares/1000000</f>
        <v>1180485.3069261</v>
      </c>
      <c r="D14" s="35">
        <f>IF(D11="","",Thesis!D12*Common_Shares/1000000)</f>
        <v>1482469.9203258001</v>
      </c>
      <c r="E14" s="5"/>
    </row>
    <row r="15" spans="1:10">
      <c r="B15" s="4" t="s">
        <v>420</v>
      </c>
      <c r="C15" s="32" t="str">
        <f>IF(C25=C13,C13,C25&amp;"/"&amp;C13)</f>
        <v>CNY/HKD</v>
      </c>
      <c r="D15" s="32" t="str">
        <f>IF(D11="","",IF(C25=D13,D13,C25&amp;"/"&amp;D13))</f>
        <v>CNY</v>
      </c>
      <c r="E15" s="5"/>
    </row>
    <row r="16" spans="1:10">
      <c r="B16" s="4" t="s">
        <v>1</v>
      </c>
      <c r="C16" s="50">
        <v>1.0877953499999999</v>
      </c>
      <c r="D16" s="50">
        <v>1</v>
      </c>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0.91929056324794922</v>
      </c>
    </row>
    <row r="26" spans="2:6">
      <c r="B26" s="1" t="str">
        <f>"Expected Equity Value ("&amp;C13&amp;") :"</f>
        <v>Expected Equity Value (HKD) :</v>
      </c>
      <c r="C26" s="304">
        <f>C132</f>
        <v>8.720518250484389</v>
      </c>
      <c r="D26" s="1" t="s">
        <v>400</v>
      </c>
      <c r="E26" s="301">
        <f ca="1">Scenarios!C87</f>
        <v>0.1681616587726158</v>
      </c>
    </row>
    <row r="27" spans="2:6">
      <c r="D27" s="5"/>
      <c r="E27" s="5"/>
    </row>
    <row r="28" spans="2:6">
      <c r="B28" s="45" t="s">
        <v>434</v>
      </c>
      <c r="C28" s="309" t="str">
        <f>C145&amp;" ("&amp;Market_currency&amp;")"</f>
        <v>0857.HK (HKD)</v>
      </c>
      <c r="D28" s="309" t="str">
        <f>IF(D11="","",D145&amp;" ("&amp;D13&amp;")")</f>
        <v>601857.SS (CNY)</v>
      </c>
      <c r="E28" s="305" t="s">
        <v>430</v>
      </c>
      <c r="F28" s="303">
        <v>3</v>
      </c>
    </row>
    <row r="29" spans="2:6">
      <c r="B29" s="1" t="s">
        <v>426</v>
      </c>
      <c r="C29" s="310">
        <f>C149</f>
        <v>4.1432029871483023</v>
      </c>
      <c r="D29" s="310">
        <f>D149</f>
        <v>3.8088074077061487</v>
      </c>
      <c r="E29" s="306" t="s">
        <v>425</v>
      </c>
      <c r="F29" s="302">
        <v>0.3674</v>
      </c>
    </row>
    <row r="30" spans="2:6">
      <c r="B30" s="1" t="s">
        <v>427</v>
      </c>
      <c r="C30" s="311">
        <f>C157</f>
        <v>5.7394381198381037</v>
      </c>
      <c r="D30" s="311">
        <f>D157</f>
        <v>5.2762113019127215</v>
      </c>
      <c r="E30" s="307" t="s">
        <v>438</v>
      </c>
      <c r="F30" s="312">
        <v>0.21740000000000001</v>
      </c>
    </row>
    <row r="31" spans="2:6">
      <c r="B31" s="1" t="s">
        <v>428</v>
      </c>
      <c r="C31" s="311">
        <f>C165</f>
        <v>8.1689484096007856</v>
      </c>
      <c r="D31" s="311">
        <f>D165</f>
        <v>7.5096371846053449</v>
      </c>
      <c r="E31" s="307" t="s">
        <v>437</v>
      </c>
      <c r="F31" s="312">
        <v>7.4999999999999997E-2</v>
      </c>
    </row>
    <row r="32" spans="2:6">
      <c r="B32" s="1" t="s">
        <v>429</v>
      </c>
      <c r="C32" s="311">
        <f>C173</f>
        <v>7.3167467327864095</v>
      </c>
      <c r="D32" s="311">
        <f>D173</f>
        <v>6.7262162251258104</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247357.8376927129</v>
      </c>
      <c r="D41" s="1" t="str">
        <f>Reporting_currency</f>
        <v>CNY</v>
      </c>
    </row>
    <row r="42" spans="1:6">
      <c r="B42" s="47"/>
      <c r="C42" s="76"/>
    </row>
    <row r="43" spans="1:6" ht="24.5" customHeight="1">
      <c r="B43" s="351" t="s">
        <v>234</v>
      </c>
      <c r="C43" s="351"/>
      <c r="D43" s="351"/>
      <c r="E43" s="351"/>
      <c r="F43" s="351"/>
    </row>
    <row r="44" spans="1:6">
      <c r="B44" s="47" t="s">
        <v>235</v>
      </c>
      <c r="C44" s="76">
        <f>Normalized_FCF!C9</f>
        <v>243208.99999999997</v>
      </c>
      <c r="D44" s="1" t="str">
        <f>Reporting_currency</f>
        <v>CNY</v>
      </c>
    </row>
    <row r="45" spans="1:6">
      <c r="B45" s="52" t="s">
        <v>236</v>
      </c>
      <c r="C45" s="76">
        <f>Normalized_FCF!C10</f>
        <v>-283919.19056768838</v>
      </c>
      <c r="D45" s="1" t="str">
        <f>Reporting_currency</f>
        <v>CNY</v>
      </c>
    </row>
    <row r="47" spans="1:6">
      <c r="B47" s="351" t="s">
        <v>237</v>
      </c>
      <c r="C47" s="351"/>
      <c r="D47" s="351"/>
      <c r="E47" s="351"/>
      <c r="F47" s="351"/>
    </row>
    <row r="48" spans="1:6">
      <c r="B48" s="47" t="s">
        <v>238</v>
      </c>
      <c r="C48" s="76">
        <f>Normalized_FCF!C11</f>
        <v>18644</v>
      </c>
      <c r="D48" s="1" t="str">
        <f>Reporting_currency</f>
        <v>CNY</v>
      </c>
    </row>
    <row r="50" spans="2:6">
      <c r="B50" s="351" t="s">
        <v>241</v>
      </c>
      <c r="C50" s="351"/>
      <c r="D50" s="351"/>
      <c r="E50" s="351"/>
      <c r="F50" s="351"/>
    </row>
    <row r="51" spans="2:6">
      <c r="B51" s="47" t="s">
        <v>341</v>
      </c>
      <c r="C51" s="340">
        <f>Normalized_FCF!C48</f>
        <v>8793.8666926784372</v>
      </c>
      <c r="D51" s="1" t="str">
        <f>Reporting_currency</f>
        <v>CNY</v>
      </c>
      <c r="E51" s="286"/>
      <c r="F51" s="286"/>
    </row>
    <row r="52" spans="2:6">
      <c r="B52" s="47" t="s">
        <v>342</v>
      </c>
      <c r="C52" s="340">
        <f>Normalized_FCF!C47</f>
        <v>-20731</v>
      </c>
      <c r="D52" s="1" t="str">
        <f>Reporting_currency</f>
        <v>CNY</v>
      </c>
      <c r="E52" s="286"/>
      <c r="F52" s="286"/>
    </row>
    <row r="53" spans="2:6">
      <c r="B53" s="47" t="s">
        <v>239</v>
      </c>
      <c r="C53" s="76">
        <f>Normalized_FCF!C12</f>
        <v>-11937.133307321563</v>
      </c>
      <c r="D53" s="1" t="str">
        <f>Reporting_currency</f>
        <v>CNY</v>
      </c>
    </row>
    <row r="55" spans="2:6">
      <c r="B55" s="1" t="s">
        <v>247</v>
      </c>
    </row>
    <row r="56" spans="2:6">
      <c r="B56" s="47" t="s">
        <v>266</v>
      </c>
      <c r="C56" s="76">
        <f>Normalized_FCF!C15</f>
        <v>-17915.118234001515</v>
      </c>
      <c r="D56" s="1" t="str">
        <f>Reporting_currency</f>
        <v>CNY</v>
      </c>
    </row>
    <row r="58" spans="2:6">
      <c r="B58" s="351" t="s">
        <v>242</v>
      </c>
      <c r="C58" s="351"/>
      <c r="D58" s="351"/>
      <c r="E58" s="351"/>
      <c r="F58" s="351"/>
    </row>
    <row r="59" spans="2:6">
      <c r="B59" s="47" t="s">
        <v>240</v>
      </c>
      <c r="C59" s="76">
        <f>Normalized_FCF!C14</f>
        <v>-63516.176096347837</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175396.86669267845</v>
      </c>
      <c r="D67" s="1" t="str">
        <f>Reporting_currency</f>
        <v>CNY</v>
      </c>
    </row>
    <row r="68" spans="1:6">
      <c r="B68" s="47" t="s">
        <v>249</v>
      </c>
      <c r="C68" s="76">
        <f>Normalized_FCF!C19</f>
        <v>131923.21948735364</v>
      </c>
      <c r="D68" s="1" t="str">
        <f>Reporting_currency</f>
        <v>CNY</v>
      </c>
    </row>
    <row r="69" spans="1:6">
      <c r="B69" s="227" t="s">
        <v>391</v>
      </c>
      <c r="C69" s="92">
        <f>Normalized_FCF!C125</f>
        <v>0.1215648037916293</v>
      </c>
      <c r="F69" s="314"/>
    </row>
    <row r="70" spans="1:6">
      <c r="B70" s="227" t="s">
        <v>309</v>
      </c>
      <c r="C70" s="92">
        <f>Normalized_FCF!C93</f>
        <v>6.8517753551006047E-2</v>
      </c>
      <c r="E70" s="47" t="s">
        <v>449</v>
      </c>
      <c r="F70" s="315">
        <f>Normalized_FCF!C92</f>
        <v>0.61311573235445438</v>
      </c>
    </row>
    <row r="72" spans="1:6">
      <c r="B72" s="210" t="s">
        <v>452</v>
      </c>
      <c r="C72" s="344" t="s">
        <v>454</v>
      </c>
      <c r="D72" s="344" t="s">
        <v>455</v>
      </c>
    </row>
    <row r="73" spans="1:6">
      <c r="B73" s="47" t="s">
        <v>453</v>
      </c>
      <c r="C73" s="92">
        <f>Normalized_FCF!C120</f>
        <v>0.12477871842229639</v>
      </c>
      <c r="D73" s="92">
        <f>Normalized_FCF!G120</f>
        <v>0.14751057055020106</v>
      </c>
    </row>
    <row r="74" spans="1:6">
      <c r="B74" s="259" t="str">
        <f>Normalized_FCF!B117</f>
        <v>Pre-tax Profit/Sales</v>
      </c>
      <c r="C74" s="343">
        <f>Normalized_FCF!C117</f>
        <v>7.7304831872868032E-2</v>
      </c>
      <c r="D74" s="343">
        <f>Normalized_FCF!G117</f>
        <v>8.5849046230278017E-2</v>
      </c>
    </row>
    <row r="75" spans="1:6">
      <c r="B75" s="259" t="str">
        <f>Normalized_FCF!B118</f>
        <v>Sales/Total Assets</v>
      </c>
      <c r="C75" s="345">
        <f>Normalized_FCF!C118</f>
        <v>1.0025080757150273</v>
      </c>
      <c r="D75" s="345">
        <f>Normalized_FCF!G118</f>
        <v>1.0671898037309748</v>
      </c>
    </row>
    <row r="76" spans="1:6">
      <c r="B76" s="259" t="str">
        <f>Normalized_FCF!B119</f>
        <v>Total Assets/Equity</v>
      </c>
      <c r="C76" s="345">
        <f>Normalized_FCF!C119</f>
        <v>1.6100746083165727</v>
      </c>
      <c r="D76" s="345">
        <f>Normalized_FCF!G119</f>
        <v>1.6100746083165727</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10.454573126080122</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279749</v>
      </c>
      <c r="D102" s="1" t="str">
        <f>Reporting_currency</f>
        <v>CNY</v>
      </c>
    </row>
    <row r="103" spans="2:6">
      <c r="B103" s="47" t="s">
        <v>282</v>
      </c>
      <c r="C103" s="223">
        <f>C102*scaling_factor*Exchange_Rate/Common_Shares</f>
        <v>1.6627037238854774</v>
      </c>
      <c r="D103" s="1" t="str">
        <f>Market_currency</f>
        <v>HKD</v>
      </c>
    </row>
    <row r="104" spans="2:6">
      <c r="B104" s="296" t="s">
        <v>405</v>
      </c>
      <c r="C104" s="346">
        <f>IF(BS!G31/BS!G27&gt;300%,"nm",BS!G31/BS!G27)</f>
        <v>0.16360901428944893</v>
      </c>
    </row>
    <row r="105" spans="2:6">
      <c r="B105" s="296" t="s">
        <v>407</v>
      </c>
      <c r="C105" s="347">
        <f>IF(BS!C50&gt;30,"nm",BS!C50)</f>
        <v>1.1309485990394448</v>
      </c>
    </row>
    <row r="107" spans="2:6">
      <c r="B107" s="1" t="s">
        <v>255</v>
      </c>
    </row>
    <row r="108" spans="2:6">
      <c r="B108" s="47" t="s">
        <v>265</v>
      </c>
      <c r="C108" s="76">
        <f>BS!C66</f>
        <v>216246</v>
      </c>
      <c r="D108" s="1" t="str">
        <f>Reporting_currency</f>
        <v>CNY</v>
      </c>
    </row>
    <row r="109" spans="2:6">
      <c r="B109" s="47" t="s">
        <v>267</v>
      </c>
      <c r="C109" s="76">
        <f>DCF!C8</f>
        <v>126.15719684722717</v>
      </c>
      <c r="D109" s="1" t="str">
        <f>Reporting_currency</f>
        <v>CNY</v>
      </c>
    </row>
    <row r="110" spans="2:6">
      <c r="B110" s="47" t="s">
        <v>283</v>
      </c>
      <c r="C110" s="223">
        <f>C109*scaling_factor*Exchange_Rate/Common_Shares</f>
        <v>7.4982230854386562E-4</v>
      </c>
      <c r="D110" s="1" t="str">
        <f>Market_currency</f>
        <v>HKD</v>
      </c>
    </row>
    <row r="112" spans="2:6">
      <c r="B112" s="1" t="s">
        <v>257</v>
      </c>
    </row>
    <row r="113" spans="1:6">
      <c r="B113" s="47" t="s">
        <v>258</v>
      </c>
      <c r="C113" s="76">
        <f>DCF!C9</f>
        <v>2113.7999999999997</v>
      </c>
      <c r="D113" s="1" t="str">
        <f>Reporting_currency</f>
        <v>CNY</v>
      </c>
    </row>
    <row r="114" spans="1:6">
      <c r="B114" s="47" t="s">
        <v>284</v>
      </c>
      <c r="C114" s="223">
        <f>C113*scaling_factor*Exchange_Rate/Common_Shares</f>
        <v>1.256348773918449E-2</v>
      </c>
      <c r="D114" s="1" t="str">
        <f>Market_currency</f>
        <v>HKD</v>
      </c>
    </row>
    <row r="116" spans="1:6" ht="24.5" customHeight="1">
      <c r="B116" s="350" t="s">
        <v>367</v>
      </c>
      <c r="C116" s="350"/>
      <c r="D116" s="350"/>
      <c r="E116" s="350"/>
      <c r="F116" s="350"/>
    </row>
    <row r="118" spans="1:6">
      <c r="B118" s="47" t="s">
        <v>450</v>
      </c>
      <c r="C118" s="223">
        <f>IF(valuation_method="DCF",DCF!C12,DDM!C7)</f>
        <v>8.8051827122423738</v>
      </c>
      <c r="D118" s="1" t="str">
        <f>Market_currency</f>
        <v>HKD</v>
      </c>
    </row>
    <row r="119" spans="1:6">
      <c r="B119" s="296" t="s">
        <v>406</v>
      </c>
      <c r="C119" s="223">
        <f>BS!D47</f>
        <v>-3.8597940139087226</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10.99 HKD</v>
      </c>
      <c r="F126" s="232">
        <f>DCF!F74</f>
        <v>0.05</v>
      </c>
    </row>
    <row r="127" spans="1:6">
      <c r="B127" s="218" t="str">
        <f>DCF!B75</f>
        <v>Optimistic</v>
      </c>
      <c r="C127" s="219">
        <f>DCF!C75</f>
        <v>0.02</v>
      </c>
      <c r="D127" s="220">
        <f>DCF!D75</f>
        <v>5</v>
      </c>
      <c r="E127" s="231" t="str">
        <f>ROUND(IF(valuation_method="DCF",DCF!E75,DDM!E70),2)&amp;" "&amp;Market_currency</f>
        <v>9.14 HKD</v>
      </c>
      <c r="F127" s="221">
        <f>DCF!F75</f>
        <v>0.18</v>
      </c>
    </row>
    <row r="128" spans="1:6">
      <c r="B128" s="218" t="str">
        <f>DCF!B76</f>
        <v>Base</v>
      </c>
      <c r="C128" s="219">
        <f>DCF!C76</f>
        <v>0.01</v>
      </c>
      <c r="D128" s="220">
        <f>DCF!D76</f>
        <v>5</v>
      </c>
      <c r="E128" s="231" t="str">
        <f>ROUND(IF(valuation_method="DCF",DCF!E76,DDM!E71),2)&amp;" "&amp;Market_currency</f>
        <v>8.97 HKD</v>
      </c>
      <c r="F128" s="221">
        <f>DCF!F76</f>
        <v>0.53999999999999992</v>
      </c>
    </row>
    <row r="129" spans="1:6">
      <c r="B129" s="218" t="str">
        <f>DCF!B77</f>
        <v>Pessimistic</v>
      </c>
      <c r="C129" s="219">
        <f>DCF!C77</f>
        <v>-0.06</v>
      </c>
      <c r="D129" s="220">
        <f>DCF!D77</f>
        <v>5</v>
      </c>
      <c r="E129" s="231" t="str">
        <f>ROUND(IF(valuation_method="DCF",DCF!E77,DDM!E72),2)&amp;" "&amp;Market_currency</f>
        <v>7.86 HKD</v>
      </c>
      <c r="F129" s="221">
        <f>DCF!F77</f>
        <v>0.18</v>
      </c>
    </row>
    <row r="130" spans="1:6">
      <c r="B130" s="218" t="str">
        <f>DCF!B78</f>
        <v>Devil's advocate</v>
      </c>
      <c r="C130" s="219">
        <f>DCF!C78</f>
        <v>-0.15</v>
      </c>
      <c r="D130" s="220">
        <f>DCF!D78</f>
        <v>10</v>
      </c>
      <c r="E130" s="231" t="str">
        <f>ROUND(IF(valuation_method="DCF",DCF!E78,DDM!E73),2)&amp;" "&amp;Market_currency</f>
        <v>5.34 HKD</v>
      </c>
      <c r="F130" s="221">
        <f>DCF!F78</f>
        <v>0.05</v>
      </c>
    </row>
    <row r="132" spans="1:6">
      <c r="B132" s="211" t="s">
        <v>259</v>
      </c>
      <c r="C132" s="217">
        <f>Scenarios!C60</f>
        <v>8.720518250484389</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0.44193951040398899</v>
      </c>
      <c r="D143" s="212" t="str">
        <f>Market_currency</f>
        <v>HKD</v>
      </c>
    </row>
    <row r="145" spans="2:4">
      <c r="B145" s="210" t="s">
        <v>409</v>
      </c>
      <c r="C145" s="241" t="str">
        <f>C11</f>
        <v>0857.HK</v>
      </c>
      <c r="D145" s="241" t="str">
        <f>IF(D11="","",D11)</f>
        <v>601857.SS</v>
      </c>
    </row>
    <row r="146" spans="2:4">
      <c r="B146" s="1" t="s">
        <v>408</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3.4107946149357486</v>
      </c>
    </row>
    <row r="149" spans="2:4">
      <c r="B149" s="80" t="s">
        <v>261</v>
      </c>
      <c r="C149" s="215">
        <f>Scenarios!C83</f>
        <v>4.1432029871483023</v>
      </c>
      <c r="D149" s="300">
        <f>IF($D$11="","",C149*$E$25)</f>
        <v>3.8088074077061487</v>
      </c>
    </row>
    <row r="150" spans="2:4">
      <c r="B150" s="259" t="s">
        <v>417</v>
      </c>
      <c r="C150" s="298" t="str">
        <f>Market_currency</f>
        <v>HKD</v>
      </c>
      <c r="D150" s="298" t="str">
        <f>IF($D$11="","",D$13)</f>
        <v>CNY</v>
      </c>
    </row>
    <row r="151" spans="2:4">
      <c r="B151" s="214" t="s">
        <v>263</v>
      </c>
      <c r="C151" s="92">
        <f>Scenarios!F83</f>
        <v>0.52489027966678881</v>
      </c>
    </row>
    <row r="153" spans="2:4">
      <c r="B153" s="210" t="s">
        <v>412</v>
      </c>
    </row>
    <row r="154" spans="2:4">
      <c r="B154" s="1" t="s">
        <v>411</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4.8332849836072977</v>
      </c>
    </row>
    <row r="157" spans="2:4">
      <c r="B157" s="80" t="s">
        <v>261</v>
      </c>
      <c r="C157" s="215">
        <f>Scenarios!C93</f>
        <v>5.7394381198381037</v>
      </c>
      <c r="D157" s="300">
        <f>IF($D$11="","",C157*$E$25)</f>
        <v>5.2762113019127215</v>
      </c>
    </row>
    <row r="158" spans="2:4">
      <c r="B158" s="259" t="s">
        <v>417</v>
      </c>
      <c r="C158" s="298" t="str">
        <f>Market_currency</f>
        <v>HKD</v>
      </c>
      <c r="D158" s="298" t="str">
        <f>IF($D$11="","",D$13)</f>
        <v>CNY</v>
      </c>
    </row>
    <row r="159" spans="2:4">
      <c r="B159" s="214" t="s">
        <v>263</v>
      </c>
      <c r="C159" s="92">
        <f>Scenarios!F93</f>
        <v>0.34184667069307473</v>
      </c>
    </row>
    <row r="161" spans="2:4">
      <c r="B161" s="210" t="s">
        <v>401</v>
      </c>
    </row>
    <row r="162" spans="2:4">
      <c r="B162" s="1" t="s">
        <v>410</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7.0196733373288005</v>
      </c>
    </row>
    <row r="165" spans="2:4">
      <c r="B165" s="80" t="s">
        <v>402</v>
      </c>
      <c r="C165" s="215">
        <f>Scenarios!C99</f>
        <v>8.1689484096007856</v>
      </c>
      <c r="D165" s="300">
        <f>IF($D$11="","",C165*$E$25)</f>
        <v>7.5096371846053449</v>
      </c>
    </row>
    <row r="166" spans="2:4">
      <c r="B166" s="259" t="s">
        <v>417</v>
      </c>
      <c r="C166" s="298" t="str">
        <f>Market_currency</f>
        <v>HKD</v>
      </c>
      <c r="D166" s="298" t="str">
        <f>IF($D$11="","",D$13)</f>
        <v>CNY</v>
      </c>
    </row>
    <row r="167" spans="2:4">
      <c r="B167" s="214" t="s">
        <v>263</v>
      </c>
      <c r="C167" s="92">
        <f>Scenarios!F99</f>
        <v>6.3249663040721882E-2</v>
      </c>
    </row>
    <row r="169" spans="2:4">
      <c r="B169" s="210" t="s">
        <v>433</v>
      </c>
    </row>
    <row r="170" spans="2:4">
      <c r="B170" s="1" t="s">
        <v>424</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6.2505220885099497</v>
      </c>
    </row>
    <row r="173" spans="2:4">
      <c r="B173" s="80" t="s">
        <v>402</v>
      </c>
      <c r="C173" s="215">
        <f>Scenarios!C105</f>
        <v>7.3167467327864095</v>
      </c>
      <c r="D173" s="300">
        <f>IF($D$11="","",C173*$E$25)</f>
        <v>6.7262162251258104</v>
      </c>
    </row>
    <row r="174" spans="2:4">
      <c r="B174" s="259" t="s">
        <v>417</v>
      </c>
      <c r="C174" s="298" t="str">
        <f>Market_currency</f>
        <v>HKD</v>
      </c>
      <c r="D174" s="298" t="str">
        <f>IF($D$11="","",D$13)</f>
        <v>CNY</v>
      </c>
    </row>
    <row r="175" spans="2:4">
      <c r="B175" s="214" t="s">
        <v>263</v>
      </c>
      <c r="C175" s="92">
        <f>Scenarios!F105</f>
        <v>0.16144526798829661</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2937981</v>
      </c>
      <c r="D4" s="334">
        <v>3011012</v>
      </c>
      <c r="E4" s="334">
        <v>3239167</v>
      </c>
      <c r="F4" s="334">
        <v>1851487</v>
      </c>
      <c r="G4" s="334">
        <v>1729735</v>
      </c>
      <c r="H4" s="334"/>
      <c r="I4" s="334"/>
      <c r="J4" s="334"/>
      <c r="K4" s="334"/>
      <c r="L4" s="334"/>
      <c r="M4" s="334"/>
    </row>
    <row r="5" spans="2:13">
      <c r="B5" s="40" t="s">
        <v>43</v>
      </c>
      <c r="C5" s="334">
        <f>2275223</f>
        <v>2275223</v>
      </c>
      <c r="D5" s="334">
        <v>2302385</v>
      </c>
      <c r="E5" s="334">
        <v>2527935</v>
      </c>
      <c r="F5" s="334">
        <v>1379524</v>
      </c>
      <c r="G5" s="334">
        <v>1278781</v>
      </c>
      <c r="H5" s="334"/>
      <c r="I5" s="334"/>
      <c r="J5" s="334"/>
      <c r="K5" s="334"/>
      <c r="L5" s="334"/>
      <c r="M5" s="334"/>
    </row>
    <row r="6" spans="2:13">
      <c r="B6" s="40" t="s">
        <v>54</v>
      </c>
      <c r="C6" s="334">
        <f>266012+65026+C7</f>
        <v>394228</v>
      </c>
      <c r="D6" s="334">
        <v>420298</v>
      </c>
      <c r="E6" s="334">
        <v>395706</v>
      </c>
      <c r="F6" s="334">
        <v>296185</v>
      </c>
      <c r="G6" s="334">
        <v>285968</v>
      </c>
      <c r="H6" s="334"/>
      <c r="I6" s="334"/>
      <c r="J6" s="334"/>
      <c r="K6" s="334"/>
      <c r="L6" s="334"/>
      <c r="M6" s="334"/>
    </row>
    <row r="7" spans="2:13">
      <c r="B7" s="69" t="s">
        <v>61</v>
      </c>
      <c r="C7" s="335">
        <v>63190</v>
      </c>
      <c r="D7" s="335">
        <v>70260</v>
      </c>
      <c r="E7" s="335">
        <v>68352</v>
      </c>
      <c r="F7" s="335">
        <v>48552</v>
      </c>
      <c r="G7" s="335">
        <v>47670</v>
      </c>
      <c r="H7" s="335"/>
      <c r="I7" s="335"/>
      <c r="J7" s="335"/>
      <c r="K7" s="335"/>
      <c r="L7" s="335"/>
      <c r="M7" s="335"/>
    </row>
    <row r="8" spans="2:13">
      <c r="B8" s="40" t="s">
        <v>49</v>
      </c>
      <c r="C8" s="334">
        <v>23014</v>
      </c>
      <c r="D8" s="334">
        <v>21957</v>
      </c>
      <c r="E8" s="334">
        <v>20016</v>
      </c>
      <c r="F8" s="334">
        <v>16796</v>
      </c>
      <c r="G8" s="334">
        <v>15217</v>
      </c>
      <c r="H8" s="334"/>
      <c r="I8" s="334"/>
      <c r="J8" s="334"/>
      <c r="K8" s="334"/>
      <c r="L8" s="334"/>
      <c r="M8" s="334"/>
    </row>
    <row r="9" spans="2:13">
      <c r="B9" s="40" t="s">
        <v>160</v>
      </c>
      <c r="C9" s="334">
        <v>18644</v>
      </c>
      <c r="D9" s="334">
        <v>18538</v>
      </c>
      <c r="E9" s="334">
        <v>15251</v>
      </c>
      <c r="F9" s="334">
        <v>12877</v>
      </c>
      <c r="G9" s="334">
        <v>11296</v>
      </c>
      <c r="H9" s="334"/>
      <c r="I9" s="334"/>
      <c r="J9" s="334"/>
      <c r="K9" s="334"/>
      <c r="L9" s="334"/>
      <c r="M9" s="334"/>
    </row>
    <row r="10" spans="2:13">
      <c r="B10" s="40" t="s">
        <v>168</v>
      </c>
      <c r="C10" s="334"/>
      <c r="D10" s="334">
        <v>0</v>
      </c>
      <c r="E10" s="334">
        <v>0</v>
      </c>
      <c r="F10" s="334">
        <v>0</v>
      </c>
      <c r="G10" s="334">
        <v>0</v>
      </c>
      <c r="H10" s="334"/>
      <c r="I10" s="334"/>
      <c r="J10" s="334"/>
      <c r="K10" s="334"/>
      <c r="L10" s="334"/>
      <c r="M10" s="334"/>
    </row>
    <row r="11" spans="2:13">
      <c r="B11" s="40" t="s">
        <v>159</v>
      </c>
      <c r="C11" s="334"/>
      <c r="D11" s="334">
        <v>0</v>
      </c>
      <c r="E11" s="334">
        <v>0</v>
      </c>
      <c r="F11" s="334">
        <v>0</v>
      </c>
      <c r="G11" s="334">
        <v>0</v>
      </c>
      <c r="H11" s="334"/>
      <c r="I11" s="334"/>
      <c r="J11" s="334"/>
      <c r="K11" s="334"/>
      <c r="L11" s="334"/>
      <c r="M11" s="334"/>
    </row>
    <row r="12" spans="2:13">
      <c r="B12" s="40" t="s">
        <v>39</v>
      </c>
      <c r="C12" s="334">
        <v>20731</v>
      </c>
      <c r="D12" s="334">
        <v>24063</v>
      </c>
      <c r="E12" s="334">
        <v>21554</v>
      </c>
      <c r="F12" s="334">
        <v>14912</v>
      </c>
      <c r="G12" s="334">
        <v>15097</v>
      </c>
      <c r="H12" s="334"/>
      <c r="I12" s="334"/>
      <c r="J12" s="334"/>
      <c r="K12" s="334"/>
      <c r="L12" s="334"/>
      <c r="M12" s="334"/>
    </row>
    <row r="13" spans="2:13">
      <c r="B13" s="40" t="s">
        <v>67</v>
      </c>
      <c r="C13" s="334">
        <v>8799</v>
      </c>
      <c r="D13" s="334">
        <v>8265</v>
      </c>
      <c r="E13" s="334">
        <v>4738</v>
      </c>
      <c r="F13" s="334">
        <v>1960</v>
      </c>
      <c r="G13" s="334">
        <v>1732</v>
      </c>
      <c r="H13" s="334"/>
      <c r="I13" s="334"/>
      <c r="J13" s="334"/>
      <c r="K13" s="334"/>
      <c r="L13" s="334"/>
      <c r="M13" s="334"/>
    </row>
    <row r="14" spans="2:13">
      <c r="B14" s="40" t="s">
        <v>50</v>
      </c>
      <c r="C14" s="334">
        <v>57755</v>
      </c>
      <c r="D14" s="334">
        <v>57167</v>
      </c>
      <c r="E14" s="334">
        <v>49929</v>
      </c>
      <c r="F14" s="334">
        <v>24138</v>
      </c>
      <c r="G14" s="334">
        <v>17067</v>
      </c>
      <c r="H14" s="334"/>
      <c r="I14" s="334"/>
      <c r="J14" s="334"/>
      <c r="K14" s="334"/>
      <c r="L14" s="334"/>
      <c r="M14" s="334"/>
    </row>
    <row r="15" spans="2:13">
      <c r="B15" s="43" t="s">
        <v>42</v>
      </c>
      <c r="C15" s="336">
        <v>183747</v>
      </c>
      <c r="D15" s="336">
        <v>180561</v>
      </c>
      <c r="E15" s="336">
        <v>163343</v>
      </c>
      <c r="F15" s="336">
        <v>132394</v>
      </c>
      <c r="G15" s="336">
        <v>129018</v>
      </c>
      <c r="H15" s="336"/>
      <c r="I15" s="336"/>
      <c r="J15" s="336"/>
      <c r="K15" s="336"/>
      <c r="L15" s="336"/>
      <c r="M15" s="336"/>
    </row>
    <row r="16" spans="2:13">
      <c r="B16" s="28" t="s">
        <v>44</v>
      </c>
      <c r="C16" s="334">
        <v>19071</v>
      </c>
      <c r="D16" s="334">
        <v>19147</v>
      </c>
      <c r="E16" s="334">
        <v>14605</v>
      </c>
      <c r="F16" s="334">
        <v>0</v>
      </c>
      <c r="G16" s="334">
        <v>0</v>
      </c>
      <c r="H16" s="334"/>
      <c r="I16" s="334"/>
      <c r="J16" s="334"/>
      <c r="K16" s="334"/>
      <c r="L16" s="334"/>
      <c r="M16" s="334"/>
    </row>
    <row r="18" spans="2:13">
      <c r="B18" s="16" t="s">
        <v>51</v>
      </c>
      <c r="C18" s="9"/>
    </row>
    <row r="19" spans="2:13">
      <c r="B19" s="27" t="s">
        <v>47</v>
      </c>
      <c r="C19" s="334">
        <v>243209</v>
      </c>
      <c r="D19" s="334">
        <v>229584</v>
      </c>
      <c r="E19" s="334">
        <v>222648</v>
      </c>
      <c r="F19" s="334">
        <v>238036</v>
      </c>
      <c r="G19" s="334">
        <v>236818</v>
      </c>
      <c r="H19" s="334"/>
      <c r="I19" s="334"/>
      <c r="J19" s="334"/>
      <c r="K19" s="334"/>
      <c r="L19" s="334"/>
      <c r="M19" s="334"/>
    </row>
    <row r="20" spans="2:13">
      <c r="B20" s="27" t="s">
        <v>53</v>
      </c>
      <c r="C20" s="334"/>
      <c r="D20" s="334">
        <v>115297</v>
      </c>
      <c r="E20" s="334">
        <v>282508</v>
      </c>
      <c r="F20" s="334">
        <v>245237</v>
      </c>
      <c r="G20" s="334">
        <v>265563</v>
      </c>
      <c r="H20" s="334"/>
      <c r="I20" s="334"/>
      <c r="J20" s="334"/>
      <c r="K20" s="334"/>
      <c r="L20" s="334"/>
      <c r="M20" s="334"/>
    </row>
    <row r="21" spans="2:13">
      <c r="B21" s="27" t="s">
        <v>52</v>
      </c>
      <c r="C21" s="334"/>
      <c r="D21" s="334">
        <v>31061</v>
      </c>
      <c r="E21" s="334">
        <v>3456</v>
      </c>
      <c r="F21" s="334">
        <v>46237</v>
      </c>
      <c r="G21" s="334">
        <v>34899</v>
      </c>
      <c r="H21" s="334"/>
      <c r="I21" s="334"/>
      <c r="J21" s="334"/>
      <c r="K21" s="334"/>
      <c r="L21" s="334"/>
      <c r="M21" s="334"/>
    </row>
    <row r="22" spans="2:13">
      <c r="B22" s="27" t="s">
        <v>372</v>
      </c>
      <c r="C22" s="334">
        <v>406532</v>
      </c>
      <c r="D22" s="334">
        <v>456596</v>
      </c>
      <c r="E22" s="334">
        <v>393768</v>
      </c>
      <c r="F22" s="334">
        <v>276599</v>
      </c>
      <c r="G22" s="334">
        <v>256657</v>
      </c>
      <c r="H22" s="334"/>
      <c r="I22" s="334"/>
      <c r="J22" s="334"/>
      <c r="K22" s="334"/>
      <c r="L22" s="334"/>
      <c r="M22" s="334"/>
    </row>
    <row r="23" spans="2:13">
      <c r="B23" s="27" t="s">
        <v>374</v>
      </c>
      <c r="C23" s="334">
        <v>-307347</v>
      </c>
      <c r="D23" s="334">
        <v>-255789</v>
      </c>
      <c r="E23" s="334">
        <v>-232971</v>
      </c>
      <c r="F23" s="334">
        <v>-149026</v>
      </c>
      <c r="G23" s="334">
        <v>-140250</v>
      </c>
      <c r="H23" s="334"/>
      <c r="I23" s="334"/>
      <c r="J23" s="334"/>
      <c r="K23" s="334"/>
      <c r="L23" s="334"/>
      <c r="M23" s="334"/>
    </row>
    <row r="24" spans="2:13">
      <c r="B24" s="27" t="s">
        <v>373</v>
      </c>
      <c r="C24" s="334">
        <v>-178876</v>
      </c>
      <c r="D24" s="334">
        <v>-146572</v>
      </c>
      <c r="E24" s="334">
        <v>-113713</v>
      </c>
      <c r="F24" s="334">
        <v>-135729</v>
      </c>
      <c r="G24" s="334">
        <v>-79554</v>
      </c>
      <c r="H24" s="334"/>
      <c r="I24" s="334"/>
      <c r="J24" s="334"/>
      <c r="K24" s="334"/>
      <c r="L24" s="334"/>
      <c r="M24" s="334"/>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0.16072876207827144</v>
      </c>
      <c r="H25" s="39"/>
      <c r="I25" s="39"/>
      <c r="J25" s="39"/>
      <c r="K25" s="39"/>
      <c r="L25" s="39"/>
      <c r="M25" s="39"/>
    </row>
    <row r="27" spans="2:13">
      <c r="B27" s="16" t="s">
        <v>28</v>
      </c>
      <c r="C27" s="97" t="s">
        <v>463</v>
      </c>
    </row>
    <row r="28" spans="2:13">
      <c r="B28" s="26" t="s">
        <v>24</v>
      </c>
      <c r="C28" s="323">
        <f>BS!C4</f>
        <v>114865</v>
      </c>
      <c r="D28" s="334">
        <v>142879</v>
      </c>
      <c r="E28" s="334">
        <v>117877</v>
      </c>
      <c r="F28" s="334">
        <v>23709</v>
      </c>
      <c r="G28" s="334">
        <v>27379</v>
      </c>
      <c r="H28" s="334"/>
      <c r="I28" s="334"/>
      <c r="J28" s="334"/>
      <c r="K28" s="334"/>
      <c r="L28" s="334"/>
      <c r="M28" s="334"/>
    </row>
    <row r="29" spans="2:13">
      <c r="B29" s="26" t="s">
        <v>32</v>
      </c>
      <c r="C29" s="323">
        <f>BS!C6</f>
        <v>168338</v>
      </c>
      <c r="D29" s="334">
        <v>182674</v>
      </c>
      <c r="E29" s="334">
        <v>167751</v>
      </c>
      <c r="F29" s="334">
        <v>110386</v>
      </c>
      <c r="G29" s="334">
        <v>109354</v>
      </c>
      <c r="H29" s="334"/>
      <c r="I29" s="334"/>
      <c r="J29" s="334"/>
      <c r="K29" s="334"/>
      <c r="L29" s="334"/>
      <c r="M29" s="334"/>
    </row>
    <row r="30" spans="2:13">
      <c r="B30" s="29" t="s">
        <v>40</v>
      </c>
      <c r="C30" s="324">
        <f>BS!C33+BS!C42</f>
        <v>1043144</v>
      </c>
      <c r="D30" s="336">
        <v>1090144</v>
      </c>
      <c r="E30" s="336">
        <v>1136250</v>
      </c>
      <c r="F30" s="336">
        <v>689466</v>
      </c>
      <c r="G30" s="336">
        <v>707978</v>
      </c>
      <c r="H30" s="336"/>
      <c r="I30" s="336"/>
      <c r="J30" s="336"/>
      <c r="K30" s="336"/>
      <c r="L30" s="336"/>
      <c r="M30" s="336"/>
    </row>
    <row r="31" spans="2:13">
      <c r="B31" s="29" t="s">
        <v>30</v>
      </c>
      <c r="C31" s="324">
        <f>BS!G27</f>
        <v>1709863</v>
      </c>
      <c r="D31" s="336">
        <v>1678153</v>
      </c>
      <c r="E31" s="336">
        <v>1534416</v>
      </c>
      <c r="F31" s="336">
        <v>1291608</v>
      </c>
      <c r="G31" s="336">
        <v>1238930</v>
      </c>
      <c r="H31" s="336"/>
      <c r="I31" s="336"/>
      <c r="J31" s="336"/>
      <c r="K31" s="336"/>
      <c r="L31" s="336"/>
      <c r="M31" s="336"/>
    </row>
    <row r="32" spans="2:13">
      <c r="B32" s="26" t="s">
        <v>173</v>
      </c>
      <c r="C32" s="323">
        <f>BS!G28</f>
        <v>194492</v>
      </c>
      <c r="D32" s="334">
        <v>188249</v>
      </c>
      <c r="E32" s="334">
        <v>168550</v>
      </c>
      <c r="F32" s="334">
        <v>0</v>
      </c>
      <c r="G32" s="334">
        <v>0</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2937981</v>
      </c>
      <c r="D36" s="323">
        <f t="shared" si="1"/>
        <v>3011012</v>
      </c>
      <c r="E36" s="323">
        <f t="shared" si="1"/>
        <v>3239167</v>
      </c>
      <c r="F36" s="323">
        <f t="shared" si="1"/>
        <v>1851487</v>
      </c>
      <c r="G36" s="323">
        <f t="shared" si="1"/>
        <v>1729735</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-2275223</v>
      </c>
      <c r="D37" s="323">
        <f t="shared" si="2"/>
        <v>-2302385</v>
      </c>
      <c r="E37" s="323">
        <f t="shared" si="2"/>
        <v>-2527935</v>
      </c>
      <c r="F37" s="323">
        <f t="shared" si="2"/>
        <v>-1379524</v>
      </c>
      <c r="G37" s="323">
        <f t="shared" si="2"/>
        <v>-1278781</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662758</v>
      </c>
      <c r="D38" s="319">
        <f t="shared" ref="D38" si="3">IF(D36="","",D36+D37)</f>
        <v>708627</v>
      </c>
      <c r="E38" s="319">
        <f t="shared" ref="E38" si="4">IF(E36="","",E36+E37)</f>
        <v>711232</v>
      </c>
      <c r="F38" s="319">
        <f t="shared" ref="F38" si="5">IF(F36="","",F36+F37)</f>
        <v>471963</v>
      </c>
      <c r="G38" s="319">
        <f t="shared" ref="G38" si="6">IF(G36="","",G36+G37)</f>
        <v>450954</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-394228</v>
      </c>
      <c r="D39" s="323">
        <f t="shared" si="13"/>
        <v>-420298</v>
      </c>
      <c r="E39" s="323">
        <f t="shared" si="13"/>
        <v>-395706</v>
      </c>
      <c r="F39" s="323">
        <f t="shared" si="13"/>
        <v>-296185</v>
      </c>
      <c r="G39" s="323">
        <f t="shared" si="13"/>
        <v>-285968</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-63190</v>
      </c>
      <c r="D40" s="333">
        <f t="shared" si="14"/>
        <v>-70260</v>
      </c>
      <c r="E40" s="333">
        <f t="shared" si="14"/>
        <v>-68352</v>
      </c>
      <c r="F40" s="333">
        <f t="shared" si="14"/>
        <v>-48552</v>
      </c>
      <c r="G40" s="333">
        <f t="shared" si="14"/>
        <v>-47670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-331038</v>
      </c>
      <c r="D41" s="333">
        <f t="shared" ref="D41:M41" si="15">IF(D$4="","",D39-D40)</f>
        <v>-350038</v>
      </c>
      <c r="E41" s="333">
        <f t="shared" si="15"/>
        <v>-327354</v>
      </c>
      <c r="F41" s="333">
        <f t="shared" si="15"/>
        <v>-247633</v>
      </c>
      <c r="G41" s="333">
        <f t="shared" si="15"/>
        <v>-238298</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-23014</v>
      </c>
      <c r="D42" s="323">
        <f t="shared" si="16"/>
        <v>-21957</v>
      </c>
      <c r="E42" s="323">
        <f t="shared" si="16"/>
        <v>-20016</v>
      </c>
      <c r="F42" s="323">
        <f t="shared" si="16"/>
        <v>-16796</v>
      </c>
      <c r="G42" s="323">
        <f t="shared" si="16"/>
        <v>-15217</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245516</v>
      </c>
      <c r="D43" s="324">
        <f t="shared" ref="D43:M43" si="17">IF(D$4="","",D38+D39+D42)</f>
        <v>266372</v>
      </c>
      <c r="E43" s="324">
        <f t="shared" si="17"/>
        <v>295510</v>
      </c>
      <c r="F43" s="324">
        <f t="shared" si="17"/>
        <v>158982</v>
      </c>
      <c r="G43" s="324">
        <f t="shared" si="17"/>
        <v>149769</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7918</v>
      </c>
      <c r="D44" s="180">
        <f t="shared" si="18"/>
        <v>-12846</v>
      </c>
      <c r="E44" s="180">
        <f t="shared" si="18"/>
        <v>-65422</v>
      </c>
      <c r="F44" s="180">
        <f t="shared" si="18"/>
        <v>10502</v>
      </c>
      <c r="G44" s="180">
        <f t="shared" si="18"/>
        <v>9681</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-57755</v>
      </c>
      <c r="D46" s="323">
        <f t="shared" si="20"/>
        <v>-57167</v>
      </c>
      <c r="E46" s="323">
        <f t="shared" si="20"/>
        <v>-49929</v>
      </c>
      <c r="F46" s="323">
        <f t="shared" si="20"/>
        <v>-24138</v>
      </c>
      <c r="G46" s="323">
        <f t="shared" si="20"/>
        <v>-17067</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183747</v>
      </c>
      <c r="D47" s="324">
        <f t="shared" si="21"/>
        <v>180561</v>
      </c>
      <c r="E47" s="324">
        <f t="shared" si="21"/>
        <v>163343</v>
      </c>
      <c r="F47" s="324">
        <f t="shared" si="21"/>
        <v>132394</v>
      </c>
      <c r="G47" s="324">
        <f t="shared" si="21"/>
        <v>129018</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-19071</v>
      </c>
      <c r="D48" s="323">
        <f t="shared" si="22"/>
        <v>-19147</v>
      </c>
      <c r="E48" s="323">
        <f t="shared" si="22"/>
        <v>-14605</v>
      </c>
      <c r="F48" s="323">
        <f t="shared" si="22"/>
        <v>0</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-20731</v>
      </c>
      <c r="D51" s="323">
        <f t="shared" si="23"/>
        <v>-24063</v>
      </c>
      <c r="E51" s="323">
        <f t="shared" si="23"/>
        <v>-21554</v>
      </c>
      <c r="F51" s="323">
        <f t="shared" si="23"/>
        <v>-14912</v>
      </c>
      <c r="G51" s="323">
        <f t="shared" si="23"/>
        <v>-15097</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8799</v>
      </c>
      <c r="D52" s="323">
        <f t="shared" si="24"/>
        <v>8265</v>
      </c>
      <c r="E52" s="323">
        <f t="shared" si="24"/>
        <v>4738</v>
      </c>
      <c r="F52" s="323">
        <f t="shared" si="24"/>
        <v>1960</v>
      </c>
      <c r="G52" s="323">
        <f t="shared" si="24"/>
        <v>1732</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-243209</v>
      </c>
      <c r="D61" s="323">
        <f t="shared" ref="D61:M61" si="29">IF(D$4="","",-D19)</f>
        <v>-229584</v>
      </c>
      <c r="E61" s="323">
        <f t="shared" si="29"/>
        <v>-222648</v>
      </c>
      <c r="F61" s="323">
        <f t="shared" si="29"/>
        <v>-238036</v>
      </c>
      <c r="G61" s="323">
        <f t="shared" si="29"/>
        <v>-236818</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-243209</v>
      </c>
      <c r="D62" s="323">
        <f t="shared" ref="D62:M62" si="30">IF(D$4="","",IF(D20=0,D61,-D20))</f>
        <v>-115297</v>
      </c>
      <c r="E62" s="323">
        <f t="shared" si="30"/>
        <v>-282508</v>
      </c>
      <c r="F62" s="323">
        <f t="shared" si="30"/>
        <v>-245237</v>
      </c>
      <c r="G62" s="323">
        <f t="shared" si="30"/>
        <v>-265563</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-31061</v>
      </c>
      <c r="E63" s="323">
        <f t="shared" si="31"/>
        <v>-3456</v>
      </c>
      <c r="F63" s="323">
        <f t="shared" si="31"/>
        <v>-46237</v>
      </c>
      <c r="G63" s="323">
        <f t="shared" si="31"/>
        <v>-34899</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-79691</v>
      </c>
      <c r="D64" s="323">
        <f t="shared" ref="D64:M64" si="32">IF(D$4="","",D22+D23+D24)</f>
        <v>54235</v>
      </c>
      <c r="E64" s="323">
        <f t="shared" si="32"/>
        <v>47084</v>
      </c>
      <c r="F64" s="323">
        <f t="shared" si="32"/>
        <v>-8156</v>
      </c>
      <c r="G64" s="323">
        <f t="shared" si="32"/>
        <v>36853</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0.16072876207827144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114865</v>
      </c>
      <c r="D77" s="333">
        <f t="shared" si="40"/>
        <v>142879</v>
      </c>
      <c r="E77" s="333">
        <f t="shared" si="40"/>
        <v>117877</v>
      </c>
      <c r="F77" s="333">
        <f t="shared" si="40"/>
        <v>23709</v>
      </c>
      <c r="G77" s="333">
        <f t="shared" si="40"/>
        <v>27379</v>
      </c>
      <c r="H77" s="333" t="str">
        <f t="shared" si="40"/>
        <v/>
      </c>
      <c r="I77" s="337"/>
      <c r="J77" s="337"/>
      <c r="K77" s="337"/>
      <c r="L77" s="337"/>
      <c r="M77" s="337"/>
    </row>
    <row r="78" spans="2:13">
      <c r="B78" s="93" t="s">
        <v>87</v>
      </c>
      <c r="C78" s="333">
        <f t="shared" si="40"/>
        <v>168338</v>
      </c>
      <c r="D78" s="333">
        <f t="shared" si="40"/>
        <v>182674</v>
      </c>
      <c r="E78" s="333">
        <f t="shared" si="40"/>
        <v>167751</v>
      </c>
      <c r="F78" s="333">
        <f t="shared" si="40"/>
        <v>110386</v>
      </c>
      <c r="G78" s="333">
        <f t="shared" si="40"/>
        <v>109354</v>
      </c>
      <c r="H78" s="333" t="str">
        <f t="shared" si="40"/>
        <v/>
      </c>
      <c r="I78" s="337"/>
      <c r="J78" s="337"/>
      <c r="K78" s="337"/>
      <c r="L78" s="337"/>
      <c r="M78" s="337"/>
    </row>
    <row r="79" spans="2:13">
      <c r="B79" s="26" t="s">
        <v>40</v>
      </c>
      <c r="C79" s="323">
        <f t="shared" ref="C79:M79" si="41">IF(C$4="","",C30)</f>
        <v>1043144</v>
      </c>
      <c r="D79" s="323">
        <f t="shared" si="41"/>
        <v>1090144</v>
      </c>
      <c r="E79" s="323">
        <f t="shared" si="41"/>
        <v>1136250</v>
      </c>
      <c r="F79" s="323">
        <f t="shared" si="41"/>
        <v>689466</v>
      </c>
      <c r="G79" s="323">
        <f t="shared" si="41"/>
        <v>707978</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1709863</v>
      </c>
      <c r="D80" s="323">
        <f t="shared" si="42"/>
        <v>1678153</v>
      </c>
      <c r="E80" s="323">
        <f t="shared" si="42"/>
        <v>1534416</v>
      </c>
      <c r="F80" s="323">
        <f t="shared" si="42"/>
        <v>1291608</v>
      </c>
      <c r="G80" s="323">
        <f t="shared" si="42"/>
        <v>1238930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1">
        <v>0.6</v>
      </c>
      <c r="E4" s="25"/>
      <c r="F4" s="4" t="s">
        <v>78</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178</v>
      </c>
      <c r="G6" s="19">
        <v>0</v>
      </c>
      <c r="H6" s="261">
        <v>0.6</v>
      </c>
    </row>
    <row r="7" spans="2:8" ht="15" customHeight="1">
      <c r="B7" s="1" t="s">
        <v>69</v>
      </c>
      <c r="C7" s="19">
        <v>0</v>
      </c>
      <c r="D7" s="261">
        <v>0.6</v>
      </c>
      <c r="E7" s="25"/>
      <c r="F7" s="4" t="s">
        <v>179</v>
      </c>
      <c r="G7" s="19">
        <v>2816</v>
      </c>
      <c r="H7" s="261">
        <v>0.6</v>
      </c>
    </row>
    <row r="8" spans="2:8" ht="15" customHeight="1">
      <c r="B8" s="1" t="s">
        <v>174</v>
      </c>
      <c r="C8" s="19">
        <v>0</v>
      </c>
      <c r="D8" s="261">
        <v>0.6</v>
      </c>
      <c r="E8" s="25"/>
      <c r="F8" s="1" t="s">
        <v>180</v>
      </c>
      <c r="G8" s="19">
        <v>0</v>
      </c>
      <c r="H8" s="261">
        <v>0.6</v>
      </c>
    </row>
    <row r="9" spans="2:8" ht="15" customHeight="1">
      <c r="B9" s="4" t="s">
        <v>25</v>
      </c>
      <c r="C9" s="19">
        <v>14192</v>
      </c>
      <c r="D9" s="261">
        <v>0.1</v>
      </c>
      <c r="E9" s="25"/>
      <c r="F9" s="4" t="s">
        <v>181</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707</v>
      </c>
      <c r="H17" s="261">
        <v>0.6</v>
      </c>
    </row>
    <row r="18" spans="2:8" ht="15" customHeight="1">
      <c r="B18" s="4" t="s">
        <v>174</v>
      </c>
      <c r="C18" s="19">
        <v>0</v>
      </c>
      <c r="D18" s="261">
        <v>0.6</v>
      </c>
      <c r="F18" s="4" t="s">
        <v>182</v>
      </c>
      <c r="G18" s="19">
        <v>290077</v>
      </c>
      <c r="H18" s="261">
        <v>0.1</v>
      </c>
    </row>
    <row r="19" spans="2:8" ht="15" customHeight="1">
      <c r="B19" s="4" t="s">
        <v>26</v>
      </c>
      <c r="C19" s="19">
        <f>480407+875436+214967+120865+14018</f>
        <v>1705693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92790</v>
      </c>
      <c r="D21" s="261">
        <v>0.05</v>
      </c>
      <c r="F21" s="1" t="s">
        <v>181</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9.0066917299724398</v>
      </c>
      <c r="D47" s="147">
        <f>D46*H1/Common_Shares*Exchange_Rate</f>
        <v>-3.8597940139087226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341"/>
      <c r="D75" s="342">
        <f>MAX(-D73*D76,G5)</f>
        <v>216119.84280315277</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-304309.66136714997</v>
      </c>
      <c r="D86" s="223">
        <f>C86*scaling_factor/Common_Shares</f>
        <v>-1.6627037238854774</v>
      </c>
      <c r="E86" s="240" t="str">
        <f>Market_currency</f>
        <v>HKD</v>
      </c>
    </row>
    <row r="87" spans="2:8" ht="15" customHeight="1">
      <c r="B87" s="238" t="s">
        <v>288</v>
      </c>
      <c r="C87" s="76">
        <f>DCF!C8*Exchange_Rate</f>
        <v>137.23321209944837</v>
      </c>
      <c r="D87" s="223">
        <f>C87*scaling_factor/Common_Shares</f>
        <v>7.4982230854386551E-4</v>
      </c>
      <c r="E87" s="240" t="str">
        <f>Market_currency</f>
        <v>HKD</v>
      </c>
    </row>
    <row r="88" spans="2:8" ht="15" customHeight="1">
      <c r="B88" s="239" t="s">
        <v>190</v>
      </c>
      <c r="C88" s="76">
        <f>DCF!C9*Exchange_Rate</f>
        <v>2299.3818108299997</v>
      </c>
      <c r="D88" s="223">
        <f>C88*scaling_factor/Common_Shares</f>
        <v>1.2563487739184493E-2</v>
      </c>
      <c r="E88" s="240" t="str">
        <f>Market_currency</f>
        <v>HKD</v>
      </c>
    </row>
    <row r="89" spans="2:8" ht="15" customHeight="1">
      <c r="B89" s="80" t="s">
        <v>292</v>
      </c>
      <c r="C89" s="180">
        <f>SUM(C86:C88)</f>
        <v>-301873.04634422052</v>
      </c>
      <c r="D89" s="242">
        <f>SUM(D86:D88)</f>
        <v>-1.6493904138377491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2759911.75</v>
      </c>
      <c r="D4" s="57"/>
      <c r="E4" s="266"/>
      <c r="F4" s="57"/>
      <c r="G4" s="323">
        <f>Data!C36</f>
        <v>2937981</v>
      </c>
      <c r="H4" s="323">
        <f>Data!D36</f>
        <v>3011012</v>
      </c>
      <c r="I4" s="323">
        <f>Data!E36</f>
        <v>3239167</v>
      </c>
      <c r="J4" s="323">
        <f>Data!F36</f>
        <v>1851487</v>
      </c>
      <c r="K4" s="323">
        <f>Data!G36</f>
        <v>1729735</v>
      </c>
      <c r="L4" s="323" t="str">
        <f>Data!H36</f>
        <v/>
      </c>
      <c r="M4" s="323" t="str">
        <f>Data!I36</f>
        <v/>
      </c>
      <c r="N4" s="323" t="str">
        <f>Data!J36</f>
        <v/>
      </c>
      <c r="O4" s="323" t="str">
        <f>Data!K36</f>
        <v/>
      </c>
      <c r="P4" s="323" t="str">
        <f>Data!L36</f>
        <v/>
      </c>
      <c r="Q4" s="323" t="str">
        <f>Data!M36</f>
        <v/>
      </c>
    </row>
    <row r="5" spans="1:17" ht="15.75" customHeight="1">
      <c r="A5" s="10"/>
      <c r="B5" s="2" t="s">
        <v>46</v>
      </c>
      <c r="C5" s="318">
        <f>C25</f>
        <v>-2178092.4123072871</v>
      </c>
      <c r="E5" s="268"/>
      <c r="G5" s="323">
        <f t="shared" ref="G5:Q5" si="1">G25</f>
        <v>-2338413</v>
      </c>
      <c r="H5" s="323">
        <f t="shared" si="1"/>
        <v>-2372645</v>
      </c>
      <c r="I5" s="323">
        <f t="shared" si="1"/>
        <v>-2596287</v>
      </c>
      <c r="J5" s="323">
        <f t="shared" si="1"/>
        <v>-1428076</v>
      </c>
      <c r="K5" s="323">
        <f t="shared" si="1"/>
        <v>-1326451</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581819.3376927129</v>
      </c>
      <c r="E6" s="268"/>
      <c r="G6" s="319">
        <f>IF(G4="","",G4+G5)</f>
        <v>599568</v>
      </c>
      <c r="H6" s="319">
        <f t="shared" ref="H6:Q6" si="2">IF(H4="","",H4+H5)</f>
        <v>638367</v>
      </c>
      <c r="I6" s="319">
        <f t="shared" si="2"/>
        <v>642880</v>
      </c>
      <c r="J6" s="319">
        <f t="shared" si="2"/>
        <v>423411</v>
      </c>
      <c r="K6" s="319">
        <f t="shared" si="2"/>
        <v>403284</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-334461.5</v>
      </c>
      <c r="E7" s="268"/>
      <c r="G7" s="318">
        <f t="shared" ref="G7:Q7" si="3">G35</f>
        <v>-354052</v>
      </c>
      <c r="H7" s="318">
        <f t="shared" si="3"/>
        <v>-371995</v>
      </c>
      <c r="I7" s="318">
        <f t="shared" si="3"/>
        <v>-347370</v>
      </c>
      <c r="J7" s="318">
        <f t="shared" si="3"/>
        <v>-264429</v>
      </c>
      <c r="K7" s="318">
        <f t="shared" si="3"/>
        <v>-253515</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247357.8376927129</v>
      </c>
      <c r="D8" s="59"/>
      <c r="E8" s="274"/>
      <c r="F8" s="59"/>
      <c r="G8" s="319">
        <f>IF(G$4="","",G6+G7)</f>
        <v>245516</v>
      </c>
      <c r="H8" s="319">
        <f t="shared" ref="H8:Q8" si="4">IF(H$4="","",H6+H7)</f>
        <v>266372</v>
      </c>
      <c r="I8" s="319">
        <f t="shared" si="4"/>
        <v>295510</v>
      </c>
      <c r="J8" s="319">
        <f t="shared" si="4"/>
        <v>158982</v>
      </c>
      <c r="K8" s="319">
        <f t="shared" si="4"/>
        <v>149769</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243208.99999999997</v>
      </c>
      <c r="E9" s="268"/>
      <c r="G9" s="318">
        <f>IF(Data!C61="","",-Data!C61)</f>
        <v>243209</v>
      </c>
      <c r="H9" s="318">
        <f>IF(Data!D61="","",-Data!D61)</f>
        <v>229584</v>
      </c>
      <c r="I9" s="318">
        <f>IF(Data!E61="","",-Data!E61)</f>
        <v>222648</v>
      </c>
      <c r="J9" s="318">
        <f>IF(Data!F61="","",-Data!F61)</f>
        <v>238036</v>
      </c>
      <c r="K9" s="318">
        <f>IF(Data!G61="","",-Data!G61)</f>
        <v>236818</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-283919.19056768838</v>
      </c>
      <c r="E10" s="268"/>
      <c r="G10" s="318">
        <f>Data!C62</f>
        <v>-243209</v>
      </c>
      <c r="H10" s="318">
        <f>Data!D62</f>
        <v>-115297</v>
      </c>
      <c r="I10" s="318">
        <f>Data!E62</f>
        <v>-282508</v>
      </c>
      <c r="J10" s="318">
        <f>Data!F62</f>
        <v>-245237</v>
      </c>
      <c r="K10" s="318">
        <f>Data!G62</f>
        <v>-265563</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18644</v>
      </c>
      <c r="D11" s="168"/>
      <c r="E11" s="267"/>
      <c r="F11" s="168"/>
      <c r="G11" s="324">
        <f>G61</f>
        <v>18644</v>
      </c>
      <c r="H11" s="324">
        <f t="shared" ref="H11:Q11" si="5">H61</f>
        <v>18538</v>
      </c>
      <c r="I11" s="324">
        <f t="shared" si="5"/>
        <v>15251</v>
      </c>
      <c r="J11" s="324">
        <f t="shared" si="5"/>
        <v>12877</v>
      </c>
      <c r="K11" s="324">
        <f t="shared" si="5"/>
        <v>11296</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-11937.133307321563</v>
      </c>
      <c r="E12" s="268"/>
      <c r="G12" s="318">
        <f>G50</f>
        <v>-11937.133307321563</v>
      </c>
      <c r="H12" s="318">
        <f t="shared" ref="H12:Q12" si="6">H50</f>
        <v>-15802.821773498434</v>
      </c>
      <c r="I12" s="318">
        <f t="shared" si="6"/>
        <v>-16818.76413343443</v>
      </c>
      <c r="J12" s="318">
        <f t="shared" si="6"/>
        <v>-12953.143457478152</v>
      </c>
      <c r="K12" s="318">
        <f t="shared" si="6"/>
        <v>-13366.010443036816</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213354.51381770297</v>
      </c>
      <c r="E13" s="268"/>
      <c r="G13" s="319">
        <f>IF(G$4="","",SUM(G8:G12))</f>
        <v>252222.86669267845</v>
      </c>
      <c r="H13" s="319">
        <f t="shared" ref="H13:Q13" si="7">IF(H$4="","",SUM(H8:H12))</f>
        <v>383394.17822650156</v>
      </c>
      <c r="I13" s="319">
        <f t="shared" si="7"/>
        <v>234082.23586656558</v>
      </c>
      <c r="J13" s="319">
        <f t="shared" si="7"/>
        <v>151704.85654252185</v>
      </c>
      <c r="K13" s="319">
        <f t="shared" si="7"/>
        <v>118953.98955696318</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-63516.176096347837</v>
      </c>
      <c r="E14" s="268"/>
      <c r="G14" s="318">
        <f>Data!C46</f>
        <v>-57755</v>
      </c>
      <c r="H14" s="318">
        <f>Data!D46</f>
        <v>-57167</v>
      </c>
      <c r="I14" s="318">
        <f>Data!E46</f>
        <v>-49929</v>
      </c>
      <c r="J14" s="318">
        <f>Data!F46</f>
        <v>-24138</v>
      </c>
      <c r="K14" s="318">
        <f>Data!G46</f>
        <v>-17067</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-17915.118234001515</v>
      </c>
      <c r="D15" s="60"/>
      <c r="E15" s="275"/>
      <c r="F15" s="60"/>
      <c r="G15" s="323">
        <f>Data!C48</f>
        <v>-19071</v>
      </c>
      <c r="H15" s="323">
        <f>Data!D48</f>
        <v>-19147</v>
      </c>
      <c r="I15" s="323">
        <f>Data!E48</f>
        <v>-14605</v>
      </c>
      <c r="J15" s="323">
        <f>Data!F48</f>
        <v>0</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131923.21948735364</v>
      </c>
      <c r="D16" s="61"/>
      <c r="E16" s="276"/>
      <c r="F16" s="61"/>
      <c r="G16" s="319">
        <f>IF(G$4="","",SUM(G13:G15))</f>
        <v>175396.86669267845</v>
      </c>
      <c r="H16" s="319">
        <f t="shared" ref="H16:Q16" si="8">IF(H$4="","",SUM(H13:H15))</f>
        <v>307080.17822650156</v>
      </c>
      <c r="I16" s="319">
        <f t="shared" si="8"/>
        <v>169548.23586656558</v>
      </c>
      <c r="J16" s="319">
        <f t="shared" si="8"/>
        <v>127566.85654252185</v>
      </c>
      <c r="K16" s="319">
        <f t="shared" si="8"/>
        <v>101886.98955696318</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131923.21948735364</v>
      </c>
      <c r="D19" s="27"/>
      <c r="E19" s="265"/>
      <c r="F19" s="27"/>
      <c r="G19" s="324">
        <f>IF(G$4="","",G16+G17)</f>
        <v>175396.86669267845</v>
      </c>
      <c r="H19" s="324">
        <f t="shared" ref="H19:Q19" si="9">IF(H$4="","",H16+H17)</f>
        <v>307080.17822650156</v>
      </c>
      <c r="I19" s="324">
        <f t="shared" si="9"/>
        <v>169548.23586656558</v>
      </c>
      <c r="J19" s="324">
        <f t="shared" si="9"/>
        <v>127566.85654252185</v>
      </c>
      <c r="K19" s="324">
        <f t="shared" si="9"/>
        <v>101886.98955696318</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-2114499.0205040863</v>
      </c>
      <c r="D23" s="58"/>
      <c r="E23" s="267"/>
      <c r="F23" s="58"/>
      <c r="G23" s="323">
        <f>Data!C37</f>
        <v>-2275223</v>
      </c>
      <c r="H23" s="323">
        <f>Data!D37</f>
        <v>-2302385</v>
      </c>
      <c r="I23" s="323">
        <f>Data!E37</f>
        <v>-2527935</v>
      </c>
      <c r="J23" s="323">
        <f>Data!F37</f>
        <v>-1379524</v>
      </c>
      <c r="K23" s="323">
        <f>Data!G37</f>
        <v>-1278781</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-63593.391803200633</v>
      </c>
      <c r="D24" s="27"/>
      <c r="E24" s="265"/>
      <c r="F24" s="27"/>
      <c r="G24" s="323">
        <f>Data!C40</f>
        <v>-63190</v>
      </c>
      <c r="H24" s="323">
        <f>Data!D40</f>
        <v>-70260</v>
      </c>
      <c r="I24" s="323">
        <f>Data!E40</f>
        <v>-68352</v>
      </c>
      <c r="J24" s="323">
        <f>Data!F40</f>
        <v>-48552</v>
      </c>
      <c r="K24" s="323">
        <f>Data!G40</f>
        <v>-47670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-2178092.4123072871</v>
      </c>
      <c r="D25" s="9"/>
      <c r="E25" s="273"/>
      <c r="F25" s="9"/>
      <c r="G25" s="319">
        <f t="shared" ref="G25:Q25" si="10">IF(G$4="","",G23+G24)</f>
        <v>-2338413</v>
      </c>
      <c r="H25" s="319">
        <f t="shared" si="10"/>
        <v>-2372645</v>
      </c>
      <c r="I25" s="319">
        <f t="shared" si="10"/>
        <v>-2596287</v>
      </c>
      <c r="J25" s="319">
        <f t="shared" si="10"/>
        <v>-1428076</v>
      </c>
      <c r="K25" s="319">
        <f t="shared" si="10"/>
        <v>-1326451</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0.76614733079928599</v>
      </c>
      <c r="D28" s="26"/>
      <c r="E28" s="266"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-314015.75</v>
      </c>
      <c r="E33" s="266" t="s">
        <v>334</v>
      </c>
      <c r="G33" s="318">
        <f>Data!C41</f>
        <v>-331038</v>
      </c>
      <c r="H33" s="318">
        <f>Data!D41</f>
        <v>-350038</v>
      </c>
      <c r="I33" s="318">
        <f>Data!E41</f>
        <v>-327354</v>
      </c>
      <c r="J33" s="318">
        <f>Data!F41</f>
        <v>-247633</v>
      </c>
      <c r="K33" s="318">
        <f>Data!G41</f>
        <v>-238298</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-20445.75</v>
      </c>
      <c r="D34" s="58"/>
      <c r="E34" s="266" t="s">
        <v>334</v>
      </c>
      <c r="F34" s="58"/>
      <c r="G34" s="323">
        <f>Data!C42</f>
        <v>-23014</v>
      </c>
      <c r="H34" s="323">
        <f>Data!D42</f>
        <v>-21957</v>
      </c>
      <c r="I34" s="323">
        <f>Data!E42</f>
        <v>-20016</v>
      </c>
      <c r="J34" s="323">
        <f>Data!F42</f>
        <v>-16796</v>
      </c>
      <c r="K34" s="323">
        <f>Data!G42</f>
        <v>-15217</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-334461.5</v>
      </c>
      <c r="D35" s="58"/>
      <c r="E35" s="267"/>
      <c r="F35" s="58"/>
      <c r="G35" s="319">
        <f t="shared" ref="G35:Q35" si="14">IF(G4="","",G33+G34)</f>
        <v>-354052</v>
      </c>
      <c r="H35" s="319">
        <f t="shared" si="14"/>
        <v>-371995</v>
      </c>
      <c r="I35" s="319">
        <f t="shared" si="14"/>
        <v>-347370</v>
      </c>
      <c r="J35" s="319">
        <f t="shared" si="14"/>
        <v>-264429</v>
      </c>
      <c r="K35" s="319">
        <f t="shared" si="14"/>
        <v>-253515</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-20731</v>
      </c>
      <c r="E47" s="268"/>
      <c r="G47" s="318">
        <f>Data!C51</f>
        <v>-20731</v>
      </c>
      <c r="H47" s="318">
        <f>Data!D51</f>
        <v>-24063</v>
      </c>
      <c r="I47" s="318">
        <f>Data!E51</f>
        <v>-21554</v>
      </c>
      <c r="J47" s="318">
        <f>Data!F51</f>
        <v>-14912</v>
      </c>
      <c r="K47" s="318">
        <f>Data!G51</f>
        <v>-15097</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8793.8666926784372</v>
      </c>
      <c r="E48" s="268"/>
      <c r="G48" s="327">
        <f>IFERROR(IF(G$4="","",($C$48/$C$49)*G49),0)</f>
        <v>8793.8666926784372</v>
      </c>
      <c r="H48" s="327">
        <f t="shared" ref="H48:Q48" si="19">IFERROR(IF(H$4="","",($C$48/$C$49)*H49),0)</f>
        <v>8260.1782265015663</v>
      </c>
      <c r="I48" s="327">
        <f t="shared" si="19"/>
        <v>4735.2358665655684</v>
      </c>
      <c r="J48" s="327">
        <f t="shared" si="19"/>
        <v>1958.8565425218476</v>
      </c>
      <c r="K48" s="327">
        <f t="shared" si="19"/>
        <v>1730.9895569631838</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8799</v>
      </c>
      <c r="D49" s="288"/>
      <c r="E49" s="289"/>
      <c r="F49" s="288"/>
      <c r="G49" s="329">
        <f>Data!C52</f>
        <v>8799</v>
      </c>
      <c r="H49" s="329">
        <f>Data!D52</f>
        <v>8265</v>
      </c>
      <c r="I49" s="329">
        <f>Data!E52</f>
        <v>4738</v>
      </c>
      <c r="J49" s="329">
        <f>Data!F52</f>
        <v>1960</v>
      </c>
      <c r="K49" s="329">
        <f>Data!G52</f>
        <v>1732</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-11937.133307321563</v>
      </c>
      <c r="E50" s="268"/>
      <c r="G50" s="319">
        <f>IF(G$4="","",(G47+G48))</f>
        <v>-11937.133307321563</v>
      </c>
      <c r="H50" s="319">
        <f t="shared" ref="H50:Q50" si="20">IF(H$4="","",(H47+H48))</f>
        <v>-15802.821773498434</v>
      </c>
      <c r="I50" s="319">
        <f t="shared" si="20"/>
        <v>-16818.76413343443</v>
      </c>
      <c r="J50" s="319">
        <f t="shared" si="20"/>
        <v>-12953.143457478152</v>
      </c>
      <c r="K50" s="319">
        <f t="shared" si="20"/>
        <v>-13366.010443036816</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4.0689769984184679E-2</v>
      </c>
      <c r="E53" s="265"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5"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18644</v>
      </c>
      <c r="E59" s="268"/>
      <c r="G59" s="318">
        <f>Data!C55</f>
        <v>18644</v>
      </c>
      <c r="H59" s="318">
        <f>Data!D55</f>
        <v>18538</v>
      </c>
      <c r="I59" s="318">
        <f>Data!E55</f>
        <v>15251</v>
      </c>
      <c r="J59" s="318">
        <f>Data!F55</f>
        <v>12877</v>
      </c>
      <c r="K59" s="318">
        <f>Data!G55</f>
        <v>11296</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18644</v>
      </c>
      <c r="E61" s="268"/>
      <c r="G61" s="319">
        <f t="shared" ref="G61:Q61" si="22">IF(G4="","",SUM(G58:G60))</f>
        <v>18644</v>
      </c>
      <c r="H61" s="319">
        <f t="shared" si="22"/>
        <v>18538</v>
      </c>
      <c r="I61" s="319">
        <f t="shared" si="22"/>
        <v>15251</v>
      </c>
      <c r="J61" s="319">
        <f t="shared" si="22"/>
        <v>12877</v>
      </c>
      <c r="K61" s="319">
        <f t="shared" si="22"/>
        <v>11296</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-10726</v>
      </c>
      <c r="H62" s="318">
        <f>Data!D58</f>
        <v>-31384</v>
      </c>
      <c r="I62" s="318">
        <f>Data!E58</f>
        <v>-80673</v>
      </c>
      <c r="J62" s="318">
        <f>Data!F58</f>
        <v>-2375</v>
      </c>
      <c r="K62" s="318">
        <f>Data!G58</f>
        <v>-1615</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18644</v>
      </c>
      <c r="E63" s="268"/>
      <c r="G63" s="319">
        <f t="shared" ref="G63:Q63" si="23">IF(G4="","",G61+G62)</f>
        <v>7918</v>
      </c>
      <c r="H63" s="319">
        <f t="shared" si="23"/>
        <v>-12846</v>
      </c>
      <c r="I63" s="319">
        <f t="shared" si="23"/>
        <v>-65422</v>
      </c>
      <c r="J63" s="319">
        <f t="shared" si="23"/>
        <v>10502</v>
      </c>
      <c r="K63" s="319">
        <f t="shared" si="23"/>
        <v>9681</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0.16072876207827144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29416.735199041916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0.28871924989594033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6.8517753551006047E-2</v>
      </c>
      <c r="E93" s="268"/>
      <c r="G93" s="23">
        <f t="shared" ref="G93:Q93" si="39">IF(G$4="","",G90/Market_Price)</f>
        <v>6.8517753551006047E-2</v>
      </c>
      <c r="H93" s="23">
        <f t="shared" si="39"/>
        <v>6.4144279920090849E-2</v>
      </c>
      <c r="I93" s="23">
        <f t="shared" si="39"/>
        <v>6.1604749565072711E-2</v>
      </c>
      <c r="J93" s="23">
        <f t="shared" si="39"/>
        <v>3.3037219807934108E-2</v>
      </c>
      <c r="K93" s="23">
        <f t="shared" si="39"/>
        <v>2.4919187919111851E-2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2753007</v>
      </c>
      <c r="D101" s="26"/>
      <c r="E101" s="269"/>
      <c r="F101" s="26"/>
      <c r="G101" s="323">
        <f t="shared" ref="G101:Q101" si="42">IF(G$4="","",G105+G104)</f>
        <v>2753007</v>
      </c>
      <c r="H101" s="323">
        <f t="shared" si="42"/>
        <v>2768297</v>
      </c>
      <c r="I101" s="323">
        <f t="shared" si="42"/>
        <v>2670666</v>
      </c>
      <c r="J101" s="323">
        <f t="shared" si="42"/>
        <v>1981074</v>
      </c>
      <c r="K101" s="323">
        <f t="shared" si="42"/>
        <v>1946908</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114865</v>
      </c>
      <c r="D102" s="89"/>
      <c r="E102" s="270"/>
      <c r="F102" s="89"/>
      <c r="G102" s="333">
        <f>IF(G$4="","",Data!D77)</f>
        <v>142879</v>
      </c>
      <c r="H102" s="333">
        <f>IF(H$4="","",Data!E77)</f>
        <v>117877</v>
      </c>
      <c r="I102" s="333">
        <f>IF(I$4="","",Data!F77)</f>
        <v>23709</v>
      </c>
      <c r="J102" s="333">
        <f>IF(J$4="","",Data!G77)</f>
        <v>27379</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168338</v>
      </c>
      <c r="D103" s="89"/>
      <c r="E103" s="270"/>
      <c r="F103" s="89"/>
      <c r="G103" s="333">
        <f>IF(G$4="","",Data!D78)</f>
        <v>182674</v>
      </c>
      <c r="H103" s="333">
        <f>IF(H$4="","",Data!E78)</f>
        <v>167751</v>
      </c>
      <c r="I103" s="333">
        <f>IF(I$4="","",Data!F78)</f>
        <v>110386</v>
      </c>
      <c r="J103" s="333">
        <f>IF(J$4="","",Data!G78)</f>
        <v>109354</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1043144</v>
      </c>
      <c r="D104" s="26"/>
      <c r="E104" s="269"/>
      <c r="F104" s="26"/>
      <c r="G104" s="323">
        <f>Data!C79</f>
        <v>1043144</v>
      </c>
      <c r="H104" s="323">
        <f>Data!D79</f>
        <v>1090144</v>
      </c>
      <c r="I104" s="323">
        <f>Data!E79</f>
        <v>1136250</v>
      </c>
      <c r="J104" s="323">
        <f>Data!F79</f>
        <v>689466</v>
      </c>
      <c r="K104" s="323">
        <f>Data!G79</f>
        <v>707978</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1709863</v>
      </c>
      <c r="D105" s="26"/>
      <c r="E105" s="269"/>
      <c r="F105" s="26"/>
      <c r="G105" s="323">
        <f>Data!C80</f>
        <v>1709863</v>
      </c>
      <c r="H105" s="323">
        <f>Data!D80</f>
        <v>1678153</v>
      </c>
      <c r="I105" s="323">
        <f>Data!E80</f>
        <v>1534416</v>
      </c>
      <c r="J105" s="323">
        <f>Data!F80</f>
        <v>1291608</v>
      </c>
      <c r="K105" s="323">
        <f>Data!G80</f>
        <v>1238930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0.78409298445600906</v>
      </c>
      <c r="D124" s="27"/>
      <c r="E124" s="265"/>
      <c r="F124" s="27"/>
      <c r="G124" s="177">
        <f t="shared" ref="G124:Q124" si="49">IF(G$4="","",G16*$C$3/Common_Shares*Exchange_Rate)</f>
        <v>1.0424810219438181</v>
      </c>
      <c r="H124" s="177">
        <f t="shared" si="49"/>
        <v>1.8251481001491348</v>
      </c>
      <c r="I124" s="177">
        <f t="shared" si="49"/>
        <v>1.007719359688692</v>
      </c>
      <c r="J124" s="177">
        <f t="shared" si="49"/>
        <v>0.75820069926117906</v>
      </c>
      <c r="K124" s="177">
        <f t="shared" si="49"/>
        <v>0.6055709831021503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0.1215648037916293</v>
      </c>
      <c r="D125" s="27"/>
      <c r="E125" s="265"/>
      <c r="F125" s="27"/>
      <c r="G125" s="77">
        <f t="shared" ref="G125" si="50">IF(G$4="","",G124/Market_Price)</f>
        <v>0.16162496464245241</v>
      </c>
      <c r="H125" s="77">
        <f t="shared" ref="H125" si="51">IF(H$4="","",H124/Market_Price)</f>
        <v>0.28296869769754024</v>
      </c>
      <c r="I125" s="77">
        <f t="shared" ref="I125" si="52">IF(I$4="","",I124/Market_Price)</f>
        <v>0.15623555964165767</v>
      </c>
      <c r="J125" s="77">
        <f t="shared" ref="J125" si="53">IF(J$4="","",J124/Market_Price)</f>
        <v>0.11755049600948513</v>
      </c>
      <c r="K125" s="77">
        <f t="shared" ref="K125" si="54">IF(K$4="","",K124/Market_Price)</f>
        <v>9.3886974124364378E-2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0.15565377978186287</v>
      </c>
      <c r="H126" s="23">
        <f>IF(H$4="","",(Data!D47*$C$3)/(Market_Price*Common_Shares))</f>
        <v>0.15295488977340008</v>
      </c>
      <c r="I126" s="23">
        <f>IF(I$4="","",(Data!E47*$C$3)/(Market_Price*Common_Shares))</f>
        <v>0.13836936304216574</v>
      </c>
      <c r="J126" s="23">
        <f>IF(J$4="","",(Data!F47*$C$3)/(Market_Price*Common_Shares))</f>
        <v>0.11215217946654887</v>
      </c>
      <c r="K126" s="23">
        <f>IF(K$4="","",(Data!G47*$C$3)/(Market_Price*Common_Shares))</f>
        <v>0.1092923387042857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1758976.259831382</v>
      </c>
      <c r="D6" t="str">
        <f>Reporting_currency</f>
        <v>CNY</v>
      </c>
      <c r="E6" s="356" t="s">
        <v>250</v>
      </c>
      <c r="F6" s="356"/>
      <c r="H6" s="120"/>
    </row>
    <row r="7" spans="2:8">
      <c r="B7" s="148" t="s">
        <v>225</v>
      </c>
      <c r="C7" s="114">
        <f>BS!G31</f>
        <v>279749</v>
      </c>
      <c r="D7" t="str">
        <f>Reporting_currency</f>
        <v>CNY</v>
      </c>
      <c r="E7" s="356"/>
      <c r="F7" s="356"/>
      <c r="H7" s="120"/>
    </row>
    <row r="8" spans="2:8">
      <c r="B8" s="148" t="s">
        <v>226</v>
      </c>
      <c r="C8" s="114">
        <f>BS!D66</f>
        <v>126.15719684722717</v>
      </c>
      <c r="D8" t="str">
        <f>Reporting_currency</f>
        <v>CNY</v>
      </c>
      <c r="E8" s="356"/>
      <c r="F8" s="356"/>
      <c r="H8" s="120"/>
    </row>
    <row r="9" spans="2:8">
      <c r="B9" s="205" t="s">
        <v>191</v>
      </c>
      <c r="C9" s="339">
        <f>BS!H42</f>
        <v>2113.7999999999997</v>
      </c>
      <c r="D9" t="str">
        <f>Reporting_currency</f>
        <v>CNY</v>
      </c>
      <c r="E9" s="356"/>
      <c r="F9" s="356"/>
      <c r="H9" s="120"/>
    </row>
    <row r="10" spans="2:8" ht="13.15">
      <c r="B10" s="149" t="s">
        <v>228</v>
      </c>
      <c r="C10" s="338">
        <f>C6-C7+C8+C9</f>
        <v>1481467.2170282293</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8.8051827122423738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8" ht="13.25" customHeight="1">
      <c r="B17" s="118" t="s">
        <v>135</v>
      </c>
      <c r="C17" s="162">
        <f>Scenarios!C64</f>
        <v>5</v>
      </c>
      <c r="H17" s="120"/>
    </row>
    <row r="18" spans="2:8" ht="13.25" customHeight="1">
      <c r="B18" s="153" t="s">
        <v>107</v>
      </c>
      <c r="C18" s="140">
        <f>(F52-C7+C8+C9)*Exchange_Rate/Common_Shares*scaling_factor</f>
        <v>8.7254253699498445</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8">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8">
      <c r="B23" s="122">
        <v>3</v>
      </c>
      <c r="C23" s="123">
        <f t="shared" si="2"/>
        <v>129994.38453204895</v>
      </c>
      <c r="D23" s="138">
        <f>IF($C$17&lt;B23,0,DCF!$C$16)</f>
        <v>-4.8975772939903201E-3</v>
      </c>
      <c r="E23" s="124">
        <f t="shared" si="0"/>
        <v>0.80496056950960304</v>
      </c>
      <c r="F23" s="125">
        <f t="shared" si="1"/>
        <v>104640.35380596845</v>
      </c>
      <c r="H23" s="120"/>
    </row>
    <row r="24" spans="2:8">
      <c r="B24" s="122">
        <v>4</v>
      </c>
      <c r="C24" s="123">
        <f t="shared" si="2"/>
        <v>129357.72698601855</v>
      </c>
      <c r="D24" s="138">
        <f>IF($C$17&lt;B24,0,DCF!$C$16)</f>
        <v>-4.8975772939903201E-3</v>
      </c>
      <c r="E24" s="124">
        <f t="shared" si="0"/>
        <v>0.7488005297763749</v>
      </c>
      <c r="F24" s="125">
        <f t="shared" si="1"/>
        <v>96863.134497798354</v>
      </c>
      <c r="H24" s="120"/>
    </row>
    <row r="25" spans="2:8">
      <c r="B25" s="122">
        <v>5</v>
      </c>
      <c r="C25" s="123">
        <f t="shared" si="2"/>
        <v>128724.18751952963</v>
      </c>
      <c r="D25" s="138">
        <f>IF($C$17&lt;B25,0,DCF!$C$16)</f>
        <v>-4.8975772939903201E-3</v>
      </c>
      <c r="E25" s="124">
        <f t="shared" si="0"/>
        <v>0.69655863235011617</v>
      </c>
      <c r="F25" s="125">
        <f t="shared" si="1"/>
        <v>89663.944008983453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1750361.5376405637</v>
      </c>
      <c r="D51" s="139">
        <f>Terminal_Growth</f>
        <v>0</v>
      </c>
      <c r="E51" s="124">
        <f>1/(1+Equity_Cost)^C17</f>
        <v>0.69655863235011617</v>
      </c>
      <c r="F51" s="125">
        <f t="shared" si="1"/>
        <v>1219229.4387771573</v>
      </c>
      <c r="H51" s="120"/>
    </row>
    <row r="52" spans="1:8">
      <c r="C52" s="114"/>
      <c r="E52" s="127" t="s">
        <v>101</v>
      </c>
      <c r="F52" s="137">
        <f>SUM(F21:F51)</f>
        <v>1745557.1302363314</v>
      </c>
      <c r="H52" s="120"/>
    </row>
    <row r="53" spans="1:8">
      <c r="C53" s="114"/>
      <c r="H53" s="120"/>
    </row>
    <row r="54" spans="1:8" ht="13.15">
      <c r="B54" s="119" t="s">
        <v>130</v>
      </c>
      <c r="C54" s="136"/>
      <c r="D54" s="136"/>
      <c r="E54" s="117"/>
      <c r="F54" s="117"/>
      <c r="H54" s="120"/>
    </row>
    <row r="55" spans="1:8" ht="13.15">
      <c r="A55" s="133">
        <f>F52</f>
        <v>1745557.1302363314</v>
      </c>
      <c r="B55" s="131">
        <f>C78</f>
        <v>-0.15</v>
      </c>
      <c r="C55" s="131">
        <f>C77</f>
        <v>-0.06</v>
      </c>
      <c r="D55" s="131">
        <f>C76</f>
        <v>0.01</v>
      </c>
      <c r="E55" s="131">
        <f>C75</f>
        <v>0.02</v>
      </c>
      <c r="F55" s="131">
        <f>C74</f>
        <v>0.06</v>
      </c>
      <c r="H55" s="120"/>
    </row>
    <row r="56" spans="1:8" ht="13.15">
      <c r="A56" s="143">
        <v>5</v>
      </c>
      <c r="B56" s="123">
        <f t="dataTable" ref="B56:F61" dt2D="1" dtr="1" r1="C16" r2="C17"/>
        <v>1385790.5441719245</v>
      </c>
      <c r="C56" s="123">
        <v>1600709.883606245</v>
      </c>
      <c r="D56" s="123">
        <v>1786666.5347123477</v>
      </c>
      <c r="E56" s="123">
        <v>1814754.2823503879</v>
      </c>
      <c r="F56" s="123">
        <v>1931256.5270618116</v>
      </c>
      <c r="H56" s="120"/>
    </row>
    <row r="57" spans="1:8" ht="13.15">
      <c r="A57" s="143">
        <v>10</v>
      </c>
      <c r="B57" s="123">
        <v>1176198.4554242184</v>
      </c>
      <c r="C57" s="123">
        <v>1480760.2655624284</v>
      </c>
      <c r="D57" s="123">
        <v>1813215.4647680391</v>
      </c>
      <c r="E57" s="123">
        <v>1870065.3489648467</v>
      </c>
      <c r="F57" s="123">
        <v>2126762.1731782411</v>
      </c>
      <c r="H57" s="120"/>
    </row>
    <row r="58" spans="1:8" ht="13.15">
      <c r="A58" s="143">
        <v>15</v>
      </c>
      <c r="B58" s="123">
        <v>988966.22877609823</v>
      </c>
      <c r="C58" s="123">
        <v>1354664.8372166334</v>
      </c>
      <c r="D58" s="123">
        <v>1845993.868096486</v>
      </c>
      <c r="E58" s="123">
        <v>1940095.6365786141</v>
      </c>
      <c r="F58" s="123">
        <v>2401849.1020846213</v>
      </c>
      <c r="H58" s="120"/>
    </row>
    <row r="59" spans="1:8" ht="13.15">
      <c r="A59" s="144">
        <v>20</v>
      </c>
      <c r="B59" s="123">
        <v>845802.38587951404</v>
      </c>
      <c r="C59" s="123">
        <v>1245083.4422767134</v>
      </c>
      <c r="D59" s="123">
        <v>1879284.2337287478</v>
      </c>
      <c r="E59" s="123">
        <v>2013103.3539278912</v>
      </c>
      <c r="F59" s="123">
        <v>2722944.6612003087</v>
      </c>
      <c r="H59" s="120"/>
    </row>
    <row r="60" spans="1:8" ht="13.15">
      <c r="A60" s="144">
        <v>25</v>
      </c>
      <c r="B60" s="123">
        <v>742141.12797629531</v>
      </c>
      <c r="C60" s="123">
        <v>1157635.5679716342</v>
      </c>
      <c r="D60" s="123">
        <v>1910129.3330512417</v>
      </c>
      <c r="E60" s="123">
        <v>2082589.8507833045</v>
      </c>
      <c r="F60" s="123">
        <v>3067302.9507541661</v>
      </c>
      <c r="H60" s="120"/>
    </row>
    <row r="61" spans="1:8" ht="13.15">
      <c r="A61" s="144">
        <v>30</v>
      </c>
      <c r="B61" s="123">
        <v>668717.49352356931</v>
      </c>
      <c r="C61" s="123">
        <v>1091039.3908491468</v>
      </c>
      <c r="D61" s="123">
        <v>1937219.9337547286</v>
      </c>
      <c r="E61" s="123">
        <v>2145320.6026209854</v>
      </c>
      <c r="F61" s="123">
        <v>3419676.1560252695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-0.06</v>
      </c>
      <c r="D64" s="132">
        <f>D55</f>
        <v>0.01</v>
      </c>
      <c r="E64" s="132">
        <f>E55</f>
        <v>0.02</v>
      </c>
      <c r="F64" s="132">
        <f>F55</f>
        <v>0.06</v>
      </c>
      <c r="H64" s="120"/>
    </row>
    <row r="65" spans="1:8" ht="13.15">
      <c r="A65" s="143">
        <v>0</v>
      </c>
      <c r="B65" s="124">
        <f>C12</f>
        <v>8.8051827122423738</v>
      </c>
      <c r="C65" s="124">
        <f>C12</f>
        <v>8.8051827122423738</v>
      </c>
      <c r="D65" s="124">
        <f>C12</f>
        <v>8.8051827122423738</v>
      </c>
      <c r="E65" s="141">
        <f>C12</f>
        <v>8.8051827122423738</v>
      </c>
      <c r="F65" s="124">
        <f>C12</f>
        <v>8.8051827122423738</v>
      </c>
      <c r="H65" s="120"/>
    </row>
    <row r="66" spans="1:8" ht="13.15">
      <c r="A66" s="143">
        <f t="shared" ref="A66:A71" si="3">A56</f>
        <v>5</v>
      </c>
      <c r="B66" s="124">
        <f t="shared" ref="B66:F71" si="4">(B56-$C$7+$C$8+$C$9)/Common_Shares*$C$3*Exchange_Rate</f>
        <v>6.5871326776476229</v>
      </c>
      <c r="C66" s="124">
        <f t="shared" si="4"/>
        <v>7.864517712133722</v>
      </c>
      <c r="D66" s="124">
        <f t="shared" si="4"/>
        <v>8.9697613994226462</v>
      </c>
      <c r="E66" s="124">
        <f t="shared" si="4"/>
        <v>9.1367024880175123</v>
      </c>
      <c r="F66" s="124">
        <f t="shared" si="4"/>
        <v>9.829140052129274</v>
      </c>
      <c r="H66" s="120"/>
    </row>
    <row r="67" spans="1:8" ht="13.15">
      <c r="A67" s="143">
        <f t="shared" si="3"/>
        <v>10</v>
      </c>
      <c r="B67" s="124">
        <f t="shared" si="4"/>
        <v>5.3414104535905338</v>
      </c>
      <c r="C67" s="124">
        <f t="shared" si="4"/>
        <v>7.1515904930905991</v>
      </c>
      <c r="D67" s="124">
        <f t="shared" si="4"/>
        <v>9.1275564402226976</v>
      </c>
      <c r="E67" s="124">
        <f t="shared" si="4"/>
        <v>9.465446885430687</v>
      </c>
      <c r="F67" s="124">
        <f t="shared" si="4"/>
        <v>10.991138721788234</v>
      </c>
      <c r="H67" s="120"/>
    </row>
    <row r="68" spans="1:8" ht="13.15">
      <c r="A68" s="143">
        <f t="shared" si="3"/>
        <v>15</v>
      </c>
      <c r="B68" s="124">
        <f t="shared" si="4"/>
        <v>4.2285853121987893</v>
      </c>
      <c r="C68" s="124">
        <f t="shared" si="4"/>
        <v>6.4021353090667494</v>
      </c>
      <c r="D68" s="124">
        <f t="shared" si="4"/>
        <v>9.3223767015184613</v>
      </c>
      <c r="E68" s="124">
        <f t="shared" si="4"/>
        <v>9.8816757906284973</v>
      </c>
      <c r="F68" s="124">
        <f t="shared" si="4"/>
        <v>12.626133167111924</v>
      </c>
      <c r="H68" s="120"/>
    </row>
    <row r="69" spans="1:8" ht="13.15">
      <c r="A69" s="144">
        <f t="shared" si="3"/>
        <v>20</v>
      </c>
      <c r="B69" s="124">
        <f t="shared" si="4"/>
        <v>3.3776830579998256</v>
      </c>
      <c r="C69" s="124">
        <f t="shared" si="4"/>
        <v>5.7508322000827317</v>
      </c>
      <c r="D69" s="124">
        <f t="shared" si="4"/>
        <v>9.520239839210717</v>
      </c>
      <c r="E69" s="124">
        <f t="shared" si="4"/>
        <v>10.315601214880314</v>
      </c>
      <c r="F69" s="124">
        <f t="shared" si="4"/>
        <v>14.534582462247002</v>
      </c>
      <c r="H69" s="120"/>
    </row>
    <row r="70" spans="1:8" ht="13.15">
      <c r="A70" s="144">
        <f t="shared" si="3"/>
        <v>25</v>
      </c>
      <c r="B70" s="124">
        <f t="shared" si="4"/>
        <v>2.7615666124063303</v>
      </c>
      <c r="C70" s="124">
        <f t="shared" si="4"/>
        <v>5.2310809006931915</v>
      </c>
      <c r="D70" s="124">
        <f t="shared" si="4"/>
        <v>9.7035694007359705</v>
      </c>
      <c r="E70" s="124">
        <f t="shared" si="4"/>
        <v>10.728598069493744</v>
      </c>
      <c r="F70" s="124">
        <f t="shared" si="4"/>
        <v>16.581295088179651</v>
      </c>
    </row>
    <row r="71" spans="1:8" ht="13.15">
      <c r="A71" s="144">
        <f t="shared" si="3"/>
        <v>30</v>
      </c>
      <c r="B71" s="124">
        <f t="shared" si="4"/>
        <v>2.3251691617425085</v>
      </c>
      <c r="C71" s="124">
        <f t="shared" si="4"/>
        <v>4.8352628219937257</v>
      </c>
      <c r="D71" s="124">
        <f t="shared" si="4"/>
        <v>9.8645838911255073</v>
      </c>
      <c r="E71" s="124">
        <f t="shared" si="4"/>
        <v>11.10144177825641</v>
      </c>
      <c r="F71" s="124">
        <f t="shared" si="4"/>
        <v>18.675644810973029</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10.991138721788234</v>
      </c>
      <c r="F74" s="142">
        <f>Scenarios!C58</f>
        <v>0.05</v>
      </c>
    </row>
    <row r="75" spans="1:8">
      <c r="B75" s="127" t="str">
        <f>Scenarios!B36</f>
        <v>Optimistic</v>
      </c>
      <c r="C75" s="142">
        <f>Scenarios!C38</f>
        <v>0.02</v>
      </c>
      <c r="D75" s="145">
        <f>Scenarios!C37</f>
        <v>5</v>
      </c>
      <c r="E75" s="135">
        <f>INDEX(B$65:F$71, MATCH(D75, A$65:A$71, 0), MATCH(C75, B$64:F$64, 0))</f>
        <v>9.1367024880175123</v>
      </c>
      <c r="F75" s="142">
        <f>Scenarios!C40*(1-F$74-F$78)</f>
        <v>0.18</v>
      </c>
      <c r="H75" s="120"/>
    </row>
    <row r="76" spans="1:8">
      <c r="B76" s="127" t="str">
        <f>Scenarios!B24</f>
        <v>Base</v>
      </c>
      <c r="C76" s="142">
        <f>Scenarios!C26</f>
        <v>0.01</v>
      </c>
      <c r="D76" s="145">
        <f>Scenarios!C25</f>
        <v>5</v>
      </c>
      <c r="E76" s="135">
        <f>INDEX(B$65:F$71, MATCH(D76, A$65:A$71, 0), MATCH(C76, B$64:F$64, 0))</f>
        <v>8.9697613994226462</v>
      </c>
      <c r="F76" s="142">
        <f>Scenarios!C28*(1-F$74-F$78)</f>
        <v>0.53999999999999992</v>
      </c>
      <c r="H76" s="120"/>
    </row>
    <row r="77" spans="1:8">
      <c r="B77" s="127" t="str">
        <f>Scenarios!B30</f>
        <v>Pessimistic</v>
      </c>
      <c r="C77" s="142">
        <f>Scenarios!C32</f>
        <v>-0.06</v>
      </c>
      <c r="D77" s="145">
        <f>Scenarios!C31</f>
        <v>5</v>
      </c>
      <c r="E77" s="135">
        <f>INDEX(B$65:F$71, MATCH(D77, A$65:A$71, 0), MATCH(C77, B$64:F$64, 0))</f>
        <v>7.864517712133722</v>
      </c>
      <c r="F77" s="142">
        <f>Scenarios!C34*(1-F$74-F$78)</f>
        <v>0.18</v>
      </c>
      <c r="H77" s="120"/>
    </row>
    <row r="78" spans="1:8">
      <c r="B78" s="127" t="str">
        <f>Scenarios!B48</f>
        <v>Devil's advocate</v>
      </c>
      <c r="C78" s="142">
        <f>Scenarios!C50</f>
        <v>-0.15</v>
      </c>
      <c r="D78" s="145">
        <f>Scenarios!C49</f>
        <v>10</v>
      </c>
      <c r="E78" s="135">
        <f>INDEX(B$65:F$71, MATCH(D78, A$65:A$71, 0), MATCH(C78, B$64:F$64, 0))</f>
        <v>5.3414104535905338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1078456.0177406166</v>
      </c>
      <c r="D6" t="str">
        <f>Reporting_currency</f>
        <v>CNY</v>
      </c>
      <c r="E6" s="356"/>
      <c r="F6" s="356"/>
      <c r="H6" s="120"/>
    </row>
    <row r="7" spans="2:8" ht="13.15">
      <c r="B7" s="149" t="s">
        <v>445</v>
      </c>
      <c r="C7" s="111">
        <f>(C6*scaling_factor)/Common_Shares*Exchange_Rate</f>
        <v>6.4098632586498105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6.4098632586498105</v>
      </c>
      <c r="C60" s="124">
        <f>C7</f>
        <v>6.4098632586498105</v>
      </c>
      <c r="D60" s="124">
        <f>C7</f>
        <v>6.4098632586498105</v>
      </c>
      <c r="E60" s="141">
        <f>C7</f>
        <v>6.4098632586498105</v>
      </c>
      <c r="F60" s="124">
        <f>C7</f>
        <v>6.4098632586498105</v>
      </c>
      <c r="H60" s="120"/>
    </row>
    <row r="61" spans="1:8" ht="13.15">
      <c r="A61" s="143">
        <f t="shared" ref="A61:A66" si="3">A51</f>
        <v>5</v>
      </c>
      <c r="B61" s="124">
        <f t="shared" ref="B61:F66" si="4">B51/Common_Shares*$C$3*Exchange_Rate</f>
        <v>5.0499418872904274</v>
      </c>
      <c r="C61" s="124">
        <f t="shared" si="4"/>
        <v>5.8331267482079925</v>
      </c>
      <c r="D61" s="124">
        <f t="shared" si="4"/>
        <v>6.5107690409702794</v>
      </c>
      <c r="E61" s="124">
        <f t="shared" si="4"/>
        <v>6.6131232487641691</v>
      </c>
      <c r="F61" s="124">
        <f t="shared" si="4"/>
        <v>7.0376676129942872</v>
      </c>
      <c r="H61" s="120"/>
    </row>
    <row r="62" spans="1:8" ht="13.15">
      <c r="A62" s="143">
        <f t="shared" si="3"/>
        <v>10</v>
      </c>
      <c r="B62" s="124">
        <f t="shared" si="4"/>
        <v>4.2861699935774462</v>
      </c>
      <c r="C62" s="124">
        <f t="shared" si="4"/>
        <v>5.3960198541889435</v>
      </c>
      <c r="D62" s="124">
        <f t="shared" si="4"/>
        <v>6.6075156629723031</v>
      </c>
      <c r="E62" s="124">
        <f t="shared" si="4"/>
        <v>6.8146816107415722</v>
      </c>
      <c r="F62" s="124">
        <f t="shared" si="4"/>
        <v>7.7501072783371407</v>
      </c>
      <c r="H62" s="120"/>
    </row>
    <row r="63" spans="1:8" ht="13.15">
      <c r="A63" s="143">
        <f t="shared" si="3"/>
        <v>15</v>
      </c>
      <c r="B63" s="124">
        <f t="shared" si="4"/>
        <v>3.6038793920305974</v>
      </c>
      <c r="C63" s="124">
        <f t="shared" si="4"/>
        <v>4.9365170901693194</v>
      </c>
      <c r="D63" s="124">
        <f t="shared" si="4"/>
        <v>6.726963030154141</v>
      </c>
      <c r="E63" s="124">
        <f t="shared" si="4"/>
        <v>7.0698781007790199</v>
      </c>
      <c r="F63" s="124">
        <f t="shared" si="4"/>
        <v>8.7525480950772412</v>
      </c>
      <c r="H63" s="120"/>
    </row>
    <row r="64" spans="1:8" ht="13.15">
      <c r="A64" s="144">
        <f t="shared" si="3"/>
        <v>20</v>
      </c>
      <c r="B64" s="124">
        <f t="shared" si="4"/>
        <v>3.082177833285344</v>
      </c>
      <c r="C64" s="124">
        <f t="shared" si="4"/>
        <v>4.5371929075198505</v>
      </c>
      <c r="D64" s="124">
        <f t="shared" si="4"/>
        <v>6.8482760327262797</v>
      </c>
      <c r="E64" s="124">
        <f t="shared" si="4"/>
        <v>7.3359246050563884</v>
      </c>
      <c r="F64" s="124">
        <f t="shared" si="4"/>
        <v>9.9226483823253258</v>
      </c>
      <c r="H64" s="120"/>
    </row>
    <row r="65" spans="1:8" ht="13.15">
      <c r="A65" s="144">
        <f t="shared" si="3"/>
        <v>25</v>
      </c>
      <c r="B65" s="124">
        <f t="shared" si="4"/>
        <v>2.7044271475296648</v>
      </c>
      <c r="C65" s="124">
        <f t="shared" si="4"/>
        <v>4.2185252089524532</v>
      </c>
      <c r="D65" s="124">
        <f t="shared" si="4"/>
        <v>6.9606782711030561</v>
      </c>
      <c r="E65" s="124">
        <f t="shared" si="4"/>
        <v>7.5891394740327858</v>
      </c>
      <c r="F65" s="124">
        <f t="shared" si="4"/>
        <v>11.177520092893129</v>
      </c>
    </row>
    <row r="66" spans="1:8" ht="13.15">
      <c r="A66" s="144">
        <f t="shared" si="3"/>
        <v>30</v>
      </c>
      <c r="B66" s="124">
        <f t="shared" si="4"/>
        <v>2.4368650049682987</v>
      </c>
      <c r="C66" s="124">
        <f t="shared" si="4"/>
        <v>3.9758429177514971</v>
      </c>
      <c r="D66" s="124">
        <f t="shared" si="4"/>
        <v>7.0593987882979139</v>
      </c>
      <c r="E66" s="124">
        <f t="shared" si="4"/>
        <v>7.8177358175845599</v>
      </c>
      <c r="F66" s="124">
        <f t="shared" si="4"/>
        <v>12.461598856989937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7.7501072783371407</v>
      </c>
      <c r="F69" s="142">
        <f>Scenarios!C58</f>
        <v>0.05</v>
      </c>
    </row>
    <row r="70" spans="1:8">
      <c r="B70" s="127" t="str">
        <f>Scenarios!B36</f>
        <v>Optimistic</v>
      </c>
      <c r="C70" s="142">
        <f>Scenarios!C38</f>
        <v>0.02</v>
      </c>
      <c r="D70" s="145">
        <f>Scenarios!C37</f>
        <v>5</v>
      </c>
      <c r="E70" s="135">
        <f>INDEX(B$60:F$66, MATCH(D70, A$60:A$66, 0), MATCH(C70, B$59:F$59, 0))</f>
        <v>6.6131232487641691</v>
      </c>
      <c r="F70" s="142">
        <f>Scenarios!C40*(1-F$69-F$73)</f>
        <v>0.18</v>
      </c>
      <c r="H70" s="120"/>
    </row>
    <row r="71" spans="1:8">
      <c r="B71" s="127" t="str">
        <f>Scenarios!B24</f>
        <v>Base</v>
      </c>
      <c r="C71" s="142">
        <f>Scenarios!C26</f>
        <v>0.01</v>
      </c>
      <c r="D71" s="145">
        <f>Scenarios!C25</f>
        <v>5</v>
      </c>
      <c r="E71" s="135">
        <f>INDEX(B$60:F$66, MATCH(D71, A$60:A$66, 0), MATCH(C71, B$59:F$59, 0))</f>
        <v>6.5107690409702794</v>
      </c>
      <c r="F71" s="142">
        <f>Scenarios!C28*(1-F$69-F$73)</f>
        <v>0.53999999999999992</v>
      </c>
      <c r="H71" s="120"/>
    </row>
    <row r="72" spans="1:8">
      <c r="B72" s="127" t="str">
        <f>Scenarios!B30</f>
        <v>Pessimistic</v>
      </c>
      <c r="C72" s="142">
        <f>Scenarios!C32</f>
        <v>-0.06</v>
      </c>
      <c r="D72" s="145">
        <f>Scenarios!C31</f>
        <v>5</v>
      </c>
      <c r="E72" s="135">
        <f>INDEX(B$60:F$66, MATCH(D72, A$60:A$66, 0), MATCH(C72, B$59:F$59, 0))</f>
        <v>5.8331267482079925</v>
      </c>
      <c r="F72" s="142">
        <f>Scenarios!C34*(1-F$69-F$73)</f>
        <v>0.18</v>
      </c>
      <c r="H72" s="120"/>
    </row>
    <row r="73" spans="1:8">
      <c r="B73" s="127" t="str">
        <f>Scenarios!B48</f>
        <v>Devil's advocate</v>
      </c>
      <c r="C73" s="142">
        <f>Scenarios!C50</f>
        <v>-0.15</v>
      </c>
      <c r="D73" s="145">
        <f>Scenarios!C49</f>
        <v>10</v>
      </c>
      <c r="E73" s="135">
        <f>INDEX(B$60:F$66, MATCH(D73, A$60:A$66, 0), MATCH(C73, B$59:F$59, 0))</f>
        <v>4.2861699935774462</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-6.45</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9.1624577608883779</v>
      </c>
    </row>
    <row r="7" spans="2:9" ht="12.75" customHeight="1">
      <c r="B7" s="100" t="s">
        <v>276</v>
      </c>
      <c r="C7" s="114">
        <f>Normalized_FCF!G8</f>
        <v>245516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8"/>
      <c r="H7" s="247">
        <v>4</v>
      </c>
      <c r="I7" s="124" t="str">
        <f t="shared" si="0"/>
        <v/>
      </c>
    </row>
    <row r="8" spans="2:9">
      <c r="B8" s="100" t="s">
        <v>66</v>
      </c>
      <c r="C8" s="114">
        <f>Normalized_FCF!G19</f>
        <v>175396.86669267845</v>
      </c>
      <c r="D8" t="str">
        <f>Reporting_currency</f>
        <v>CNY</v>
      </c>
      <c r="E8" s="358"/>
      <c r="F8" s="358"/>
      <c r="H8" s="247">
        <v>5</v>
      </c>
      <c r="I8" s="124" t="str">
        <f t="shared" si="0"/>
        <v/>
      </c>
    </row>
    <row r="9" spans="2:9">
      <c r="B9" s="100" t="s">
        <v>57</v>
      </c>
      <c r="C9" s="114">
        <f>Normalized_FCF!C19</f>
        <v>131923.21948735364</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0.16638727228030792</v>
      </c>
      <c r="D12" s="158"/>
      <c r="E12" s="358"/>
      <c r="F12" s="358"/>
      <c r="H12" s="247">
        <v>9</v>
      </c>
      <c r="I12" s="124" t="str">
        <f t="shared" si="0"/>
        <v/>
      </c>
    </row>
    <row r="13" spans="2:9">
      <c r="B13" s="148" t="s">
        <v>153</v>
      </c>
      <c r="C13" s="158">
        <f ca="1">(Normalized_FCF!G8/OFFSET(Normalized_FCF!G8, 0, $C$4))^(1/$C$4) - 1</f>
        <v>0.15587431850223021</v>
      </c>
      <c r="E13" s="358"/>
      <c r="F13" s="358"/>
      <c r="H13" s="247">
        <v>10</v>
      </c>
      <c r="I13" s="124" t="str">
        <f t="shared" si="0"/>
        <v/>
      </c>
    </row>
    <row r="14" spans="2:9">
      <c r="B14" s="100" t="s">
        <v>66</v>
      </c>
      <c r="C14" s="158">
        <f ca="1">(Normalized_FCF!G19/OFFSET(Normalized_FCF!G19, 0, $C$4))^(1/$C$4) - 1</f>
        <v>0.1119740670927909</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6.45</v>
      </c>
      <c r="D21" t="str">
        <f>Market_currency</f>
        <v>HKD</v>
      </c>
      <c r="E21" s="359"/>
      <c r="F21" s="359"/>
    </row>
    <row r="22" spans="2:6">
      <c r="B22" s="100" t="s">
        <v>279</v>
      </c>
      <c r="C22" s="160">
        <f>IF(valuation_method="DCF",DCF!C12,DDM!C7)</f>
        <v>8.8051827122423738</v>
      </c>
      <c r="D22" t="str">
        <f>Market_currency</f>
        <v>HKD</v>
      </c>
      <c r="E22" s="359"/>
      <c r="F22" s="359"/>
    </row>
    <row r="24" spans="2:6" ht="13.15">
      <c r="B24" s="159" t="s">
        <v>116</v>
      </c>
      <c r="E24" s="159" t="s">
        <v>150</v>
      </c>
      <c r="F24" s="159"/>
    </row>
    <row r="25" spans="2:6">
      <c r="B25" s="152" t="s">
        <v>134</v>
      </c>
      <c r="C25" s="166">
        <f>C18</f>
        <v>5</v>
      </c>
      <c r="D25" s="163"/>
      <c r="E25" s="357"/>
      <c r="F25" s="357"/>
    </row>
    <row r="26" spans="2:6">
      <c r="B26" s="118" t="s">
        <v>135</v>
      </c>
      <c r="C26" s="164">
        <v>0.01</v>
      </c>
      <c r="D26" s="164"/>
      <c r="E26" s="357"/>
      <c r="F26" s="357"/>
    </row>
    <row r="27" spans="2:6">
      <c r="B27" s="100" t="s">
        <v>114</v>
      </c>
      <c r="C27" s="160">
        <f>IF(valuation_method="DCF",DCF!E76,DDM!E71)</f>
        <v>8.9697613994226462</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-0.06</v>
      </c>
      <c r="D32" s="164"/>
      <c r="E32" s="357"/>
      <c r="F32" s="357"/>
    </row>
    <row r="33" spans="2:6">
      <c r="B33" s="100" t="s">
        <v>114</v>
      </c>
      <c r="C33" s="160">
        <f>IF(valuation_method="DCF",DCF!E77,DDM!E72)</f>
        <v>7.864517712133722</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0.02</v>
      </c>
      <c r="D38" s="164"/>
      <c r="E38" s="357"/>
      <c r="F38" s="357"/>
    </row>
    <row r="39" spans="2:6">
      <c r="B39" s="100" t="s">
        <v>114</v>
      </c>
      <c r="C39" s="160">
        <f>IF(valuation_method="DCF",DCF!E75,DDM!E70)</f>
        <v>9.1367024880175123</v>
      </c>
      <c r="D39" t="str">
        <f>Market_currency</f>
        <v>HKD</v>
      </c>
      <c r="E39" s="357"/>
      <c r="F39" s="357"/>
    </row>
    <row r="40" spans="2:6">
      <c r="B40" s="100" t="s">
        <v>148</v>
      </c>
      <c r="C40" s="167">
        <f>1-C28-C34</f>
        <v>0.2</v>
      </c>
      <c r="D40" s="165"/>
      <c r="E40" s="357"/>
      <c r="F40" s="357"/>
    </row>
    <row r="42" spans="2:6" ht="13.15">
      <c r="B42" s="100" t="s">
        <v>121</v>
      </c>
      <c r="C42" s="154">
        <f>C27*C28+C33*C34+C39*C40</f>
        <v>8.7821008796838349</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-0.15</v>
      </c>
      <c r="D50" s="164"/>
      <c r="E50" s="357"/>
      <c r="F50" s="357"/>
    </row>
    <row r="51" spans="2:6">
      <c r="B51" s="100" t="s">
        <v>114</v>
      </c>
      <c r="C51" s="160">
        <f>IF(valuation_method="DCF",DCF!E78,DDM!E73)</f>
        <v>5.3414104535905338</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0.06</v>
      </c>
      <c r="D56" s="164"/>
      <c r="E56" s="357"/>
      <c r="F56" s="357"/>
    </row>
    <row r="57" spans="2:6">
      <c r="B57" s="100" t="s">
        <v>114</v>
      </c>
      <c r="C57" s="160">
        <f>IF(valuation_method="DCF",DCF!E74,DDM!E69)</f>
        <v>10.991138721788234</v>
      </c>
      <c r="D57" t="str">
        <f>Market_currency</f>
        <v>HKD</v>
      </c>
      <c r="E57" s="357"/>
      <c r="F57" s="357"/>
    </row>
    <row r="58" spans="2:6">
      <c r="B58" s="100" t="s">
        <v>148</v>
      </c>
      <c r="C58" s="165">
        <v>0.05</v>
      </c>
      <c r="D58" s="165"/>
      <c r="E58" s="357"/>
      <c r="F58" s="357"/>
    </row>
    <row r="60" spans="2:6" ht="13.15">
      <c r="B60" s="100" t="s">
        <v>121</v>
      </c>
      <c r="C60" s="154">
        <f>C51*C52+C57*C58+C42*(1-C52-C58)</f>
        <v>8.720518250484389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8.7254253699498445</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1">
        <f>BS!D89/C60</f>
        <v>-0.18913903583036848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3.4107946149357486</v>
      </c>
      <c r="D82" s="116"/>
    </row>
    <row r="83" spans="2:8" ht="13.15">
      <c r="B83" s="110" t="s">
        <v>102</v>
      </c>
      <c r="C83" s="111">
        <f>C81+C82</f>
        <v>4.1432029871483023</v>
      </c>
      <c r="D83" t="str">
        <f>Market_currency</f>
        <v>HKD</v>
      </c>
      <c r="E83" s="146" t="s">
        <v>127</v>
      </c>
      <c r="F83" s="291">
        <f>(1-C83/C60)</f>
        <v>0.52489027966678881</v>
      </c>
    </row>
    <row r="84" spans="2:8">
      <c r="E84" s="120"/>
    </row>
    <row r="85" spans="2:8" ht="13.15">
      <c r="B85" s="109" t="s">
        <v>303</v>
      </c>
    </row>
    <row r="86" spans="2:8">
      <c r="B86" s="148" t="s">
        <v>301</v>
      </c>
      <c r="C86" s="116">
        <f>Market_Price</f>
        <v>6.45</v>
      </c>
      <c r="D86" t="str">
        <f>Market_currency</f>
        <v>HKD</v>
      </c>
    </row>
    <row r="87" spans="2:8" ht="13.15">
      <c r="B87" s="100" t="s">
        <v>299</v>
      </c>
      <c r="C87" s="237">
        <f ca="1">IRR(OFFSET($I$3, 0, 0, $C$76 + 1, 1))</f>
        <v>0.1681616587726158</v>
      </c>
    </row>
    <row r="88" spans="2:8">
      <c r="B88" s="100"/>
    </row>
    <row r="89" spans="2:8" ht="13.15">
      <c r="B89" s="109" t="s">
        <v>413</v>
      </c>
    </row>
    <row r="90" spans="2:8">
      <c r="B90" s="148" t="s">
        <v>414</v>
      </c>
      <c r="C90" s="167">
        <f>Thesis!F30</f>
        <v>0.21740000000000001</v>
      </c>
    </row>
    <row r="91" spans="2:8">
      <c r="B91" s="100" t="s">
        <v>122</v>
      </c>
      <c r="C91" s="116">
        <f>PV(C90, C76, -C77, 0)</f>
        <v>0.90615313623080584</v>
      </c>
      <c r="D91" s="116"/>
      <c r="E91" s="100"/>
      <c r="F91" s="100"/>
    </row>
    <row r="92" spans="2:8">
      <c r="B92" s="100" t="s">
        <v>123</v>
      </c>
      <c r="C92" s="116">
        <f>C60/(1+C90)^C76</f>
        <v>4.8332849836072977</v>
      </c>
      <c r="D92" s="116"/>
    </row>
    <row r="93" spans="2:8" ht="13.15">
      <c r="B93" s="110" t="s">
        <v>102</v>
      </c>
      <c r="C93" s="111">
        <f>C91+C92</f>
        <v>5.7394381198381037</v>
      </c>
      <c r="D93" t="str">
        <f>Market_currency</f>
        <v>HKD</v>
      </c>
      <c r="E93" s="146" t="s">
        <v>127</v>
      </c>
      <c r="F93" s="291">
        <f>(1-C93/C60)</f>
        <v>0.34184667069307473</v>
      </c>
    </row>
    <row r="95" spans="2:8" ht="13.15">
      <c r="B95" s="109" t="s">
        <v>398</v>
      </c>
      <c r="G95" s="2"/>
      <c r="H95" s="281"/>
    </row>
    <row r="96" spans="2:8">
      <c r="B96" s="148" t="s">
        <v>404</v>
      </c>
      <c r="C96" s="134">
        <f>Thesis!F31</f>
        <v>7.4999999999999997E-2</v>
      </c>
      <c r="G96" s="2"/>
      <c r="H96" s="281"/>
    </row>
    <row r="97" spans="2:8">
      <c r="B97" s="100" t="s">
        <v>122</v>
      </c>
      <c r="C97" s="116">
        <f>PV(C96, C76, -C77, 0)</f>
        <v>1.1492750722719851</v>
      </c>
      <c r="D97" s="116"/>
      <c r="G97" s="2"/>
      <c r="H97" s="281"/>
    </row>
    <row r="98" spans="2:8">
      <c r="B98" s="100" t="s">
        <v>123</v>
      </c>
      <c r="C98" s="116">
        <f>C60/(1+C96)^C76</f>
        <v>7.0196733373288005</v>
      </c>
      <c r="D98" s="116"/>
      <c r="G98" s="2"/>
      <c r="H98" s="281"/>
    </row>
    <row r="99" spans="2:8" ht="13.15">
      <c r="B99" s="110" t="s">
        <v>399</v>
      </c>
      <c r="C99" s="111">
        <f>C97+C98</f>
        <v>8.1689484096007856</v>
      </c>
      <c r="D99" t="s">
        <v>397</v>
      </c>
      <c r="E99" s="146" t="s">
        <v>127</v>
      </c>
      <c r="F99" s="291">
        <f>(1-C99/C60)</f>
        <v>6.3249663040721882E-2</v>
      </c>
    </row>
    <row r="100" spans="2:8">
      <c r="B100" s="100"/>
    </row>
    <row r="101" spans="2:8" ht="13.15">
      <c r="B101" s="109" t="s">
        <v>423</v>
      </c>
    </row>
    <row r="102" spans="2:8">
      <c r="B102" s="148" t="s">
        <v>422</v>
      </c>
      <c r="C102" s="134">
        <f>Thesis!F32</f>
        <v>0.1174</v>
      </c>
    </row>
    <row r="103" spans="2:8">
      <c r="B103" s="100" t="s">
        <v>122</v>
      </c>
      <c r="C103" s="116">
        <f>PV(C102, C76, -C77, 0)</f>
        <v>1.06622464427646</v>
      </c>
      <c r="D103" s="116"/>
    </row>
    <row r="104" spans="2:8">
      <c r="B104" s="100" t="s">
        <v>123</v>
      </c>
      <c r="C104" s="116">
        <f>C60/(1+C102)^C76</f>
        <v>6.2505220885099497</v>
      </c>
      <c r="D104" s="116"/>
    </row>
    <row r="105" spans="2:8" ht="13.15">
      <c r="B105" s="110" t="s">
        <v>399</v>
      </c>
      <c r="C105" s="111">
        <f>C103+C104</f>
        <v>7.3167467327864095</v>
      </c>
      <c r="D105" t="s">
        <v>397</v>
      </c>
      <c r="E105" s="146" t="s">
        <v>127</v>
      </c>
      <c r="F105" s="291">
        <f>(1-C105/C66)</f>
        <v>0.16144526798829661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