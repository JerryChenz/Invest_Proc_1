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9AE852D-689D-4136-A8D2-E6895C4E213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<sst xmlns="http://schemas.openxmlformats.org/spreadsheetml/2006/main" count="687" uniqueCount="466">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</sst>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6.94</v>
      </c>
      <c r="D12" s="50">
        <v>8.1</v>
      </c>
      <c r="E12" s="48"/>
    </row>
    <row r="13" spans="1:10">
      <c r="B13" s="1" t="s">
        <v>413</v>
      </c>
      <c r="C13" s="48" t="s">
        <v>393</v>
      </c>
      <c r="D13" s="48" t="s">
        <v>411</v>
      </c>
      <c r="E13" s="5"/>
    </row>
    <row r="14" spans="1:10">
      <c r="B14" s="4" t="s">
        <v>417</v>
      </c>
      <c r="C14" s="35">
        <f>Thesis!C12*Common_Shares/1000000</f>
        <v>1270165.5860569202</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1.0924694399999999</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0.91535741265220205</v>
      </c>
    </row>
    <row r="26" spans="2:6">
      <c r="B26" s="1" t="str">
        <f>"Expected Equity Value ("&amp;C13&amp;") :"</f>
        <v>Expected Equity Value (HKD) :</v>
      </c>
      <c r="C26" s="304">
        <f>C132</f>
        <v>8.8987025996349356</v>
      </c>
      <c r="D26" s="1" t="s">
        <v>396</v>
      </c>
      <c r="E26" s="301">
        <f ca="1">Scenarios!C87</f>
        <v>0.13941229548212175</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4.139654133945859</v>
      </c>
      <c r="D29" s="310">
        <f>D149</f>
        <v>3.7892630973236736</v>
      </c>
      <c r="E29" s="306" t="s">
        <v>421</v>
      </c>
      <c r="F29" s="302">
        <v>0.3674</v>
      </c>
    </row>
    <row r="30" spans="2:6">
      <c r="B30" s="1" t="s">
        <v>423</v>
      </c>
      <c r="C30" s="311">
        <f>C157</f>
        <v>5.747580209654358</v>
      </c>
      <c r="D30" s="311">
        <f>D157</f>
        <v>5.2610901497202143</v>
      </c>
      <c r="E30" s="307" t="s">
        <v>434</v>
      </c>
      <c r="F30" s="312">
        <v>0.21740000000000001</v>
      </c>
    </row>
    <row r="31" spans="2:6">
      <c r="B31" s="1" t="s">
        <v>424</v>
      </c>
      <c r="C31" s="311">
        <f>C165</f>
        <v>8.1974522775435101</v>
      </c>
      <c r="D31" s="311">
        <f>D165</f>
        <v>7.5035987071121282</v>
      </c>
      <c r="E31" s="307" t="s">
        <v>433</v>
      </c>
      <c r="F31" s="312">
        <v>7.4999999999999997E-2</v>
      </c>
    </row>
    <row r="32" spans="2:6">
      <c r="B32" s="1" t="s">
        <v>425</v>
      </c>
      <c r="C32" s="311">
        <f>C173</f>
        <v>7.3378397524849959</v>
      </c>
      <c r="D32" s="311">
        <f>D173</f>
        <v>6.7167460102911409</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247357.8376927129</v>
      </c>
      <c r="D41" s="1" t="str">
        <f>Reporting_currency</f>
        <v>CNY</v>
      </c>
    </row>
    <row r="42" spans="1:6">
      <c r="B42" s="47"/>
      <c r="C42" s="76"/>
    </row>
    <row r="43" spans="1:6" ht="24.6" customHeight="1">
      <c r="B43" s="361" t="s">
        <v>232</v>
      </c>
      <c r="C43" s="361"/>
      <c r="D43" s="361"/>
      <c r="E43" s="361"/>
      <c r="F43" s="361"/>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61" t="s">
        <v>235</v>
      </c>
      <c r="C47" s="361"/>
      <c r="D47" s="361"/>
      <c r="E47" s="361"/>
      <c r="F47" s="361"/>
    </row>
    <row r="48" spans="1:6">
      <c r="B48" s="47" t="s">
        <v>236</v>
      </c>
      <c r="C48" s="349">
        <f>Normalized_FCF!C11</f>
        <v>18644</v>
      </c>
      <c r="D48" s="1" t="str">
        <f>Reporting_currency</f>
        <v>CNY</v>
      </c>
    </row>
    <row r="50" spans="2:6">
      <c r="B50" s="361" t="s">
        <v>239</v>
      </c>
      <c r="C50" s="361"/>
      <c r="D50" s="361"/>
      <c r="E50" s="361"/>
      <c r="F50" s="361"/>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61" t="s">
        <v>240</v>
      </c>
      <c r="C58" s="361"/>
      <c r="D58" s="361"/>
      <c r="E58" s="361"/>
      <c r="F58" s="361"/>
    </row>
    <row r="59" spans="2:6">
      <c r="B59" s="47" t="s">
        <v>238</v>
      </c>
      <c r="C59" s="349">
        <f>Normalized_FCF!C14</f>
        <v>-63516.176096347837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0.11346716309938486</v>
      </c>
      <c r="F69" s="314"/>
    </row>
    <row r="70" spans="1:6">
      <c r="B70" s="227" t="s">
        <v>455</v>
      </c>
      <c r="C70" s="92">
        <f>Normalized_FCF!C94</f>
        <v>5.7312040254119602E-2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10.499494825463081</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279749</v>
      </c>
      <c r="D102" s="1" t="str">
        <f>Reporting_currency</f>
        <v>CNY</v>
      </c>
    </row>
    <row r="103" spans="2:6">
      <c r="B103" s="47" t="s">
        <v>280</v>
      </c>
      <c r="C103" s="223">
        <f>C102*scaling_factor*Exchange_Rate/Common_Shares</f>
        <v>1.6698481071086417</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7.5304418015247445E-4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1.2617471121634916E-2</v>
      </c>
      <c r="D114" s="1" t="str">
        <f>Market_currency</f>
        <v>HKD</v>
      </c>
    </row>
    <row r="116" spans="1:6" ht="24.6" customHeight="1">
      <c r="B116" s="360" t="s">
        <v>363</v>
      </c>
      <c r="C116" s="360"/>
      <c r="D116" s="360"/>
      <c r="E116" s="360"/>
      <c r="F116" s="360"/>
    </row>
    <row r="118" spans="1:6">
      <c r="B118" s="47" t="s">
        <v>446</v>
      </c>
      <c r="C118" s="223">
        <f>IF(valuation_method="DCF",DCF!C12,DDM!C7)</f>
        <v>8.8430172336562265</v>
      </c>
      <c r="D118" s="1" t="str">
        <f>Market_currency</f>
        <v>HKD</v>
      </c>
    </row>
    <row r="119" spans="1:6">
      <c r="B119" s="296" t="s">
        <v>402</v>
      </c>
      <c r="C119" s="223">
        <f>BS!D47</f>
        <v>-3.8763789575770975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11.04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9.01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257</v>
      </c>
      <c r="C132" s="217">
        <f>Scenarios!C60</f>
        <v>8.8987025996349356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0.3674</v>
      </c>
    </row>
    <row r="147" spans="2:4">
      <c r="B147" s="212" t="str">
        <f>"PV("&amp;C141&amp;" yrs of Dividends)"</f>
        <v>PV(3 yrs of Dividends)</v>
      </c>
      <c r="C147" s="216">
        <f>Scenarios!C81</f>
        <v>0.65916753499129832</v>
      </c>
    </row>
    <row r="148" spans="2:4">
      <c r="B148" s="212" t="str">
        <f>"+ PV(Equity Value realized at year "&amp;C141&amp;")"</f>
        <v>+ PV(Equity Value realized at year 3)</v>
      </c>
      <c r="C148" s="216">
        <f>Scenarios!C82</f>
        <v>3.4804865989545606</v>
      </c>
    </row>
    <row r="149" spans="2:4">
      <c r="B149" s="80" t="s">
        <v>259</v>
      </c>
      <c r="C149" s="215">
        <f>Scenarios!C83</f>
        <v>4.139654133945859</v>
      </c>
      <c r="D149" s="300">
        <f>IF($D$11="","",C149*$E$25)</f>
        <v>3.7892630973236736</v>
      </c>
    </row>
    <row r="150" spans="2:4">
      <c r="B150" s="259" t="s">
        <v>413</v>
      </c>
      <c r="C150" s="298" t="str">
        <f>Market_currency</f>
        <v>HKD</v>
      </c>
      <c r="D150" s="298" t="str">
        <f>IF($D$11="","",D$13)</f>
        <v>CNY</v>
      </c>
    </row>
    <row r="151" spans="2:4">
      <c r="B151" s="214" t="s">
        <v>261</v>
      </c>
      <c r="C151" s="92">
        <f>Scenarios!F83</f>
        <v>0.53480250771436211</v>
      </c>
    </row>
    <row r="153" spans="2:4">
      <c r="B153" s="210" t="s">
        <v>408</v>
      </c>
    </row>
    <row r="154" spans="2:4">
      <c r="B154" s="1" t="s">
        <v>407</v>
      </c>
      <c r="C154" s="297">
        <f>Scenarios!C90</f>
        <v>0.21740000000000001</v>
      </c>
    </row>
    <row r="155" spans="2:4">
      <c r="B155" s="212" t="str">
        <f>"PV("&amp;C141&amp;" yrs of Dividends)"</f>
        <v>PV(3 yrs of Dividends)</v>
      </c>
      <c r="C155" s="216">
        <f>Scenarios!C91</f>
        <v>0.81553782260772523</v>
      </c>
    </row>
    <row r="156" spans="2:4">
      <c r="B156" s="212" t="str">
        <f>"+ PV(Equity Value realized at year "&amp;C141&amp;")"</f>
        <v>+ PV(Equity Value realized at year 3)</v>
      </c>
      <c r="C156" s="216">
        <f>Scenarios!C92</f>
        <v>4.932042387046633</v>
      </c>
    </row>
    <row r="157" spans="2:4">
      <c r="B157" s="80" t="s">
        <v>259</v>
      </c>
      <c r="C157" s="215">
        <f>Scenarios!C93</f>
        <v>5.747580209654358</v>
      </c>
      <c r="D157" s="300">
        <f>IF($D$11="","",C157*$E$25)</f>
        <v>5.2610901497202143</v>
      </c>
    </row>
    <row r="158" spans="2:4">
      <c r="B158" s="259" t="s">
        <v>413</v>
      </c>
      <c r="C158" s="298" t="str">
        <f>Market_currency</f>
        <v>HKD</v>
      </c>
      <c r="D158" s="298" t="str">
        <f>IF($D$11="","",D$13)</f>
        <v>CNY</v>
      </c>
    </row>
    <row r="159" spans="2:4">
      <c r="B159" s="214" t="s">
        <v>261</v>
      </c>
      <c r="C159" s="92">
        <f>Scenarios!F93</f>
        <v>0.35411031604875198</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7.1631047124987228</v>
      </c>
    </row>
    <row r="165" spans="2:4">
      <c r="B165" s="80" t="s">
        <v>398</v>
      </c>
      <c r="C165" s="215">
        <f>Scenarios!C99</f>
        <v>8.1974522775435101</v>
      </c>
      <c r="D165" s="300">
        <f>IF($D$11="","",C165*$E$25)</f>
        <v>7.5035987071121282</v>
      </c>
    </row>
    <row r="166" spans="2:4">
      <c r="B166" s="259" t="s">
        <v>413</v>
      </c>
      <c r="C166" s="298" t="str">
        <f>Market_currency</f>
        <v>HKD</v>
      </c>
      <c r="D166" s="298" t="str">
        <f>IF($D$11="","",D$13)</f>
        <v>CNY</v>
      </c>
    </row>
    <row r="167" spans="2:4">
      <c r="B167" s="214" t="s">
        <v>261</v>
      </c>
      <c r="C167" s="92">
        <f>Scenarios!F99</f>
        <v>7.8803658650216435E-2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6.3782375726361824</v>
      </c>
    </row>
    <row r="173" spans="2:4">
      <c r="B173" s="80" t="s">
        <v>398</v>
      </c>
      <c r="C173" s="215">
        <f>Scenarios!C105</f>
        <v>7.3378397524849959</v>
      </c>
      <c r="D173" s="300">
        <f>IF($D$11="","",C173*$E$25)</f>
        <v>6.7167460102911409</v>
      </c>
    </row>
    <row r="174" spans="2:4">
      <c r="B174" s="259" t="s">
        <v>413</v>
      </c>
      <c r="C174" s="298" t="str">
        <f>Market_currency</f>
        <v>HKD</v>
      </c>
      <c r="D174" s="298" t="str">
        <f>IF($D$11="","",D$13)</f>
        <v>CNY</v>
      </c>
    </row>
    <row r="175" spans="2:4">
      <c r="B175" s="214" t="s">
        <v>261</v>
      </c>
      <c r="C175" s="92">
        <f>Scenarios!F105</f>
        <v>0.16262591594800924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0.16004109002811101</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0.16004109002811101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9.0453921047700945</v>
      </c>
      <c r="D47" s="147">
        <f>D46*H1/Common_Shares*Exchange_Rate</f>
        <v>-3.8763789575770975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-305617.23337055999</v>
      </c>
      <c r="D86" s="223">
        <f>C86*scaling_factor/Common_Shares</f>
        <v>-1.6698481071086417</v>
      </c>
      <c r="E86" s="240" t="str">
        <f>Market_currency</f>
        <v>HKD</v>
      </c>
    </row>
    <row r="87" spans="2:8" ht="15" customHeight="1">
      <c r="B87" s="238" t="s">
        <v>286</v>
      </c>
      <c r="C87" s="76">
        <f>DCF!C8*Exchange_Rate</f>
        <v>137.82288219166003</v>
      </c>
      <c r="D87" s="223">
        <f>C87*scaling_factor/Common_Shares</f>
        <v>7.5304418015247445E-4</v>
      </c>
      <c r="E87" s="240" t="str">
        <f>Market_currency</f>
        <v>HKD</v>
      </c>
    </row>
    <row r="88" spans="2:8" ht="15" customHeight="1">
      <c r="B88" s="239" t="s">
        <v>188</v>
      </c>
      <c r="C88" s="76">
        <f>DCF!C9*Exchange_Rate</f>
        <v>2309.2619022719996</v>
      </c>
      <c r="D88" s="223">
        <f>C88*scaling_factor/Common_Shares</f>
        <v>1.2617471121634916E-2</v>
      </c>
      <c r="E88" s="240" t="str">
        <f>Market_currency</f>
        <v>HKD</v>
      </c>
    </row>
    <row r="89" spans="2:8" ht="15" customHeight="1">
      <c r="B89" s="80" t="s">
        <v>290</v>
      </c>
      <c r="C89" s="180">
        <f>SUM(C86:C88)</f>
        <v>-303170.1485860963</v>
      </c>
      <c r="D89" s="242">
        <f>SUM(D86:D88)</f>
        <v>-1.6564775918068544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0.16004109002811101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29290.876788003443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0.28748397528839975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5.7312040254119602E-2</v>
      </c>
      <c r="E94" s="268"/>
      <c r="G94" s="23">
        <f t="shared" ref="G94:Q94" si="39">IF(G$4="","",(G90*(1-dividend_tax_rate))/Market_Price)</f>
        <v>5.7312040254119602E-2</v>
      </c>
      <c r="H94" s="23">
        <f t="shared" si="39"/>
        <v>5.3653824918750349E-2</v>
      </c>
      <c r="I94" s="23">
        <f t="shared" si="39"/>
        <v>5.1529621214012548E-2</v>
      </c>
      <c r="J94" s="23">
        <f t="shared" si="39"/>
        <v>2.7634158643380043E-2</v>
      </c>
      <c r="K94" s="23">
        <f t="shared" si="39"/>
        <v>2.0754608216902004E-2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0.78746211190973092</v>
      </c>
      <c r="D125" s="27"/>
      <c r="E125" s="265"/>
      <c r="F125" s="27"/>
      <c r="G125" s="177">
        <f t="shared" ref="G125:Q125" si="49">IF(G$4="","",G16*$C$3/Common_Shares*Exchange_Rate)</f>
        <v>1.0469604032170119</v>
      </c>
      <c r="H125" s="177">
        <f t="shared" si="49"/>
        <v>1.8329904819752991</v>
      </c>
      <c r="I125" s="177">
        <f t="shared" si="49"/>
        <v>1.0120493754236619</v>
      </c>
      <c r="J125" s="177">
        <f t="shared" si="49"/>
        <v>0.76145857153137186</v>
      </c>
      <c r="K125" s="177">
        <f t="shared" si="49"/>
        <v>0.60817302886048885</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0.11346716309938486</v>
      </c>
      <c r="D126" s="27"/>
      <c r="E126" s="265"/>
      <c r="F126" s="27"/>
      <c r="G126" s="77">
        <f t="shared" ref="G126" si="50">IF(G$4="","",G125/Market_Price)</f>
        <v>0.15085884772579422</v>
      </c>
      <c r="H126" s="77">
        <f t="shared" ref="H126" si="51">IF(H$4="","",H125/Market_Price)</f>
        <v>0.2641196659906771</v>
      </c>
      <c r="I126" s="77">
        <f t="shared" ref="I126" si="52">IF(I$4="","",I125/Market_Price)</f>
        <v>0.14582844026277547</v>
      </c>
      <c r="J126" s="77">
        <f t="shared" ref="J126" si="53">IF(J$4="","",J125/Market_Price)</f>
        <v>0.10972025526388643</v>
      </c>
      <c r="K126" s="77">
        <f t="shared" ref="K126" si="54">IF(K$4="","",K125/Market_Price)</f>
        <v>8.763300127672749E-2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0.14466381550331636</v>
      </c>
      <c r="H127" s="23">
        <f>IF(H$4="","",(Data!D47*$C$3)/(Market_Price*Common_Shares))</f>
        <v>0.14215548112945683</v>
      </c>
      <c r="I127" s="23">
        <f>IF(I$4="","",(Data!E47*$C$3)/(Market_Price*Common_Shares))</f>
        <v>0.1285997682452405</v>
      </c>
      <c r="J127" s="23">
        <f>IF(J$4="","",(Data!F47*$C$3)/(Market_Price*Common_Shares))</f>
        <v>0.10423365382697986</v>
      </c>
      <c r="K127" s="23">
        <f>IF(K$4="","",(Data!G47*$C$3)/(Market_Price*Common_Shares))</f>
        <v>0.10157573265744133</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1.0924694399999999</v>
      </c>
      <c r="D11" t="str">
        <f>Thesis!C15</f>
        <v>CNY/HKD</v>
      </c>
      <c r="H11" s="120"/>
    </row>
    <row r="12" spans="2:8" ht="13.5" thickTop="1">
      <c r="B12" s="149" t="s">
        <v>102</v>
      </c>
      <c r="C12" s="111">
        <f>(C10*scaling_factor)/Common_Shares*Exchange_Rate</f>
        <v>8.8430172336562265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8.7629171862803972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8.8430172336562265</v>
      </c>
      <c r="C65" s="124">
        <f>C12</f>
        <v>8.8430172336562265</v>
      </c>
      <c r="D65" s="124">
        <f>C12</f>
        <v>8.8430172336562265</v>
      </c>
      <c r="E65" s="141">
        <f>C12</f>
        <v>8.8430172336562265</v>
      </c>
      <c r="F65" s="124">
        <f>C12</f>
        <v>8.8430172336562265</v>
      </c>
      <c r="H65" s="120"/>
    </row>
    <row r="66" spans="1:8" ht="13.15">
      <c r="A66" s="143">
        <f t="shared" ref="A66:A71" si="3">A56</f>
        <v>5</v>
      </c>
      <c r="B66" s="124">
        <f t="shared" ref="B66:F71" si="4">(B56-$C$7+$C$8+$C$9)/Common_Shares*$C$3*Exchange_Rate</f>
        <v>6.615436577804271</v>
      </c>
      <c r="C66" s="124">
        <f t="shared" si="4"/>
        <v>8.680052662128853</v>
      </c>
      <c r="D66" s="124">
        <f t="shared" si="4"/>
        <v>9.0083030902465939</v>
      </c>
      <c r="E66" s="124">
        <f t="shared" si="4"/>
        <v>9.1759614991285794</v>
      </c>
      <c r="F66" s="124">
        <f t="shared" si="4"/>
        <v>9.8713743613918172</v>
      </c>
      <c r="H66" s="120"/>
    </row>
    <row r="67" spans="1:8" ht="13.15">
      <c r="A67" s="143">
        <f t="shared" si="3"/>
        <v>10</v>
      </c>
      <c r="B67" s="124">
        <f t="shared" si="4"/>
        <v>5.3643616761592119</v>
      </c>
      <c r="C67" s="124">
        <f t="shared" si="4"/>
        <v>8.5339760554395596</v>
      </c>
      <c r="D67" s="124">
        <f t="shared" si="4"/>
        <v>9.1667761521673015</v>
      </c>
      <c r="E67" s="124">
        <f t="shared" si="4"/>
        <v>9.5061184608632558</v>
      </c>
      <c r="F67" s="124">
        <f t="shared" si="4"/>
        <v>11.038365961349538</v>
      </c>
      <c r="H67" s="120"/>
    </row>
    <row r="68" spans="1:8" ht="13.15">
      <c r="A68" s="143">
        <f t="shared" si="3"/>
        <v>15</v>
      </c>
      <c r="B68" s="124">
        <f t="shared" si="4"/>
        <v>4.246754895587701</v>
      </c>
      <c r="C68" s="124">
        <f t="shared" si="4"/>
        <v>8.3622090506946627</v>
      </c>
      <c r="D68" s="124">
        <f t="shared" si="4"/>
        <v>9.3624335262849936</v>
      </c>
      <c r="E68" s="124">
        <f t="shared" si="4"/>
        <v>9.9241358379124076</v>
      </c>
      <c r="F68" s="124">
        <f t="shared" si="4"/>
        <v>12.680385727370675</v>
      </c>
      <c r="H68" s="120"/>
    </row>
    <row r="69" spans="1:8" ht="13.15">
      <c r="A69" s="144">
        <f t="shared" si="3"/>
        <v>20</v>
      </c>
      <c r="B69" s="124">
        <f t="shared" si="4"/>
        <v>3.3921964447361876</v>
      </c>
      <c r="C69" s="124">
        <f t="shared" si="4"/>
        <v>8.1961831838371566</v>
      </c>
      <c r="D69" s="124">
        <f t="shared" si="4"/>
        <v>9.5611468515729747</v>
      </c>
      <c r="E69" s="124">
        <f t="shared" si="4"/>
        <v>10.359925773247344</v>
      </c>
      <c r="F69" s="124">
        <f t="shared" si="4"/>
        <v>14.597035336807428</v>
      </c>
      <c r="H69" s="120"/>
    </row>
    <row r="70" spans="1:8" ht="13.15">
      <c r="A70" s="144">
        <f t="shared" si="3"/>
        <v>25</v>
      </c>
      <c r="B70" s="124">
        <f t="shared" si="4"/>
        <v>2.77343264114729</v>
      </c>
      <c r="C70" s="124">
        <f t="shared" si="4"/>
        <v>8.0498133272736823</v>
      </c>
      <c r="D70" s="124">
        <f t="shared" si="4"/>
        <v>9.745264152143287</v>
      </c>
      <c r="E70" s="124">
        <f t="shared" si="4"/>
        <v>10.774697212085812</v>
      </c>
      <c r="F70" s="124">
        <f t="shared" si="4"/>
        <v>16.652542373396219</v>
      </c>
    </row>
    <row r="71" spans="1:8" ht="13.15">
      <c r="A71" s="144">
        <f t="shared" si="3"/>
        <v>30</v>
      </c>
      <c r="B71" s="124">
        <f t="shared" si="4"/>
        <v>2.3351600574814992</v>
      </c>
      <c r="C71" s="124">
        <f t="shared" si="4"/>
        <v>7.9275065303238996</v>
      </c>
      <c r="D71" s="124">
        <f t="shared" si="4"/>
        <v>9.9069704971352408</v>
      </c>
      <c r="E71" s="124">
        <f t="shared" si="4"/>
        <v>11.149142973156104</v>
      </c>
      <c r="F71" s="124">
        <f t="shared" si="4"/>
        <v>18.755891196154323</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11.038365961349538</v>
      </c>
      <c r="F74" s="142">
        <f>Scenarios!C58</f>
        <v>0.05</v>
      </c>
    </row>
    <row r="75" spans="1:8">
      <c r="B75" s="127" t="str">
        <f>Scenarios!B36</f>
        <v>Optimistic</v>
      </c>
      <c r="C75" s="142">
        <f>Scenarios!C38</f>
        <v>0.02</v>
      </c>
      <c r="D75" s="145">
        <f>Scenarios!C37</f>
        <v>5</v>
      </c>
      <c r="E75" s="135">
        <f>INDEX(B$65:F$71, MATCH(D75, A$65:A$71, 0), MATCH(C75, B$64:F$64, 0))</f>
        <v>9.1759614991285794</v>
      </c>
      <c r="F75" s="142">
        <f>Scenarios!C40*(1-F$74-F$78)</f>
        <v>0.18</v>
      </c>
      <c r="H75" s="120"/>
    </row>
    <row r="76" spans="1:8">
      <c r="B76" s="127" t="str">
        <f>Scenarios!B24</f>
        <v>Base</v>
      </c>
      <c r="C76" s="142">
        <f>Scenarios!C26</f>
        <v>0.01</v>
      </c>
      <c r="D76" s="145">
        <f>Scenarios!C25</f>
        <v>5</v>
      </c>
      <c r="E76" s="135">
        <f>INDEX(B$65:F$71, MATCH(D76, A$65:A$71, 0), MATCH(C76, B$64:F$64, 0))</f>
        <v>9.0083030902465939</v>
      </c>
      <c r="F76" s="142">
        <f>Scenarios!C28*(1-F$74-F$78)</f>
        <v>0.53999999999999992</v>
      </c>
      <c r="H76" s="120"/>
    </row>
    <row r="77" spans="1:8">
      <c r="B77" s="127" t="str">
        <f>Scenarios!B30</f>
        <v>Pessimistic</v>
      </c>
      <c r="C77" s="142">
        <f>Scenarios!C32</f>
        <v>-0.01</v>
      </c>
      <c r="D77" s="145">
        <f>Scenarios!C31</f>
        <v>5</v>
      </c>
      <c r="E77" s="135">
        <f>INDEX(B$65:F$71, MATCH(D77, A$65:A$71, 0), MATCH(C77, B$64:F$64, 0))</f>
        <v>8.680052662128853</v>
      </c>
      <c r="F77" s="142">
        <f>Scenarios!C34*(1-F$74-F$78)</f>
        <v>0.18</v>
      </c>
      <c r="H77" s="120"/>
    </row>
    <row r="78" spans="1:8">
      <c r="B78" s="127" t="str">
        <f>Scenarios!B48</f>
        <v>Devil's advocate</v>
      </c>
      <c r="C78" s="142">
        <f>Scenarios!C50</f>
        <v>-0.15</v>
      </c>
      <c r="D78" s="145">
        <f>Scenarios!C49</f>
        <v>10</v>
      </c>
      <c r="E78" s="135">
        <f>INDEX(B$65:F$71, MATCH(D78, A$65:A$71, 0), MATCH(C78, B$64:F$64, 0))</f>
        <v>5.3643616761592119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5.7936649133390397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5.7936649133390397</v>
      </c>
      <c r="C60" s="124">
        <f>C7</f>
        <v>5.7936649133390397</v>
      </c>
      <c r="D60" s="124">
        <f>C7</f>
        <v>5.7936649133390397</v>
      </c>
      <c r="E60" s="141">
        <f>C7</f>
        <v>5.7936649133390397</v>
      </c>
      <c r="F60" s="124">
        <f>C7</f>
        <v>5.7936649133390397</v>
      </c>
      <c r="H60" s="120"/>
    </row>
    <row r="61" spans="1:8" ht="13.15">
      <c r="A61" s="143">
        <f t="shared" ref="A61:A66" si="3">A51</f>
        <v>5</v>
      </c>
      <c r="B61" s="124">
        <f t="shared" ref="B61:F66" si="4">B51/Common_Shares*$C$3*Exchange_Rate</f>
        <v>4.5644766426668815</v>
      </c>
      <c r="C61" s="124">
        <f t="shared" si="4"/>
        <v>5.7037403849811881</v>
      </c>
      <c r="D61" s="124">
        <f t="shared" si="4"/>
        <v>5.8848703364491532</v>
      </c>
      <c r="E61" s="124">
        <f t="shared" si="4"/>
        <v>5.9773849437815088</v>
      </c>
      <c r="F61" s="124">
        <f t="shared" si="4"/>
        <v>6.3611166534832186</v>
      </c>
      <c r="H61" s="120"/>
    </row>
    <row r="62" spans="1:8" ht="13.15">
      <c r="A62" s="143">
        <f t="shared" si="3"/>
        <v>10</v>
      </c>
      <c r="B62" s="124">
        <f t="shared" si="4"/>
        <v>3.8741283085697331</v>
      </c>
      <c r="C62" s="124">
        <f t="shared" si="4"/>
        <v>5.6231347058600445</v>
      </c>
      <c r="D62" s="124">
        <f t="shared" si="4"/>
        <v>5.9723164311253241</v>
      </c>
      <c r="E62" s="124">
        <f t="shared" si="4"/>
        <v>6.1595669284287986</v>
      </c>
      <c r="F62" s="124">
        <f t="shared" si="4"/>
        <v>7.005067471996834</v>
      </c>
      <c r="H62" s="120"/>
    </row>
    <row r="63" spans="1:8" ht="13.15">
      <c r="A63" s="143">
        <f t="shared" si="3"/>
        <v>15</v>
      </c>
      <c r="B63" s="124">
        <f t="shared" si="4"/>
        <v>3.2574282387907671</v>
      </c>
      <c r="C63" s="124">
        <f t="shared" si="4"/>
        <v>5.5283529582423956</v>
      </c>
      <c r="D63" s="124">
        <f t="shared" si="4"/>
        <v>6.0802809839257712</v>
      </c>
      <c r="E63" s="124">
        <f t="shared" si="4"/>
        <v>6.3902306556685406</v>
      </c>
      <c r="F63" s="124">
        <f t="shared" si="4"/>
        <v>7.911140808242922</v>
      </c>
      <c r="H63" s="120"/>
    </row>
    <row r="64" spans="1:8" ht="13.15">
      <c r="A64" s="144">
        <f t="shared" si="3"/>
        <v>20</v>
      </c>
      <c r="B64" s="124">
        <f t="shared" si="4"/>
        <v>2.7858793314006056</v>
      </c>
      <c r="C64" s="124">
        <f t="shared" si="4"/>
        <v>5.4367391943890864</v>
      </c>
      <c r="D64" s="124">
        <f t="shared" si="4"/>
        <v>6.1899318232920457</v>
      </c>
      <c r="E64" s="124">
        <f t="shared" si="4"/>
        <v>6.6307013544885622</v>
      </c>
      <c r="F64" s="124">
        <f t="shared" si="4"/>
        <v>8.9687560343039454</v>
      </c>
      <c r="H64" s="120"/>
    </row>
    <row r="65" spans="1:8" ht="13.15">
      <c r="A65" s="144">
        <f t="shared" si="3"/>
        <v>25</v>
      </c>
      <c r="B65" s="124">
        <f t="shared" si="4"/>
        <v>2.4444428910679541</v>
      </c>
      <c r="C65" s="124">
        <f t="shared" si="4"/>
        <v>5.355971698767708</v>
      </c>
      <c r="D65" s="124">
        <f t="shared" si="4"/>
        <v>6.2915285155125096</v>
      </c>
      <c r="E65" s="124">
        <f t="shared" si="4"/>
        <v>6.859573959523404</v>
      </c>
      <c r="F65" s="124">
        <f t="shared" si="4"/>
        <v>10.102993366192033</v>
      </c>
    </row>
    <row r="66" spans="1:8" ht="13.15">
      <c r="A66" s="144">
        <f t="shared" si="3"/>
        <v>30</v>
      </c>
      <c r="B66" s="124">
        <f t="shared" si="4"/>
        <v>2.202602256573337</v>
      </c>
      <c r="C66" s="124">
        <f t="shared" si="4"/>
        <v>5.2884822995222933</v>
      </c>
      <c r="D66" s="124">
        <f t="shared" si="4"/>
        <v>6.3807587492350013</v>
      </c>
      <c r="E66" s="124">
        <f t="shared" si="4"/>
        <v>7.0661946878464761</v>
      </c>
      <c r="F66" s="124">
        <f t="shared" si="4"/>
        <v>11.263629994668021</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7.005067471996834</v>
      </c>
      <c r="F69" s="142">
        <f>Scenarios!C58</f>
        <v>0.05</v>
      </c>
    </row>
    <row r="70" spans="1:8">
      <c r="B70" s="127" t="str">
        <f>Scenarios!B36</f>
        <v>Optimistic</v>
      </c>
      <c r="C70" s="142">
        <f>Scenarios!C38</f>
        <v>0.02</v>
      </c>
      <c r="D70" s="145">
        <f>Scenarios!C37</f>
        <v>5</v>
      </c>
      <c r="E70" s="135">
        <f>INDEX(B$60:F$66, MATCH(D70, A$60:A$66, 0), MATCH(C70, B$59:F$59, 0))</f>
        <v>5.9773849437815088</v>
      </c>
      <c r="F70" s="142">
        <f>Scenarios!C40*(1-F$69-F$73)</f>
        <v>0.18</v>
      </c>
      <c r="H70" s="120"/>
    </row>
    <row r="71" spans="1:8">
      <c r="B71" s="127" t="str">
        <f>Scenarios!B24</f>
        <v>Base</v>
      </c>
      <c r="C71" s="142">
        <f>Scenarios!C26</f>
        <v>0.01</v>
      </c>
      <c r="D71" s="145">
        <f>Scenarios!C25</f>
        <v>5</v>
      </c>
      <c r="E71" s="135">
        <f>INDEX(B$60:F$66, MATCH(D71, A$60:A$66, 0), MATCH(C71, B$59:F$59, 0))</f>
        <v>5.8848703364491532</v>
      </c>
      <c r="F71" s="142">
        <f>Scenarios!C28*(1-F$69-F$73)</f>
        <v>0.53999999999999992</v>
      </c>
      <c r="H71" s="120"/>
    </row>
    <row r="72" spans="1:8">
      <c r="B72" s="127" t="str">
        <f>Scenarios!B30</f>
        <v>Pessimistic</v>
      </c>
      <c r="C72" s="142">
        <f>Scenarios!C32</f>
        <v>-0.01</v>
      </c>
      <c r="D72" s="145">
        <f>Scenarios!C31</f>
        <v>5</v>
      </c>
      <c r="E72" s="135">
        <f>INDEX(B$60:F$66, MATCH(D72, A$60:A$66, 0), MATCH(C72, B$59:F$59, 0))</f>
        <v>5.7037403849811881</v>
      </c>
      <c r="F72" s="142">
        <f>Scenarios!C34*(1-F$69-F$73)</f>
        <v>0.18</v>
      </c>
      <c r="H72" s="120"/>
    </row>
    <row r="73" spans="1:8">
      <c r="B73" s="127" t="str">
        <f>Scenarios!B48</f>
        <v>Devil's advocate</v>
      </c>
      <c r="C73" s="142">
        <f>Scenarios!C50</f>
        <v>-0.15</v>
      </c>
      <c r="D73" s="145">
        <f>Scenarios!C49</f>
        <v>10</v>
      </c>
      <c r="E73" s="135">
        <f>INDEX(B$60:F$66, MATCH(D73, A$60:A$66, 0), MATCH(C73, B$59:F$59, 0))</f>
        <v>3.8741283085697331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-6.94</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9.2964481589985262</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6.94</v>
      </c>
      <c r="D21" t="str">
        <f>Market_currency</f>
        <v>HKD</v>
      </c>
      <c r="E21" s="369"/>
      <c r="F21" s="369"/>
    </row>
    <row r="22" spans="2:6">
      <c r="B22" s="100" t="s">
        <v>277</v>
      </c>
      <c r="C22" s="160">
        <f>IF(valuation_method="DCF",DCF!C12,DDM!C7)</f>
        <v>8.8430172336562265</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9.0083030902465939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8.680052662128853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9.1759614991285794</v>
      </c>
      <c r="D39" t="str">
        <f>Market_currency</f>
        <v>HKD</v>
      </c>
      <c r="E39" s="367"/>
      <c r="F39" s="367"/>
    </row>
    <row r="40" spans="2:6">
      <c r="B40" s="100" t="s">
        <v>146</v>
      </c>
      <c r="C40" s="167">
        <f>1-C28-C34</f>
        <v>0.2</v>
      </c>
      <c r="D40" s="165"/>
      <c r="E40" s="367"/>
      <c r="F40" s="367"/>
    </row>
    <row r="42" spans="2:6" ht="13.15">
      <c r="B42" s="100" t="s">
        <v>119</v>
      </c>
      <c r="C42" s="154">
        <f>C27*C28+C33*C34+C39*C40</f>
        <v>8.9761846863994421</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5.3643616761592119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11.038365961349538</v>
      </c>
      <c r="D57" t="str">
        <f>Market_currency</f>
        <v>HKD</v>
      </c>
      <c r="E57" s="367"/>
      <c r="F57" s="367"/>
    </row>
    <row r="58" spans="2:6">
      <c r="B58" s="100" t="s">
        <v>146</v>
      </c>
      <c r="C58" s="165">
        <v>0.05</v>
      </c>
      <c r="D58" s="165"/>
      <c r="E58" s="367"/>
      <c r="F58" s="367"/>
    </row>
    <row r="60" spans="2:6" ht="13.15">
      <c r="B60" s="100" t="s">
        <v>119</v>
      </c>
      <c r="C60" s="154">
        <f>C51*C52+C57*C58+C42*(1-C52-C58)</f>
        <v>8.8987025996349356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8.7629171862803972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0.3674</v>
      </c>
    </row>
    <row r="81" spans="2:8">
      <c r="B81" s="100" t="s">
        <v>120</v>
      </c>
      <c r="C81" s="116">
        <f>PV(C80, C76, -C77, 0)</f>
        <v>0.65916753499129832</v>
      </c>
      <c r="D81" s="116"/>
      <c r="E81" s="100"/>
      <c r="F81" s="100"/>
    </row>
    <row r="82" spans="2:8">
      <c r="B82" s="100" t="s">
        <v>121</v>
      </c>
      <c r="C82" s="116">
        <f>C60/(1+C80)^C76</f>
        <v>3.4804865989545606</v>
      </c>
      <c r="D82" s="116"/>
    </row>
    <row r="83" spans="2:8" ht="13.15">
      <c r="B83" s="110" t="s">
        <v>101</v>
      </c>
      <c r="C83" s="111">
        <f>C81+C82</f>
        <v>4.139654133945859</v>
      </c>
      <c r="D83" t="str">
        <f>Market_currency</f>
        <v>HKD</v>
      </c>
      <c r="E83" s="146" t="s">
        <v>125</v>
      </c>
      <c r="F83" s="291">
        <f>(1-C83/C60)</f>
        <v>0.53480250771436211</v>
      </c>
    </row>
    <row r="84" spans="2:8">
      <c r="E84" s="120"/>
    </row>
    <row r="85" spans="2:8" ht="13.15">
      <c r="B85" s="109" t="s">
        <v>301</v>
      </c>
    </row>
    <row r="86" spans="2:8">
      <c r="B86" s="148" t="s">
        <v>299</v>
      </c>
      <c r="C86" s="116">
        <f>Market_Price</f>
        <v>6.94</v>
      </c>
      <c r="D86" t="str">
        <f>Market_currency</f>
        <v>HKD</v>
      </c>
    </row>
    <row r="87" spans="2:8" ht="13.15">
      <c r="B87" s="100" t="s">
        <v>297</v>
      </c>
      <c r="C87" s="237">
        <f ca="1">IRR(OFFSET($I$3, 0, 0, $C$76 + 1, 1))</f>
        <v>0.13941229548212175</v>
      </c>
    </row>
    <row r="88" spans="2:8">
      <c r="B88" s="100"/>
    </row>
    <row r="89" spans="2:8" ht="13.15">
      <c r="B89" s="109" t="s">
        <v>409</v>
      </c>
    </row>
    <row r="90" spans="2:8">
      <c r="B90" s="148" t="s">
        <v>410</v>
      </c>
      <c r="C90" s="167">
        <f>Thesis!F30</f>
        <v>0.21740000000000001</v>
      </c>
    </row>
    <row r="91" spans="2:8">
      <c r="B91" s="100" t="s">
        <v>120</v>
      </c>
      <c r="C91" s="116">
        <f>PV(C90, C76, -C77, 0)</f>
        <v>0.81553782260772523</v>
      </c>
      <c r="D91" s="116"/>
      <c r="E91" s="100"/>
      <c r="F91" s="100"/>
    </row>
    <row r="92" spans="2:8">
      <c r="B92" s="100" t="s">
        <v>121</v>
      </c>
      <c r="C92" s="116">
        <f>C60/(1+C90)^C76</f>
        <v>4.932042387046633</v>
      </c>
      <c r="D92" s="116"/>
    </row>
    <row r="93" spans="2:8" ht="13.15">
      <c r="B93" s="110" t="s">
        <v>101</v>
      </c>
      <c r="C93" s="111">
        <f>C91+C92</f>
        <v>5.747580209654358</v>
      </c>
      <c r="D93" t="str">
        <f>Market_currency</f>
        <v>HKD</v>
      </c>
      <c r="E93" s="146" t="s">
        <v>125</v>
      </c>
      <c r="F93" s="291">
        <f>(1-C93/C60)</f>
        <v>0.35411031604875198</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7.1631047124987228</v>
      </c>
      <c r="D98" s="116"/>
      <c r="G98" s="2"/>
      <c r="H98" s="281"/>
    </row>
    <row r="99" spans="2:8" ht="13.15">
      <c r="B99" s="110" t="s">
        <v>395</v>
      </c>
      <c r="C99" s="111">
        <f>C97+C98</f>
        <v>8.1974522775435101</v>
      </c>
      <c r="D99" t="s">
        <v>393</v>
      </c>
      <c r="E99" s="146" t="s">
        <v>125</v>
      </c>
      <c r="F99" s="291">
        <f>(1-C99/C60)</f>
        <v>7.8803658650216435E-2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6.3782375726361824</v>
      </c>
      <c r="D104" s="116"/>
    </row>
    <row r="105" spans="2:8" ht="13.15">
      <c r="B105" s="110" t="s">
        <v>395</v>
      </c>
      <c r="C105" s="111">
        <f>C103+C104</f>
        <v>7.3378397524849959</v>
      </c>
      <c r="D105" t="s">
        <v>393</v>
      </c>
      <c r="E105" s="146" t="s">
        <v>125</v>
      </c>
      <c r="F105" s="291">
        <f>(1-C105/C66)</f>
        <v>0.16262591594800924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