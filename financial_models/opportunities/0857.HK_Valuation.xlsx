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38C5E74-371A-440C-A637-AD565B406BB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G69" i="4"/>
  <c r="G71" i="4"/>
  <c r="G70" i="4"/>
  <c r="I71" i="4"/>
  <c r="I70" i="4"/>
  <c r="I72" i="4"/>
  <c r="I69" i="4"/>
  <c r="F72" i="4"/>
  <c r="F69" i="4"/>
  <c r="F71" i="4"/>
  <c r="F70"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I91" i="2"/>
  <c r="O126" i="2"/>
  <c r="O48" i="2"/>
  <c r="O91" i="2"/>
  <c r="O92" i="2"/>
  <c r="D69" i="4"/>
  <c r="J91" i="2"/>
  <c r="Q126" i="2"/>
  <c r="Q92" i="2"/>
  <c r="Q48" i="2"/>
  <c r="Q91" i="2"/>
  <c r="K126" i="2"/>
  <c r="K91" i="2"/>
  <c r="L126" i="2"/>
  <c r="L91" i="2"/>
  <c r="L92" i="2"/>
  <c r="L48" i="2"/>
  <c r="N126" i="2"/>
  <c r="N48" i="2"/>
  <c r="N91" i="2"/>
  <c r="N92" i="2"/>
  <c r="P126" i="2"/>
  <c r="P92" i="2"/>
  <c r="P48" i="2"/>
  <c r="P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E58" i="4"/>
  <c r="E71" i="4"/>
  <c r="D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J48" i="2"/>
  <c r="K48" i="2"/>
  <c r="H48" i="2"/>
  <c r="H50" i="2" s="1"/>
  <c r="H12" i="2" s="1"/>
  <c r="H80" i="2" s="1"/>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<sst xmlns="http://schemas.openxmlformats.org/spreadsheetml/2006/main" count="612" uniqueCount="431">
  <si>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</si>
  <si>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</si>
  <si>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</si>
  <si>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</si>
  <si>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</si>
  <si>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</si>
  <si>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</si>
  <si>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</si>
  <si>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</si>
  <si>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</si>
  <si>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</si>
  <si>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</si>
  <si>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</si>
  <si>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</si>
  <si>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</si>
  <si>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</si>
  <si>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</si>
  <si>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</si>
  <si>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</si>
  <si>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</si>
  <si>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</si>
  <si>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</si>
  <si>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</si>
  <si>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</si>
  <si>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</si>
  <si>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</si>
  <si>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</si>
  <si>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</si>
  <si>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</si>
  <si>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</si>
  <si>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</si>
  <si>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</si>
  <si>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</si>
  <si>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</si>
  <si>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</si>
  <si>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</si>
  <si>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</si>
  <si>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</si>
  <si>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</si>
  <si>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</si>
  <si>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</si>
  <si>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</si>
  <si>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</si>
  <si>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</si>
  <si>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</si>
  <si>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</si>
  <si>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</si>
  <si>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</si>
  <si>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</si>
  <si>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</si>
  <si>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</si>
  <si>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</si>
  <si>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</si>
  <si>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</si>
  <si>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</si>
  <si>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</si>
  <si>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</si>
  <si>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</si>
  <si>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</si>
  <si>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</si>
  <si>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</si>
  <si>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</si>
  <si>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</si>
  <si>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</si>
  <si>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</si>
  <si>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</si>
  <si>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</si>
  <si>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</si>
  <si>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</si>
  <si>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</si>
  <si>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</si>
  <si>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</si>
  <si>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</si>
  <si>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</si>
  <si>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</si>
  <si>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</si>
  <si>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</si>
  <si>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</si>
  <si>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</si>
  <si>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</si>
  <si>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</si>
  <si>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</si>
  <si>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</si>
  <si>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</si>
  <si>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</si>
  <si>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</si>
  <si>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</si>
  <si>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</si>
  <si>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</si>
  <si>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</si>
  <si>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</si>
  <si>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</si>
  <si>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</si>
  <si>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</si>
  <si>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</si>
  <si>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</si>
  <si>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</si>
  <si>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</si>
  <si>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</si>
  <si>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</si>
  <si>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</si>
  <si>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</si>
  <si>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</si>
  <si>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</si>
  <si>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</si>
  <si>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</si>
  <si>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</si>
  <si>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</si>
  <si>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</si>
  <si>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</si>
  <si>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</si>
  <si>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</si>
  <si>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</si>
  <si>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</si>
  <si>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</si>
  <si>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</si>
  <si>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</si>
  <si>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</si>
  <si>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</si>
  <si>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</si>
  <si>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</si>
  <si>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</si>
  <si>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</si>
  <si>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</si>
  <si>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</si>
  <si>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</si>
  <si>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</si>
  <si>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</si>
  <si>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</si>
  <si>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</si>
  <si>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</si>
  <si>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</si>
  <si>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</si>
  <si>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</si>
  <si>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</si>
  <si>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</si>
  <si>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</si>
  <si>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</si>
  <si>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</si>
  <si>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</si>
  <si>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</si>
  <si>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</si>
  <si>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</si>
  <si>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</si>
  <si>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</si>
  <si>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</si>
  <si>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</si>
  <si>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</si>
  <si>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</si>
  <si>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</si>
  <si>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</si>
  <si>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</si>
  <si>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</si>
  <si>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</si>
  <si>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</si>
  <si>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</si>
  <si>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</si>
  <si>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</si>
  <si>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</si>
  <si>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</si>
  <si>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</si>
  <si>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</si>
  <si>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</si>
  <si>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</si>
  <si>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</si>
  <si>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</si>
  <si>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</si>
  <si>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</si>
  <si>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</si>
  <si>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</si>
  <si>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</si>
  <si>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</si>
  <si>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</si>
  <si>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</si>
  <si>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</si>
  <si>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</si>
  <si>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</si>
  <si>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</si>
  <si>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</si>
  <si>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</si>
  <si>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</si>
  <si>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</si>
  <si>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</si>
  <si>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</si>
  <si>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</si>
  <si>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</si>
  <si>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</si>
  <si>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</si>
  <si>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</si>
  <si>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</si>
  <si>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</si>
  <si>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</si>
  <si>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</si>
  <si>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</si>
  <si>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</si>
  <si>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</si>
  <si>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</si>
  <si>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</si>
  <si>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</si>
  <si>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</si>
  <si>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</si>
  <si>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</si>
  <si>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</si>
  <si>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</si>
  <si>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</si>
  <si>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</si>
  <si>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</si>
  <si>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</si>
  <si>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</si>
  <si>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</si>
  <si>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</si>
  <si>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</si>
  <si>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</si>
  <si>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</si>
  <si>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</si>
  <si>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</si>
  <si>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</si>
  <si>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</si>
  <si>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</si>
  <si>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</si>
  <si>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</si>
  <si>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</si>
  <si>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</si>
  <si>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</si>
  <si>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</si>
  <si>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</si>
  <si>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</si>
  <si>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</si>
  <si>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</si>
  <si>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</si>
  <si>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</si>
  <si>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</si>
  <si>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</si>
  <si>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</si>
  <si>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</si>
  <si>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</si>
  <si>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</si>
  <si>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</si>
  <si>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</si>
  <si>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</si>
  <si>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</si>
  <si>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</si>
  <si>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</si>
  <si>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</si>
  <si>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</si>
  <si>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</si>
  <si>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</si>
  <si>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</si>
  <si>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</si>
  <si>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</si>
  <si>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</si>
  <si>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</si>
  <si>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</si>
  <si>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</si>
  <si>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</si>
  <si>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</si>
  <si>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</si>
  <si>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</si>
  <si>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</si>
  <si>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</si>
  <si>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</si>
  <si>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</si>
  <si>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</si>
  <si>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</si>
  <si>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</si>
  <si>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</si>
  <si>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</si>
  <si>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</si>
  <si>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</si>
  <si>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</si>
  <si>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</si>
  <si>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</si>
  <si>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</si>
  <si>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</si>
  <si>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</si>
  <si>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</si>
  <si>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</si>
  <si>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</si>
  <si>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</si>
  <si>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</si>
  <si>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</si>
  <si>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</si>
  <si>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</si>
  <si>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</si>
  <si>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</si>
  <si>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</si>
  <si>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</si>
  <si>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</si>
  <si>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</si>
  <si>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</si>
  <si>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</si>
  <si>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</si>
  <si>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</si>
  <si>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</si>
  <si>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</si>
  <si>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</si>
  <si>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</si>
  <si>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</si>
  <si>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</si>
  <si>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</si>
  <si>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</si>
  <si>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</si>
  <si>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</si>
  <si>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</si>
  <si>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</si>
  <si>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</si>
  <si>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</si>
  <si>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</si>
  <si>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</si>
  <si>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</si>
  <si>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</si>
  <si>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</si>
  <si>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</si>
  <si>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</si>
  <si>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</si>
  <si>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</si>
  <si>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</si>
  <si>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</si>
  <si>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</si>
  <si>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</si>
  <si>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</si>
  <si>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</si>
  <si>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</si>
  <si>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</si>
  <si>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</si>
  <si>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</si>
  <si>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</si>
  <si>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</si>
  <si>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</si>
  <si>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</si>
  <si>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</si>
  <si>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</si>
  <si>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</si>
  <si>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</si>
  <si>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</si>
  <si>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</si>
  <si>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</si>
  <si>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</si>
  <si>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</si>
  <si>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</si>
  <si>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</si>
  <si>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</si>
  <si>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</si>
  <si>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</si>
  <si>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</si>
  <si>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</si>
  <si>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</si>
  <si>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</si>
  <si>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</si>
  <si>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</si>
  <si>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</si>
  <si>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</si>
  <si>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</si>
  <si>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</si>
  <si>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</si>
  <si>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</si>
  <si>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</si>
  <si>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</si>
  <si>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</si>
  <si>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</si>
  <si>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</si>
  <si>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</si>
  <si>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</si>
  <si>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</si>
  <si>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</si>
  <si>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</si>
  <si>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</si>
  <si>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</si>
  <si>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</si>
  <si>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</si>
  <si>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</si>
  <si>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</si>
  <si>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</si>
  <si>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</si>
  <si>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</si>
  <si>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</si>
  <si>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</si>
  <si>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</si>
  <si>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</si>
  <si>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</si>
  <si>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</si>
  <si>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</si>
  <si>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</si>
  <si>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</si>
  <si>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</si>
  <si>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</si>
  <si>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</si>
  <si>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</si>
  <si>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</si>
  <si>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</si>
  <si>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</si>
  <si>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</si>
  <si>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</si>
  <si>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</si>
  <si>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</si>
  <si>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</si>
  <si>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</si>
  <si>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</si>
  <si>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</si>
  <si>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</si>
  <si>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</si>
  <si>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</si>
  <si>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</si>
  <si>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</si>
  <si>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</si>
  <si>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</si>
  <si>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</si>
  <si>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</si>
  <si>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</si>
  <si>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</si>
  <si>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</si>
  <si>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</si>
  <si>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</si>
  <si>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</si>
  <si>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</si>
  <si>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</si>
  <si>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</si>
  <si>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</si>
  <si>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</si>
  <si>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</si>
  <si>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</si>
  <si>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</si>
  <si>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Y</t>
  </si>
  <si>
    <t>中国石油股份</t>
  </si>
  <si>
    <t>0857.HK</t>
  </si>
  <si>
    <t>CNY</t>
  </si>
  <si>
    <t>ENG_01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</si>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</sst>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422</v>
      </c>
    </row>
    <row r="2" spans="1:10" ht="13.9">
      <c r="A2" s="247" t="s">
        <v>268</v>
      </c>
      <c r="B2" s="36"/>
      <c r="C2" s="36"/>
      <c r="D2" s="36"/>
      <c r="E2" s="36"/>
      <c r="F2" s="36"/>
      <c r="G2" s="22"/>
      <c r="H2" s="22"/>
      <c r="I2" s="22"/>
      <c r="J2" s="22"/>
    </row>
    <row r="4" spans="1:10">
      <c r="B4" s="45" t="str">
        <f>D5&amp;" Stock Information"</f>
        <v>0857.HK Stock Information</v>
      </c>
      <c r="C4" s="46"/>
      <c r="D4" s="5"/>
      <c r="E4" s="2"/>
      <c r="F4" s="2"/>
    </row>
    <row r="5" spans="1:10" ht="12.4">
      <c r="B5" s="4" t="s">
        <v>323</v>
      </c>
      <c r="C5" s="333" t="s">
        <v>423</v>
      </c>
      <c r="D5" s="49" t="s">
        <v>424</v>
      </c>
    </row>
    <row r="6" spans="1:10">
      <c r="B6" s="4" t="s">
        <v>95</v>
      </c>
      <c r="C6" s="50">
        <v>5.8</v>
      </c>
      <c r="D6" s="48" t="s">
        <v>404</v>
      </c>
      <c r="E6" s="48"/>
    </row>
    <row r="7" spans="1:10">
      <c r="B7" s="4" t="s">
        <v>0</v>
      </c>
      <c r="C7" s="51">
        <v>183020977818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1061521.6713443999</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Negative Growth </v>
      </c>
      <c r="E15" s="5"/>
    </row>
    <row r="16" spans="1:10">
      <c r="B16" s="4" t="s">
        <v>355</v>
      </c>
      <c r="C16" s="48" t="s">
        <v>425</v>
      </c>
      <c r="D16" s="32"/>
      <c r="E16" s="5"/>
    </row>
    <row r="17" spans="1:6">
      <c r="B17" s="4" t="s">
        <v>1</v>
      </c>
      <c r="C17" s="50">
        <v>1.06671125</v>
      </c>
      <c r="D17" s="32" t="str">
        <f>IF(C16=D6,D6,C16&amp;"/"&amp;D6)</f>
        <v>CNY/HKD</v>
      </c>
      <c r="E17" s="5"/>
    </row>
    <row r="18" spans="1:6">
      <c r="B18" s="2" t="s">
        <v>56</v>
      </c>
      <c r="C18" s="48" t="s">
        <v>426</v>
      </c>
      <c r="E18" s="5"/>
    </row>
    <row r="19" spans="1:6">
      <c r="B19" s="2" t="s">
        <v>277</v>
      </c>
      <c r="C19" s="249">
        <v>0.25</v>
      </c>
      <c r="D19" s="1" t="s">
        <v>419</v>
      </c>
      <c r="E19" s="339">
        <v>0.2</v>
      </c>
    </row>
    <row r="20" spans="1:6">
      <c r="B20" s="2" t="str">
        <f>"Target Buy Price ("&amp;Market_currency&amp;"):"</f>
        <v>Target Buy Price (HKD):</v>
      </c>
      <c r="C20" s="252">
        <f>C133</f>
        <v>4.9152072503751691</v>
      </c>
      <c r="D20" s="1" t="s">
        <v>315</v>
      </c>
      <c r="E20" s="330">
        <v>3</v>
      </c>
    </row>
    <row r="21" spans="1:6">
      <c r="B21" s="1" t="s">
        <v>407</v>
      </c>
      <c r="C21" s="280">
        <f ca="1">Scenarios!C87</f>
        <v>0.17842892639139052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247357.8376927129</v>
      </c>
      <c r="D30" s="1" t="str">
        <f>Reporting_currency</f>
        <v>CNY</v>
      </c>
    </row>
    <row r="31" spans="1:6">
      <c r="B31" s="47"/>
      <c r="C31" s="76"/>
    </row>
    <row r="32" spans="1:6" ht="24.4" customHeight="1">
      <c r="B32" s="341" t="s">
        <v>234</v>
      </c>
      <c r="C32" s="341"/>
      <c r="D32" s="341"/>
      <c r="E32" s="341"/>
      <c r="F32" s="341"/>
    </row>
    <row r="33" spans="2:6">
      <c r="B33" s="47" t="s">
        <v>235</v>
      </c>
      <c r="C33" s="188">
        <f>Normalized_FCF!C9</f>
        <v>243208.99999999997</v>
      </c>
      <c r="D33" s="1" t="str">
        <f>Reporting_currency</f>
        <v>CNY</v>
      </c>
    </row>
    <row r="34" spans="2:6">
      <c r="B34" s="52" t="s">
        <v>236</v>
      </c>
      <c r="C34" s="188">
        <f>Normalized_FCF!C10</f>
        <v>-283919.19056768838</v>
      </c>
      <c r="D34" s="1" t="str">
        <f>Reporting_currency</f>
        <v>CNY</v>
      </c>
    </row>
    <row r="36" spans="2:6">
      <c r="B36" s="341" t="s">
        <v>237</v>
      </c>
      <c r="C36" s="341"/>
      <c r="D36" s="341"/>
      <c r="E36" s="341"/>
      <c r="F36" s="341"/>
    </row>
    <row r="37" spans="2:6">
      <c r="B37" s="47" t="s">
        <v>238</v>
      </c>
      <c r="C37" s="188">
        <f>Normalized_FCF!C11</f>
        <v>18644</v>
      </c>
      <c r="D37" s="1" t="str">
        <f>Reporting_currency</f>
        <v>CNY</v>
      </c>
    </row>
    <row r="39" spans="2:6">
      <c r="B39" s="341" t="s">
        <v>241</v>
      </c>
      <c r="C39" s="341"/>
      <c r="D39" s="341"/>
      <c r="E39" s="341"/>
      <c r="F39" s="341"/>
    </row>
    <row r="40" spans="2:6">
      <c r="B40" s="47" t="s">
        <v>348</v>
      </c>
      <c r="C40" s="322">
        <f>Normalized_FCF!C48</f>
        <v>8793.8666926784372</v>
      </c>
      <c r="D40" s="1" t="str">
        <f>Reporting_currency</f>
        <v>CNY</v>
      </c>
      <c r="E40" s="321"/>
      <c r="F40" s="321"/>
    </row>
    <row r="41" spans="2:6">
      <c r="B41" s="47" t="s">
        <v>349</v>
      </c>
      <c r="C41" s="322">
        <f>Normalized_FCF!C47</f>
        <v>-20731</v>
      </c>
      <c r="D41" s="1" t="str">
        <f>Reporting_currency</f>
        <v>CNY</v>
      </c>
      <c r="E41" s="321"/>
      <c r="F41" s="321"/>
    </row>
    <row r="42" spans="2:6">
      <c r="B42" s="47" t="s">
        <v>239</v>
      </c>
      <c r="C42" s="188">
        <f>Normalized_FCF!C12</f>
        <v>-11937.133307321563</v>
      </c>
      <c r="D42" s="1" t="str">
        <f>Reporting_currency</f>
        <v>CNY</v>
      </c>
    </row>
    <row r="44" spans="2:6">
      <c r="B44" s="1" t="s">
        <v>247</v>
      </c>
    </row>
    <row r="45" spans="2:6">
      <c r="B45" s="47" t="s">
        <v>266</v>
      </c>
      <c r="C45" s="188">
        <f>Normalized_FCF!C15</f>
        <v>-17915.118234001515</v>
      </c>
      <c r="D45" s="1" t="str">
        <f>Reporting_currency</f>
        <v>CNY</v>
      </c>
    </row>
    <row r="47" spans="2:6">
      <c r="B47" s="341" t="s">
        <v>242</v>
      </c>
      <c r="C47" s="341"/>
      <c r="D47" s="341"/>
      <c r="E47" s="341"/>
      <c r="F47" s="341"/>
    </row>
    <row r="48" spans="2:6">
      <c r="B48" s="47" t="s">
        <v>240</v>
      </c>
      <c r="C48" s="188">
        <f>Normalized_FCF!C14</f>
        <v>-63516.176096347837</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418605.86669267842</v>
      </c>
      <c r="D56" s="1" t="str">
        <f>Reporting_currency</f>
        <v>CNY</v>
      </c>
    </row>
    <row r="57" spans="1:6">
      <c r="B57" s="47" t="s">
        <v>249</v>
      </c>
      <c r="C57" s="188">
        <f>Normalized_FCF!C19</f>
        <v>131923.21948735364</v>
      </c>
      <c r="D57" s="1" t="str">
        <f>Reporting_currency</f>
        <v>CNY</v>
      </c>
    </row>
    <row r="58" spans="1:6">
      <c r="B58" s="254" t="s">
        <v>398</v>
      </c>
      <c r="C58" s="92">
        <f>Normalized_FCF!C125</f>
        <v>0.13256816715305936</v>
      </c>
    </row>
    <row r="59" spans="1:6">
      <c r="B59" s="254" t="s">
        <v>316</v>
      </c>
      <c r="C59" s="92">
        <f>Normalized_FCF!C93</f>
        <v>7.6196467311032592E-2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427</v>
      </c>
    </row>
    <row r="69" spans="1:6">
      <c r="B69" s="1" t="s">
        <v>289</v>
      </c>
      <c r="C69" s="263">
        <f>IF(D69="Y",1%,0)</f>
        <v>0</v>
      </c>
      <c r="D69" s="286" t="s">
        <v>427</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9.6111921185968026</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279749</v>
      </c>
      <c r="D86" s="1" t="str">
        <f>Reporting_currency</f>
        <v>CNY</v>
      </c>
    </row>
    <row r="87" spans="2:6">
      <c r="B87" s="47" t="s">
        <v>285</v>
      </c>
      <c r="C87" s="248">
        <f>C86*scaling_factor*Exchange_Rate/Common_Shares</f>
        <v>1.6304765116761464</v>
      </c>
      <c r="D87" s="1" t="str">
        <f>Market_currency</f>
        <v>HKD</v>
      </c>
    </row>
    <row r="88" spans="2:6">
      <c r="B88" s="336" t="s">
        <v>413</v>
      </c>
      <c r="C88" s="337">
        <f>BS!G30/BS!G27</f>
        <v>0.61007460831657279</v>
      </c>
    </row>
    <row r="89" spans="2:6">
      <c r="B89" s="336" t="s">
        <v>414</v>
      </c>
      <c r="C89" s="337">
        <f>BS!G31/BS!G27</f>
        <v>0.16360901428944893</v>
      </c>
    </row>
    <row r="90" spans="2:6">
      <c r="B90" s="336" t="s">
        <v>416</v>
      </c>
      <c r="C90" s="338">
        <f>BS!C50</f>
        <v>1.1309485990394448</v>
      </c>
    </row>
    <row r="92" spans="2:6">
      <c r="B92" s="1" t="s">
        <v>255</v>
      </c>
    </row>
    <row r="93" spans="2:6">
      <c r="B93" s="47" t="s">
        <v>265</v>
      </c>
      <c r="C93" s="188">
        <f>BS!C66</f>
        <v>216246</v>
      </c>
      <c r="D93" s="1" t="str">
        <f>Reporting_currency</f>
        <v>CNY</v>
      </c>
    </row>
    <row r="94" spans="2:6">
      <c r="B94" s="47" t="s">
        <v>267</v>
      </c>
      <c r="C94" s="188">
        <f>Valuation_Model!C8</f>
        <v>126.15719684722717</v>
      </c>
      <c r="D94" s="1" t="str">
        <f>Reporting_currency</f>
        <v>CNY</v>
      </c>
    </row>
    <row r="95" spans="2:6">
      <c r="B95" s="47" t="s">
        <v>286</v>
      </c>
      <c r="C95" s="248">
        <f>C94*scaling_factor*Exchange_Rate/Common_Shares</f>
        <v>7.352889420098298E-4</v>
      </c>
      <c r="D95" s="1" t="str">
        <f>Market_currency</f>
        <v>HKD</v>
      </c>
    </row>
    <row r="97" spans="1:6">
      <c r="B97" s="1" t="s">
        <v>257</v>
      </c>
    </row>
    <row r="98" spans="1:6">
      <c r="B98" s="47" t="s">
        <v>258</v>
      </c>
      <c r="C98" s="188">
        <f>Valuation_Model!C9</f>
        <v>2113.7999999999997</v>
      </c>
      <c r="D98" s="1" t="str">
        <f>Reporting_currency</f>
        <v>CNY</v>
      </c>
    </row>
    <row r="99" spans="1:6">
      <c r="B99" s="47" t="s">
        <v>287</v>
      </c>
      <c r="C99" s="248">
        <f>C98*scaling_factor*Exchange_Rate/Common_Shares</f>
        <v>1.2319977016472042E-2</v>
      </c>
      <c r="D99" s="1" t="str">
        <f>Market_currency</f>
        <v>HKD</v>
      </c>
    </row>
    <row r="101" spans="1:6" ht="24.4" customHeight="1">
      <c r="B101" s="340" t="s">
        <v>374</v>
      </c>
      <c r="C101" s="340"/>
      <c r="D101" s="340"/>
      <c r="E101" s="340"/>
      <c r="F101" s="340"/>
    </row>
    <row r="103" spans="1:6">
      <c r="B103" s="47" t="s">
        <v>283</v>
      </c>
      <c r="C103" s="248">
        <f>Valuation_Model!C12</f>
        <v>7.9937708728791401</v>
      </c>
      <c r="D103" s="1" t="str">
        <f>Market_currency</f>
        <v>HKD</v>
      </c>
    </row>
    <row r="104" spans="1:6">
      <c r="B104" s="336" t="s">
        <v>415</v>
      </c>
      <c r="C104" s="248">
        <f>BS!D47</f>
        <v>-3.7849818877411923</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10.05 HKD</v>
      </c>
      <c r="F111" s="259">
        <f>Valuation_Model!F74</f>
        <v>0.05</v>
      </c>
    </row>
    <row r="112" spans="1:6">
      <c r="B112" s="242" t="str">
        <f>Valuation_Model!B75</f>
        <v>Optimistic</v>
      </c>
      <c r="C112" s="243">
        <f>Valuation_Model!C75</f>
        <v>0.02</v>
      </c>
      <c r="D112" s="244">
        <f>Valuation_Model!D75</f>
        <v>5</v>
      </c>
      <c r="E112" s="245" t="str">
        <f>ROUND(Valuation_Model!E75,2)&amp;" "&amp;Market_currency</f>
        <v>8.3 HKD</v>
      </c>
      <c r="F112" s="246">
        <f>Valuation_Model!F75</f>
        <v>0.18</v>
      </c>
    </row>
    <row r="113" spans="1:6">
      <c r="B113" s="242" t="str">
        <f>Valuation_Model!B76</f>
        <v>Base</v>
      </c>
      <c r="C113" s="243">
        <f>Valuation_Model!C76</f>
        <v>0.01</v>
      </c>
      <c r="D113" s="244">
        <f>Valuation_Model!D76</f>
        <v>5</v>
      </c>
      <c r="E113" s="245" t="str">
        <f>ROUND(Valuation_Model!E76,2)&amp;" "&amp;Market_currency</f>
        <v>8.15 HKD</v>
      </c>
      <c r="F113" s="246">
        <f>Valuation_Model!F76</f>
        <v>0.53999999999999992</v>
      </c>
    </row>
    <row r="114" spans="1:6">
      <c r="B114" s="242" t="str">
        <f>Valuation_Model!B77</f>
        <v>Pessimistic</v>
      </c>
      <c r="C114" s="243">
        <f>Valuation_Model!C77</f>
        <v>-0.06</v>
      </c>
      <c r="D114" s="244">
        <f>Valuation_Model!D77</f>
        <v>5</v>
      </c>
      <c r="E114" s="245" t="str">
        <f>ROUND(Valuation_Model!E77,2)&amp;" "&amp;Market_currency</f>
        <v>7.12 HKD</v>
      </c>
      <c r="F114" s="246">
        <f>Valuation_Model!F77</f>
        <v>0.18</v>
      </c>
    </row>
    <row r="115" spans="1:6">
      <c r="B115" s="242" t="str">
        <f>Valuation_Model!B78</f>
        <v>Devil's advocate</v>
      </c>
      <c r="C115" s="243">
        <f>Valuation_Model!C78</f>
        <v>-0.15</v>
      </c>
      <c r="D115" s="244">
        <f>Valuation_Model!D78</f>
        <v>10</v>
      </c>
      <c r="E115" s="245" t="str">
        <f>ROUND(Valuation_Model!E78,2)&amp;" "&amp;Market_currency</f>
        <v>4.75 HKD</v>
      </c>
      <c r="F115" s="246">
        <f>Valuation_Model!F78</f>
        <v>0.05</v>
      </c>
    </row>
    <row r="117" spans="1:6">
      <c r="B117" s="235" t="s">
        <v>259</v>
      </c>
      <c r="C117" s="241">
        <f>Scenarios!C60</f>
        <v>7.9151197774737936</v>
      </c>
      <c r="D117" s="236" t="str">
        <f>Market_currency</f>
        <v>HKD</v>
      </c>
    </row>
    <row r="119" spans="1:6" ht="24.4" customHeight="1">
      <c r="B119" s="345" t="s">
        <v>378</v>
      </c>
      <c r="C119" s="345"/>
      <c r="D119" s="345"/>
      <c r="E119" s="345"/>
      <c r="F119" s="345"/>
    </row>
    <row r="121" spans="1:6" ht="13.9">
      <c r="A121" s="247" t="s">
        <v>411</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0.44193951040398899</v>
      </c>
      <c r="D128" s="236" t="str">
        <f>Market_currency</f>
        <v>HKD</v>
      </c>
    </row>
    <row r="130" spans="1:6">
      <c r="B130" s="234" t="s">
        <v>408</v>
      </c>
      <c r="C130" s="337">
        <f>C19</f>
        <v>0.25</v>
      </c>
      <c r="D130" s="1" t="s">
        <v>418</v>
      </c>
    </row>
    <row r="131" spans="1:6">
      <c r="B131" s="236" t="str">
        <f>"PV("&amp;C126&amp;" yrs of Dividends)"</f>
        <v>PV(3 yrs of Dividends)</v>
      </c>
      <c r="C131" s="240">
        <f>Scenarios!C81</f>
        <v>0.86266592430858646</v>
      </c>
    </row>
    <row r="132" spans="1:6">
      <c r="B132" s="236" t="str">
        <f>"+ PV(Equity Value realized at year "&amp;C126&amp;")"</f>
        <v>+ PV(Equity Value realized at year 3)</v>
      </c>
      <c r="C132" s="240">
        <f>Scenarios!C82</f>
        <v>4.0525413260665824</v>
      </c>
    </row>
    <row r="133" spans="1:6">
      <c r="B133" s="80" t="s">
        <v>261</v>
      </c>
      <c r="C133" s="239">
        <f>Scenarios!C83</f>
        <v>4.9152072503751691</v>
      </c>
      <c r="D133" s="47" t="str">
        <f>Reporting_currency</f>
        <v>CNY</v>
      </c>
    </row>
    <row r="134" spans="1:6">
      <c r="B134" s="238" t="s">
        <v>263</v>
      </c>
      <c r="C134" s="92">
        <f>Scenarios!F83</f>
        <v>0.37901037652472302</v>
      </c>
    </row>
    <row r="136" spans="1:6">
      <c r="B136" s="234" t="s">
        <v>409</v>
      </c>
      <c r="C136" s="92">
        <f>Scenarios!C96</f>
        <v>0.08</v>
      </c>
      <c r="D136" s="1" t="s">
        <v>417</v>
      </c>
    </row>
    <row r="137" spans="1:6">
      <c r="B137" s="236" t="str">
        <f>"PV("&amp;C126&amp;" yrs of Dividends)"</f>
        <v>PV(3 yrs of Dividends)</v>
      </c>
      <c r="C137" s="240">
        <f>Scenarios!C97</f>
        <v>1.1389209808079233</v>
      </c>
    </row>
    <row r="138" spans="1:6">
      <c r="B138" s="236" t="str">
        <f>"+ PV(Equity Value realized at year "&amp;C126&amp;")"</f>
        <v>+ PV(Equity Value realized at year 3)</v>
      </c>
      <c r="C138" s="240">
        <f>Scenarios!C98</f>
        <v>6.2832772708950877</v>
      </c>
    </row>
    <row r="139" spans="1:6">
      <c r="B139" s="80" t="s">
        <v>410</v>
      </c>
      <c r="C139" s="239">
        <f>Scenarios!C99</f>
        <v>7.4221982517030112</v>
      </c>
      <c r="D139" s="101" t="str">
        <f>Reporting_currency</f>
        <v>CNY</v>
      </c>
    </row>
    <row r="140" spans="1:6">
      <c r="B140" s="238" t="s">
        <v>263</v>
      </c>
      <c r="C140" s="92">
        <f>Scenarios!F99</f>
        <v>6.227594017889948E-2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0.16390564925606624</v>
      </c>
      <c r="H25" s="39"/>
      <c r="I25" s="39"/>
      <c r="J25" s="39"/>
      <c r="K25" s="39"/>
      <c r="L25" s="39"/>
      <c r="M25" s="39"/>
    </row>
    <row r="27" spans="2:13">
      <c r="B27" s="16" t="s">
        <v>28</v>
      </c>
      <c r="C27" s="97" t="s">
        <v>428</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0.16390564925606624</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81">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8.8321203006094517</v>
      </c>
      <c r="D47" s="148">
        <f>D46*H1/Common_Shares*Exchange_Rate</f>
        <v>-3.7849818877411923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-298411.40547624999</v>
      </c>
      <c r="D86" s="248">
        <f>C86*scaling_factor/Common_Shares</f>
        <v>-1.6304765116761464</v>
      </c>
      <c r="E86" s="269" t="str">
        <f>Market_currency</f>
        <v>HKD</v>
      </c>
    </row>
    <row r="87" spans="2:8" ht="15" customHeight="1">
      <c r="B87" s="267" t="s">
        <v>294</v>
      </c>
      <c r="C87" s="188">
        <f>Valuation_Model!C8*Exchange_Rate</f>
        <v>134.57330114540176</v>
      </c>
      <c r="D87" s="248">
        <f>C87*scaling_factor/Common_Shares</f>
        <v>7.352889420098298E-4</v>
      </c>
      <c r="E87" s="269" t="str">
        <f>Market_currency</f>
        <v>HKD</v>
      </c>
    </row>
    <row r="88" spans="2:8" ht="15" customHeight="1">
      <c r="B88" s="268" t="s">
        <v>190</v>
      </c>
      <c r="C88" s="188">
        <f>Valuation_Model!C9*Exchange_Rate</f>
        <v>2254.8142402499998</v>
      </c>
      <c r="D88" s="248">
        <f>C88*scaling_factor/Common_Shares</f>
        <v>1.2319977016472045E-2</v>
      </c>
      <c r="E88" s="269" t="str">
        <f>Market_currency</f>
        <v>HKD</v>
      </c>
    </row>
    <row r="89" spans="2:8" ht="15" customHeight="1">
      <c r="B89" s="80" t="s">
        <v>298</v>
      </c>
      <c r="C89" s="187">
        <f>SUM(C86:C88)</f>
        <v>-296022.01793485461</v>
      </c>
      <c r="D89" s="271">
        <f>SUM(D86:D88)</f>
        <v>-1.6174212457176644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430</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0.16390564925606624</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29998.172196739386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0.19322280877140166</v>
      </c>
      <c r="H92" s="171">
        <f t="shared" si="38"/>
        <v>0.24658504631051184</v>
      </c>
      <c r="I92" s="171">
        <f t="shared" si="38"/>
        <v>0.42892514526464176</v>
      </c>
      <c r="J92" s="171">
        <f t="shared" si="38"/>
        <v>0.30572167114546933</v>
      </c>
      <c r="K92" s="171">
        <f t="shared" si="38"/>
        <v>0.29442593531500849</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7.6196467311032592E-2</v>
      </c>
      <c r="E93" s="302"/>
      <c r="G93" s="23">
        <f t="shared" ref="G93:Q93" si="39">IF(G$4="","",G90/Market_Price)</f>
        <v>7.6196467311032592E-2</v>
      </c>
      <c r="H93" s="23">
        <f t="shared" si="39"/>
        <v>7.1332863014583803E-2</v>
      </c>
      <c r="I93" s="23">
        <f t="shared" si="39"/>
        <v>6.8508730119779135E-2</v>
      </c>
      <c r="J93" s="23">
        <f t="shared" si="39"/>
        <v>3.6739666855375004E-2</v>
      </c>
      <c r="K93" s="23">
        <f t="shared" si="39"/>
        <v>2.8259594699321766E-2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0.76889536948774428</v>
      </c>
      <c r="D124" s="27"/>
      <c r="E124" s="299"/>
      <c r="F124" s="27"/>
      <c r="G124" s="178">
        <f t="shared" ref="G124:Q124" si="49">IF(G$4="","",G16*$C$3/Common_Shares*Exchange_Rate)</f>
        <v>2.4397836392346286</v>
      </c>
      <c r="H124" s="178">
        <f t="shared" si="49"/>
        <v>1.7897723237603553</v>
      </c>
      <c r="I124" s="178">
        <f t="shared" si="49"/>
        <v>0.98818732569754431</v>
      </c>
      <c r="J124" s="178">
        <f t="shared" si="49"/>
        <v>0.7435049392882277</v>
      </c>
      <c r="K124" s="178">
        <f t="shared" si="49"/>
        <v>0.59383355550161498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0.13256816715305936</v>
      </c>
      <c r="D125" s="27"/>
      <c r="E125" s="299"/>
      <c r="F125" s="27"/>
      <c r="G125" s="77">
        <f t="shared" ref="G125" si="50">IF(G$4="","",G124/Market_Price)</f>
        <v>0.42065235159217734</v>
      </c>
      <c r="H125" s="77">
        <f t="shared" ref="H125" si="51">IF(H$4="","",H124/Market_Price)</f>
        <v>0.30858143513109576</v>
      </c>
      <c r="I125" s="77">
        <f t="shared" ref="I125" si="52">IF(I$4="","",I124/Market_Price)</f>
        <v>0.17037712512026626</v>
      </c>
      <c r="J125" s="77">
        <f t="shared" ref="J125" si="53">IF(J$4="","",J124/Market_Price)</f>
        <v>0.12819050677383237</v>
      </c>
      <c r="K125" s="77">
        <f t="shared" ref="K125" si="54">IF(K$4="","",K124/Market_Price)</f>
        <v>0.10238509577614052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0.17309773786086477</v>
      </c>
      <c r="H126" s="23">
        <f>IF(H$4="","",(Data!D47*$C$3)/(Market_Price*Common_Shares))</f>
        <v>0.17009638604110872</v>
      </c>
      <c r="I126" s="23">
        <f>IF(I$4="","",(Data!E47*$C$3)/(Market_Price*Common_Shares))</f>
        <v>0.15387627441758087</v>
      </c>
      <c r="J126" s="23">
        <f>IF(J$4="","",(Data!F47*$C$3)/(Market_Price*Common_Shares))</f>
        <v>0.124720958199869</v>
      </c>
      <c r="K126" s="23">
        <f>IF(K$4="","",(Data!G47*$C$3)/(Market_Price*Common_Shares))</f>
        <v>0.12154061804183497</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1649040.2435919205</v>
      </c>
      <c r="D6" t="str">
        <f>Reporting_currency</f>
        <v>CNY</v>
      </c>
      <c r="E6" s="348" t="s">
        <v>250</v>
      </c>
      <c r="F6" s="348"/>
      <c r="H6" s="121"/>
    </row>
    <row r="7" spans="2:8">
      <c r="B7" s="149" t="s">
        <v>225</v>
      </c>
      <c r="C7" s="226">
        <f>BS!G31</f>
        <v>279749</v>
      </c>
      <c r="D7" t="str">
        <f>Reporting_currency</f>
        <v>CNY</v>
      </c>
      <c r="E7" s="348"/>
      <c r="F7" s="348"/>
      <c r="H7" s="121"/>
    </row>
    <row r="8" spans="2:8">
      <c r="B8" s="149" t="s">
        <v>226</v>
      </c>
      <c r="C8" s="201">
        <f>BS!D66</f>
        <v>126.15719684722717</v>
      </c>
      <c r="D8" t="str">
        <f>Reporting_currency</f>
        <v>CNY</v>
      </c>
      <c r="E8" s="348"/>
      <c r="F8" s="348"/>
      <c r="H8" s="121"/>
    </row>
    <row r="9" spans="2:8">
      <c r="B9" s="227" t="s">
        <v>191</v>
      </c>
      <c r="C9" s="229">
        <f>BS!H42</f>
        <v>2113.7999999999997</v>
      </c>
      <c r="D9" t="str">
        <f>Reporting_currency</f>
        <v>CNY</v>
      </c>
      <c r="E9" s="348"/>
      <c r="F9" s="348"/>
      <c r="H9" s="121"/>
    </row>
    <row r="10" spans="2:8" ht="13.15">
      <c r="B10" s="150" t="s">
        <v>228</v>
      </c>
      <c r="C10" s="232">
        <f>C6-C7+C8+C9</f>
        <v>1371531.2007887678</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7.9937708728791401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7.919202432172785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7.9937708728791401</v>
      </c>
      <c r="C65" s="125">
        <f>C12</f>
        <v>7.9937708728791401</v>
      </c>
      <c r="D65" s="125">
        <f>C12</f>
        <v>7.9937708728791401</v>
      </c>
      <c r="E65" s="142">
        <f>C12</f>
        <v>7.9937708728791401</v>
      </c>
      <c r="F65" s="125">
        <f>C12</f>
        <v>7.9937708728791401</v>
      </c>
      <c r="H65" s="121"/>
    </row>
    <row r="66" spans="1:8" ht="13.15">
      <c r="A66" s="144">
        <f t="shared" ref="A66:A71" si="3">A56</f>
        <v>5</v>
      </c>
      <c r="B66" s="125">
        <f t="shared" ref="B66:F71" si="4">(B56-$C$7+$C$8+$C$9)/Common_Shares*$C$3*Exchange_Rate</f>
        <v>5.9260894200923824</v>
      </c>
      <c r="C66" s="125">
        <f t="shared" si="4"/>
        <v>7.1152836270885009</v>
      </c>
      <c r="D66" s="125">
        <f t="shared" si="4"/>
        <v>8.1476885958218759</v>
      </c>
      <c r="E66" s="125">
        <f t="shared" si="4"/>
        <v>8.3038782426382429</v>
      </c>
      <c r="F66" s="125">
        <f t="shared" si="4"/>
        <v>8.952363292384204</v>
      </c>
      <c r="H66" s="121"/>
    </row>
    <row r="67" spans="1:8" ht="13.15">
      <c r="A67" s="144">
        <f t="shared" si="3"/>
        <v>10</v>
      </c>
      <c r="B67" s="125">
        <f t="shared" si="4"/>
        <v>4.7490885288115274</v>
      </c>
      <c r="C67" s="125">
        <f t="shared" si="4"/>
        <v>6.4419162427365286</v>
      </c>
      <c r="D67" s="125">
        <f t="shared" si="4"/>
        <v>8.2966819495006288</v>
      </c>
      <c r="E67" s="125">
        <f t="shared" si="4"/>
        <v>8.6142711722802119</v>
      </c>
      <c r="F67" s="125">
        <f t="shared" si="4"/>
        <v>10.049287454771823</v>
      </c>
      <c r="H67" s="121"/>
    </row>
    <row r="68" spans="1:8" ht="13.15">
      <c r="A68" s="144">
        <f t="shared" si="3"/>
        <v>15</v>
      </c>
      <c r="B68" s="125">
        <f t="shared" si="4"/>
        <v>3.721269621832096</v>
      </c>
      <c r="C68" s="125">
        <f t="shared" si="4"/>
        <v>5.7498974292244469</v>
      </c>
      <c r="D68" s="125">
        <f t="shared" si="4"/>
        <v>8.4765181567339969</v>
      </c>
      <c r="E68" s="125">
        <f t="shared" si="4"/>
        <v>8.9984684866068125</v>
      </c>
      <c r="F68" s="125">
        <f t="shared" si="4"/>
        <v>11.558148960723685</v>
      </c>
      <c r="H68" s="121"/>
    </row>
    <row r="69" spans="1:8" ht="13.15">
      <c r="A69" s="145">
        <f t="shared" si="3"/>
        <v>20</v>
      </c>
      <c r="B69" s="125">
        <f t="shared" si="4"/>
        <v>2.9532731399296583</v>
      </c>
      <c r="C69" s="125">
        <f t="shared" si="4"/>
        <v>5.1621738106279738</v>
      </c>
      <c r="D69" s="125">
        <f t="shared" si="4"/>
        <v>8.6550153619797356</v>
      </c>
      <c r="E69" s="125">
        <f t="shared" si="4"/>
        <v>9.3899039371260837</v>
      </c>
      <c r="F69" s="125">
        <f t="shared" si="4"/>
        <v>13.279349809256523</v>
      </c>
      <c r="H69" s="121"/>
    </row>
    <row r="70" spans="1:8" ht="13.15">
      <c r="A70" s="145">
        <f t="shared" si="3"/>
        <v>25</v>
      </c>
      <c r="B70" s="125">
        <f t="shared" si="4"/>
        <v>2.4099080978254466</v>
      </c>
      <c r="C70" s="125">
        <f t="shared" si="4"/>
        <v>4.7038657582587415</v>
      </c>
      <c r="D70" s="125">
        <f t="shared" si="4"/>
        <v>8.8166285279914902</v>
      </c>
      <c r="E70" s="125">
        <f t="shared" si="4"/>
        <v>9.7539606268659149</v>
      </c>
      <c r="F70" s="125">
        <f t="shared" si="4"/>
        <v>15.083115965582913</v>
      </c>
    </row>
    <row r="71" spans="1:8" ht="13.15">
      <c r="A71" s="145">
        <f t="shared" si="3"/>
        <v>30</v>
      </c>
      <c r="B71" s="125">
        <f t="shared" si="4"/>
        <v>2.0338582059785426</v>
      </c>
      <c r="C71" s="125">
        <f t="shared" si="4"/>
        <v>4.362822544984672</v>
      </c>
      <c r="D71" s="125">
        <f t="shared" si="4"/>
        <v>8.9553254053542659</v>
      </c>
      <c r="E71" s="125">
        <f t="shared" si="4"/>
        <v>10.075109270479768</v>
      </c>
      <c r="F71" s="125">
        <f t="shared" si="4"/>
        <v>16.886652898537921</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10.049287454771823</v>
      </c>
      <c r="F74" s="143">
        <f>Scenarios!C58</f>
        <v>0.05</v>
      </c>
    </row>
    <row r="75" spans="1:8">
      <c r="B75" s="128" t="str">
        <f>Scenarios!B36</f>
        <v>Optimistic</v>
      </c>
      <c r="C75" s="143">
        <f>Scenarios!C38</f>
        <v>0.02</v>
      </c>
      <c r="D75" s="146">
        <f>Scenarios!C37</f>
        <v>5</v>
      </c>
      <c r="E75" s="136">
        <f>INDEX(B$65:F$71, MATCH(D75, A$65:A$71, 0), MATCH(C75, B$64:F$64, 0))</f>
        <v>8.3038782426382429</v>
      </c>
      <c r="F75" s="143">
        <f>Scenarios!C40*(1-F$74-F$78)</f>
        <v>0.18</v>
      </c>
      <c r="H75" s="121"/>
    </row>
    <row r="76" spans="1:8">
      <c r="B76" s="128" t="str">
        <f>Scenarios!B24</f>
        <v>Base</v>
      </c>
      <c r="C76" s="143">
        <f>Scenarios!C26</f>
        <v>0.01</v>
      </c>
      <c r="D76" s="146">
        <f>Scenarios!C25</f>
        <v>5</v>
      </c>
      <c r="E76" s="136">
        <f>INDEX(B$65:F$71, MATCH(D76, A$65:A$71, 0), MATCH(C76, B$64:F$64, 0))</f>
        <v>8.1476885958218759</v>
      </c>
      <c r="F76" s="143">
        <f>Scenarios!C28*(1-F$74-F$78)</f>
        <v>0.53999999999999992</v>
      </c>
      <c r="H76" s="121"/>
    </row>
    <row r="77" spans="1:8">
      <c r="B77" s="128" t="str">
        <f>Scenarios!B30</f>
        <v>Pessimistic</v>
      </c>
      <c r="C77" s="143">
        <f>Scenarios!C32</f>
        <v>-0.06</v>
      </c>
      <c r="D77" s="146">
        <f>Scenarios!C31</f>
        <v>5</v>
      </c>
      <c r="E77" s="136">
        <f>INDEX(B$65:F$71, MATCH(D77, A$65:A$71, 0), MATCH(C77, B$64:F$64, 0))</f>
        <v>7.1152836270885009</v>
      </c>
      <c r="F77" s="143">
        <f>Scenarios!C34*(1-F$74-F$78)</f>
        <v>0.18</v>
      </c>
      <c r="H77" s="121"/>
    </row>
    <row r="78" spans="1:8">
      <c r="B78" s="128" t="str">
        <f>Scenarios!B48</f>
        <v>Devil's advocate</v>
      </c>
      <c r="C78" s="143">
        <f>Scenarios!C50</f>
        <v>-0.15</v>
      </c>
      <c r="D78" s="146">
        <f>Scenarios!C49</f>
        <v>10</v>
      </c>
      <c r="E78" s="136">
        <f>INDEX(B$65:F$71, MATCH(D78, A$65:A$71, 0), MATCH(C78, B$64:F$64, 0))</f>
        <v>4.7490885288115274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-5.8</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8.3570592878777834</v>
      </c>
    </row>
    <row r="7" spans="2:9" ht="12.75" customHeight="1">
      <c r="B7" s="100" t="s">
        <v>276</v>
      </c>
      <c r="C7" s="115">
        <f>Normalized_FCF!G8</f>
        <v>245516</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0"/>
      <c r="H7" s="276">
        <v>4</v>
      </c>
      <c r="I7" s="264" t="str">
        <f t="shared" si="0"/>
        <v/>
      </c>
    </row>
    <row r="8" spans="2:9">
      <c r="B8" s="100" t="s">
        <v>66</v>
      </c>
      <c r="C8" s="115">
        <f>Normalized_FCF!G19</f>
        <v>418605.86669267842</v>
      </c>
      <c r="D8" t="str">
        <f>Reporting_currency</f>
        <v>CNY</v>
      </c>
      <c r="E8" s="350"/>
      <c r="F8" s="350"/>
      <c r="H8" s="276">
        <v>5</v>
      </c>
      <c r="I8" s="264" t="str">
        <f t="shared" si="0"/>
        <v/>
      </c>
    </row>
    <row r="9" spans="2:9">
      <c r="B9" s="100" t="s">
        <v>57</v>
      </c>
      <c r="C9" s="201">
        <f>Normalized_FCF!C19</f>
        <v>131923.21948735364</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0.16638727228030792</v>
      </c>
      <c r="D12" s="159"/>
      <c r="E12" s="350"/>
      <c r="F12" s="350"/>
      <c r="H12" s="276">
        <v>9</v>
      </c>
      <c r="I12" s="264" t="str">
        <f t="shared" si="0"/>
        <v/>
      </c>
    </row>
    <row r="13" spans="2:9">
      <c r="B13" s="149" t="s">
        <v>153</v>
      </c>
      <c r="C13" s="159">
        <f ca="1">(Normalized_FCF!G8/OFFSET(Normalized_FCF!G8, 0, $C$4))^(1/$C$4) - 1</f>
        <v>0.15587431850223021</v>
      </c>
      <c r="E13" s="350"/>
      <c r="F13" s="350"/>
      <c r="H13" s="276">
        <v>10</v>
      </c>
      <c r="I13" s="264" t="str">
        <f t="shared" si="0"/>
        <v/>
      </c>
    </row>
    <row r="14" spans="2:9">
      <c r="B14" s="100" t="s">
        <v>66</v>
      </c>
      <c r="C14" s="159">
        <f ca="1">(Normalized_FCF!G19/OFFSET(Normalized_FCF!G19, 0, $C$4))^(1/$C$4) - 1</f>
        <v>0.48601257847513946</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5.8</v>
      </c>
      <c r="D21" t="str">
        <f>Market_currency</f>
        <v>HKD</v>
      </c>
      <c r="E21" s="351"/>
      <c r="F21" s="351"/>
    </row>
    <row r="22" spans="2:6">
      <c r="B22" s="100" t="s">
        <v>281</v>
      </c>
      <c r="C22" s="161">
        <f>Valuation_Model!C12</f>
        <v>7.9937708728791401</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0.01</v>
      </c>
      <c r="D26" s="165"/>
      <c r="E26" s="349"/>
      <c r="F26" s="349"/>
    </row>
    <row r="27" spans="2:6">
      <c r="B27" s="100" t="s">
        <v>114</v>
      </c>
      <c r="C27" s="161">
        <f>Valuation_Model!E76</f>
        <v>8.1476885958218759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-0.06</v>
      </c>
      <c r="D32" s="165"/>
      <c r="E32" s="349"/>
      <c r="F32" s="349"/>
    </row>
    <row r="33" spans="2:6">
      <c r="B33" s="100" t="s">
        <v>114</v>
      </c>
      <c r="C33" s="161">
        <f>Valuation_Model!E77</f>
        <v>7.1152836270885009</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0.02</v>
      </c>
      <c r="D38" s="165"/>
      <c r="E38" s="349"/>
      <c r="F38" s="349"/>
    </row>
    <row r="39" spans="2:6">
      <c r="B39" s="100" t="s">
        <v>114</v>
      </c>
      <c r="C39" s="161">
        <f>Valuation_Model!E75</f>
        <v>8.3038782426382429</v>
      </c>
      <c r="D39" t="str">
        <f>Market_currency</f>
        <v>HKD</v>
      </c>
      <c r="E39" s="349"/>
      <c r="F39" s="349"/>
    </row>
    <row r="40" spans="2:6">
      <c r="B40" s="100" t="s">
        <v>148</v>
      </c>
      <c r="C40" s="168">
        <f>1-C28-C34</f>
        <v>0.2</v>
      </c>
      <c r="D40" s="166"/>
      <c r="E40" s="349"/>
      <c r="F40" s="349"/>
    </row>
    <row r="42" spans="2:6" ht="13.15">
      <c r="B42" s="100" t="s">
        <v>121</v>
      </c>
      <c r="C42" s="155">
        <f>C27*C28+C33*C34+C39*C40</f>
        <v>7.9724455314384741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-0.15</v>
      </c>
      <c r="D50" s="165"/>
      <c r="E50" s="349"/>
      <c r="F50" s="349"/>
    </row>
    <row r="51" spans="2:6">
      <c r="B51" s="100" t="s">
        <v>114</v>
      </c>
      <c r="C51" s="161">
        <f>Valuation_Model!E78</f>
        <v>4.7490885288115274</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10.049287454771823</v>
      </c>
      <c r="D57" t="str">
        <f>Market_currency</f>
        <v>HKD</v>
      </c>
      <c r="E57" s="349"/>
      <c r="F57" s="349"/>
    </row>
    <row r="58" spans="2:6">
      <c r="B58" s="100" t="s">
        <v>148</v>
      </c>
      <c r="C58" s="166">
        <v>0.05</v>
      </c>
      <c r="D58" s="166"/>
      <c r="E58" s="349"/>
      <c r="F58" s="349"/>
    </row>
    <row r="60" spans="2:6" ht="13.15">
      <c r="B60" s="100" t="s">
        <v>121</v>
      </c>
      <c r="C60" s="155">
        <f>C51*C52+C57*C58+C42*(1-C52-C58)</f>
        <v>7.9151197774737936</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7.919202432172785</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-0.20434577001864196</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Thesis!C127</f>
        <v>0.25</v>
      </c>
    </row>
    <row r="81" spans="2:8">
      <c r="B81" s="100" t="s">
        <v>122</v>
      </c>
      <c r="C81" s="117">
        <f>PV(C80, C76, -C77, 0)</f>
        <v>0.86266592430858646</v>
      </c>
      <c r="D81" s="117"/>
      <c r="E81" s="100"/>
      <c r="F81" s="100"/>
    </row>
    <row r="82" spans="2:8">
      <c r="B82" s="100" t="s">
        <v>123</v>
      </c>
      <c r="C82" s="117">
        <f>C60/(1+C80)^C76</f>
        <v>4.0525413260665824</v>
      </c>
      <c r="D82" s="117"/>
    </row>
    <row r="83" spans="2:8" ht="13.15">
      <c r="B83" s="111" t="s">
        <v>102</v>
      </c>
      <c r="C83" s="112">
        <f>C81+C82</f>
        <v>4.9152072503751691</v>
      </c>
      <c r="D83" t="str">
        <f>Market_currency</f>
        <v>HKD</v>
      </c>
      <c r="E83" s="147" t="s">
        <v>127</v>
      </c>
      <c r="F83" s="329">
        <f>(1-C83/C60)</f>
        <v>0.37901037652472302</v>
      </c>
    </row>
    <row r="84" spans="2:8">
      <c r="E84" s="121"/>
    </row>
    <row r="85" spans="2:8" ht="13.15">
      <c r="B85" s="109" t="s">
        <v>309</v>
      </c>
    </row>
    <row r="86" spans="2:8">
      <c r="B86" s="149" t="s">
        <v>307</v>
      </c>
      <c r="C86" s="266">
        <f>Market_Price</f>
        <v>5.8</v>
      </c>
      <c r="D86" t="str">
        <f>Market_currency</f>
        <v>HKD</v>
      </c>
    </row>
    <row r="87" spans="2:8" ht="13.15">
      <c r="B87" s="100" t="s">
        <v>305</v>
      </c>
      <c r="C87" s="265">
        <f ca="1">IRR(OFFSET($I$3, 0, 0, $C$76 + 1, 1))</f>
        <v>0.17842892639139052</v>
      </c>
    </row>
    <row r="88" spans="2:8">
      <c r="B88" s="100"/>
    </row>
    <row r="89" spans="2:8" ht="13.15">
      <c r="B89" s="109" t="s">
        <v>420</v>
      </c>
    </row>
    <row r="90" spans="2:8">
      <c r="B90" s="149" t="s">
        <v>421</v>
      </c>
      <c r="C90" s="168">
        <f>Thesis!E19</f>
        <v>0.2</v>
      </c>
    </row>
    <row r="91" spans="2:8">
      <c r="B91" s="100" t="s">
        <v>122</v>
      </c>
      <c r="C91" s="117">
        <f>PV(C90, C76, -C77, 0)</f>
        <v>0.93093739460099523</v>
      </c>
      <c r="D91" s="117"/>
      <c r="E91" s="100"/>
      <c r="F91" s="100"/>
    </row>
    <row r="92" spans="2:8">
      <c r="B92" s="100" t="s">
        <v>123</v>
      </c>
      <c r="C92" s="117">
        <f>C60/(1+C90)^C76</f>
        <v>4.5805091304825192</v>
      </c>
      <c r="D92" s="117"/>
    </row>
    <row r="93" spans="2:8" ht="13.15">
      <c r="B93" s="111" t="s">
        <v>102</v>
      </c>
      <c r="C93" s="112">
        <f>C91+C92</f>
        <v>5.5114465250835147</v>
      </c>
      <c r="D93" t="str">
        <f>Market_currency</f>
        <v>HKD</v>
      </c>
      <c r="E93" s="147" t="s">
        <v>127</v>
      </c>
      <c r="F93" s="329">
        <f>(1-C93/C60)</f>
        <v>0.30368122276949805</v>
      </c>
    </row>
    <row r="95" spans="2:8" ht="13.15">
      <c r="B95" s="109" t="s">
        <v>405</v>
      </c>
      <c r="G95" s="2"/>
      <c r="H95" s="316"/>
    </row>
    <row r="96" spans="2:8">
      <c r="B96" s="149" t="s">
        <v>412</v>
      </c>
      <c r="C96" s="135">
        <f>Thesis!C67</f>
        <v>0.08</v>
      </c>
      <c r="G96" s="2"/>
      <c r="H96" s="316"/>
    </row>
    <row r="97" spans="2:8">
      <c r="B97" s="100" t="s">
        <v>122</v>
      </c>
      <c r="C97" s="117">
        <f>PV(C96, C76, -C77, 0)</f>
        <v>1.1389209808079233</v>
      </c>
      <c r="D97" s="117"/>
      <c r="G97" s="2"/>
      <c r="H97" s="316"/>
    </row>
    <row r="98" spans="2:8">
      <c r="B98" s="100" t="s">
        <v>123</v>
      </c>
      <c r="C98" s="117">
        <f>C60/(1+C96)^C76</f>
        <v>6.2832772708950877</v>
      </c>
      <c r="D98" s="117"/>
      <c r="G98" s="2"/>
      <c r="H98" s="316"/>
    </row>
    <row r="99" spans="2:8" ht="13.15">
      <c r="B99" s="111" t="s">
        <v>406</v>
      </c>
      <c r="C99" s="112">
        <f>C97+C98</f>
        <v>7.4221982517030112</v>
      </c>
      <c r="D99" t="s">
        <v>404</v>
      </c>
      <c r="E99" s="147" t="s">
        <v>127</v>
      </c>
      <c r="F99" s="329">
        <f>(1-C99/C60)</f>
        <v>6.227594017889948E-2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2025-05-02T04:44:52Z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