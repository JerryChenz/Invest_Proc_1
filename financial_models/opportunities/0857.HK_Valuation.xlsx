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5F31C20-0A1C-42A3-8A8B-3A26C000E76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C70" i="8"/>
  <c r="D70" i="8"/>
  <c r="F70" i="8"/>
  <c r="E67" i="8"/>
  <c r="B70" i="8"/>
  <c r="C66" i="8"/>
  <c r="E70" i="8"/>
  <c r="B67" i="8"/>
  <c r="D66" i="8"/>
  <c r="B66" i="8"/>
  <c r="G54" i="2"/>
  <c r="B69" i="8" l="1"/>
  <c r="B68" i="8"/>
  <c r="D71" i="8"/>
  <c r="F71" i="8"/>
  <c r="E66" i="8"/>
  <c r="F69" i="8"/>
  <c r="C69" i="8"/>
  <c r="C68" i="8"/>
  <c r="D67" i="8"/>
  <c r="E71" i="8"/>
  <c r="C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<sst xmlns="http://schemas.openxmlformats.org/spreadsheetml/2006/main" count="649" uniqueCount="454">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</sst>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6"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8" t="s">
        <v>447</v>
      </c>
    </row>
    <row r="6" spans="1:10">
      <c r="B6" s="4" t="s">
        <v>0</v>
      </c>
      <c r="C6" s="51">
        <v>183020977818</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6.19</v>
      </c>
      <c r="D12" s="50">
        <v>8.1</v>
      </c>
      <c r="E12" s="48"/>
    </row>
    <row r="13" spans="1:10">
      <c r="B13" s="1" t="s">
        <v>421</v>
      </c>
      <c r="C13" s="48" t="s">
        <v>399</v>
      </c>
      <c r="D13" s="48" t="s">
        <v>418</v>
      </c>
      <c r="E13" s="5"/>
    </row>
    <row r="14" spans="1:10">
      <c r="B14" s="4" t="s">
        <v>425</v>
      </c>
      <c r="C14" s="35">
        <f>Thesis!C12*Common_Shares/1000000</f>
        <v>1132899.8526934201</v>
      </c>
      <c r="D14" s="35">
        <f>IF(D11="","",Thesis!D12*Common_Shares/1000000)</f>
        <v>1482469.9203258001</v>
      </c>
      <c r="E14" s="5"/>
    </row>
    <row r="15" spans="1:10">
      <c r="B15" s="4" t="s">
        <v>424</v>
      </c>
      <c r="C15" s="32" t="str">
        <f>IF(C25=C13,C13,C25&amp;"/"&amp;C13)</f>
        <v>CNY/HKD</v>
      </c>
      <c r="D15" s="32" t="str">
        <f>IF(D11="","",IF(C25=D13,D13,C25&amp;"/"&amp;D13))</f>
        <v>CNY</v>
      </c>
      <c r="E15" s="5"/>
    </row>
    <row r="16" spans="1:10">
      <c r="B16" s="4" t="s">
        <v>1</v>
      </c>
      <c r="C16" s="50">
        <v>1.0845693199999999</v>
      </c>
      <c r="D16" s="50">
        <v>1</v>
      </c>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Negative Growth </v>
      </c>
      <c r="E21" s="5"/>
    </row>
    <row r="22" spans="2:6">
      <c r="B22" s="2" t="s">
        <v>56</v>
      </c>
      <c r="C22" s="48" t="s">
        <v>419</v>
      </c>
      <c r="D22" s="1" t="s">
        <v>445</v>
      </c>
      <c r="E22" s="345" t="s">
        <v>444</v>
      </c>
    </row>
    <row r="23" spans="2:6">
      <c r="B23" s="1" t="s">
        <v>439</v>
      </c>
      <c r="C23" s="291" t="s">
        <v>450</v>
      </c>
    </row>
    <row r="24" spans="2:6">
      <c r="B24" s="1" t="s">
        <v>440</v>
      </c>
      <c r="C24" s="291" t="s">
        <v>450</v>
      </c>
    </row>
    <row r="25" spans="2:6">
      <c r="B25" s="4" t="s">
        <v>350</v>
      </c>
      <c r="C25" s="48" t="s">
        <v>418</v>
      </c>
      <c r="D25" s="32" t="str">
        <f>IF(D11="","",Market_currency&amp;"/"&amp;D13&amp;":")</f>
        <v>HKD/CNY:</v>
      </c>
      <c r="E25" s="335">
        <f>IF(D11="","",1/Exchange_Rate*D16)</f>
        <v>0.9220249748536129</v>
      </c>
    </row>
    <row r="26" spans="2:6">
      <c r="B26" s="1" t="str">
        <f>"Expected Equity Value ("&amp;C13&amp;") :"</f>
        <v>Expected Equity Value (HKD) :</v>
      </c>
      <c r="C26" s="341">
        <f>C127</f>
        <v>8.0476287043689698</v>
      </c>
      <c r="D26" s="1" t="s">
        <v>402</v>
      </c>
      <c r="E26" s="337">
        <f ca="1">Scenarios!C87</f>
        <v>0.15722725609816002</v>
      </c>
    </row>
    <row r="27" spans="2:6">
      <c r="D27" s="5"/>
      <c r="E27" s="5"/>
    </row>
    <row r="28" spans="2:6">
      <c r="B28" s="45" t="s">
        <v>438</v>
      </c>
      <c r="C28" s="268" t="str">
        <f>C140&amp;" ("&amp;Market_currency&amp;")"</f>
        <v>0857.HK (HKD)</v>
      </c>
      <c r="D28" s="268" t="str">
        <f>IF(D11="","",D140&amp;" ("&amp;D13&amp;")")</f>
        <v>601857.SS (CNY)</v>
      </c>
      <c r="E28" s="342" t="s">
        <v>434</v>
      </c>
      <c r="F28" s="340">
        <v>3</v>
      </c>
    </row>
    <row r="29" spans="2:6">
      <c r="B29" s="1" t="s">
        <v>430</v>
      </c>
      <c r="C29" s="339">
        <f>C144</f>
        <v>3.6350163883857007</v>
      </c>
      <c r="D29" s="339">
        <f>D144</f>
        <v>3.3515758940937963</v>
      </c>
      <c r="E29" s="343" t="s">
        <v>429</v>
      </c>
      <c r="F29" s="338">
        <v>0.4</v>
      </c>
    </row>
    <row r="30" spans="2:6">
      <c r="B30" s="1" t="s">
        <v>431</v>
      </c>
      <c r="C30" s="148">
        <f>C152</f>
        <v>5.5881299318515572</v>
      </c>
      <c r="D30" s="148">
        <f>D152</f>
        <v>5.1523953598941539</v>
      </c>
      <c r="E30" s="344" t="s">
        <v>442</v>
      </c>
      <c r="F30" s="307">
        <v>0.2</v>
      </c>
    </row>
    <row r="31" spans="2:6">
      <c r="B31" s="1" t="s">
        <v>432</v>
      </c>
      <c r="C31" s="148">
        <f>C160</f>
        <v>7.5273881100953863</v>
      </c>
      <c r="D31" s="148">
        <f>D160</f>
        <v>6.9404398329240831</v>
      </c>
      <c r="E31" s="344" t="s">
        <v>441</v>
      </c>
      <c r="F31" s="307">
        <v>0.08</v>
      </c>
    </row>
    <row r="32" spans="2:6">
      <c r="B32" s="1" t="s">
        <v>433</v>
      </c>
      <c r="C32" s="148">
        <f>C168</f>
        <v>6.8344461572571689</v>
      </c>
      <c r="D32" s="148">
        <f>D168</f>
        <v>6.3015300462834123</v>
      </c>
      <c r="E32" s="344" t="s">
        <v>443</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1000000</v>
      </c>
    </row>
    <row r="40" spans="1:6" ht="24.4" customHeight="1">
      <c r="B40" s="347" t="s">
        <v>232</v>
      </c>
      <c r="C40" s="347"/>
      <c r="D40" s="347"/>
      <c r="E40" s="347"/>
      <c r="F40" s="347"/>
    </row>
    <row r="41" spans="1:6">
      <c r="B41" s="47" t="s">
        <v>233</v>
      </c>
      <c r="C41" s="188">
        <f>Normalized_FCF!C8</f>
        <v>247357.8376927129</v>
      </c>
      <c r="D41" s="1" t="str">
        <f>Reporting_currency</f>
        <v>CNY</v>
      </c>
    </row>
    <row r="42" spans="1:6">
      <c r="B42" s="47"/>
      <c r="C42" s="76"/>
    </row>
    <row r="43" spans="1:6" ht="24.4" customHeight="1">
      <c r="B43" s="347" t="s">
        <v>234</v>
      </c>
      <c r="C43" s="347"/>
      <c r="D43" s="347"/>
      <c r="E43" s="347"/>
      <c r="F43" s="347"/>
    </row>
    <row r="44" spans="1:6">
      <c r="B44" s="47" t="s">
        <v>235</v>
      </c>
      <c r="C44" s="188">
        <f>Normalized_FCF!C9</f>
        <v>243208.99999999997</v>
      </c>
      <c r="D44" s="1" t="str">
        <f>Reporting_currency</f>
        <v>CNY</v>
      </c>
    </row>
    <row r="45" spans="1:6">
      <c r="B45" s="52" t="s">
        <v>236</v>
      </c>
      <c r="C45" s="188">
        <f>Normalized_FCF!C10</f>
        <v>-283919.19056768838</v>
      </c>
      <c r="D45" s="1" t="str">
        <f>Reporting_currency</f>
        <v>CNY</v>
      </c>
    </row>
    <row r="47" spans="1:6">
      <c r="B47" s="347" t="s">
        <v>237</v>
      </c>
      <c r="C47" s="347"/>
      <c r="D47" s="347"/>
      <c r="E47" s="347"/>
      <c r="F47" s="347"/>
    </row>
    <row r="48" spans="1:6">
      <c r="B48" s="47" t="s">
        <v>238</v>
      </c>
      <c r="C48" s="188">
        <f>Normalized_FCF!C11</f>
        <v>18644</v>
      </c>
      <c r="D48" s="1" t="str">
        <f>Reporting_currency</f>
        <v>CNY</v>
      </c>
    </row>
    <row r="50" spans="2:6">
      <c r="B50" s="347" t="s">
        <v>241</v>
      </c>
      <c r="C50" s="347"/>
      <c r="D50" s="347"/>
      <c r="E50" s="347"/>
      <c r="F50" s="347"/>
    </row>
    <row r="51" spans="2:6">
      <c r="B51" s="47" t="s">
        <v>343</v>
      </c>
      <c r="C51" s="318">
        <f>Normalized_FCF!C48</f>
        <v>8793.8666926784372</v>
      </c>
      <c r="D51" s="1" t="str">
        <f>Reporting_currency</f>
        <v>CNY</v>
      </c>
      <c r="E51" s="317"/>
      <c r="F51" s="317"/>
    </row>
    <row r="52" spans="2:6">
      <c r="B52" s="47" t="s">
        <v>344</v>
      </c>
      <c r="C52" s="318">
        <f>Normalized_FCF!C47</f>
        <v>-20731</v>
      </c>
      <c r="D52" s="1" t="str">
        <f>Reporting_currency</f>
        <v>CNY</v>
      </c>
      <c r="E52" s="317"/>
      <c r="F52" s="317"/>
    </row>
    <row r="53" spans="2:6">
      <c r="B53" s="47" t="s">
        <v>239</v>
      </c>
      <c r="C53" s="188">
        <f>Normalized_FCF!C12</f>
        <v>-11937.133307321563</v>
      </c>
      <c r="D53" s="1" t="str">
        <f>Reporting_currency</f>
        <v>CNY</v>
      </c>
    </row>
    <row r="55" spans="2:6">
      <c r="B55" s="1" t="s">
        <v>247</v>
      </c>
    </row>
    <row r="56" spans="2:6">
      <c r="B56" s="47" t="s">
        <v>266</v>
      </c>
      <c r="C56" s="188">
        <f>Normalized_FCF!C15</f>
        <v>-17915.118234001515</v>
      </c>
      <c r="D56" s="1" t="str">
        <f>Reporting_currency</f>
        <v>CNY</v>
      </c>
    </row>
    <row r="58" spans="2:6">
      <c r="B58" s="347" t="s">
        <v>242</v>
      </c>
      <c r="C58" s="347"/>
      <c r="D58" s="347"/>
      <c r="E58" s="347"/>
      <c r="F58" s="347"/>
    </row>
    <row r="59" spans="2:6">
      <c r="B59" s="47" t="s">
        <v>240</v>
      </c>
      <c r="C59" s="188">
        <f>Normalized_FCF!C14</f>
        <v>-63516.176096347837</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175396.86669267845</v>
      </c>
      <c r="D67" s="1" t="str">
        <f>Reporting_currency</f>
        <v>CNY</v>
      </c>
    </row>
    <row r="68" spans="1:6">
      <c r="B68" s="47" t="s">
        <v>249</v>
      </c>
      <c r="C68" s="188">
        <f>Normalized_FCF!C19</f>
        <v>131923.21948735364</v>
      </c>
      <c r="D68" s="1" t="str">
        <f>Reporting_currency</f>
        <v>CNY</v>
      </c>
    </row>
    <row r="69" spans="1:6">
      <c r="B69" s="252" t="s">
        <v>393</v>
      </c>
      <c r="C69" s="92">
        <f>Normalized_FCF!C125</f>
        <v>0.12629525558807664</v>
      </c>
    </row>
    <row r="70" spans="1:6">
      <c r="B70" s="252" t="s">
        <v>311</v>
      </c>
      <c r="C70" s="92">
        <f>Normalized_FCF!C93</f>
        <v>7.1395720582227623E-2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9.7720954011274301</v>
      </c>
      <c r="D87" s="1" t="str">
        <f>Market_currency</f>
        <v>HKD</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279749</v>
      </c>
      <c r="D96" s="1" t="str">
        <f>Reporting_currency</f>
        <v>CNY</v>
      </c>
    </row>
    <row r="97" spans="2:6">
      <c r="B97" s="47" t="s">
        <v>284</v>
      </c>
      <c r="C97" s="248">
        <f>C96*scaling_factor*Exchange_Rate/Common_Shares</f>
        <v>1.6577727117292238</v>
      </c>
      <c r="D97" s="1" t="str">
        <f>Market_currency</f>
        <v>HKD</v>
      </c>
    </row>
    <row r="98" spans="2:6">
      <c r="B98" s="331" t="s">
        <v>407</v>
      </c>
      <c r="C98" s="332">
        <f>BS!G30/BS!G27</f>
        <v>0.61007460831657279</v>
      </c>
    </row>
    <row r="99" spans="2:6">
      <c r="B99" s="331" t="s">
        <v>408</v>
      </c>
      <c r="C99" s="332">
        <f>BS!G31/BS!G27</f>
        <v>0.16360901428944893</v>
      </c>
    </row>
    <row r="100" spans="2:6">
      <c r="B100" s="331" t="s">
        <v>410</v>
      </c>
      <c r="C100" s="333">
        <f>BS!C50</f>
        <v>1.1309485990394448</v>
      </c>
    </row>
    <row r="102" spans="2:6">
      <c r="B102" s="1" t="s">
        <v>255</v>
      </c>
    </row>
    <row r="103" spans="2:6">
      <c r="B103" s="47" t="s">
        <v>265</v>
      </c>
      <c r="C103" s="188">
        <f>BS!C66</f>
        <v>216246</v>
      </c>
      <c r="D103" s="1" t="str">
        <f>Reporting_currency</f>
        <v>CNY</v>
      </c>
    </row>
    <row r="104" spans="2:6">
      <c r="B104" s="47" t="s">
        <v>267</v>
      </c>
      <c r="C104" s="188">
        <f>Valuation_Model!C8</f>
        <v>126.15719684722717</v>
      </c>
      <c r="D104" s="1" t="str">
        <f>Reporting_currency</f>
        <v>CNY</v>
      </c>
    </row>
    <row r="105" spans="2:6">
      <c r="B105" s="47" t="s">
        <v>285</v>
      </c>
      <c r="C105" s="248">
        <f>C104*scaling_factor*Exchange_Rate/Common_Shares</f>
        <v>7.4759859131430409E-4</v>
      </c>
      <c r="D105" s="1" t="str">
        <f>Market_currency</f>
        <v>HKD</v>
      </c>
    </row>
    <row r="107" spans="2:6">
      <c r="B107" s="1" t="s">
        <v>257</v>
      </c>
    </row>
    <row r="108" spans="2:6">
      <c r="B108" s="47" t="s">
        <v>258</v>
      </c>
      <c r="C108" s="188">
        <f>Valuation_Model!C9</f>
        <v>2113.7999999999997</v>
      </c>
      <c r="D108" s="1" t="str">
        <f>Reporting_currency</f>
        <v>CNY</v>
      </c>
    </row>
    <row r="109" spans="2:6">
      <c r="B109" s="47" t="s">
        <v>286</v>
      </c>
      <c r="C109" s="248">
        <f>C108*scaling_factor*Exchange_Rate/Common_Shares</f>
        <v>1.2526228719506533E-2</v>
      </c>
      <c r="D109" s="1" t="str">
        <f>Market_currency</f>
        <v>HKD</v>
      </c>
    </row>
    <row r="111" spans="2:6" ht="24.4" customHeight="1">
      <c r="B111" s="346" t="s">
        <v>369</v>
      </c>
      <c r="C111" s="346"/>
      <c r="D111" s="346"/>
      <c r="E111" s="346"/>
      <c r="F111" s="346"/>
    </row>
    <row r="113" spans="1:6">
      <c r="B113" s="47" t="s">
        <v>282</v>
      </c>
      <c r="C113" s="248">
        <f>Valuation_Model!C12</f>
        <v>8.1275965167090298</v>
      </c>
      <c r="D113" s="1" t="str">
        <f>Market_currency</f>
        <v>HKD</v>
      </c>
    </row>
    <row r="114" spans="1:6">
      <c r="B114" s="331" t="s">
        <v>409</v>
      </c>
      <c r="C114" s="248">
        <f>BS!D47</f>
        <v>-3.8483471813012011</v>
      </c>
      <c r="D114" s="1" t="str">
        <f>Market_currency</f>
        <v>HKD</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10.22 HKD</v>
      </c>
      <c r="F121" s="257">
        <f>Valuation_Model!F74</f>
        <v>0.05</v>
      </c>
    </row>
    <row r="122" spans="1:6">
      <c r="B122" s="242" t="str">
        <f>Valuation_Model!B75</f>
        <v>Optimistic</v>
      </c>
      <c r="C122" s="243">
        <f>Valuation_Model!C75</f>
        <v>0.02</v>
      </c>
      <c r="D122" s="244">
        <f>Valuation_Model!D75</f>
        <v>5</v>
      </c>
      <c r="E122" s="245" t="str">
        <f>ROUND(Valuation_Model!E75,2)&amp;" "&amp;Market_currency</f>
        <v>8.44 HKD</v>
      </c>
      <c r="F122" s="246">
        <f>Valuation_Model!F75</f>
        <v>0.18</v>
      </c>
    </row>
    <row r="123" spans="1:6">
      <c r="B123" s="242" t="str">
        <f>Valuation_Model!B76</f>
        <v>Base</v>
      </c>
      <c r="C123" s="243">
        <f>Valuation_Model!C76</f>
        <v>0.01</v>
      </c>
      <c r="D123" s="244">
        <f>Valuation_Model!D76</f>
        <v>5</v>
      </c>
      <c r="E123" s="245" t="str">
        <f>ROUND(Valuation_Model!E76,2)&amp;" "&amp;Market_currency</f>
        <v>8.28 HKD</v>
      </c>
      <c r="F123" s="246">
        <f>Valuation_Model!F76</f>
        <v>0.53999999999999992</v>
      </c>
    </row>
    <row r="124" spans="1:6">
      <c r="B124" s="242" t="str">
        <f>Valuation_Model!B77</f>
        <v>Pessimistic</v>
      </c>
      <c r="C124" s="243">
        <f>Valuation_Model!C77</f>
        <v>-0.06</v>
      </c>
      <c r="D124" s="244">
        <f>Valuation_Model!D77</f>
        <v>5</v>
      </c>
      <c r="E124" s="245" t="str">
        <f>ROUND(Valuation_Model!E77,2)&amp;" "&amp;Market_currency</f>
        <v>7.23 HKD</v>
      </c>
      <c r="F124" s="246">
        <f>Valuation_Model!F77</f>
        <v>0.18</v>
      </c>
    </row>
    <row r="125" spans="1:6">
      <c r="B125" s="242" t="str">
        <f>Valuation_Model!B78</f>
        <v>Devil's advocate</v>
      </c>
      <c r="C125" s="243">
        <f>Valuation_Model!C78</f>
        <v>-0.15</v>
      </c>
      <c r="D125" s="244">
        <f>Valuation_Model!D78</f>
        <v>10</v>
      </c>
      <c r="E125" s="245" t="str">
        <f>ROUND(Valuation_Model!E78,2)&amp;" "&amp;Market_currency</f>
        <v>4.83 HKD</v>
      </c>
      <c r="F125" s="246">
        <f>Valuation_Model!F78</f>
        <v>0.05</v>
      </c>
    </row>
    <row r="127" spans="1:6">
      <c r="B127" s="235" t="s">
        <v>259</v>
      </c>
      <c r="C127" s="241">
        <f>Scenarios!C60</f>
        <v>8.0476287043689698</v>
      </c>
      <c r="D127" s="236" t="str">
        <f>Market_currency</f>
        <v>HKD</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0.44193951040398899</v>
      </c>
      <c r="D138" s="236" t="str">
        <f>Market_currency</f>
        <v>HKD</v>
      </c>
    </row>
    <row r="140" spans="1:6">
      <c r="B140" s="234" t="s">
        <v>412</v>
      </c>
      <c r="C140" s="268" t="str">
        <f>C11</f>
        <v>0857.HK</v>
      </c>
      <c r="D140" s="268" t="str">
        <f>IF(D11="","",D11)</f>
        <v>601857.SS</v>
      </c>
    </row>
    <row r="141" spans="1:6">
      <c r="B141" s="1" t="s">
        <v>411</v>
      </c>
      <c r="C141" s="332">
        <f>F29</f>
        <v>0.4</v>
      </c>
    </row>
    <row r="142" spans="1:6">
      <c r="B142" s="236" t="str">
        <f>"PV("&amp;C136&amp;" yrs of Dividends)"</f>
        <v>PV(3 yrs of Dividends)</v>
      </c>
      <c r="C142" s="240">
        <f>Scenarios!C81</f>
        <v>0.70220709379059454</v>
      </c>
    </row>
    <row r="143" spans="1:6">
      <c r="B143" s="236" t="str">
        <f>"+ PV(Equity Value realized at year "&amp;C136&amp;")"</f>
        <v>+ PV(Equity Value realized at year 3)</v>
      </c>
      <c r="C143" s="240">
        <f>Scenarios!C82</f>
        <v>2.9328092945951063</v>
      </c>
    </row>
    <row r="144" spans="1:6">
      <c r="B144" s="80" t="s">
        <v>261</v>
      </c>
      <c r="C144" s="239">
        <f>Scenarios!C83</f>
        <v>3.6350163883857007</v>
      </c>
      <c r="D144" s="336">
        <f>IF($D$11="","",C144*$E$25)</f>
        <v>3.3515758940937963</v>
      </c>
    </row>
    <row r="145" spans="2:4">
      <c r="B145" s="286" t="s">
        <v>421</v>
      </c>
      <c r="C145" s="334" t="str">
        <f>Market_currency</f>
        <v>HKD</v>
      </c>
      <c r="D145" s="334" t="str">
        <f>IF($D$11="","",D$13)</f>
        <v>CNY</v>
      </c>
    </row>
    <row r="146" spans="2:4">
      <c r="B146" s="238" t="s">
        <v>263</v>
      </c>
      <c r="C146" s="92">
        <f>Scenarios!F83</f>
        <v>0.54831211504423782</v>
      </c>
    </row>
    <row r="148" spans="2:4">
      <c r="B148" s="234" t="s">
        <v>415</v>
      </c>
    </row>
    <row r="149" spans="2:4">
      <c r="B149" s="1" t="s">
        <v>414</v>
      </c>
      <c r="C149" s="332">
        <f>Scenarios!C90</f>
        <v>0.2</v>
      </c>
    </row>
    <row r="150" spans="2:4">
      <c r="B150" s="236" t="str">
        <f>"PV("&amp;C136&amp;" yrs of Dividends)"</f>
        <v>PV(3 yrs of Dividends)</v>
      </c>
      <c r="C150" s="240">
        <f>Scenarios!C91</f>
        <v>0.93093739460099523</v>
      </c>
    </row>
    <row r="151" spans="2:4">
      <c r="B151" s="236" t="str">
        <f>"+ PV(Equity Value realized at year "&amp;C136&amp;")"</f>
        <v>+ PV(Equity Value realized at year 3)</v>
      </c>
      <c r="C151" s="240">
        <f>Scenarios!C92</f>
        <v>4.6571925372505616</v>
      </c>
    </row>
    <row r="152" spans="2:4">
      <c r="B152" s="80" t="s">
        <v>261</v>
      </c>
      <c r="C152" s="239">
        <f>Scenarios!C93</f>
        <v>5.5881299318515572</v>
      </c>
      <c r="D152" s="336">
        <f>IF($D$11="","",C152*$E$25)</f>
        <v>5.1523953598941539</v>
      </c>
    </row>
    <row r="153" spans="2:4">
      <c r="B153" s="286" t="s">
        <v>421</v>
      </c>
      <c r="C153" s="334" t="str">
        <f>Market_currency</f>
        <v>HKD</v>
      </c>
      <c r="D153" s="334" t="str">
        <f>IF($D$11="","",D$13)</f>
        <v>CNY</v>
      </c>
    </row>
    <row r="154" spans="2:4">
      <c r="B154" s="238" t="s">
        <v>263</v>
      </c>
      <c r="C154" s="92">
        <f>Scenarios!F93</f>
        <v>0.3056178239413776</v>
      </c>
    </row>
    <row r="156" spans="2:4">
      <c r="B156" s="234" t="s">
        <v>403</v>
      </c>
    </row>
    <row r="157" spans="2:4">
      <c r="B157" s="1" t="s">
        <v>413</v>
      </c>
      <c r="C157" s="92">
        <f>Scenarios!C96</f>
        <v>0.08</v>
      </c>
    </row>
    <row r="158" spans="2:4">
      <c r="B158" s="236" t="str">
        <f>"PV("&amp;C136&amp;" yrs of Dividends)"</f>
        <v>PV(3 yrs of Dividends)</v>
      </c>
      <c r="C158" s="240">
        <f>Scenarios!C97</f>
        <v>1.1389209808079233</v>
      </c>
    </row>
    <row r="159" spans="2:4">
      <c r="B159" s="236" t="str">
        <f>"+ PV(Equity Value realized at year "&amp;C136&amp;")"</f>
        <v>+ PV(Equity Value realized at year 3)</v>
      </c>
      <c r="C159" s="240">
        <f>Scenarios!C98</f>
        <v>6.3884671292874629</v>
      </c>
    </row>
    <row r="160" spans="2:4">
      <c r="B160" s="80" t="s">
        <v>404</v>
      </c>
      <c r="C160" s="239">
        <f>Scenarios!C99</f>
        <v>7.5273881100953863</v>
      </c>
      <c r="D160" s="336">
        <f>IF($D$11="","",C160*$E$25)</f>
        <v>6.9404398329240831</v>
      </c>
    </row>
    <row r="161" spans="1:6">
      <c r="B161" s="286" t="s">
        <v>421</v>
      </c>
      <c r="C161" s="334" t="str">
        <f>Market_currency</f>
        <v>HKD</v>
      </c>
      <c r="D161" s="334" t="str">
        <f>IF($D$11="","",D$13)</f>
        <v>CNY</v>
      </c>
    </row>
    <row r="162" spans="1:6">
      <c r="B162" s="238" t="s">
        <v>263</v>
      </c>
      <c r="C162" s="92">
        <f>Scenarios!F99</f>
        <v>6.4645203374150473E-2</v>
      </c>
    </row>
    <row r="164" spans="1:6">
      <c r="B164" s="234" t="s">
        <v>437</v>
      </c>
    </row>
    <row r="165" spans="1:6">
      <c r="B165" s="1" t="s">
        <v>428</v>
      </c>
      <c r="C165" s="92">
        <f>F32</f>
        <v>0.1174</v>
      </c>
    </row>
    <row r="166" spans="1:6">
      <c r="B166" s="236" t="str">
        <f>"PV("&amp;C136&amp;" yrs of Dividends)"</f>
        <v>PV(3 yrs of Dividends)</v>
      </c>
      <c r="C166" s="240">
        <f>Scenarios!C103</f>
        <v>1.06622464427646</v>
      </c>
    </row>
    <row r="167" spans="1:6">
      <c r="B167" s="236" t="str">
        <f>"+ PV(Equity Value realized at year "&amp;C136&amp;")"</f>
        <v>+ PV(Equity Value realized at year 3)</v>
      </c>
      <c r="C167" s="240">
        <f>Scenarios!C104</f>
        <v>5.7682215129807091</v>
      </c>
    </row>
    <row r="168" spans="1:6">
      <c r="B168" s="80" t="s">
        <v>404</v>
      </c>
      <c r="C168" s="239">
        <f>Scenarios!C105</f>
        <v>6.8344461572571689</v>
      </c>
      <c r="D168" s="336">
        <f>IF($D$11="","",C168*$E$25)</f>
        <v>6.3015300462834123</v>
      </c>
    </row>
    <row r="169" spans="1:6">
      <c r="B169" s="286" t="s">
        <v>421</v>
      </c>
      <c r="C169" s="334" t="str">
        <f>Market_currency</f>
        <v>HKD</v>
      </c>
      <c r="D169" s="334" t="str">
        <f>IF($D$11="","",D$13)</f>
        <v>CNY</v>
      </c>
    </row>
    <row r="170" spans="1:6">
      <c r="B170" s="238" t="s">
        <v>263</v>
      </c>
      <c r="C170" s="92">
        <f>Scenarios!F105</f>
        <v>0.15118813413900167</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374</v>
      </c>
      <c r="C22" s="181">
        <v>406532</v>
      </c>
      <c r="D22" s="181">
        <v>456596</v>
      </c>
      <c r="E22" s="181">
        <v>393768</v>
      </c>
      <c r="F22" s="181">
        <v>276599</v>
      </c>
      <c r="G22" s="181">
        <v>256657</v>
      </c>
      <c r="H22" s="181"/>
      <c r="I22" s="181"/>
      <c r="J22" s="181"/>
      <c r="K22" s="181"/>
      <c r="L22" s="181"/>
      <c r="M22" s="181"/>
    </row>
    <row r="23" spans="2:13">
      <c r="B23" s="27" t="s">
        <v>376</v>
      </c>
      <c r="C23" s="181">
        <v>-307347</v>
      </c>
      <c r="D23" s="181">
        <v>-255789</v>
      </c>
      <c r="E23" s="181">
        <v>-232971</v>
      </c>
      <c r="F23" s="181">
        <v>-149026</v>
      </c>
      <c r="G23" s="181">
        <v>-140250</v>
      </c>
      <c r="H23" s="181"/>
      <c r="I23" s="181"/>
      <c r="J23" s="181"/>
      <c r="K23" s="181"/>
      <c r="L23" s="181"/>
      <c r="M23" s="181"/>
    </row>
    <row r="24" spans="2:13">
      <c r="B24" s="27" t="s">
        <v>375</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0.16120684660340567</v>
      </c>
      <c r="H25" s="39"/>
      <c r="I25" s="39"/>
      <c r="J25" s="39"/>
      <c r="K25" s="39"/>
      <c r="L25" s="39"/>
      <c r="M25" s="39"/>
    </row>
    <row r="27" spans="2:13">
      <c r="B27" s="16" t="s">
        <v>28</v>
      </c>
      <c r="C27" s="97" t="s">
        <v>451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0.16120684660340567</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0"/>
      <c r="J77" s="330"/>
      <c r="K77" s="330"/>
      <c r="L77" s="330"/>
      <c r="M77" s="330"/>
    </row>
    <row r="78" spans="2:13">
      <c r="B78" s="93" t="s">
        <v>87</v>
      </c>
      <c r="C78" s="185">
        <f t="shared" si="40"/>
        <v>168338</v>
      </c>
      <c r="D78" s="185">
        <f t="shared" si="40"/>
        <v>182674</v>
      </c>
      <c r="E78" s="185">
        <f t="shared" si="40"/>
        <v>167751</v>
      </c>
      <c r="F78" s="185">
        <f t="shared" si="40"/>
        <v>110386</v>
      </c>
      <c r="G78" s="185">
        <f t="shared" si="40"/>
        <v>109354</v>
      </c>
      <c r="H78" s="185" t="str">
        <f t="shared" si="40"/>
        <v/>
      </c>
      <c r="I78" s="330"/>
      <c r="J78" s="330"/>
      <c r="K78" s="330"/>
      <c r="L78" s="330"/>
      <c r="M78" s="330"/>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0">
        <v>0.6</v>
      </c>
      <c r="E4" s="25"/>
      <c r="F4" s="4" t="s">
        <v>78</v>
      </c>
      <c r="G4" s="19">
        <v>216246</v>
      </c>
      <c r="H4" s="290">
        <v>0.9</v>
      </c>
    </row>
    <row r="5" spans="2:8" ht="15" customHeight="1">
      <c r="B5" s="1" t="s">
        <v>33</v>
      </c>
      <c r="C5" s="19">
        <v>9020</v>
      </c>
      <c r="D5" s="290">
        <v>0.6</v>
      </c>
      <c r="E5" s="25"/>
      <c r="F5" s="1" t="s">
        <v>29</v>
      </c>
      <c r="G5" s="19">
        <v>0</v>
      </c>
      <c r="H5" s="290">
        <v>0.7</v>
      </c>
    </row>
    <row r="6" spans="2:8" ht="15" customHeight="1">
      <c r="B6" s="4" t="s">
        <v>10</v>
      </c>
      <c r="C6" s="19">
        <v>168338</v>
      </c>
      <c r="D6" s="290">
        <v>0.5</v>
      </c>
      <c r="E6" s="25"/>
      <c r="F6" s="4" t="s">
        <v>178</v>
      </c>
      <c r="G6" s="19">
        <v>0</v>
      </c>
      <c r="H6" s="290">
        <v>0.6</v>
      </c>
    </row>
    <row r="7" spans="2:8" ht="15" customHeight="1">
      <c r="B7" s="1" t="s">
        <v>69</v>
      </c>
      <c r="C7" s="19">
        <v>0</v>
      </c>
      <c r="D7" s="290">
        <v>0.6</v>
      </c>
      <c r="E7" s="25"/>
      <c r="F7" s="4" t="s">
        <v>179</v>
      </c>
      <c r="G7" s="19">
        <v>2816</v>
      </c>
      <c r="H7" s="290">
        <v>0.6</v>
      </c>
    </row>
    <row r="8" spans="2:8" ht="15" customHeight="1">
      <c r="B8" s="1" t="s">
        <v>174</v>
      </c>
      <c r="C8" s="19">
        <v>0</v>
      </c>
      <c r="D8" s="290">
        <v>0.6</v>
      </c>
      <c r="E8" s="25"/>
      <c r="F8" s="1" t="s">
        <v>180</v>
      </c>
      <c r="G8" s="19">
        <v>0</v>
      </c>
      <c r="H8" s="290">
        <v>0.6</v>
      </c>
    </row>
    <row r="9" spans="2:8" ht="15" customHeight="1">
      <c r="B9" s="4" t="s">
        <v>25</v>
      </c>
      <c r="C9" s="19">
        <v>14192</v>
      </c>
      <c r="D9" s="290">
        <v>0.1</v>
      </c>
      <c r="E9" s="25"/>
      <c r="F9" s="4" t="s">
        <v>181</v>
      </c>
      <c r="G9" s="19">
        <v>0</v>
      </c>
      <c r="H9" s="290">
        <v>0.6</v>
      </c>
    </row>
    <row r="10" spans="2:8" ht="15" customHeight="1">
      <c r="B10" s="4" t="s">
        <v>11</v>
      </c>
      <c r="C10" s="19">
        <v>0</v>
      </c>
      <c r="D10" s="290">
        <v>0.9</v>
      </c>
      <c r="H10" s="291"/>
    </row>
    <row r="11" spans="2:8" ht="15" customHeight="1">
      <c r="B11" s="4" t="s">
        <v>12</v>
      </c>
      <c r="C11" s="19">
        <v>65367</v>
      </c>
      <c r="D11" s="290">
        <v>0.05</v>
      </c>
      <c r="H11" s="291"/>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707</v>
      </c>
      <c r="H17" s="290">
        <v>0.6</v>
      </c>
    </row>
    <row r="18" spans="2:8" ht="15" customHeight="1">
      <c r="B18" s="4" t="s">
        <v>174</v>
      </c>
      <c r="C18" s="19">
        <v>0</v>
      </c>
      <c r="D18" s="290">
        <v>0.6</v>
      </c>
      <c r="F18" s="4" t="s">
        <v>182</v>
      </c>
      <c r="G18" s="19">
        <v>290077</v>
      </c>
      <c r="H18" s="290">
        <v>0.1</v>
      </c>
    </row>
    <row r="19" spans="2:8" ht="15" customHeight="1">
      <c r="B19" s="4" t="s">
        <v>26</v>
      </c>
      <c r="C19" s="19">
        <f>480407+875436+214967+120865+14018</f>
        <v>1705693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92790</v>
      </c>
      <c r="D21" s="290">
        <v>0.05</v>
      </c>
      <c r="F21" s="1" t="s">
        <v>181</v>
      </c>
      <c r="G21" s="19">
        <v>0</v>
      </c>
      <c r="H21" s="290">
        <v>0.1</v>
      </c>
    </row>
    <row r="22" spans="2:8" ht="15" customHeight="1">
      <c r="B22" s="4" t="s">
        <v>20</v>
      </c>
      <c r="C22" s="19">
        <v>26765</v>
      </c>
      <c r="D22" s="290">
        <v>0.9</v>
      </c>
      <c r="H22" s="291"/>
    </row>
    <row r="23" spans="2:8" ht="15" customHeight="1">
      <c r="B23" s="4" t="s">
        <v>21</v>
      </c>
      <c r="C23" s="19">
        <f>7436+38695</f>
        <v>46131</v>
      </c>
      <c r="D23" s="290">
        <v>0</v>
      </c>
      <c r="H23" s="291"/>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1515371</v>
      </c>
      <c r="D46" s="188">
        <f>H29</f>
        <v>-649408.25</v>
      </c>
      <c r="F46" s="280"/>
    </row>
    <row r="47" spans="2:8" ht="15" customHeight="1">
      <c r="B47" s="1" t="str">
        <f>"Equity per share ("&amp;Market_currency&amp;")"</f>
        <v>Equity per share (HKD)</v>
      </c>
      <c r="C47" s="148">
        <f>C46*H1/Common_Shares*Exchange_Rate</f>
        <v>8.9799809541618583</v>
      </c>
      <c r="D47" s="148">
        <f>D46*H1/Common_Shares*Exchange_Rate</f>
        <v>-3.8483471813012011</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1.1309485990394448</v>
      </c>
      <c r="D50" s="95">
        <f>G31/Normalized_FCF!G8</f>
        <v>1.1394328679189951</v>
      </c>
      <c r="F50" s="280"/>
    </row>
    <row r="51" spans="2:8" ht="15" customHeight="1">
      <c r="B51" s="1" t="s">
        <v>177</v>
      </c>
      <c r="C51" s="202"/>
      <c r="D51" s="92">
        <f>G29/G32</f>
        <v>0.55044211656563169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0.11027199460614415</v>
      </c>
      <c r="D54" s="92">
        <f>Normalized_FCF!G8/G35</f>
        <v>0.1094509043265285</v>
      </c>
      <c r="F54" s="280"/>
    </row>
    <row r="55" spans="2:8" ht="15" customHeight="1">
      <c r="B55" s="1" t="s">
        <v>142</v>
      </c>
      <c r="C55" s="92">
        <f>Normalized_FCF!C11/G40</f>
        <v>3.656790481831769E-2</v>
      </c>
      <c r="D55" s="92">
        <f>Normalized_FCF!G11/G40</f>
        <v>3.656790481831769E-2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0.14258662021829249</v>
      </c>
      <c r="F58" s="5"/>
    </row>
    <row r="59" spans="2:8" ht="15" customHeight="1">
      <c r="B59" s="1" t="s">
        <v>93</v>
      </c>
      <c r="C59" s="98"/>
      <c r="D59" s="92">
        <f>G39/G32</f>
        <v>0.6195745234211173</v>
      </c>
      <c r="F59" s="280"/>
    </row>
    <row r="60" spans="2:8" ht="15" customHeight="1">
      <c r="F60" s="280"/>
    </row>
    <row r="61" spans="2:8" ht="15" customHeight="1">
      <c r="B61" s="158" t="s">
        <v>275</v>
      </c>
      <c r="C61" s="260" t="s">
        <v>138</v>
      </c>
      <c r="D61" s="218" t="s">
        <v>96</v>
      </c>
      <c r="F61" s="280"/>
    </row>
    <row r="62" spans="2:8" ht="15" customHeight="1">
      <c r="B62" s="1" t="s">
        <v>246</v>
      </c>
      <c r="C62" s="92">
        <f>IF(G28&lt;=0,0,G28/G29)</f>
        <v>0.12834612777992979</v>
      </c>
      <c r="D62" s="92">
        <f>G28/G29</f>
        <v>0.12834612777992979</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216246</v>
      </c>
      <c r="D66" s="188">
        <f>C66-D75</f>
        <v>126.15719684722717</v>
      </c>
      <c r="F66" s="5" t="s">
        <v>227</v>
      </c>
    </row>
    <row r="67" spans="2:6" ht="15" customHeight="1">
      <c r="B67" s="105" t="s">
        <v>178</v>
      </c>
      <c r="C67" s="20">
        <f>G6+G16</f>
        <v>0</v>
      </c>
      <c r="F67" s="280"/>
    </row>
    <row r="68" spans="2:6" ht="15" customHeight="1">
      <c r="B68" s="105" t="s">
        <v>182</v>
      </c>
      <c r="C68" s="20">
        <f>G18</f>
        <v>290077</v>
      </c>
      <c r="F68" s="280"/>
    </row>
    <row r="69" spans="2:6" ht="15" customHeight="1">
      <c r="B69" s="105" t="s">
        <v>180</v>
      </c>
      <c r="C69" s="20">
        <f>G8+G20</f>
        <v>0</v>
      </c>
      <c r="F69" s="280"/>
    </row>
    <row r="70" spans="2:6" ht="15" customHeight="1">
      <c r="B70" s="80" t="s">
        <v>189</v>
      </c>
      <c r="C70" s="81">
        <f>SUM(C66:C69)</f>
        <v>506323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-231112.43344421219</v>
      </c>
      <c r="D73" s="188">
        <f>(Normalized_FCF!C25+Normalized_FCF!C35-Normalized_FCF!C91)/12</f>
        <v>-216119.84280315277</v>
      </c>
      <c r="F73" s="1" t="s">
        <v>354</v>
      </c>
    </row>
    <row r="74" spans="2:6" ht="15" customHeight="1">
      <c r="B74" s="284" t="s">
        <v>324</v>
      </c>
      <c r="C74" s="285">
        <f>-$C$66/C73</f>
        <v>0.93567445410590266</v>
      </c>
      <c r="D74" s="285">
        <f>-$C$66/D73</f>
        <v>1.0005837372228803</v>
      </c>
      <c r="F74" s="280" t="s">
        <v>322</v>
      </c>
    </row>
    <row r="75" spans="2:6" ht="15" customHeight="1">
      <c r="B75" s="80" t="s">
        <v>323</v>
      </c>
      <c r="C75" s="289"/>
      <c r="D75" s="288">
        <f>MAX(-D73*D76,G5)</f>
        <v>216119.84280315277</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3523</v>
      </c>
      <c r="D79" s="188">
        <f>G7*H7+G17*H17</f>
        <v>2113.7999999999997</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3523</v>
      </c>
      <c r="D82" s="81">
        <f>SUM(D79:D81)</f>
        <v>2113.7999999999997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-303407.18270067999</v>
      </c>
      <c r="D86" s="248">
        <f>C86*scaling_factor/Common_Shares</f>
        <v>-1.6577727117292238</v>
      </c>
      <c r="E86" s="267" t="str">
        <f>Market_currency</f>
        <v>HKD</v>
      </c>
    </row>
    <row r="87" spans="2:8" ht="15" customHeight="1">
      <c r="B87" s="265" t="s">
        <v>290</v>
      </c>
      <c r="C87" s="188">
        <f>Valuation_Model!C8*Exchange_Rate</f>
        <v>136.82622519770331</v>
      </c>
      <c r="D87" s="248">
        <f>C87*scaling_factor/Common_Shares</f>
        <v>7.4759859131430409E-4</v>
      </c>
      <c r="E87" s="267" t="str">
        <f>Market_currency</f>
        <v>HKD</v>
      </c>
    </row>
    <row r="88" spans="2:8" ht="15" customHeight="1">
      <c r="B88" s="266" t="s">
        <v>190</v>
      </c>
      <c r="C88" s="188">
        <f>Valuation_Model!C9*Exchange_Rate</f>
        <v>2292.5626286159995</v>
      </c>
      <c r="D88" s="248">
        <f>C88*scaling_factor/Common_Shares</f>
        <v>1.2526228719506533E-2</v>
      </c>
      <c r="E88" s="267" t="str">
        <f>Market_currency</f>
        <v>HKD</v>
      </c>
    </row>
    <row r="89" spans="2:8" ht="15" customHeight="1">
      <c r="B89" s="80" t="s">
        <v>294</v>
      </c>
      <c r="C89" s="187">
        <f>SUM(C86:C88)</f>
        <v>-300977.79384686629</v>
      </c>
      <c r="D89" s="269">
        <f>SUM(D86:D88)</f>
        <v>-1.644498884418403</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2759911.75</v>
      </c>
      <c r="D4" s="57"/>
      <c r="E4" s="296"/>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298"/>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298"/>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298"/>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4"/>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298"/>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298"/>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297"/>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298"/>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298"/>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298"/>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5"/>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06"/>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5"/>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-2114499.0205040863</v>
      </c>
      <c r="D23" s="58"/>
      <c r="E23" s="297"/>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5"/>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3"/>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0.76614733079928599</v>
      </c>
      <c r="D28" s="26"/>
      <c r="E28" s="296" t="s">
        <v>336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96" t="s">
        <v>336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9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-314015.75</v>
      </c>
      <c r="E33" s="296" t="s">
        <v>336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296" t="s">
        <v>336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297"/>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0.11377746045684251</v>
      </c>
      <c r="D38" s="27"/>
      <c r="E38" s="29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9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-20731</v>
      </c>
      <c r="E47" s="298"/>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8793.8666926784372</v>
      </c>
      <c r="E48" s="298"/>
      <c r="G48" s="324">
        <f>IFERROR(IF(G$4="","",($C$48/$C$49)*G49),0)</f>
        <v>8793.8666926784372</v>
      </c>
      <c r="H48" s="324">
        <f t="shared" ref="H48:Q48" si="19">IFERROR(IF(H$4="","",($C$48/$C$49)*H49),0)</f>
        <v>8260.1782265015663</v>
      </c>
      <c r="I48" s="324">
        <f t="shared" si="19"/>
        <v>4735.2358665655684</v>
      </c>
      <c r="J48" s="324">
        <f t="shared" si="19"/>
        <v>1958.8565425218476</v>
      </c>
      <c r="K48" s="324">
        <f t="shared" si="19"/>
        <v>1730.9895569631838</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8799</v>
      </c>
      <c r="D49" s="321"/>
      <c r="E49" s="322"/>
      <c r="F49" s="321"/>
      <c r="G49" s="320">
        <f>Data!C52</f>
        <v>8799</v>
      </c>
      <c r="H49" s="320">
        <f>Data!D52</f>
        <v>8265</v>
      </c>
      <c r="I49" s="320">
        <f>Data!E52</f>
        <v>4738</v>
      </c>
      <c r="J49" s="320">
        <f>Data!F52</f>
        <v>1960</v>
      </c>
      <c r="K49" s="320">
        <f>Data!G52</f>
        <v>1732</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-11937.133307321563</v>
      </c>
      <c r="E50" s="298"/>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4.0689769984184679E-2</v>
      </c>
      <c r="E53" s="295" t="s">
        <v>338</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5" t="s">
        <v>339</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29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298"/>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298"/>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298"/>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298"/>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3"/>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0.78918915153982261</v>
      </c>
      <c r="D73" s="27"/>
      <c r="E73" s="29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96" t="s">
        <v>453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6.4911924209176304E-3</v>
      </c>
      <c r="D83" s="27"/>
      <c r="E83" s="29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0.44193951040398899</v>
      </c>
      <c r="E90" s="298"/>
      <c r="G90" s="113">
        <f>Data!C65</f>
        <v>0.44193951040398899</v>
      </c>
      <c r="H90" s="113">
        <f>Data!D65</f>
        <v>0.41373060548458601</v>
      </c>
      <c r="I90" s="113">
        <f>Data!E65</f>
        <v>0.39735063469471898</v>
      </c>
      <c r="J90" s="113">
        <f>Data!F65</f>
        <v>0.21309006776117501</v>
      </c>
      <c r="K90" s="113">
        <f>Data!G65</f>
        <v>0.16120684660340567</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298"/>
      <c r="G91" s="74">
        <f t="shared" ref="G91:Q91" si="37">IF(G$4="","",G90*Common_Shares/scaling_factor)</f>
        <v>80884.201330546246</v>
      </c>
      <c r="H91" s="74">
        <f t="shared" si="37"/>
        <v>75721.37996902212</v>
      </c>
      <c r="I91" s="74">
        <f t="shared" si="37"/>
        <v>72723.501698430395</v>
      </c>
      <c r="J91" s="74">
        <f t="shared" si="37"/>
        <v>38999.952564954125</v>
      </c>
      <c r="K91" s="74">
        <f t="shared" si="37"/>
        <v>29504.234696311636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98"/>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0.2895780395966685</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7.1395720582227623E-2</v>
      </c>
      <c r="E93" s="298"/>
      <c r="G93" s="23">
        <f t="shared" ref="G93:Q93" si="39">IF(G$4="","",G90/Market_Price)</f>
        <v>7.1395720582227623E-2</v>
      </c>
      <c r="H93" s="23">
        <f t="shared" si="39"/>
        <v>6.6838546928042974E-2</v>
      </c>
      <c r="I93" s="23">
        <f t="shared" si="39"/>
        <v>6.4192348092846352E-2</v>
      </c>
      <c r="J93" s="23">
        <f t="shared" si="39"/>
        <v>3.442488978371163E-2</v>
      </c>
      <c r="K93" s="23">
        <f t="shared" si="39"/>
        <v>2.6043109305881367E-2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-6.0609394682947237E-2</v>
      </c>
      <c r="D96" s="27"/>
      <c r="E96" s="29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2753007</v>
      </c>
      <c r="D101" s="26"/>
      <c r="E101" s="299"/>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0"/>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0"/>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299"/>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299"/>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9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9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2.2124551693360979</v>
      </c>
      <c r="H113" s="329">
        <f>IF(H$4="","",Data!D$22/Data!D15)</f>
        <v>2.5287631326809223</v>
      </c>
      <c r="I113" s="329">
        <f>IF(I$4="","",Data!E$22/Data!E15)</f>
        <v>2.4106818167904347</v>
      </c>
      <c r="J113" s="329">
        <f>IF(J$4="","",Data!F$22/Data!F15)</f>
        <v>2.089210991434657</v>
      </c>
      <c r="K113" s="329">
        <f>IF(K$4="","",Data!G$22/Data!G15)</f>
        <v>1.9893115689283667</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2.3177837076890597</v>
      </c>
      <c r="H114" s="329">
        <f>IF(H$4="","",Data!D$22/H19)</f>
        <v>1.4868950599058723</v>
      </c>
      <c r="I114" s="329">
        <f>IF(I$4="","",Data!E$22/I19)</f>
        <v>2.3224541263283642</v>
      </c>
      <c r="J114" s="329">
        <f>IF(J$4="","",Data!F$22/J19)</f>
        <v>2.1682669581796996</v>
      </c>
      <c r="K114" s="329">
        <f>IF(K$4="","",Data!G$22/K19)</f>
        <v>2.5190360527484983</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9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9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1"/>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0.78176763209019451</v>
      </c>
      <c r="D124" s="27"/>
      <c r="E124" s="295"/>
      <c r="F124" s="27"/>
      <c r="G124" s="178">
        <f t="shared" ref="G124:Q124" si="49">IF(G$4="","",G16*$C$3/Common_Shares*Exchange_Rate)</f>
        <v>1.0393893787857356</v>
      </c>
      <c r="H124" s="178">
        <f t="shared" si="49"/>
        <v>1.8197353333768518</v>
      </c>
      <c r="I124" s="178">
        <f t="shared" si="49"/>
        <v>1.004730807764898</v>
      </c>
      <c r="J124" s="178">
        <f t="shared" si="49"/>
        <v>0.75595213458231958</v>
      </c>
      <c r="K124" s="178">
        <f t="shared" si="49"/>
        <v>0.60377506610487963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0.12629525558807664</v>
      </c>
      <c r="D125" s="27"/>
      <c r="E125" s="295"/>
      <c r="F125" s="27"/>
      <c r="G125" s="77">
        <f t="shared" ref="G125" si="50">IF(G$4="","",G124/Market_Price)</f>
        <v>0.16791427767136277</v>
      </c>
      <c r="H125" s="77">
        <f t="shared" ref="H125" si="51">IF(H$4="","",H124/Market_Price)</f>
        <v>0.29397985999626036</v>
      </c>
      <c r="I125" s="77">
        <f t="shared" ref="I125" si="52">IF(I$4="","",I124/Market_Price)</f>
        <v>0.16231515472777025</v>
      </c>
      <c r="J125" s="77">
        <f t="shared" ref="J125" si="53">IF(J$4="","",J124/Market_Price)</f>
        <v>0.12212473902783837</v>
      </c>
      <c r="K125" s="77">
        <f t="shared" ref="K125" si="54">IF(K$4="","",K124/Market_Price)</f>
        <v>9.7540398401434511E-2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1649040.2435919205</v>
      </c>
      <c r="D6" t="str">
        <f>Reporting_currency</f>
        <v>CNY</v>
      </c>
      <c r="E6" s="354" t="s">
        <v>250</v>
      </c>
      <c r="F6" s="354"/>
      <c r="H6" s="121"/>
    </row>
    <row r="7" spans="2:8">
      <c r="B7" s="149" t="s">
        <v>225</v>
      </c>
      <c r="C7" s="226">
        <f>BS!G31</f>
        <v>279749</v>
      </c>
      <c r="D7" t="str">
        <f>Reporting_currency</f>
        <v>CNY</v>
      </c>
      <c r="E7" s="354"/>
      <c r="F7" s="354"/>
      <c r="H7" s="121"/>
    </row>
    <row r="8" spans="2:8">
      <c r="B8" s="149" t="s">
        <v>226</v>
      </c>
      <c r="C8" s="201">
        <f>BS!D66</f>
        <v>126.15719684722717</v>
      </c>
      <c r="D8" t="str">
        <f>Reporting_currency</f>
        <v>CNY</v>
      </c>
      <c r="E8" s="354"/>
      <c r="F8" s="354"/>
      <c r="H8" s="121"/>
    </row>
    <row r="9" spans="2:8">
      <c r="B9" s="227" t="s">
        <v>191</v>
      </c>
      <c r="C9" s="229">
        <f>BS!H42</f>
        <v>2113.7999999999997</v>
      </c>
      <c r="D9" t="str">
        <f>Reporting_currency</f>
        <v>CNY</v>
      </c>
      <c r="E9" s="354"/>
      <c r="F9" s="354"/>
      <c r="H9" s="121"/>
    </row>
    <row r="10" spans="2:8" ht="13.15">
      <c r="B10" s="150" t="s">
        <v>228</v>
      </c>
      <c r="C10" s="232">
        <f>C6-C7+C8+C9</f>
        <v>1371531.2007887678</v>
      </c>
      <c r="D10" t="str">
        <f>Reporting_currency</f>
        <v>CNY</v>
      </c>
      <c r="H10" s="121"/>
    </row>
    <row r="11" spans="2:8" ht="13.15" thickBot="1">
      <c r="B11" s="230" t="s">
        <v>167</v>
      </c>
      <c r="C11" s="231">
        <f>Exchange_Rate</f>
        <v>1.0845693199999999</v>
      </c>
      <c r="D11" t="str">
        <f>Thesis!C15</f>
        <v>CNY/HKD</v>
      </c>
      <c r="H11" s="121"/>
    </row>
    <row r="12" spans="2:8" ht="13.5" thickTop="1">
      <c r="B12" s="150" t="s">
        <v>103</v>
      </c>
      <c r="C12" s="112">
        <f>(C10*scaling_factor)/Common_Shares*Exchange_Rate</f>
        <v>8.1275965167090298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-4.8975772939903201E-3</v>
      </c>
      <c r="H16" s="121"/>
    </row>
    <row r="17" spans="2:8" ht="13.35" customHeight="1">
      <c r="B17" s="119" t="s">
        <v>135</v>
      </c>
      <c r="C17" s="163">
        <f>Scenarios!C64</f>
        <v>5</v>
      </c>
      <c r="H17" s="121"/>
    </row>
    <row r="18" spans="2:8" ht="13.35" customHeight="1">
      <c r="B18" s="154" t="s">
        <v>107</v>
      </c>
      <c r="C18" s="141">
        <f>(F52-C7+C8+C9)*Exchange_Rate/Common_Shares*scaling_factor</f>
        <v>8.0517797077737594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8.1275965167090298</v>
      </c>
      <c r="C65" s="125">
        <f>C12</f>
        <v>8.1275965167090298</v>
      </c>
      <c r="D65" s="125">
        <f>C12</f>
        <v>8.1275965167090298</v>
      </c>
      <c r="E65" s="142">
        <f>C12</f>
        <v>8.1275965167090298</v>
      </c>
      <c r="F65" s="125">
        <f>C12</f>
        <v>8.1275965167090298</v>
      </c>
      <c r="H65" s="121"/>
    </row>
    <row r="66" spans="1:8" ht="13.15">
      <c r="A66" s="144">
        <f t="shared" ref="A66:A71" si="3">A56</f>
        <v>5</v>
      </c>
      <c r="B66" s="125">
        <f t="shared" ref="B66:F71" si="4">(B56-$C$7+$C$8+$C$9)/Common_Shares*$C$3*Exchange_Rate</f>
        <v>6.0252995106302567</v>
      </c>
      <c r="C66" s="125">
        <f t="shared" si="4"/>
        <v>7.2344023043147887</v>
      </c>
      <c r="D66" s="125">
        <f t="shared" si="4"/>
        <v>8.28409101332932</v>
      </c>
      <c r="E66" s="125">
        <f t="shared" si="4"/>
        <v>8.4428954686481035</v>
      </c>
      <c r="F66" s="125">
        <f t="shared" si="4"/>
        <v>9.1022369628276607</v>
      </c>
      <c r="H66" s="121"/>
    </row>
    <row r="67" spans="1:8" ht="13.15">
      <c r="A67" s="144">
        <f t="shared" si="3"/>
        <v>10</v>
      </c>
      <c r="B67" s="125">
        <f t="shared" si="4"/>
        <v>4.8285941638966667</v>
      </c>
      <c r="C67" s="125">
        <f t="shared" si="4"/>
        <v>6.5497619143715893</v>
      </c>
      <c r="D67" s="125">
        <f t="shared" si="4"/>
        <v>8.4355787006335312</v>
      </c>
      <c r="E67" s="125">
        <f t="shared" si="4"/>
        <v>8.7584847610968311</v>
      </c>
      <c r="F67" s="125">
        <f t="shared" si="4"/>
        <v>10.217524996859654</v>
      </c>
      <c r="H67" s="121"/>
    </row>
    <row r="68" spans="1:8" ht="13.15">
      <c r="A68" s="144">
        <f t="shared" si="3"/>
        <v>15</v>
      </c>
      <c r="B68" s="125">
        <f t="shared" si="4"/>
        <v>3.7835682930006533</v>
      </c>
      <c r="C68" s="125">
        <f t="shared" si="4"/>
        <v>5.8461578471997049</v>
      </c>
      <c r="D68" s="125">
        <f t="shared" si="4"/>
        <v>8.6184255891335582</v>
      </c>
      <c r="E68" s="125">
        <f t="shared" si="4"/>
        <v>9.1491140152131898</v>
      </c>
      <c r="F68" s="125">
        <f t="shared" si="4"/>
        <v>11.751646716757504</v>
      </c>
      <c r="H68" s="121"/>
    </row>
    <row r="69" spans="1:8" ht="13.15">
      <c r="A69" s="145">
        <f t="shared" si="3"/>
        <v>20</v>
      </c>
      <c r="B69" s="125">
        <f t="shared" si="4"/>
        <v>3.0027145969893669</v>
      </c>
      <c r="C69" s="125">
        <f t="shared" si="4"/>
        <v>5.24859500592554</v>
      </c>
      <c r="D69" s="125">
        <f t="shared" si="4"/>
        <v>8.7999110590911229</v>
      </c>
      <c r="E69" s="125">
        <f t="shared" si="4"/>
        <v>9.5471025809038377</v>
      </c>
      <c r="F69" s="125">
        <f t="shared" si="4"/>
        <v>13.501662603321636</v>
      </c>
      <c r="H69" s="121"/>
    </row>
    <row r="70" spans="1:8" ht="13.15">
      <c r="A70" s="145">
        <f t="shared" si="3"/>
        <v>25</v>
      </c>
      <c r="B70" s="125">
        <f t="shared" si="4"/>
        <v>2.450252949822211</v>
      </c>
      <c r="C70" s="125">
        <f t="shared" si="4"/>
        <v>4.7826143080481875</v>
      </c>
      <c r="D70" s="125">
        <f t="shared" si="4"/>
        <v>8.9642298300466319</v>
      </c>
      <c r="E70" s="125">
        <f t="shared" si="4"/>
        <v>9.9172540313854753</v>
      </c>
      <c r="F70" s="125">
        <f t="shared" si="4"/>
        <v>15.335626043386533</v>
      </c>
    </row>
    <row r="71" spans="1:8" ht="13.15">
      <c r="A71" s="145">
        <f t="shared" si="3"/>
        <v>30</v>
      </c>
      <c r="B71" s="125">
        <f t="shared" si="4"/>
        <v>2.0679075161479434</v>
      </c>
      <c r="C71" s="125">
        <f t="shared" si="4"/>
        <v>4.4358616081856219</v>
      </c>
      <c r="D71" s="125">
        <f t="shared" si="4"/>
        <v>9.1052486652445079</v>
      </c>
      <c r="E71" s="125">
        <f t="shared" si="4"/>
        <v>10.243779101804671</v>
      </c>
      <c r="F71" s="125">
        <f t="shared" si="4"/>
        <v>17.169356422596369</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10.217524996859654</v>
      </c>
      <c r="F74" s="143">
        <f>Scenarios!C58</f>
        <v>0.05</v>
      </c>
    </row>
    <row r="75" spans="1:8">
      <c r="B75" s="128" t="str">
        <f>Scenarios!B36</f>
        <v>Optimistic</v>
      </c>
      <c r="C75" s="143">
        <f>Scenarios!C38</f>
        <v>0.02</v>
      </c>
      <c r="D75" s="146">
        <f>Scenarios!C37</f>
        <v>5</v>
      </c>
      <c r="E75" s="136">
        <f>INDEX(B$65:F$71, MATCH(D75, A$65:A$71, 0), MATCH(C75, B$64:F$64, 0))</f>
        <v>8.4428954686481035</v>
      </c>
      <c r="F75" s="143">
        <f>Scenarios!C40*(1-F$74-F$78)</f>
        <v>0.18</v>
      </c>
      <c r="H75" s="121"/>
    </row>
    <row r="76" spans="1:8">
      <c r="B76" s="128" t="str">
        <f>Scenarios!B24</f>
        <v>Base</v>
      </c>
      <c r="C76" s="143">
        <f>Scenarios!C26</f>
        <v>0.01</v>
      </c>
      <c r="D76" s="146">
        <f>Scenarios!C25</f>
        <v>5</v>
      </c>
      <c r="E76" s="136">
        <f>INDEX(B$65:F$71, MATCH(D76, A$65:A$71, 0), MATCH(C76, B$64:F$64, 0))</f>
        <v>8.28409101332932</v>
      </c>
      <c r="F76" s="143">
        <f>Scenarios!C28*(1-F$74-F$78)</f>
        <v>0.53999999999999992</v>
      </c>
      <c r="H76" s="121"/>
    </row>
    <row r="77" spans="1:8">
      <c r="B77" s="128" t="str">
        <f>Scenarios!B30</f>
        <v>Pessimistic</v>
      </c>
      <c r="C77" s="143">
        <f>Scenarios!C32</f>
        <v>-0.06</v>
      </c>
      <c r="D77" s="146">
        <f>Scenarios!C31</f>
        <v>5</v>
      </c>
      <c r="E77" s="136">
        <f>INDEX(B$65:F$71, MATCH(D77, A$65:A$71, 0), MATCH(C77, B$64:F$64, 0))</f>
        <v>7.2344023043147887</v>
      </c>
      <c r="F77" s="143">
        <f>Scenarios!C34*(1-F$74-F$78)</f>
        <v>0.18</v>
      </c>
      <c r="H77" s="121"/>
    </row>
    <row r="78" spans="1:8">
      <c r="B78" s="128" t="str">
        <f>Scenarios!B48</f>
        <v>Devil's advocate</v>
      </c>
      <c r="C78" s="143">
        <f>Scenarios!C50</f>
        <v>-0.15</v>
      </c>
      <c r="D78" s="146">
        <f>Scenarios!C49</f>
        <v>10</v>
      </c>
      <c r="E78" s="136">
        <f>INDEX(B$65:F$71, MATCH(D78, A$65:A$71, 0), MATCH(C78, B$64:F$64, 0))</f>
        <v>4.8285941638966667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-6.19</v>
      </c>
    </row>
    <row r="4" spans="2:9">
      <c r="B4" s="153" t="s">
        <v>147</v>
      </c>
      <c r="C4" s="121">
        <v>3</v>
      </c>
      <c r="D4" s="121"/>
      <c r="E4" s="156" t="s">
        <v>151</v>
      </c>
      <c r="F4" s="156"/>
      <c r="H4" s="274">
        <v>1</v>
      </c>
      <c r="I4" s="262">
        <f t="shared" ref="I4:I13" si="0">IF(ROW()-3 &lt; $C$76, $C$77, IF(ROW()-3 = $C$76, $C$77 + $C$60, ""))</f>
        <v>0.44193951040398899</v>
      </c>
    </row>
    <row r="5" spans="2:9">
      <c r="H5" s="274">
        <v>2</v>
      </c>
      <c r="I5" s="262">
        <f t="shared" si="0"/>
        <v>0.44193951040398899</v>
      </c>
    </row>
    <row r="6" spans="2:9" ht="13.15">
      <c r="B6" s="160" t="s">
        <v>96</v>
      </c>
      <c r="C6" s="107">
        <f>Valuation_Model!C3</f>
        <v>1000000</v>
      </c>
      <c r="E6" s="100" t="s">
        <v>281</v>
      </c>
      <c r="F6" s="100"/>
      <c r="H6" s="274">
        <v>3</v>
      </c>
      <c r="I6" s="262">
        <f t="shared" si="0"/>
        <v>8.4895682147729588</v>
      </c>
    </row>
    <row r="7" spans="2:9" ht="12.75" customHeight="1">
      <c r="B7" s="100" t="s">
        <v>276</v>
      </c>
      <c r="C7" s="115">
        <f>Normalized_FCF!G8</f>
        <v>245516</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6"/>
      <c r="H7" s="274">
        <v>4</v>
      </c>
      <c r="I7" s="262" t="str">
        <f t="shared" si="0"/>
        <v/>
      </c>
    </row>
    <row r="8" spans="2:9">
      <c r="B8" s="100" t="s">
        <v>66</v>
      </c>
      <c r="C8" s="115">
        <f>Normalized_FCF!G19</f>
        <v>175396.86669267845</v>
      </c>
      <c r="D8" t="str">
        <f>Reporting_currency</f>
        <v>CNY</v>
      </c>
      <c r="E8" s="356"/>
      <c r="F8" s="356"/>
      <c r="H8" s="274">
        <v>5</v>
      </c>
      <c r="I8" s="262" t="str">
        <f t="shared" si="0"/>
        <v/>
      </c>
    </row>
    <row r="9" spans="2:9">
      <c r="B9" s="100" t="s">
        <v>57</v>
      </c>
      <c r="C9" s="201">
        <f>Normalized_FCF!C19</f>
        <v>131923.21948735364</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0.16638727228030792</v>
      </c>
      <c r="D12" s="159"/>
      <c r="E12" s="356"/>
      <c r="F12" s="356"/>
      <c r="H12" s="274">
        <v>9</v>
      </c>
      <c r="I12" s="262" t="str">
        <f t="shared" si="0"/>
        <v/>
      </c>
    </row>
    <row r="13" spans="2:9">
      <c r="B13" s="149" t="s">
        <v>153</v>
      </c>
      <c r="C13" s="159">
        <f ca="1">(Normalized_FCF!G8/OFFSET(Normalized_FCF!G8, 0, $C$4))^(1/$C$4) - 1</f>
        <v>0.15587431850223021</v>
      </c>
      <c r="E13" s="356"/>
      <c r="F13" s="356"/>
      <c r="H13" s="274">
        <v>10</v>
      </c>
      <c r="I13" s="262" t="str">
        <f t="shared" si="0"/>
        <v/>
      </c>
    </row>
    <row r="14" spans="2:9">
      <c r="B14" s="100" t="s">
        <v>66</v>
      </c>
      <c r="C14" s="159">
        <f ca="1">(Normalized_FCF!G19/OFFSET(Normalized_FCF!G19, 0, $C$4))^(1/$C$4) - 1</f>
        <v>0.1119740670927909</v>
      </c>
      <c r="E14" s="356"/>
      <c r="F14" s="356"/>
    </row>
    <row r="16" spans="2:9" ht="13.9">
      <c r="B16" s="36" t="s">
        <v>163</v>
      </c>
      <c r="C16" s="37"/>
      <c r="D16" s="37"/>
      <c r="E16" s="37"/>
      <c r="F16" s="37"/>
    </row>
    <row r="17" spans="2:6" ht="13.15">
      <c r="B17" s="109" t="s">
        <v>152</v>
      </c>
      <c r="E17" s="160" t="s">
        <v>332</v>
      </c>
    </row>
    <row r="18" spans="2:6">
      <c r="B18" s="153" t="s">
        <v>134</v>
      </c>
      <c r="C18" s="151">
        <v>5</v>
      </c>
      <c r="E18" s="356" t="s">
        <v>333</v>
      </c>
      <c r="F18" s="357"/>
    </row>
    <row r="19" spans="2:6">
      <c r="E19" s="357"/>
      <c r="F19" s="357"/>
    </row>
    <row r="20" spans="2:6" ht="13.15">
      <c r="B20" s="160" t="s">
        <v>306</v>
      </c>
      <c r="E20" s="357"/>
      <c r="F20" s="357"/>
    </row>
    <row r="21" spans="2:6">
      <c r="B21" s="100" t="s">
        <v>279</v>
      </c>
      <c r="C21" s="161">
        <f>Market_Price</f>
        <v>6.19</v>
      </c>
      <c r="D21" t="str">
        <f>Market_currency</f>
        <v>HKD</v>
      </c>
      <c r="E21" s="357"/>
      <c r="F21" s="357"/>
    </row>
    <row r="22" spans="2:6">
      <c r="B22" s="100" t="s">
        <v>280</v>
      </c>
      <c r="C22" s="161">
        <f>Valuation_Model!C12</f>
        <v>8.1275965167090298</v>
      </c>
      <c r="D22" t="str">
        <f>Market_currency</f>
        <v>HKD</v>
      </c>
      <c r="E22" s="357"/>
      <c r="F22" s="357"/>
    </row>
    <row r="24" spans="2:6" ht="13.15">
      <c r="B24" s="160" t="s">
        <v>116</v>
      </c>
      <c r="E24" s="160" t="s">
        <v>150</v>
      </c>
      <c r="F24" s="160"/>
    </row>
    <row r="25" spans="2:6">
      <c r="B25" s="153" t="s">
        <v>134</v>
      </c>
      <c r="C25" s="167">
        <f>C18</f>
        <v>5</v>
      </c>
      <c r="D25" s="164"/>
      <c r="E25" s="355"/>
      <c r="F25" s="355"/>
    </row>
    <row r="26" spans="2:6">
      <c r="B26" s="119" t="s">
        <v>135</v>
      </c>
      <c r="C26" s="165">
        <v>0.01</v>
      </c>
      <c r="D26" s="165"/>
      <c r="E26" s="355"/>
      <c r="F26" s="355"/>
    </row>
    <row r="27" spans="2:6">
      <c r="B27" s="100" t="s">
        <v>114</v>
      </c>
      <c r="C27" s="161">
        <f>Valuation_Model!E76</f>
        <v>8.28409101332932</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5</v>
      </c>
      <c r="D31" s="164"/>
      <c r="E31" s="355"/>
      <c r="F31" s="355"/>
    </row>
    <row r="32" spans="2:6">
      <c r="B32" s="119" t="s">
        <v>135</v>
      </c>
      <c r="C32" s="165">
        <v>-0.06</v>
      </c>
      <c r="D32" s="165"/>
      <c r="E32" s="355"/>
      <c r="F32" s="355"/>
    </row>
    <row r="33" spans="2:6">
      <c r="B33" s="100" t="s">
        <v>114</v>
      </c>
      <c r="C33" s="161">
        <f>Valuation_Model!E77</f>
        <v>7.2344023043147887</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5</v>
      </c>
      <c r="D37" s="164"/>
      <c r="E37" s="355"/>
      <c r="F37" s="355"/>
    </row>
    <row r="38" spans="2:6">
      <c r="B38" s="119" t="s">
        <v>135</v>
      </c>
      <c r="C38" s="165">
        <v>0.02</v>
      </c>
      <c r="D38" s="165"/>
      <c r="E38" s="355"/>
      <c r="F38" s="355"/>
    </row>
    <row r="39" spans="2:6">
      <c r="B39" s="100" t="s">
        <v>114</v>
      </c>
      <c r="C39" s="161">
        <f>Valuation_Model!E75</f>
        <v>8.4428954686481035</v>
      </c>
      <c r="D39" t="str">
        <f>Market_currency</f>
        <v>HKD</v>
      </c>
      <c r="E39" s="355"/>
      <c r="F39" s="355"/>
    </row>
    <row r="40" spans="2:6">
      <c r="B40" s="100" t="s">
        <v>148</v>
      </c>
      <c r="C40" s="168">
        <f>1-C28-C34</f>
        <v>0.2</v>
      </c>
      <c r="D40" s="166"/>
      <c r="E40" s="355"/>
      <c r="F40" s="355"/>
    </row>
    <row r="42" spans="2:6" ht="13.15">
      <c r="B42" s="100" t="s">
        <v>121</v>
      </c>
      <c r="C42" s="155">
        <f>C27*C28+C33*C34+C39*C40</f>
        <v>8.1059141625901709</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5"/>
      <c r="F49" s="355"/>
    </row>
    <row r="50" spans="2:6">
      <c r="B50" s="119" t="s">
        <v>135</v>
      </c>
      <c r="C50" s="165">
        <v>-0.15</v>
      </c>
      <c r="D50" s="165"/>
      <c r="E50" s="355"/>
      <c r="F50" s="355"/>
    </row>
    <row r="51" spans="2:6">
      <c r="B51" s="100" t="s">
        <v>114</v>
      </c>
      <c r="C51" s="161">
        <f>Valuation_Model!E78</f>
        <v>4.8285941638966667</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10</v>
      </c>
      <c r="D55" s="164"/>
      <c r="E55" s="355"/>
      <c r="F55" s="355"/>
    </row>
    <row r="56" spans="2:6">
      <c r="B56" s="119" t="s">
        <v>135</v>
      </c>
      <c r="C56" s="165">
        <v>0.06</v>
      </c>
      <c r="D56" s="165"/>
      <c r="E56" s="355"/>
      <c r="F56" s="355"/>
    </row>
    <row r="57" spans="2:6">
      <c r="B57" s="100" t="s">
        <v>114</v>
      </c>
      <c r="C57" s="161">
        <f>Valuation_Model!E74</f>
        <v>10.217524996859654</v>
      </c>
      <c r="D57" t="str">
        <f>Market_currency</f>
        <v>HKD</v>
      </c>
      <c r="E57" s="355"/>
      <c r="F57" s="355"/>
    </row>
    <row r="58" spans="2:6">
      <c r="B58" s="100" t="s">
        <v>148</v>
      </c>
      <c r="C58" s="166">
        <v>0.05</v>
      </c>
      <c r="D58" s="166"/>
      <c r="E58" s="355"/>
      <c r="F58" s="355"/>
    </row>
    <row r="60" spans="2:6" ht="13.15">
      <c r="B60" s="100" t="s">
        <v>121</v>
      </c>
      <c r="C60" s="155">
        <f>C51*C52+C57*C58+C42*(1-C52-C58)</f>
        <v>8.0476287043689698</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-4.8975772939903201E-3</v>
      </c>
      <c r="D65" s="152"/>
      <c r="E65" s="278" t="s">
        <v>315</v>
      </c>
    </row>
    <row r="66" spans="2:6">
      <c r="B66" s="100" t="s">
        <v>103</v>
      </c>
      <c r="C66" s="161">
        <f>Valuation_Model!C18</f>
        <v>8.0517797077737594</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N</v>
      </c>
      <c r="E72" s="135" t="s">
        <v>349</v>
      </c>
      <c r="F72" s="325">
        <f>BS!D89/C60</f>
        <v>-0.20434577001864196</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0.44193951040398899</v>
      </c>
      <c r="D77" t="str">
        <f>Market_currency</f>
        <v>HKD</v>
      </c>
    </row>
    <row r="79" spans="2:6" ht="13.15">
      <c r="B79" s="109" t="s">
        <v>304</v>
      </c>
    </row>
    <row r="80" spans="2:6">
      <c r="B80" s="149" t="s">
        <v>302</v>
      </c>
      <c r="C80" s="168">
        <f>Thesis!F29</f>
        <v>0.4</v>
      </c>
    </row>
    <row r="81" spans="2:8">
      <c r="B81" s="100" t="s">
        <v>122</v>
      </c>
      <c r="C81" s="117">
        <f>PV(C80, C76, -C77, 0)</f>
        <v>0.70220709379059454</v>
      </c>
      <c r="D81" s="117"/>
      <c r="E81" s="100"/>
      <c r="F81" s="100"/>
    </row>
    <row r="82" spans="2:8">
      <c r="B82" s="100" t="s">
        <v>123</v>
      </c>
      <c r="C82" s="117">
        <f>C60/(1+C80)^C76</f>
        <v>2.9328092945951063</v>
      </c>
      <c r="D82" s="117"/>
    </row>
    <row r="83" spans="2:8" ht="13.15">
      <c r="B83" s="111" t="s">
        <v>102</v>
      </c>
      <c r="C83" s="112">
        <f>C81+C82</f>
        <v>3.6350163883857007</v>
      </c>
      <c r="D83" t="str">
        <f>Market_currency</f>
        <v>HKD</v>
      </c>
      <c r="E83" s="147" t="s">
        <v>127</v>
      </c>
      <c r="F83" s="325">
        <f>(1-C83/C60)</f>
        <v>0.54831211504423782</v>
      </c>
    </row>
    <row r="84" spans="2:8">
      <c r="E84" s="121"/>
    </row>
    <row r="85" spans="2:8" ht="13.15">
      <c r="B85" s="109" t="s">
        <v>305</v>
      </c>
    </row>
    <row r="86" spans="2:8">
      <c r="B86" s="149" t="s">
        <v>303</v>
      </c>
      <c r="C86" s="264">
        <f>Market_Price</f>
        <v>6.19</v>
      </c>
      <c r="D86" t="str">
        <f>Market_currency</f>
        <v>HKD</v>
      </c>
    </row>
    <row r="87" spans="2:8" ht="13.15">
      <c r="B87" s="100" t="s">
        <v>301</v>
      </c>
      <c r="C87" s="263">
        <f ca="1">IRR(OFFSET($I$3, 0, 0, $C$76 + 1, 1))</f>
        <v>0.15722725609816002</v>
      </c>
    </row>
    <row r="88" spans="2:8">
      <c r="B88" s="100"/>
    </row>
    <row r="89" spans="2:8" ht="13.15">
      <c r="B89" s="109" t="s">
        <v>416</v>
      </c>
    </row>
    <row r="90" spans="2:8">
      <c r="B90" s="149" t="s">
        <v>417</v>
      </c>
      <c r="C90" s="168">
        <f>Thesis!F30</f>
        <v>0.2</v>
      </c>
    </row>
    <row r="91" spans="2:8">
      <c r="B91" s="100" t="s">
        <v>122</v>
      </c>
      <c r="C91" s="117">
        <f>PV(C90, C76, -C77, 0)</f>
        <v>0.93093739460099523</v>
      </c>
      <c r="D91" s="117"/>
      <c r="E91" s="100"/>
      <c r="F91" s="100"/>
    </row>
    <row r="92" spans="2:8">
      <c r="B92" s="100" t="s">
        <v>123</v>
      </c>
      <c r="C92" s="117">
        <f>C60/(1+C90)^C76</f>
        <v>4.6571925372505616</v>
      </c>
      <c r="D92" s="117"/>
    </row>
    <row r="93" spans="2:8" ht="13.15">
      <c r="B93" s="111" t="s">
        <v>102</v>
      </c>
      <c r="C93" s="112">
        <f>C91+C92</f>
        <v>5.5881299318515572</v>
      </c>
      <c r="D93" t="str">
        <f>Market_currency</f>
        <v>HKD</v>
      </c>
      <c r="E93" s="147" t="s">
        <v>127</v>
      </c>
      <c r="F93" s="325">
        <f>(1-C93/C60)</f>
        <v>0.3056178239413776</v>
      </c>
    </row>
    <row r="95" spans="2:8" ht="13.15">
      <c r="B95" s="109" t="s">
        <v>400</v>
      </c>
      <c r="G95" s="2"/>
      <c r="H95" s="312"/>
    </row>
    <row r="96" spans="2:8">
      <c r="B96" s="149" t="s">
        <v>406</v>
      </c>
      <c r="C96" s="135">
        <f>Thesis!F31</f>
        <v>0.08</v>
      </c>
      <c r="G96" s="2"/>
      <c r="H96" s="312"/>
    </row>
    <row r="97" spans="2:8">
      <c r="B97" s="100" t="s">
        <v>122</v>
      </c>
      <c r="C97" s="117">
        <f>PV(C96, C76, -C77, 0)</f>
        <v>1.1389209808079233</v>
      </c>
      <c r="D97" s="117"/>
      <c r="G97" s="2"/>
      <c r="H97" s="312"/>
    </row>
    <row r="98" spans="2:8">
      <c r="B98" s="100" t="s">
        <v>123</v>
      </c>
      <c r="C98" s="117">
        <f>C60/(1+C96)^C76</f>
        <v>6.3884671292874629</v>
      </c>
      <c r="D98" s="117"/>
      <c r="G98" s="2"/>
      <c r="H98" s="312"/>
    </row>
    <row r="99" spans="2:8" ht="13.15">
      <c r="B99" s="111" t="s">
        <v>401</v>
      </c>
      <c r="C99" s="112">
        <f>C97+C98</f>
        <v>7.5273881100953863</v>
      </c>
      <c r="D99" t="s">
        <v>399</v>
      </c>
      <c r="E99" s="147" t="s">
        <v>127</v>
      </c>
      <c r="F99" s="325">
        <f>(1-C99/C60)</f>
        <v>6.4645203374150473E-2</v>
      </c>
    </row>
    <row r="100" spans="2:8">
      <c r="B100" s="100"/>
    </row>
    <row r="101" spans="2:8" ht="13.15">
      <c r="B101" s="109" t="s">
        <v>427</v>
      </c>
    </row>
    <row r="102" spans="2:8">
      <c r="B102" s="149" t="s">
        <v>426</v>
      </c>
      <c r="C102" s="135">
        <f>Thesis!F32</f>
        <v>0.1174</v>
      </c>
    </row>
    <row r="103" spans="2:8">
      <c r="B103" s="100" t="s">
        <v>122</v>
      </c>
      <c r="C103" s="117">
        <f>PV(C102, C76, -C77, 0)</f>
        <v>1.06622464427646</v>
      </c>
      <c r="D103" s="117"/>
    </row>
    <row r="104" spans="2:8">
      <c r="B104" s="100" t="s">
        <v>123</v>
      </c>
      <c r="C104" s="117">
        <f>C60/(1+C102)^C76</f>
        <v>5.7682215129807091</v>
      </c>
      <c r="D104" s="117"/>
    </row>
    <row r="105" spans="2:8" ht="13.15">
      <c r="B105" s="111" t="s">
        <v>401</v>
      </c>
      <c r="C105" s="112">
        <f>C103+C104</f>
        <v>6.8344461572571689</v>
      </c>
      <c r="D105" t="s">
        <v>399</v>
      </c>
      <c r="E105" s="147" t="s">
        <v>127</v>
      </c>
      <c r="F105" s="325">
        <f>(1-C105/C66)</f>
        <v>0.15118813413900167</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