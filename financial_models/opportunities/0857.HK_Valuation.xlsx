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2F65100-81E2-44B4-A545-19DC632A652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28" i="6"/>
  <c r="C136" i="6"/>
  <c r="H1" i="3"/>
  <c r="C3" i="2"/>
  <c r="C3" i="8"/>
  <c r="C90" i="9"/>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I91" i="2"/>
  <c r="Q126" i="2"/>
  <c r="Q92" i="2"/>
  <c r="Q91" i="2"/>
  <c r="Q48" i="2"/>
  <c r="J91" i="2"/>
  <c r="K126" i="2"/>
  <c r="K91" i="2"/>
  <c r="D69" i="4"/>
  <c r="L126" i="2"/>
  <c r="L92" i="2"/>
  <c r="L91" i="2"/>
  <c r="L48" i="2"/>
  <c r="N126" i="2"/>
  <c r="N91" i="2"/>
  <c r="N48" i="2"/>
  <c r="N92" i="2"/>
  <c r="P126" i="2"/>
  <c r="P91" i="2"/>
  <c r="P48" i="2"/>
  <c r="P92" i="2"/>
  <c r="O126" i="2"/>
  <c r="O91" i="2"/>
  <c r="O48" i="2"/>
  <c r="O92"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I48" i="2"/>
  <c r="K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<sst xmlns="http://schemas.openxmlformats.org/spreadsheetml/2006/main" count="606" uniqueCount="429">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</sst>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421</v>
      </c>
      <c r="D5" s="49" t="s">
        <v>422</v>
      </c>
    </row>
    <row r="6" spans="1:10">
      <c r="B6" s="4" t="s">
        <v>95</v>
      </c>
      <c r="C6" s="50">
        <v>5.8</v>
      </c>
      <c r="D6" s="48" t="s">
        <v>405</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4.9152072503751691</v>
      </c>
      <c r="D20" s="1" t="s">
        <v>315</v>
      </c>
      <c r="E20" s="330">
        <v>3</v>
      </c>
    </row>
    <row r="21" spans="1:6">
      <c r="B21" s="1" t="s">
        <v>408</v>
      </c>
      <c r="C21" s="280">
        <f ca="1">Scenarios!C87</f>
        <v>0.17842892639139052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0.13256816715305936</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9.6111921185968026</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1.6304765116761464</v>
      </c>
      <c r="D87" s="1" t="str">
        <f>Market_currency</f>
        <v>HKD</v>
      </c>
    </row>
    <row r="88" spans="2:6">
      <c r="B88" s="337" t="s">
        <v>414</v>
      </c>
      <c r="C88" s="338">
        <f>BS!G30/BS!G27</f>
        <v>0.61007460831657279</v>
      </c>
    </row>
    <row r="89" spans="2:6">
      <c r="B89" s="337" t="s">
        <v>415</v>
      </c>
      <c r="C89" s="338">
        <f>BS!G31/BS!G27</f>
        <v>0.16360901428944893</v>
      </c>
    </row>
    <row r="90" spans="2:6">
      <c r="B90" s="337" t="s">
        <v>417</v>
      </c>
      <c r="C90" s="339">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7.352889420098298E-4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1.2319977016472042E-2</v>
      </c>
      <c r="D99" s="1" t="str">
        <f>Market_currency</f>
        <v>HKD</v>
      </c>
    </row>
    <row r="101" spans="1:6" ht="24.4" customHeight="1">
      <c r="B101" s="340" t="s">
        <v>374</v>
      </c>
      <c r="C101" s="340"/>
      <c r="D101" s="340"/>
      <c r="E101" s="340"/>
      <c r="F101" s="340"/>
    </row>
    <row r="103" spans="1:6">
      <c r="B103" s="47" t="s">
        <v>283</v>
      </c>
      <c r="C103" s="248">
        <f>Valuation_Model!C12</f>
        <v>7.9937708728791401</v>
      </c>
      <c r="D103" s="1" t="str">
        <f>Market_currency</f>
        <v>HKD</v>
      </c>
    </row>
    <row r="104" spans="1:6">
      <c r="B104" s="337" t="s">
        <v>416</v>
      </c>
      <c r="C104" s="248">
        <f>BS!D47</f>
        <v>-3.7849818877411923</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7.9151197774737936</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0.44193951040398899</v>
      </c>
      <c r="D128" s="236" t="str">
        <f>Market_currency</f>
        <v>HKD</v>
      </c>
    </row>
    <row r="130" spans="1:6">
      <c r="B130" s="234" t="s">
        <v>409</v>
      </c>
      <c r="C130" s="338">
        <f>C19</f>
        <v>0.25</v>
      </c>
      <c r="D130" s="1" t="s">
        <v>419</v>
      </c>
    </row>
    <row r="131" spans="1:6">
      <c r="B131" s="236" t="str">
        <f>"PV("&amp;C126&amp;" yrs of Dividends)"</f>
        <v>PV(3 yrs of Dividends)</v>
      </c>
      <c r="C131" s="240">
        <f>Scenarios!C81</f>
        <v>0.86266592430858646</v>
      </c>
    </row>
    <row r="132" spans="1:6">
      <c r="B132" s="236" t="str">
        <f>"+ PV(Equity Value realized at year "&amp;C126&amp;")"</f>
        <v>+ PV(Equity Value realized at year 3)</v>
      </c>
      <c r="C132" s="240">
        <f>Scenarios!C82</f>
        <v>4.0525413260665824</v>
      </c>
    </row>
    <row r="133" spans="1:6">
      <c r="B133" s="80" t="s">
        <v>261</v>
      </c>
      <c r="C133" s="239">
        <f>Scenarios!C83</f>
        <v>4.9152072503751691</v>
      </c>
      <c r="D133" s="47" t="str">
        <f>Reporting_currency</f>
        <v>CNY</v>
      </c>
    </row>
    <row r="134" spans="1:6">
      <c r="B134" s="238" t="s">
        <v>263</v>
      </c>
      <c r="C134" s="92">
        <f>Scenarios!F83</f>
        <v>0.37901037652472302</v>
      </c>
    </row>
    <row r="136" spans="1:6">
      <c r="B136" s="234" t="s">
        <v>410</v>
      </c>
      <c r="C136" s="92">
        <f>Scenarios!C90</f>
        <v>0.06</v>
      </c>
      <c r="D136" s="1" t="s">
        <v>418</v>
      </c>
    </row>
    <row r="137" spans="1:6">
      <c r="B137" s="236" t="str">
        <f>"PV("&amp;C126&amp;" yrs of Dividends)"</f>
        <v>PV(3 yrs of Dividends)</v>
      </c>
      <c r="C137" s="240">
        <f>Scenarios!C91</f>
        <v>1.1813095922490893</v>
      </c>
    </row>
    <row r="138" spans="1:6">
      <c r="B138" s="236" t="str">
        <f>"+ PV(Equity Value realized at year "&amp;C126&amp;")"</f>
        <v>+ PV(Equity Value realized at year 3)</v>
      </c>
      <c r="C138" s="240">
        <f>Scenarios!C92</f>
        <v>6.6456871926773378</v>
      </c>
    </row>
    <row r="139" spans="1:6">
      <c r="B139" s="80" t="s">
        <v>411</v>
      </c>
      <c r="C139" s="239">
        <f>Scenarios!C93</f>
        <v>7.8269967849264273</v>
      </c>
      <c r="D139" s="101" t="str">
        <f>Reporting_currency</f>
        <v>CNY</v>
      </c>
    </row>
    <row r="140" spans="1:6">
      <c r="B140" s="238" t="s">
        <v>263</v>
      </c>
      <c r="C140" s="92">
        <f>Scenarios!F93</f>
        <v>1.1133500821827291E-2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c r="B27" s="16" t="s">
        <v>28</v>
      </c>
      <c r="C27" s="97" t="s">
        <v>426</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8.8321203006094517</v>
      </c>
      <c r="D47" s="148">
        <f>D46*H1/Common_Shares*Exchange_Rate</f>
        <v>-3.7849818877411923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-298411.40547624999</v>
      </c>
      <c r="D86" s="248">
        <f>C86*scaling_factor/Common_Shares</f>
        <v>-1.6304765116761464</v>
      </c>
      <c r="E86" s="269" t="str">
        <f>Market_currency</f>
        <v>HKD</v>
      </c>
    </row>
    <row r="87" spans="2:8" ht="15" customHeight="1">
      <c r="B87" s="267" t="s">
        <v>294</v>
      </c>
      <c r="C87" s="188">
        <f>Valuation_Model!C8*Exchange_Rate</f>
        <v>134.57330114540176</v>
      </c>
      <c r="D87" s="248">
        <f>C87*scaling_factor/Common_Shares</f>
        <v>7.352889420098298E-4</v>
      </c>
      <c r="E87" s="269" t="str">
        <f>Market_currency</f>
        <v>HKD</v>
      </c>
    </row>
    <row r="88" spans="2:8" ht="15" customHeight="1">
      <c r="B88" s="268" t="s">
        <v>190</v>
      </c>
      <c r="C88" s="188">
        <f>Valuation_Model!C9*Exchange_Rate</f>
        <v>2254.8142402499998</v>
      </c>
      <c r="D88" s="248">
        <f>C88*scaling_factor/Common_Shares</f>
        <v>1.2319977016472045E-2</v>
      </c>
      <c r="E88" s="269" t="str">
        <f>Market_currency</f>
        <v>HKD</v>
      </c>
    </row>
    <row r="89" spans="2:8" ht="15" customHeight="1">
      <c r="B89" s="80" t="s">
        <v>298</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428</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7.9937708728791401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7.919202432172785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7.9937708728791401</v>
      </c>
      <c r="C65" s="125">
        <f>C12</f>
        <v>7.9937708728791401</v>
      </c>
      <c r="D65" s="125">
        <f>C12</f>
        <v>7.9937708728791401</v>
      </c>
      <c r="E65" s="142">
        <f>C12</f>
        <v>7.9937708728791401</v>
      </c>
      <c r="F65" s="125">
        <f>C12</f>
        <v>7.9937708728791401</v>
      </c>
      <c r="H65" s="121"/>
    </row>
    <row r="66" spans="1:8" ht="13.15">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10.049287454771823</v>
      </c>
      <c r="F74" s="143">
        <f>Scenarios!C58</f>
        <v>0.05</v>
      </c>
    </row>
    <row r="75" spans="1:8">
      <c r="B75" s="128" t="str">
        <f>Scenarios!B36</f>
        <v>Optimistic</v>
      </c>
      <c r="C75" s="143">
        <f>Scenarios!C38</f>
        <v>0.02</v>
      </c>
      <c r="D75" s="146">
        <f>Scenarios!C37</f>
        <v>5</v>
      </c>
      <c r="E75" s="136">
        <f>INDEX(B$65:F$71, MATCH(D75, A$65:A$71, 0), MATCH(C75, B$64:F$64, 0))</f>
        <v>8.3038782426382429</v>
      </c>
      <c r="F75" s="143">
        <f>Scenarios!C40*(1-F$74-F$78)</f>
        <v>0.18</v>
      </c>
      <c r="H75" s="121"/>
    </row>
    <row r="76" spans="1:8">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c r="B77" s="128" t="str">
        <f>Scenarios!B30</f>
        <v>Pessimistic</v>
      </c>
      <c r="C77" s="143">
        <f>Scenarios!C32</f>
        <v>-0.06</v>
      </c>
      <c r="D77" s="146">
        <f>Scenarios!C31</f>
        <v>5</v>
      </c>
      <c r="E77" s="136">
        <f>INDEX(B$65:F$71, MATCH(D77, A$65:A$71, 0), MATCH(C77, B$64:F$64, 0))</f>
        <v>7.1152836270885009</v>
      </c>
      <c r="F77" s="143">
        <f>Scenarios!C34*(1-F$74-F$78)</f>
        <v>0.18</v>
      </c>
      <c r="H77" s="121"/>
    </row>
    <row r="78" spans="1:8">
      <c r="B78" s="128" t="str">
        <f>Scenarios!B48</f>
        <v>Devil's advocate</v>
      </c>
      <c r="C78" s="143">
        <f>Scenarios!C50</f>
        <v>-0.15</v>
      </c>
      <c r="D78" s="146">
        <f>Scenarios!C49</f>
        <v>10</v>
      </c>
      <c r="E78" s="136">
        <f>INDEX(B$65:F$71, MATCH(D78, A$65:A$71, 0), MATCH(C78, B$64:F$64, 0))</f>
        <v>4.7490885288115274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8.3570592878777834</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7.9937708728791401</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8.1476885958218759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7.1152836270885009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8.3038782426382429</v>
      </c>
      <c r="D39" t="str">
        <f>Market_currency</f>
        <v>HKD</v>
      </c>
      <c r="E39" s="349"/>
      <c r="F39" s="349"/>
    </row>
    <row r="40" spans="2:6">
      <c r="B40" s="100" t="s">
        <v>148</v>
      </c>
      <c r="C40" s="168">
        <f>1-C28-C34</f>
        <v>0.2</v>
      </c>
      <c r="D40" s="166"/>
      <c r="E40" s="349"/>
      <c r="F40" s="349"/>
    </row>
    <row r="42" spans="2:6" ht="13.15">
      <c r="B42" s="100" t="s">
        <v>121</v>
      </c>
      <c r="C42" s="155">
        <f>C27*C28+C33*C34+C39*C40</f>
        <v>7.9724455314384741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4.7490885288115274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10.049287454771823</v>
      </c>
      <c r="D57" t="str">
        <f>Market_currency</f>
        <v>HKD</v>
      </c>
      <c r="E57" s="349"/>
      <c r="F57" s="349"/>
    </row>
    <row r="58" spans="2:6">
      <c r="B58" s="100" t="s">
        <v>148</v>
      </c>
      <c r="C58" s="166">
        <v>0.05</v>
      </c>
      <c r="D58" s="166"/>
      <c r="E58" s="349"/>
      <c r="F58" s="349"/>
    </row>
    <row r="60" spans="2:6" ht="13.15">
      <c r="B60" s="100" t="s">
        <v>121</v>
      </c>
      <c r="C60" s="155">
        <f>C51*C52+C57*C58+C42*(1-C52-C58)</f>
        <v>7.9151197774737936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7.919202432172785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0.25</v>
      </c>
    </row>
    <row r="81" spans="2:8">
      <c r="B81" s="100" t="s">
        <v>122</v>
      </c>
      <c r="C81" s="117">
        <f>PV(C80, C76, -C77, 0)</f>
        <v>0.86266592430858646</v>
      </c>
      <c r="D81" s="117"/>
      <c r="E81" s="100"/>
      <c r="F81" s="100"/>
    </row>
    <row r="82" spans="2:8">
      <c r="B82" s="100" t="s">
        <v>123</v>
      </c>
      <c r="C82" s="117">
        <f>C60/(1+C80)^C76</f>
        <v>4.0525413260665824</v>
      </c>
      <c r="D82" s="117"/>
    </row>
    <row r="83" spans="2:8" ht="13.15">
      <c r="B83" s="111" t="s">
        <v>102</v>
      </c>
      <c r="C83" s="112">
        <f>C81+C82</f>
        <v>4.9152072503751691</v>
      </c>
      <c r="D83" t="str">
        <f>Market_currency</f>
        <v>HKD</v>
      </c>
      <c r="E83" s="147" t="s">
        <v>127</v>
      </c>
      <c r="F83" s="329">
        <f>(1-C83/C60)</f>
        <v>0.37901037652472302</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0.17842892639139052</v>
      </c>
    </row>
    <row r="88" spans="2:8">
      <c r="B88" s="100"/>
    </row>
    <row r="89" spans="2:8" ht="13.15">
      <c r="B89" s="109" t="s">
        <v>406</v>
      </c>
    </row>
    <row r="90" spans="2:8">
      <c r="B90" s="149" t="s">
        <v>413</v>
      </c>
      <c r="C90" s="135">
        <f>MAX(6%,(Thesis!E19+Thesis!C67)/2)</f>
        <v>0.06</v>
      </c>
    </row>
    <row r="91" spans="2:8">
      <c r="B91" s="100" t="s">
        <v>122</v>
      </c>
      <c r="C91" s="117">
        <f>PV(C90, C76, -C77, 0)</f>
        <v>1.1813095922490893</v>
      </c>
      <c r="D91" s="117"/>
    </row>
    <row r="92" spans="2:8">
      <c r="B92" s="100" t="s">
        <v>123</v>
      </c>
      <c r="C92" s="117">
        <f>C60/(1+C90)^C76</f>
        <v>6.6456871926773378</v>
      </c>
      <c r="D92" s="117"/>
    </row>
    <row r="93" spans="2:8" ht="13.15">
      <c r="B93" s="111" t="s">
        <v>407</v>
      </c>
      <c r="C93" s="112">
        <f>C91+C92</f>
        <v>7.8269967849264273</v>
      </c>
      <c r="D93" t="s">
        <v>405</v>
      </c>
      <c r="E93" s="147" t="s">
        <v>127</v>
      </c>
      <c r="F93" s="329">
        <f>(1-C93/C60)</f>
        <v>1.1133500821827291E-2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