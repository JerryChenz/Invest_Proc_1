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9B6979-036B-450F-AF88-EF23BEC1A843}" xr6:coauthVersionLast="47" xr6:coauthVersionMax="47" xr10:uidLastSave="{00000000-0000-0000-0000-000000000000}"/>
  <bookViews>
    <workbookView xWindow="-98" yWindow="-98" windowWidth="17115" windowHeight="10755" firstSheet="6"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<sst xmlns="http://schemas.openxmlformats.org/spreadsheetml/2006/main" count="686" uniqueCount="466">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</sst>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E26" sqref="E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6.82</v>
      </c>
      <c r="D12" s="50">
        <v>8.1</v>
      </c>
      <c r="E12" s="48"/>
    </row>
    <row r="13" spans="1:10">
      <c r="B13" s="1" t="s">
        <v>416</v>
      </c>
      <c r="C13" s="48" t="s">
        <v>396</v>
      </c>
      <c r="D13" s="48" t="s">
        <v>414</v>
      </c>
      <c r="E13" s="5"/>
    </row>
    <row r="14" spans="1:10">
      <c r="B14" s="4" t="s">
        <v>420</v>
      </c>
      <c r="C14" s="35">
        <f>Thesis!C12*Common_Shares/1000000</f>
        <v>1248203.06871876</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1.09297566</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0.91493345789603397</v>
      </c>
    </row>
    <row r="26" spans="2:6">
      <c r="B26" s="1" t="str">
        <f>"Expected Equity Value ("&amp;C13&amp;") :"</f>
        <v>Expected Equity Value (HKD) :</v>
      </c>
      <c r="C26" s="304">
        <f>C132</f>
        <v>8.9028260112975879</v>
      </c>
      <c r="D26" s="1" t="s">
        <v>399</v>
      </c>
      <c r="E26" s="301">
        <f ca="1">Scenarios!C87</f>
        <v>0.15253690981902723</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4.2145077320019828</v>
      </c>
      <c r="D29" s="310">
        <f>D149</f>
        <v>3.8559941325701459</v>
      </c>
      <c r="E29" s="306" t="s">
        <v>424</v>
      </c>
      <c r="F29" s="302">
        <v>0.3674</v>
      </c>
    </row>
    <row r="30" spans="2:6">
      <c r="B30" s="1" t="s">
        <v>426</v>
      </c>
      <c r="C30" s="311">
        <f>C157</f>
        <v>5.8404808947539815</v>
      </c>
      <c r="D30" s="311">
        <f>D157</f>
        <v>5.3436513808129824</v>
      </c>
      <c r="E30" s="307" t="s">
        <v>437</v>
      </c>
      <c r="F30" s="312">
        <v>0.21740000000000001</v>
      </c>
    </row>
    <row r="31" spans="2:6">
      <c r="B31" s="1" t="s">
        <v>427</v>
      </c>
      <c r="C31" s="311">
        <f>C165</f>
        <v>8.3156989685709988</v>
      </c>
      <c r="D31" s="311">
        <f>D165</f>
        <v>7.6083112121371475</v>
      </c>
      <c r="E31" s="307" t="s">
        <v>436</v>
      </c>
      <c r="F31" s="312">
        <v>7.4999999999999997E-2</v>
      </c>
    </row>
    <row r="32" spans="2:6">
      <c r="B32" s="1" t="s">
        <v>428</v>
      </c>
      <c r="C32" s="311">
        <f>C173</f>
        <v>7.4474177150765266</v>
      </c>
      <c r="D32" s="311">
        <f>D173</f>
        <v>6.8138916424511464</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5" customHeight="1">
      <c r="B43" s="359" t="s">
        <v>233</v>
      </c>
      <c r="C43" s="359"/>
      <c r="D43" s="359"/>
      <c r="E43" s="359"/>
      <c r="F43" s="359"/>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0.11551715542289157</v>
      </c>
      <c r="F69" s="314"/>
    </row>
    <row r="70" spans="1:6">
      <c r="B70" s="227" t="s">
        <v>308</v>
      </c>
      <c r="C70" s="92">
        <f>Normalized_FCF!C93</f>
        <v>6.4800514721992511E-2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10.504359999788274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1.670621868348847</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7.5339311991309322E-4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1.2623317707358353E-2</v>
      </c>
      <c r="D114" s="1" t="str">
        <f>Market_currency</f>
        <v>HKD</v>
      </c>
    </row>
    <row r="116" spans="1:6" ht="24.5" customHeight="1">
      <c r="B116" s="358" t="s">
        <v>366</v>
      </c>
      <c r="C116" s="358"/>
      <c r="D116" s="358"/>
      <c r="E116" s="358"/>
      <c r="F116" s="358"/>
    </row>
    <row r="118" spans="1:6">
      <c r="B118" s="47" t="s">
        <v>449</v>
      </c>
      <c r="C118" s="223">
        <f>IF(valuation_method="DCF",DCF!C12,DDM!C7)</f>
        <v>8.8471148422667003</v>
      </c>
      <c r="D118" s="1" t="str">
        <f>Market_currency</f>
        <v>HKD</v>
      </c>
    </row>
    <row r="119" spans="1:6">
      <c r="B119" s="296" t="s">
        <v>405</v>
      </c>
      <c r="C119" s="223">
        <f>BS!D47</f>
        <v>-3.8781751639367967</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258</v>
      </c>
      <c r="C132" s="217">
        <f>Scenarios!C60</f>
        <v>8.9028260112975879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3.4820993597894287</v>
      </c>
    </row>
    <row r="149" spans="2:4">
      <c r="B149" s="80" t="s">
        <v>260</v>
      </c>
      <c r="C149" s="215">
        <f>Scenarios!C83</f>
        <v>4.2145077320019828</v>
      </c>
      <c r="D149" s="300">
        <f>IF($D$11="","",C149*$E$25)</f>
        <v>3.8559941325701459</v>
      </c>
    </row>
    <row r="150" spans="2:4">
      <c r="B150" s="259" t="s">
        <v>416</v>
      </c>
      <c r="C150" s="298" t="str">
        <f>Market_currency</f>
        <v>HKD</v>
      </c>
      <c r="D150" s="298" t="str">
        <f>IF($D$11="","",D$13)</f>
        <v>CNY</v>
      </c>
    </row>
    <row r="151" spans="2:4">
      <c r="B151" s="214" t="s">
        <v>262</v>
      </c>
      <c r="C151" s="92">
        <f>Scenarios!F83</f>
        <v>0.52661012057813794</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4.9343277585231755</v>
      </c>
    </row>
    <row r="157" spans="2:4">
      <c r="B157" s="80" t="s">
        <v>260</v>
      </c>
      <c r="C157" s="215">
        <f>Scenarios!C93</f>
        <v>5.8404808947539815</v>
      </c>
      <c r="D157" s="300">
        <f>IF($D$11="","",C157*$E$25)</f>
        <v>5.3436513808129824</v>
      </c>
    </row>
    <row r="158" spans="2:4">
      <c r="B158" s="259" t="s">
        <v>416</v>
      </c>
      <c r="C158" s="298" t="str">
        <f>Market_currency</f>
        <v>HKD</v>
      </c>
      <c r="D158" s="298" t="str">
        <f>IF($D$11="","",D$13)</f>
        <v>CNY</v>
      </c>
    </row>
    <row r="159" spans="2:4">
      <c r="B159" s="214" t="s">
        <v>262</v>
      </c>
      <c r="C159" s="92">
        <f>Scenarios!F93</f>
        <v>0.34397449895769328</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7.1664238962990137</v>
      </c>
    </row>
    <row r="165" spans="2:4">
      <c r="B165" s="80" t="s">
        <v>401</v>
      </c>
      <c r="C165" s="215">
        <f>Scenarios!C99</f>
        <v>8.3156989685709988</v>
      </c>
      <c r="D165" s="300">
        <f>IF($D$11="","",C165*$E$25)</f>
        <v>7.6083112121371475</v>
      </c>
    </row>
    <row r="166" spans="2:4">
      <c r="B166" s="259" t="s">
        <v>416</v>
      </c>
      <c r="C166" s="298" t="str">
        <f>Market_currency</f>
        <v>HKD</v>
      </c>
      <c r="D166" s="298" t="str">
        <f>IF($D$11="","",D$13)</f>
        <v>CNY</v>
      </c>
    </row>
    <row r="167" spans="2:4">
      <c r="B167" s="214" t="s">
        <v>262</v>
      </c>
      <c r="C167" s="92">
        <f>Scenarios!F99</f>
        <v>6.5948390093385156E-2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6.3811930708000668</v>
      </c>
    </row>
    <row r="173" spans="2:4">
      <c r="B173" s="80" t="s">
        <v>401</v>
      </c>
      <c r="C173" s="215">
        <f>Scenarios!C105</f>
        <v>7.4474177150765266</v>
      </c>
      <c r="D173" s="300">
        <f>IF($D$11="","",C173*$E$25)</f>
        <v>6.8138916424511464</v>
      </c>
    </row>
    <row r="174" spans="2:4">
      <c r="B174" s="259" t="s">
        <v>416</v>
      </c>
      <c r="C174" s="298" t="str">
        <f>Market_currency</f>
        <v>HKD</v>
      </c>
      <c r="D174" s="298" t="str">
        <f>IF($D$11="","",D$13)</f>
        <v>CNY</v>
      </c>
    </row>
    <row r="175" spans="2:4">
      <c r="B175" s="214" t="s">
        <v>262</v>
      </c>
      <c r="C175" s="92">
        <f>Scenarios!F105</f>
        <v>0.15051480818466678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0.15996696577854258</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0.15996696577854258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9.0495834882757773</v>
      </c>
      <c r="D47" s="147">
        <f>D46*H1/Common_Shares*Exchange_Rate</f>
        <v>-3.8781751639367967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-305758.84790933999</v>
      </c>
      <c r="D86" s="223">
        <f>C86*scaling_factor/Common_Shares</f>
        <v>-1.6706218683488465</v>
      </c>
      <c r="E86" s="240" t="str">
        <f>Market_currency</f>
        <v>HKD</v>
      </c>
    </row>
    <row r="87" spans="2:8" ht="15" customHeight="1">
      <c r="B87" s="238" t="s">
        <v>287</v>
      </c>
      <c r="C87" s="76">
        <f>DCF!C8*Exchange_Rate</f>
        <v>137.88674548784803</v>
      </c>
      <c r="D87" s="223">
        <f>C87*scaling_factor/Common_Shares</f>
        <v>7.5339311991309322E-4</v>
      </c>
      <c r="E87" s="240" t="str">
        <f>Market_currency</f>
        <v>HKD</v>
      </c>
    </row>
    <row r="88" spans="2:8" ht="15" customHeight="1">
      <c r="B88" s="239" t="s">
        <v>189</v>
      </c>
      <c r="C88" s="76">
        <f>DCF!C9*Exchange_Rate</f>
        <v>2310.3319501079995</v>
      </c>
      <c r="D88" s="223">
        <f>C88*scaling_factor/Common_Shares</f>
        <v>1.2623317707358351E-2</v>
      </c>
      <c r="E88" s="240" t="str">
        <f>Market_currency</f>
        <v>HKD</v>
      </c>
    </row>
    <row r="89" spans="2:8" ht="15" customHeight="1">
      <c r="B89" s="80" t="s">
        <v>291</v>
      </c>
      <c r="C89" s="180">
        <f>SUM(C86:C88)</f>
        <v>-303310.62921374413</v>
      </c>
      <c r="D89" s="242">
        <f>SUM(D86:D88)</f>
        <v>-1.6572451575215752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0.15996696577854258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29277.310495367405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0.28735082489603825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6.4800514721992511E-2</v>
      </c>
      <c r="E93" s="268"/>
      <c r="G93" s="23">
        <f t="shared" ref="G93:Q93" si="39">IF(G$4="","",G90/Market_Price)</f>
        <v>6.4800514721992511E-2</v>
      </c>
      <c r="H93" s="23">
        <f t="shared" si="39"/>
        <v>6.0664311654631375E-2</v>
      </c>
      <c r="I93" s="23">
        <f t="shared" si="39"/>
        <v>5.826255640685029E-2</v>
      </c>
      <c r="J93" s="23">
        <f t="shared" si="39"/>
        <v>3.1244877970846775E-2</v>
      </c>
      <c r="K93" s="23">
        <f t="shared" si="39"/>
        <v>2.3455566829698325E-2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0.78782699998412054</v>
      </c>
      <c r="D124" s="27"/>
      <c r="E124" s="265"/>
      <c r="F124" s="27"/>
      <c r="G124" s="177">
        <f t="shared" ref="G124:Q124" si="49">IF(G$4="","",G16*$C$3/Common_Shares*Exchange_Rate)</f>
        <v>1.0474455355931784</v>
      </c>
      <c r="H124" s="177">
        <f t="shared" si="49"/>
        <v>1.8338398388614614</v>
      </c>
      <c r="I124" s="177">
        <f t="shared" si="49"/>
        <v>1.0125183309990482</v>
      </c>
      <c r="J124" s="177">
        <f t="shared" si="49"/>
        <v>0.76181141028728316</v>
      </c>
      <c r="K124" s="177">
        <f t="shared" si="49"/>
        <v>0.60845483935275291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0.11551715542289157</v>
      </c>
      <c r="D125" s="27"/>
      <c r="E125" s="265"/>
      <c r="F125" s="27"/>
      <c r="G125" s="77">
        <f t="shared" ref="G125" si="50">IF(G$4="","",G124/Market_Price)</f>
        <v>0.15358438938316399</v>
      </c>
      <c r="H125" s="77">
        <f t="shared" ref="H125" si="51">IF(H$4="","",H124/Market_Price)</f>
        <v>0.26889147197382129</v>
      </c>
      <c r="I125" s="77">
        <f t="shared" ref="I125" si="52">IF(I$4="","",I124/Market_Price)</f>
        <v>0.1484630983869572</v>
      </c>
      <c r="J125" s="77">
        <f t="shared" ref="J125" si="53">IF(J$4="","",J124/Market_Price)</f>
        <v>0.11170255282804738</v>
      </c>
      <c r="K125" s="77">
        <f t="shared" ref="K125" si="54">IF(K$4="","",K124/Market_Price)</f>
        <v>8.9216252104509217E-2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0.14720921988167385</v>
      </c>
      <c r="H126" s="23">
        <f>IF(H$4="","",(Data!D47*$C$3)/(Market_Price*Common_Shares))</f>
        <v>0.14465675059214525</v>
      </c>
      <c r="I126" s="23">
        <f>IF(I$4="","",(Data!E47*$C$3)/(Market_Price*Common_Shares))</f>
        <v>0.13086252076568461</v>
      </c>
      <c r="J126" s="23">
        <f>IF(J$4="","",(Data!F47*$C$3)/(Market_Price*Common_Shares))</f>
        <v>0.10606767706147217</v>
      </c>
      <c r="K126" s="23">
        <f>IF(K$4="","",(Data!G47*$C$3)/(Market_Price*Common_Shares))</f>
        <v>0.10336298895053414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8.8471148422667003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8.7669776787533404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8.8471148422667003</v>
      </c>
      <c r="C65" s="124">
        <f>C12</f>
        <v>8.8471148422667003</v>
      </c>
      <c r="D65" s="124">
        <f>C12</f>
        <v>8.8471148422667003</v>
      </c>
      <c r="E65" s="141">
        <f>C12</f>
        <v>8.8471148422667003</v>
      </c>
      <c r="F65" s="124">
        <f>C12</f>
        <v>8.8471148422667003</v>
      </c>
      <c r="H65" s="120"/>
    </row>
    <row r="66" spans="1:8" ht="13.15">
      <c r="A66" s="143">
        <f t="shared" ref="A66:A71" si="3">A56</f>
        <v>5</v>
      </c>
      <c r="B66" s="124">
        <f t="shared" ref="B66:F71" si="4">(B56-$C$7+$C$8+$C$9)/Common_Shares*$C$3*Exchange_Rate</f>
        <v>6.6185019873999993</v>
      </c>
      <c r="C66" s="124">
        <f t="shared" si="4"/>
        <v>8.6840747574824988</v>
      </c>
      <c r="D66" s="124">
        <f t="shared" si="4"/>
        <v>9.0124772877329278</v>
      </c>
      <c r="E66" s="124">
        <f t="shared" si="4"/>
        <v>9.1802133848656222</v>
      </c>
      <c r="F66" s="124">
        <f t="shared" si="4"/>
        <v>9.8759484821372219</v>
      </c>
      <c r="H66" s="120"/>
    </row>
    <row r="67" spans="1:8" ht="13.15">
      <c r="A67" s="143">
        <f t="shared" si="3"/>
        <v>10</v>
      </c>
      <c r="B67" s="124">
        <f t="shared" si="4"/>
        <v>5.3668473723885786</v>
      </c>
      <c r="C67" s="124">
        <f t="shared" si="4"/>
        <v>8.5379304629502961</v>
      </c>
      <c r="D67" s="124">
        <f t="shared" si="4"/>
        <v>9.1710237816696427</v>
      </c>
      <c r="E67" s="124">
        <f t="shared" si="4"/>
        <v>9.5105233321677201</v>
      </c>
      <c r="F67" s="124">
        <f t="shared" si="4"/>
        <v>11.043480833594344</v>
      </c>
      <c r="H67" s="120"/>
    </row>
    <row r="68" spans="1:8" ht="13.15">
      <c r="A68" s="143">
        <f t="shared" si="3"/>
        <v>15</v>
      </c>
      <c r="B68" s="124">
        <f t="shared" si="4"/>
        <v>4.2487227238715244</v>
      </c>
      <c r="C68" s="124">
        <f t="shared" si="4"/>
        <v>8.366083866145468</v>
      </c>
      <c r="D68" s="124">
        <f t="shared" si="4"/>
        <v>9.366771817980986</v>
      </c>
      <c r="E68" s="124">
        <f t="shared" si="4"/>
        <v>9.9287344068608174</v>
      </c>
      <c r="F68" s="124">
        <f t="shared" si="4"/>
        <v>12.686261465975237</v>
      </c>
      <c r="H68" s="120"/>
    </row>
    <row r="69" spans="1:8" ht="13.15">
      <c r="A69" s="144">
        <f t="shared" si="3"/>
        <v>20</v>
      </c>
      <c r="B69" s="124">
        <f t="shared" si="4"/>
        <v>3.3937682943654597</v>
      </c>
      <c r="C69" s="124">
        <f t="shared" si="4"/>
        <v>8.1999810675118923</v>
      </c>
      <c r="D69" s="124">
        <f t="shared" si="4"/>
        <v>9.5655772215055244</v>
      </c>
      <c r="E69" s="124">
        <f t="shared" si="4"/>
        <v>10.364726275149653</v>
      </c>
      <c r="F69" s="124">
        <f t="shared" si="4"/>
        <v>14.603799197614554</v>
      </c>
      <c r="H69" s="120"/>
    </row>
    <row r="70" spans="1:8" ht="13.15">
      <c r="A70" s="144">
        <f t="shared" si="3"/>
        <v>25</v>
      </c>
      <c r="B70" s="124">
        <f t="shared" si="4"/>
        <v>2.7747177728134003</v>
      </c>
      <c r="C70" s="124">
        <f t="shared" si="4"/>
        <v>8.0535433872216604</v>
      </c>
      <c r="D70" s="124">
        <f t="shared" si="4"/>
        <v>9.7497798369198794</v>
      </c>
      <c r="E70" s="124">
        <f t="shared" si="4"/>
        <v>10.779689907554442</v>
      </c>
      <c r="F70" s="124">
        <f t="shared" si="4"/>
        <v>16.660258699081506</v>
      </c>
    </row>
    <row r="71" spans="1:8" ht="13.15">
      <c r="A71" s="144">
        <f t="shared" si="3"/>
        <v>30</v>
      </c>
      <c r="B71" s="124">
        <f t="shared" si="4"/>
        <v>2.3362421058034171</v>
      </c>
      <c r="C71" s="124">
        <f t="shared" si="4"/>
        <v>7.9311799166986994</v>
      </c>
      <c r="D71" s="124">
        <f t="shared" si="4"/>
        <v>9.911561112141424</v>
      </c>
      <c r="E71" s="124">
        <f t="shared" si="4"/>
        <v>11.154309176391841</v>
      </c>
      <c r="F71" s="124">
        <f t="shared" si="4"/>
        <v>18.764582155272887</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11.043480833594344</v>
      </c>
      <c r="F74" s="142">
        <f>Scenarios!C58</f>
        <v>0.05</v>
      </c>
    </row>
    <row r="75" spans="1:8">
      <c r="B75" s="127" t="str">
        <f>Scenarios!B36</f>
        <v>Optimistic</v>
      </c>
      <c r="C75" s="142">
        <f>Scenarios!C38</f>
        <v>0.02</v>
      </c>
      <c r="D75" s="145">
        <f>Scenarios!C37</f>
        <v>5</v>
      </c>
      <c r="E75" s="135">
        <f>INDEX(B$65:F$71, MATCH(D75, A$65:A$71, 0), MATCH(C75, B$64:F$64, 0))</f>
        <v>9.1802133848656222</v>
      </c>
      <c r="F75" s="142">
        <f>Scenarios!C40*(1-F$74-F$78)</f>
        <v>0.18</v>
      </c>
      <c r="H75" s="120"/>
    </row>
    <row r="76" spans="1:8">
      <c r="B76" s="127" t="str">
        <f>Scenarios!B24</f>
        <v>Base</v>
      </c>
      <c r="C76" s="142">
        <f>Scenarios!C26</f>
        <v>0.01</v>
      </c>
      <c r="D76" s="145">
        <f>Scenarios!C25</f>
        <v>5</v>
      </c>
      <c r="E76" s="135">
        <f>INDEX(B$65:F$71, MATCH(D76, A$65:A$71, 0), MATCH(C76, B$64:F$64, 0))</f>
        <v>9.0124772877329278</v>
      </c>
      <c r="F76" s="142">
        <f>Scenarios!C28*(1-F$74-F$78)</f>
        <v>0.53999999999999992</v>
      </c>
      <c r="H76" s="120"/>
    </row>
    <row r="77" spans="1:8">
      <c r="B77" s="127" t="str">
        <f>Scenarios!B30</f>
        <v>Pessimistic</v>
      </c>
      <c r="C77" s="142">
        <f>Scenarios!C32</f>
        <v>-0.01</v>
      </c>
      <c r="D77" s="145">
        <f>Scenarios!C31</f>
        <v>5</v>
      </c>
      <c r="E77" s="135">
        <f>INDEX(B$65:F$71, MATCH(D77, A$65:A$71, 0), MATCH(C77, B$64:F$64, 0))</f>
        <v>8.6840747574824988</v>
      </c>
      <c r="F77" s="142">
        <f>Scenarios!C34*(1-F$74-F$78)</f>
        <v>0.18</v>
      </c>
      <c r="H77" s="120"/>
    </row>
    <row r="78" spans="1:8">
      <c r="B78" s="127" t="str">
        <f>Scenarios!B48</f>
        <v>Devil's advocate</v>
      </c>
      <c r="C78" s="142">
        <f>Scenarios!C50</f>
        <v>-0.15</v>
      </c>
      <c r="D78" s="145">
        <f>Scenarios!C49</f>
        <v>10</v>
      </c>
      <c r="E78" s="135">
        <f>INDEX(B$65:F$71, MATCH(D78, A$65:A$71, 0), MATCH(C78, B$64:F$64, 0))</f>
        <v>5.3668473723885786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6.440388374185023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-0.01</v>
      </c>
      <c r="D50" s="131">
        <f>C71</f>
        <v>0.01</v>
      </c>
      <c r="E50" s="131">
        <f>C70</f>
        <v>0.02</v>
      </c>
      <c r="F50" s="131">
        <f>C69</f>
        <v>0.06</v>
      </c>
      <c r="H50" s="120"/>
    </row>
    <row r="51" spans="1:8" ht="13.15">
      <c r="A51" s="143">
        <v>5</v>
      </c>
      <c r="B51" s="123">
        <f t="dataTable" ref="B51:F56" dt2D="1" dtr="1" r1="C11" r2="C12"/>
        <v>849649.9843798473</v>
      </c>
      <c r="C51" s="123">
        <v>1061717.1054630475</v>
      </c>
      <c r="D51" s="123">
        <v>1095433.3609033562</v>
      </c>
      <c r="E51" s="123">
        <v>1112654.40086664</v>
      </c>
      <c r="F51" s="123">
        <v>1184083.7599538227</v>
      </c>
      <c r="H51" s="120"/>
    </row>
    <row r="52" spans="1:8" ht="13.15">
      <c r="A52" s="143">
        <v>10</v>
      </c>
      <c r="B52" s="123">
        <v>721145.77739159763</v>
      </c>
      <c r="C52" s="123">
        <v>1046712.8411480499</v>
      </c>
      <c r="D52" s="123">
        <v>1111710.9275976787</v>
      </c>
      <c r="E52" s="123">
        <v>1146566.4859812702</v>
      </c>
      <c r="F52" s="123">
        <v>1303951.347351928</v>
      </c>
      <c r="H52" s="120"/>
    </row>
    <row r="53" spans="1:8" ht="13.15">
      <c r="A53" s="143">
        <v>15</v>
      </c>
      <c r="B53" s="123">
        <v>606350.75362988026</v>
      </c>
      <c r="C53" s="123">
        <v>1029069.7866015427</v>
      </c>
      <c r="D53" s="123">
        <v>1131807.882359809</v>
      </c>
      <c r="E53" s="123">
        <v>1189503.1570585782</v>
      </c>
      <c r="F53" s="123">
        <v>1472611.4712295011</v>
      </c>
      <c r="H53" s="120"/>
    </row>
    <row r="54" spans="1:8" ht="13.15">
      <c r="A54" s="144">
        <v>20</v>
      </c>
      <c r="B54" s="123">
        <v>518574.74924566306</v>
      </c>
      <c r="C54" s="123">
        <v>1012016.4332555471</v>
      </c>
      <c r="D54" s="123">
        <v>1152218.7292647809</v>
      </c>
      <c r="E54" s="123">
        <v>1234265.3371487071</v>
      </c>
      <c r="F54" s="123">
        <v>1669480.2101124786</v>
      </c>
      <c r="H54" s="120"/>
    </row>
    <row r="55" spans="1:8" ht="13.15">
      <c r="A55" s="144">
        <v>25</v>
      </c>
      <c r="B55" s="123">
        <v>455018.40118954721</v>
      </c>
      <c r="C55" s="123">
        <v>996982.04776836256</v>
      </c>
      <c r="D55" s="123">
        <v>1171130.3449254376</v>
      </c>
      <c r="E55" s="123">
        <v>1276868.6015569591</v>
      </c>
      <c r="F55" s="123">
        <v>1880611.695004619</v>
      </c>
      <c r="H55" s="120"/>
    </row>
    <row r="56" spans="1:8" ht="13.15">
      <c r="A56" s="144">
        <v>30</v>
      </c>
      <c r="B56" s="123">
        <v>410001.21577993833</v>
      </c>
      <c r="C56" s="123">
        <v>984419.30038158468</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6.440388374185023</v>
      </c>
      <c r="C60" s="124">
        <f>C7</f>
        <v>6.440388374185023</v>
      </c>
      <c r="D60" s="124">
        <f>C7</f>
        <v>6.440388374185023</v>
      </c>
      <c r="E60" s="141">
        <f>C7</f>
        <v>6.440388374185023</v>
      </c>
      <c r="F60" s="124">
        <f>C7</f>
        <v>6.440388374185023</v>
      </c>
      <c r="H60" s="120"/>
    </row>
    <row r="61" spans="1:8" ht="13.15">
      <c r="A61" s="143">
        <f t="shared" ref="A61:A66" si="3">A51</f>
        <v>5</v>
      </c>
      <c r="B61" s="124">
        <f t="shared" ref="B61:F66" si="4">B51/Common_Shares*$C$3*Exchange_Rate</f>
        <v>5.0739907715388757</v>
      </c>
      <c r="C61" s="124">
        <f t="shared" si="4"/>
        <v>6.340425933199425</v>
      </c>
      <c r="D61" s="124">
        <f t="shared" si="4"/>
        <v>6.5417746910409749</v>
      </c>
      <c r="E61" s="124">
        <f t="shared" si="4"/>
        <v>6.6446163310767616</v>
      </c>
      <c r="F61" s="124">
        <f t="shared" si="4"/>
        <v>7.0711824647651378</v>
      </c>
      <c r="H61" s="120"/>
    </row>
    <row r="62" spans="1:8" ht="13.15">
      <c r="A62" s="143">
        <f t="shared" si="3"/>
        <v>10</v>
      </c>
      <c r="B62" s="124">
        <f t="shared" si="4"/>
        <v>4.306581635601316</v>
      </c>
      <c r="C62" s="124">
        <f t="shared" si="4"/>
        <v>6.250822567027889</v>
      </c>
      <c r="D62" s="124">
        <f t="shared" si="4"/>
        <v>6.6389820407832145</v>
      </c>
      <c r="E62" s="124">
        <f t="shared" si="4"/>
        <v>6.8471345563208503</v>
      </c>
      <c r="F62" s="124">
        <f t="shared" si="4"/>
        <v>7.7870149174762888</v>
      </c>
      <c r="H62" s="120"/>
    </row>
    <row r="63" spans="1:8" ht="13.15">
      <c r="A63" s="143">
        <f t="shared" si="3"/>
        <v>15</v>
      </c>
      <c r="B63" s="124">
        <f t="shared" si="4"/>
        <v>3.6210418228622152</v>
      </c>
      <c r="C63" s="124">
        <f t="shared" si="4"/>
        <v>6.1454607149752754</v>
      </c>
      <c r="D63" s="124">
        <f t="shared" si="4"/>
        <v>6.7589982414231891</v>
      </c>
      <c r="E63" s="124">
        <f t="shared" si="4"/>
        <v>7.1035463456600514</v>
      </c>
      <c r="F63" s="124">
        <f t="shared" si="4"/>
        <v>8.794229567996215</v>
      </c>
      <c r="H63" s="120"/>
    </row>
    <row r="64" spans="1:8" ht="13.15">
      <c r="A64" s="144">
        <f t="shared" si="3"/>
        <v>20</v>
      </c>
      <c r="B64" s="124">
        <f t="shared" si="4"/>
        <v>3.0968558116859195</v>
      </c>
      <c r="C64" s="124">
        <f t="shared" si="4"/>
        <v>6.0436204759449295</v>
      </c>
      <c r="D64" s="124">
        <f t="shared" si="4"/>
        <v>6.8808889620011593</v>
      </c>
      <c r="E64" s="124">
        <f t="shared" si="4"/>
        <v>7.3708598192865473</v>
      </c>
      <c r="F64" s="124">
        <f t="shared" si="4"/>
        <v>9.9699021186475534</v>
      </c>
      <c r="H64" s="120"/>
    </row>
    <row r="65" spans="1:8" ht="13.15">
      <c r="A65" s="144">
        <f t="shared" si="3"/>
        <v>25</v>
      </c>
      <c r="B65" s="124">
        <f t="shared" si="4"/>
        <v>2.7173061978001223</v>
      </c>
      <c r="C65" s="124">
        <f t="shared" si="4"/>
        <v>5.953837230349496</v>
      </c>
      <c r="D65" s="124">
        <f t="shared" si="4"/>
        <v>6.993826483452537</v>
      </c>
      <c r="E65" s="124">
        <f t="shared" si="4"/>
        <v>7.6252805506688714</v>
      </c>
      <c r="F65" s="124">
        <f t="shared" si="4"/>
        <v>11.230749791946739</v>
      </c>
    </row>
    <row r="66" spans="1:8" ht="13.15">
      <c r="A66" s="144">
        <f t="shared" si="3"/>
        <v>30</v>
      </c>
      <c r="B66" s="124">
        <f t="shared" si="4"/>
        <v>2.4484698681016885</v>
      </c>
      <c r="C66" s="124">
        <f t="shared" si="4"/>
        <v>5.8788142615063776</v>
      </c>
      <c r="D66" s="124">
        <f t="shared" si="4"/>
        <v>7.0930171284912307</v>
      </c>
      <c r="E66" s="124">
        <f t="shared" si="4"/>
        <v>7.854965518036205</v>
      </c>
      <c r="F66" s="124">
        <f t="shared" si="4"/>
        <v>12.52094360890017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7.7870149174762888</v>
      </c>
      <c r="F69" s="142">
        <f>Scenarios!C58</f>
        <v>0.05</v>
      </c>
    </row>
    <row r="70" spans="1:8">
      <c r="B70" s="127" t="str">
        <f>Scenarios!B36</f>
        <v>Optimistic</v>
      </c>
      <c r="C70" s="142">
        <f>Scenarios!C38</f>
        <v>0.02</v>
      </c>
      <c r="D70" s="145">
        <f>Scenarios!C37</f>
        <v>5</v>
      </c>
      <c r="E70" s="135">
        <f>INDEX(B$60:F$66, MATCH(D70, A$60:A$66, 0), MATCH(C70, B$59:F$59, 0))</f>
        <v>6.6446163310767616</v>
      </c>
      <c r="F70" s="142">
        <f>Scenarios!C40*(1-F$69-F$73)</f>
        <v>0.18</v>
      </c>
      <c r="H70" s="120"/>
    </row>
    <row r="71" spans="1:8">
      <c r="B71" s="127" t="str">
        <f>Scenarios!B24</f>
        <v>Base</v>
      </c>
      <c r="C71" s="142">
        <f>Scenarios!C26</f>
        <v>0.01</v>
      </c>
      <c r="D71" s="145">
        <f>Scenarios!C25</f>
        <v>5</v>
      </c>
      <c r="E71" s="135">
        <f>INDEX(B$60:F$66, MATCH(D71, A$60:A$66, 0), MATCH(C71, B$59:F$59, 0))</f>
        <v>6.5417746910409749</v>
      </c>
      <c r="F71" s="142">
        <f>Scenarios!C28*(1-F$69-F$73)</f>
        <v>0.53999999999999992</v>
      </c>
      <c r="H71" s="120"/>
    </row>
    <row r="72" spans="1:8">
      <c r="B72" s="127" t="str">
        <f>Scenarios!B30</f>
        <v>Pessimistic</v>
      </c>
      <c r="C72" s="142">
        <f>Scenarios!C32</f>
        <v>-0.01</v>
      </c>
      <c r="D72" s="145">
        <f>Scenarios!C31</f>
        <v>5</v>
      </c>
      <c r="E72" s="135">
        <f>INDEX(B$60:F$66, MATCH(D72, A$60:A$66, 0), MATCH(C72, B$59:F$59, 0))</f>
        <v>6.340425933199425</v>
      </c>
      <c r="F72" s="142">
        <f>Scenarios!C34*(1-F$69-F$73)</f>
        <v>0.18</v>
      </c>
      <c r="H72" s="120"/>
    </row>
    <row r="73" spans="1:8">
      <c r="B73" s="127" t="str">
        <f>Scenarios!B48</f>
        <v>Devil's advocate</v>
      </c>
      <c r="C73" s="142">
        <f>Scenarios!C50</f>
        <v>-0.15</v>
      </c>
      <c r="D73" s="145">
        <f>Scenarios!C49</f>
        <v>10</v>
      </c>
      <c r="E73" s="135">
        <f>INDEX(B$60:F$66, MATCH(D73, A$60:A$66, 0), MATCH(C73, B$59:F$59, 0))</f>
        <v>4.306581635601316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1" zoomScale="75" zoomScaleNormal="100" workbookViewId="0">
      <selection activeCell="F54" sqref="F5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-6.82</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9.3447655217015768</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6.82</v>
      </c>
      <c r="D21" t="str">
        <f>Market_currency</f>
        <v>HKD</v>
      </c>
      <c r="E21" s="367"/>
      <c r="F21" s="367"/>
    </row>
    <row r="22" spans="2:6">
      <c r="B22" s="100" t="s">
        <v>278</v>
      </c>
      <c r="C22" s="160">
        <f>IF(valuation_method="DCF",DCF!C12,DDM!C7)</f>
        <v>8.8471148422667003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9.0124772877329278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8.6840747574824988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9.1802133848656222</v>
      </c>
      <c r="D39" t="str">
        <f>Market_currency</f>
        <v>HKD</v>
      </c>
      <c r="E39" s="365"/>
      <c r="F39" s="365"/>
    </row>
    <row r="40" spans="2:6">
      <c r="B40" s="100" t="s">
        <v>147</v>
      </c>
      <c r="C40" s="167">
        <f>1-C28-C34</f>
        <v>0.2</v>
      </c>
      <c r="D40" s="165"/>
      <c r="E40" s="365"/>
      <c r="F40" s="365"/>
    </row>
    <row r="42" spans="2:6" ht="13.15">
      <c r="B42" s="100" t="s">
        <v>120</v>
      </c>
      <c r="C42" s="154">
        <f>C27*C28+C33*C34+C39*C40</f>
        <v>8.9803440011093816</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5.3668473723885786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11.043480833594344</v>
      </c>
      <c r="D57" t="str">
        <f>Market_currency</f>
        <v>HKD</v>
      </c>
      <c r="E57" s="365"/>
      <c r="F57" s="365"/>
    </row>
    <row r="58" spans="2:6">
      <c r="B58" s="100" t="s">
        <v>147</v>
      </c>
      <c r="C58" s="165">
        <v>0.05</v>
      </c>
      <c r="D58" s="165"/>
      <c r="E58" s="365"/>
      <c r="F58" s="365"/>
    </row>
    <row r="60" spans="2:6" ht="13.15">
      <c r="B60" s="100" t="s">
        <v>120</v>
      </c>
      <c r="C60" s="154">
        <f>C51*C52+C57*C58+C42*(1-C52-C58)</f>
        <v>8.9028260112975879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8.7669776787533404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-0.18614821354686134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3.4820993597894287</v>
      </c>
      <c r="D82" s="116"/>
    </row>
    <row r="83" spans="2:8" ht="13.15">
      <c r="B83" s="110" t="s">
        <v>101</v>
      </c>
      <c r="C83" s="111">
        <f>C81+C82</f>
        <v>4.2145077320019828</v>
      </c>
      <c r="D83" t="str">
        <f>Market_currency</f>
        <v>HKD</v>
      </c>
      <c r="E83" s="146" t="s">
        <v>126</v>
      </c>
      <c r="F83" s="291">
        <f>(1-C83/C60)</f>
        <v>0.52661012057813794</v>
      </c>
    </row>
    <row r="84" spans="2:8">
      <c r="E84" s="120"/>
    </row>
    <row r="85" spans="2:8" ht="13.15">
      <c r="B85" s="109" t="s">
        <v>302</v>
      </c>
    </row>
    <row r="86" spans="2:8">
      <c r="B86" s="148" t="s">
        <v>300</v>
      </c>
      <c r="C86" s="116">
        <f>Market_Price</f>
        <v>6.82</v>
      </c>
      <c r="D86" t="str">
        <f>Market_currency</f>
        <v>HKD</v>
      </c>
    </row>
    <row r="87" spans="2:8" ht="13.15">
      <c r="B87" s="100" t="s">
        <v>298</v>
      </c>
      <c r="C87" s="237">
        <f ca="1">IRR(OFFSET($I$3, 0, 0, $C$76 + 1, 1))</f>
        <v>0.15253690981902723</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4.9343277585231755</v>
      </c>
      <c r="D92" s="116"/>
    </row>
    <row r="93" spans="2:8" ht="13.15">
      <c r="B93" s="110" t="s">
        <v>101</v>
      </c>
      <c r="C93" s="111">
        <f>C91+C92</f>
        <v>5.8404808947539815</v>
      </c>
      <c r="D93" t="str">
        <f>Market_currency</f>
        <v>HKD</v>
      </c>
      <c r="E93" s="146" t="s">
        <v>126</v>
      </c>
      <c r="F93" s="291">
        <f>(1-C93/C60)</f>
        <v>0.34397449895769328</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7.1664238962990137</v>
      </c>
      <c r="D98" s="116"/>
      <c r="G98" s="2"/>
      <c r="H98" s="281"/>
    </row>
    <row r="99" spans="2:8" ht="13.15">
      <c r="B99" s="110" t="s">
        <v>398</v>
      </c>
      <c r="C99" s="111">
        <f>C97+C98</f>
        <v>8.3156989685709988</v>
      </c>
      <c r="D99" t="s">
        <v>396</v>
      </c>
      <c r="E99" s="146" t="s">
        <v>126</v>
      </c>
      <c r="F99" s="291">
        <f>(1-C99/C60)</f>
        <v>6.5948390093385156E-2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6.3811930708000668</v>
      </c>
      <c r="D104" s="116"/>
    </row>
    <row r="105" spans="2:8" ht="13.15">
      <c r="B105" s="110" t="s">
        <v>398</v>
      </c>
      <c r="C105" s="111">
        <f>C103+C104</f>
        <v>7.4474177150765266</v>
      </c>
      <c r="D105" t="s">
        <v>396</v>
      </c>
      <c r="E105" s="146" t="s">
        <v>126</v>
      </c>
      <c r="F105" s="291">
        <f>(1-C105/C66)</f>
        <v>0.15051480818466678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