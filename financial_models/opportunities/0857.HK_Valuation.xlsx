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72CCDD0-7658-4816-9FFD-A85C305AE723}"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I94" i="2"/>
  <c r="O92" i="2"/>
  <c r="O94" i="2"/>
  <c r="Q92" i="2"/>
  <c r="Q94" i="2"/>
  <c r="N92" i="2"/>
  <c r="N94" i="2"/>
  <c r="C44" i="6"/>
  <c r="C44" i="12"/>
  <c r="J94"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165" i="12"/>
  <c r="C31" i="12" s="1"/>
  <c r="F83" i="9"/>
  <c r="C149" i="12"/>
  <c r="C29" i="12" s="1"/>
  <c r="C149" i="6"/>
  <c r="C29" i="6" s="1"/>
  <c r="C173" i="6"/>
  <c r="C173" i="12"/>
  <c r="C32" i="12" s="1"/>
  <c r="F99" i="9"/>
  <c r="D165" i="6"/>
  <c r="D31" i="6" s="1"/>
  <c r="C31" i="6"/>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<sst xmlns="http://schemas.openxmlformats.org/spreadsheetml/2006/main" count="837" uniqueCount="561">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</sst>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85F9CE8-C40E-4A63-BABE-CDE95F9570C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57.HK_Valuation_backup.xlsx" TargetMode="External"/><Relationship Id="rId1" Type="http://schemas.openxmlformats.org/officeDocument/2006/relationships/externalLinkPath" Target="085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183020977818</v>
          </cell>
        </row>
        <row r="12">
          <cell r="C12">
            <v>7.01</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中国石油股份</v>
      </c>
    </row>
    <row r="6" spans="1:10">
      <c r="B6" s="4" t="s">
        <v>481</v>
      </c>
      <c r="C6" s="34">
        <f>Common_Shares</f>
        <v>183020977818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0857.HK</v>
      </c>
      <c r="D11" s="49"/>
      <c r="E11" s="34"/>
    </row>
    <row r="12" spans="1:10">
      <c r="B12" s="4" t="s">
        <v>485</v>
      </c>
      <c r="C12" s="366">
        <f>Market_Price</f>
        <v>7.46</v>
      </c>
      <c r="D12" s="50"/>
      <c r="E12" s="48"/>
    </row>
    <row r="13" spans="1:10">
      <c r="B13" s="1" t="s">
        <v>486</v>
      </c>
      <c r="C13" s="32" t="str">
        <f>Market_currency</f>
        <v>HKD</v>
      </c>
      <c r="D13" s="48"/>
      <c r="E13" s="5"/>
    </row>
    <row r="14" spans="1:10">
      <c r="B14" s="4" t="s">
        <v>487</v>
      </c>
      <c r="C14" s="35">
        <f>投资主题!C12*Common_Shares/1000000</f>
        <v>1365336.4945222801</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1.0966030899999999</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8.9323732183764371</v>
      </c>
      <c r="D26" s="1" t="s">
        <v>447</v>
      </c>
      <c r="E26" s="301">
        <f ca="1">Scenarios!C87</f>
        <v>0.11224495639351839</v>
      </c>
    </row>
    <row r="27" spans="2:6">
      <c r="D27" s="5"/>
      <c r="E27" s="5"/>
    </row>
    <row r="28" spans="2:6">
      <c r="B28" s="45" t="s">
        <v>449</v>
      </c>
      <c r="C28" s="309" t="str">
        <f>C145&amp;" ("&amp;Market_currency&amp;")"</f>
        <v>0857.HK (HKD)</v>
      </c>
      <c r="D28" s="309" t="str">
        <f>IF(D11="","",D145&amp;" ("&amp;D13&amp;")")</f>
        <v/>
      </c>
      <c r="E28" s="305" t="s">
        <v>454</v>
      </c>
      <c r="F28" s="361">
        <f>Thesis!F28</f>
        <v>3</v>
      </c>
    </row>
    <row r="29" spans="2:6">
      <c r="B29" s="1" t="s">
        <v>450</v>
      </c>
      <c r="C29" s="310">
        <f>C149</f>
        <v>4.3050212121408382</v>
      </c>
      <c r="D29" s="310" t="str">
        <f>D149</f>
        <v/>
      </c>
      <c r="E29" s="306" t="s">
        <v>456</v>
      </c>
      <c r="F29" s="362">
        <f>Thesis!F29</f>
        <v>0.35</v>
      </c>
    </row>
    <row r="30" spans="2:6">
      <c r="B30" s="1" t="s">
        <v>451</v>
      </c>
      <c r="C30" s="311">
        <f>C157</f>
        <v>5.3497744196864634</v>
      </c>
      <c r="D30" s="311" t="str">
        <f>D157</f>
        <v/>
      </c>
      <c r="E30" s="307" t="s">
        <v>455</v>
      </c>
      <c r="F30" s="224">
        <f>Thesis!F30</f>
        <v>0.25</v>
      </c>
    </row>
    <row r="31" spans="2:6">
      <c r="B31" s="1" t="s">
        <v>452</v>
      </c>
      <c r="C31" s="311">
        <f>C165</f>
        <v>8.2245557979814095</v>
      </c>
      <c r="D31" s="311" t="str">
        <f>D165</f>
        <v/>
      </c>
      <c r="E31" s="307" t="s">
        <v>492</v>
      </c>
      <c r="F31" s="224">
        <f>Thesis!F31</f>
        <v>7.4999999999999997E-2</v>
      </c>
    </row>
    <row r="32" spans="2:6">
      <c r="B32" s="1" t="s">
        <v>453</v>
      </c>
      <c r="C32" s="311">
        <f>C173</f>
        <v>7.3619735184072059</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1000000</v>
      </c>
    </row>
    <row r="40" spans="1:6">
      <c r="B40" s="370" t="s">
        <v>495</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496</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497</v>
      </c>
      <c r="C47" s="370"/>
      <c r="D47" s="370"/>
      <c r="E47" s="370"/>
      <c r="F47" s="370"/>
    </row>
    <row r="48" spans="1:6">
      <c r="B48" s="47" t="s">
        <v>233</v>
      </c>
      <c r="C48" s="349">
        <f>Normalized_FCF!C11</f>
        <v>18644</v>
      </c>
      <c r="D48" s="1" t="str">
        <f>Reporting_currency</f>
        <v>CNY</v>
      </c>
    </row>
    <row r="50" spans="2:6">
      <c r="B50" s="370" t="s">
        <v>498</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499</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0.10595733045515504</v>
      </c>
      <c r="F69" s="314"/>
    </row>
    <row r="70" spans="1:6">
      <c r="B70" s="227" t="s">
        <v>435</v>
      </c>
      <c r="C70" s="92">
        <f>Normalized_FCF!C94</f>
        <v>5.3317099110400813E-2</v>
      </c>
      <c r="E70" s="47" t="s">
        <v>504</v>
      </c>
      <c r="F70" s="315">
        <f>Normalized_FCF!C92</f>
        <v>0.61311573235445438</v>
      </c>
    </row>
    <row r="72" spans="1:6">
      <c r="B72" s="210" t="s">
        <v>514</v>
      </c>
      <c r="C72" s="323" t="s">
        <v>430</v>
      </c>
      <c r="D72" s="323" t="s">
        <v>505</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10.539222469272756</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279749</v>
      </c>
      <c r="D102" s="1" t="str">
        <f>Reporting_currency</f>
        <v>CNY</v>
      </c>
    </row>
    <row r="103" spans="2:6">
      <c r="B103" s="47" t="s">
        <v>276</v>
      </c>
      <c r="C103" s="223">
        <f>C102*scaling_factor*Exchange_Rate/Common_Shares</f>
        <v>1.6761664235532183</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515</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7.5589352399799863E-4</v>
      </c>
      <c r="D110" s="1" t="str">
        <f>Market_currency</f>
        <v>HKD</v>
      </c>
    </row>
    <row r="112" spans="2:6">
      <c r="B112" s="1" t="s">
        <v>516</v>
      </c>
    </row>
    <row r="113" spans="1:6">
      <c r="B113" s="47" t="s">
        <v>253</v>
      </c>
      <c r="C113" s="349">
        <f>DCF!C9</f>
        <v>2113.7999999999997</v>
      </c>
      <c r="D113" s="1" t="str">
        <f>Reporting_currency</f>
        <v>CNY</v>
      </c>
    </row>
    <row r="114" spans="1:6">
      <c r="B114" s="47" t="s">
        <v>278</v>
      </c>
      <c r="C114" s="223">
        <f>C113*scaling_factor*Exchange_Rate/Common_Shares</f>
        <v>1.2665212694618365E-2</v>
      </c>
      <c r="D114" s="1" t="str">
        <f>Market_currency</f>
        <v>HKD</v>
      </c>
    </row>
    <row r="116" spans="1:6">
      <c r="B116" s="374" t="s">
        <v>517</v>
      </c>
      <c r="C116" s="374"/>
      <c r="D116" s="374"/>
      <c r="E116" s="374"/>
      <c r="F116" s="374"/>
    </row>
    <row r="118" spans="1:6">
      <c r="B118" s="47" t="s">
        <v>518</v>
      </c>
      <c r="C118" s="223">
        <f>IF(valuation_method="DCF",DCF!C12,DDM!C7)</f>
        <v>8.876477151938154</v>
      </c>
      <c r="D118" s="1" t="str">
        <f>Market_currency</f>
        <v>HKD</v>
      </c>
    </row>
    <row r="119" spans="1:6">
      <c r="B119" s="296" t="s">
        <v>551</v>
      </c>
      <c r="C119" s="223">
        <f>BS!D47</f>
        <v>-3.8910462730106428</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10</v>
      </c>
      <c r="E126" s="231" t="str">
        <f>ROUND(IF(valuation_method="DCF",DCF!E74,DDM!E69),2)&amp;" "&amp;Market_currency</f>
        <v>11.08 HKD</v>
      </c>
      <c r="F126" s="232">
        <f>DCF!F74</f>
        <v>0.05</v>
      </c>
    </row>
    <row r="127" spans="1:6">
      <c r="B127" s="218" t="str">
        <f>DCF!B75</f>
        <v>Optimistic</v>
      </c>
      <c r="C127" s="219">
        <f>DCF!C75</f>
        <v>0.02</v>
      </c>
      <c r="D127" s="220">
        <f>DCF!D75</f>
        <v>5</v>
      </c>
      <c r="E127" s="231" t="str">
        <f>ROUND(IF(valuation_method="DCF",DCF!E75,DDM!E70),2)&amp;" "&amp;Market_currency</f>
        <v>9.21 HKD</v>
      </c>
      <c r="F127" s="221">
        <f>DCF!F75</f>
        <v>0.18</v>
      </c>
    </row>
    <row r="128" spans="1:6">
      <c r="B128" s="218" t="str">
        <f>DCF!B76</f>
        <v>Base</v>
      </c>
      <c r="C128" s="219">
        <f>DCF!C76</f>
        <v>0.01</v>
      </c>
      <c r="D128" s="220">
        <f>DCF!D76</f>
        <v>5</v>
      </c>
      <c r="E128" s="231" t="str">
        <f>ROUND(IF(valuation_method="DCF",DCF!E76,DDM!E71),2)&amp;" "&amp;Market_currency</f>
        <v>9.04 HKD</v>
      </c>
      <c r="F128" s="221">
        <f>DCF!F76</f>
        <v>0.53999999999999992</v>
      </c>
    </row>
    <row r="129" spans="1:6">
      <c r="B129" s="218" t="str">
        <f>DCF!B77</f>
        <v>Pessimistic</v>
      </c>
      <c r="C129" s="219">
        <f>DCF!C77</f>
        <v>-0.01</v>
      </c>
      <c r="D129" s="220">
        <f>DCF!D77</f>
        <v>5</v>
      </c>
      <c r="E129" s="231" t="str">
        <f>ROUND(IF(valuation_method="DCF",DCF!E77,DDM!E72),2)&amp;" "&amp;Market_currency</f>
        <v>8.71 HKD</v>
      </c>
      <c r="F129" s="221">
        <f>DCF!F77</f>
        <v>0.18</v>
      </c>
    </row>
    <row r="130" spans="1:6">
      <c r="B130" s="218" t="str">
        <f>DCF!B78</f>
        <v>Devil's advocate</v>
      </c>
      <c r="C130" s="219">
        <f>DCF!C78</f>
        <v>-0.15</v>
      </c>
      <c r="D130" s="220">
        <f>DCF!D78</f>
        <v>10</v>
      </c>
      <c r="E130" s="231" t="str">
        <f>ROUND(IF(valuation_method="DCF",DCF!E78,DDM!E73),2)&amp;" "&amp;Market_currency</f>
        <v>5.38 HKD</v>
      </c>
      <c r="F130" s="221">
        <f>DCF!F78</f>
        <v>0.05</v>
      </c>
    </row>
    <row r="132" spans="1:6">
      <c r="B132" s="211" t="s">
        <v>254</v>
      </c>
      <c r="C132" s="217">
        <f>Scenarios!C60</f>
        <v>8.9323732183764371</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0.39774555936359007</v>
      </c>
      <c r="D143" s="212" t="str">
        <f>Market_currency</f>
        <v>HKD</v>
      </c>
    </row>
    <row r="145" spans="2:4">
      <c r="B145" s="210" t="s">
        <v>532</v>
      </c>
      <c r="C145" s="241" t="str">
        <f>C11</f>
        <v>0857.HK</v>
      </c>
      <c r="D145" s="241" t="str">
        <f>IF(D11="","",D11)</f>
        <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3.6304925949810234</v>
      </c>
    </row>
    <row r="149" spans="2:4">
      <c r="B149" s="80" t="s">
        <v>256</v>
      </c>
      <c r="C149" s="215">
        <f>Scenarios!C83</f>
        <v>4.3050212121408382</v>
      </c>
      <c r="D149" s="300" t="str">
        <f>IF($D$11="","",C149*$E$25)</f>
        <v/>
      </c>
    </row>
    <row r="150" spans="2:4">
      <c r="B150" s="259" t="s">
        <v>533</v>
      </c>
      <c r="C150" s="298" t="str">
        <f>Market_currency</f>
        <v>HKD</v>
      </c>
      <c r="D150" s="298" t="str">
        <f>IF($D$11="","",D$13)</f>
        <v/>
      </c>
    </row>
    <row r="151" spans="2:4">
      <c r="B151" s="214" t="s">
        <v>534</v>
      </c>
      <c r="C151" s="92">
        <f>Scenarios!F83</f>
        <v>0.51804284181899352</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4.5733750878087358</v>
      </c>
    </row>
    <row r="157" spans="2:4">
      <c r="B157" s="80" t="s">
        <v>256</v>
      </c>
      <c r="C157" s="215">
        <f>Scenarios!C93</f>
        <v>5.3497744196864634</v>
      </c>
      <c r="D157" s="300" t="str">
        <f>IF($D$11="","",C157*$E$25)</f>
        <v/>
      </c>
    </row>
    <row r="158" spans="2:4">
      <c r="B158" s="259" t="s">
        <v>533</v>
      </c>
      <c r="C158" s="298" t="str">
        <f>Market_currency</f>
        <v>HKD</v>
      </c>
      <c r="D158" s="298" t="str">
        <f>IF($D$11="","",D$13)</f>
        <v/>
      </c>
    </row>
    <row r="159" spans="2:4">
      <c r="B159" s="214" t="s">
        <v>534</v>
      </c>
      <c r="C159" s="92">
        <f>Scenarios!F93</f>
        <v>0.40108028528404382</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7.1902082329366221</v>
      </c>
    </row>
    <row r="165" spans="2:4">
      <c r="B165" s="80" t="s">
        <v>382</v>
      </c>
      <c r="C165" s="215">
        <f>Scenarios!C99</f>
        <v>8.2245557979814095</v>
      </c>
      <c r="D165" s="300" t="str">
        <f>IF($D$11="","",C165*$E$25)</f>
        <v/>
      </c>
    </row>
    <row r="166" spans="2:4">
      <c r="B166" s="259" t="s">
        <v>533</v>
      </c>
      <c r="C166" s="298" t="str">
        <f>Market_currency</f>
        <v>HKD</v>
      </c>
      <c r="D166" s="298" t="str">
        <f>IF($D$11="","",D$13)</f>
        <v/>
      </c>
    </row>
    <row r="167" spans="2:4">
      <c r="B167" s="214" t="s">
        <v>534</v>
      </c>
      <c r="C167" s="92">
        <f>Scenarios!F99</f>
        <v>7.9241809885288395E-2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6.4023713385583925</v>
      </c>
    </row>
    <row r="173" spans="2:4">
      <c r="B173" s="80" t="s">
        <v>382</v>
      </c>
      <c r="C173" s="215">
        <f>Scenarios!C105</f>
        <v>7.3619735184072059</v>
      </c>
      <c r="D173" s="300" t="str">
        <f>IF($D$11="","",C173*$E$25)</f>
        <v/>
      </c>
    </row>
    <row r="174" spans="2:4">
      <c r="B174" s="259" t="s">
        <v>533</v>
      </c>
      <c r="C174" s="298" t="str">
        <f>Market_currency</f>
        <v>HKD</v>
      </c>
      <c r="D174" s="298" t="str">
        <f>IF($D$11="","",D$13)</f>
        <v/>
      </c>
    </row>
    <row r="175" spans="2:4">
      <c r="B175" s="214" t="s">
        <v>534</v>
      </c>
      <c r="C175" s="92">
        <f>Scenarios!F105</f>
        <v>0.16303870365455442</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183020977818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7.46</v>
      </c>
      <c r="D12" s="50">
        <v>8.1</v>
      </c>
      <c r="E12" s="48"/>
    </row>
    <row r="13" spans="1:10">
      <c r="B13" s="1" t="s">
        <v>465</v>
      </c>
      <c r="C13" s="48" t="s">
        <v>377</v>
      </c>
      <c r="D13" s="48" t="s">
        <v>394</v>
      </c>
      <c r="E13" s="5"/>
    </row>
    <row r="14" spans="1:10">
      <c r="B14" s="4" t="s">
        <v>466</v>
      </c>
      <c r="C14" s="35">
        <f>Thesis!C12*Common_Shares/1000000</f>
        <v>1365336.4945222801</v>
      </c>
      <c r="D14" s="35">
        <f>IF(D11="","",Thesis!D12*Common_Shares/1000000)</f>
        <v>1482469.9203258001</v>
      </c>
      <c r="E14" s="5"/>
    </row>
    <row r="15" spans="1:10">
      <c r="B15" s="4" t="s">
        <v>467</v>
      </c>
      <c r="C15" s="32" t="str">
        <f>IF(C25=C13,C13,C25&amp;"/"&amp;C13)</f>
        <v>CNY/HKD</v>
      </c>
      <c r="D15" s="32" t="str">
        <f>IF(D11="","",IF(C25=D13,D13,C25&amp;"/"&amp;D13))</f>
        <v>CNY</v>
      </c>
      <c r="E15" s="5"/>
    </row>
    <row r="16" spans="1:10">
      <c r="B16" s="4" t="s">
        <v>468</v>
      </c>
      <c r="C16" s="50">
        <v>1.0966030899999999</v>
      </c>
      <c r="D16" s="50">
        <v>1</v>
      </c>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0.91190696900188395</v>
      </c>
    </row>
    <row r="26" spans="2:6">
      <c r="B26" s="1" t="str">
        <f>"Expected Equity Value ("&amp;C13&amp;") :"</f>
        <v>Expected Equity Value (HKD) :</v>
      </c>
      <c r="C26" s="304">
        <f>C132</f>
        <v>8.9323732183764371</v>
      </c>
      <c r="D26" s="1" t="s">
        <v>380</v>
      </c>
      <c r="E26" s="301">
        <f ca="1">Scenarios!C87</f>
        <v>0.11224495639351839</v>
      </c>
    </row>
    <row r="27" spans="2:6">
      <c r="D27" s="5"/>
      <c r="E27" s="5"/>
    </row>
    <row r="28" spans="2:6">
      <c r="B28" s="45" t="s">
        <v>410</v>
      </c>
      <c r="C28" s="309" t="str">
        <f>C145&amp;" ("&amp;Market_currency&amp;")"</f>
        <v>0857.HK (HKD)</v>
      </c>
      <c r="D28" s="309" t="str">
        <f>IF(D11="","",D145&amp;" ("&amp;D13&amp;")")</f>
        <v>601857.SS (CNY)</v>
      </c>
      <c r="E28" s="305" t="s">
        <v>406</v>
      </c>
      <c r="F28" s="303">
        <v>3</v>
      </c>
    </row>
    <row r="29" spans="2:6">
      <c r="B29" s="1" t="s">
        <v>402</v>
      </c>
      <c r="C29" s="310">
        <f>C149</f>
        <v>4.3050212121408382</v>
      </c>
      <c r="D29" s="310">
        <f>D149</f>
        <v>3.925778845052168</v>
      </c>
      <c r="E29" s="306" t="s">
        <v>401</v>
      </c>
      <c r="F29" s="302">
        <v>0.35</v>
      </c>
    </row>
    <row r="30" spans="2:6">
      <c r="B30" s="1" t="s">
        <v>403</v>
      </c>
      <c r="C30" s="311">
        <f>C157</f>
        <v>5.3497744196864634</v>
      </c>
      <c r="D30" s="311">
        <f>D157</f>
        <v>4.8784965759000958</v>
      </c>
      <c r="E30" s="307" t="s">
        <v>414</v>
      </c>
      <c r="F30" s="312">
        <v>0.25</v>
      </c>
    </row>
    <row r="31" spans="2:6">
      <c r="B31" s="1" t="s">
        <v>404</v>
      </c>
      <c r="C31" s="311">
        <f>C165</f>
        <v>8.2245557979814095</v>
      </c>
      <c r="D31" s="311">
        <f>D165</f>
        <v>7.5000297491240984</v>
      </c>
      <c r="E31" s="307" t="s">
        <v>413</v>
      </c>
      <c r="F31" s="312">
        <v>7.4999999999999997E-2</v>
      </c>
    </row>
    <row r="32" spans="2:6">
      <c r="B32" s="1" t="s">
        <v>405</v>
      </c>
      <c r="C32" s="311">
        <f>C173</f>
        <v>7.3619735184072059</v>
      </c>
      <c r="D32" s="311">
        <f>D173</f>
        <v>6.7134349570428506</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229</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232</v>
      </c>
      <c r="C47" s="370"/>
      <c r="D47" s="370"/>
      <c r="E47" s="370"/>
      <c r="F47" s="370"/>
    </row>
    <row r="48" spans="1:6">
      <c r="B48" s="47" t="s">
        <v>233</v>
      </c>
      <c r="C48" s="349">
        <f>Normalized_FCF!C11</f>
        <v>18644</v>
      </c>
      <c r="D48" s="1" t="str">
        <f>Reporting_currency</f>
        <v>CNY</v>
      </c>
    </row>
    <row r="50" spans="2:6">
      <c r="B50" s="370" t="s">
        <v>236</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242</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0.10595733045515504</v>
      </c>
      <c r="F69" s="314"/>
    </row>
    <row r="70" spans="1:6">
      <c r="B70" s="227" t="s">
        <v>435</v>
      </c>
      <c r="C70" s="92">
        <f>Normalized_FCF!C94</f>
        <v>5.3317099110400813E-2</v>
      </c>
      <c r="E70" s="47" t="s">
        <v>425</v>
      </c>
      <c r="F70" s="315">
        <f>Normalized_FCF!C92</f>
        <v>0.61311573235445438</v>
      </c>
    </row>
    <row r="72" spans="1:6">
      <c r="B72" s="210" t="s">
        <v>428</v>
      </c>
      <c r="C72" s="323" t="s">
        <v>430</v>
      </c>
      <c r="D72" s="323" t="s">
        <v>431</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10.539222469272756</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279749</v>
      </c>
      <c r="D102" s="1" t="str">
        <f>Reporting_currency</f>
        <v>CNY</v>
      </c>
    </row>
    <row r="103" spans="2:6">
      <c r="B103" s="47" t="s">
        <v>276</v>
      </c>
      <c r="C103" s="223">
        <f>C102*scaling_factor*Exchange_Rate/Common_Shares</f>
        <v>1.6761664235532183</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250</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7.5589352399799863E-4</v>
      </c>
      <c r="D110" s="1" t="str">
        <f>Market_currency</f>
        <v>HKD</v>
      </c>
    </row>
    <row r="112" spans="2:6">
      <c r="B112" s="1" t="s">
        <v>252</v>
      </c>
    </row>
    <row r="113" spans="1:6">
      <c r="B113" s="47" t="s">
        <v>253</v>
      </c>
      <c r="C113" s="349">
        <f>DCF!C9</f>
        <v>2113.7999999999997</v>
      </c>
      <c r="D113" s="1" t="str">
        <f>Reporting_currency</f>
        <v>CNY</v>
      </c>
    </row>
    <row r="114" spans="1:6">
      <c r="B114" s="47" t="s">
        <v>278</v>
      </c>
      <c r="C114" s="223">
        <f>C113*scaling_factor*Exchange_Rate/Common_Shares</f>
        <v>1.2665212694618365E-2</v>
      </c>
      <c r="D114" s="1" t="str">
        <f>Market_currency</f>
        <v>HKD</v>
      </c>
    </row>
    <row r="116" spans="1:6" ht="24.6" customHeight="1">
      <c r="B116" s="374" t="s">
        <v>352</v>
      </c>
      <c r="C116" s="374"/>
      <c r="D116" s="374"/>
      <c r="E116" s="374"/>
      <c r="F116" s="374"/>
    </row>
    <row r="118" spans="1:6">
      <c r="B118" s="47" t="s">
        <v>426</v>
      </c>
      <c r="C118" s="223">
        <f>IF(valuation_method="DCF",DCF!C12,DDM!C7)</f>
        <v>8.876477151938154</v>
      </c>
      <c r="D118" s="1" t="str">
        <f>Market_currency</f>
        <v>HKD</v>
      </c>
    </row>
    <row r="119" spans="1:6">
      <c r="B119" s="296" t="s">
        <v>550</v>
      </c>
      <c r="C119" s="223">
        <f>BS!D47</f>
        <v>-3.8910462730106428</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11.08 HKD</v>
      </c>
      <c r="F126" s="232">
        <f>DCF!F74</f>
        <v>0.05</v>
      </c>
    </row>
    <row r="127" spans="1:6">
      <c r="B127" s="218" t="str">
        <f>DCF!B75</f>
        <v>Optimistic</v>
      </c>
      <c r="C127" s="219">
        <f>DCF!C75</f>
        <v>0.02</v>
      </c>
      <c r="D127" s="220">
        <f>DCF!D75</f>
        <v>5</v>
      </c>
      <c r="E127" s="231" t="str">
        <f>ROUND(IF(valuation_method="DCF",DCF!E75,DDM!E70),2)&amp;" "&amp;Market_currency</f>
        <v>9.21 HKD</v>
      </c>
      <c r="F127" s="221">
        <f>DCF!F75</f>
        <v>0.18</v>
      </c>
    </row>
    <row r="128" spans="1:6">
      <c r="B128" s="218" t="str">
        <f>DCF!B76</f>
        <v>Base</v>
      </c>
      <c r="C128" s="219">
        <f>DCF!C76</f>
        <v>0.01</v>
      </c>
      <c r="D128" s="220">
        <f>DCF!D76</f>
        <v>5</v>
      </c>
      <c r="E128" s="231" t="str">
        <f>ROUND(IF(valuation_method="DCF",DCF!E76,DDM!E71),2)&amp;" "&amp;Market_currency</f>
        <v>9.04 HKD</v>
      </c>
      <c r="F128" s="221">
        <f>DCF!F76</f>
        <v>0.53999999999999992</v>
      </c>
    </row>
    <row r="129" spans="1:6">
      <c r="B129" s="218" t="str">
        <f>DCF!B77</f>
        <v>Pessimistic</v>
      </c>
      <c r="C129" s="219">
        <f>DCF!C77</f>
        <v>-0.01</v>
      </c>
      <c r="D129" s="220">
        <f>DCF!D77</f>
        <v>5</v>
      </c>
      <c r="E129" s="231" t="str">
        <f>ROUND(IF(valuation_method="DCF",DCF!E77,DDM!E72),2)&amp;" "&amp;Market_currency</f>
        <v>8.71 HKD</v>
      </c>
      <c r="F129" s="221">
        <f>DCF!F77</f>
        <v>0.18</v>
      </c>
    </row>
    <row r="130" spans="1:6">
      <c r="B130" s="218" t="str">
        <f>DCF!B78</f>
        <v>Devil's advocate</v>
      </c>
      <c r="C130" s="219">
        <f>DCF!C78</f>
        <v>-0.15</v>
      </c>
      <c r="D130" s="220">
        <f>DCF!D78</f>
        <v>10</v>
      </c>
      <c r="E130" s="231" t="str">
        <f>ROUND(IF(valuation_method="DCF",DCF!E78,DDM!E73),2)&amp;" "&amp;Market_currency</f>
        <v>5.38 HKD</v>
      </c>
      <c r="F130" s="221">
        <f>DCF!F78</f>
        <v>0.05</v>
      </c>
    </row>
    <row r="132" spans="1:6">
      <c r="B132" s="211" t="s">
        <v>254</v>
      </c>
      <c r="C132" s="217">
        <f>Scenarios!C60</f>
        <v>8.9323732183764371</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0.39774555936359007</v>
      </c>
      <c r="D143" s="212" t="str">
        <f>Market_currency</f>
        <v>HKD</v>
      </c>
    </row>
    <row r="145" spans="2:4">
      <c r="B145" s="210" t="s">
        <v>388</v>
      </c>
      <c r="C145" s="241" t="str">
        <f>C11</f>
        <v>0857.HK</v>
      </c>
      <c r="D145" s="241" t="str">
        <f>IF(D11="","",D11)</f>
        <v>601857.SS</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3.6304925949810234</v>
      </c>
    </row>
    <row r="149" spans="2:4">
      <c r="B149" s="80" t="s">
        <v>256</v>
      </c>
      <c r="C149" s="215">
        <f>Scenarios!C83</f>
        <v>4.3050212121408382</v>
      </c>
      <c r="D149" s="300">
        <f>IF($D$11="","",C149*$E$25)</f>
        <v>3.925778845052168</v>
      </c>
    </row>
    <row r="150" spans="2:4">
      <c r="B150" s="259" t="s">
        <v>396</v>
      </c>
      <c r="C150" s="298" t="str">
        <f>Market_currency</f>
        <v>HKD</v>
      </c>
      <c r="D150" s="298" t="str">
        <f>IF($D$11="","",D$13)</f>
        <v>CNY</v>
      </c>
    </row>
    <row r="151" spans="2:4">
      <c r="B151" s="214" t="s">
        <v>258</v>
      </c>
      <c r="C151" s="92">
        <f>Scenarios!F83</f>
        <v>0.51804284181899352</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4.5733750878087358</v>
      </c>
    </row>
    <row r="157" spans="2:4">
      <c r="B157" s="80" t="s">
        <v>256</v>
      </c>
      <c r="C157" s="215">
        <f>Scenarios!C93</f>
        <v>5.3497744196864634</v>
      </c>
      <c r="D157" s="300">
        <f>IF($D$11="","",C157*$E$25)</f>
        <v>4.8784965759000958</v>
      </c>
    </row>
    <row r="158" spans="2:4">
      <c r="B158" s="259" t="s">
        <v>396</v>
      </c>
      <c r="C158" s="298" t="str">
        <f>Market_currency</f>
        <v>HKD</v>
      </c>
      <c r="D158" s="298" t="str">
        <f>IF($D$11="","",D$13)</f>
        <v>CNY</v>
      </c>
    </row>
    <row r="159" spans="2:4">
      <c r="B159" s="214" t="s">
        <v>258</v>
      </c>
      <c r="C159" s="92">
        <f>Scenarios!F93</f>
        <v>0.40108028528404382</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7.1902082329366221</v>
      </c>
    </row>
    <row r="165" spans="2:4">
      <c r="B165" s="80" t="s">
        <v>382</v>
      </c>
      <c r="C165" s="215">
        <f>Scenarios!C99</f>
        <v>8.2245557979814095</v>
      </c>
      <c r="D165" s="300">
        <f>IF($D$11="","",C165*$E$25)</f>
        <v>7.5000297491240984</v>
      </c>
    </row>
    <row r="166" spans="2:4">
      <c r="B166" s="259" t="s">
        <v>396</v>
      </c>
      <c r="C166" s="298" t="str">
        <f>Market_currency</f>
        <v>HKD</v>
      </c>
      <c r="D166" s="298" t="str">
        <f>IF($D$11="","",D$13)</f>
        <v>CNY</v>
      </c>
    </row>
    <row r="167" spans="2:4">
      <c r="B167" s="214" t="s">
        <v>258</v>
      </c>
      <c r="C167" s="92">
        <f>Scenarios!F99</f>
        <v>7.9241809885288395E-2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6.4023713385583925</v>
      </c>
    </row>
    <row r="173" spans="2:4">
      <c r="B173" s="80" t="s">
        <v>382</v>
      </c>
      <c r="C173" s="215">
        <f>Scenarios!C105</f>
        <v>7.3619735184072059</v>
      </c>
      <c r="D173" s="300">
        <f>IF($D$11="","",C173*$E$25)</f>
        <v>6.7134349570428506</v>
      </c>
    </row>
    <row r="174" spans="2:4">
      <c r="B174" s="259" t="s">
        <v>396</v>
      </c>
      <c r="C174" s="298" t="str">
        <f>Market_currency</f>
        <v>HKD</v>
      </c>
      <c r="D174" s="298" t="str">
        <f>IF($D$11="","",D$13)</f>
        <v>CNY</v>
      </c>
    </row>
    <row r="175" spans="2:4">
      <c r="B175" s="214" t="s">
        <v>258</v>
      </c>
      <c r="C175" s="92">
        <f>Scenarios!F105</f>
        <v>0.16303870365455442</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2937981</v>
      </c>
      <c r="D4" s="351">
        <v>3011012</v>
      </c>
      <c r="E4" s="351">
        <v>3239167</v>
      </c>
      <c r="F4" s="351">
        <v>1851487</v>
      </c>
      <c r="G4" s="351">
        <v>1729735</v>
      </c>
      <c r="H4" s="351"/>
      <c r="I4" s="351"/>
      <c r="J4" s="351"/>
      <c r="K4" s="351"/>
      <c r="L4" s="351"/>
      <c r="M4" s="351"/>
    </row>
    <row r="5" spans="2:13">
      <c r="B5" s="40" t="s">
        <v>41</v>
      </c>
      <c r="C5" s="351">
        <f>2275223</f>
        <v>2275223</v>
      </c>
      <c r="D5" s="351">
        <v>2302385</v>
      </c>
      <c r="E5" s="351">
        <v>2527935</v>
      </c>
      <c r="F5" s="351">
        <v>1379524</v>
      </c>
      <c r="G5" s="351">
        <v>1278781</v>
      </c>
      <c r="H5" s="351"/>
      <c r="I5" s="351"/>
      <c r="J5" s="351"/>
      <c r="K5" s="351"/>
      <c r="L5" s="351"/>
      <c r="M5" s="351"/>
    </row>
    <row r="6" spans="2:13">
      <c r="B6" s="40" t="s">
        <v>52</v>
      </c>
      <c r="C6" s="351">
        <f>266012+65026+C7</f>
        <v>394228</v>
      </c>
      <c r="D6" s="351">
        <v>420298</v>
      </c>
      <c r="E6" s="351">
        <v>395706</v>
      </c>
      <c r="F6" s="351">
        <v>296185</v>
      </c>
      <c r="G6" s="351">
        <v>285968</v>
      </c>
      <c r="H6" s="351"/>
      <c r="I6" s="351"/>
      <c r="J6" s="351"/>
      <c r="K6" s="351"/>
      <c r="L6" s="351"/>
      <c r="M6" s="351"/>
    </row>
    <row r="7" spans="2:13">
      <c r="B7" s="69" t="s">
        <v>59</v>
      </c>
      <c r="C7" s="352">
        <v>63190</v>
      </c>
      <c r="D7" s="352">
        <v>70260</v>
      </c>
      <c r="E7" s="352">
        <v>68352</v>
      </c>
      <c r="F7" s="352">
        <v>48552</v>
      </c>
      <c r="G7" s="352">
        <v>47670</v>
      </c>
      <c r="H7" s="352"/>
      <c r="I7" s="352"/>
      <c r="J7" s="352"/>
      <c r="K7" s="352"/>
      <c r="L7" s="352"/>
      <c r="M7" s="352"/>
    </row>
    <row r="8" spans="2:13">
      <c r="B8" s="40" t="s">
        <v>47</v>
      </c>
      <c r="C8" s="351">
        <v>23014</v>
      </c>
      <c r="D8" s="351">
        <v>21957</v>
      </c>
      <c r="E8" s="351">
        <v>20016</v>
      </c>
      <c r="F8" s="351">
        <v>16796</v>
      </c>
      <c r="G8" s="351">
        <v>15217</v>
      </c>
      <c r="H8" s="351"/>
      <c r="I8" s="351"/>
      <c r="J8" s="351"/>
      <c r="K8" s="351"/>
      <c r="L8" s="351"/>
      <c r="M8" s="351"/>
    </row>
    <row r="9" spans="2:13">
      <c r="B9" s="40" t="s">
        <v>155</v>
      </c>
      <c r="C9" s="351">
        <v>18644</v>
      </c>
      <c r="D9" s="351">
        <v>18538</v>
      </c>
      <c r="E9" s="351">
        <v>15251</v>
      </c>
      <c r="F9" s="351">
        <v>12877</v>
      </c>
      <c r="G9" s="351">
        <v>11296</v>
      </c>
      <c r="H9" s="351"/>
      <c r="I9" s="351"/>
      <c r="J9" s="351"/>
      <c r="K9" s="351"/>
      <c r="L9" s="351"/>
      <c r="M9" s="351"/>
    </row>
    <row r="10" spans="2:13">
      <c r="B10" s="40" t="s">
        <v>163</v>
      </c>
      <c r="C10" s="351"/>
      <c r="D10" s="351">
        <v>0</v>
      </c>
      <c r="E10" s="351">
        <v>0</v>
      </c>
      <c r="F10" s="351">
        <v>0</v>
      </c>
      <c r="G10" s="351">
        <v>0</v>
      </c>
      <c r="H10" s="351"/>
      <c r="I10" s="351"/>
      <c r="J10" s="351"/>
      <c r="K10" s="351"/>
      <c r="L10" s="351"/>
      <c r="M10" s="351"/>
    </row>
    <row r="11" spans="2:13">
      <c r="B11" s="40" t="s">
        <v>154</v>
      </c>
      <c r="C11" s="351"/>
      <c r="D11" s="351">
        <v>0</v>
      </c>
      <c r="E11" s="351">
        <v>0</v>
      </c>
      <c r="F11" s="351">
        <v>0</v>
      </c>
      <c r="G11" s="351">
        <v>0</v>
      </c>
      <c r="H11" s="351"/>
      <c r="I11" s="351"/>
      <c r="J11" s="351"/>
      <c r="K11" s="351"/>
      <c r="L11" s="351"/>
      <c r="M11" s="351"/>
    </row>
    <row r="12" spans="2:13">
      <c r="B12" s="40" t="s">
        <v>37</v>
      </c>
      <c r="C12" s="351">
        <v>20731</v>
      </c>
      <c r="D12" s="351">
        <v>24063</v>
      </c>
      <c r="E12" s="351">
        <v>21554</v>
      </c>
      <c r="F12" s="351">
        <v>14912</v>
      </c>
      <c r="G12" s="351">
        <v>15097</v>
      </c>
      <c r="H12" s="351"/>
      <c r="I12" s="351"/>
      <c r="J12" s="351"/>
      <c r="K12" s="351"/>
      <c r="L12" s="351"/>
      <c r="M12" s="351"/>
    </row>
    <row r="13" spans="2:13">
      <c r="B13" s="40" t="s">
        <v>65</v>
      </c>
      <c r="C13" s="351">
        <v>8799</v>
      </c>
      <c r="D13" s="351">
        <v>8265</v>
      </c>
      <c r="E13" s="351">
        <v>4738</v>
      </c>
      <c r="F13" s="351">
        <v>1960</v>
      </c>
      <c r="G13" s="351">
        <v>1732</v>
      </c>
      <c r="H13" s="351"/>
      <c r="I13" s="351"/>
      <c r="J13" s="351"/>
      <c r="K13" s="351"/>
      <c r="L13" s="351"/>
      <c r="M13" s="351"/>
    </row>
    <row r="14" spans="2:13">
      <c r="B14" s="40" t="s">
        <v>48</v>
      </c>
      <c r="C14" s="351">
        <v>57755</v>
      </c>
      <c r="D14" s="351">
        <v>57167</v>
      </c>
      <c r="E14" s="351">
        <v>49929</v>
      </c>
      <c r="F14" s="351">
        <v>24138</v>
      </c>
      <c r="G14" s="351">
        <v>17067</v>
      </c>
      <c r="H14" s="351"/>
      <c r="I14" s="351"/>
      <c r="J14" s="351"/>
      <c r="K14" s="351"/>
      <c r="L14" s="351"/>
      <c r="M14" s="351"/>
    </row>
    <row r="15" spans="2:13">
      <c r="B15" s="43" t="s">
        <v>40</v>
      </c>
      <c r="C15" s="353">
        <v>183747</v>
      </c>
      <c r="D15" s="353">
        <v>180561</v>
      </c>
      <c r="E15" s="353">
        <v>163343</v>
      </c>
      <c r="F15" s="353">
        <v>132394</v>
      </c>
      <c r="G15" s="353">
        <v>129018</v>
      </c>
      <c r="H15" s="353"/>
      <c r="I15" s="353"/>
      <c r="J15" s="353"/>
      <c r="K15" s="353"/>
      <c r="L15" s="353"/>
      <c r="M15" s="353"/>
    </row>
    <row r="16" spans="2:13">
      <c r="B16" s="28" t="s">
        <v>42</v>
      </c>
      <c r="C16" s="351">
        <v>19071</v>
      </c>
      <c r="D16" s="351">
        <v>19147</v>
      </c>
      <c r="E16" s="351">
        <v>14605</v>
      </c>
      <c r="F16" s="351">
        <v>0</v>
      </c>
      <c r="G16" s="351">
        <v>0</v>
      </c>
      <c r="H16" s="351"/>
      <c r="I16" s="351"/>
      <c r="J16" s="351"/>
      <c r="K16" s="351"/>
      <c r="L16" s="351"/>
      <c r="M16" s="351"/>
    </row>
    <row r="18" spans="2:13">
      <c r="B18" s="16" t="s">
        <v>49</v>
      </c>
      <c r="C18" s="9"/>
    </row>
    <row r="19" spans="2:13">
      <c r="B19" s="27" t="s">
        <v>45</v>
      </c>
      <c r="C19" s="351">
        <v>243209</v>
      </c>
      <c r="D19" s="351">
        <v>229584</v>
      </c>
      <c r="E19" s="351">
        <v>222648</v>
      </c>
      <c r="F19" s="351">
        <v>238036</v>
      </c>
      <c r="G19" s="351">
        <v>236818</v>
      </c>
      <c r="H19" s="351"/>
      <c r="I19" s="351"/>
      <c r="J19" s="351"/>
      <c r="K19" s="351"/>
      <c r="L19" s="351"/>
      <c r="M19" s="351"/>
    </row>
    <row r="20" spans="2:13">
      <c r="B20" s="27" t="s">
        <v>51</v>
      </c>
      <c r="C20" s="351"/>
      <c r="D20" s="351">
        <v>115297</v>
      </c>
      <c r="E20" s="351">
        <v>282508</v>
      </c>
      <c r="F20" s="351">
        <v>245237</v>
      </c>
      <c r="G20" s="351">
        <v>265563</v>
      </c>
      <c r="H20" s="351"/>
      <c r="I20" s="351"/>
      <c r="J20" s="351"/>
      <c r="K20" s="351"/>
      <c r="L20" s="351"/>
      <c r="M20" s="351"/>
    </row>
    <row r="21" spans="2:13">
      <c r="B21" s="27" t="s">
        <v>50</v>
      </c>
      <c r="C21" s="351"/>
      <c r="D21" s="351">
        <v>31061</v>
      </c>
      <c r="E21" s="351">
        <v>3456</v>
      </c>
      <c r="F21" s="351">
        <v>46237</v>
      </c>
      <c r="G21" s="351">
        <v>34899</v>
      </c>
      <c r="H21" s="351"/>
      <c r="I21" s="351"/>
      <c r="J21" s="351"/>
      <c r="K21" s="351"/>
      <c r="L21" s="351"/>
      <c r="M21" s="351"/>
    </row>
    <row r="22" spans="2:13">
      <c r="B22" s="27" t="s">
        <v>354</v>
      </c>
      <c r="C22" s="351">
        <v>406532</v>
      </c>
      <c r="D22" s="351">
        <v>456596</v>
      </c>
      <c r="E22" s="351">
        <v>393768</v>
      </c>
      <c r="F22" s="351">
        <v>276599</v>
      </c>
      <c r="G22" s="351">
        <v>256657</v>
      </c>
      <c r="H22" s="351"/>
      <c r="I22" s="351"/>
      <c r="J22" s="351"/>
      <c r="K22" s="351"/>
      <c r="L22" s="351"/>
      <c r="M22" s="351"/>
    </row>
    <row r="23" spans="2:13">
      <c r="B23" s="27" t="s">
        <v>356</v>
      </c>
      <c r="C23" s="351">
        <v>-307347</v>
      </c>
      <c r="D23" s="351">
        <v>-255789</v>
      </c>
      <c r="E23" s="351">
        <v>-232971</v>
      </c>
      <c r="F23" s="351">
        <v>-149026</v>
      </c>
      <c r="G23" s="351">
        <v>-140250</v>
      </c>
      <c r="H23" s="351"/>
      <c r="I23" s="351"/>
      <c r="J23" s="351"/>
      <c r="K23" s="351"/>
      <c r="L23" s="351"/>
      <c r="M23" s="351"/>
    </row>
    <row r="24" spans="2:13">
      <c r="B24" s="27" t="s">
        <v>355</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0.15943781446028937</v>
      </c>
      <c r="H25" s="39"/>
      <c r="I25" s="39"/>
      <c r="J25" s="39"/>
      <c r="K25" s="39"/>
      <c r="L25" s="39"/>
      <c r="M25" s="39"/>
    </row>
    <row r="27" spans="2:13">
      <c r="B27" s="16" t="s">
        <v>26</v>
      </c>
      <c r="C27" s="97" t="s">
        <v>559</v>
      </c>
    </row>
    <row r="28" spans="2:13">
      <c r="B28" s="26" t="s">
        <v>22</v>
      </c>
      <c r="C28" s="333">
        <f>BS!C4</f>
        <v>114865</v>
      </c>
      <c r="D28" s="351">
        <v>142879</v>
      </c>
      <c r="E28" s="351">
        <v>117877</v>
      </c>
      <c r="F28" s="351">
        <v>23709</v>
      </c>
      <c r="G28" s="351">
        <v>27379</v>
      </c>
      <c r="H28" s="351"/>
      <c r="I28" s="351"/>
      <c r="J28" s="351"/>
      <c r="K28" s="351"/>
      <c r="L28" s="351"/>
      <c r="M28" s="351"/>
    </row>
    <row r="29" spans="2:13">
      <c r="B29" s="26" t="s">
        <v>30</v>
      </c>
      <c r="C29" s="333">
        <f>BS!C6</f>
        <v>168338</v>
      </c>
      <c r="D29" s="351">
        <v>182674</v>
      </c>
      <c r="E29" s="351">
        <v>167751</v>
      </c>
      <c r="F29" s="351">
        <v>110386</v>
      </c>
      <c r="G29" s="351">
        <v>109354</v>
      </c>
      <c r="H29" s="351"/>
      <c r="I29" s="351"/>
      <c r="J29" s="351"/>
      <c r="K29" s="351"/>
      <c r="L29" s="351"/>
      <c r="M29" s="351"/>
    </row>
    <row r="30" spans="2:13">
      <c r="B30" s="29" t="s">
        <v>38</v>
      </c>
      <c r="C30" s="334">
        <f>BS!C33+BS!C42</f>
        <v>1043144</v>
      </c>
      <c r="D30" s="353">
        <v>1090144</v>
      </c>
      <c r="E30" s="353">
        <v>1136250</v>
      </c>
      <c r="F30" s="353">
        <v>689466</v>
      </c>
      <c r="G30" s="353">
        <v>707978</v>
      </c>
      <c r="H30" s="353"/>
      <c r="I30" s="353"/>
      <c r="J30" s="353"/>
      <c r="K30" s="353"/>
      <c r="L30" s="353"/>
      <c r="M30" s="353"/>
    </row>
    <row r="31" spans="2:13">
      <c r="B31" s="29" t="s">
        <v>28</v>
      </c>
      <c r="C31" s="334">
        <f>BS!G27</f>
        <v>1709863</v>
      </c>
      <c r="D31" s="353">
        <v>1678153</v>
      </c>
      <c r="E31" s="353">
        <v>1534416</v>
      </c>
      <c r="F31" s="353">
        <v>1291608</v>
      </c>
      <c r="G31" s="353">
        <v>1238930</v>
      </c>
      <c r="H31" s="353"/>
      <c r="I31" s="353"/>
      <c r="J31" s="353"/>
      <c r="K31" s="353"/>
      <c r="L31" s="353"/>
      <c r="M31" s="353"/>
    </row>
    <row r="32" spans="2:13">
      <c r="B32" s="26" t="s">
        <v>168</v>
      </c>
      <c r="C32" s="333">
        <f>BS!G28</f>
        <v>194492</v>
      </c>
      <c r="D32" s="351">
        <v>188249</v>
      </c>
      <c r="E32" s="351">
        <v>168550</v>
      </c>
      <c r="F32" s="351">
        <v>0</v>
      </c>
      <c r="G32" s="351">
        <v>0</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0.44193951040398899</v>
      </c>
      <c r="D65" s="73">
        <f t="shared" ref="D65:M65" si="33">IF(D$4="","",D25)</f>
        <v>0.41373060548458601</v>
      </c>
      <c r="E65" s="73">
        <f t="shared" si="33"/>
        <v>0.39735063469471898</v>
      </c>
      <c r="F65" s="73">
        <f t="shared" si="33"/>
        <v>0.21309006776117501</v>
      </c>
      <c r="G65" s="73">
        <f t="shared" si="33"/>
        <v>0.15943781446028937</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84</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38</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Data!C1</f>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71610+8868+34387</f>
        <v>114865</v>
      </c>
      <c r="D4" s="261">
        <v>0.6</v>
      </c>
      <c r="E4" s="25"/>
      <c r="F4" s="4" t="s">
        <v>75</v>
      </c>
      <c r="G4" s="19">
        <v>216246</v>
      </c>
      <c r="H4" s="261">
        <v>0.9</v>
      </c>
    </row>
    <row r="5" spans="2:8" ht="15" customHeight="1">
      <c r="B5" s="1" t="s">
        <v>31</v>
      </c>
      <c r="C5" s="19">
        <v>9020</v>
      </c>
      <c r="D5" s="261">
        <v>0.6</v>
      </c>
      <c r="E5" s="25"/>
      <c r="F5" s="1" t="s">
        <v>27</v>
      </c>
      <c r="G5" s="19">
        <v>0</v>
      </c>
      <c r="H5" s="261">
        <v>0.7</v>
      </c>
    </row>
    <row r="6" spans="2:8" ht="15" customHeight="1">
      <c r="B6" s="4" t="s">
        <v>8</v>
      </c>
      <c r="C6" s="19">
        <v>168338</v>
      </c>
      <c r="D6" s="261">
        <v>0.5</v>
      </c>
      <c r="E6" s="25"/>
      <c r="F6" s="4" t="s">
        <v>173</v>
      </c>
      <c r="G6" s="19">
        <v>0</v>
      </c>
      <c r="H6" s="261">
        <v>0.6</v>
      </c>
    </row>
    <row r="7" spans="2:8" ht="15" customHeight="1">
      <c r="B7" s="1" t="s">
        <v>67</v>
      </c>
      <c r="C7" s="19">
        <v>0</v>
      </c>
      <c r="D7" s="261">
        <v>0.6</v>
      </c>
      <c r="E7" s="25"/>
      <c r="F7" s="4" t="s">
        <v>174</v>
      </c>
      <c r="G7" s="19">
        <v>2816</v>
      </c>
      <c r="H7" s="261">
        <v>0.6</v>
      </c>
    </row>
    <row r="8" spans="2:8" ht="15" customHeight="1">
      <c r="B8" s="1" t="s">
        <v>169</v>
      </c>
      <c r="C8" s="19">
        <v>0</v>
      </c>
      <c r="D8" s="261">
        <v>0.6</v>
      </c>
      <c r="E8" s="25"/>
      <c r="F8" s="1" t="s">
        <v>175</v>
      </c>
      <c r="G8" s="19">
        <v>0</v>
      </c>
      <c r="H8" s="261">
        <v>0.6</v>
      </c>
    </row>
    <row r="9" spans="2:8" ht="15" customHeight="1">
      <c r="B9" s="4" t="s">
        <v>23</v>
      </c>
      <c r="C9" s="19">
        <v>14192</v>
      </c>
      <c r="D9" s="261">
        <v>0.1</v>
      </c>
      <c r="E9" s="25"/>
      <c r="F9" s="4" t="s">
        <v>176</v>
      </c>
      <c r="G9" s="19">
        <v>0</v>
      </c>
      <c r="H9" s="261">
        <v>0.6</v>
      </c>
    </row>
    <row r="10" spans="2:8" ht="15" customHeight="1">
      <c r="B10" s="4" t="s">
        <v>9</v>
      </c>
      <c r="C10" s="19">
        <v>0</v>
      </c>
      <c r="D10" s="261">
        <v>0.9</v>
      </c>
      <c r="H10" s="262"/>
    </row>
    <row r="11" spans="2:8" ht="15" customHeight="1">
      <c r="B11" s="4" t="s">
        <v>10</v>
      </c>
      <c r="C11" s="19">
        <v>65367</v>
      </c>
      <c r="D11" s="261">
        <v>0.05</v>
      </c>
      <c r="H11" s="262"/>
    </row>
    <row r="12" spans="2:8" ht="15" customHeight="1">
      <c r="B12" s="80" t="s">
        <v>70</v>
      </c>
      <c r="C12" s="81">
        <f>SUM(C4:C11)</f>
        <v>371782</v>
      </c>
      <c r="D12" s="20">
        <f>C4*D4+C5*D5+C9*D9+C6*D6+C8*D8+C7*D7+C10*D10+C11*D11</f>
        <v>163187.55000000002</v>
      </c>
      <c r="F12" s="80" t="s">
        <v>68</v>
      </c>
      <c r="G12" s="81">
        <f>SUM(G4:G9)</f>
        <v>219062</v>
      </c>
      <c r="H12" s="20">
        <f>G4*H4+G5*H5+G6*H6+G7*H7+G8*H8+G9*H9</f>
        <v>196311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707</v>
      </c>
      <c r="H17" s="261">
        <v>0.6</v>
      </c>
    </row>
    <row r="18" spans="2:8" ht="15" customHeight="1">
      <c r="B18" s="4" t="s">
        <v>169</v>
      </c>
      <c r="C18" s="19">
        <v>0</v>
      </c>
      <c r="D18" s="261">
        <v>0.6</v>
      </c>
      <c r="F18" s="4" t="s">
        <v>177</v>
      </c>
      <c r="G18" s="19">
        <v>290077</v>
      </c>
      <c r="H18" s="261">
        <v>0.1</v>
      </c>
    </row>
    <row r="19" spans="2:8" ht="15" customHeight="1">
      <c r="B19" s="4" t="s">
        <v>24</v>
      </c>
      <c r="C19" s="19">
        <f>480407+875436+214967+120865+14018</f>
        <v>1705693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92790</v>
      </c>
      <c r="D21" s="261">
        <v>0.05</v>
      </c>
      <c r="F21" s="1" t="s">
        <v>176</v>
      </c>
      <c r="G21" s="19">
        <v>0</v>
      </c>
      <c r="H21" s="261">
        <v>0.1</v>
      </c>
    </row>
    <row r="22" spans="2:8" ht="15" customHeight="1">
      <c r="B22" s="4" t="s">
        <v>18</v>
      </c>
      <c r="C22" s="19">
        <v>26765</v>
      </c>
      <c r="D22" s="261">
        <v>0.9</v>
      </c>
      <c r="H22" s="262"/>
    </row>
    <row r="23" spans="2:8" ht="15" customHeight="1">
      <c r="B23" s="4" t="s">
        <v>19</v>
      </c>
      <c r="C23" s="19">
        <f>7436+38695</f>
        <v>46131</v>
      </c>
      <c r="D23" s="261">
        <v>0</v>
      </c>
      <c r="H23" s="262"/>
    </row>
    <row r="24" spans="2:8" ht="15" customHeight="1">
      <c r="B24" s="80" t="s">
        <v>71</v>
      </c>
      <c r="C24" s="81">
        <f>SUM(C15:C23)</f>
        <v>1871379</v>
      </c>
      <c r="D24" s="20">
        <f>C15*D15+C16*D16+C18*D18+C17*D17+C19*D19+C20*D20+C21*D21+C22*D22+C23*D23</f>
        <v>199297.30000000002</v>
      </c>
      <c r="F24" s="80" t="s">
        <v>69</v>
      </c>
      <c r="G24" s="81">
        <f>SUM(G15:G21)</f>
        <v>290784</v>
      </c>
      <c r="H24" s="20">
        <f>G15*H15+G16*H16+G17*H17+G18*H18+G19*H19+G20*H20+G21*H21</f>
        <v>29431.9</v>
      </c>
    </row>
    <row r="26" spans="2:8" ht="15" customHeight="1">
      <c r="B26" s="16" t="s">
        <v>196</v>
      </c>
      <c r="C26" s="182" t="s">
        <v>132</v>
      </c>
      <c r="F26" s="184" t="s">
        <v>192</v>
      </c>
      <c r="G26" s="185" t="s">
        <v>132</v>
      </c>
      <c r="H26" s="186" t="s">
        <v>33</v>
      </c>
    </row>
    <row r="27" spans="2:8" ht="15" customHeight="1">
      <c r="B27" s="4" t="s">
        <v>3</v>
      </c>
      <c r="C27" s="19">
        <v>45955</v>
      </c>
      <c r="F27" s="187" t="s">
        <v>28</v>
      </c>
      <c r="G27" s="85">
        <f>G32-G30</f>
        <v>1709863</v>
      </c>
      <c r="H27" s="188">
        <f>H32-G30</f>
        <v>-454916.25</v>
      </c>
    </row>
    <row r="28" spans="2:8" ht="15" customHeight="1">
      <c r="B28" s="4" t="s">
        <v>4</v>
      </c>
      <c r="C28" s="19">
        <v>0</v>
      </c>
      <c r="F28" s="189" t="s">
        <v>240</v>
      </c>
      <c r="G28" s="12">
        <v>194492</v>
      </c>
      <c r="H28" s="188"/>
    </row>
    <row r="29" spans="2:8" ht="15" customHeight="1">
      <c r="B29" s="4" t="s">
        <v>5</v>
      </c>
      <c r="C29" s="19">
        <v>0</v>
      </c>
      <c r="F29" s="190" t="s">
        <v>73</v>
      </c>
      <c r="G29" s="14">
        <f>G27-G28</f>
        <v>1515371</v>
      </c>
      <c r="H29" s="188">
        <f>H27-G28</f>
        <v>-649408.25</v>
      </c>
    </row>
    <row r="30" spans="2:8" ht="15" customHeight="1">
      <c r="B30" s="2" t="s">
        <v>6</v>
      </c>
      <c r="C30" s="19">
        <f>3808+7051+14895</f>
        <v>25754</v>
      </c>
      <c r="F30" s="187" t="s">
        <v>21</v>
      </c>
      <c r="G30" s="85">
        <f>C33+C42</f>
        <v>1043144</v>
      </c>
      <c r="H30" s="188"/>
    </row>
    <row r="31" spans="2:8" ht="15" customHeight="1">
      <c r="B31" s="80" t="s">
        <v>199</v>
      </c>
      <c r="C31" s="81">
        <f>SUM(C27:C30)</f>
        <v>71709</v>
      </c>
      <c r="F31" s="190" t="s">
        <v>74</v>
      </c>
      <c r="G31" s="191">
        <f>C31+C40</f>
        <v>279749</v>
      </c>
      <c r="H31" s="188"/>
    </row>
    <row r="32" spans="2:8" ht="15" customHeight="1">
      <c r="B32" s="4" t="s">
        <v>7</v>
      </c>
      <c r="C32" s="21">
        <f>C33-C31</f>
        <v>565608</v>
      </c>
      <c r="F32" s="192" t="s">
        <v>72</v>
      </c>
      <c r="G32" s="193">
        <f>G35+G40</f>
        <v>2753007</v>
      </c>
      <c r="H32" s="188">
        <f>H35+H40</f>
        <v>588227.75</v>
      </c>
    </row>
    <row r="33" spans="2:8" ht="15" customHeight="1">
      <c r="B33" s="83" t="s">
        <v>2</v>
      </c>
      <c r="C33" s="84">
        <v>637317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2243161</v>
      </c>
      <c r="H35" s="200">
        <f>D12+D24</f>
        <v>362484.85000000003</v>
      </c>
    </row>
    <row r="36" spans="2:8" ht="15" customHeight="1">
      <c r="B36" s="4" t="s">
        <v>11</v>
      </c>
      <c r="C36" s="19">
        <v>74072</v>
      </c>
      <c r="F36" s="190" t="s">
        <v>193</v>
      </c>
      <c r="G36" s="191">
        <f>C4+C15</f>
        <v>114865</v>
      </c>
      <c r="H36" s="195"/>
    </row>
    <row r="37" spans="2:8" ht="15" customHeight="1">
      <c r="B37" s="4" t="s">
        <v>12</v>
      </c>
      <c r="C37" s="19">
        <v>109968</v>
      </c>
      <c r="F37" s="190" t="s">
        <v>194</v>
      </c>
      <c r="G37" s="191">
        <f>C6</f>
        <v>168338</v>
      </c>
      <c r="H37" s="195"/>
    </row>
    <row r="38" spans="2:8" ht="15" customHeight="1">
      <c r="B38" s="4" t="s">
        <v>13</v>
      </c>
      <c r="C38" s="19">
        <v>0</v>
      </c>
      <c r="F38" s="190" t="s">
        <v>195</v>
      </c>
      <c r="G38" s="191">
        <f>C7+C17</f>
        <v>0</v>
      </c>
      <c r="H38" s="195"/>
    </row>
    <row r="39" spans="2:8" ht="15" customHeight="1">
      <c r="B39" s="2" t="s">
        <v>14</v>
      </c>
      <c r="C39" s="19">
        <v>24000</v>
      </c>
      <c r="F39" s="190" t="s">
        <v>77</v>
      </c>
      <c r="G39" s="191">
        <f>C7+C17+C19+C20</f>
        <v>1705693</v>
      </c>
      <c r="H39" s="188">
        <f>C7*D7+C17*D17+C19*D19+C20*D20</f>
        <v>170569.30000000002</v>
      </c>
    </row>
    <row r="40" spans="2:8" ht="15" customHeight="1">
      <c r="B40" s="80" t="s">
        <v>200</v>
      </c>
      <c r="C40" s="81">
        <f>SUM(C36:C39)</f>
        <v>208040</v>
      </c>
      <c r="F40" s="199" t="s">
        <v>134</v>
      </c>
      <c r="G40" s="193">
        <f>G12+G24</f>
        <v>509846</v>
      </c>
      <c r="H40" s="200">
        <f>H12+H24</f>
        <v>225742.9</v>
      </c>
    </row>
    <row r="41" spans="2:8" ht="15" customHeight="1">
      <c r="B41" s="4" t="s">
        <v>15</v>
      </c>
      <c r="C41" s="21">
        <f>C42-C40</f>
        <v>197787</v>
      </c>
      <c r="F41" s="190" t="s">
        <v>187</v>
      </c>
      <c r="G41" s="191">
        <f>C70</f>
        <v>506323</v>
      </c>
      <c r="H41" s="200">
        <f>H40-H42</f>
        <v>223629.1</v>
      </c>
    </row>
    <row r="42" spans="2:8" ht="15" customHeight="1">
      <c r="B42" s="83" t="s">
        <v>20</v>
      </c>
      <c r="C42" s="84">
        <v>405827</v>
      </c>
      <c r="F42" s="201" t="s">
        <v>188</v>
      </c>
      <c r="G42" s="202">
        <f>C82</f>
        <v>3523</v>
      </c>
      <c r="H42" s="203">
        <f>D82</f>
        <v>2113.7999999999997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1515371</v>
      </c>
      <c r="D46" s="76">
        <f>H29</f>
        <v>-649408.25</v>
      </c>
      <c r="F46" s="253"/>
    </row>
    <row r="47" spans="2:8" ht="15" customHeight="1">
      <c r="B47" s="1" t="str">
        <f>"Equity per share ("&amp;Market_currency&amp;")"</f>
        <v>Equity per share (HKD)</v>
      </c>
      <c r="C47" s="147">
        <f>C46*H1/Common_Shares*Exchange_Rate</f>
        <v>9.0796177624451353</v>
      </c>
      <c r="D47" s="147">
        <f>D46*H1/Common_Shares*Exchange_Rate</f>
        <v>-3.8910462730106428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1.1309485990394448</v>
      </c>
      <c r="D50" s="95">
        <f>G31/Normalized_FCF!G8</f>
        <v>1.1394328679189951</v>
      </c>
      <c r="F50" s="253"/>
    </row>
    <row r="51" spans="2:8" ht="15" customHeight="1">
      <c r="B51" s="1" t="s">
        <v>172</v>
      </c>
      <c r="C51" s="181"/>
      <c r="D51" s="92">
        <f>G29/G32</f>
        <v>0.55044211656563169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0.11027199460614415</v>
      </c>
      <c r="D54" s="92">
        <f>Normalized_FCF!G8/G35</f>
        <v>0.1094509043265285</v>
      </c>
      <c r="F54" s="253"/>
    </row>
    <row r="55" spans="2:8" ht="15" customHeight="1">
      <c r="B55" s="1" t="s">
        <v>137</v>
      </c>
      <c r="C55" s="92">
        <f>Normalized_FCF!C11/G40</f>
        <v>3.656790481831769E-2</v>
      </c>
      <c r="D55" s="92">
        <f>Normalized_FCF!G11/G40</f>
        <v>3.656790481831769E-2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0.14258662021829249</v>
      </c>
      <c r="F58" s="5"/>
    </row>
    <row r="59" spans="2:8" ht="15" customHeight="1">
      <c r="B59" s="1" t="s">
        <v>90</v>
      </c>
      <c r="C59" s="98"/>
      <c r="D59" s="92">
        <f>G39/G32</f>
        <v>0.6195745234211173</v>
      </c>
      <c r="F59" s="253"/>
    </row>
    <row r="60" spans="2:8" ht="15" customHeight="1">
      <c r="F60" s="253"/>
    </row>
    <row r="61" spans="2:8" ht="15" customHeight="1">
      <c r="B61" s="157" t="s">
        <v>269</v>
      </c>
      <c r="C61" s="235" t="s">
        <v>133</v>
      </c>
      <c r="D61" s="197" t="s">
        <v>92</v>
      </c>
      <c r="F61" s="253"/>
    </row>
    <row r="62" spans="2:8" ht="15" customHeight="1">
      <c r="B62" s="1" t="s">
        <v>241</v>
      </c>
      <c r="C62" s="92">
        <f>IF(G28&lt;=0,0,G28/G29)</f>
        <v>0.12834612777992979</v>
      </c>
      <c r="D62" s="92">
        <f>G28/G29</f>
        <v>0.12834612777992979</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216246</v>
      </c>
      <c r="D66" s="76">
        <f>C66-D75</f>
        <v>126.15719684722717</v>
      </c>
      <c r="F66" s="5" t="s">
        <v>222</v>
      </c>
    </row>
    <row r="67" spans="2:6" ht="15" customHeight="1">
      <c r="B67" s="105" t="s">
        <v>173</v>
      </c>
      <c r="C67" s="20">
        <f>G6+G16</f>
        <v>0</v>
      </c>
      <c r="F67" s="253"/>
    </row>
    <row r="68" spans="2:6" ht="15" customHeight="1">
      <c r="B68" s="105" t="s">
        <v>177</v>
      </c>
      <c r="C68" s="20">
        <f>G18</f>
        <v>290077</v>
      </c>
      <c r="F68" s="253"/>
    </row>
    <row r="69" spans="2:6" ht="15" customHeight="1">
      <c r="B69" s="105" t="s">
        <v>175</v>
      </c>
      <c r="C69" s="20">
        <f>G8+G20</f>
        <v>0</v>
      </c>
      <c r="F69" s="253"/>
    </row>
    <row r="70" spans="2:6" ht="15" customHeight="1">
      <c r="B70" s="80" t="s">
        <v>184</v>
      </c>
      <c r="C70" s="81">
        <f>SUM(C66:C69)</f>
        <v>506323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-231112.43344421219</v>
      </c>
      <c r="D73" s="349">
        <f>(Normalized_FCF!C25+Normalized_FCF!C35-Normalized_FCF!C91)/12</f>
        <v>-216119.84280315277</v>
      </c>
      <c r="F73" s="1" t="s">
        <v>342</v>
      </c>
    </row>
    <row r="74" spans="2:6" ht="15" customHeight="1">
      <c r="B74" s="257" t="s">
        <v>312</v>
      </c>
      <c r="C74" s="258">
        <f>-$C$66/C73</f>
        <v>0.93567445410590266</v>
      </c>
      <c r="D74" s="258">
        <f>-$C$66/D73</f>
        <v>1.0005837372228803</v>
      </c>
      <c r="F74" s="253" t="s">
        <v>310</v>
      </c>
    </row>
    <row r="75" spans="2:6" ht="15" customHeight="1">
      <c r="B75" s="80" t="s">
        <v>311</v>
      </c>
      <c r="C75" s="320"/>
      <c r="D75" s="321">
        <f>MAX(-D73*D76,G5)</f>
        <v>216119.84280315277</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3523</v>
      </c>
      <c r="D79" s="76">
        <f>G7*H7+G17*H17</f>
        <v>2113.7999999999997</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3523</v>
      </c>
      <c r="D82" s="81">
        <f>SUM(D79:D81)</f>
        <v>2113.7999999999997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-306773.61782440997</v>
      </c>
      <c r="D86" s="223">
        <f>C86*scaling_factor/Common_Shares</f>
        <v>-1.6761664235532183</v>
      </c>
      <c r="E86" s="240" t="str">
        <f>Market_currency</f>
        <v>HKD</v>
      </c>
    </row>
    <row r="87" spans="2:8" ht="15" customHeight="1">
      <c r="B87" s="238" t="s">
        <v>282</v>
      </c>
      <c r="C87" s="76">
        <f>DCF!C8*Exchange_Rate</f>
        <v>138.34437188840755</v>
      </c>
      <c r="D87" s="223">
        <f>C87*scaling_factor/Common_Shares</f>
        <v>7.5589352399799863E-4</v>
      </c>
      <c r="E87" s="240" t="str">
        <f>Market_currency</f>
        <v>HKD</v>
      </c>
    </row>
    <row r="88" spans="2:8" ht="15" customHeight="1">
      <c r="B88" s="239" t="s">
        <v>185</v>
      </c>
      <c r="C88" s="76">
        <f>DCF!C9*Exchange_Rate</f>
        <v>2317.9996116419993</v>
      </c>
      <c r="D88" s="223">
        <f>C88*scaling_factor/Common_Shares</f>
        <v>1.2665212694618361E-2</v>
      </c>
      <c r="E88" s="240" t="str">
        <f>Market_currency</f>
        <v>HKD</v>
      </c>
    </row>
    <row r="89" spans="2:8" ht="15" customHeight="1">
      <c r="B89" s="80" t="s">
        <v>286</v>
      </c>
      <c r="C89" s="180">
        <f>SUM(C86:C88)</f>
        <v>-304317.27384087961</v>
      </c>
      <c r="D89" s="242">
        <f>SUM(D86:D88)</f>
        <v>-1.6627453173346021</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44</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0.76614733079928599</v>
      </c>
      <c r="D28" s="26"/>
      <c r="E28" s="266" t="s">
        <v>324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324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-314015.75</v>
      </c>
      <c r="E33" s="266" t="s">
        <v>324</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-20445.75</v>
      </c>
      <c r="D34" s="58"/>
      <c r="E34" s="266" t="s">
        <v>324</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4.0689769984184679E-2</v>
      </c>
      <c r="E53" s="265" t="s">
        <v>326</v>
      </c>
      <c r="G53" s="6">
        <f>IF(Normalized_FCF!G4="","",Normalized_FCF!G49/BS!$C$66)</f>
        <v>4.0689769984184679E-2</v>
      </c>
      <c r="H53" s="169"/>
      <c r="I53" s="169"/>
      <c r="J53" s="169"/>
      <c r="K53" s="169"/>
      <c r="L53" s="169"/>
      <c r="M53" s="169"/>
      <c r="N53" s="169"/>
      <c r="O53" s="169"/>
      <c r="P53" s="169"/>
      <c r="Q53" s="169"/>
    </row>
    <row r="54" spans="1:17" ht="15.75" customHeight="1">
      <c r="A54" s="10"/>
      <c r="B54" s="8" t="s">
        <v>85</v>
      </c>
      <c r="C54" s="82">
        <f>G54</f>
        <v>7.4105716195589616E-2</v>
      </c>
      <c r="E54" s="265" t="s">
        <v>327</v>
      </c>
      <c r="G54" s="23">
        <f>IFERROR(ABS(Normalized_FCF!G47/BS!$G$31),0)</f>
        <v>7.4105716195589616E-2</v>
      </c>
      <c r="H54" s="169"/>
      <c r="I54" s="169"/>
      <c r="J54" s="169"/>
      <c r="K54" s="169"/>
      <c r="L54" s="169"/>
      <c r="M54" s="169"/>
      <c r="N54" s="169"/>
      <c r="O54" s="169"/>
      <c r="P54" s="169"/>
      <c r="Q54" s="169"/>
    </row>
    <row r="55" spans="1:17" ht="15.75" customHeight="1">
      <c r="A55" s="10"/>
      <c r="B55" s="26" t="s">
        <v>88</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MAX(AVERAGE(H78:K78),C77)</f>
        <v>0.10287256125768818</v>
      </c>
      <c r="D78" s="27"/>
      <c r="E78" s="266" t="s">
        <v>560</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0.15943781446028937</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29180.464703687019</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0.28640030322392385</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5.3317099110400813E-2</v>
      </c>
      <c r="E94" s="268"/>
      <c r="G94" s="23">
        <f t="shared" ref="G94:Q94" si="39">IF(G$4="","",(G90*(1-dividend_tax_rate))/Market_Price)</f>
        <v>5.3317099110400813E-2</v>
      </c>
      <c r="H94" s="23">
        <f t="shared" si="39"/>
        <v>4.9913880018247647E-2</v>
      </c>
      <c r="I94" s="23">
        <f t="shared" si="39"/>
        <v>4.7937744132070657E-2</v>
      </c>
      <c r="J94" s="23">
        <f t="shared" si="39"/>
        <v>2.5707917022125673E-2</v>
      </c>
      <c r="K94" s="23">
        <f t="shared" si="39"/>
        <v>1.9235125068935717E-2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0.79044168519545654</v>
      </c>
      <c r="D125" s="27"/>
      <c r="E125" s="265"/>
      <c r="F125" s="27"/>
      <c r="G125" s="177">
        <f t="shared" ref="G125:Q125" si="49">IF(G$4="","",G16*$C$3/Common_Shares*Exchange_Rate)</f>
        <v>1.0509218576177481</v>
      </c>
      <c r="H125" s="177">
        <f t="shared" si="49"/>
        <v>1.8399260911817381</v>
      </c>
      <c r="I125" s="177">
        <f t="shared" si="49"/>
        <v>1.0158787346236045</v>
      </c>
      <c r="J125" s="177">
        <f t="shared" si="49"/>
        <v>0.76433975347474103</v>
      </c>
      <c r="K125" s="177">
        <f t="shared" si="49"/>
        <v>0.61047421400004687</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0.10595733045515504</v>
      </c>
      <c r="D126" s="27"/>
      <c r="E126" s="265"/>
      <c r="F126" s="27"/>
      <c r="G126" s="77">
        <f t="shared" ref="G126" si="50">IF(G$4="","",G125/Market_Price)</f>
        <v>0.14087424364849171</v>
      </c>
      <c r="H126" s="77">
        <f t="shared" ref="H126" si="51">IF(H$4="","",H125/Market_Price)</f>
        <v>0.24663888621739116</v>
      </c>
      <c r="I126" s="77">
        <f t="shared" ref="I126" si="52">IF(I$4="","",I125/Market_Price)</f>
        <v>0.13617677407823117</v>
      </c>
      <c r="J126" s="77">
        <f t="shared" ref="J126" si="53">IF(J$4="","",J125/Market_Price)</f>
        <v>0.10245841199393312</v>
      </c>
      <c r="K126" s="77">
        <f t="shared" ref="K126" si="54">IF(K$4="","",K125/Market_Price)</f>
        <v>8.1833004557647027E-2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0.13458001066930506</v>
      </c>
      <c r="H127" s="23">
        <f>IF(H$4="","",(Data!D47*$C$3)/(Market_Price*Common_Shares))</f>
        <v>0.13224651997834189</v>
      </c>
      <c r="I127" s="23">
        <f>IF(I$4="","",(Data!E47*$C$3)/(Market_Price*Common_Shares))</f>
        <v>0.11963570933270364</v>
      </c>
      <c r="J127" s="23">
        <f>IF(J$4="","",(Data!F47*$C$3)/(Market_Price*Common_Shares))</f>
        <v>9.6968037206332472E-2</v>
      </c>
      <c r="K127" s="23">
        <f>IF(K$4="","",(Data!G47*$C$3)/(Market_Price*Common_Shares))</f>
        <v>9.4495386681319418E-2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131923.21948735364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1758976.259831382</v>
      </c>
      <c r="D6" t="str">
        <f>Reporting_currency</f>
        <v>CNY</v>
      </c>
      <c r="E6" s="378" t="s">
        <v>245</v>
      </c>
      <c r="F6" s="378"/>
      <c r="H6" s="120"/>
    </row>
    <row r="7" spans="2:8">
      <c r="B7" s="148" t="s">
        <v>220</v>
      </c>
      <c r="C7" s="338">
        <f>BS!G31</f>
        <v>279749</v>
      </c>
      <c r="D7" t="str">
        <f>Reporting_currency</f>
        <v>CNY</v>
      </c>
      <c r="E7" s="378"/>
      <c r="F7" s="378"/>
      <c r="H7" s="120"/>
    </row>
    <row r="8" spans="2:8">
      <c r="B8" s="148" t="s">
        <v>221</v>
      </c>
      <c r="C8" s="338">
        <f>BS!D66</f>
        <v>126.15719684722717</v>
      </c>
      <c r="D8" t="str">
        <f>Reporting_currency</f>
        <v>CNY</v>
      </c>
      <c r="E8" s="378"/>
      <c r="F8" s="378"/>
      <c r="H8" s="120"/>
    </row>
    <row r="9" spans="2:8">
      <c r="B9" s="205" t="s">
        <v>186</v>
      </c>
      <c r="C9" s="348">
        <f>BS!H42</f>
        <v>2113.7999999999997</v>
      </c>
      <c r="D9" t="str">
        <f>Reporting_currency</f>
        <v>CNY</v>
      </c>
      <c r="E9" s="378"/>
      <c r="F9" s="378"/>
      <c r="H9" s="120"/>
    </row>
    <row r="10" spans="2:8" ht="13.15">
      <c r="B10" s="149" t="s">
        <v>223</v>
      </c>
      <c r="C10" s="347">
        <f>C6-C7+C8+C9</f>
        <v>1481467.2170282293</v>
      </c>
      <c r="D10" t="str">
        <f>Reporting_currency</f>
        <v>CNY</v>
      </c>
      <c r="H10" s="120"/>
    </row>
    <row r="11" spans="2:8" ht="13.15" thickBot="1">
      <c r="B11" s="207" t="s">
        <v>162</v>
      </c>
      <c r="C11" s="208">
        <f>Exchange_Rate</f>
        <v>1.0966030899999999</v>
      </c>
      <c r="D11" t="str">
        <f>Thesis!C15</f>
        <v>CNY/HKD</v>
      </c>
      <c r="H11" s="120"/>
    </row>
    <row r="12" spans="2:8" ht="13.5" thickTop="1">
      <c r="B12" s="149" t="s">
        <v>99</v>
      </c>
      <c r="C12" s="111">
        <f>(C10*scaling_factor)/Common_Shares*Exchange_Rate</f>
        <v>8.876477151938154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-4.8975772939903201E-3</v>
      </c>
      <c r="H16" s="120"/>
    </row>
    <row r="17" spans="2:17" ht="13.35" customHeight="1">
      <c r="B17" s="118" t="s">
        <v>130</v>
      </c>
      <c r="C17" s="162">
        <f>Scenarios!C64</f>
        <v>5</v>
      </c>
      <c r="H17" s="120"/>
    </row>
    <row r="18" spans="2:17" ht="13.35" customHeight="1">
      <c r="B18" s="153" t="s">
        <v>103</v>
      </c>
      <c r="C18" s="140">
        <f>(F52-C7+C8+C9)*Exchange_Rate/Common_Shares*scaling_factor</f>
        <v>8.7960740246328442</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1750361.5376405637</v>
      </c>
      <c r="D51" s="139">
        <f>Terminal_Growth</f>
        <v>0</v>
      </c>
      <c r="E51" s="124">
        <f>1/(1+Equity_Cost)^C17</f>
        <v>0.69655863235011617</v>
      </c>
      <c r="F51" s="125">
        <f t="shared" si="1"/>
        <v>1219229.4387771573</v>
      </c>
      <c r="H51" s="120"/>
    </row>
    <row r="52" spans="1:17">
      <c r="C52" s="114"/>
      <c r="E52" s="127" t="s">
        <v>97</v>
      </c>
      <c r="F52" s="137">
        <f>SUM(F21:F51)</f>
        <v>1745557.1302363314</v>
      </c>
      <c r="H52" s="120"/>
    </row>
    <row r="53" spans="1:17">
      <c r="C53" s="114"/>
      <c r="H53" s="120"/>
    </row>
    <row r="54" spans="1:17" ht="13.15">
      <c r="B54" s="119" t="s">
        <v>125</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8.876477151938154</v>
      </c>
      <c r="C65" s="124">
        <f>C12</f>
        <v>8.876477151938154</v>
      </c>
      <c r="D65" s="124">
        <f>C12</f>
        <v>8.876477151938154</v>
      </c>
      <c r="E65" s="141">
        <f>C12</f>
        <v>8.876477151938154</v>
      </c>
      <c r="F65" s="124">
        <f>C12</f>
        <v>8.876477151938154</v>
      </c>
      <c r="H65" s="120"/>
    </row>
    <row r="66" spans="1:8" ht="13.15">
      <c r="A66" s="143">
        <f t="shared" ref="A66:A71" si="3">A56</f>
        <v>5</v>
      </c>
      <c r="B66" s="124">
        <f t="shared" ref="B66:F71" si="4">(B56-$C$7+$C$8+$C$9)/Common_Shares*$C$3*Exchange_Rate</f>
        <v>6.6404678495347094</v>
      </c>
      <c r="C66" s="124">
        <f t="shared" si="4"/>
        <v>8.7128959604153557</v>
      </c>
      <c r="D66" s="124">
        <f t="shared" si="4"/>
        <v>9.0423884117261561</v>
      </c>
      <c r="E66" s="124">
        <f t="shared" si="4"/>
        <v>9.210681200991246</v>
      </c>
      <c r="F66" s="124">
        <f t="shared" si="4"/>
        <v>9.9087253436114811</v>
      </c>
      <c r="H66" s="120"/>
    </row>
    <row r="67" spans="1:8" ht="13.15">
      <c r="A67" s="143">
        <f t="shared" si="3"/>
        <v>10</v>
      </c>
      <c r="B67" s="124">
        <f t="shared" si="4"/>
        <v>5.3846591717510845</v>
      </c>
      <c r="C67" s="124">
        <f t="shared" si="4"/>
        <v>8.5662666338575395</v>
      </c>
      <c r="D67" s="124">
        <f t="shared" si="4"/>
        <v>9.2014610988157006</v>
      </c>
      <c r="E67" s="124">
        <f t="shared" si="4"/>
        <v>9.5420873997982874</v>
      </c>
      <c r="F67" s="124">
        <f t="shared" si="4"/>
        <v>11.080132568071399</v>
      </c>
      <c r="H67" s="120"/>
    </row>
    <row r="68" spans="1:8" ht="13.15">
      <c r="A68" s="143">
        <f t="shared" si="3"/>
        <v>15</v>
      </c>
      <c r="B68" s="124">
        <f t="shared" si="4"/>
        <v>4.2628236273356084</v>
      </c>
      <c r="C68" s="124">
        <f t="shared" si="4"/>
        <v>8.3938497027594057</v>
      </c>
      <c r="D68" s="124">
        <f t="shared" si="4"/>
        <v>9.3978587948819161</v>
      </c>
      <c r="E68" s="124">
        <f t="shared" si="4"/>
        <v>9.961686457274709</v>
      </c>
      <c r="F68" s="124">
        <f t="shared" si="4"/>
        <v>12.728365354573745</v>
      </c>
      <c r="H68" s="120"/>
    </row>
    <row r="69" spans="1:8" ht="13.15">
      <c r="A69" s="144">
        <f t="shared" si="3"/>
        <v>20</v>
      </c>
      <c r="B69" s="124">
        <f t="shared" si="4"/>
        <v>3.4050317262739336</v>
      </c>
      <c r="C69" s="124">
        <f t="shared" si="4"/>
        <v>8.2271956326777111</v>
      </c>
      <c r="D69" s="124">
        <f t="shared" si="4"/>
        <v>9.5973240051261257</v>
      </c>
      <c r="E69" s="124">
        <f t="shared" si="4"/>
        <v>10.399125320259463</v>
      </c>
      <c r="F69" s="124">
        <f t="shared" si="4"/>
        <v>14.652267119876795</v>
      </c>
      <c r="H69" s="120"/>
    </row>
    <row r="70" spans="1:8" ht="13.15">
      <c r="A70" s="144">
        <f t="shared" si="3"/>
        <v>25</v>
      </c>
      <c r="B70" s="124">
        <f t="shared" si="4"/>
        <v>2.7839266645197682</v>
      </c>
      <c r="C70" s="124">
        <f t="shared" si="4"/>
        <v>8.0802719466564685</v>
      </c>
      <c r="D70" s="124">
        <f t="shared" si="4"/>
        <v>9.7821379626935467</v>
      </c>
      <c r="E70" s="124">
        <f t="shared" si="4"/>
        <v>10.81546615765077</v>
      </c>
      <c r="F70" s="124">
        <f t="shared" si="4"/>
        <v>16.715551716505889</v>
      </c>
    </row>
    <row r="71" spans="1:8" ht="13.15">
      <c r="A71" s="144">
        <f t="shared" si="3"/>
        <v>30</v>
      </c>
      <c r="B71" s="124">
        <f t="shared" si="4"/>
        <v>2.3439957594409133</v>
      </c>
      <c r="C71" s="124">
        <f t="shared" si="4"/>
        <v>7.9575023692638638</v>
      </c>
      <c r="D71" s="124">
        <f t="shared" si="4"/>
        <v>9.9444561668446667</v>
      </c>
      <c r="E71" s="124">
        <f t="shared" si="4"/>
        <v>11.191328734298297</v>
      </c>
      <c r="F71" s="124">
        <f t="shared" si="4"/>
        <v>18.826859121484102</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11.080132568071399</v>
      </c>
      <c r="F74" s="142">
        <f>Scenarios!C58</f>
        <v>0.05</v>
      </c>
    </row>
    <row r="75" spans="1:8">
      <c r="B75" s="127" t="str">
        <f>Scenarios!B36</f>
        <v>Optimistic</v>
      </c>
      <c r="C75" s="142">
        <f>Scenarios!C38</f>
        <v>0.02</v>
      </c>
      <c r="D75" s="145">
        <f>Scenarios!C37</f>
        <v>5</v>
      </c>
      <c r="E75" s="135">
        <f>INDEX(B$65:F$71, MATCH(D75, A$65:A$71, 0), MATCH(C75, B$64:F$64, 0))</f>
        <v>9.210681200991246</v>
      </c>
      <c r="F75" s="142">
        <f>Scenarios!C40*(1-F$74-F$78)</f>
        <v>0.18</v>
      </c>
      <c r="H75" s="120"/>
    </row>
    <row r="76" spans="1:8">
      <c r="B76" s="127" t="str">
        <f>Scenarios!B24</f>
        <v>Base</v>
      </c>
      <c r="C76" s="142">
        <f>Scenarios!C26</f>
        <v>0.01</v>
      </c>
      <c r="D76" s="145">
        <f>Scenarios!C25</f>
        <v>5</v>
      </c>
      <c r="E76" s="135">
        <f>INDEX(B$65:F$71, MATCH(D76, A$65:A$71, 0), MATCH(C76, B$64:F$64, 0))</f>
        <v>9.0423884117261561</v>
      </c>
      <c r="F76" s="142">
        <f>Scenarios!C28*(1-F$74-F$78)</f>
        <v>0.53999999999999992</v>
      </c>
      <c r="H76" s="120"/>
    </row>
    <row r="77" spans="1:8">
      <c r="B77" s="127" t="str">
        <f>Scenarios!B30</f>
        <v>Pessimistic</v>
      </c>
      <c r="C77" s="142">
        <f>Scenarios!C32</f>
        <v>-0.01</v>
      </c>
      <c r="D77" s="145">
        <f>Scenarios!C31</f>
        <v>5</v>
      </c>
      <c r="E77" s="135">
        <f>INDEX(B$65:F$71, MATCH(D77, A$65:A$71, 0), MATCH(C77, B$64:F$64, 0))</f>
        <v>8.7128959604153557</v>
      </c>
      <c r="F77" s="142">
        <f>Scenarios!C34*(1-F$74-F$78)</f>
        <v>0.18</v>
      </c>
      <c r="H77" s="120"/>
    </row>
    <row r="78" spans="1:8">
      <c r="B78" s="127" t="str">
        <f>Scenarios!B48</f>
        <v>Devil's advocate</v>
      </c>
      <c r="C78" s="142">
        <f>Scenarios!C50</f>
        <v>-0.15</v>
      </c>
      <c r="D78" s="145">
        <f>Scenarios!C49</f>
        <v>10</v>
      </c>
      <c r="E78" s="135">
        <f>INDEX(B$65:F$71, MATCH(D78, A$65:A$71, 0), MATCH(C78, B$64:F$64, 0))</f>
        <v>5.3846591717510845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72795.781197491626</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970610.41596655501</v>
      </c>
      <c r="D6" t="str">
        <f>Reporting_currency</f>
        <v>CNY</v>
      </c>
      <c r="E6" s="378"/>
      <c r="F6" s="378"/>
      <c r="H6" s="120"/>
    </row>
    <row r="7" spans="2:8" ht="13.15">
      <c r="B7" s="149" t="s">
        <v>421</v>
      </c>
      <c r="C7" s="111">
        <f>(C6*scaling_factor)/Common_Shares*Exchange_Rate</f>
        <v>5.8155867924252176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-4.8975772939903201E-3</v>
      </c>
      <c r="H11" s="120"/>
    </row>
    <row r="12" spans="2:8" ht="13.35" customHeight="1">
      <c r="B12" s="118" t="s">
        <v>130</v>
      </c>
      <c r="C12" s="162">
        <f>Scenarios!C64</f>
        <v>5</v>
      </c>
      <c r="H12" s="120"/>
    </row>
    <row r="13" spans="2:8" ht="13.35" customHeight="1">
      <c r="B13" s="153" t="s">
        <v>103</v>
      </c>
      <c r="C13" s="140">
        <f>F47/Common_Shares*scaling_factor</f>
        <v>5.2628157489251413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965856.77643200674</v>
      </c>
      <c r="D46" s="139">
        <f>Terminal_Growth</f>
        <v>0</v>
      </c>
      <c r="E46" s="124">
        <f>1/(1+Equity_Cost)^C12</f>
        <v>0.69655863235011617</v>
      </c>
      <c r="F46" s="125">
        <f t="shared" si="1"/>
        <v>672775.87523757049</v>
      </c>
      <c r="H46" s="120"/>
    </row>
    <row r="47" spans="2:8">
      <c r="C47" s="114"/>
      <c r="E47" s="127" t="s">
        <v>97</v>
      </c>
      <c r="F47" s="137">
        <f>SUM(F16:F46)</f>
        <v>963205.68444424926</v>
      </c>
      <c r="H47" s="120"/>
    </row>
    <row r="48" spans="2:8">
      <c r="C48" s="114"/>
      <c r="H48" s="120"/>
    </row>
    <row r="49" spans="1:8" ht="13.15">
      <c r="B49" s="119" t="s">
        <v>125</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5.8155867924252176</v>
      </c>
      <c r="C60" s="124">
        <f>C7</f>
        <v>5.8155867924252176</v>
      </c>
      <c r="D60" s="124">
        <f>C7</f>
        <v>5.8155867924252176</v>
      </c>
      <c r="E60" s="141">
        <f>C7</f>
        <v>5.8155867924252176</v>
      </c>
      <c r="F60" s="124">
        <f>C7</f>
        <v>5.8155867924252176</v>
      </c>
      <c r="H60" s="120"/>
    </row>
    <row r="61" spans="1:8" ht="13.15">
      <c r="A61" s="143">
        <f t="shared" ref="A61:A66" si="3">A51</f>
        <v>5</v>
      </c>
      <c r="B61" s="124">
        <f t="shared" ref="B61:F66" si="4">B51/Common_Shares*$C$3*Exchange_Rate</f>
        <v>4.5817475595302035</v>
      </c>
      <c r="C61" s="124">
        <f t="shared" si="4"/>
        <v>5.7253220105892941</v>
      </c>
      <c r="D61" s="124">
        <f t="shared" si="4"/>
        <v>5.9071373156209113</v>
      </c>
      <c r="E61" s="124">
        <f t="shared" si="4"/>
        <v>6.0000019766871269</v>
      </c>
      <c r="F61" s="124">
        <f t="shared" si="4"/>
        <v>6.3851856378336374</v>
      </c>
      <c r="H61" s="120"/>
    </row>
    <row r="62" spans="1:8" ht="13.15">
      <c r="A62" s="143">
        <f t="shared" si="3"/>
        <v>10</v>
      </c>
      <c r="B62" s="124">
        <f t="shared" si="4"/>
        <v>3.888787108071456</v>
      </c>
      <c r="C62" s="124">
        <f t="shared" si="4"/>
        <v>5.6444113383458721</v>
      </c>
      <c r="D62" s="124">
        <f t="shared" si="4"/>
        <v>5.9949142859591591</v>
      </c>
      <c r="E62" s="124">
        <f t="shared" si="4"/>
        <v>6.1828732955466741</v>
      </c>
      <c r="F62" s="124">
        <f t="shared" si="4"/>
        <v>7.0315730163126728</v>
      </c>
      <c r="H62" s="120"/>
    </row>
    <row r="63" spans="1:8" ht="13.15">
      <c r="A63" s="143">
        <f t="shared" si="3"/>
        <v>15</v>
      </c>
      <c r="B63" s="124">
        <f t="shared" si="4"/>
        <v>3.2697535888154574</v>
      </c>
      <c r="C63" s="124">
        <f t="shared" si="4"/>
        <v>5.5492709586633859</v>
      </c>
      <c r="D63" s="124">
        <f t="shared" si="4"/>
        <v>6.1032873514898878</v>
      </c>
      <c r="E63" s="124">
        <f t="shared" si="4"/>
        <v>6.4144098006245809</v>
      </c>
      <c r="F63" s="124">
        <f t="shared" si="4"/>
        <v>7.9410747231009822</v>
      </c>
      <c r="H63" s="120"/>
    </row>
    <row r="64" spans="1:8" ht="13.15">
      <c r="A64" s="144">
        <f t="shared" si="3"/>
        <v>20</v>
      </c>
      <c r="B64" s="124">
        <f t="shared" si="4"/>
        <v>2.7964204501510248</v>
      </c>
      <c r="C64" s="124">
        <f t="shared" si="4"/>
        <v>5.4573105496581968</v>
      </c>
      <c r="D64" s="124">
        <f t="shared" si="4"/>
        <v>6.2133530841021889</v>
      </c>
      <c r="E64" s="124">
        <f t="shared" si="4"/>
        <v>6.6557903845798592</v>
      </c>
      <c r="F64" s="124">
        <f t="shared" si="4"/>
        <v>9.0026917189316098</v>
      </c>
      <c r="H64" s="120"/>
    </row>
    <row r="65" spans="1:8" ht="13.15">
      <c r="A65" s="144">
        <f t="shared" si="3"/>
        <v>25</v>
      </c>
      <c r="B65" s="124">
        <f t="shared" si="4"/>
        <v>2.4536920938252074</v>
      </c>
      <c r="C65" s="124">
        <f t="shared" si="4"/>
        <v>5.3762374486385793</v>
      </c>
      <c r="D65" s="124">
        <f t="shared" si="4"/>
        <v>6.3153341945511361</v>
      </c>
      <c r="E65" s="124">
        <f t="shared" si="4"/>
        <v>6.8855289902634711</v>
      </c>
      <c r="F65" s="124">
        <f t="shared" si="4"/>
        <v>10.141220740797733</v>
      </c>
    </row>
    <row r="66" spans="1:8" ht="13.15">
      <c r="A66" s="144">
        <f t="shared" si="3"/>
        <v>30</v>
      </c>
      <c r="B66" s="124">
        <f t="shared" si="4"/>
        <v>2.2109363906777051</v>
      </c>
      <c r="C66" s="124">
        <f t="shared" si="4"/>
        <v>5.3084926852200578</v>
      </c>
      <c r="D66" s="124">
        <f t="shared" si="4"/>
        <v>6.4049020547024522</v>
      </c>
      <c r="E66" s="124">
        <f t="shared" si="4"/>
        <v>7.0929315233147667</v>
      </c>
      <c r="F66" s="124">
        <f t="shared" si="4"/>
        <v>11.306248948043466</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7.0315730163126728</v>
      </c>
      <c r="F69" s="142">
        <f>Scenarios!C58</f>
        <v>0.05</v>
      </c>
    </row>
    <row r="70" spans="1:8">
      <c r="B70" s="127" t="str">
        <f>Scenarios!B36</f>
        <v>Optimistic</v>
      </c>
      <c r="C70" s="142">
        <f>Scenarios!C38</f>
        <v>0.02</v>
      </c>
      <c r="D70" s="145">
        <f>Scenarios!C37</f>
        <v>5</v>
      </c>
      <c r="E70" s="135">
        <f>INDEX(B$60:F$66, MATCH(D70, A$60:A$66, 0), MATCH(C70, B$59:F$59, 0))</f>
        <v>6.0000019766871269</v>
      </c>
      <c r="F70" s="142">
        <f>Scenarios!C40*(1-F$69-F$73)</f>
        <v>0.18</v>
      </c>
      <c r="H70" s="120"/>
    </row>
    <row r="71" spans="1:8">
      <c r="B71" s="127" t="str">
        <f>Scenarios!B24</f>
        <v>Base</v>
      </c>
      <c r="C71" s="142">
        <f>Scenarios!C26</f>
        <v>0.01</v>
      </c>
      <c r="D71" s="145">
        <f>Scenarios!C25</f>
        <v>5</v>
      </c>
      <c r="E71" s="135">
        <f>INDEX(B$60:F$66, MATCH(D71, A$60:A$66, 0), MATCH(C71, B$59:F$59, 0))</f>
        <v>5.9071373156209113</v>
      </c>
      <c r="F71" s="142">
        <f>Scenarios!C28*(1-F$69-F$73)</f>
        <v>0.53999999999999992</v>
      </c>
      <c r="H71" s="120"/>
    </row>
    <row r="72" spans="1:8">
      <c r="B72" s="127" t="str">
        <f>Scenarios!B30</f>
        <v>Pessimistic</v>
      </c>
      <c r="C72" s="142">
        <f>Scenarios!C32</f>
        <v>-0.01</v>
      </c>
      <c r="D72" s="145">
        <f>Scenarios!C31</f>
        <v>5</v>
      </c>
      <c r="E72" s="135">
        <f>INDEX(B$60:F$66, MATCH(D72, A$60:A$66, 0), MATCH(C72, B$59:F$59, 0))</f>
        <v>5.7253220105892941</v>
      </c>
      <c r="F72" s="142">
        <f>Scenarios!C34*(1-F$69-F$73)</f>
        <v>0.18</v>
      </c>
      <c r="H72" s="120"/>
    </row>
    <row r="73" spans="1:8">
      <c r="B73" s="127" t="str">
        <f>Scenarios!B48</f>
        <v>Devil's advocate</v>
      </c>
      <c r="C73" s="142">
        <f>Scenarios!C50</f>
        <v>-0.15</v>
      </c>
      <c r="D73" s="145">
        <f>Scenarios!C49</f>
        <v>10</v>
      </c>
      <c r="E73" s="135">
        <f>INDEX(B$60:F$66, MATCH(D73, A$60:A$66, 0), MATCH(C73, B$59:F$59, 0))</f>
        <v>3.888787108071456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-7.46</v>
      </c>
    </row>
    <row r="4" spans="2:9">
      <c r="B4" s="152" t="s">
        <v>142</v>
      </c>
      <c r="C4" s="120">
        <v>3</v>
      </c>
      <c r="D4" s="120"/>
      <c r="E4" s="155" t="s">
        <v>146</v>
      </c>
      <c r="F4" s="155"/>
      <c r="H4" s="247">
        <v>1</v>
      </c>
      <c r="I4" s="124">
        <f t="shared" ref="I4:I13" si="0">IF(ROW()-3 &lt; $C$76, $C$77, IF(ROW()-3 = $C$76, $C$77 + $C$60, ""))</f>
        <v>0.39774555936359007</v>
      </c>
    </row>
    <row r="5" spans="2:9">
      <c r="H5" s="247">
        <v>2</v>
      </c>
      <c r="I5" s="124">
        <f t="shared" si="0"/>
        <v>0.39774555936359007</v>
      </c>
    </row>
    <row r="6" spans="2:9" ht="13.15">
      <c r="B6" s="159" t="s">
        <v>92</v>
      </c>
      <c r="C6" s="107">
        <f>DCF!C3</f>
        <v>1000000</v>
      </c>
      <c r="E6" s="100" t="s">
        <v>274</v>
      </c>
      <c r="F6" s="100"/>
      <c r="H6" s="247">
        <v>3</v>
      </c>
      <c r="I6" s="124">
        <f t="shared" si="0"/>
        <v>9.3301187777400276</v>
      </c>
    </row>
    <row r="7" spans="2:9" ht="12.75" customHeight="1">
      <c r="B7" s="100" t="s">
        <v>270</v>
      </c>
      <c r="C7" s="338">
        <f>Normalized_FCF!G8</f>
        <v>245516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80"/>
      <c r="H7" s="247">
        <v>4</v>
      </c>
      <c r="I7" s="124" t="str">
        <f t="shared" si="0"/>
        <v/>
      </c>
    </row>
    <row r="8" spans="2:9">
      <c r="B8" s="100" t="s">
        <v>64</v>
      </c>
      <c r="C8" s="338">
        <f>Normalized_FCF!G19</f>
        <v>175396.86669267845</v>
      </c>
      <c r="D8" t="str">
        <f>Reporting_currency</f>
        <v>CNY</v>
      </c>
      <c r="E8" s="380"/>
      <c r="F8" s="380"/>
      <c r="H8" s="247">
        <v>5</v>
      </c>
      <c r="I8" s="124" t="str">
        <f t="shared" si="0"/>
        <v/>
      </c>
    </row>
    <row r="9" spans="2:9">
      <c r="B9" s="100" t="s">
        <v>55</v>
      </c>
      <c r="C9" s="338">
        <f>Normalized_FCF!C19</f>
        <v>131923.21948735364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0.16638727228030792</v>
      </c>
      <c r="D12" s="158"/>
      <c r="E12" s="380"/>
      <c r="F12" s="380"/>
      <c r="H12" s="247">
        <v>9</v>
      </c>
      <c r="I12" s="124" t="str">
        <f t="shared" si="0"/>
        <v/>
      </c>
    </row>
    <row r="13" spans="2:9">
      <c r="B13" s="148" t="s">
        <v>148</v>
      </c>
      <c r="C13" s="158">
        <f ca="1">(Normalized_FCF!G8/OFFSET(Normalized_FCF!G8, 0, $C$4))^(1/$C$4) - 1</f>
        <v>0.15587431850223021</v>
      </c>
      <c r="E13" s="380"/>
      <c r="F13" s="380"/>
      <c r="H13" s="247">
        <v>10</v>
      </c>
      <c r="I13" s="124" t="str">
        <f t="shared" si="0"/>
        <v/>
      </c>
    </row>
    <row r="14" spans="2:9">
      <c r="B14" s="100" t="s">
        <v>64</v>
      </c>
      <c r="C14" s="158">
        <f ca="1">(Normalized_FCF!G19/OFFSET(Normalized_FCF!G19, 0, $C$4))^(1/$C$4) - 1</f>
        <v>0.1119740670927909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7.46</v>
      </c>
      <c r="D21" t="str">
        <f>Market_currency</f>
        <v>HKD</v>
      </c>
      <c r="E21" s="381"/>
      <c r="F21" s="381"/>
    </row>
    <row r="22" spans="2:6">
      <c r="B22" s="100" t="s">
        <v>273</v>
      </c>
      <c r="C22" s="160">
        <f>IF(valuation_method="DCF",DCF!C12,DDM!C7)</f>
        <v>8.876477151938154</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0.01</v>
      </c>
      <c r="D26" s="164"/>
      <c r="E26" s="379"/>
      <c r="F26" s="379"/>
    </row>
    <row r="27" spans="2:6">
      <c r="B27" s="100" t="s">
        <v>109</v>
      </c>
      <c r="C27" s="160">
        <f>IF(valuation_method="DCF",DCF!E76,DDM!E71)</f>
        <v>9.0423884117261561</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8.7128959604153557</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9.210681200991246</v>
      </c>
      <c r="D39" t="str">
        <f>Market_currency</f>
        <v>HKD</v>
      </c>
      <c r="E39" s="379"/>
      <c r="F39" s="379"/>
    </row>
    <row r="40" spans="2:6">
      <c r="B40" s="100" t="s">
        <v>143</v>
      </c>
      <c r="C40" s="167">
        <f>1-C28-C34</f>
        <v>0.2</v>
      </c>
      <c r="D40" s="165"/>
      <c r="E40" s="379"/>
      <c r="F40" s="379"/>
    </row>
    <row r="42" spans="2:6" ht="13.15">
      <c r="B42" s="100" t="s">
        <v>116</v>
      </c>
      <c r="C42" s="154">
        <f>C27*C28+C33*C34+C39*C40</f>
        <v>9.0101484793170137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-0.15</v>
      </c>
      <c r="D50" s="164"/>
      <c r="E50" s="379"/>
      <c r="F50" s="379"/>
    </row>
    <row r="51" spans="2:6">
      <c r="B51" s="100" t="s">
        <v>109</v>
      </c>
      <c r="C51" s="160">
        <f>IF(valuation_method="DCF",DCF!E78,DDM!E73)</f>
        <v>5.3846591717510845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11.080132568071399</v>
      </c>
      <c r="D57" t="str">
        <f>Market_currency</f>
        <v>HKD</v>
      </c>
      <c r="E57" s="379"/>
      <c r="F57" s="379"/>
    </row>
    <row r="58" spans="2:6">
      <c r="B58" s="100" t="s">
        <v>143</v>
      </c>
      <c r="C58" s="165">
        <v>0.05</v>
      </c>
      <c r="D58" s="165"/>
      <c r="E58" s="379"/>
      <c r="F58" s="379"/>
    </row>
    <row r="60" spans="2:6" ht="13.15">
      <c r="B60" s="100" t="s">
        <v>116</v>
      </c>
      <c r="C60" s="154">
        <f>C51*C52+C57*C58+C42*(1-C52-C58)</f>
        <v>8.9323732183764371</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-4.8975772939903201E-3</v>
      </c>
      <c r="D65" s="151"/>
      <c r="E65" s="251" t="s">
        <v>304</v>
      </c>
    </row>
    <row r="66" spans="2:6">
      <c r="B66" s="100" t="s">
        <v>99</v>
      </c>
      <c r="C66" s="160">
        <f>IF(valuation_method="DCF",DCF!C18,DDM!C13)</f>
        <v>8.7960740246328442</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-0.18614821354686134</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0.39774555936359007</v>
      </c>
      <c r="D77" t="str">
        <f>Market_currency</f>
        <v>HKD</v>
      </c>
    </row>
    <row r="79" spans="2:6" ht="13.15">
      <c r="B79" s="109" t="s">
        <v>296</v>
      </c>
    </row>
    <row r="80" spans="2:6">
      <c r="B80" s="148" t="s">
        <v>294</v>
      </c>
      <c r="C80" s="167">
        <f>Thesis!F29</f>
        <v>0.35</v>
      </c>
    </row>
    <row r="81" spans="2:8">
      <c r="B81" s="100" t="s">
        <v>117</v>
      </c>
      <c r="C81" s="116">
        <f>PV(C80, C76, -C77, 0)</f>
        <v>0.67452861715981494</v>
      </c>
      <c r="D81" s="116"/>
      <c r="E81" s="100"/>
      <c r="F81" s="100"/>
    </row>
    <row r="82" spans="2:8">
      <c r="B82" s="100" t="s">
        <v>118</v>
      </c>
      <c r="C82" s="116">
        <f>C60/(1+C80)^C76</f>
        <v>3.6304925949810234</v>
      </c>
      <c r="D82" s="116"/>
    </row>
    <row r="83" spans="2:8" ht="13.15">
      <c r="B83" s="110" t="s">
        <v>98</v>
      </c>
      <c r="C83" s="111">
        <f>C81+C82</f>
        <v>4.3050212121408382</v>
      </c>
      <c r="D83" t="str">
        <f>Market_currency</f>
        <v>HKD</v>
      </c>
      <c r="E83" s="146" t="s">
        <v>122</v>
      </c>
      <c r="F83" s="291">
        <f>(1-C83/C60)</f>
        <v>0.51804284181899352</v>
      </c>
    </row>
    <row r="84" spans="2:8">
      <c r="E84" s="120"/>
    </row>
    <row r="85" spans="2:8" ht="13.15">
      <c r="B85" s="109" t="s">
        <v>297</v>
      </c>
    </row>
    <row r="86" spans="2:8">
      <c r="B86" s="148" t="s">
        <v>295</v>
      </c>
      <c r="C86" s="116">
        <f>Market_Price</f>
        <v>7.46</v>
      </c>
      <c r="D86" t="str">
        <f>Market_currency</f>
        <v>HKD</v>
      </c>
    </row>
    <row r="87" spans="2:8" ht="13.15">
      <c r="B87" s="100" t="s">
        <v>293</v>
      </c>
      <c r="C87" s="237">
        <f ca="1">IRR(OFFSET($I$3, 0, 0, $C$76 + 1, 1))</f>
        <v>0.11224495639351839</v>
      </c>
    </row>
    <row r="88" spans="2:8">
      <c r="B88" s="100"/>
    </row>
    <row r="89" spans="2:8" ht="13.15">
      <c r="B89" s="109" t="s">
        <v>392</v>
      </c>
    </row>
    <row r="90" spans="2:8">
      <c r="B90" s="148" t="s">
        <v>393</v>
      </c>
      <c r="C90" s="167">
        <f>Thesis!F30</f>
        <v>0.25</v>
      </c>
    </row>
    <row r="91" spans="2:8">
      <c r="B91" s="100" t="s">
        <v>117</v>
      </c>
      <c r="C91" s="116">
        <f>PV(C90, C76, -C77, 0)</f>
        <v>0.77639933187772781</v>
      </c>
      <c r="D91" s="116"/>
      <c r="E91" s="100"/>
      <c r="F91" s="100"/>
    </row>
    <row r="92" spans="2:8">
      <c r="B92" s="100" t="s">
        <v>118</v>
      </c>
      <c r="C92" s="116">
        <f>C60/(1+C90)^C76</f>
        <v>4.5733750878087358</v>
      </c>
      <c r="D92" s="116"/>
    </row>
    <row r="93" spans="2:8" ht="13.15">
      <c r="B93" s="110" t="s">
        <v>98</v>
      </c>
      <c r="C93" s="111">
        <f>C91+C92</f>
        <v>5.3497744196864634</v>
      </c>
      <c r="D93" t="str">
        <f>Market_currency</f>
        <v>HKD</v>
      </c>
      <c r="E93" s="146" t="s">
        <v>122</v>
      </c>
      <c r="F93" s="291">
        <f>(1-C93/C60)</f>
        <v>0.40108028528404382</v>
      </c>
    </row>
    <row r="95" spans="2:8" ht="13.15">
      <c r="B95" s="109" t="s">
        <v>378</v>
      </c>
      <c r="G95" s="2"/>
      <c r="H95" s="281"/>
    </row>
    <row r="96" spans="2:8">
      <c r="B96" s="148" t="s">
        <v>383</v>
      </c>
      <c r="C96" s="134">
        <f>Thesis!F31</f>
        <v>7.4999999999999997E-2</v>
      </c>
      <c r="G96" s="2"/>
      <c r="H96" s="281"/>
    </row>
    <row r="97" spans="2:8">
      <c r="B97" s="100" t="s">
        <v>117</v>
      </c>
      <c r="C97" s="116">
        <f>PV(C96, C76, -C77, 0)</f>
        <v>1.0343475650447866</v>
      </c>
      <c r="D97" s="116"/>
      <c r="G97" s="2"/>
      <c r="H97" s="281"/>
    </row>
    <row r="98" spans="2:8">
      <c r="B98" s="100" t="s">
        <v>118</v>
      </c>
      <c r="C98" s="116">
        <f>C60/(1+C96)^C76</f>
        <v>7.1902082329366221</v>
      </c>
      <c r="D98" s="116"/>
      <c r="G98" s="2"/>
      <c r="H98" s="281"/>
    </row>
    <row r="99" spans="2:8" ht="13.15">
      <c r="B99" s="110" t="s">
        <v>379</v>
      </c>
      <c r="C99" s="111">
        <f>C97+C98</f>
        <v>8.2245557979814095</v>
      </c>
      <c r="D99" t="s">
        <v>377</v>
      </c>
      <c r="E99" s="146" t="s">
        <v>122</v>
      </c>
      <c r="F99" s="291">
        <f>(1-C99/C60)</f>
        <v>7.9241809885288395E-2</v>
      </c>
    </row>
    <row r="100" spans="2:8">
      <c r="B100" s="100"/>
    </row>
    <row r="101" spans="2:8" ht="13.15">
      <c r="B101" s="109" t="s">
        <v>399</v>
      </c>
    </row>
    <row r="102" spans="2:8">
      <c r="B102" s="148" t="s">
        <v>398</v>
      </c>
      <c r="C102" s="134">
        <f>Thesis!F32</f>
        <v>0.1174</v>
      </c>
    </row>
    <row r="103" spans="2:8">
      <c r="B103" s="100" t="s">
        <v>117</v>
      </c>
      <c r="C103" s="116">
        <f>PV(C102, C76, -C77, 0)</f>
        <v>0.95960217984881391</v>
      </c>
      <c r="D103" s="116"/>
    </row>
    <row r="104" spans="2:8">
      <c r="B104" s="100" t="s">
        <v>118</v>
      </c>
      <c r="C104" s="116">
        <f>C60/(1+C102)^C76</f>
        <v>6.4023713385583925</v>
      </c>
      <c r="D104" s="116"/>
    </row>
    <row r="105" spans="2:8" ht="13.15">
      <c r="B105" s="110" t="s">
        <v>379</v>
      </c>
      <c r="C105" s="111">
        <f>C103+C104</f>
        <v>7.3619735184072059</v>
      </c>
      <c r="D105" t="s">
        <v>377</v>
      </c>
      <c r="E105" s="146" t="s">
        <v>122</v>
      </c>
      <c r="F105" s="291">
        <f>(1-C105/C66)</f>
        <v>0.16303870365455442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6A479-61E4-4D88-A437-1AC1470437D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2025-07-24T13:46:51Z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