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FA461D8-2D89-C545-9274-29503954608D}"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<sst xmlns="http://schemas.openxmlformats.org/spreadsheetml/2006/main" count="686" uniqueCount="466">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</sst>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183020977818</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6.59</v>
      </c>
      <c r="D12" s="50">
        <v>8.1</v>
      </c>
      <c r="E12" s="48"/>
    </row>
    <row r="13" spans="1:10" x14ac:dyDescent="0.15">
      <c r="B13" s="1" t="s">
        <v>416</v>
      </c>
      <c r="C13" s="48" t="s">
        <v>396</v>
      </c>
      <c r="D13" s="48" t="s">
        <v>414</v>
      </c>
      <c r="E13" s="5"/>
    </row>
    <row r="14" spans="1:10" x14ac:dyDescent="0.15">
      <c r="B14" s="4" t="s">
        <v>420</v>
      </c>
      <c r="C14" s="35">
        <f>Thesis!C12*Common_Shares/1000000</f>
        <v>1206108.2438206198</v>
      </c>
      <c r="D14" s="35">
        <f>IF(D11="","",Thesis!D12*Common_Shares/1000000)</f>
        <v>1482469.9203258001</v>
      </c>
      <c r="E14" s="5"/>
    </row>
    <row r="15" spans="1:10" x14ac:dyDescent="0.15">
      <c r="B15" s="4" t="s">
        <v>419</v>
      </c>
      <c r="C15" s="32" t="str">
        <f>IF(C25=C13,C13,C25&amp;"/"&amp;C13)</f>
        <v>CNY/HKD</v>
      </c>
      <c r="D15" s="32" t="str">
        <f>IF(D11="","",IF(C25=D13,D13,C25&amp;"/"&amp;D13))</f>
        <v>CNY</v>
      </c>
      <c r="E15" s="5"/>
    </row>
    <row r="16" spans="1:10" x14ac:dyDescent="0.15">
      <c r="B16" s="4" t="s">
        <v>1</v>
      </c>
      <c r="C16" s="50">
        <v>1.0889065499999999</v>
      </c>
      <c r="D16" s="50">
        <v>1</v>
      </c>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Negative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HKD/CNY:</v>
      </c>
      <c r="E25" s="299">
        <f>IF(D11="","",1/Exchange_Rate*D16)</f>
        <v>0.91835245182426362</v>
      </c>
    </row>
    <row r="26" spans="2:6" x14ac:dyDescent="0.15">
      <c r="B26" s="1" t="str">
        <f>"Expected Equity Value ("&amp;C13&amp;") :"</f>
        <v>Expected Equity Value (HKD) :</v>
      </c>
      <c r="C26" s="304">
        <f>C132</f>
        <v>8.7294263965616246</v>
      </c>
      <c r="D26" s="1" t="s">
        <v>399</v>
      </c>
      <c r="E26" s="301">
        <f ca="1">Scenarios!C87</f>
        <v>0.1596969533144863</v>
      </c>
    </row>
    <row r="27" spans="2:6" x14ac:dyDescent="0.15">
      <c r="D27" s="5"/>
      <c r="E27" s="5"/>
    </row>
    <row r="28" spans="2:6" x14ac:dyDescent="0.15">
      <c r="B28" s="45" t="s">
        <v>433</v>
      </c>
      <c r="C28" s="309" t="str">
        <f>C145&amp;" ("&amp;Market_currency&amp;")"</f>
        <v>0857.HK (HKD)</v>
      </c>
      <c r="D28" s="309" t="str">
        <f>IF(D11="","",D145&amp;" ("&amp;D13&amp;")")</f>
        <v>601857.SS (CNY)</v>
      </c>
      <c r="E28" s="305" t="s">
        <v>429</v>
      </c>
      <c r="F28" s="303">
        <v>3</v>
      </c>
    </row>
    <row r="29" spans="2:6" x14ac:dyDescent="0.15">
      <c r="B29" s="1" t="s">
        <v>425</v>
      </c>
      <c r="C29" s="310">
        <f>C149</f>
        <v>4.1466871673078485</v>
      </c>
      <c r="D29" s="310">
        <f>D149</f>
        <v>3.8081203270453732</v>
      </c>
      <c r="E29" s="306" t="s">
        <v>424</v>
      </c>
      <c r="F29" s="302">
        <v>0.3674</v>
      </c>
    </row>
    <row r="30" spans="2:6" x14ac:dyDescent="0.15">
      <c r="B30" s="1" t="s">
        <v>426</v>
      </c>
      <c r="C30" s="311">
        <f>C157</f>
        <v>5.744375396205192</v>
      </c>
      <c r="D30" s="311">
        <f>D157</f>
        <v>5.2753612293040142</v>
      </c>
      <c r="E30" s="307" t="s">
        <v>437</v>
      </c>
      <c r="F30" s="312">
        <v>0.21740000000000001</v>
      </c>
    </row>
    <row r="31" spans="2:6" x14ac:dyDescent="0.15">
      <c r="B31" s="1" t="s">
        <v>427</v>
      </c>
      <c r="C31" s="311">
        <f>C165</f>
        <v>8.1761191159403914</v>
      </c>
      <c r="D31" s="311">
        <f>D165</f>
        <v>7.5085590365310892</v>
      </c>
      <c r="E31" s="307" t="s">
        <v>436</v>
      </c>
      <c r="F31" s="312">
        <v>7.4999999999999997E-2</v>
      </c>
    </row>
    <row r="32" spans="2:6" x14ac:dyDescent="0.15">
      <c r="B32" s="1" t="s">
        <v>428</v>
      </c>
      <c r="C32" s="311">
        <f>C173</f>
        <v>7.3231317390697619</v>
      </c>
      <c r="D32" s="311">
        <f>D173</f>
        <v>6.7252159876067994</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247357.8376927129</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243209.00000000003</v>
      </c>
      <c r="D44" s="1" t="str">
        <f>Reporting_currency</f>
        <v>CNY</v>
      </c>
    </row>
    <row r="45" spans="1:6" x14ac:dyDescent="0.15">
      <c r="B45" s="52" t="s">
        <v>235</v>
      </c>
      <c r="C45" s="349">
        <f>Normalized_FCF!C10</f>
        <v>-283919.19056768838</v>
      </c>
      <c r="D45" s="1" t="str">
        <f>Reporting_currency</f>
        <v>CNY</v>
      </c>
    </row>
    <row r="47" spans="1:6" x14ac:dyDescent="0.15">
      <c r="B47" s="357" t="s">
        <v>236</v>
      </c>
      <c r="C47" s="357"/>
      <c r="D47" s="357"/>
      <c r="E47" s="357"/>
      <c r="F47" s="357"/>
    </row>
    <row r="48" spans="1:6" x14ac:dyDescent="0.15">
      <c r="B48" s="47" t="s">
        <v>237</v>
      </c>
      <c r="C48" s="349">
        <f>Normalized_FCF!C11</f>
        <v>18644</v>
      </c>
      <c r="D48" s="1" t="str">
        <f>Reporting_currency</f>
        <v>CNY</v>
      </c>
    </row>
    <row r="50" spans="2:6" x14ac:dyDescent="0.15">
      <c r="B50" s="357" t="s">
        <v>240</v>
      </c>
      <c r="C50" s="357"/>
      <c r="D50" s="357"/>
      <c r="E50" s="357"/>
      <c r="F50" s="357"/>
    </row>
    <row r="51" spans="2:6" x14ac:dyDescent="0.15">
      <c r="B51" s="47" t="s">
        <v>340</v>
      </c>
      <c r="C51" s="350">
        <f>Normalized_FCF!C48</f>
        <v>8793.8666926784372</v>
      </c>
      <c r="D51" s="1" t="str">
        <f>Reporting_currency</f>
        <v>CNY</v>
      </c>
      <c r="E51" s="286"/>
      <c r="F51" s="286"/>
    </row>
    <row r="52" spans="2:6" x14ac:dyDescent="0.15">
      <c r="B52" s="47" t="s">
        <v>341</v>
      </c>
      <c r="C52" s="350">
        <f>Normalized_FCF!C47</f>
        <v>-20731</v>
      </c>
      <c r="D52" s="1" t="str">
        <f>Reporting_currency</f>
        <v>CNY</v>
      </c>
      <c r="E52" s="286"/>
      <c r="F52" s="286"/>
    </row>
    <row r="53" spans="2:6" x14ac:dyDescent="0.15">
      <c r="B53" s="47" t="s">
        <v>238</v>
      </c>
      <c r="C53" s="349">
        <f>Normalized_FCF!C12</f>
        <v>-11937.133307321563</v>
      </c>
      <c r="D53" s="1" t="str">
        <f>Reporting_currency</f>
        <v>CNY</v>
      </c>
    </row>
    <row r="55" spans="2:6" x14ac:dyDescent="0.15">
      <c r="B55" s="1" t="s">
        <v>246</v>
      </c>
    </row>
    <row r="56" spans="2:6" x14ac:dyDescent="0.15">
      <c r="B56" s="47" t="s">
        <v>265</v>
      </c>
      <c r="C56" s="349">
        <f>Normalized_FCF!C15</f>
        <v>-17915.118234001515</v>
      </c>
      <c r="D56" s="1" t="str">
        <f>Reporting_currency</f>
        <v>CNY</v>
      </c>
    </row>
    <row r="58" spans="2:6" x14ac:dyDescent="0.15">
      <c r="B58" s="357" t="s">
        <v>241</v>
      </c>
      <c r="C58" s="357"/>
      <c r="D58" s="357"/>
      <c r="E58" s="357"/>
      <c r="F58" s="357"/>
    </row>
    <row r="59" spans="2:6" x14ac:dyDescent="0.15">
      <c r="B59" s="47" t="s">
        <v>239</v>
      </c>
      <c r="C59" s="349">
        <f>Normalized_FCF!C14</f>
        <v>-63516.176096347837</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175396.86669267845</v>
      </c>
      <c r="D67" s="1" t="str">
        <f>Reporting_currency</f>
        <v>CNY</v>
      </c>
    </row>
    <row r="68" spans="1:6" x14ac:dyDescent="0.15">
      <c r="B68" s="47" t="s">
        <v>248</v>
      </c>
      <c r="C68" s="349">
        <f>Normalized_FCF!C19</f>
        <v>131923.21948735364</v>
      </c>
      <c r="D68" s="1" t="str">
        <f>Reporting_currency</f>
        <v>CNY</v>
      </c>
    </row>
    <row r="69" spans="1:6" x14ac:dyDescent="0.15">
      <c r="B69" s="227" t="s">
        <v>390</v>
      </c>
      <c r="C69" s="92">
        <f>Normalized_FCF!C125</f>
        <v>0.11910378569490307</v>
      </c>
      <c r="F69" s="314"/>
    </row>
    <row r="70" spans="1:6" x14ac:dyDescent="0.15">
      <c r="B70" s="227" t="s">
        <v>308</v>
      </c>
      <c r="C70" s="92">
        <f>Normalized_FCF!C93</f>
        <v>6.7062141184216842E-2</v>
      </c>
      <c r="E70" s="47" t="s">
        <v>448</v>
      </c>
      <c r="F70" s="315">
        <f>Normalized_FCF!C92</f>
        <v>0.61311573235445438</v>
      </c>
    </row>
    <row r="72" spans="1:6" x14ac:dyDescent="0.15">
      <c r="B72" s="210" t="s">
        <v>451</v>
      </c>
      <c r="C72" s="323" t="s">
        <v>453</v>
      </c>
      <c r="D72" s="323" t="s">
        <v>454</v>
      </c>
    </row>
    <row r="73" spans="1:6" x14ac:dyDescent="0.15">
      <c r="B73" s="47" t="s">
        <v>452</v>
      </c>
      <c r="C73" s="92">
        <f>Normalized_FCF!C120</f>
        <v>0.12477871842229639</v>
      </c>
      <c r="D73" s="92">
        <f>Normalized_FCF!G120</f>
        <v>0.14751057055020106</v>
      </c>
    </row>
    <row r="74" spans="1:6" x14ac:dyDescent="0.15">
      <c r="B74" s="259" t="str">
        <f>Normalized_FCF!B117</f>
        <v>Pre-tax Profit/Sales</v>
      </c>
      <c r="C74" s="322">
        <f>Normalized_FCF!C117</f>
        <v>7.7304831872868032E-2</v>
      </c>
      <c r="D74" s="322">
        <f>Normalized_FCF!G117</f>
        <v>8.5849046230278017E-2</v>
      </c>
    </row>
    <row r="75" spans="1:6" x14ac:dyDescent="0.15">
      <c r="B75" s="259" t="str">
        <f>Normalized_FCF!B118</f>
        <v>Sales/Total Assets</v>
      </c>
      <c r="C75" s="324">
        <f>Normalized_FCF!C118</f>
        <v>1.0025080757150273</v>
      </c>
      <c r="D75" s="324">
        <f>Normalized_FCF!G118</f>
        <v>1.0671898037309748</v>
      </c>
    </row>
    <row r="76" spans="1:6" x14ac:dyDescent="0.15">
      <c r="B76" s="259" t="str">
        <f>Normalized_FCF!B119</f>
        <v>Total Assets/Equity</v>
      </c>
      <c r="C76" s="324">
        <f>Normalized_FCF!C119</f>
        <v>1.6100746083165727</v>
      </c>
      <c r="D76" s="324">
        <f>Normalized_FCF!G119</f>
        <v>1.6100746083165727</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10.465252636392151</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279749</v>
      </c>
      <c r="D102" s="1" t="str">
        <f>Reporting_currency</f>
        <v>CNY</v>
      </c>
    </row>
    <row r="103" spans="2:6" x14ac:dyDescent="0.15">
      <c r="B103" s="47" t="s">
        <v>281</v>
      </c>
      <c r="C103" s="223">
        <f>C102*scaling_factor*Exchange_Rate/Common_Shares</f>
        <v>1.664402201800447</v>
      </c>
      <c r="D103" s="1" t="str">
        <f>Market_currency</f>
        <v>HKD</v>
      </c>
    </row>
    <row r="104" spans="2:6" x14ac:dyDescent="0.15">
      <c r="B104" s="296" t="s">
        <v>404</v>
      </c>
      <c r="C104" s="325">
        <f>IF(BS!G31/BS!G27&gt;300%,"nm",BS!G31/BS!G27)</f>
        <v>0.16360901428944893</v>
      </c>
    </row>
    <row r="105" spans="2:6" x14ac:dyDescent="0.15">
      <c r="B105" s="296" t="s">
        <v>406</v>
      </c>
      <c r="C105" s="326">
        <f>IF(BS!C50&gt;30,"nm",BS!C50)</f>
        <v>1.1309485990394448</v>
      </c>
    </row>
    <row r="107" spans="2:6" x14ac:dyDescent="0.15">
      <c r="B107" s="1" t="s">
        <v>254</v>
      </c>
    </row>
    <row r="108" spans="2:6" x14ac:dyDescent="0.15">
      <c r="B108" s="47" t="s">
        <v>264</v>
      </c>
      <c r="C108" s="349">
        <f>BS!C66</f>
        <v>216246</v>
      </c>
      <c r="D108" s="1" t="str">
        <f>Reporting_currency</f>
        <v>CNY</v>
      </c>
    </row>
    <row r="109" spans="2:6" x14ac:dyDescent="0.15">
      <c r="B109" s="47" t="s">
        <v>266</v>
      </c>
      <c r="C109" s="349">
        <f>DCF!C8</f>
        <v>126.15719684722717</v>
      </c>
      <c r="D109" s="1" t="str">
        <f>Reporting_currency</f>
        <v>CNY</v>
      </c>
    </row>
    <row r="110" spans="2:6" x14ac:dyDescent="0.15">
      <c r="B110" s="47" t="s">
        <v>282</v>
      </c>
      <c r="C110" s="223">
        <f>C109*scaling_factor*Exchange_Rate/Common_Shares</f>
        <v>7.5058826378466875E-4</v>
      </c>
      <c r="D110" s="1" t="str">
        <f>Market_currency</f>
        <v>HKD</v>
      </c>
    </row>
    <row r="112" spans="2:6" x14ac:dyDescent="0.15">
      <c r="B112" s="1" t="s">
        <v>256</v>
      </c>
    </row>
    <row r="113" spans="1:6" x14ac:dyDescent="0.15">
      <c r="B113" s="47" t="s">
        <v>257</v>
      </c>
      <c r="C113" s="349">
        <f>DCF!C9</f>
        <v>2113.7999999999997</v>
      </c>
      <c r="D113" s="1" t="str">
        <f>Reporting_currency</f>
        <v>CNY</v>
      </c>
    </row>
    <row r="114" spans="1:6" x14ac:dyDescent="0.15">
      <c r="B114" s="47" t="s">
        <v>283</v>
      </c>
      <c r="C114" s="223">
        <f>C113*scaling_factor*Exchange_Rate/Common_Shares</f>
        <v>1.2576321538828679E-2</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8.8141773443943165</v>
      </c>
      <c r="D118" s="1" t="str">
        <f>Market_currency</f>
        <v>HKD</v>
      </c>
    </row>
    <row r="119" spans="1:6" x14ac:dyDescent="0.15">
      <c r="B119" s="296" t="s">
        <v>405</v>
      </c>
      <c r="C119" s="223">
        <f>BS!D47</f>
        <v>-3.8637368539918828</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0.06</v>
      </c>
      <c r="D126" s="230">
        <f>DCF!D74</f>
        <v>10</v>
      </c>
      <c r="E126" s="231" t="str">
        <f>ROUND(IF(valuation_method="DCF",DCF!E74,DDM!E69),2)&amp;" "&amp;Market_currency</f>
        <v>11 HKD</v>
      </c>
      <c r="F126" s="232">
        <f>DCF!F74</f>
        <v>0.05</v>
      </c>
    </row>
    <row r="127" spans="1:6" x14ac:dyDescent="0.15">
      <c r="B127" s="218" t="str">
        <f>DCF!B75</f>
        <v>Optimistic</v>
      </c>
      <c r="C127" s="219">
        <f>DCF!C75</f>
        <v>0.02</v>
      </c>
      <c r="D127" s="220">
        <f>DCF!D75</f>
        <v>5</v>
      </c>
      <c r="E127" s="231" t="str">
        <f>ROUND(IF(valuation_method="DCF",DCF!E75,DDM!E70),2)&amp;" "&amp;Market_currency</f>
        <v>9.15 HKD</v>
      </c>
      <c r="F127" s="221">
        <f>DCF!F75</f>
        <v>0.18</v>
      </c>
    </row>
    <row r="128" spans="1:6" x14ac:dyDescent="0.15">
      <c r="B128" s="218" t="str">
        <f>DCF!B76</f>
        <v>Base</v>
      </c>
      <c r="C128" s="219">
        <f>DCF!C76</f>
        <v>0.01</v>
      </c>
      <c r="D128" s="220">
        <f>DCF!D76</f>
        <v>5</v>
      </c>
      <c r="E128" s="231" t="str">
        <f>ROUND(IF(valuation_method="DCF",DCF!E76,DDM!E71),2)&amp;" "&amp;Market_currency</f>
        <v>8.98 HKD</v>
      </c>
      <c r="F128" s="221">
        <f>DCF!F76</f>
        <v>0.53999999999999992</v>
      </c>
    </row>
    <row r="129" spans="1:6" x14ac:dyDescent="0.15">
      <c r="B129" s="218" t="str">
        <f>DCF!B77</f>
        <v>Pessimistic</v>
      </c>
      <c r="C129" s="219">
        <f>DCF!C77</f>
        <v>-0.06</v>
      </c>
      <c r="D129" s="220">
        <f>DCF!D77</f>
        <v>5</v>
      </c>
      <c r="E129" s="231" t="str">
        <f>ROUND(IF(valuation_method="DCF",DCF!E77,DDM!E72),2)&amp;" "&amp;Market_currency</f>
        <v>7.87 HKD</v>
      </c>
      <c r="F129" s="221">
        <f>DCF!F77</f>
        <v>0.18</v>
      </c>
    </row>
    <row r="130" spans="1:6" x14ac:dyDescent="0.15">
      <c r="B130" s="218" t="str">
        <f>DCF!B78</f>
        <v>Devil's advocate</v>
      </c>
      <c r="C130" s="219">
        <f>DCF!C78</f>
        <v>-0.15</v>
      </c>
      <c r="D130" s="220">
        <f>DCF!D78</f>
        <v>10</v>
      </c>
      <c r="E130" s="231" t="str">
        <f>ROUND(IF(valuation_method="DCF",DCF!E78,DDM!E73),2)&amp;" "&amp;Market_currency</f>
        <v>5.35 HKD</v>
      </c>
      <c r="F130" s="221">
        <f>DCF!F78</f>
        <v>0.05</v>
      </c>
    </row>
    <row r="132" spans="1:6" x14ac:dyDescent="0.15">
      <c r="B132" s="211" t="s">
        <v>258</v>
      </c>
      <c r="C132" s="217">
        <f>Scenarios!C60</f>
        <v>8.7294263965616246</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0.44193951040398899</v>
      </c>
      <c r="D143" s="212" t="str">
        <f>Market_currency</f>
        <v>HKD</v>
      </c>
    </row>
    <row r="145" spans="2:4" x14ac:dyDescent="0.15">
      <c r="B145" s="210" t="s">
        <v>408</v>
      </c>
      <c r="C145" s="241" t="str">
        <f>C11</f>
        <v>0857.HK</v>
      </c>
      <c r="D145" s="241" t="str">
        <f>IF(D11="","",D11)</f>
        <v>601857.SS</v>
      </c>
    </row>
    <row r="146" spans="2:4" x14ac:dyDescent="0.15">
      <c r="B146" s="1" t="s">
        <v>407</v>
      </c>
      <c r="C146" s="297">
        <f>F29</f>
        <v>0.3674</v>
      </c>
    </row>
    <row r="147" spans="2:4" x14ac:dyDescent="0.15">
      <c r="B147" s="212" t="str">
        <f>"PV("&amp;C141&amp;" yrs of Dividends)"</f>
        <v>PV(3 yrs of Dividends)</v>
      </c>
      <c r="C147" s="216">
        <f>Scenarios!C81</f>
        <v>0.73240837221255373</v>
      </c>
    </row>
    <row r="148" spans="2:4" x14ac:dyDescent="0.15">
      <c r="B148" s="212" t="str">
        <f>"+ PV(Equity Value realized at year "&amp;C141&amp;")"</f>
        <v>+ PV(Equity Value realized at year 3)</v>
      </c>
      <c r="C148" s="216">
        <f>Scenarios!C82</f>
        <v>3.4142787950952944</v>
      </c>
    </row>
    <row r="149" spans="2:4" x14ac:dyDescent="0.15">
      <c r="B149" s="80" t="s">
        <v>260</v>
      </c>
      <c r="C149" s="215">
        <f>Scenarios!C83</f>
        <v>4.1466871673078485</v>
      </c>
      <c r="D149" s="300">
        <f>IF($D$11="","",C149*$E$25)</f>
        <v>3.8081203270453732</v>
      </c>
    </row>
    <row r="150" spans="2:4" x14ac:dyDescent="0.15">
      <c r="B150" s="259" t="s">
        <v>416</v>
      </c>
      <c r="C150" s="298" t="str">
        <f>Market_currency</f>
        <v>HKD</v>
      </c>
      <c r="D150" s="298" t="str">
        <f>IF($D$11="","",D$13)</f>
        <v>CNY</v>
      </c>
    </row>
    <row r="151" spans="2:4" x14ac:dyDescent="0.15">
      <c r="B151" s="214" t="s">
        <v>262</v>
      </c>
      <c r="C151" s="92">
        <f>Scenarios!F83</f>
        <v>0.5249759859432277</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0.90615313623080584</v>
      </c>
    </row>
    <row r="156" spans="2:4" x14ac:dyDescent="0.15">
      <c r="B156" s="212" t="str">
        <f>"+ PV(Equity Value realized at year "&amp;C141&amp;")"</f>
        <v>+ PV(Equity Value realized at year 3)</v>
      </c>
      <c r="C156" s="216">
        <f>Scenarios!C92</f>
        <v>4.838222259974386</v>
      </c>
    </row>
    <row r="157" spans="2:4" x14ac:dyDescent="0.15">
      <c r="B157" s="80" t="s">
        <v>260</v>
      </c>
      <c r="C157" s="215">
        <f>Scenarios!C93</f>
        <v>5.744375396205192</v>
      </c>
      <c r="D157" s="300">
        <f>IF($D$11="","",C157*$E$25)</f>
        <v>5.2753612293040142</v>
      </c>
    </row>
    <row r="158" spans="2:4" x14ac:dyDescent="0.15">
      <c r="B158" s="259" t="s">
        <v>416</v>
      </c>
      <c r="C158" s="298" t="str">
        <f>Market_currency</f>
        <v>HKD</v>
      </c>
      <c r="D158" s="298" t="str">
        <f>IF($D$11="","",D$13)</f>
        <v>CNY</v>
      </c>
    </row>
    <row r="159" spans="2:4" x14ac:dyDescent="0.15">
      <c r="B159" s="214" t="s">
        <v>262</v>
      </c>
      <c r="C159" s="92">
        <f>Scenarios!F93</f>
        <v>0.34195270854591253</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1.1492750722719851</v>
      </c>
    </row>
    <row r="164" spans="2:4" x14ac:dyDescent="0.15">
      <c r="B164" s="212" t="str">
        <f>"+ PV(Equity Value realized at year "&amp;C141&amp;")"</f>
        <v>+ PV(Equity Value realized at year 3)</v>
      </c>
      <c r="C164" s="216">
        <f>Scenarios!C98</f>
        <v>7.0268440436684072</v>
      </c>
    </row>
    <row r="165" spans="2:4" x14ac:dyDescent="0.15">
      <c r="B165" s="80" t="s">
        <v>401</v>
      </c>
      <c r="C165" s="215">
        <f>Scenarios!C99</f>
        <v>8.1761191159403914</v>
      </c>
      <c r="D165" s="300">
        <f>IF($D$11="","",C165*$E$25)</f>
        <v>7.5085590365310892</v>
      </c>
    </row>
    <row r="166" spans="2:4" x14ac:dyDescent="0.15">
      <c r="B166" s="259" t="s">
        <v>416</v>
      </c>
      <c r="C166" s="298" t="str">
        <f>Market_currency</f>
        <v>HKD</v>
      </c>
      <c r="D166" s="298" t="str">
        <f>IF($D$11="","",D$13)</f>
        <v>CNY</v>
      </c>
    </row>
    <row r="167" spans="2:4" x14ac:dyDescent="0.15">
      <c r="B167" s="214" t="s">
        <v>262</v>
      </c>
      <c r="C167" s="92">
        <f>Scenarios!F99</f>
        <v>6.3384150972298881E-2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1.06622464427646</v>
      </c>
    </row>
    <row r="172" spans="2:4" x14ac:dyDescent="0.15">
      <c r="B172" s="212" t="str">
        <f>"+ PV(Equity Value realized at year "&amp;C141&amp;")"</f>
        <v>+ PV(Equity Value realized at year 3)</v>
      </c>
      <c r="C172" s="216">
        <f>Scenarios!C104</f>
        <v>6.2569070947933021</v>
      </c>
    </row>
    <row r="173" spans="2:4" x14ac:dyDescent="0.15">
      <c r="B173" s="80" t="s">
        <v>401</v>
      </c>
      <c r="C173" s="215">
        <f>Scenarios!C105</f>
        <v>7.3231317390697619</v>
      </c>
      <c r="D173" s="300">
        <f>IF($D$11="","",C173*$E$25)</f>
        <v>6.7252159876067994</v>
      </c>
    </row>
    <row r="174" spans="2:4" x14ac:dyDescent="0.15">
      <c r="B174" s="259" t="s">
        <v>416</v>
      </c>
      <c r="C174" s="298" t="str">
        <f>Market_currency</f>
        <v>HKD</v>
      </c>
      <c r="D174" s="298" t="str">
        <f>IF($D$11="","",D$13)</f>
        <v>CNY</v>
      </c>
    </row>
    <row r="175" spans="2:4" x14ac:dyDescent="0.15">
      <c r="B175" s="214" t="s">
        <v>262</v>
      </c>
      <c r="C175" s="92">
        <f>Scenarios!F105</f>
        <v>0.16156996720649452</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2937981</v>
      </c>
      <c r="D4" s="351">
        <v>3011012</v>
      </c>
      <c r="E4" s="351">
        <v>3239167</v>
      </c>
      <c r="F4" s="351">
        <v>1851487</v>
      </c>
      <c r="G4" s="351">
        <v>1729735</v>
      </c>
      <c r="H4" s="351"/>
      <c r="I4" s="351"/>
      <c r="J4" s="351"/>
      <c r="K4" s="351"/>
      <c r="L4" s="351"/>
      <c r="M4" s="351"/>
    </row>
    <row r="5" spans="2:13" x14ac:dyDescent="0.15">
      <c r="B5" s="40" t="s">
        <v>43</v>
      </c>
      <c r="C5" s="351">
        <f>2275223</f>
        <v>2275223</v>
      </c>
      <c r="D5" s="351">
        <v>2302385</v>
      </c>
      <c r="E5" s="351">
        <v>2527935</v>
      </c>
      <c r="F5" s="351">
        <v>1379524</v>
      </c>
      <c r="G5" s="351">
        <v>1278781</v>
      </c>
      <c r="H5" s="351"/>
      <c r="I5" s="351"/>
      <c r="J5" s="351"/>
      <c r="K5" s="351"/>
      <c r="L5" s="351"/>
      <c r="M5" s="351"/>
    </row>
    <row r="6" spans="2:13" x14ac:dyDescent="0.15">
      <c r="B6" s="40" t="s">
        <v>54</v>
      </c>
      <c r="C6" s="351">
        <f>266012+65026+C7</f>
        <v>394228</v>
      </c>
      <c r="D6" s="351">
        <v>420298</v>
      </c>
      <c r="E6" s="351">
        <v>395706</v>
      </c>
      <c r="F6" s="351">
        <v>296185</v>
      </c>
      <c r="G6" s="351">
        <v>285968</v>
      </c>
      <c r="H6" s="351"/>
      <c r="I6" s="351"/>
      <c r="J6" s="351"/>
      <c r="K6" s="351"/>
      <c r="L6" s="351"/>
      <c r="M6" s="351"/>
    </row>
    <row r="7" spans="2:13" x14ac:dyDescent="0.15">
      <c r="B7" s="69" t="s">
        <v>61</v>
      </c>
      <c r="C7" s="352">
        <v>63190</v>
      </c>
      <c r="D7" s="352">
        <v>70260</v>
      </c>
      <c r="E7" s="352">
        <v>68352</v>
      </c>
      <c r="F7" s="352">
        <v>48552</v>
      </c>
      <c r="G7" s="352">
        <v>47670</v>
      </c>
      <c r="H7" s="352"/>
      <c r="I7" s="352"/>
      <c r="J7" s="352"/>
      <c r="K7" s="352"/>
      <c r="L7" s="352"/>
      <c r="M7" s="352"/>
    </row>
    <row r="8" spans="2:13" x14ac:dyDescent="0.15">
      <c r="B8" s="40" t="s">
        <v>49</v>
      </c>
      <c r="C8" s="351">
        <v>23014</v>
      </c>
      <c r="D8" s="351">
        <v>21957</v>
      </c>
      <c r="E8" s="351">
        <v>20016</v>
      </c>
      <c r="F8" s="351">
        <v>16796</v>
      </c>
      <c r="G8" s="351">
        <v>15217</v>
      </c>
      <c r="H8" s="351"/>
      <c r="I8" s="351"/>
      <c r="J8" s="351"/>
      <c r="K8" s="351"/>
      <c r="L8" s="351"/>
      <c r="M8" s="351"/>
    </row>
    <row r="9" spans="2:13" x14ac:dyDescent="0.15">
      <c r="B9" s="40" t="s">
        <v>159</v>
      </c>
      <c r="C9" s="351">
        <v>18644</v>
      </c>
      <c r="D9" s="351">
        <v>18538</v>
      </c>
      <c r="E9" s="351">
        <v>15251</v>
      </c>
      <c r="F9" s="351">
        <v>12877</v>
      </c>
      <c r="G9" s="351">
        <v>11296</v>
      </c>
      <c r="H9" s="351"/>
      <c r="I9" s="351"/>
      <c r="J9" s="351"/>
      <c r="K9" s="351"/>
      <c r="L9" s="351"/>
      <c r="M9" s="351"/>
    </row>
    <row r="10" spans="2:13" x14ac:dyDescent="0.15">
      <c r="B10" s="40" t="s">
        <v>167</v>
      </c>
      <c r="C10" s="351"/>
      <c r="D10" s="351">
        <v>0</v>
      </c>
      <c r="E10" s="351">
        <v>0</v>
      </c>
      <c r="F10" s="351">
        <v>0</v>
      </c>
      <c r="G10" s="351">
        <v>0</v>
      </c>
      <c r="H10" s="351"/>
      <c r="I10" s="351"/>
      <c r="J10" s="351"/>
      <c r="K10" s="351"/>
      <c r="L10" s="351"/>
      <c r="M10" s="351"/>
    </row>
    <row r="11" spans="2:13" x14ac:dyDescent="0.15">
      <c r="B11" s="40" t="s">
        <v>158</v>
      </c>
      <c r="C11" s="351"/>
      <c r="D11" s="351">
        <v>0</v>
      </c>
      <c r="E11" s="351">
        <v>0</v>
      </c>
      <c r="F11" s="351">
        <v>0</v>
      </c>
      <c r="G11" s="351">
        <v>0</v>
      </c>
      <c r="H11" s="351"/>
      <c r="I11" s="351"/>
      <c r="J11" s="351"/>
      <c r="K11" s="351"/>
      <c r="L11" s="351"/>
      <c r="M11" s="351"/>
    </row>
    <row r="12" spans="2:13" x14ac:dyDescent="0.15">
      <c r="B12" s="40" t="s">
        <v>39</v>
      </c>
      <c r="C12" s="351">
        <v>20731</v>
      </c>
      <c r="D12" s="351">
        <v>24063</v>
      </c>
      <c r="E12" s="351">
        <v>21554</v>
      </c>
      <c r="F12" s="351">
        <v>14912</v>
      </c>
      <c r="G12" s="351">
        <v>15097</v>
      </c>
      <c r="H12" s="351"/>
      <c r="I12" s="351"/>
      <c r="J12" s="351"/>
      <c r="K12" s="351"/>
      <c r="L12" s="351"/>
      <c r="M12" s="351"/>
    </row>
    <row r="13" spans="2:13" x14ac:dyDescent="0.15">
      <c r="B13" s="40" t="s">
        <v>67</v>
      </c>
      <c r="C13" s="351">
        <v>8799</v>
      </c>
      <c r="D13" s="351">
        <v>8265</v>
      </c>
      <c r="E13" s="351">
        <v>4738</v>
      </c>
      <c r="F13" s="351">
        <v>1960</v>
      </c>
      <c r="G13" s="351">
        <v>1732</v>
      </c>
      <c r="H13" s="351"/>
      <c r="I13" s="351"/>
      <c r="J13" s="351"/>
      <c r="K13" s="351"/>
      <c r="L13" s="351"/>
      <c r="M13" s="351"/>
    </row>
    <row r="14" spans="2:13" x14ac:dyDescent="0.15">
      <c r="B14" s="40" t="s">
        <v>50</v>
      </c>
      <c r="C14" s="351">
        <v>57755</v>
      </c>
      <c r="D14" s="351">
        <v>57167</v>
      </c>
      <c r="E14" s="351">
        <v>49929</v>
      </c>
      <c r="F14" s="351">
        <v>24138</v>
      </c>
      <c r="G14" s="351">
        <v>17067</v>
      </c>
      <c r="H14" s="351"/>
      <c r="I14" s="351"/>
      <c r="J14" s="351"/>
      <c r="K14" s="351"/>
      <c r="L14" s="351"/>
      <c r="M14" s="351"/>
    </row>
    <row r="15" spans="2:13" x14ac:dyDescent="0.15">
      <c r="B15" s="43" t="s">
        <v>42</v>
      </c>
      <c r="C15" s="353">
        <v>183747</v>
      </c>
      <c r="D15" s="353">
        <v>180561</v>
      </c>
      <c r="E15" s="353">
        <v>163343</v>
      </c>
      <c r="F15" s="353">
        <v>132394</v>
      </c>
      <c r="G15" s="353">
        <v>129018</v>
      </c>
      <c r="H15" s="353"/>
      <c r="I15" s="353"/>
      <c r="J15" s="353"/>
      <c r="K15" s="353"/>
      <c r="L15" s="353"/>
      <c r="M15" s="353"/>
    </row>
    <row r="16" spans="2:13" x14ac:dyDescent="0.15">
      <c r="B16" s="28" t="s">
        <v>44</v>
      </c>
      <c r="C16" s="351">
        <v>19071</v>
      </c>
      <c r="D16" s="351">
        <v>19147</v>
      </c>
      <c r="E16" s="351">
        <v>14605</v>
      </c>
      <c r="F16" s="351">
        <v>0</v>
      </c>
      <c r="G16" s="351">
        <v>0</v>
      </c>
      <c r="H16" s="351"/>
      <c r="I16" s="351"/>
      <c r="J16" s="351"/>
      <c r="K16" s="351"/>
      <c r="L16" s="351"/>
      <c r="M16" s="351"/>
    </row>
    <row r="18" spans="2:13" x14ac:dyDescent="0.15">
      <c r="B18" s="16" t="s">
        <v>51</v>
      </c>
      <c r="C18" s="9"/>
    </row>
    <row r="19" spans="2:13" ht="13" x14ac:dyDescent="0.15">
      <c r="B19" s="27" t="s">
        <v>47</v>
      </c>
      <c r="C19" s="351">
        <v>243209</v>
      </c>
      <c r="D19" s="351">
        <v>229584</v>
      </c>
      <c r="E19" s="351">
        <v>222648</v>
      </c>
      <c r="F19" s="351">
        <v>238036</v>
      </c>
      <c r="G19" s="351">
        <v>236818</v>
      </c>
      <c r="H19" s="351"/>
      <c r="I19" s="351"/>
      <c r="J19" s="351"/>
      <c r="K19" s="351"/>
      <c r="L19" s="351"/>
      <c r="M19" s="351"/>
    </row>
    <row r="20" spans="2:13" ht="13" x14ac:dyDescent="0.15">
      <c r="B20" s="27" t="s">
        <v>53</v>
      </c>
      <c r="C20" s="351"/>
      <c r="D20" s="351">
        <v>115297</v>
      </c>
      <c r="E20" s="351">
        <v>282508</v>
      </c>
      <c r="F20" s="351">
        <v>245237</v>
      </c>
      <c r="G20" s="351">
        <v>265563</v>
      </c>
      <c r="H20" s="351"/>
      <c r="I20" s="351"/>
      <c r="J20" s="351"/>
      <c r="K20" s="351"/>
      <c r="L20" s="351"/>
      <c r="M20" s="351"/>
    </row>
    <row r="21" spans="2:13" ht="13" x14ac:dyDescent="0.15">
      <c r="B21" s="27" t="s">
        <v>52</v>
      </c>
      <c r="C21" s="351"/>
      <c r="D21" s="351">
        <v>31061</v>
      </c>
      <c r="E21" s="351">
        <v>3456</v>
      </c>
      <c r="F21" s="351">
        <v>46237</v>
      </c>
      <c r="G21" s="351">
        <v>34899</v>
      </c>
      <c r="H21" s="351"/>
      <c r="I21" s="351"/>
      <c r="J21" s="351"/>
      <c r="K21" s="351"/>
      <c r="L21" s="351"/>
      <c r="M21" s="351"/>
    </row>
    <row r="22" spans="2:13" ht="13" x14ac:dyDescent="0.15">
      <c r="B22" s="27" t="s">
        <v>371</v>
      </c>
      <c r="C22" s="351">
        <v>406532</v>
      </c>
      <c r="D22" s="351">
        <v>456596</v>
      </c>
      <c r="E22" s="351">
        <v>393768</v>
      </c>
      <c r="F22" s="351">
        <v>276599</v>
      </c>
      <c r="G22" s="351">
        <v>256657</v>
      </c>
      <c r="H22" s="351"/>
      <c r="I22" s="351"/>
      <c r="J22" s="351"/>
      <c r="K22" s="351"/>
      <c r="L22" s="351"/>
      <c r="M22" s="351"/>
    </row>
    <row r="23" spans="2:13" ht="13" x14ac:dyDescent="0.15">
      <c r="B23" s="27" t="s">
        <v>373</v>
      </c>
      <c r="C23" s="351">
        <v>-307347</v>
      </c>
      <c r="D23" s="351">
        <v>-255789</v>
      </c>
      <c r="E23" s="351">
        <v>-232971</v>
      </c>
      <c r="F23" s="351">
        <v>-149026</v>
      </c>
      <c r="G23" s="351">
        <v>-140250</v>
      </c>
      <c r="H23" s="351"/>
      <c r="I23" s="351"/>
      <c r="J23" s="351"/>
      <c r="K23" s="351"/>
      <c r="L23" s="351"/>
      <c r="M23" s="351"/>
    </row>
    <row r="24" spans="2:13" ht="13" x14ac:dyDescent="0.15">
      <c r="B24" s="27" t="s">
        <v>372</v>
      </c>
      <c r="C24" s="351">
        <v>-178876</v>
      </c>
      <c r="D24" s="351">
        <v>-146572</v>
      </c>
      <c r="E24" s="351">
        <v>-113713</v>
      </c>
      <c r="F24" s="351">
        <v>-135729</v>
      </c>
      <c r="G24" s="351">
        <v>-79554</v>
      </c>
      <c r="H24" s="351"/>
      <c r="I24" s="351"/>
      <c r="J24" s="351"/>
      <c r="K24" s="351"/>
      <c r="L24" s="351"/>
      <c r="M24" s="351"/>
    </row>
    <row r="25" spans="2:13" x14ac:dyDescent="0.15">
      <c r="B25" s="24" t="str">
        <f>"Dividend per share ("&amp;Market_currency&amp;")"</f>
        <v>Dividend per share (HKD)</v>
      </c>
      <c r="C25" s="39">
        <v>0.44193951040398899</v>
      </c>
      <c r="D25" s="39">
        <v>0.41373060548458601</v>
      </c>
      <c r="E25" s="39">
        <v>0.39735063469471898</v>
      </c>
      <c r="F25" s="39">
        <v>0.21309006776117501</v>
      </c>
      <c r="G25" s="39">
        <f>(0.08742+0.08742)/Exchange_Rate</f>
        <v>0.16056474267695425</v>
      </c>
      <c r="H25" s="39"/>
      <c r="I25" s="39"/>
      <c r="J25" s="39"/>
      <c r="K25" s="39"/>
      <c r="L25" s="39"/>
      <c r="M25" s="39"/>
    </row>
    <row r="27" spans="2:13" x14ac:dyDescent="0.15">
      <c r="B27" s="16" t="s">
        <v>28</v>
      </c>
      <c r="C27" s="97" t="s">
        <v>463</v>
      </c>
    </row>
    <row r="28" spans="2:13" ht="13" x14ac:dyDescent="0.15">
      <c r="B28" s="26" t="s">
        <v>24</v>
      </c>
      <c r="C28" s="333">
        <f>BS!C4</f>
        <v>114865</v>
      </c>
      <c r="D28" s="351">
        <v>142879</v>
      </c>
      <c r="E28" s="351">
        <v>117877</v>
      </c>
      <c r="F28" s="351">
        <v>23709</v>
      </c>
      <c r="G28" s="351">
        <v>27379</v>
      </c>
      <c r="H28" s="351"/>
      <c r="I28" s="351"/>
      <c r="J28" s="351"/>
      <c r="K28" s="351"/>
      <c r="L28" s="351"/>
      <c r="M28" s="351"/>
    </row>
    <row r="29" spans="2:13" ht="13" x14ac:dyDescent="0.15">
      <c r="B29" s="26" t="s">
        <v>32</v>
      </c>
      <c r="C29" s="333">
        <f>BS!C6</f>
        <v>168338</v>
      </c>
      <c r="D29" s="351">
        <v>182674</v>
      </c>
      <c r="E29" s="351">
        <v>167751</v>
      </c>
      <c r="F29" s="351">
        <v>110386</v>
      </c>
      <c r="G29" s="351">
        <v>109354</v>
      </c>
      <c r="H29" s="351"/>
      <c r="I29" s="351"/>
      <c r="J29" s="351"/>
      <c r="K29" s="351"/>
      <c r="L29" s="351"/>
      <c r="M29" s="351"/>
    </row>
    <row r="30" spans="2:13" ht="13" x14ac:dyDescent="0.15">
      <c r="B30" s="29" t="s">
        <v>40</v>
      </c>
      <c r="C30" s="334">
        <f>BS!C33+BS!C42</f>
        <v>1043144</v>
      </c>
      <c r="D30" s="353">
        <v>1090144</v>
      </c>
      <c r="E30" s="353">
        <v>1136250</v>
      </c>
      <c r="F30" s="353">
        <v>689466</v>
      </c>
      <c r="G30" s="353">
        <v>707978</v>
      </c>
      <c r="H30" s="353"/>
      <c r="I30" s="353"/>
      <c r="J30" s="353"/>
      <c r="K30" s="353"/>
      <c r="L30" s="353"/>
      <c r="M30" s="353"/>
    </row>
    <row r="31" spans="2:13" ht="13" x14ac:dyDescent="0.15">
      <c r="B31" s="29" t="s">
        <v>30</v>
      </c>
      <c r="C31" s="334">
        <f>BS!G27</f>
        <v>1709863</v>
      </c>
      <c r="D31" s="353">
        <v>1678153</v>
      </c>
      <c r="E31" s="353">
        <v>1534416</v>
      </c>
      <c r="F31" s="353">
        <v>1291608</v>
      </c>
      <c r="G31" s="353">
        <v>1238930</v>
      </c>
      <c r="H31" s="353"/>
      <c r="I31" s="353"/>
      <c r="J31" s="353"/>
      <c r="K31" s="353"/>
      <c r="L31" s="353"/>
      <c r="M31" s="353"/>
    </row>
    <row r="32" spans="2:13" ht="13" x14ac:dyDescent="0.15">
      <c r="B32" s="26" t="s">
        <v>172</v>
      </c>
      <c r="C32" s="333">
        <f>BS!G28</f>
        <v>194492</v>
      </c>
      <c r="D32" s="351">
        <v>188249</v>
      </c>
      <c r="E32" s="351">
        <v>168550</v>
      </c>
      <c r="F32" s="351">
        <v>0</v>
      </c>
      <c r="G32" s="351">
        <v>0</v>
      </c>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0.44193951040398899</v>
      </c>
      <c r="D65" s="73">
        <f t="shared" ref="D65:M65" si="33">IF(D$4="","",D25)</f>
        <v>0.41373060548458601</v>
      </c>
      <c r="E65" s="73">
        <f t="shared" si="33"/>
        <v>0.39735063469471898</v>
      </c>
      <c r="F65" s="73">
        <f t="shared" si="33"/>
        <v>0.21309006776117501</v>
      </c>
      <c r="G65" s="73">
        <f t="shared" si="33"/>
        <v>0.16056474267695425</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ht="13" x14ac:dyDescent="0.15">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ht="13" x14ac:dyDescent="0.15">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Data!C1</f>
        <v>45657</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71610+8868+34387</f>
        <v>114865</v>
      </c>
      <c r="D4" s="261">
        <v>0.6</v>
      </c>
      <c r="E4" s="25"/>
      <c r="F4" s="4" t="s">
        <v>77</v>
      </c>
      <c r="G4" s="19">
        <v>216246</v>
      </c>
      <c r="H4" s="261">
        <v>0.9</v>
      </c>
    </row>
    <row r="5" spans="2:8" ht="15" customHeight="1" x14ac:dyDescent="0.15">
      <c r="B5" s="1" t="s">
        <v>33</v>
      </c>
      <c r="C5" s="19">
        <v>9020</v>
      </c>
      <c r="D5" s="261">
        <v>0.6</v>
      </c>
      <c r="E5" s="25"/>
      <c r="F5" s="1" t="s">
        <v>29</v>
      </c>
      <c r="G5" s="19">
        <v>0</v>
      </c>
      <c r="H5" s="261">
        <v>0.7</v>
      </c>
    </row>
    <row r="6" spans="2:8" ht="15" customHeight="1" x14ac:dyDescent="0.15">
      <c r="B6" s="4" t="s">
        <v>10</v>
      </c>
      <c r="C6" s="19">
        <v>168338</v>
      </c>
      <c r="D6" s="261">
        <v>0.5</v>
      </c>
      <c r="E6" s="25"/>
      <c r="F6" s="4" t="s">
        <v>177</v>
      </c>
      <c r="G6" s="19">
        <v>0</v>
      </c>
      <c r="H6" s="261">
        <v>0.6</v>
      </c>
    </row>
    <row r="7" spans="2:8" ht="15" customHeight="1" x14ac:dyDescent="0.15">
      <c r="B7" s="1" t="s">
        <v>69</v>
      </c>
      <c r="C7" s="19">
        <v>0</v>
      </c>
      <c r="D7" s="261">
        <v>0.6</v>
      </c>
      <c r="E7" s="25"/>
      <c r="F7" s="4" t="s">
        <v>178</v>
      </c>
      <c r="G7" s="19">
        <v>2816</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14192</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65367</v>
      </c>
      <c r="D11" s="261">
        <v>0.05</v>
      </c>
      <c r="H11" s="262"/>
    </row>
    <row r="12" spans="2:8" ht="15" customHeight="1" x14ac:dyDescent="0.15">
      <c r="B12" s="80" t="s">
        <v>72</v>
      </c>
      <c r="C12" s="81">
        <f>SUM(C4:C11)</f>
        <v>371782</v>
      </c>
      <c r="D12" s="20">
        <f>C4*D4+C5*D5+C9*D9+C6*D6+C8*D8+C7*D7+C10*D10+C11*D11</f>
        <v>163187.55000000002</v>
      </c>
      <c r="F12" s="80" t="s">
        <v>70</v>
      </c>
      <c r="G12" s="81">
        <f>SUM(G4:G9)</f>
        <v>219062</v>
      </c>
      <c r="H12" s="20">
        <f>G4*H4+G5*H5+G6*H6+G7*H7+G8*H8+G9*H9</f>
        <v>196311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707</v>
      </c>
      <c r="H17" s="261">
        <v>0.6</v>
      </c>
    </row>
    <row r="18" spans="2:8" ht="15" customHeight="1" x14ac:dyDescent="0.15">
      <c r="B18" s="4" t="s">
        <v>173</v>
      </c>
      <c r="C18" s="19">
        <v>0</v>
      </c>
      <c r="D18" s="261">
        <v>0.6</v>
      </c>
      <c r="F18" s="4" t="s">
        <v>181</v>
      </c>
      <c r="G18" s="19">
        <v>290077</v>
      </c>
      <c r="H18" s="261">
        <v>0.1</v>
      </c>
    </row>
    <row r="19" spans="2:8" ht="15" customHeight="1" x14ac:dyDescent="0.15">
      <c r="B19" s="4" t="s">
        <v>26</v>
      </c>
      <c r="C19" s="19">
        <f>480407+875436+214967+120865+14018</f>
        <v>1705693</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92790</v>
      </c>
      <c r="D21" s="261">
        <v>0.05</v>
      </c>
      <c r="F21" s="1" t="s">
        <v>180</v>
      </c>
      <c r="G21" s="19">
        <v>0</v>
      </c>
      <c r="H21" s="261">
        <v>0.1</v>
      </c>
    </row>
    <row r="22" spans="2:8" ht="15" customHeight="1" x14ac:dyDescent="0.15">
      <c r="B22" s="4" t="s">
        <v>20</v>
      </c>
      <c r="C22" s="19">
        <v>26765</v>
      </c>
      <c r="D22" s="261">
        <v>0.9</v>
      </c>
      <c r="H22" s="262"/>
    </row>
    <row r="23" spans="2:8" ht="15" customHeight="1" x14ac:dyDescent="0.15">
      <c r="B23" s="4" t="s">
        <v>21</v>
      </c>
      <c r="C23" s="19">
        <f>7436+38695</f>
        <v>46131</v>
      </c>
      <c r="D23" s="261">
        <v>0</v>
      </c>
      <c r="H23" s="262"/>
    </row>
    <row r="24" spans="2:8" ht="15" customHeight="1" x14ac:dyDescent="0.15">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x14ac:dyDescent="0.15">
      <c r="B26" s="16" t="s">
        <v>200</v>
      </c>
      <c r="C26" s="182" t="s">
        <v>136</v>
      </c>
      <c r="F26" s="184" t="s">
        <v>196</v>
      </c>
      <c r="G26" s="185" t="s">
        <v>136</v>
      </c>
      <c r="H26" s="186" t="s">
        <v>35</v>
      </c>
    </row>
    <row r="27" spans="2:8" ht="15" customHeight="1" x14ac:dyDescent="0.15">
      <c r="B27" s="4" t="s">
        <v>5</v>
      </c>
      <c r="C27" s="19">
        <v>45955</v>
      </c>
      <c r="F27" s="187" t="s">
        <v>30</v>
      </c>
      <c r="G27" s="85">
        <f>G32-G30</f>
        <v>1709863</v>
      </c>
      <c r="H27" s="188">
        <f>H32-G30</f>
        <v>-454916.25</v>
      </c>
    </row>
    <row r="28" spans="2:8" ht="15" customHeight="1" x14ac:dyDescent="0.15">
      <c r="B28" s="4" t="s">
        <v>6</v>
      </c>
      <c r="C28" s="19">
        <v>0</v>
      </c>
      <c r="F28" s="189" t="s">
        <v>244</v>
      </c>
      <c r="G28" s="12">
        <v>194492</v>
      </c>
      <c r="H28" s="188"/>
    </row>
    <row r="29" spans="2:8" ht="15" customHeight="1" x14ac:dyDescent="0.15">
      <c r="B29" s="4" t="s">
        <v>7</v>
      </c>
      <c r="C29" s="19">
        <v>0</v>
      </c>
      <c r="F29" s="190" t="s">
        <v>75</v>
      </c>
      <c r="G29" s="14">
        <f>G27-G28</f>
        <v>1515371</v>
      </c>
      <c r="H29" s="188">
        <f>H27-G28</f>
        <v>-649408.25</v>
      </c>
    </row>
    <row r="30" spans="2:8" ht="15" customHeight="1" x14ac:dyDescent="0.15">
      <c r="B30" s="2" t="s">
        <v>8</v>
      </c>
      <c r="C30" s="19">
        <f>3808+7051+14895</f>
        <v>25754</v>
      </c>
      <c r="F30" s="187" t="s">
        <v>23</v>
      </c>
      <c r="G30" s="85">
        <f>C33+C42</f>
        <v>1043144</v>
      </c>
      <c r="H30" s="188"/>
    </row>
    <row r="31" spans="2:8" ht="15" customHeight="1" x14ac:dyDescent="0.15">
      <c r="B31" s="80" t="s">
        <v>203</v>
      </c>
      <c r="C31" s="81">
        <f>SUM(C27:C30)</f>
        <v>71709</v>
      </c>
      <c r="F31" s="190" t="s">
        <v>76</v>
      </c>
      <c r="G31" s="191">
        <f>C31+C40</f>
        <v>279749</v>
      </c>
      <c r="H31" s="188"/>
    </row>
    <row r="32" spans="2:8" ht="15" customHeight="1" x14ac:dyDescent="0.15">
      <c r="B32" s="4" t="s">
        <v>9</v>
      </c>
      <c r="C32" s="21">
        <f>C33-C31</f>
        <v>565608</v>
      </c>
      <c r="F32" s="192" t="s">
        <v>74</v>
      </c>
      <c r="G32" s="193">
        <f>G35+G40</f>
        <v>2753007</v>
      </c>
      <c r="H32" s="188">
        <f>H35+H40</f>
        <v>588227.75</v>
      </c>
    </row>
    <row r="33" spans="2:8" ht="15" customHeight="1" x14ac:dyDescent="0.15">
      <c r="B33" s="83" t="s">
        <v>4</v>
      </c>
      <c r="C33" s="84">
        <v>637317</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2243161</v>
      </c>
      <c r="H35" s="200">
        <f>D12+D24</f>
        <v>362484.85000000003</v>
      </c>
    </row>
    <row r="36" spans="2:8" ht="15" customHeight="1" x14ac:dyDescent="0.15">
      <c r="B36" s="4" t="s">
        <v>13</v>
      </c>
      <c r="C36" s="19">
        <v>74072</v>
      </c>
      <c r="F36" s="190" t="s">
        <v>197</v>
      </c>
      <c r="G36" s="191">
        <f>C4+C15</f>
        <v>114865</v>
      </c>
      <c r="H36" s="195"/>
    </row>
    <row r="37" spans="2:8" ht="15" customHeight="1" x14ac:dyDescent="0.15">
      <c r="B37" s="4" t="s">
        <v>14</v>
      </c>
      <c r="C37" s="19">
        <v>109968</v>
      </c>
      <c r="F37" s="190" t="s">
        <v>198</v>
      </c>
      <c r="G37" s="191">
        <f>C6</f>
        <v>168338</v>
      </c>
      <c r="H37" s="195"/>
    </row>
    <row r="38" spans="2:8" ht="15" customHeight="1" x14ac:dyDescent="0.15">
      <c r="B38" s="4" t="s">
        <v>15</v>
      </c>
      <c r="C38" s="19">
        <v>0</v>
      </c>
      <c r="F38" s="190" t="s">
        <v>199</v>
      </c>
      <c r="G38" s="191">
        <f>C7+C17</f>
        <v>0</v>
      </c>
      <c r="H38" s="195"/>
    </row>
    <row r="39" spans="2:8" ht="15" customHeight="1" x14ac:dyDescent="0.15">
      <c r="B39" s="2" t="s">
        <v>16</v>
      </c>
      <c r="C39" s="19">
        <v>24000</v>
      </c>
      <c r="F39" s="190" t="s">
        <v>79</v>
      </c>
      <c r="G39" s="191">
        <f>C7+C17+C19+C20</f>
        <v>1705693</v>
      </c>
      <c r="H39" s="188">
        <f>C7*D7+C17*D17+C19*D19+C20*D20</f>
        <v>170569.30000000002</v>
      </c>
    </row>
    <row r="40" spans="2:8" ht="15" customHeight="1" x14ac:dyDescent="0.15">
      <c r="B40" s="80" t="s">
        <v>204</v>
      </c>
      <c r="C40" s="81">
        <f>SUM(C36:C39)</f>
        <v>208040</v>
      </c>
      <c r="F40" s="199" t="s">
        <v>138</v>
      </c>
      <c r="G40" s="193">
        <f>G12+G24</f>
        <v>509846</v>
      </c>
      <c r="H40" s="200">
        <f>H12+H24</f>
        <v>225742.9</v>
      </c>
    </row>
    <row r="41" spans="2:8" ht="15" customHeight="1" x14ac:dyDescent="0.15">
      <c r="B41" s="4" t="s">
        <v>17</v>
      </c>
      <c r="C41" s="21">
        <f>C42-C40</f>
        <v>197787</v>
      </c>
      <c r="F41" s="190" t="s">
        <v>191</v>
      </c>
      <c r="G41" s="191">
        <f>C70</f>
        <v>506323</v>
      </c>
      <c r="H41" s="200">
        <f>H40-H42</f>
        <v>223629.1</v>
      </c>
    </row>
    <row r="42" spans="2:8" ht="15" customHeight="1" x14ac:dyDescent="0.15">
      <c r="B42" s="83" t="s">
        <v>22</v>
      </c>
      <c r="C42" s="84">
        <v>405827</v>
      </c>
      <c r="F42" s="201" t="s">
        <v>192</v>
      </c>
      <c r="G42" s="202">
        <f>C82</f>
        <v>3523</v>
      </c>
      <c r="H42" s="203">
        <f>D82</f>
        <v>2113.7999999999997</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1515371</v>
      </c>
      <c r="D46" s="76">
        <f>H29</f>
        <v>-649408.25</v>
      </c>
      <c r="F46" s="253"/>
    </row>
    <row r="47" spans="2:8" ht="15" customHeight="1" x14ac:dyDescent="0.15">
      <c r="B47" s="1" t="str">
        <f>"Equity per share ("&amp;Market_currency&amp;")"</f>
        <v>Equity per share (HKD)</v>
      </c>
      <c r="C47" s="147">
        <f>C46*H1/Common_Shares*Exchange_Rate</f>
        <v>9.0158922067444216</v>
      </c>
      <c r="D47" s="147">
        <f>D46*H1/Common_Shares*Exchange_Rate</f>
        <v>-3.8637368539918828</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1.1309485990394448</v>
      </c>
      <c r="D50" s="95">
        <f>G31/Normalized_FCF!G8</f>
        <v>1.1394328679189951</v>
      </c>
      <c r="F50" s="253"/>
    </row>
    <row r="51" spans="2:8" ht="15" customHeight="1" x14ac:dyDescent="0.15">
      <c r="B51" s="1" t="s">
        <v>176</v>
      </c>
      <c r="C51" s="181"/>
      <c r="D51" s="92">
        <f>G29/G32</f>
        <v>0.55044211656563169</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0.11027199460614415</v>
      </c>
      <c r="D54" s="92">
        <f>Normalized_FCF!G8/G35</f>
        <v>0.1094509043265285</v>
      </c>
      <c r="F54" s="253"/>
    </row>
    <row r="55" spans="2:8" ht="15" customHeight="1" x14ac:dyDescent="0.15">
      <c r="B55" s="1" t="s">
        <v>141</v>
      </c>
      <c r="C55" s="92">
        <f>Normalized_FCF!C11/G40</f>
        <v>3.656790481831769E-2</v>
      </c>
      <c r="D55" s="92">
        <f>Normalized_FCF!G11/G40</f>
        <v>3.656790481831769E-2</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0.14258662021829252</v>
      </c>
      <c r="F58" s="5"/>
    </row>
    <row r="59" spans="2:8" ht="15" customHeight="1" x14ac:dyDescent="0.15">
      <c r="B59" s="1" t="s">
        <v>92</v>
      </c>
      <c r="C59" s="98"/>
      <c r="D59" s="92">
        <f>G39/G32</f>
        <v>0.6195745234211173</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0.12834612777992979</v>
      </c>
      <c r="D62" s="92">
        <f>G28/G29</f>
        <v>0.12834612777992979</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216246</v>
      </c>
      <c r="D66" s="76">
        <f>C66-D75</f>
        <v>126.15719684722717</v>
      </c>
      <c r="F66" s="5" t="s">
        <v>226</v>
      </c>
    </row>
    <row r="67" spans="2:6" ht="15" customHeight="1" x14ac:dyDescent="0.15">
      <c r="B67" s="105" t="s">
        <v>177</v>
      </c>
      <c r="C67" s="20">
        <f>G6+G16</f>
        <v>0</v>
      </c>
      <c r="F67" s="253"/>
    </row>
    <row r="68" spans="2:6" ht="15" customHeight="1" x14ac:dyDescent="0.15">
      <c r="B68" s="105" t="s">
        <v>181</v>
      </c>
      <c r="C68" s="20">
        <f>G18</f>
        <v>290077</v>
      </c>
      <c r="F68" s="253"/>
    </row>
    <row r="69" spans="2:6" ht="15" customHeight="1" x14ac:dyDescent="0.15">
      <c r="B69" s="105" t="s">
        <v>179</v>
      </c>
      <c r="C69" s="20">
        <f>G8+G20</f>
        <v>0</v>
      </c>
      <c r="F69" s="253"/>
    </row>
    <row r="70" spans="2:6" ht="15" customHeight="1" x14ac:dyDescent="0.15">
      <c r="B70" s="80" t="s">
        <v>188</v>
      </c>
      <c r="C70" s="81">
        <f>SUM(C66:C69)</f>
        <v>506323</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-231112.43344421219</v>
      </c>
      <c r="D73" s="349">
        <f>(Normalized_FCF!C25+Normalized_FCF!C35-Normalized_FCF!C91)/12</f>
        <v>-216119.84280315277</v>
      </c>
      <c r="F73" s="1" t="s">
        <v>351</v>
      </c>
    </row>
    <row r="74" spans="2:6" ht="15" customHeight="1" x14ac:dyDescent="0.15">
      <c r="B74" s="257" t="s">
        <v>321</v>
      </c>
      <c r="C74" s="258">
        <f>-$C$66/C73</f>
        <v>0.93567445410590266</v>
      </c>
      <c r="D74" s="258">
        <f>-$C$66/D73</f>
        <v>1.0005837372228803</v>
      </c>
      <c r="F74" s="253" t="s">
        <v>319</v>
      </c>
    </row>
    <row r="75" spans="2:6" ht="15" customHeight="1" x14ac:dyDescent="0.15">
      <c r="B75" s="80" t="s">
        <v>320</v>
      </c>
      <c r="C75" s="320"/>
      <c r="D75" s="321">
        <f>MAX(-D73*D76,G5)</f>
        <v>216119.84280315277</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3523</v>
      </c>
      <c r="D79" s="76">
        <f>G7*H7+G17*H17</f>
        <v>2113.7999999999997</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3523</v>
      </c>
      <c r="D82" s="81">
        <f>SUM(D79:D81)</f>
        <v>2113.7999999999997</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-304620.51845594996</v>
      </c>
      <c r="D86" s="223">
        <f>C86*scaling_factor/Common_Shares</f>
        <v>-1.664402201800447</v>
      </c>
      <c r="E86" s="240" t="str">
        <f>Market_currency</f>
        <v>HKD</v>
      </c>
    </row>
    <row r="87" spans="2:8" ht="15" customHeight="1" x14ac:dyDescent="0.15">
      <c r="B87" s="238" t="s">
        <v>287</v>
      </c>
      <c r="C87" s="76">
        <f>DCF!C8*Exchange_Rate</f>
        <v>137.37339797658501</v>
      </c>
      <c r="D87" s="223">
        <f>C87*scaling_factor/Common_Shares</f>
        <v>7.5058826378466875E-4</v>
      </c>
      <c r="E87" s="240" t="str">
        <f>Market_currency</f>
        <v>HKD</v>
      </c>
    </row>
    <row r="88" spans="2:8" ht="15" customHeight="1" x14ac:dyDescent="0.15">
      <c r="B88" s="239" t="s">
        <v>189</v>
      </c>
      <c r="C88" s="76">
        <f>DCF!C9*Exchange_Rate</f>
        <v>2301.7306653899996</v>
      </c>
      <c r="D88" s="223">
        <f>C88*scaling_factor/Common_Shares</f>
        <v>1.2576321538828679E-2</v>
      </c>
      <c r="E88" s="240" t="str">
        <f>Market_currency</f>
        <v>HKD</v>
      </c>
    </row>
    <row r="89" spans="2:8" ht="15" customHeight="1" x14ac:dyDescent="0.15">
      <c r="B89" s="80" t="s">
        <v>291</v>
      </c>
      <c r="C89" s="180">
        <f>SUM(C86:C88)</f>
        <v>-302181.41439258342</v>
      </c>
      <c r="D89" s="242">
        <f>SUM(D86:D88)</f>
        <v>-1.6510752919978338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x14ac:dyDescent="0.15">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x14ac:dyDescent="0.15">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0.16056474267695425</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29386.716207831723</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0.28842461962625893</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6.7062141184216842E-2</v>
      </c>
      <c r="E93" s="268"/>
      <c r="G93" s="23">
        <f t="shared" ref="G93:Q93" si="39">IF(G$4="","",G90/Market_Price)</f>
        <v>6.7062141184216842E-2</v>
      </c>
      <c r="H93" s="23">
        <f t="shared" si="39"/>
        <v>6.2781578980969047E-2</v>
      </c>
      <c r="I93" s="23">
        <f t="shared" si="39"/>
        <v>6.0295999194949775E-2</v>
      </c>
      <c r="J93" s="23">
        <f t="shared" si="39"/>
        <v>3.2335366883334597E-2</v>
      </c>
      <c r="K93" s="23">
        <f t="shared" si="39"/>
        <v>2.4364907841722953E-2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0.78489394772941112</v>
      </c>
      <c r="D124" s="27"/>
      <c r="E124" s="265"/>
      <c r="F124" s="27"/>
      <c r="G124" s="177">
        <f t="shared" ref="G124:Q124" si="49">IF(G$4="","",G16*$C$3/Common_Shares*Exchange_Rate)</f>
        <v>1.0435459326474572</v>
      </c>
      <c r="H124" s="177">
        <f t="shared" si="49"/>
        <v>1.8270125175405916</v>
      </c>
      <c r="I124" s="177">
        <f t="shared" si="49"/>
        <v>1.0087487608094874</v>
      </c>
      <c r="J124" s="177">
        <f t="shared" si="49"/>
        <v>0.75897521315942196</v>
      </c>
      <c r="K124" s="177">
        <f t="shared" si="49"/>
        <v>0.60618958335303674</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0.11910378569490307</v>
      </c>
      <c r="D125" s="27"/>
      <c r="E125" s="265"/>
      <c r="F125" s="27"/>
      <c r="G125" s="77">
        <f t="shared" ref="G125" si="50">IF(G$4="","",G124/Market_Price)</f>
        <v>0.15835294880841536</v>
      </c>
      <c r="H125" s="77">
        <f t="shared" ref="H125" si="51">IF(H$4="","",H124/Market_Price)</f>
        <v>0.27724013923225971</v>
      </c>
      <c r="I125" s="77">
        <f t="shared" ref="I125" si="52">IF(I$4="","",I124/Market_Price)</f>
        <v>0.15307264959172798</v>
      </c>
      <c r="J125" s="77">
        <f t="shared" ref="J125" si="53">IF(J$4="","",J124/Market_Price)</f>
        <v>0.11517074554771198</v>
      </c>
      <c r="K125" s="77">
        <f t="shared" ref="K125" si="54">IF(K$4="","",K124/Market_Price)</f>
        <v>9.1986279719732431E-2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0.15234702270000239</v>
      </c>
      <c r="H126" s="23">
        <f>IF(H$4="","",(Data!D47*$C$3)/(Market_Price*Common_Shares))</f>
        <v>0.1497054687463476</v>
      </c>
      <c r="I126" s="23">
        <f>IF(I$4="","",(Data!E47*$C$3)/(Market_Price*Common_Shares))</f>
        <v>0.13542980146008637</v>
      </c>
      <c r="J126" s="23">
        <f>IF(J$4="","",(Data!F47*$C$3)/(Market_Price*Common_Shares))</f>
        <v>0.10976958384813966</v>
      </c>
      <c r="K126" s="23">
        <f>IF(K$4="","",(Data!G47*$C$3)/(Market_Price*Common_Shares))</f>
        <v>0.10697049842832214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131923.21948735364</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1758976.259831382</v>
      </c>
      <c r="D6" t="str">
        <f>Reporting_currency</f>
        <v>CNY</v>
      </c>
      <c r="E6" s="364" t="s">
        <v>249</v>
      </c>
      <c r="F6" s="364"/>
      <c r="H6" s="120"/>
    </row>
    <row r="7" spans="2:8" x14ac:dyDescent="0.15">
      <c r="B7" s="148" t="s">
        <v>224</v>
      </c>
      <c r="C7" s="338">
        <f>BS!G31</f>
        <v>279749</v>
      </c>
      <c r="D7" t="str">
        <f>Reporting_currency</f>
        <v>CNY</v>
      </c>
      <c r="E7" s="364"/>
      <c r="F7" s="364"/>
      <c r="H7" s="120"/>
    </row>
    <row r="8" spans="2:8" x14ac:dyDescent="0.15">
      <c r="B8" s="148" t="s">
        <v>225</v>
      </c>
      <c r="C8" s="338">
        <f>BS!D66</f>
        <v>126.15719684722717</v>
      </c>
      <c r="D8" t="str">
        <f>Reporting_currency</f>
        <v>CNY</v>
      </c>
      <c r="E8" s="364"/>
      <c r="F8" s="364"/>
      <c r="H8" s="120"/>
    </row>
    <row r="9" spans="2:8" x14ac:dyDescent="0.15">
      <c r="B9" s="205" t="s">
        <v>190</v>
      </c>
      <c r="C9" s="348">
        <f>BS!H42</f>
        <v>2113.7999999999997</v>
      </c>
      <c r="D9" t="str">
        <f>Reporting_currency</f>
        <v>CNY</v>
      </c>
      <c r="E9" s="364"/>
      <c r="F9" s="364"/>
      <c r="H9" s="120"/>
    </row>
    <row r="10" spans="2:8" x14ac:dyDescent="0.15">
      <c r="B10" s="149" t="s">
        <v>227</v>
      </c>
      <c r="C10" s="347">
        <f>C6-C7+C8+C9</f>
        <v>1481467.2170282293</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8.8141773443943165</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-4.8975772939903201E-3</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8.7343385287265285</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x14ac:dyDescent="0.15">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x14ac:dyDescent="0.15">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x14ac:dyDescent="0.15">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x14ac:dyDescent="0.15">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1750361.5376405637</v>
      </c>
      <c r="D51" s="139">
        <f>Terminal_Growth</f>
        <v>0</v>
      </c>
      <c r="E51" s="124">
        <f>1/(1+Equity_Cost)^C17</f>
        <v>0.69655863235011617</v>
      </c>
      <c r="F51" s="125">
        <f t="shared" si="1"/>
        <v>1219229.4387771573</v>
      </c>
      <c r="H51" s="120"/>
    </row>
    <row r="52" spans="1:17" x14ac:dyDescent="0.15">
      <c r="C52" s="114"/>
      <c r="E52" s="127" t="s">
        <v>100</v>
      </c>
      <c r="F52" s="137">
        <f>SUM(F21:F51)</f>
        <v>1745557.1302363314</v>
      </c>
      <c r="H52" s="120"/>
    </row>
    <row r="53" spans="1:17" x14ac:dyDescent="0.15">
      <c r="C53" s="114"/>
      <c r="H53" s="120"/>
    </row>
    <row r="54" spans="1:17" x14ac:dyDescent="0.15">
      <c r="B54" s="119" t="s">
        <v>129</v>
      </c>
      <c r="C54" s="136"/>
      <c r="D54" s="136"/>
      <c r="E54" s="117"/>
      <c r="F54" s="117"/>
      <c r="H54" s="120"/>
    </row>
    <row r="55" spans="1:17" x14ac:dyDescent="0.15">
      <c r="A55" s="133">
        <f>F52</f>
        <v>1745557.1302363314</v>
      </c>
      <c r="B55" s="131">
        <f>C78</f>
        <v>-0.15</v>
      </c>
      <c r="C55" s="131">
        <f>C77</f>
        <v>-0.06</v>
      </c>
      <c r="D55" s="131">
        <f>C76</f>
        <v>0.01</v>
      </c>
      <c r="E55" s="131">
        <f>C75</f>
        <v>0.02</v>
      </c>
      <c r="F55" s="131">
        <f>C74</f>
        <v>0.06</v>
      </c>
      <c r="H55" s="120"/>
    </row>
    <row r="56" spans="1:17" x14ac:dyDescent="0.15">
      <c r="A56" s="143">
        <v>5</v>
      </c>
      <c r="B56" s="123">
        <f t="dataTable" ref="B56:F61" dt2D="1" dtr="1" r1="C16" r2="C17"/>
        <v>1385790.5441719245</v>
      </c>
      <c r="C56" s="123">
        <v>1600709.883606245</v>
      </c>
      <c r="D56" s="123">
        <v>1786666.5347123477</v>
      </c>
      <c r="E56" s="123">
        <v>1814754.2823503879</v>
      </c>
      <c r="F56" s="123">
        <v>1931256.5270618116</v>
      </c>
      <c r="H56" s="120"/>
    </row>
    <row r="57" spans="1:17" x14ac:dyDescent="0.15">
      <c r="A57" s="143">
        <v>10</v>
      </c>
      <c r="B57" s="123">
        <v>1176198.4554242184</v>
      </c>
      <c r="C57" s="123">
        <v>1480760.2655624284</v>
      </c>
      <c r="D57" s="123">
        <v>1813215.4647680391</v>
      </c>
      <c r="E57" s="123">
        <v>1870065.3489648467</v>
      </c>
      <c r="F57" s="123">
        <v>2126762.1731782411</v>
      </c>
      <c r="H57" s="120"/>
    </row>
    <row r="58" spans="1:17" x14ac:dyDescent="0.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x14ac:dyDescent="0.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x14ac:dyDescent="0.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x14ac:dyDescent="0.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-0.15</v>
      </c>
      <c r="C64" s="132">
        <f>C55</f>
        <v>-0.06</v>
      </c>
      <c r="D64" s="132">
        <f>D55</f>
        <v>0.01</v>
      </c>
      <c r="E64" s="132">
        <f>E55</f>
        <v>0.02</v>
      </c>
      <c r="F64" s="132">
        <f>F55</f>
        <v>0.06</v>
      </c>
      <c r="H64" s="120"/>
    </row>
    <row r="65" spans="1:8" x14ac:dyDescent="0.15">
      <c r="A65" s="143">
        <v>0</v>
      </c>
      <c r="B65" s="124">
        <f>C12</f>
        <v>8.8141773443943165</v>
      </c>
      <c r="C65" s="124">
        <f>C12</f>
        <v>8.8141773443943165</v>
      </c>
      <c r="D65" s="124">
        <f>C12</f>
        <v>8.8141773443943165</v>
      </c>
      <c r="E65" s="141">
        <f>C12</f>
        <v>8.8141773443943165</v>
      </c>
      <c r="F65" s="124">
        <f>C12</f>
        <v>8.8141773443943165</v>
      </c>
      <c r="H65" s="120"/>
    </row>
    <row r="66" spans="1:8" x14ac:dyDescent="0.15">
      <c r="A66" s="143">
        <f t="shared" ref="A66:A71" si="3">A56</f>
        <v>5</v>
      </c>
      <c r="B66" s="124">
        <f t="shared" ref="B66:F71" si="4">(B56-$C$7+$C$8+$C$9)/Common_Shares*$C$3*Exchange_Rate</f>
        <v>6.5938615369237743</v>
      </c>
      <c r="C66" s="124">
        <f t="shared" si="4"/>
        <v>7.8725514402441821</v>
      </c>
      <c r="D66" s="124">
        <f t="shared" si="4"/>
        <v>8.978924151283131</v>
      </c>
      <c r="E66" s="124">
        <f t="shared" si="4"/>
        <v>9.146035772816612</v>
      </c>
      <c r="F66" s="124">
        <f t="shared" si="4"/>
        <v>9.8391806727532956</v>
      </c>
      <c r="H66" s="120"/>
    </row>
    <row r="67" spans="1:8" x14ac:dyDescent="0.15">
      <c r="A67" s="143">
        <f t="shared" si="3"/>
        <v>10</v>
      </c>
      <c r="B67" s="124">
        <f t="shared" si="4"/>
        <v>5.3468667880895095</v>
      </c>
      <c r="C67" s="124">
        <f t="shared" si="4"/>
        <v>7.1588959548724702</v>
      </c>
      <c r="D67" s="124">
        <f t="shared" si="4"/>
        <v>9.1368803821906184</v>
      </c>
      <c r="E67" s="124">
        <f t="shared" si="4"/>
        <v>9.4751159877844433</v>
      </c>
      <c r="F67" s="124">
        <f t="shared" si="4"/>
        <v>11.002366342266342</v>
      </c>
      <c r="H67" s="120"/>
    </row>
    <row r="68" spans="1:8" x14ac:dyDescent="0.15">
      <c r="A68" s="143">
        <f t="shared" si="3"/>
        <v>15</v>
      </c>
      <c r="B68" s="124">
        <f t="shared" si="4"/>
        <v>4.2329048783735441</v>
      </c>
      <c r="C68" s="124">
        <f t="shared" si="4"/>
        <v>6.4086751906312687</v>
      </c>
      <c r="D68" s="124">
        <f t="shared" si="4"/>
        <v>9.3318996554368852</v>
      </c>
      <c r="E68" s="124">
        <f t="shared" si="4"/>
        <v>9.8917700773328363</v>
      </c>
      <c r="F68" s="124">
        <f t="shared" si="4"/>
        <v>12.639030960042637</v>
      </c>
      <c r="H68" s="120"/>
    </row>
    <row r="69" spans="1:8" x14ac:dyDescent="0.15">
      <c r="A69" s="144">
        <f t="shared" si="3"/>
        <v>20</v>
      </c>
      <c r="B69" s="124">
        <f t="shared" si="4"/>
        <v>3.3811334141849754</v>
      </c>
      <c r="C69" s="124">
        <f t="shared" si="4"/>
        <v>5.756706765312976</v>
      </c>
      <c r="D69" s="124">
        <f t="shared" si="4"/>
        <v>9.5299649134255784</v>
      </c>
      <c r="E69" s="124">
        <f t="shared" si="4"/>
        <v>10.326138763206821</v>
      </c>
      <c r="F69" s="124">
        <f t="shared" si="4"/>
        <v>14.549429766045504</v>
      </c>
      <c r="H69" s="120"/>
    </row>
    <row r="70" spans="1:8" x14ac:dyDescent="0.15">
      <c r="A70" s="144">
        <f t="shared" si="3"/>
        <v>25</v>
      </c>
      <c r="B70" s="124">
        <f t="shared" si="4"/>
        <v>2.7643875959853701</v>
      </c>
      <c r="C70" s="124">
        <f t="shared" si="4"/>
        <v>5.2364245318245901</v>
      </c>
      <c r="D70" s="124">
        <f t="shared" si="4"/>
        <v>9.7134817489714145</v>
      </c>
      <c r="E70" s="124">
        <f t="shared" si="4"/>
        <v>10.739557500580501</v>
      </c>
      <c r="F70" s="124">
        <f t="shared" si="4"/>
        <v>16.598233141005473</v>
      </c>
    </row>
    <row r="71" spans="1:8" x14ac:dyDescent="0.15">
      <c r="A71" s="144">
        <f t="shared" si="3"/>
        <v>30</v>
      </c>
      <c r="B71" s="124">
        <f t="shared" si="4"/>
        <v>2.3275443584856532</v>
      </c>
      <c r="C71" s="124">
        <f t="shared" si="4"/>
        <v>4.8402021187537274</v>
      </c>
      <c r="D71" s="124">
        <f t="shared" si="4"/>
        <v>9.8746607181866057</v>
      </c>
      <c r="E71" s="124">
        <f t="shared" si="4"/>
        <v>11.112782075035579</v>
      </c>
      <c r="F71" s="124">
        <f t="shared" si="4"/>
        <v>18.694722274867278</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0.06</v>
      </c>
      <c r="D74" s="145">
        <f>Scenarios!C55</f>
        <v>10</v>
      </c>
      <c r="E74" s="135">
        <f>INDEX(B$65:F$71, MATCH(D74, A$65:A$71, 0), MATCH(C74, B$64:F$64, 0))</f>
        <v>11.002366342266342</v>
      </c>
      <c r="F74" s="142">
        <f>Scenarios!C58</f>
        <v>0.05</v>
      </c>
    </row>
    <row r="75" spans="1:8" x14ac:dyDescent="0.15">
      <c r="B75" s="127" t="str">
        <f>Scenarios!B36</f>
        <v>Optimistic</v>
      </c>
      <c r="C75" s="142">
        <f>Scenarios!C38</f>
        <v>0.02</v>
      </c>
      <c r="D75" s="145">
        <f>Scenarios!C37</f>
        <v>5</v>
      </c>
      <c r="E75" s="135">
        <f>INDEX(B$65:F$71, MATCH(D75, A$65:A$71, 0), MATCH(C75, B$64:F$64, 0))</f>
        <v>9.146035772816612</v>
      </c>
      <c r="F75" s="142">
        <f>Scenarios!C40*(1-F$74-F$78)</f>
        <v>0.18</v>
      </c>
      <c r="H75" s="120"/>
    </row>
    <row r="76" spans="1:8" x14ac:dyDescent="0.15">
      <c r="B76" s="127" t="str">
        <f>Scenarios!B24</f>
        <v>Base</v>
      </c>
      <c r="C76" s="142">
        <f>Scenarios!C26</f>
        <v>0.01</v>
      </c>
      <c r="D76" s="145">
        <f>Scenarios!C25</f>
        <v>5</v>
      </c>
      <c r="E76" s="135">
        <f>INDEX(B$65:F$71, MATCH(D76, A$65:A$71, 0), MATCH(C76, B$64:F$64, 0))</f>
        <v>8.978924151283131</v>
      </c>
      <c r="F76" s="142">
        <f>Scenarios!C28*(1-F$74-F$78)</f>
        <v>0.53999999999999992</v>
      </c>
      <c r="H76" s="120"/>
    </row>
    <row r="77" spans="1:8" x14ac:dyDescent="0.15">
      <c r="B77" s="127" t="str">
        <f>Scenarios!B30</f>
        <v>Pessimistic</v>
      </c>
      <c r="C77" s="142">
        <f>Scenarios!C32</f>
        <v>-0.06</v>
      </c>
      <c r="D77" s="145">
        <f>Scenarios!C31</f>
        <v>5</v>
      </c>
      <c r="E77" s="135">
        <f>INDEX(B$65:F$71, MATCH(D77, A$65:A$71, 0), MATCH(C77, B$64:F$64, 0))</f>
        <v>7.8725514402441821</v>
      </c>
      <c r="F77" s="142">
        <f>Scenarios!C34*(1-F$74-F$78)</f>
        <v>0.18</v>
      </c>
      <c r="H77" s="120"/>
    </row>
    <row r="78" spans="1:8" x14ac:dyDescent="0.15">
      <c r="B78" s="127" t="str">
        <f>Scenarios!B48</f>
        <v>Devil's advocate</v>
      </c>
      <c r="C78" s="142">
        <f>Scenarios!C50</f>
        <v>-0.15</v>
      </c>
      <c r="D78" s="145">
        <f>Scenarios!C49</f>
        <v>10</v>
      </c>
      <c r="E78" s="135">
        <f>INDEX(B$65:F$71, MATCH(D78, A$65:A$71, 0), MATCH(C78, B$64:F$64, 0))</f>
        <v>5.3468667880895095</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124</v>
      </c>
      <c r="H3" s="120"/>
    </row>
    <row r="4" spans="2:8" x14ac:dyDescent="0.15">
      <c r="B4" s="100" t="s">
        <v>440</v>
      </c>
      <c r="C4" s="114">
        <f>Normalized_FCF!C91</f>
        <v>80884.201330546246</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1078456.0177406166</v>
      </c>
      <c r="D6" t="str">
        <f>Reporting_currency</f>
        <v>CNY</v>
      </c>
      <c r="E6" s="364"/>
      <c r="F6" s="364"/>
      <c r="H6" s="120"/>
    </row>
    <row r="7" spans="2:8" x14ac:dyDescent="0.15">
      <c r="B7" s="149" t="s">
        <v>444</v>
      </c>
      <c r="C7" s="111">
        <f>(C6*scaling_factor)/Common_Shares*Exchange_Rate</f>
        <v>6.4164110344359555</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-4.8975772939903201E-3</v>
      </c>
      <c r="H11" s="120"/>
    </row>
    <row r="12" spans="2:8" ht="13.25" customHeight="1" x14ac:dyDescent="0.15">
      <c r="B12" s="118" t="s">
        <v>134</v>
      </c>
      <c r="C12" s="162">
        <f>Scenarios!C64</f>
        <v>5</v>
      </c>
      <c r="H12" s="120"/>
    </row>
    <row r="13" spans="2:8" ht="13.25" customHeight="1" x14ac:dyDescent="0.15">
      <c r="B13" s="153" t="s">
        <v>106</v>
      </c>
      <c r="C13" s="140">
        <f>F47/Common_Shares*scaling_factor</f>
        <v>5.8475730543612672</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x14ac:dyDescent="0.15">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x14ac:dyDescent="0.15">
      <c r="B18" s="122">
        <v>3</v>
      </c>
      <c r="C18" s="123">
        <f t="shared" si="2"/>
        <v>79701.602274333753</v>
      </c>
      <c r="D18" s="138">
        <f>IF($C$12&lt;B18,0,DDM!$C$11)</f>
        <v>-4.8975772939903201E-3</v>
      </c>
      <c r="E18" s="124">
        <f t="shared" si="0"/>
        <v>0.80496056950960304</v>
      </c>
      <c r="F18" s="125">
        <f t="shared" si="1"/>
        <v>64156.647157575571</v>
      </c>
      <c r="H18" s="120"/>
    </row>
    <row r="19" spans="2:8" x14ac:dyDescent="0.15">
      <c r="B19" s="122">
        <v>4</v>
      </c>
      <c r="C19" s="123">
        <f t="shared" si="2"/>
        <v>79311.257516740327</v>
      </c>
      <c r="D19" s="138">
        <f>IF($C$12&lt;B19,0,DDM!$C$11)</f>
        <v>-4.8975772939903201E-3</v>
      </c>
      <c r="E19" s="124">
        <f t="shared" si="0"/>
        <v>0.7488005297763749</v>
      </c>
      <c r="F19" s="125">
        <f t="shared" si="1"/>
        <v>59388.311645765651</v>
      </c>
      <c r="H19" s="120"/>
    </row>
    <row r="20" spans="2:8" x14ac:dyDescent="0.15">
      <c r="B20" s="122">
        <v>5</v>
      </c>
      <c r="C20" s="123">
        <f t="shared" si="2"/>
        <v>78922.824502768519</v>
      </c>
      <c r="D20" s="138">
        <f>IF($C$12&lt;B20,0,DDM!$C$11)</f>
        <v>-4.8975772939903201E-3</v>
      </c>
      <c r="E20" s="124">
        <f t="shared" si="0"/>
        <v>0.69655863235011617</v>
      </c>
      <c r="F20" s="125">
        <f t="shared" si="1"/>
        <v>54974.374696856677</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1073174.196035563</v>
      </c>
      <c r="D46" s="139">
        <f>Terminal_Growth</f>
        <v>0</v>
      </c>
      <c r="E46" s="124">
        <f>1/(1+Equity_Cost)^C12</f>
        <v>0.69655863235011617</v>
      </c>
      <c r="F46" s="125">
        <f t="shared" si="1"/>
        <v>747528.7502639672</v>
      </c>
      <c r="H46" s="120"/>
    </row>
    <row r="47" spans="2:8" x14ac:dyDescent="0.15">
      <c r="C47" s="114"/>
      <c r="E47" s="127" t="s">
        <v>100</v>
      </c>
      <c r="F47" s="137">
        <f>SUM(F16:F46)</f>
        <v>1070228.538271388</v>
      </c>
      <c r="H47" s="120"/>
    </row>
    <row r="48" spans="2:8" x14ac:dyDescent="0.15">
      <c r="C48" s="114"/>
      <c r="H48" s="120"/>
    </row>
    <row r="49" spans="1:8" x14ac:dyDescent="0.15">
      <c r="B49" s="119" t="s">
        <v>129</v>
      </c>
      <c r="C49" s="136"/>
      <c r="D49" s="136"/>
      <c r="E49" s="117"/>
      <c r="F49" s="117"/>
      <c r="H49" s="120"/>
    </row>
    <row r="50" spans="1:8" x14ac:dyDescent="0.15">
      <c r="A50" s="133">
        <f>F47</f>
        <v>1070228.538271388</v>
      </c>
      <c r="B50" s="131">
        <f>C73</f>
        <v>-0.15</v>
      </c>
      <c r="C50" s="131">
        <f>C72</f>
        <v>-0.06</v>
      </c>
      <c r="D50" s="131">
        <f>C71</f>
        <v>0.01</v>
      </c>
      <c r="E50" s="131">
        <f>C70</f>
        <v>0.02</v>
      </c>
      <c r="F50" s="131">
        <f>C69</f>
        <v>0.06</v>
      </c>
      <c r="H50" s="120"/>
    </row>
    <row r="51" spans="1:8" x14ac:dyDescent="0.15">
      <c r="A51" s="143">
        <v>5</v>
      </c>
      <c r="B51" s="123">
        <f t="dataTable" ref="B51:F56" dt2D="1" dtr="1" r1="C11" r2="C12"/>
        <v>849649.9843798473</v>
      </c>
      <c r="C51" s="123">
        <v>981420.4125742563</v>
      </c>
      <c r="D51" s="123">
        <v>1095433.3609033562</v>
      </c>
      <c r="E51" s="123">
        <v>1112654.40086664</v>
      </c>
      <c r="F51" s="123">
        <v>1184083.7599538227</v>
      </c>
      <c r="H51" s="120"/>
    </row>
    <row r="52" spans="1:8" x14ac:dyDescent="0.15">
      <c r="A52" s="143">
        <v>10</v>
      </c>
      <c r="B52" s="123">
        <v>721145.77739159763</v>
      </c>
      <c r="C52" s="123">
        <v>907877.41466168454</v>
      </c>
      <c r="D52" s="123">
        <v>1111710.9275976787</v>
      </c>
      <c r="E52" s="123">
        <v>1146566.4859812702</v>
      </c>
      <c r="F52" s="123">
        <v>1303951.347351928</v>
      </c>
      <c r="H52" s="120"/>
    </row>
    <row r="53" spans="1:8" x14ac:dyDescent="0.15">
      <c r="A53" s="143">
        <v>15</v>
      </c>
      <c r="B53" s="123">
        <v>606350.75362988026</v>
      </c>
      <c r="C53" s="123">
        <v>830566.32376490394</v>
      </c>
      <c r="D53" s="123">
        <v>1131807.882359809</v>
      </c>
      <c r="E53" s="123">
        <v>1189503.1570585782</v>
      </c>
      <c r="F53" s="123">
        <v>1472611.4712295011</v>
      </c>
      <c r="H53" s="120"/>
    </row>
    <row r="54" spans="1:8" x14ac:dyDescent="0.15">
      <c r="A54" s="144">
        <v>20</v>
      </c>
      <c r="B54" s="123">
        <v>518574.74924566306</v>
      </c>
      <c r="C54" s="123">
        <v>763380.24655389227</v>
      </c>
      <c r="D54" s="123">
        <v>1152218.7292647809</v>
      </c>
      <c r="E54" s="123">
        <v>1234265.3371487071</v>
      </c>
      <c r="F54" s="123">
        <v>1669480.2101124786</v>
      </c>
      <c r="H54" s="120"/>
    </row>
    <row r="55" spans="1:8" x14ac:dyDescent="0.15">
      <c r="A55" s="144">
        <v>25</v>
      </c>
      <c r="B55" s="123">
        <v>455018.40118954721</v>
      </c>
      <c r="C55" s="123">
        <v>709764.57905649336</v>
      </c>
      <c r="D55" s="123">
        <v>1171130.3449254376</v>
      </c>
      <c r="E55" s="123">
        <v>1276868.6015569591</v>
      </c>
      <c r="F55" s="123">
        <v>1880611.695004619</v>
      </c>
      <c r="H55" s="120"/>
    </row>
    <row r="56" spans="1:8" x14ac:dyDescent="0.15">
      <c r="A56" s="144">
        <v>30</v>
      </c>
      <c r="B56" s="123">
        <v>410001.21577993833</v>
      </c>
      <c r="C56" s="123">
        <v>668933.41514803236</v>
      </c>
      <c r="D56" s="123">
        <v>1187740.0184156778</v>
      </c>
      <c r="E56" s="123">
        <v>1315329.8124110643</v>
      </c>
      <c r="F56" s="123">
        <v>2096657.2508164975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-0.15</v>
      </c>
      <c r="C59" s="132">
        <f>C50</f>
        <v>-0.06</v>
      </c>
      <c r="D59" s="132">
        <f>D50</f>
        <v>0.01</v>
      </c>
      <c r="E59" s="132">
        <f>E50</f>
        <v>0.02</v>
      </c>
      <c r="F59" s="132">
        <f>F50</f>
        <v>0.06</v>
      </c>
      <c r="H59" s="120"/>
    </row>
    <row r="60" spans="1:8" x14ac:dyDescent="0.15">
      <c r="A60" s="143">
        <v>0</v>
      </c>
      <c r="B60" s="124">
        <f>C7</f>
        <v>6.4164110344359555</v>
      </c>
      <c r="C60" s="124">
        <f>C7</f>
        <v>6.4164110344359555</v>
      </c>
      <c r="D60" s="124">
        <f>C7</f>
        <v>6.4164110344359555</v>
      </c>
      <c r="E60" s="141">
        <f>C7</f>
        <v>6.4164110344359555</v>
      </c>
      <c r="F60" s="124">
        <f>C7</f>
        <v>6.4164110344359555</v>
      </c>
      <c r="H60" s="120"/>
    </row>
    <row r="61" spans="1:8" x14ac:dyDescent="0.15">
      <c r="A61" s="143">
        <f t="shared" ref="A61:A66" si="3">A51</f>
        <v>5</v>
      </c>
      <c r="B61" s="124">
        <f t="shared" ref="B61:F66" si="4">B51/Common_Shares*$C$3*Exchange_Rate</f>
        <v>5.0551004820804835</v>
      </c>
      <c r="C61" s="124">
        <f t="shared" si="4"/>
        <v>5.8390853786090213</v>
      </c>
      <c r="D61" s="124">
        <f t="shared" si="4"/>
        <v>6.5174198935946501</v>
      </c>
      <c r="E61" s="124">
        <f t="shared" si="4"/>
        <v>6.6198786578160886</v>
      </c>
      <c r="F61" s="124">
        <f t="shared" si="4"/>
        <v>7.0448567007685261</v>
      </c>
      <c r="H61" s="120"/>
    </row>
    <row r="62" spans="1:8" x14ac:dyDescent="0.15">
      <c r="A62" s="143">
        <f t="shared" si="3"/>
        <v>10</v>
      </c>
      <c r="B62" s="124">
        <f t="shared" si="4"/>
        <v>4.2905483834068043</v>
      </c>
      <c r="C62" s="124">
        <f t="shared" si="4"/>
        <v>5.4015319730465707</v>
      </c>
      <c r="D62" s="124">
        <f t="shared" si="4"/>
        <v>6.6142653437874444</v>
      </c>
      <c r="E62" s="124">
        <f t="shared" si="4"/>
        <v>6.8216429148194546</v>
      </c>
      <c r="F62" s="124">
        <f t="shared" si="4"/>
        <v>7.758024134396222</v>
      </c>
      <c r="H62" s="120"/>
    </row>
    <row r="63" spans="1:8" x14ac:dyDescent="0.15">
      <c r="A63" s="143">
        <f t="shared" si="3"/>
        <v>15</v>
      </c>
      <c r="B63" s="124">
        <f t="shared" si="4"/>
        <v>3.607560811316334</v>
      </c>
      <c r="C63" s="124">
        <f t="shared" si="4"/>
        <v>4.9415598197513093</v>
      </c>
      <c r="D63" s="124">
        <f t="shared" si="4"/>
        <v>6.7338347283270616</v>
      </c>
      <c r="E63" s="124">
        <f t="shared" si="4"/>
        <v>7.0771000920713947</v>
      </c>
      <c r="F63" s="124">
        <f t="shared" si="4"/>
        <v>8.7614889601427617</v>
      </c>
      <c r="H63" s="120"/>
    </row>
    <row r="64" spans="1:8" x14ac:dyDescent="0.15">
      <c r="A64" s="144">
        <f t="shared" si="3"/>
        <v>20</v>
      </c>
      <c r="B64" s="124">
        <f t="shared" si="4"/>
        <v>3.0853263262517339</v>
      </c>
      <c r="C64" s="124">
        <f t="shared" si="4"/>
        <v>4.5418277211903044</v>
      </c>
      <c r="D64" s="124">
        <f t="shared" si="4"/>
        <v>6.8552716540327738</v>
      </c>
      <c r="E64" s="124">
        <f t="shared" si="4"/>
        <v>7.3434183670228634</v>
      </c>
      <c r="F64" s="124">
        <f t="shared" si="4"/>
        <v>9.9327845231742824</v>
      </c>
      <c r="H64" s="120"/>
    </row>
    <row r="65" spans="1:8" x14ac:dyDescent="0.15">
      <c r="A65" s="144">
        <f t="shared" si="3"/>
        <v>25</v>
      </c>
      <c r="B65" s="124">
        <f t="shared" si="4"/>
        <v>2.7071897622497358</v>
      </c>
      <c r="C65" s="124">
        <f t="shared" si="4"/>
        <v>4.2228344985740609</v>
      </c>
      <c r="D65" s="124">
        <f t="shared" si="4"/>
        <v>6.9677887130578311</v>
      </c>
      <c r="E65" s="124">
        <f t="shared" si="4"/>
        <v>7.5968918989567804</v>
      </c>
      <c r="F65" s="124">
        <f t="shared" si="4"/>
        <v>11.188938104863141</v>
      </c>
    </row>
    <row r="66" spans="1:8" x14ac:dyDescent="0.15">
      <c r="A66" s="144">
        <f t="shared" si="3"/>
        <v>30</v>
      </c>
      <c r="B66" s="124">
        <f t="shared" si="4"/>
        <v>2.4393543007660066</v>
      </c>
      <c r="C66" s="124">
        <f t="shared" si="4"/>
        <v>3.9799043036088695</v>
      </c>
      <c r="D66" s="124">
        <f t="shared" si="4"/>
        <v>7.066610074808338</v>
      </c>
      <c r="E66" s="124">
        <f t="shared" si="4"/>
        <v>7.8257217572564848</v>
      </c>
      <c r="F66" s="124">
        <f t="shared" si="4"/>
        <v>12.474328575543971</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0.06</v>
      </c>
      <c r="D69" s="145">
        <f>Scenarios!C55</f>
        <v>10</v>
      </c>
      <c r="E69" s="135">
        <f>INDEX(B$60:F$66, MATCH(D69, A$60:A$66, 0), MATCH(C69, B$59:F$59, 0))</f>
        <v>7.758024134396222</v>
      </c>
      <c r="F69" s="142">
        <f>Scenarios!C58</f>
        <v>0.05</v>
      </c>
    </row>
    <row r="70" spans="1:8" x14ac:dyDescent="0.15">
      <c r="B70" s="127" t="str">
        <f>Scenarios!B36</f>
        <v>Optimistic</v>
      </c>
      <c r="C70" s="142">
        <f>Scenarios!C38</f>
        <v>0.02</v>
      </c>
      <c r="D70" s="145">
        <f>Scenarios!C37</f>
        <v>5</v>
      </c>
      <c r="E70" s="135">
        <f>INDEX(B$60:F$66, MATCH(D70, A$60:A$66, 0), MATCH(C70, B$59:F$59, 0))</f>
        <v>6.6198786578160886</v>
      </c>
      <c r="F70" s="142">
        <f>Scenarios!C40*(1-F$69-F$73)</f>
        <v>0.18</v>
      </c>
      <c r="H70" s="120"/>
    </row>
    <row r="71" spans="1:8" x14ac:dyDescent="0.15">
      <c r="B71" s="127" t="str">
        <f>Scenarios!B24</f>
        <v>Base</v>
      </c>
      <c r="C71" s="142">
        <f>Scenarios!C26</f>
        <v>0.01</v>
      </c>
      <c r="D71" s="145">
        <f>Scenarios!C25</f>
        <v>5</v>
      </c>
      <c r="E71" s="135">
        <f>INDEX(B$60:F$66, MATCH(D71, A$60:A$66, 0), MATCH(C71, B$59:F$59, 0))</f>
        <v>6.5174198935946501</v>
      </c>
      <c r="F71" s="142">
        <f>Scenarios!C28*(1-F$69-F$73)</f>
        <v>0.53999999999999992</v>
      </c>
      <c r="H71" s="120"/>
    </row>
    <row r="72" spans="1:8" x14ac:dyDescent="0.15">
      <c r="B72" s="127" t="str">
        <f>Scenarios!B30</f>
        <v>Pessimistic</v>
      </c>
      <c r="C72" s="142">
        <f>Scenarios!C32</f>
        <v>-0.06</v>
      </c>
      <c r="D72" s="145">
        <f>Scenarios!C31</f>
        <v>5</v>
      </c>
      <c r="E72" s="135">
        <f>INDEX(B$60:F$66, MATCH(D72, A$60:A$66, 0), MATCH(C72, B$59:F$59, 0))</f>
        <v>5.8390853786090213</v>
      </c>
      <c r="F72" s="142">
        <f>Scenarios!C34*(1-F$69-F$73)</f>
        <v>0.18</v>
      </c>
      <c r="H72" s="120"/>
    </row>
    <row r="73" spans="1:8" x14ac:dyDescent="0.15">
      <c r="B73" s="127" t="str">
        <f>Scenarios!B48</f>
        <v>Devil's advocate</v>
      </c>
      <c r="C73" s="142">
        <f>Scenarios!C50</f>
        <v>-0.15</v>
      </c>
      <c r="D73" s="145">
        <f>Scenarios!C49</f>
        <v>10</v>
      </c>
      <c r="E73" s="135">
        <f>INDEX(B$60:F$66, MATCH(D73, A$60:A$66, 0), MATCH(C73, B$59:F$59, 0))</f>
        <v>4.2905483834068043</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-6.59</v>
      </c>
    </row>
    <row r="4" spans="2:9" x14ac:dyDescent="0.15">
      <c r="B4" s="152" t="s">
        <v>146</v>
      </c>
      <c r="C4" s="120">
        <v>3</v>
      </c>
      <c r="D4" s="120"/>
      <c r="E4" s="155" t="s">
        <v>150</v>
      </c>
      <c r="F4" s="155"/>
      <c r="H4" s="247">
        <v>1</v>
      </c>
      <c r="I4" s="124">
        <f t="shared" ref="I4:I13" si="0">IF(ROW()-3 &lt; $C$76, $C$77, IF(ROW()-3 = $C$76, $C$77 + $C$60, ""))</f>
        <v>0.44193951040398899</v>
      </c>
    </row>
    <row r="5" spans="2:9" x14ac:dyDescent="0.15">
      <c r="H5" s="247">
        <v>2</v>
      </c>
      <c r="I5" s="124">
        <f t="shared" si="0"/>
        <v>0.44193951040398899</v>
      </c>
    </row>
    <row r="6" spans="2:9" x14ac:dyDescent="0.15">
      <c r="B6" s="159" t="s">
        <v>95</v>
      </c>
      <c r="C6" s="107">
        <f>DCF!C3</f>
        <v>1000000</v>
      </c>
      <c r="E6" s="100" t="s">
        <v>279</v>
      </c>
      <c r="F6" s="100"/>
      <c r="H6" s="247">
        <v>3</v>
      </c>
      <c r="I6" s="124">
        <f t="shared" si="0"/>
        <v>9.1713659069656135</v>
      </c>
    </row>
    <row r="7" spans="2:9" ht="12.75" customHeight="1" x14ac:dyDescent="0.15">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x14ac:dyDescent="0.15">
      <c r="B8" s="100" t="s">
        <v>66</v>
      </c>
      <c r="C8" s="338">
        <f>Normalized_FCF!G19</f>
        <v>175396.86669267845</v>
      </c>
      <c r="D8" t="str">
        <f>Reporting_currency</f>
        <v>CNY</v>
      </c>
      <c r="E8" s="366"/>
      <c r="F8" s="366"/>
      <c r="H8" s="247">
        <v>5</v>
      </c>
      <c r="I8" s="124" t="str">
        <f t="shared" si="0"/>
        <v/>
      </c>
    </row>
    <row r="9" spans="2:9" x14ac:dyDescent="0.15">
      <c r="B9" s="100" t="s">
        <v>57</v>
      </c>
      <c r="C9" s="338">
        <f>Normalized_FCF!C19</f>
        <v>131923.21948735364</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0.16638727228030792</v>
      </c>
      <c r="D12" s="158"/>
      <c r="E12" s="366"/>
      <c r="F12" s="366"/>
      <c r="H12" s="247">
        <v>9</v>
      </c>
      <c r="I12" s="124" t="str">
        <f t="shared" si="0"/>
        <v/>
      </c>
    </row>
    <row r="13" spans="2:9" x14ac:dyDescent="0.15">
      <c r="B13" s="148" t="s">
        <v>152</v>
      </c>
      <c r="C13" s="158">
        <f ca="1">(Normalized_FCF!G8/OFFSET(Normalized_FCF!G8, 0, $C$4))^(1/$C$4) - 1</f>
        <v>0.15587431850223021</v>
      </c>
      <c r="E13" s="366"/>
      <c r="F13" s="366"/>
      <c r="H13" s="247">
        <v>10</v>
      </c>
      <c r="I13" s="124" t="str">
        <f t="shared" si="0"/>
        <v/>
      </c>
    </row>
    <row r="14" spans="2:9" x14ac:dyDescent="0.15">
      <c r="B14" s="100" t="s">
        <v>66</v>
      </c>
      <c r="C14" s="158">
        <f ca="1">(Normalized_FCF!G19/OFFSET(Normalized_FCF!G19, 0, $C$4))^(1/$C$4) - 1</f>
        <v>0.1119740670927909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6.59</v>
      </c>
      <c r="D21" t="str">
        <f>Market_currency</f>
        <v>HKD</v>
      </c>
      <c r="E21" s="367"/>
      <c r="F21" s="367"/>
    </row>
    <row r="22" spans="2:6" x14ac:dyDescent="0.15">
      <c r="B22" s="100" t="s">
        <v>278</v>
      </c>
      <c r="C22" s="160">
        <f>IF(valuation_method="DCF",DCF!C12,DDM!C7)</f>
        <v>8.8141773443943165</v>
      </c>
      <c r="D22" t="str">
        <f>Market_currency</f>
        <v>HKD</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0.01</v>
      </c>
      <c r="D26" s="164"/>
      <c r="E26" s="365"/>
      <c r="F26" s="365"/>
    </row>
    <row r="27" spans="2:6" x14ac:dyDescent="0.15">
      <c r="B27" s="100" t="s">
        <v>113</v>
      </c>
      <c r="C27" s="160">
        <f>IF(valuation_method="DCF",DCF!E76,DDM!E71)</f>
        <v>8.978924151283131</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-0.06</v>
      </c>
      <c r="D32" s="164"/>
      <c r="E32" s="365"/>
      <c r="F32" s="365"/>
    </row>
    <row r="33" spans="2:6" x14ac:dyDescent="0.15">
      <c r="B33" s="100" t="s">
        <v>113</v>
      </c>
      <c r="C33" s="160">
        <f>IF(valuation_method="DCF",DCF!E77,DDM!E72)</f>
        <v>7.8725514402441821</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0.02</v>
      </c>
      <c r="D38" s="164"/>
      <c r="E38" s="365"/>
      <c r="F38" s="365"/>
    </row>
    <row r="39" spans="2:6" x14ac:dyDescent="0.15">
      <c r="B39" s="100" t="s">
        <v>113</v>
      </c>
      <c r="C39" s="160">
        <f>IF(valuation_method="DCF",DCF!E75,DDM!E70)</f>
        <v>9.146035772816612</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8.7910719333820371</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-0.15</v>
      </c>
      <c r="D50" s="164"/>
      <c r="E50" s="365"/>
      <c r="F50" s="365"/>
    </row>
    <row r="51" spans="2:6" x14ac:dyDescent="0.15">
      <c r="B51" s="100" t="s">
        <v>113</v>
      </c>
      <c r="C51" s="160">
        <f>IF(valuation_method="DCF",DCF!E78,DDM!E73)</f>
        <v>5.3468667880895095</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0.06</v>
      </c>
      <c r="D56" s="164"/>
      <c r="E56" s="365"/>
      <c r="F56" s="365"/>
    </row>
    <row r="57" spans="2:6" x14ac:dyDescent="0.15">
      <c r="B57" s="100" t="s">
        <v>113</v>
      </c>
      <c r="C57" s="160">
        <f>IF(valuation_method="DCF",DCF!E74,DDM!E69)</f>
        <v>11.002366342266342</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8.7294263965616246</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-4.8975772939903201E-3</v>
      </c>
      <c r="D65" s="151"/>
      <c r="E65" s="251" t="s">
        <v>312</v>
      </c>
    </row>
    <row r="66" spans="2:6" x14ac:dyDescent="0.15">
      <c r="B66" s="100" t="s">
        <v>102</v>
      </c>
      <c r="C66" s="160">
        <f>IF(valuation_method="DCF",DCF!C18,DDM!C13)</f>
        <v>8.7343385287265285</v>
      </c>
      <c r="D66" s="160" t="str">
        <f>Market_currency</f>
        <v>HKD</v>
      </c>
      <c r="E66" s="251" t="s">
        <v>313</v>
      </c>
    </row>
    <row r="68" spans="2:6" x14ac:dyDescent="0.15">
      <c r="B68" s="109" t="s">
        <v>350</v>
      </c>
      <c r="E68" s="252" t="s">
        <v>314</v>
      </c>
    </row>
    <row r="69" spans="2:6" x14ac:dyDescent="0.15">
      <c r="B69" s="100" t="s">
        <v>305</v>
      </c>
      <c r="C69" s="244" t="str">
        <f>IF(C60&lt;C22,"Y","N")</f>
        <v>Y</v>
      </c>
      <c r="E69" s="134"/>
    </row>
    <row r="70" spans="2:6" x14ac:dyDescent="0.15">
      <c r="B70" s="100" t="s">
        <v>293</v>
      </c>
      <c r="C70" s="244" t="str">
        <f>IF(C69="Y","N",IF(C65&gt;8%,"N","Y"))</f>
        <v>N</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-0.18913903583036851</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0.44193951040398899</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0.73240837221255373</v>
      </c>
      <c r="D81" s="116"/>
      <c r="E81" s="100"/>
      <c r="F81" s="100"/>
    </row>
    <row r="82" spans="2:8" x14ac:dyDescent="0.15">
      <c r="B82" s="100" t="s">
        <v>122</v>
      </c>
      <c r="C82" s="116">
        <f>C60/(1+C80)^C76</f>
        <v>3.4142787950952944</v>
      </c>
      <c r="D82" s="116"/>
    </row>
    <row r="83" spans="2:8" x14ac:dyDescent="0.15">
      <c r="B83" s="110" t="s">
        <v>101</v>
      </c>
      <c r="C83" s="111">
        <f>C81+C82</f>
        <v>4.1466871673078485</v>
      </c>
      <c r="D83" t="str">
        <f>Market_currency</f>
        <v>HKD</v>
      </c>
      <c r="E83" s="146" t="s">
        <v>126</v>
      </c>
      <c r="F83" s="291">
        <f>(1-C83/C60)</f>
        <v>0.5249759859432277</v>
      </c>
    </row>
    <row r="84" spans="2:8" x14ac:dyDescent="0.15">
      <c r="E84" s="120"/>
    </row>
    <row r="85" spans="2:8" x14ac:dyDescent="0.15">
      <c r="B85" s="109" t="s">
        <v>302</v>
      </c>
    </row>
    <row r="86" spans="2:8" x14ac:dyDescent="0.15">
      <c r="B86" s="148" t="s">
        <v>300</v>
      </c>
      <c r="C86" s="116">
        <f>Market_Price</f>
        <v>6.59</v>
      </c>
      <c r="D86" t="str">
        <f>Market_currency</f>
        <v>HKD</v>
      </c>
    </row>
    <row r="87" spans="2:8" x14ac:dyDescent="0.15">
      <c r="B87" s="100" t="s">
        <v>298</v>
      </c>
      <c r="C87" s="237">
        <f ca="1">IRR(OFFSET($I$3, 0, 0, $C$76 + 1, 1))</f>
        <v>0.1596969533144863</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0.90615313623080584</v>
      </c>
      <c r="D91" s="116"/>
      <c r="E91" s="100"/>
      <c r="F91" s="100"/>
    </row>
    <row r="92" spans="2:8" x14ac:dyDescent="0.15">
      <c r="B92" s="100" t="s">
        <v>122</v>
      </c>
      <c r="C92" s="116">
        <f>C60/(1+C90)^C76</f>
        <v>4.838222259974386</v>
      </c>
      <c r="D92" s="116"/>
    </row>
    <row r="93" spans="2:8" x14ac:dyDescent="0.15">
      <c r="B93" s="110" t="s">
        <v>101</v>
      </c>
      <c r="C93" s="111">
        <f>C91+C92</f>
        <v>5.744375396205192</v>
      </c>
      <c r="D93" t="str">
        <f>Market_currency</f>
        <v>HKD</v>
      </c>
      <c r="E93" s="146" t="s">
        <v>126</v>
      </c>
      <c r="F93" s="291">
        <f>(1-C93/C60)</f>
        <v>0.34195270854591253</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1.1492750722719851</v>
      </c>
      <c r="D97" s="116"/>
      <c r="G97" s="2"/>
      <c r="H97" s="281"/>
    </row>
    <row r="98" spans="2:8" x14ac:dyDescent="0.15">
      <c r="B98" s="100" t="s">
        <v>122</v>
      </c>
      <c r="C98" s="116">
        <f>C60/(1+C96)^C76</f>
        <v>7.0268440436684072</v>
      </c>
      <c r="D98" s="116"/>
      <c r="G98" s="2"/>
      <c r="H98" s="281"/>
    </row>
    <row r="99" spans="2:8" x14ac:dyDescent="0.15">
      <c r="B99" s="110" t="s">
        <v>398</v>
      </c>
      <c r="C99" s="111">
        <f>C97+C98</f>
        <v>8.1761191159403914</v>
      </c>
      <c r="D99" t="s">
        <v>396</v>
      </c>
      <c r="E99" s="146" t="s">
        <v>126</v>
      </c>
      <c r="F99" s="291">
        <f>(1-C99/C60)</f>
        <v>6.3384150972298881E-2</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1.06622464427646</v>
      </c>
      <c r="D103" s="116"/>
    </row>
    <row r="104" spans="2:8" x14ac:dyDescent="0.15">
      <c r="B104" s="100" t="s">
        <v>122</v>
      </c>
      <c r="C104" s="116">
        <f>C60/(1+C102)^C76</f>
        <v>6.2569070947933021</v>
      </c>
      <c r="D104" s="116"/>
    </row>
    <row r="105" spans="2:8" x14ac:dyDescent="0.15">
      <c r="B105" s="110" t="s">
        <v>398</v>
      </c>
      <c r="C105" s="111">
        <f>C103+C104</f>
        <v>7.3231317390697619</v>
      </c>
      <c r="D105" t="s">
        <v>396</v>
      </c>
      <c r="E105" s="146" t="s">
        <v>126</v>
      </c>
      <c r="F105" s="291">
        <f>(1-C105/C66)</f>
        <v>0.16156996720649452</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