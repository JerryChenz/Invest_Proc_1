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86A7A9-13F0-4AA5-A553-45DD56A2DCD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<sst xmlns="http://schemas.openxmlformats.org/spreadsheetml/2006/main" count="686" uniqueCount="466">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</sst>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6.51</v>
      </c>
      <c r="D12" s="50">
        <v>8.1</v>
      </c>
      <c r="E12" s="48"/>
    </row>
    <row r="13" spans="1:10">
      <c r="B13" s="1" t="s">
        <v>416</v>
      </c>
      <c r="C13" s="48" t="s">
        <v>396</v>
      </c>
      <c r="D13" s="48" t="s">
        <v>414</v>
      </c>
      <c r="E13" s="5"/>
    </row>
    <row r="14" spans="1:10">
      <c r="B14" s="4" t="s">
        <v>420</v>
      </c>
      <c r="C14" s="35">
        <f>Thesis!C12*Common_Shares/1000000</f>
        <v>1191466.56559518</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1.08936492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0.91796603841438185</v>
      </c>
    </row>
    <row r="26" spans="2:6">
      <c r="B26" s="1" t="str">
        <f>"Expected Equity Value ("&amp;C13&amp;") :"</f>
        <v>Expected Equity Value (HKD) :</v>
      </c>
      <c r="C26" s="304">
        <f>C132</f>
        <v>8.7331010068184867</v>
      </c>
      <c r="D26" s="1" t="s">
        <v>399</v>
      </c>
      <c r="E26" s="301">
        <f ca="1">Scenarios!C87</f>
        <v>0.16485272311548815</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4.1481243916236616</v>
      </c>
      <c r="D29" s="310">
        <f>D149</f>
        <v>3.8078373146288405</v>
      </c>
      <c r="E29" s="306" t="s">
        <v>424</v>
      </c>
      <c r="F29" s="302">
        <v>0.3674</v>
      </c>
    </row>
    <row r="30" spans="2:6">
      <c r="B30" s="1" t="s">
        <v>426</v>
      </c>
      <c r="C30" s="311">
        <f>C157</f>
        <v>5.7464120227066173</v>
      </c>
      <c r="D30" s="311">
        <f>D157</f>
        <v>5.2750110795807688</v>
      </c>
      <c r="E30" s="307" t="s">
        <v>437</v>
      </c>
      <c r="F30" s="312">
        <v>0.21740000000000001</v>
      </c>
    </row>
    <row r="31" spans="2:6">
      <c r="B31" s="1" t="s">
        <v>427</v>
      </c>
      <c r="C31" s="311">
        <f>C165</f>
        <v>8.1790770323054822</v>
      </c>
      <c r="D31" s="311">
        <f>D165</f>
        <v>7.5081149412315229</v>
      </c>
      <c r="E31" s="307" t="s">
        <v>436</v>
      </c>
      <c r="F31" s="312">
        <v>7.4999999999999997E-2</v>
      </c>
    </row>
    <row r="32" spans="2:6">
      <c r="B32" s="1" t="s">
        <v>428</v>
      </c>
      <c r="C32" s="311">
        <f>C173</f>
        <v>7.3257655541616469</v>
      </c>
      <c r="D32" s="311">
        <f>D173</f>
        <v>6.7248039841063054</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247357.8376927129</v>
      </c>
      <c r="D41" s="1" t="str">
        <f>Reporting_currency</f>
        <v>CNY</v>
      </c>
    </row>
    <row r="42" spans="1:6">
      <c r="B42" s="47"/>
      <c r="C42" s="76"/>
    </row>
    <row r="43" spans="1:6" ht="24.5" customHeight="1">
      <c r="B43" s="357" t="s">
        <v>233</v>
      </c>
      <c r="C43" s="357"/>
      <c r="D43" s="357"/>
      <c r="E43" s="357"/>
      <c r="F43" s="357"/>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7" t="s">
        <v>236</v>
      </c>
      <c r="C47" s="357"/>
      <c r="D47" s="357"/>
      <c r="E47" s="357"/>
      <c r="F47" s="357"/>
    </row>
    <row r="48" spans="1:6">
      <c r="B48" s="47" t="s">
        <v>237</v>
      </c>
      <c r="C48" s="349">
        <f>Normalized_FCF!C11</f>
        <v>18644</v>
      </c>
      <c r="D48" s="1" t="str">
        <f>Reporting_currency</f>
        <v>CNY</v>
      </c>
    </row>
    <row r="50" spans="2:6">
      <c r="B50" s="357" t="s">
        <v>240</v>
      </c>
      <c r="C50" s="357"/>
      <c r="D50" s="357"/>
      <c r="E50" s="357"/>
      <c r="F50" s="357"/>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7" t="s">
        <v>241</v>
      </c>
      <c r="C58" s="357"/>
      <c r="D58" s="357"/>
      <c r="E58" s="357"/>
      <c r="F58" s="357"/>
    </row>
    <row r="59" spans="2:6">
      <c r="B59" s="47" t="s">
        <v>239</v>
      </c>
      <c r="C59" s="349">
        <f>Normalized_FCF!C14</f>
        <v>-63516.176096347837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0.12061817896769425</v>
      </c>
      <c r="F69" s="314"/>
    </row>
    <row r="70" spans="1:6">
      <c r="B70" s="227" t="s">
        <v>308</v>
      </c>
      <c r="C70" s="92">
        <f>Normalized_FCF!C93</f>
        <v>6.7886253518277886E-2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10.469657934395862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279749</v>
      </c>
      <c r="D102" s="1" t="str">
        <f>Reporting_currency</f>
        <v>CNY</v>
      </c>
    </row>
    <row r="103" spans="2:6">
      <c r="B103" s="47" t="s">
        <v>281</v>
      </c>
      <c r="C103" s="223">
        <f>C102*scaling_factor*Exchange_Rate/Common_Shares</f>
        <v>1.6651028239403722</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7.5090422032150024E-4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1.2581615481181908E-2</v>
      </c>
      <c r="D114" s="1" t="str">
        <f>Market_currency</f>
        <v>HKD</v>
      </c>
    </row>
    <row r="116" spans="1:6" ht="24.5" customHeight="1">
      <c r="B116" s="356" t="s">
        <v>366</v>
      </c>
      <c r="C116" s="356"/>
      <c r="D116" s="356"/>
      <c r="E116" s="356"/>
      <c r="F116" s="356"/>
    </row>
    <row r="118" spans="1:6">
      <c r="B118" s="47" t="s">
        <v>449</v>
      </c>
      <c r="C118" s="223">
        <f>IF(valuation_method="DCF",DCF!C12,DDM!C7)</f>
        <v>8.8178876301569939</v>
      </c>
      <c r="D118" s="1" t="str">
        <f>Market_currency</f>
        <v>HKD</v>
      </c>
    </row>
    <row r="119" spans="1:6">
      <c r="B119" s="296" t="s">
        <v>405</v>
      </c>
      <c r="C119" s="223">
        <f>BS!D47</f>
        <v>-3.8653632755261862</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11.01 HKD</v>
      </c>
      <c r="F126" s="232">
        <f>DCF!F74</f>
        <v>0.05</v>
      </c>
    </row>
    <row r="127" spans="1:6">
      <c r="B127" s="218" t="str">
        <f>DCF!B75</f>
        <v>Optimistic</v>
      </c>
      <c r="C127" s="219">
        <f>DCF!C75</f>
        <v>0.02</v>
      </c>
      <c r="D127" s="220">
        <f>DCF!D75</f>
        <v>5</v>
      </c>
      <c r="E127" s="231" t="str">
        <f>ROUND(IF(valuation_method="DCF",DCF!E75,DDM!E70),2)&amp;" "&amp;Market_currency</f>
        <v>9.15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-0.06</v>
      </c>
      <c r="D129" s="220">
        <f>DCF!D77</f>
        <v>5</v>
      </c>
      <c r="E129" s="231" t="str">
        <f>ROUND(IF(valuation_method="DCF",DCF!E77,DDM!E72),2)&amp;" "&amp;Market_currency</f>
        <v>7.88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258</v>
      </c>
      <c r="C132" s="217">
        <f>Scenarios!C60</f>
        <v>8.7331010068184867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3.415716019411108</v>
      </c>
    </row>
    <row r="149" spans="2:4">
      <c r="B149" s="80" t="s">
        <v>260</v>
      </c>
      <c r="C149" s="215">
        <f>Scenarios!C83</f>
        <v>4.1481243916236616</v>
      </c>
      <c r="D149" s="300">
        <f>IF($D$11="","",C149*$E$25)</f>
        <v>3.8078373146288405</v>
      </c>
    </row>
    <row r="150" spans="2:4">
      <c r="B150" s="259" t="s">
        <v>416</v>
      </c>
      <c r="C150" s="298" t="str">
        <f>Market_currency</f>
        <v>HKD</v>
      </c>
      <c r="D150" s="298" t="str">
        <f>IF($D$11="","",D$13)</f>
        <v>CNY</v>
      </c>
    </row>
    <row r="151" spans="2:4">
      <c r="B151" s="214" t="s">
        <v>262</v>
      </c>
      <c r="C151" s="92">
        <f>Scenarios!F83</f>
        <v>0.52501128884402481</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4.8402588864758114</v>
      </c>
    </row>
    <row r="157" spans="2:4">
      <c r="B157" s="80" t="s">
        <v>260</v>
      </c>
      <c r="C157" s="215">
        <f>Scenarios!C93</f>
        <v>5.7464120227066173</v>
      </c>
      <c r="D157" s="300">
        <f>IF($D$11="","",C157*$E$25)</f>
        <v>5.2750110795807688</v>
      </c>
    </row>
    <row r="158" spans="2:4">
      <c r="B158" s="259" t="s">
        <v>416</v>
      </c>
      <c r="C158" s="298" t="str">
        <f>Market_currency</f>
        <v>HKD</v>
      </c>
      <c r="D158" s="298" t="str">
        <f>IF($D$11="","",D$13)</f>
        <v>CNY</v>
      </c>
    </row>
    <row r="159" spans="2:4">
      <c r="B159" s="214" t="s">
        <v>262</v>
      </c>
      <c r="C159" s="92">
        <f>Scenarios!F93</f>
        <v>0.34199638613820815</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7.0298019600334962</v>
      </c>
    </row>
    <row r="165" spans="2:4">
      <c r="B165" s="80" t="s">
        <v>401</v>
      </c>
      <c r="C165" s="215">
        <f>Scenarios!C99</f>
        <v>8.1790770323054822</v>
      </c>
      <c r="D165" s="300">
        <f>IF($D$11="","",C165*$E$25)</f>
        <v>7.5081149412315229</v>
      </c>
    </row>
    <row r="166" spans="2:4">
      <c r="B166" s="259" t="s">
        <v>416</v>
      </c>
      <c r="C166" s="298" t="str">
        <f>Market_currency</f>
        <v>HKD</v>
      </c>
      <c r="D166" s="298" t="str">
        <f>IF($D$11="","",D$13)</f>
        <v>CNY</v>
      </c>
    </row>
    <row r="167" spans="2:4">
      <c r="B167" s="214" t="s">
        <v>262</v>
      </c>
      <c r="C167" s="92">
        <f>Scenarios!F99</f>
        <v>6.3439547313198674E-2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6.2595409098851871</v>
      </c>
    </row>
    <row r="173" spans="2:4">
      <c r="B173" s="80" t="s">
        <v>401</v>
      </c>
      <c r="C173" s="215">
        <f>Scenarios!C105</f>
        <v>7.3257655541616469</v>
      </c>
      <c r="D173" s="300">
        <f>IF($D$11="","",C173*$E$25)</f>
        <v>6.7248039841063054</v>
      </c>
    </row>
    <row r="174" spans="2:4">
      <c r="B174" s="259" t="s">
        <v>416</v>
      </c>
      <c r="C174" s="298" t="str">
        <f>Market_currency</f>
        <v>HKD</v>
      </c>
      <c r="D174" s="298" t="str">
        <f>IF($D$11="","",D$13)</f>
        <v>CNY</v>
      </c>
    </row>
    <row r="175" spans="2:4">
      <c r="B175" s="214" t="s">
        <v>262</v>
      </c>
      <c r="C175" s="92">
        <f>Scenarios!F105</f>
        <v>0.16162133152089964</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0.16049718215637052</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0.16049718215637052</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9.0196874034128651</v>
      </c>
      <c r="D47" s="147">
        <f>D46*H1/Common_Shares*Exchange_Rate</f>
        <v>-3.8653632755261862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-304748.74700507999</v>
      </c>
      <c r="D86" s="223">
        <f>C86*scaling_factor/Common_Shares</f>
        <v>-1.6651028239403722</v>
      </c>
      <c r="E86" s="240" t="str">
        <f>Market_currency</f>
        <v>HKD</v>
      </c>
    </row>
    <row r="87" spans="2:8" ht="15" customHeight="1">
      <c r="B87" s="238" t="s">
        <v>287</v>
      </c>
      <c r="C87" s="76">
        <f>DCF!C8*Exchange_Rate</f>
        <v>137.43122465090389</v>
      </c>
      <c r="D87" s="223">
        <f>C87*scaling_factor/Common_Shares</f>
        <v>7.5090422032150024E-4</v>
      </c>
      <c r="E87" s="240" t="str">
        <f>Market_currency</f>
        <v>HKD</v>
      </c>
    </row>
    <row r="88" spans="2:8" ht="15" customHeight="1">
      <c r="B88" s="239" t="s">
        <v>189</v>
      </c>
      <c r="C88" s="76">
        <f>DCF!C9*Exchange_Rate</f>
        <v>2302.6995678959997</v>
      </c>
      <c r="D88" s="223">
        <f>C88*scaling_factor/Common_Shares</f>
        <v>1.2581615481181911E-2</v>
      </c>
      <c r="E88" s="240" t="str">
        <f>Market_currency</f>
        <v>HKD</v>
      </c>
    </row>
    <row r="89" spans="2:8" ht="15" customHeight="1">
      <c r="B89" s="80" t="s">
        <v>291</v>
      </c>
      <c r="C89" s="180">
        <f>SUM(C86:C88)</f>
        <v>-302308.61621253309</v>
      </c>
      <c r="D89" s="242">
        <f>SUM(D86:D88)</f>
        <v>-1.6517703042388687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0.16049718215637052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29374.351215292594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0.28830325974907639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6.7886253518277886E-2</v>
      </c>
      <c r="E93" s="268"/>
      <c r="G93" s="23">
        <f t="shared" ref="G93:Q93" si="39">IF(G$4="","",G90/Market_Price)</f>
        <v>6.7886253518277886E-2</v>
      </c>
      <c r="H93" s="23">
        <f t="shared" si="39"/>
        <v>6.3553088400090024E-2</v>
      </c>
      <c r="I93" s="23">
        <f t="shared" si="39"/>
        <v>6.1036963854795546E-2</v>
      </c>
      <c r="J93" s="23">
        <f t="shared" si="39"/>
        <v>3.2732729302791863E-2</v>
      </c>
      <c r="K93" s="23">
        <f t="shared" si="39"/>
        <v>2.4653945031700542E-2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0.78522434507968952</v>
      </c>
      <c r="D124" s="27"/>
      <c r="E124" s="265"/>
      <c r="F124" s="27"/>
      <c r="G124" s="177">
        <f t="shared" ref="G124:Q124" si="49">IF(G$4="","",G16*$C$3/Common_Shares*Exchange_Rate)</f>
        <v>1.0439852083127084</v>
      </c>
      <c r="H124" s="177">
        <f t="shared" si="49"/>
        <v>1.8277815897145675</v>
      </c>
      <c r="I124" s="177">
        <f t="shared" si="49"/>
        <v>1.0091733887718155</v>
      </c>
      <c r="J124" s="177">
        <f t="shared" si="49"/>
        <v>0.75929470014244715</v>
      </c>
      <c r="K124" s="177">
        <f t="shared" si="49"/>
        <v>0.60644475595652747</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0.12061817896769425</v>
      </c>
      <c r="D125" s="27"/>
      <c r="E125" s="265"/>
      <c r="F125" s="27"/>
      <c r="G125" s="77">
        <f t="shared" ref="G125" si="50">IF(G$4="","",G124/Market_Price)</f>
        <v>0.16036639144588455</v>
      </c>
      <c r="H125" s="77">
        <f t="shared" ref="H125" si="51">IF(H$4="","",H124/Market_Price)</f>
        <v>0.28076522115431146</v>
      </c>
      <c r="I125" s="77">
        <f t="shared" ref="I125" si="52">IF(I$4="","",I124/Market_Price)</f>
        <v>0.15501895372838947</v>
      </c>
      <c r="J125" s="77">
        <f t="shared" ref="J125" si="53">IF(J$4="","",J124/Market_Price)</f>
        <v>0.11663513059023767</v>
      </c>
      <c r="K125" s="77">
        <f t="shared" ref="K125" si="54">IF(K$4="","",K124/Market_Price)</f>
        <v>9.3155876491018044E-2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0.15421918273318214</v>
      </c>
      <c r="H126" s="23">
        <f>IF(H$4="","",(Data!D47*$C$3)/(Market_Price*Common_Shares))</f>
        <v>0.15154516728700931</v>
      </c>
      <c r="I126" s="23">
        <f>IF(I$4="","",(Data!E47*$C$3)/(Market_Price*Common_Shares))</f>
        <v>0.13709406937357438</v>
      </c>
      <c r="J126" s="23">
        <f>IF(J$4="","",(Data!F47*$C$3)/(Market_Price*Common_Shares))</f>
        <v>0.11111851882630419</v>
      </c>
      <c r="K126" s="23">
        <f>IF(K$4="","",(Data!G47*$C$3)/(Market_Price*Common_Shares))</f>
        <v>0.10828503604341673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8.8178876301569939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8.7380152067219115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8.8178876301569939</v>
      </c>
      <c r="C65" s="124">
        <f>C12</f>
        <v>8.8178876301569939</v>
      </c>
      <c r="D65" s="124">
        <f>C12</f>
        <v>8.8178876301569939</v>
      </c>
      <c r="E65" s="141">
        <f>C12</f>
        <v>8.8178876301569939</v>
      </c>
      <c r="F65" s="124">
        <f>C12</f>
        <v>8.8178876301569939</v>
      </c>
      <c r="H65" s="120"/>
    </row>
    <row r="66" spans="1:8" ht="13.15">
      <c r="A66" s="143">
        <f t="shared" ref="A66:A71" si="3">A56</f>
        <v>5</v>
      </c>
      <c r="B66" s="124">
        <f t="shared" ref="B66:F71" si="4">(B56-$C$7+$C$8+$C$9)/Common_Shares*$C$3*Exchange_Rate</f>
        <v>6.5966371913751871</v>
      </c>
      <c r="C66" s="124">
        <f t="shared" si="4"/>
        <v>7.8758653530897478</v>
      </c>
      <c r="D66" s="124">
        <f t="shared" si="4"/>
        <v>8.9827037864255814</v>
      </c>
      <c r="E66" s="124">
        <f t="shared" si="4"/>
        <v>9.1498857527962389</v>
      </c>
      <c r="F66" s="124">
        <f t="shared" si="4"/>
        <v>9.8433224287607057</v>
      </c>
      <c r="H66" s="120"/>
    </row>
    <row r="67" spans="1:8" ht="13.15">
      <c r="A67" s="143">
        <f t="shared" si="3"/>
        <v>10</v>
      </c>
      <c r="B67" s="124">
        <f t="shared" si="4"/>
        <v>5.3491175260703363</v>
      </c>
      <c r="C67" s="124">
        <f t="shared" si="4"/>
        <v>7.1619094578574929</v>
      </c>
      <c r="D67" s="124">
        <f t="shared" si="4"/>
        <v>9.1407265082523868</v>
      </c>
      <c r="E67" s="124">
        <f t="shared" si="4"/>
        <v>9.4791044925053694</v>
      </c>
      <c r="F67" s="124">
        <f t="shared" si="4"/>
        <v>11.006997735713561</v>
      </c>
      <c r="H67" s="120"/>
    </row>
    <row r="68" spans="1:8" ht="13.15">
      <c r="A68" s="143">
        <f t="shared" si="3"/>
        <v>15</v>
      </c>
      <c r="B68" s="124">
        <f t="shared" si="4"/>
        <v>4.2346866994206307</v>
      </c>
      <c r="C68" s="124">
        <f t="shared" si="4"/>
        <v>6.4113728917766339</v>
      </c>
      <c r="D68" s="124">
        <f t="shared" si="4"/>
        <v>9.3358278739282365</v>
      </c>
      <c r="E68" s="124">
        <f t="shared" si="4"/>
        <v>9.8959339705983762</v>
      </c>
      <c r="F68" s="124">
        <f t="shared" si="4"/>
        <v>12.644351299626559</v>
      </c>
      <c r="H68" s="120"/>
    </row>
    <row r="69" spans="1:8" ht="13.15">
      <c r="A69" s="144">
        <f t="shared" si="3"/>
        <v>20</v>
      </c>
      <c r="B69" s="124">
        <f t="shared" si="4"/>
        <v>3.3825566861113496</v>
      </c>
      <c r="C69" s="124">
        <f t="shared" si="4"/>
        <v>5.759130023470453</v>
      </c>
      <c r="D69" s="124">
        <f t="shared" si="4"/>
        <v>9.5339765065392097</v>
      </c>
      <c r="E69" s="124">
        <f t="shared" si="4"/>
        <v>10.330485501891506</v>
      </c>
      <c r="F69" s="124">
        <f t="shared" si="4"/>
        <v>14.555554278862388</v>
      </c>
      <c r="H69" s="120"/>
    </row>
    <row r="70" spans="1:8" ht="13.15">
      <c r="A70" s="144">
        <f t="shared" si="3"/>
        <v>25</v>
      </c>
      <c r="B70" s="124">
        <f t="shared" si="4"/>
        <v>2.7655512517117242</v>
      </c>
      <c r="C70" s="124">
        <f t="shared" si="4"/>
        <v>5.2386287796662918</v>
      </c>
      <c r="D70" s="124">
        <f t="shared" si="4"/>
        <v>9.7175705926185358</v>
      </c>
      <c r="E70" s="124">
        <f t="shared" si="4"/>
        <v>10.74407826590379</v>
      </c>
      <c r="F70" s="124">
        <f t="shared" si="4"/>
        <v>16.605220087796127</v>
      </c>
    </row>
    <row r="71" spans="1:8" ht="13.15">
      <c r="A71" s="144">
        <f t="shared" si="3"/>
        <v>30</v>
      </c>
      <c r="B71" s="124">
        <f t="shared" si="4"/>
        <v>2.3285241271422006</v>
      </c>
      <c r="C71" s="124">
        <f t="shared" si="4"/>
        <v>4.8422395786672281</v>
      </c>
      <c r="D71" s="124">
        <f t="shared" si="4"/>
        <v>9.8788174093493097</v>
      </c>
      <c r="E71" s="124">
        <f t="shared" si="4"/>
        <v>11.117459947456984</v>
      </c>
      <c r="F71" s="124">
        <f t="shared" si="4"/>
        <v>18.702591728723654</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11.006997735713561</v>
      </c>
      <c r="F74" s="142">
        <f>Scenarios!C58</f>
        <v>0.05</v>
      </c>
    </row>
    <row r="75" spans="1:8">
      <c r="B75" s="127" t="str">
        <f>Scenarios!B36</f>
        <v>Optimistic</v>
      </c>
      <c r="C75" s="142">
        <f>Scenarios!C38</f>
        <v>0.02</v>
      </c>
      <c r="D75" s="145">
        <f>Scenarios!C37</f>
        <v>5</v>
      </c>
      <c r="E75" s="135">
        <f>INDEX(B$65:F$71, MATCH(D75, A$65:A$71, 0), MATCH(C75, B$64:F$64, 0))</f>
        <v>9.1498857527962389</v>
      </c>
      <c r="F75" s="142">
        <f>Scenarios!C40*(1-F$74-F$78)</f>
        <v>0.18</v>
      </c>
      <c r="H75" s="120"/>
    </row>
    <row r="76" spans="1:8">
      <c r="B76" s="127" t="str">
        <f>Scenarios!B24</f>
        <v>Base</v>
      </c>
      <c r="C76" s="142">
        <f>Scenarios!C26</f>
        <v>0.01</v>
      </c>
      <c r="D76" s="145">
        <f>Scenarios!C25</f>
        <v>5</v>
      </c>
      <c r="E76" s="135">
        <f>INDEX(B$65:F$71, MATCH(D76, A$65:A$71, 0), MATCH(C76, B$64:F$64, 0))</f>
        <v>8.9827037864255814</v>
      </c>
      <c r="F76" s="142">
        <f>Scenarios!C28*(1-F$74-F$78)</f>
        <v>0.53999999999999992</v>
      </c>
      <c r="H76" s="120"/>
    </row>
    <row r="77" spans="1:8">
      <c r="B77" s="127" t="str">
        <f>Scenarios!B30</f>
        <v>Pessimistic</v>
      </c>
      <c r="C77" s="142">
        <f>Scenarios!C32</f>
        <v>-0.06</v>
      </c>
      <c r="D77" s="145">
        <f>Scenarios!C31</f>
        <v>5</v>
      </c>
      <c r="E77" s="135">
        <f>INDEX(B$65:F$71, MATCH(D77, A$65:A$71, 0), MATCH(C77, B$64:F$64, 0))</f>
        <v>7.8758653530897478</v>
      </c>
      <c r="F77" s="142">
        <f>Scenarios!C34*(1-F$74-F$78)</f>
        <v>0.18</v>
      </c>
      <c r="H77" s="120"/>
    </row>
    <row r="78" spans="1:8">
      <c r="B78" s="127" t="str">
        <f>Scenarios!B48</f>
        <v>Devil's advocate</v>
      </c>
      <c r="C78" s="142">
        <f>Scenarios!C50</f>
        <v>-0.15</v>
      </c>
      <c r="D78" s="145">
        <f>Scenarios!C49</f>
        <v>10</v>
      </c>
      <c r="E78" s="135">
        <f>INDEX(B$65:F$71, MATCH(D78, A$65:A$71, 0), MATCH(C78, B$64:F$64, 0))</f>
        <v>5.3491175260703363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6.4191119919477408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6.4191119919477408</v>
      </c>
      <c r="C60" s="124">
        <f>C7</f>
        <v>6.4191119919477408</v>
      </c>
      <c r="D60" s="124">
        <f>C7</f>
        <v>6.4191119919477408</v>
      </c>
      <c r="E60" s="141">
        <f>C7</f>
        <v>6.4191119919477408</v>
      </c>
      <c r="F60" s="124">
        <f>C7</f>
        <v>6.4191119919477408</v>
      </c>
      <c r="H60" s="120"/>
    </row>
    <row r="61" spans="1:8" ht="13.15">
      <c r="A61" s="143">
        <f t="shared" ref="A61:A66" si="3">A51</f>
        <v>5</v>
      </c>
      <c r="B61" s="124">
        <f t="shared" ref="B61:F66" si="4">B51/Common_Shares*$C$3*Exchange_Rate</f>
        <v>5.0572284024313818</v>
      </c>
      <c r="C61" s="124">
        <f t="shared" si="4"/>
        <v>5.8415433136494466</v>
      </c>
      <c r="D61" s="124">
        <f t="shared" si="4"/>
        <v>6.5201633703022033</v>
      </c>
      <c r="E61" s="124">
        <f t="shared" si="4"/>
        <v>6.6226652640500063</v>
      </c>
      <c r="F61" s="124">
        <f t="shared" si="4"/>
        <v>7.0478221994753998</v>
      </c>
      <c r="H61" s="120"/>
    </row>
    <row r="62" spans="1:8" ht="13.15">
      <c r="A62" s="143">
        <f t="shared" si="3"/>
        <v>10</v>
      </c>
      <c r="B62" s="124">
        <f t="shared" si="4"/>
        <v>4.2923544692114151</v>
      </c>
      <c r="C62" s="124">
        <f t="shared" si="4"/>
        <v>5.4038057220753428</v>
      </c>
      <c r="D62" s="124">
        <f t="shared" si="4"/>
        <v>6.6170495871236907</v>
      </c>
      <c r="E62" s="124">
        <f t="shared" si="4"/>
        <v>6.8245144527515809</v>
      </c>
      <c r="F62" s="124">
        <f t="shared" si="4"/>
        <v>7.761289837520593</v>
      </c>
      <c r="H62" s="120"/>
    </row>
    <row r="63" spans="1:8" ht="13.15">
      <c r="A63" s="143">
        <f t="shared" si="3"/>
        <v>15</v>
      </c>
      <c r="B63" s="124">
        <f t="shared" si="4"/>
        <v>3.6090793967717003</v>
      </c>
      <c r="C63" s="124">
        <f t="shared" si="4"/>
        <v>4.9436399457038807</v>
      </c>
      <c r="D63" s="124">
        <f t="shared" si="4"/>
        <v>6.7366693038233922</v>
      </c>
      <c r="E63" s="124">
        <f t="shared" si="4"/>
        <v>7.0800791634794988</v>
      </c>
      <c r="F63" s="124">
        <f t="shared" si="4"/>
        <v>8.7651770669822877</v>
      </c>
      <c r="H63" s="120"/>
    </row>
    <row r="64" spans="1:8" ht="13.15">
      <c r="A64" s="144">
        <f t="shared" si="3"/>
        <v>20</v>
      </c>
      <c r="B64" s="124">
        <f t="shared" si="4"/>
        <v>3.0866250796003696</v>
      </c>
      <c r="C64" s="124">
        <f t="shared" si="4"/>
        <v>4.5437395818293664</v>
      </c>
      <c r="D64" s="124">
        <f t="shared" si="4"/>
        <v>6.8581573478217033</v>
      </c>
      <c r="E64" s="124">
        <f t="shared" si="4"/>
        <v>7.3465095438340349</v>
      </c>
      <c r="F64" s="124">
        <f t="shared" si="4"/>
        <v>9.9369656812744775</v>
      </c>
      <c r="H64" s="120"/>
    </row>
    <row r="65" spans="1:8" ht="13.15">
      <c r="A65" s="144">
        <f t="shared" si="3"/>
        <v>25</v>
      </c>
      <c r="B65" s="124">
        <f t="shared" si="4"/>
        <v>2.7083293408217655</v>
      </c>
      <c r="C65" s="124">
        <f t="shared" si="4"/>
        <v>4.2246120805429745</v>
      </c>
      <c r="D65" s="124">
        <f t="shared" si="4"/>
        <v>6.9707217703641762</v>
      </c>
      <c r="E65" s="124">
        <f t="shared" si="4"/>
        <v>7.6000897742379285</v>
      </c>
      <c r="F65" s="124">
        <f t="shared" si="4"/>
        <v>11.19364803480077</v>
      </c>
    </row>
    <row r="66" spans="1:8" ht="13.15">
      <c r="A66" s="144">
        <f t="shared" si="3"/>
        <v>30</v>
      </c>
      <c r="B66" s="124">
        <f t="shared" si="4"/>
        <v>2.4403811352825606</v>
      </c>
      <c r="C66" s="124">
        <f t="shared" si="4"/>
        <v>3.9815796252750357</v>
      </c>
      <c r="D66" s="124">
        <f t="shared" si="4"/>
        <v>7.0695847304938875</v>
      </c>
      <c r="E66" s="124">
        <f t="shared" si="4"/>
        <v>7.829015957371154</v>
      </c>
      <c r="F66" s="124">
        <f t="shared" si="4"/>
        <v>12.479579584447512</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7.761289837520593</v>
      </c>
      <c r="F69" s="142">
        <f>Scenarios!C58</f>
        <v>0.05</v>
      </c>
    </row>
    <row r="70" spans="1:8">
      <c r="B70" s="127" t="str">
        <f>Scenarios!B36</f>
        <v>Optimistic</v>
      </c>
      <c r="C70" s="142">
        <f>Scenarios!C38</f>
        <v>0.02</v>
      </c>
      <c r="D70" s="145">
        <f>Scenarios!C37</f>
        <v>5</v>
      </c>
      <c r="E70" s="135">
        <f>INDEX(B$60:F$66, MATCH(D70, A$60:A$66, 0), MATCH(C70, B$59:F$59, 0))</f>
        <v>6.6226652640500063</v>
      </c>
      <c r="F70" s="142">
        <f>Scenarios!C40*(1-F$69-F$73)</f>
        <v>0.18</v>
      </c>
      <c r="H70" s="120"/>
    </row>
    <row r="71" spans="1:8">
      <c r="B71" s="127" t="str">
        <f>Scenarios!B24</f>
        <v>Base</v>
      </c>
      <c r="C71" s="142">
        <f>Scenarios!C26</f>
        <v>0.01</v>
      </c>
      <c r="D71" s="145">
        <f>Scenarios!C25</f>
        <v>5</v>
      </c>
      <c r="E71" s="135">
        <f>INDEX(B$60:F$66, MATCH(D71, A$60:A$66, 0), MATCH(C71, B$59:F$59, 0))</f>
        <v>6.5201633703022033</v>
      </c>
      <c r="F71" s="142">
        <f>Scenarios!C28*(1-F$69-F$73)</f>
        <v>0.53999999999999992</v>
      </c>
      <c r="H71" s="120"/>
    </row>
    <row r="72" spans="1:8">
      <c r="B72" s="127" t="str">
        <f>Scenarios!B30</f>
        <v>Pessimistic</v>
      </c>
      <c r="C72" s="142">
        <f>Scenarios!C32</f>
        <v>-0.06</v>
      </c>
      <c r="D72" s="145">
        <f>Scenarios!C31</f>
        <v>5</v>
      </c>
      <c r="E72" s="135">
        <f>INDEX(B$60:F$66, MATCH(D72, A$60:A$66, 0), MATCH(C72, B$59:F$59, 0))</f>
        <v>5.8415433136494466</v>
      </c>
      <c r="F72" s="142">
        <f>Scenarios!C34*(1-F$69-F$73)</f>
        <v>0.18</v>
      </c>
      <c r="H72" s="120"/>
    </row>
    <row r="73" spans="1:8">
      <c r="B73" s="127" t="str">
        <f>Scenarios!B48</f>
        <v>Devil's advocate</v>
      </c>
      <c r="C73" s="142">
        <f>Scenarios!C50</f>
        <v>-0.15</v>
      </c>
      <c r="D73" s="145">
        <f>Scenarios!C49</f>
        <v>10</v>
      </c>
      <c r="E73" s="135">
        <f>INDEX(B$60:F$66, MATCH(D73, A$60:A$66, 0), MATCH(C73, B$59:F$59, 0))</f>
        <v>4.2923544692114151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-6.51</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9.1750405172224756</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6.51</v>
      </c>
      <c r="D21" t="str">
        <f>Market_currency</f>
        <v>HKD</v>
      </c>
      <c r="E21" s="367"/>
      <c r="F21" s="367"/>
    </row>
    <row r="22" spans="2:6">
      <c r="B22" s="100" t="s">
        <v>278</v>
      </c>
      <c r="C22" s="160">
        <f>IF(valuation_method="DCF",DCF!C12,DDM!C7)</f>
        <v>8.8178876301569939</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8.9827037864255814</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7.8758653530897478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9.1498857527962389</v>
      </c>
      <c r="D39" t="str">
        <f>Market_currency</f>
        <v>HKD</v>
      </c>
      <c r="E39" s="365"/>
      <c r="F39" s="365"/>
    </row>
    <row r="40" spans="2:6">
      <c r="B40" s="100" t="s">
        <v>147</v>
      </c>
      <c r="C40" s="167">
        <f>1-C28-C34</f>
        <v>0.2</v>
      </c>
      <c r="D40" s="165"/>
      <c r="E40" s="365"/>
      <c r="F40" s="365"/>
    </row>
    <row r="42" spans="2:6" ht="13.15">
      <c r="B42" s="100" t="s">
        <v>120</v>
      </c>
      <c r="C42" s="154">
        <f>C27*C28+C33*C34+C39*C40</f>
        <v>8.7947724930325464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5.3491175260703363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11.006997735713561</v>
      </c>
      <c r="D57" t="str">
        <f>Market_currency</f>
        <v>HKD</v>
      </c>
      <c r="E57" s="365"/>
      <c r="F57" s="365"/>
    </row>
    <row r="58" spans="2:6">
      <c r="B58" s="100" t="s">
        <v>147</v>
      </c>
      <c r="C58" s="165">
        <v>0.05</v>
      </c>
      <c r="D58" s="165"/>
      <c r="E58" s="365"/>
      <c r="F58" s="365"/>
    </row>
    <row r="60" spans="2:6" ht="13.15">
      <c r="B60" s="100" t="s">
        <v>120</v>
      </c>
      <c r="C60" s="154">
        <f>C51*C52+C57*C58+C42*(1-C52-C58)</f>
        <v>8.7331010068184867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8.7380152067219115</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-0.18913903583036848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3.415716019411108</v>
      </c>
      <c r="D82" s="116"/>
    </row>
    <row r="83" spans="2:8" ht="13.15">
      <c r="B83" s="110" t="s">
        <v>101</v>
      </c>
      <c r="C83" s="111">
        <f>C81+C82</f>
        <v>4.1481243916236616</v>
      </c>
      <c r="D83" t="str">
        <f>Market_currency</f>
        <v>HKD</v>
      </c>
      <c r="E83" s="146" t="s">
        <v>126</v>
      </c>
      <c r="F83" s="291">
        <f>(1-C83/C60)</f>
        <v>0.52501128884402481</v>
      </c>
    </row>
    <row r="84" spans="2:8">
      <c r="E84" s="120"/>
    </row>
    <row r="85" spans="2:8" ht="13.15">
      <c r="B85" s="109" t="s">
        <v>302</v>
      </c>
    </row>
    <row r="86" spans="2:8">
      <c r="B86" s="148" t="s">
        <v>300</v>
      </c>
      <c r="C86" s="116">
        <f>Market_Price</f>
        <v>6.51</v>
      </c>
      <c r="D86" t="str">
        <f>Market_currency</f>
        <v>HKD</v>
      </c>
    </row>
    <row r="87" spans="2:8" ht="13.15">
      <c r="B87" s="100" t="s">
        <v>298</v>
      </c>
      <c r="C87" s="237">
        <f ca="1">IRR(OFFSET($I$3, 0, 0, $C$76 + 1, 1))</f>
        <v>0.16485272311548815</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4.8402588864758114</v>
      </c>
      <c r="D92" s="116"/>
    </row>
    <row r="93" spans="2:8" ht="13.15">
      <c r="B93" s="110" t="s">
        <v>101</v>
      </c>
      <c r="C93" s="111">
        <f>C91+C92</f>
        <v>5.7464120227066173</v>
      </c>
      <c r="D93" t="str">
        <f>Market_currency</f>
        <v>HKD</v>
      </c>
      <c r="E93" s="146" t="s">
        <v>126</v>
      </c>
      <c r="F93" s="291">
        <f>(1-C93/C60)</f>
        <v>0.34199638613820815</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7.0298019600334962</v>
      </c>
      <c r="D98" s="116"/>
      <c r="G98" s="2"/>
      <c r="H98" s="281"/>
    </row>
    <row r="99" spans="2:8" ht="13.15">
      <c r="B99" s="110" t="s">
        <v>398</v>
      </c>
      <c r="C99" s="111">
        <f>C97+C98</f>
        <v>8.1790770323054822</v>
      </c>
      <c r="D99" t="s">
        <v>396</v>
      </c>
      <c r="E99" s="146" t="s">
        <v>126</v>
      </c>
      <c r="F99" s="291">
        <f>(1-C99/C60)</f>
        <v>6.3439547313198674E-2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6.2595409098851871</v>
      </c>
      <c r="D104" s="116"/>
    </row>
    <row r="105" spans="2:8" ht="13.15">
      <c r="B105" s="110" t="s">
        <v>398</v>
      </c>
      <c r="C105" s="111">
        <f>C103+C104</f>
        <v>7.3257655541616469</v>
      </c>
      <c r="D105" t="s">
        <v>396</v>
      </c>
      <c r="E105" s="146" t="s">
        <v>126</v>
      </c>
      <c r="F105" s="291">
        <f>(1-C105/C66)</f>
        <v>0.16162133152089964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