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690C41A-2722-4CA3-80DA-0339F582DA5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<sst xmlns="http://schemas.openxmlformats.org/spreadsheetml/2006/main" count="616" uniqueCount="433">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</sst>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425</v>
      </c>
      <c r="D5" s="49" t="s">
        <v>426</v>
      </c>
    </row>
    <row r="6" spans="1:10">
      <c r="B6" s="4" t="s">
        <v>95</v>
      </c>
      <c r="C6" s="50">
        <v>5.94</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1087144.6082389201</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427</v>
      </c>
      <c r="D16" s="32"/>
      <c r="E16" s="5"/>
    </row>
    <row r="17" spans="1:6">
      <c r="B17" s="4" t="s">
        <v>1</v>
      </c>
      <c r="C17" s="50">
        <v>1.06707424</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4.4065324767427771</v>
      </c>
      <c r="D20" s="1" t="s">
        <v>315</v>
      </c>
      <c r="E20" s="330">
        <v>3</v>
      </c>
    </row>
    <row r="21" spans="1:6">
      <c r="B21" s="1" t="s">
        <v>407</v>
      </c>
      <c r="C21" s="280">
        <f ca="1">Scenarios!C87</f>
        <v>0.1686112219828888</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0.12948771313952359</v>
      </c>
    </row>
    <row r="59" spans="1:6">
      <c r="B59" s="254" t="s">
        <v>316</v>
      </c>
      <c r="C59" s="92">
        <f>Normalized_FCF!C93</f>
        <v>7.4400590977102513E-2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9.6144627006096286</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1.6310313447380207</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7.3553915267654979E-4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1.2324169367923486E-2</v>
      </c>
      <c r="D99" s="1" t="str">
        <f>Market_currency</f>
        <v>HKD</v>
      </c>
    </row>
    <row r="101" spans="1:6" ht="24.4" customHeight="1">
      <c r="B101" s="340" t="s">
        <v>374</v>
      </c>
      <c r="C101" s="340"/>
      <c r="D101" s="340"/>
      <c r="E101" s="340"/>
      <c r="F101" s="340"/>
    </row>
    <row r="103" spans="1:6">
      <c r="B103" s="47" t="s">
        <v>283</v>
      </c>
      <c r="C103" s="248">
        <f>Valuation_Model!C12</f>
        <v>7.9964910643922096</v>
      </c>
      <c r="D103" s="1" t="str">
        <f>Market_currency</f>
        <v>HKD</v>
      </c>
    </row>
    <row r="104" spans="1:6">
      <c r="B104" s="336" t="s">
        <v>414</v>
      </c>
      <c r="C104" s="248">
        <f>BS!D47</f>
        <v>-3.7862698750718136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8.31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7.9178132048919672</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418</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3.603920439186147</v>
      </c>
    </row>
    <row r="133" spans="2:4">
      <c r="B133" s="80" t="s">
        <v>261</v>
      </c>
      <c r="C133" s="239">
        <f>Scenarios!C83</f>
        <v>4.4065324767427771</v>
      </c>
      <c r="D133" s="47" t="str">
        <f>Reporting_currency</f>
        <v>CNY</v>
      </c>
    </row>
    <row r="134" spans="2:4">
      <c r="B134" s="238" t="s">
        <v>263</v>
      </c>
      <c r="C134" s="92">
        <f>Scenarios!F83</f>
        <v>0.44346597188978509</v>
      </c>
    </row>
    <row r="136" spans="2:4">
      <c r="B136" s="234" t="s">
        <v>421</v>
      </c>
      <c r="C136" s="337">
        <f>Scenarios!C90</f>
        <v>0.2</v>
      </c>
      <c r="D136" s="1" t="s">
        <v>420</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4.5820678269050736</v>
      </c>
    </row>
    <row r="139" spans="2:4">
      <c r="B139" s="80" t="s">
        <v>261</v>
      </c>
      <c r="C139" s="239">
        <f>Scenarios!C93</f>
        <v>5.5130052215060692</v>
      </c>
      <c r="D139" s="47" t="str">
        <f>Reporting_currency</f>
        <v>CNY</v>
      </c>
    </row>
    <row r="140" spans="2:4">
      <c r="B140" s="238" t="s">
        <v>263</v>
      </c>
      <c r="C140" s="92">
        <f>Scenarios!F93</f>
        <v>0.30372123225894032</v>
      </c>
    </row>
    <row r="142" spans="2:4">
      <c r="B142" s="234" t="s">
        <v>408</v>
      </c>
      <c r="C142" s="92">
        <f>Scenarios!C96</f>
        <v>0.08</v>
      </c>
      <c r="D142" s="1" t="s">
        <v>419</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6.2854154004184819</v>
      </c>
    </row>
    <row r="145" spans="1:6">
      <c r="B145" s="80" t="s">
        <v>409</v>
      </c>
      <c r="C145" s="239">
        <f>Scenarios!C99</f>
        <v>7.4243363812264054</v>
      </c>
      <c r="D145" s="101" t="str">
        <f>Reporting_currency</f>
        <v>CNY</v>
      </c>
    </row>
    <row r="146" spans="1:6">
      <c r="B146" s="238" t="s">
        <v>263</v>
      </c>
      <c r="C146" s="92">
        <f>Scenarios!F99</f>
        <v>6.2324888311417914E-2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0.16384989295590155</v>
      </c>
      <c r="H25" s="39"/>
      <c r="I25" s="39"/>
      <c r="J25" s="39"/>
      <c r="K25" s="39"/>
      <c r="L25" s="39"/>
      <c r="M25" s="39"/>
    </row>
    <row r="27" spans="2:13">
      <c r="B27" s="16" t="s">
        <v>28</v>
      </c>
      <c r="C27" s="97" t="s">
        <v>430</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0.16384989295590155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8.835125773128766</v>
      </c>
      <c r="D47" s="148">
        <f>D46*H1/Common_Shares*Exchange_Rate</f>
        <v>-3.7862698750718136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-298512.95156576001</v>
      </c>
      <c r="D86" s="248">
        <f>C86*scaling_factor/Common_Shares</f>
        <v>-1.6310313447380207</v>
      </c>
      <c r="E86" s="269" t="str">
        <f>Market_currency</f>
        <v>HKD</v>
      </c>
    </row>
    <row r="87" spans="2:8" ht="15" customHeight="1">
      <c r="B87" s="267" t="s">
        <v>294</v>
      </c>
      <c r="C87" s="188">
        <f>Valuation_Model!C8*Exchange_Rate</f>
        <v>134.61909494628532</v>
      </c>
      <c r="D87" s="248">
        <f>C87*scaling_factor/Common_Shares</f>
        <v>7.3553915267654969E-4</v>
      </c>
      <c r="E87" s="269" t="str">
        <f>Market_currency</f>
        <v>HKD</v>
      </c>
    </row>
    <row r="88" spans="2:8" ht="15" customHeight="1">
      <c r="B88" s="268" t="s">
        <v>190</v>
      </c>
      <c r="C88" s="188">
        <f>Valuation_Model!C9*Exchange_Rate</f>
        <v>2255.5815285119997</v>
      </c>
      <c r="D88" s="248">
        <f>C88*scaling_factor/Common_Shares</f>
        <v>1.2324169367923486E-2</v>
      </c>
      <c r="E88" s="269" t="str">
        <f>Market_currency</f>
        <v>HKD</v>
      </c>
    </row>
    <row r="89" spans="2:8" ht="15" customHeight="1">
      <c r="B89" s="80" t="s">
        <v>298</v>
      </c>
      <c r="C89" s="187">
        <f>SUM(C86:C88)</f>
        <v>-296122.7509423017</v>
      </c>
      <c r="D89" s="271">
        <f>SUM(D86:D88)</f>
        <v>-1.6179716362174206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432</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0.16384989295590155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29987.967624163732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0.29432577951866951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7.4400590977102513E-2</v>
      </c>
      <c r="E93" s="302"/>
      <c r="G93" s="23">
        <f t="shared" ref="G93:Q93" si="39">IF(G$4="","",G90/Market_Price)</f>
        <v>7.4400590977102513E-2</v>
      </c>
      <c r="H93" s="23">
        <f t="shared" si="39"/>
        <v>6.9651617084947132E-2</v>
      </c>
      <c r="I93" s="23">
        <f t="shared" si="39"/>
        <v>6.6894046244902181E-2</v>
      </c>
      <c r="J93" s="23">
        <f t="shared" si="39"/>
        <v>3.5873748781342592E-2</v>
      </c>
      <c r="K93" s="23">
        <f t="shared" si="39"/>
        <v>2.7584157063283089E-2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0.76915701604877029</v>
      </c>
      <c r="D124" s="27"/>
      <c r="E124" s="299"/>
      <c r="F124" s="27"/>
      <c r="G124" s="178">
        <f t="shared" ref="G124:Q124" si="49">IF(G$4="","",G16*$C$3/Common_Shares*Exchange_Rate)</f>
        <v>2.4406138705303104</v>
      </c>
      <c r="H124" s="178">
        <f t="shared" si="49"/>
        <v>1.7903813634192147</v>
      </c>
      <c r="I124" s="178">
        <f t="shared" si="49"/>
        <v>0.98852359487756369</v>
      </c>
      <c r="J124" s="178">
        <f t="shared" si="49"/>
        <v>0.74375794576764021</v>
      </c>
      <c r="K124" s="178">
        <f t="shared" si="49"/>
        <v>0.59403563047017982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0.12948771313952359</v>
      </c>
      <c r="D125" s="27"/>
      <c r="E125" s="299"/>
      <c r="F125" s="27"/>
      <c r="G125" s="77">
        <f t="shared" ref="G125" si="50">IF(G$4="","",G124/Market_Price)</f>
        <v>0.4108777559815337</v>
      </c>
      <c r="H125" s="77">
        <f t="shared" ref="H125" si="51">IF(H$4="","",H124/Market_Price)</f>
        <v>0.30141100394262871</v>
      </c>
      <c r="I125" s="77">
        <f t="shared" ref="I125" si="52">IF(I$4="","",I124/Market_Price)</f>
        <v>0.16641811361575146</v>
      </c>
      <c r="J125" s="77">
        <f t="shared" ref="J125" si="53">IF(J$4="","",J124/Market_Price)</f>
        <v>0.1252117753817576</v>
      </c>
      <c r="K125" s="77">
        <f t="shared" ref="K125" si="54">IF(K$4="","",K124/Market_Price)</f>
        <v>0.10000599839565316</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0.16901799319747737</v>
      </c>
      <c r="H126" s="23">
        <f>IF(H$4="","",(Data!D47*$C$3)/(Market_Price*Common_Shares))</f>
        <v>0.1660873803095001</v>
      </c>
      <c r="I126" s="23">
        <f>IF(I$4="","",(Data!E47*$C$3)/(Market_Price*Common_Shares))</f>
        <v>0.15024956087911936</v>
      </c>
      <c r="J126" s="23">
        <f>IF(J$4="","",(Data!F47*$C$3)/(Market_Price*Common_Shares))</f>
        <v>0.12178140699650508</v>
      </c>
      <c r="K126" s="23">
        <f>IF(K$4="","",(Data!G47*$C$3)/(Market_Price*Common_Shares))</f>
        <v>0.11867602435061327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7.9964910643922096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7.9218972488730435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7.9964910643922096</v>
      </c>
      <c r="C65" s="125">
        <f>C12</f>
        <v>7.9964910643922096</v>
      </c>
      <c r="D65" s="125">
        <f>C12</f>
        <v>7.9964910643922096</v>
      </c>
      <c r="E65" s="142">
        <f>C12</f>
        <v>7.9964910643922096</v>
      </c>
      <c r="F65" s="125">
        <f>C12</f>
        <v>7.9964910643922096</v>
      </c>
      <c r="H65" s="121"/>
    </row>
    <row r="66" spans="1:8" ht="13.15">
      <c r="A66" s="144">
        <f t="shared" ref="A66:A71" si="3">A56</f>
        <v>5</v>
      </c>
      <c r="B66" s="125">
        <f t="shared" ref="B66:F71" si="4">(B56-$C$7+$C$8+$C$9)/Common_Shares*$C$3*Exchange_Rate</f>
        <v>5.928106002554224</v>
      </c>
      <c r="C66" s="125">
        <f t="shared" si="4"/>
        <v>7.1177048791412911</v>
      </c>
      <c r="D66" s="125">
        <f t="shared" si="4"/>
        <v>8.150461163827881</v>
      </c>
      <c r="E66" s="125">
        <f t="shared" si="4"/>
        <v>8.3067039602476669</v>
      </c>
      <c r="F66" s="125">
        <f t="shared" si="4"/>
        <v>8.9554096822591607</v>
      </c>
      <c r="H66" s="121"/>
    </row>
    <row r="67" spans="1:8" ht="13.15">
      <c r="A67" s="144">
        <f t="shared" si="3"/>
        <v>10</v>
      </c>
      <c r="B67" s="125">
        <f t="shared" si="4"/>
        <v>4.750704590932437</v>
      </c>
      <c r="C67" s="125">
        <f t="shared" si="4"/>
        <v>6.4441083553414629</v>
      </c>
      <c r="D67" s="125">
        <f t="shared" si="4"/>
        <v>8.2995052182913618</v>
      </c>
      <c r="E67" s="125">
        <f t="shared" si="4"/>
        <v>8.6172025131588477</v>
      </c>
      <c r="F67" s="125">
        <f t="shared" si="4"/>
        <v>10.052707115765562</v>
      </c>
      <c r="H67" s="121"/>
    </row>
    <row r="68" spans="1:8" ht="13.15">
      <c r="A68" s="144">
        <f t="shared" si="3"/>
        <v>15</v>
      </c>
      <c r="B68" s="125">
        <f t="shared" si="4"/>
        <v>3.7225359285857076</v>
      </c>
      <c r="C68" s="125">
        <f t="shared" si="4"/>
        <v>5.7518540555071773</v>
      </c>
      <c r="D68" s="125">
        <f t="shared" si="4"/>
        <v>8.4794026217902267</v>
      </c>
      <c r="E68" s="125">
        <f t="shared" si="4"/>
        <v>9.0015305655676876</v>
      </c>
      <c r="F68" s="125">
        <f t="shared" si="4"/>
        <v>11.562082070542536</v>
      </c>
      <c r="H68" s="121"/>
    </row>
    <row r="69" spans="1:8" ht="13.15">
      <c r="A69" s="145">
        <f t="shared" si="3"/>
        <v>20</v>
      </c>
      <c r="B69" s="125">
        <f t="shared" si="4"/>
        <v>2.9542781060037133</v>
      </c>
      <c r="C69" s="125">
        <f t="shared" si="4"/>
        <v>5.1639304410858591</v>
      </c>
      <c r="D69" s="125">
        <f t="shared" si="4"/>
        <v>8.6579605676539462</v>
      </c>
      <c r="E69" s="125">
        <f t="shared" si="4"/>
        <v>9.3930992172266148</v>
      </c>
      <c r="F69" s="125">
        <f t="shared" si="4"/>
        <v>13.283868624622219</v>
      </c>
      <c r="H69" s="121"/>
    </row>
    <row r="70" spans="1:8" ht="13.15">
      <c r="A70" s="145">
        <f t="shared" si="3"/>
        <v>25</v>
      </c>
      <c r="B70" s="125">
        <f t="shared" si="4"/>
        <v>2.4107281628059458</v>
      </c>
      <c r="C70" s="125">
        <f t="shared" si="4"/>
        <v>4.7054664315727148</v>
      </c>
      <c r="D70" s="125">
        <f t="shared" si="4"/>
        <v>8.8196287288325106</v>
      </c>
      <c r="E70" s="125">
        <f t="shared" si="4"/>
        <v>9.757279791417659</v>
      </c>
      <c r="F70" s="125">
        <f t="shared" si="4"/>
        <v>15.088248582553387</v>
      </c>
    </row>
    <row r="71" spans="1:8" ht="13.15">
      <c r="A71" s="145">
        <f t="shared" si="3"/>
        <v>30</v>
      </c>
      <c r="B71" s="125">
        <f t="shared" si="4"/>
        <v>2.0345503053542529</v>
      </c>
      <c r="C71" s="125">
        <f t="shared" si="4"/>
        <v>4.3643071650780705</v>
      </c>
      <c r="D71" s="125">
        <f t="shared" si="4"/>
        <v>8.9583728032033925</v>
      </c>
      <c r="E71" s="125">
        <f t="shared" si="4"/>
        <v>10.078537718350821</v>
      </c>
      <c r="F71" s="125">
        <f t="shared" si="4"/>
        <v>16.892399239111004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10.052707115765562</v>
      </c>
      <c r="F74" s="143">
        <f>Scenarios!C58</f>
        <v>0.05</v>
      </c>
    </row>
    <row r="75" spans="1:8">
      <c r="B75" s="128" t="str">
        <f>Scenarios!B36</f>
        <v>Optimistic</v>
      </c>
      <c r="C75" s="143">
        <f>Scenarios!C38</f>
        <v>0.02</v>
      </c>
      <c r="D75" s="146">
        <f>Scenarios!C37</f>
        <v>5</v>
      </c>
      <c r="E75" s="136">
        <f>INDEX(B$65:F$71, MATCH(D75, A$65:A$71, 0), MATCH(C75, B$64:F$64, 0))</f>
        <v>8.3067039602476669</v>
      </c>
      <c r="F75" s="143">
        <f>Scenarios!C40*(1-F$74-F$78)</f>
        <v>0.18</v>
      </c>
      <c r="H75" s="121"/>
    </row>
    <row r="76" spans="1:8">
      <c r="B76" s="128" t="str">
        <f>Scenarios!B24</f>
        <v>Base</v>
      </c>
      <c r="C76" s="143">
        <f>Scenarios!C26</f>
        <v>0.01</v>
      </c>
      <c r="D76" s="146">
        <f>Scenarios!C25</f>
        <v>5</v>
      </c>
      <c r="E76" s="136">
        <f>INDEX(B$65:F$71, MATCH(D76, A$65:A$71, 0), MATCH(C76, B$64:F$64, 0))</f>
        <v>8.150461163827881</v>
      </c>
      <c r="F76" s="143">
        <f>Scenarios!C28*(1-F$74-F$78)</f>
        <v>0.53999999999999992</v>
      </c>
      <c r="H76" s="121"/>
    </row>
    <row r="77" spans="1:8">
      <c r="B77" s="128" t="str">
        <f>Scenarios!B30</f>
        <v>Pessimistic</v>
      </c>
      <c r="C77" s="143">
        <f>Scenarios!C32</f>
        <v>-0.06</v>
      </c>
      <c r="D77" s="146">
        <f>Scenarios!C31</f>
        <v>5</v>
      </c>
      <c r="E77" s="136">
        <f>INDEX(B$65:F$71, MATCH(D77, A$65:A$71, 0), MATCH(C77, B$64:F$64, 0))</f>
        <v>7.1177048791412911</v>
      </c>
      <c r="F77" s="143">
        <f>Scenarios!C34*(1-F$74-F$78)</f>
        <v>0.18</v>
      </c>
      <c r="H77" s="121"/>
    </row>
    <row r="78" spans="1:8">
      <c r="B78" s="128" t="str">
        <f>Scenarios!B48</f>
        <v>Devil's advocate</v>
      </c>
      <c r="C78" s="143">
        <f>Scenarios!C50</f>
        <v>-0.15</v>
      </c>
      <c r="D78" s="146">
        <f>Scenarios!C49</f>
        <v>10</v>
      </c>
      <c r="E78" s="136">
        <f>INDEX(B$65:F$71, MATCH(D78, A$65:A$71, 0), MATCH(C78, B$64:F$64, 0))</f>
        <v>4.750704590932437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-5.94</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8.3597527152959561</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5.94</v>
      </c>
      <c r="D21" t="str">
        <f>Market_currency</f>
        <v>HKD</v>
      </c>
      <c r="E21" s="351"/>
      <c r="F21" s="351"/>
    </row>
    <row r="22" spans="2:6">
      <c r="B22" s="100" t="s">
        <v>281</v>
      </c>
      <c r="C22" s="161">
        <f>Valuation_Model!C12</f>
        <v>7.9964910643922096</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8.150461163827881</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7.1177048791412911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8.3067039602476669</v>
      </c>
      <c r="D39" t="str">
        <f>Market_currency</f>
        <v>HKD</v>
      </c>
      <c r="E39" s="349"/>
      <c r="F39" s="349"/>
    </row>
    <row r="40" spans="2:6">
      <c r="B40" s="100" t="s">
        <v>148</v>
      </c>
      <c r="C40" s="168">
        <f>1-C28-C34</f>
        <v>0.2</v>
      </c>
      <c r="D40" s="166"/>
      <c r="E40" s="349"/>
      <c r="F40" s="349"/>
    </row>
    <row r="42" spans="2:6" ht="13.15">
      <c r="B42" s="100" t="s">
        <v>121</v>
      </c>
      <c r="C42" s="155">
        <f>C27*C28+C33*C34+C39*C40</f>
        <v>7.9751584661745198</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4.750704590932437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10.052707115765562</v>
      </c>
      <c r="D57" t="str">
        <f>Market_currency</f>
        <v>HKD</v>
      </c>
      <c r="E57" s="349"/>
      <c r="F57" s="349"/>
    </row>
    <row r="58" spans="2:6">
      <c r="B58" s="100" t="s">
        <v>148</v>
      </c>
      <c r="C58" s="166">
        <v>0.05</v>
      </c>
      <c r="D58" s="166"/>
      <c r="E58" s="349"/>
      <c r="F58" s="349"/>
    </row>
    <row r="60" spans="2:6" ht="13.15">
      <c r="B60" s="100" t="s">
        <v>121</v>
      </c>
      <c r="C60" s="155">
        <f>C51*C52+C57*C58+C42*(1-C52-C58)</f>
        <v>7.9178132048919672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7.9218972488730435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3.603920439186147</v>
      </c>
      <c r="D82" s="117"/>
    </row>
    <row r="83" spans="2:8" ht="13.15">
      <c r="B83" s="111" t="s">
        <v>102</v>
      </c>
      <c r="C83" s="112">
        <f>C81+C82</f>
        <v>4.4065324767427771</v>
      </c>
      <c r="D83" t="str">
        <f>Market_currency</f>
        <v>HKD</v>
      </c>
      <c r="E83" s="147" t="s">
        <v>127</v>
      </c>
      <c r="F83" s="329">
        <f>(1-C83/C60)</f>
        <v>0.44346597188978509</v>
      </c>
    </row>
    <row r="84" spans="2:8">
      <c r="E84" s="121"/>
    </row>
    <row r="85" spans="2:8" ht="13.15">
      <c r="B85" s="109" t="s">
        <v>309</v>
      </c>
    </row>
    <row r="86" spans="2:8">
      <c r="B86" s="149" t="s">
        <v>307</v>
      </c>
      <c r="C86" s="266">
        <f>Market_Price</f>
        <v>5.94</v>
      </c>
      <c r="D86" t="str">
        <f>Market_currency</f>
        <v>HKD</v>
      </c>
    </row>
    <row r="87" spans="2:8" ht="13.15">
      <c r="B87" s="100" t="s">
        <v>305</v>
      </c>
      <c r="C87" s="265">
        <f ca="1">IRR(OFFSET($I$3, 0, 0, $C$76 + 1, 1))</f>
        <v>0.1686112219828888</v>
      </c>
    </row>
    <row r="88" spans="2:8">
      <c r="B88" s="100"/>
    </row>
    <row r="89" spans="2:8" ht="13.15">
      <c r="B89" s="109" t="s">
        <v>422</v>
      </c>
    </row>
    <row r="90" spans="2:8">
      <c r="B90" s="149" t="s">
        <v>423</v>
      </c>
      <c r="C90" s="168">
        <f>Thesis!E19</f>
        <v>0.2</v>
      </c>
    </row>
    <row r="91" spans="2:8">
      <c r="B91" s="100" t="s">
        <v>122</v>
      </c>
      <c r="C91" s="117">
        <f>PV(C90, C76, -C77, 0)</f>
        <v>0.93093739460099523</v>
      </c>
      <c r="D91" s="117"/>
      <c r="E91" s="100"/>
      <c r="F91" s="100"/>
    </row>
    <row r="92" spans="2:8">
      <c r="B92" s="100" t="s">
        <v>123</v>
      </c>
      <c r="C92" s="117">
        <f>C60/(1+C90)^C76</f>
        <v>4.5820678269050736</v>
      </c>
      <c r="D92" s="117"/>
    </row>
    <row r="93" spans="2:8" ht="13.15">
      <c r="B93" s="111" t="s">
        <v>102</v>
      </c>
      <c r="C93" s="112">
        <f>C91+C92</f>
        <v>5.5130052215060692</v>
      </c>
      <c r="D93" t="str">
        <f>Market_currency</f>
        <v>HKD</v>
      </c>
      <c r="E93" s="147" t="s">
        <v>127</v>
      </c>
      <c r="F93" s="329">
        <f>(1-C93/C60)</f>
        <v>0.30372123225894032</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6.2854154004184819</v>
      </c>
      <c r="D98" s="117"/>
      <c r="G98" s="2"/>
      <c r="H98" s="316"/>
    </row>
    <row r="99" spans="2:8" ht="13.15">
      <c r="B99" s="111" t="s">
        <v>406</v>
      </c>
      <c r="C99" s="112">
        <f>C97+C98</f>
        <v>7.4243363812264054</v>
      </c>
      <c r="D99" t="s">
        <v>404</v>
      </c>
      <c r="E99" s="147" t="s">
        <v>127</v>
      </c>
      <c r="F99" s="329">
        <f>(1-C99/C60)</f>
        <v>6.2324888311417914E-2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