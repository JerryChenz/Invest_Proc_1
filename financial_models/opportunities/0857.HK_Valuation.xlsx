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2DD37B7-B487-4EC2-9312-AF2A0EA4FB62}"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G119"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I50" i="2" s="1"/>
  <c r="I12" i="2" s="1"/>
  <c r="I80" i="2" s="1"/>
  <c r="J48" i="2"/>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<sst xmlns="http://schemas.openxmlformats.org/spreadsheetml/2006/main" count="589" uniqueCount="417">
  <si>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</si>
  <si>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</si>
  <si>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</si>
  <si>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</si>
  <si>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</si>
  <si>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</si>
  <si>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</si>
  <si>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</si>
  <si>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</si>
  <si>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</si>
  <si>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</si>
  <si>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</si>
  <si>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</si>
  <si>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</si>
  <si>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</si>
  <si>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</si>
  <si>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</si>
  <si>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</si>
  <si>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</si>
  <si>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</si>
  <si>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</si>
  <si>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</si>
  <si>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</si>
  <si>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</si>
  <si>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</si>
  <si>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</si>
  <si>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</si>
  <si>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</si>
  <si>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</si>
  <si>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</si>
  <si>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</si>
  <si>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</si>
  <si>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</si>
  <si>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</si>
  <si>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</si>
  <si>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</si>
  <si>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</si>
  <si>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</si>
  <si>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</si>
  <si>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</si>
  <si>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</si>
  <si>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</si>
  <si>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</si>
  <si>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</si>
  <si>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</si>
  <si>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</si>
  <si>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</si>
  <si>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</si>
  <si>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</si>
  <si>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</si>
  <si>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</si>
  <si>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</si>
  <si>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</si>
  <si>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</si>
  <si>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</si>
  <si>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</si>
  <si>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</si>
  <si>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</si>
  <si>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</si>
  <si>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</si>
  <si>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</si>
  <si>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</si>
  <si>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</si>
  <si>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</si>
  <si>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</si>
  <si>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</si>
  <si>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</si>
  <si>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</si>
  <si>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</si>
  <si>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</si>
  <si>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</si>
  <si>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</si>
  <si>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</si>
  <si>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</si>
  <si>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</si>
  <si>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</si>
  <si>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</si>
  <si>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</si>
  <si>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</si>
  <si>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</si>
  <si>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</si>
  <si>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</si>
  <si>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</si>
  <si>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</si>
  <si>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</si>
  <si>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</si>
  <si>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</si>
  <si>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</si>
  <si>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</si>
  <si>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</si>
  <si>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</si>
  <si>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</si>
  <si>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</si>
  <si>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</si>
  <si>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</si>
  <si>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</si>
  <si>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</si>
  <si>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</si>
  <si>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</si>
  <si>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</si>
  <si>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</si>
  <si>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</si>
  <si>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</si>
  <si>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</si>
  <si>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</si>
  <si>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</si>
  <si>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</si>
  <si>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</si>
  <si>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</si>
  <si>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</si>
  <si>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</si>
  <si>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</si>
  <si>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</si>
  <si>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</si>
  <si>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</si>
  <si>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</si>
  <si>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</si>
  <si>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</si>
  <si>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</si>
  <si>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</si>
  <si>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</si>
  <si>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</si>
  <si>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</si>
  <si>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</si>
  <si>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</si>
  <si>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</si>
  <si>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</si>
  <si>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</si>
  <si>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</si>
  <si>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</si>
  <si>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</si>
  <si>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</si>
  <si>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</si>
  <si>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</si>
  <si>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</si>
  <si>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</si>
  <si>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</si>
  <si>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</si>
  <si>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</si>
  <si>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</si>
  <si>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</si>
  <si>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</si>
  <si>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</si>
  <si>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</si>
  <si>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</si>
  <si>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</si>
  <si>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</si>
  <si>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</si>
  <si>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</si>
  <si>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</si>
  <si>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</si>
  <si>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</si>
  <si>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</si>
  <si>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</si>
  <si>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</si>
  <si>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</si>
  <si>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</si>
  <si>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</si>
  <si>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</si>
  <si>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</si>
  <si>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</si>
  <si>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</si>
  <si>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</si>
  <si>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</si>
  <si>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</si>
  <si>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</si>
  <si>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</si>
  <si>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</si>
  <si>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</si>
  <si>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</si>
  <si>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</si>
  <si>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</si>
  <si>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</si>
  <si>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</si>
  <si>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</si>
  <si>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</si>
  <si>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</si>
  <si>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</si>
  <si>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</si>
  <si>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</si>
  <si>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</si>
  <si>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</si>
  <si>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</si>
  <si>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</si>
  <si>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</si>
  <si>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</si>
  <si>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</si>
  <si>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</si>
  <si>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</si>
  <si>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</si>
  <si>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</si>
  <si>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</si>
  <si>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</si>
  <si>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</si>
  <si>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</si>
  <si>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</si>
  <si>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</si>
  <si>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</si>
  <si>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</si>
  <si>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</si>
  <si>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</si>
  <si>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</si>
  <si>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</si>
  <si>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</si>
  <si>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</si>
  <si>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</si>
  <si>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</si>
  <si>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</si>
  <si>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</si>
  <si>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</si>
  <si>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</si>
  <si>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</si>
  <si>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</si>
  <si>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</si>
  <si>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</si>
  <si>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</si>
  <si>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</si>
  <si>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</si>
  <si>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</si>
  <si>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</si>
  <si>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</si>
  <si>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</si>
  <si>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</si>
  <si>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</si>
  <si>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</si>
  <si>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</si>
  <si>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</si>
  <si>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</si>
  <si>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</si>
  <si>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</si>
  <si>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</si>
  <si>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</si>
  <si>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</si>
  <si>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</si>
  <si>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</si>
  <si>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</si>
  <si>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</si>
  <si>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</si>
  <si>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</si>
  <si>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</si>
  <si>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</si>
  <si>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</si>
  <si>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</si>
  <si>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</si>
  <si>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</si>
  <si>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</si>
  <si>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</si>
  <si>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</si>
  <si>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</si>
  <si>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</si>
  <si>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</si>
  <si>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</si>
  <si>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</si>
  <si>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</si>
  <si>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</si>
  <si>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</si>
  <si>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</si>
  <si>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</si>
  <si>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</si>
  <si>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</si>
  <si>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</si>
  <si>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</si>
  <si>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</si>
  <si>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</si>
  <si>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</si>
  <si>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</si>
  <si>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</si>
  <si>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</si>
  <si>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</si>
  <si>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</si>
  <si>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</si>
  <si>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</si>
  <si>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</si>
  <si>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</si>
  <si>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</si>
  <si>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</si>
  <si>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</si>
  <si>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</si>
  <si>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</si>
  <si>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</si>
  <si>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</si>
  <si>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</si>
  <si>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</si>
  <si>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</si>
  <si>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</si>
  <si>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</si>
  <si>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</si>
  <si>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</si>
  <si>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</si>
  <si>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</si>
  <si>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</si>
  <si>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</si>
  <si>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</si>
  <si>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</si>
  <si>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</si>
  <si>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</si>
  <si>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</si>
  <si>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</si>
  <si>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</si>
  <si>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</si>
  <si>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</si>
  <si>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</si>
  <si>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</si>
  <si>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</si>
  <si>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</si>
  <si>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</si>
  <si>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</si>
  <si>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</si>
  <si>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</si>
  <si>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</si>
  <si>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</si>
  <si>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</si>
  <si>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</si>
  <si>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</si>
  <si>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</si>
  <si>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</si>
  <si>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</si>
  <si>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</si>
  <si>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</si>
  <si>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</si>
  <si>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</si>
  <si>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</si>
  <si>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</si>
  <si>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</si>
  <si>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</si>
  <si>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</si>
  <si>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</si>
  <si>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</si>
  <si>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</si>
  <si>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</si>
  <si>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</si>
  <si>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</si>
  <si>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</si>
  <si>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</si>
  <si>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</si>
  <si>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</si>
  <si>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</si>
  <si>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</si>
  <si>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</si>
  <si>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</si>
  <si>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</si>
  <si>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</si>
  <si>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</si>
  <si>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</si>
  <si>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</si>
  <si>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</si>
  <si>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</si>
  <si>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</si>
  <si>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</si>
  <si>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</si>
  <si>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</si>
  <si>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</si>
  <si>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</si>
  <si>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</si>
  <si>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</si>
  <si>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</si>
  <si>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</si>
  <si>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</si>
  <si>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</si>
  <si>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</si>
  <si>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</si>
  <si>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</si>
  <si>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</si>
  <si>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</si>
  <si>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</si>
  <si>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</si>
  <si>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</si>
  <si>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</si>
  <si>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</si>
  <si>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</si>
  <si>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</si>
  <si>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</si>
  <si>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</si>
  <si>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</si>
  <si>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</si>
  <si>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</si>
  <si>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</si>
  <si>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</si>
  <si>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</si>
  <si>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</si>
  <si>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</si>
  <si>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</si>
  <si>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</si>
  <si>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</si>
  <si>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</si>
  <si>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</si>
  <si>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</si>
  <si>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</si>
  <si>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</si>
  <si>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</si>
  <si>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</si>
  <si>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</si>
  <si>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</si>
  <si>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</si>
  <si>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</si>
  <si>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</si>
  <si>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</si>
  <si>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</si>
  <si>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</si>
  <si>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</si>
  <si>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</si>
  <si>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</si>
  <si>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</si>
  <si>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</si>
  <si>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</si>
  <si>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</si>
  <si>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</si>
  <si>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</si>
  <si>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</si>
  <si>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</si>
  <si>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</si>
  <si>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</si>
  <si>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</si>
  <si>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中国石油股份</t>
    <phoneticPr fontId="2" type="noConversion"/>
  </si>
  <si>
    <t>0857.HK</t>
    <phoneticPr fontId="2" type="noConversion"/>
  </si>
  <si>
    <t>ENG_01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</si>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</sst>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327</v>
      </c>
      <c r="C5" s="333" t="s">
        <v>413</v>
      </c>
      <c r="D5" s="49" t="s">
        <v>414</v>
      </c>
    </row>
    <row r="6" spans="1:10" x14ac:dyDescent="0.35">
      <c r="B6" s="4" t="s">
        <v>96</v>
      </c>
      <c r="C6" s="50">
        <v>5.82</v>
      </c>
      <c r="D6" s="48" t="s">
        <v>41</v>
      </c>
      <c r="E6" s="48"/>
    </row>
    <row r="7" spans="1:10" x14ac:dyDescent="0.35">
      <c r="B7" s="4" t="s">
        <v>0</v>
      </c>
      <c r="C7" s="51">
        <v>183020977818</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1065182.0909007599</v>
      </c>
      <c r="D10" s="32"/>
      <c r="E10" s="5"/>
    </row>
    <row r="11" spans="1:10" x14ac:dyDescent="0.35">
      <c r="D11" s="5"/>
      <c r="E11" s="5"/>
    </row>
    <row r="12" spans="1:10" ht="24.4" customHeight="1" x14ac:dyDescent="0.35">
      <c r="B12" s="338" t="s">
        <v>375</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Negative Growth </v>
      </c>
      <c r="E15" s="5"/>
    </row>
    <row r="16" spans="1:10" x14ac:dyDescent="0.35">
      <c r="B16" s="4" t="s">
        <v>360</v>
      </c>
      <c r="C16" s="48" t="s">
        <v>407</v>
      </c>
      <c r="D16" s="32"/>
      <c r="E16" s="5"/>
    </row>
    <row r="17" spans="1:6" x14ac:dyDescent="0.35">
      <c r="B17" s="4" t="s">
        <v>1</v>
      </c>
      <c r="C17" s="50">
        <v>1.0653656200000001</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4.9100950691878094</v>
      </c>
      <c r="D20" s="1" t="s">
        <v>319</v>
      </c>
      <c r="E20" s="330">
        <v>3</v>
      </c>
    </row>
    <row r="21" spans="1:6" x14ac:dyDescent="0.35">
      <c r="B21" s="1" t="s">
        <v>374</v>
      </c>
      <c r="C21" s="280">
        <f ca="1">Scenarios!C87</f>
        <v>0.17654933116845006</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247357.8376927129</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243208.99999999997</v>
      </c>
      <c r="D33" s="1" t="str">
        <f>Reporting_currency</f>
        <v>CNY</v>
      </c>
    </row>
    <row r="34" spans="2:6" x14ac:dyDescent="0.35">
      <c r="B34" s="52" t="s">
        <v>237</v>
      </c>
      <c r="C34" s="188">
        <f>Normalized_FCF!C10</f>
        <v>-283919.19056768838</v>
      </c>
      <c r="D34" s="1" t="str">
        <f>Reporting_currency</f>
        <v>CNY</v>
      </c>
    </row>
    <row r="36" spans="2:6" x14ac:dyDescent="0.35">
      <c r="B36" s="339" t="s">
        <v>238</v>
      </c>
      <c r="C36" s="339"/>
      <c r="D36" s="339"/>
      <c r="E36" s="339"/>
      <c r="F36" s="339"/>
    </row>
    <row r="37" spans="2:6" x14ac:dyDescent="0.35">
      <c r="B37" s="47" t="s">
        <v>239</v>
      </c>
      <c r="C37" s="188">
        <f>Normalized_FCF!C11</f>
        <v>18644</v>
      </c>
      <c r="D37" s="1" t="str">
        <f>Reporting_currency</f>
        <v>CNY</v>
      </c>
    </row>
    <row r="39" spans="2:6" x14ac:dyDescent="0.35">
      <c r="B39" s="339" t="s">
        <v>242</v>
      </c>
      <c r="C39" s="339"/>
      <c r="D39" s="339"/>
      <c r="E39" s="339"/>
      <c r="F39" s="339"/>
    </row>
    <row r="40" spans="2:6" x14ac:dyDescent="0.35">
      <c r="B40" s="47" t="s">
        <v>353</v>
      </c>
      <c r="C40" s="322">
        <f>Normalized_FCF!C48</f>
        <v>8793.8666926784372</v>
      </c>
      <c r="D40" s="1" t="str">
        <f>Reporting_currency</f>
        <v>CNY</v>
      </c>
      <c r="E40" s="321"/>
      <c r="F40" s="321"/>
    </row>
    <row r="41" spans="2:6" x14ac:dyDescent="0.35">
      <c r="B41" s="47" t="s">
        <v>354</v>
      </c>
      <c r="C41" s="322">
        <f>Normalized_FCF!C47</f>
        <v>-20731</v>
      </c>
      <c r="D41" s="1" t="str">
        <f>Reporting_currency</f>
        <v>CNY</v>
      </c>
      <c r="E41" s="321"/>
      <c r="F41" s="321"/>
    </row>
    <row r="42" spans="2:6" x14ac:dyDescent="0.35">
      <c r="B42" s="47" t="s">
        <v>240</v>
      </c>
      <c r="C42" s="188">
        <f>Normalized_FCF!C12</f>
        <v>-11937.133307321563</v>
      </c>
      <c r="D42" s="1" t="str">
        <f>Reporting_currency</f>
        <v>CNY</v>
      </c>
    </row>
    <row r="44" spans="2:6" x14ac:dyDescent="0.35">
      <c r="B44" s="1" t="s">
        <v>248</v>
      </c>
    </row>
    <row r="45" spans="2:6" x14ac:dyDescent="0.35">
      <c r="B45" s="47" t="s">
        <v>268</v>
      </c>
      <c r="C45" s="188">
        <f>Normalized_FCF!C15</f>
        <v>-17915.118234001515</v>
      </c>
      <c r="D45" s="1" t="str">
        <f>Reporting_currency</f>
        <v>CNY</v>
      </c>
    </row>
    <row r="47" spans="2:6" x14ac:dyDescent="0.35">
      <c r="B47" s="339" t="s">
        <v>243</v>
      </c>
      <c r="C47" s="339"/>
      <c r="D47" s="339"/>
      <c r="E47" s="339"/>
      <c r="F47" s="339"/>
    </row>
    <row r="48" spans="2:6" x14ac:dyDescent="0.35">
      <c r="B48" s="47" t="s">
        <v>241</v>
      </c>
      <c r="C48" s="188">
        <f>Normalized_FCF!C14</f>
        <v>-63516.176096347837</v>
      </c>
      <c r="D48" s="1" t="str">
        <f>Reporting_currency</f>
        <v>CNY</v>
      </c>
    </row>
    <row r="50" spans="1:6" x14ac:dyDescent="0.35">
      <c r="B50" s="339" t="s">
        <v>351</v>
      </c>
      <c r="C50" s="340"/>
      <c r="D50" s="340"/>
      <c r="E50" s="340"/>
      <c r="F50" s="340"/>
    </row>
    <row r="51" spans="1:6" x14ac:dyDescent="0.35">
      <c r="B51" s="47" t="s">
        <v>244</v>
      </c>
      <c r="C51" s="1">
        <f>Normalized_FCF!C17</f>
        <v>0</v>
      </c>
      <c r="D51" s="1" t="str">
        <f>Reporting_currency</f>
        <v>CNY</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418605.86669267842</v>
      </c>
      <c r="D56" s="1" t="str">
        <f>Reporting_currency</f>
        <v>CNY</v>
      </c>
    </row>
    <row r="57" spans="1:6" x14ac:dyDescent="0.35">
      <c r="B57" s="47" t="s">
        <v>250</v>
      </c>
      <c r="C57" s="188">
        <f>Normalized_FCF!C19</f>
        <v>131923.21948735364</v>
      </c>
      <c r="D57" s="1" t="str">
        <f>Reporting_currency</f>
        <v>CNY</v>
      </c>
    </row>
    <row r="58" spans="1:6" x14ac:dyDescent="0.35">
      <c r="B58" s="254" t="s">
        <v>406</v>
      </c>
      <c r="C58" s="92">
        <f>Normalized_FCF!C125</f>
        <v>0.13194594963823414</v>
      </c>
    </row>
    <row r="59" spans="1:6" x14ac:dyDescent="0.35">
      <c r="B59" s="254" t="s">
        <v>320</v>
      </c>
      <c r="C59" s="92">
        <f>Normalized_FCF!C93</f>
        <v>7.5934623780754121E-2</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9.5990678361815327</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279749</v>
      </c>
      <c r="D86" s="1" t="str">
        <f>Reporting_currency</f>
        <v>CNY</v>
      </c>
    </row>
    <row r="87" spans="2:6" x14ac:dyDescent="0.35">
      <c r="B87" s="47" t="s">
        <v>288</v>
      </c>
      <c r="C87" s="248">
        <f>C86*C28*Exchange_Rate/Common_Shares</f>
        <v>1.6284197056675787</v>
      </c>
      <c r="D87" s="1" t="str">
        <f>Market_currency</f>
        <v>HKD</v>
      </c>
    </row>
    <row r="89" spans="2:6" x14ac:dyDescent="0.35">
      <c r="B89" s="1" t="s">
        <v>256</v>
      </c>
    </row>
    <row r="90" spans="2:6" x14ac:dyDescent="0.35">
      <c r="B90" s="47" t="s">
        <v>267</v>
      </c>
      <c r="C90" s="188">
        <f>BS!C66</f>
        <v>216246</v>
      </c>
      <c r="D90" s="1" t="str">
        <f>Reporting_currency</f>
        <v>CNY</v>
      </c>
    </row>
    <row r="91" spans="2:6" x14ac:dyDescent="0.35">
      <c r="B91" s="47" t="s">
        <v>269</v>
      </c>
      <c r="C91" s="188">
        <f>Valuation_Model!C8</f>
        <v>126.15719684722717</v>
      </c>
      <c r="D91" s="1" t="str">
        <f>Reporting_currency</f>
        <v>CNY</v>
      </c>
    </row>
    <row r="92" spans="2:6" x14ac:dyDescent="0.35">
      <c r="B92" s="47" t="s">
        <v>289</v>
      </c>
      <c r="C92" s="248">
        <f>C91*C28*Exchange_Rate/Common_Shares</f>
        <v>7.3436139309812892E-4</v>
      </c>
      <c r="D92" s="1" t="str">
        <f>Market_currency</f>
        <v>HKD</v>
      </c>
    </row>
    <row r="94" spans="2:6" x14ac:dyDescent="0.35">
      <c r="B94" s="1" t="s">
        <v>258</v>
      </c>
    </row>
    <row r="95" spans="2:6" x14ac:dyDescent="0.35">
      <c r="B95" s="47" t="s">
        <v>259</v>
      </c>
      <c r="C95" s="188">
        <f>Valuation_Model!C9</f>
        <v>2113.7999999999997</v>
      </c>
      <c r="D95" s="1" t="str">
        <f>Reporting_currency</f>
        <v>CNY</v>
      </c>
    </row>
    <row r="96" spans="2:6" x14ac:dyDescent="0.35">
      <c r="B96" s="47" t="s">
        <v>290</v>
      </c>
      <c r="C96" s="248">
        <f>C95*C28*Exchange_Rate/Common_Shares</f>
        <v>1.230443566854619E-2</v>
      </c>
      <c r="D96" s="1" t="str">
        <f>Market_currency</f>
        <v>HKD</v>
      </c>
    </row>
    <row r="98" spans="1:6" ht="24.4" customHeight="1" x14ac:dyDescent="0.35">
      <c r="B98" s="338" t="s">
        <v>382</v>
      </c>
      <c r="C98" s="338"/>
      <c r="D98" s="338"/>
      <c r="E98" s="338"/>
      <c r="F98" s="338"/>
    </row>
    <row r="100" spans="1:6" x14ac:dyDescent="0.35">
      <c r="B100" s="47" t="s">
        <v>286</v>
      </c>
      <c r="C100" s="248">
        <f>Valuation_Model!C12</f>
        <v>7.9836869275755991</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10.04 HKD</v>
      </c>
      <c r="F107" s="259">
        <f>Valuation_Model!F74</f>
        <v>0.05</v>
      </c>
    </row>
    <row r="108" spans="1:6" x14ac:dyDescent="0.35">
      <c r="B108" s="242" t="str">
        <f>Valuation_Model!B75</f>
        <v>Optimistic</v>
      </c>
      <c r="C108" s="243">
        <f>Valuation_Model!C75</f>
        <v>0.02</v>
      </c>
      <c r="D108" s="244">
        <f>Valuation_Model!D75</f>
        <v>5</v>
      </c>
      <c r="E108" s="245" t="str">
        <f>ROUND(Valuation_Model!E75,2)&amp;" "&amp;Market_currency</f>
        <v>8.29 HKD</v>
      </c>
      <c r="F108" s="246">
        <f>Valuation_Model!F75</f>
        <v>0.18</v>
      </c>
    </row>
    <row r="109" spans="1:6" x14ac:dyDescent="0.35">
      <c r="B109" s="242" t="str">
        <f>Valuation_Model!B76</f>
        <v>Base</v>
      </c>
      <c r="C109" s="243">
        <f>Valuation_Model!C76</f>
        <v>0.01</v>
      </c>
      <c r="D109" s="244">
        <f>Valuation_Model!D76</f>
        <v>5</v>
      </c>
      <c r="E109" s="245" t="str">
        <f>ROUND(Valuation_Model!E76,2)&amp;" "&amp;Market_currency</f>
        <v>8.14 HKD</v>
      </c>
      <c r="F109" s="246">
        <f>Valuation_Model!F76</f>
        <v>0.53999999999999992</v>
      </c>
    </row>
    <row r="110" spans="1:6" x14ac:dyDescent="0.35">
      <c r="B110" s="242" t="str">
        <f>Valuation_Model!B77</f>
        <v>Pessimistic</v>
      </c>
      <c r="C110" s="243">
        <f>Valuation_Model!C77</f>
        <v>-0.06</v>
      </c>
      <c r="D110" s="244">
        <f>Valuation_Model!D77</f>
        <v>5</v>
      </c>
      <c r="E110" s="245" t="str">
        <f>ROUND(Valuation_Model!E77,2)&amp;" "&amp;Market_currency</f>
        <v>7.11 HKD</v>
      </c>
      <c r="F110" s="246">
        <f>Valuation_Model!F77</f>
        <v>0.18</v>
      </c>
    </row>
    <row r="111" spans="1:6" x14ac:dyDescent="0.35">
      <c r="B111" s="242" t="str">
        <f>Valuation_Model!B78</f>
        <v>Devil's advocate</v>
      </c>
      <c r="C111" s="243">
        <f>Valuation_Model!C78</f>
        <v>-0.15</v>
      </c>
      <c r="D111" s="244">
        <f>Valuation_Model!D78</f>
        <v>10</v>
      </c>
      <c r="E111" s="245" t="str">
        <f>ROUND(Valuation_Model!E78,2)&amp;" "&amp;Market_currency</f>
        <v>4.74 HKD</v>
      </c>
      <c r="F111" s="246">
        <f>Valuation_Model!F78</f>
        <v>0.05</v>
      </c>
    </row>
    <row r="113" spans="1:6" x14ac:dyDescent="0.35">
      <c r="B113" s="235" t="s">
        <v>260</v>
      </c>
      <c r="C113" s="241">
        <f>Scenarios!C60</f>
        <v>7.905135048592232</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0.44193951040398899</v>
      </c>
      <c r="D124" s="236" t="str">
        <f>Market_currency</f>
        <v>HKD</v>
      </c>
    </row>
    <row r="126" spans="1:6" x14ac:dyDescent="0.35">
      <c r="B126" s="234" t="s">
        <v>265</v>
      </c>
    </row>
    <row r="127" spans="1:6" x14ac:dyDescent="0.35">
      <c r="B127" s="236" t="str">
        <f>"PV("&amp;C122&amp;" yrs of Dividends)"</f>
        <v>PV(3 yrs of Dividends)</v>
      </c>
      <c r="C127" s="240">
        <f>Scenarios!C81</f>
        <v>0.86266592430858646</v>
      </c>
    </row>
    <row r="128" spans="1:6" x14ac:dyDescent="0.35">
      <c r="B128" s="236" t="str">
        <f>"+ PV(Equity Value realized at year "&amp;C122&amp;")"</f>
        <v>+ PV(Equity Value realized at year 3)</v>
      </c>
      <c r="C128" s="240">
        <f>Scenarios!C82</f>
        <v>4.0474291448792226</v>
      </c>
    </row>
    <row r="129" spans="1:6" x14ac:dyDescent="0.35">
      <c r="B129" s="80" t="s">
        <v>262</v>
      </c>
      <c r="C129" s="239">
        <f>Scenarios!C83</f>
        <v>4.9100950691878094</v>
      </c>
      <c r="D129" s="47" t="str">
        <f>Reporting_currency</f>
        <v>CNY</v>
      </c>
    </row>
    <row r="130" spans="1:6" x14ac:dyDescent="0.35">
      <c r="B130" s="238" t="s">
        <v>264</v>
      </c>
      <c r="C130" s="92">
        <f>Scenarios!F83</f>
        <v>0.3788727151394824</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2937981</v>
      </c>
      <c r="D4" s="181">
        <v>3011012</v>
      </c>
      <c r="E4" s="181">
        <v>3239167</v>
      </c>
      <c r="F4" s="181">
        <v>1851487</v>
      </c>
      <c r="G4" s="181">
        <v>1729735</v>
      </c>
      <c r="H4" s="181"/>
      <c r="I4" s="181"/>
      <c r="J4" s="181"/>
      <c r="K4" s="181"/>
      <c r="L4" s="181"/>
      <c r="M4" s="181"/>
    </row>
    <row r="5" spans="2:13" x14ac:dyDescent="0.35">
      <c r="B5" s="40" t="s">
        <v>44</v>
      </c>
      <c r="C5" s="181">
        <f>2275223</f>
        <v>2275223</v>
      </c>
      <c r="D5" s="181">
        <v>2302385</v>
      </c>
      <c r="E5" s="181">
        <v>2527935</v>
      </c>
      <c r="F5" s="181">
        <v>1379524</v>
      </c>
      <c r="G5" s="181">
        <v>1278781</v>
      </c>
      <c r="H5" s="181"/>
      <c r="I5" s="181"/>
      <c r="J5" s="181"/>
      <c r="K5" s="181"/>
      <c r="L5" s="181"/>
      <c r="M5" s="181"/>
    </row>
    <row r="6" spans="2:13" x14ac:dyDescent="0.35">
      <c r="B6" s="40" t="s">
        <v>55</v>
      </c>
      <c r="C6" s="181">
        <f>266012+65026+C7</f>
        <v>394228</v>
      </c>
      <c r="D6" s="181">
        <v>420298</v>
      </c>
      <c r="E6" s="181">
        <v>395706</v>
      </c>
      <c r="F6" s="181">
        <v>296185</v>
      </c>
      <c r="G6" s="181">
        <v>285968</v>
      </c>
      <c r="H6" s="181"/>
      <c r="I6" s="181"/>
      <c r="J6" s="181"/>
      <c r="K6" s="181"/>
      <c r="L6" s="181"/>
      <c r="M6" s="181"/>
    </row>
    <row r="7" spans="2:13" x14ac:dyDescent="0.35">
      <c r="B7" s="69" t="s">
        <v>62</v>
      </c>
      <c r="C7" s="189">
        <v>63190</v>
      </c>
      <c r="D7" s="189">
        <v>70260</v>
      </c>
      <c r="E7" s="189">
        <v>68352</v>
      </c>
      <c r="F7" s="189">
        <v>48552</v>
      </c>
      <c r="G7" s="189">
        <v>47670</v>
      </c>
      <c r="H7" s="189"/>
      <c r="I7" s="189"/>
      <c r="J7" s="189"/>
      <c r="K7" s="189"/>
      <c r="L7" s="189"/>
      <c r="M7" s="189"/>
    </row>
    <row r="8" spans="2:13" x14ac:dyDescent="0.35">
      <c r="B8" s="40" t="s">
        <v>50</v>
      </c>
      <c r="C8" s="181">
        <v>23014</v>
      </c>
      <c r="D8" s="181">
        <v>21957</v>
      </c>
      <c r="E8" s="181">
        <v>20016</v>
      </c>
      <c r="F8" s="181">
        <v>16796</v>
      </c>
      <c r="G8" s="181">
        <v>15217</v>
      </c>
      <c r="H8" s="181"/>
      <c r="I8" s="181"/>
      <c r="J8" s="181"/>
      <c r="K8" s="181"/>
      <c r="L8" s="181"/>
      <c r="M8" s="181"/>
    </row>
    <row r="9" spans="2:13" x14ac:dyDescent="0.35">
      <c r="B9" s="40" t="s">
        <v>161</v>
      </c>
      <c r="C9" s="181">
        <v>18644</v>
      </c>
      <c r="D9" s="181">
        <v>18538</v>
      </c>
      <c r="E9" s="181">
        <v>15251</v>
      </c>
      <c r="F9" s="181">
        <v>12877</v>
      </c>
      <c r="G9" s="181">
        <v>11296</v>
      </c>
      <c r="H9" s="181"/>
      <c r="I9" s="181"/>
      <c r="J9" s="181"/>
      <c r="K9" s="181"/>
      <c r="L9" s="181"/>
      <c r="M9" s="181"/>
    </row>
    <row r="10" spans="2:13" x14ac:dyDescent="0.35">
      <c r="B10" s="40" t="s">
        <v>169</v>
      </c>
      <c r="C10" s="181"/>
      <c r="D10" s="181">
        <v>0</v>
      </c>
      <c r="E10" s="181">
        <v>0</v>
      </c>
      <c r="F10" s="181">
        <v>0</v>
      </c>
      <c r="G10" s="181">
        <v>0</v>
      </c>
      <c r="H10" s="181"/>
      <c r="I10" s="181"/>
      <c r="J10" s="181"/>
      <c r="K10" s="181"/>
      <c r="L10" s="181"/>
      <c r="M10" s="181"/>
    </row>
    <row r="11" spans="2:13" x14ac:dyDescent="0.35">
      <c r="B11" s="40" t="s">
        <v>160</v>
      </c>
      <c r="C11" s="181"/>
      <c r="D11" s="181">
        <v>0</v>
      </c>
      <c r="E11" s="181">
        <v>0</v>
      </c>
      <c r="F11" s="181">
        <v>0</v>
      </c>
      <c r="G11" s="181">
        <v>0</v>
      </c>
      <c r="H11" s="181"/>
      <c r="I11" s="181"/>
      <c r="J11" s="181"/>
      <c r="K11" s="181"/>
      <c r="L11" s="181"/>
      <c r="M11" s="181"/>
    </row>
    <row r="12" spans="2:13" x14ac:dyDescent="0.35">
      <c r="B12" s="40" t="s">
        <v>39</v>
      </c>
      <c r="C12" s="181">
        <v>20731</v>
      </c>
      <c r="D12" s="181">
        <v>24063</v>
      </c>
      <c r="E12" s="181">
        <v>21554</v>
      </c>
      <c r="F12" s="181">
        <v>14912</v>
      </c>
      <c r="G12" s="181">
        <v>15097</v>
      </c>
      <c r="H12" s="181"/>
      <c r="I12" s="181"/>
      <c r="J12" s="181"/>
      <c r="K12" s="181"/>
      <c r="L12" s="181"/>
      <c r="M12" s="181"/>
    </row>
    <row r="13" spans="2:13" x14ac:dyDescent="0.35">
      <c r="B13" s="40" t="s">
        <v>68</v>
      </c>
      <c r="C13" s="181">
        <v>8799</v>
      </c>
      <c r="D13" s="181">
        <v>8265</v>
      </c>
      <c r="E13" s="181">
        <v>4738</v>
      </c>
      <c r="F13" s="181">
        <v>1960</v>
      </c>
      <c r="G13" s="181">
        <v>1732</v>
      </c>
      <c r="H13" s="181"/>
      <c r="I13" s="181"/>
      <c r="J13" s="181"/>
      <c r="K13" s="181"/>
      <c r="L13" s="181"/>
      <c r="M13" s="181"/>
    </row>
    <row r="14" spans="2:13" x14ac:dyDescent="0.35">
      <c r="B14" s="40" t="s">
        <v>51</v>
      </c>
      <c r="C14" s="181">
        <v>57755</v>
      </c>
      <c r="D14" s="181">
        <v>57167</v>
      </c>
      <c r="E14" s="181">
        <v>49929</v>
      </c>
      <c r="F14" s="181">
        <v>24138</v>
      </c>
      <c r="G14" s="181">
        <v>17067</v>
      </c>
      <c r="H14" s="181"/>
      <c r="I14" s="181"/>
      <c r="J14" s="181"/>
      <c r="K14" s="181"/>
      <c r="L14" s="181"/>
      <c r="M14" s="181"/>
    </row>
    <row r="15" spans="2:13" x14ac:dyDescent="0.35">
      <c r="B15" s="43" t="s">
        <v>43</v>
      </c>
      <c r="C15" s="182">
        <v>183747</v>
      </c>
      <c r="D15" s="182">
        <v>180561</v>
      </c>
      <c r="E15" s="182">
        <v>163343</v>
      </c>
      <c r="F15" s="182">
        <v>132394</v>
      </c>
      <c r="G15" s="182">
        <v>129018</v>
      </c>
      <c r="H15" s="182"/>
      <c r="I15" s="182"/>
      <c r="J15" s="182"/>
      <c r="K15" s="182"/>
      <c r="L15" s="182"/>
      <c r="M15" s="182"/>
    </row>
    <row r="16" spans="2:13" x14ac:dyDescent="0.35">
      <c r="B16" s="28" t="s">
        <v>45</v>
      </c>
      <c r="C16" s="181">
        <v>19071</v>
      </c>
      <c r="D16" s="181">
        <v>19147</v>
      </c>
      <c r="E16" s="181">
        <v>14605</v>
      </c>
      <c r="F16" s="181">
        <v>0</v>
      </c>
      <c r="G16" s="181">
        <v>0</v>
      </c>
      <c r="H16" s="181"/>
      <c r="I16" s="181"/>
      <c r="J16" s="181"/>
      <c r="K16" s="181"/>
      <c r="L16" s="181"/>
      <c r="M16" s="181"/>
    </row>
    <row r="18" spans="2:13" x14ac:dyDescent="0.35">
      <c r="B18" s="16" t="s">
        <v>52</v>
      </c>
      <c r="C18" s="9"/>
    </row>
    <row r="19" spans="2:13" x14ac:dyDescent="0.35">
      <c r="B19" s="27" t="s">
        <v>48</v>
      </c>
      <c r="C19" s="181">
        <v>243209</v>
      </c>
      <c r="D19" s="181">
        <v>229584</v>
      </c>
      <c r="E19" s="181">
        <v>222648</v>
      </c>
      <c r="F19" s="181">
        <v>238036</v>
      </c>
      <c r="G19" s="181">
        <v>236818</v>
      </c>
      <c r="H19" s="181"/>
      <c r="I19" s="181"/>
      <c r="J19" s="181"/>
      <c r="K19" s="181"/>
      <c r="L19" s="181"/>
      <c r="M19" s="181"/>
    </row>
    <row r="20" spans="2:13" x14ac:dyDescent="0.35">
      <c r="B20" s="27" t="s">
        <v>54</v>
      </c>
      <c r="C20" s="181"/>
      <c r="D20" s="181">
        <v>115297</v>
      </c>
      <c r="E20" s="181">
        <v>282508</v>
      </c>
      <c r="F20" s="181">
        <v>245237</v>
      </c>
      <c r="G20" s="181">
        <v>265563</v>
      </c>
      <c r="H20" s="181"/>
      <c r="I20" s="181"/>
      <c r="J20" s="181"/>
      <c r="K20" s="181"/>
      <c r="L20" s="181"/>
      <c r="M20" s="181"/>
    </row>
    <row r="21" spans="2:13" x14ac:dyDescent="0.35">
      <c r="B21" s="27" t="s">
        <v>53</v>
      </c>
      <c r="C21" s="181"/>
      <c r="D21" s="181">
        <v>31061</v>
      </c>
      <c r="E21" s="181">
        <v>3456</v>
      </c>
      <c r="F21" s="181">
        <v>46237</v>
      </c>
      <c r="G21" s="181">
        <v>34899</v>
      </c>
      <c r="H21" s="181"/>
      <c r="I21" s="181"/>
      <c r="J21" s="181"/>
      <c r="K21" s="181"/>
      <c r="L21" s="181"/>
      <c r="M21" s="181"/>
    </row>
    <row r="22" spans="2:13" x14ac:dyDescent="0.35">
      <c r="B22" s="27" t="s">
        <v>387</v>
      </c>
      <c r="C22" s="181">
        <v>406532</v>
      </c>
      <c r="D22" s="181">
        <v>456596</v>
      </c>
      <c r="E22" s="181">
        <v>393768</v>
      </c>
      <c r="F22" s="181">
        <v>276599</v>
      </c>
      <c r="G22" s="181">
        <v>256657</v>
      </c>
      <c r="H22" s="181"/>
      <c r="I22" s="181"/>
      <c r="J22" s="181"/>
      <c r="K22" s="181"/>
      <c r="L22" s="181"/>
      <c r="M22" s="181"/>
    </row>
    <row r="23" spans="2:13" x14ac:dyDescent="0.35">
      <c r="B23" s="27" t="s">
        <v>389</v>
      </c>
      <c r="C23" s="181">
        <v>-307347</v>
      </c>
      <c r="D23" s="181">
        <v>-255789</v>
      </c>
      <c r="E23" s="181">
        <v>-232971</v>
      </c>
      <c r="F23" s="181">
        <v>-149026</v>
      </c>
      <c r="G23" s="181">
        <v>-140250</v>
      </c>
      <c r="H23" s="181"/>
      <c r="I23" s="181"/>
      <c r="J23" s="181"/>
      <c r="K23" s="181"/>
      <c r="L23" s="181"/>
      <c r="M23" s="181"/>
    </row>
    <row r="24" spans="2:13" x14ac:dyDescent="0.35">
      <c r="B24" s="27" t="s">
        <v>388</v>
      </c>
      <c r="C24" s="181">
        <v>-178876</v>
      </c>
      <c r="D24" s="181">
        <v>-146572</v>
      </c>
      <c r="E24" s="181">
        <v>-113713</v>
      </c>
      <c r="F24" s="181">
        <v>-135729</v>
      </c>
      <c r="G24" s="181">
        <v>-79554</v>
      </c>
      <c r="H24" s="181"/>
      <c r="I24" s="181"/>
      <c r="J24" s="181"/>
      <c r="K24" s="181"/>
      <c r="L24" s="181"/>
      <c r="M24" s="181"/>
    </row>
    <row r="25" spans="2:13" x14ac:dyDescent="0.35">
      <c r="B25" s="24" t="str">
        <f>"Dividend per share ("&amp;Market_currency&amp;")"</f>
        <v>Dividend per share (HKD)</v>
      </c>
      <c r="C25" s="39">
        <v>0.44193951040398899</v>
      </c>
      <c r="D25" s="39">
        <v>0.41373060548458601</v>
      </c>
      <c r="E25" s="39">
        <v>0.39735063469471898</v>
      </c>
      <c r="F25" s="39">
        <v>0.21309006776117501</v>
      </c>
      <c r="G25" s="39">
        <f>(0.08742+0.08742)/Exchange_Rate</f>
        <v>0.1641126733562136</v>
      </c>
      <c r="H25" s="39"/>
      <c r="I25" s="39"/>
      <c r="J25" s="39"/>
      <c r="K25" s="39"/>
      <c r="L25" s="39"/>
      <c r="M25" s="39"/>
    </row>
    <row r="27" spans="2:13" x14ac:dyDescent="0.35">
      <c r="B27" s="16" t="s">
        <v>28</v>
      </c>
      <c r="C27" s="97" t="s">
        <v>416</v>
      </c>
    </row>
    <row r="28" spans="2:13" x14ac:dyDescent="0.35">
      <c r="B28" s="26" t="s">
        <v>24</v>
      </c>
      <c r="C28" s="183">
        <f>BS!C4</f>
        <v>114865</v>
      </c>
      <c r="D28" s="181">
        <v>142879</v>
      </c>
      <c r="E28" s="181">
        <v>117877</v>
      </c>
      <c r="F28" s="181">
        <v>23709</v>
      </c>
      <c r="G28" s="181">
        <v>27379</v>
      </c>
      <c r="H28" s="181"/>
      <c r="I28" s="181"/>
      <c r="J28" s="181"/>
      <c r="K28" s="181"/>
      <c r="L28" s="181"/>
      <c r="M28" s="181"/>
    </row>
    <row r="29" spans="2:13" x14ac:dyDescent="0.35">
      <c r="B29" s="26" t="s">
        <v>32</v>
      </c>
      <c r="C29" s="183">
        <f>BS!C6</f>
        <v>168338</v>
      </c>
      <c r="D29" s="181">
        <v>182674</v>
      </c>
      <c r="E29" s="181">
        <v>167751</v>
      </c>
      <c r="F29" s="181">
        <v>110386</v>
      </c>
      <c r="G29" s="181">
        <v>109354</v>
      </c>
      <c r="H29" s="181"/>
      <c r="I29" s="181"/>
      <c r="J29" s="181"/>
      <c r="K29" s="181"/>
      <c r="L29" s="181"/>
      <c r="M29" s="181"/>
    </row>
    <row r="30" spans="2:13" x14ac:dyDescent="0.35">
      <c r="B30" s="29" t="s">
        <v>40</v>
      </c>
      <c r="C30" s="186">
        <f>BS!C33+BS!C42</f>
        <v>1043144</v>
      </c>
      <c r="D30" s="182">
        <v>1090144</v>
      </c>
      <c r="E30" s="182">
        <v>1136250</v>
      </c>
      <c r="F30" s="182">
        <v>689466</v>
      </c>
      <c r="G30" s="182">
        <v>707978</v>
      </c>
      <c r="H30" s="182"/>
      <c r="I30" s="182"/>
      <c r="J30" s="182"/>
      <c r="K30" s="182"/>
      <c r="L30" s="182"/>
      <c r="M30" s="182"/>
    </row>
    <row r="31" spans="2:13" x14ac:dyDescent="0.35">
      <c r="B31" s="29" t="s">
        <v>30</v>
      </c>
      <c r="C31" s="186">
        <f>BS!G27</f>
        <v>1709863</v>
      </c>
      <c r="D31" s="182">
        <v>1678153</v>
      </c>
      <c r="E31" s="182">
        <v>1534416</v>
      </c>
      <c r="F31" s="182">
        <v>1291608</v>
      </c>
      <c r="G31" s="182">
        <v>1238930</v>
      </c>
      <c r="H31" s="182"/>
      <c r="I31" s="182"/>
      <c r="J31" s="182"/>
      <c r="K31" s="182"/>
      <c r="L31" s="182"/>
      <c r="M31" s="182"/>
    </row>
    <row r="32" spans="2:13" x14ac:dyDescent="0.35">
      <c r="B32" s="26" t="s">
        <v>174</v>
      </c>
      <c r="C32" s="183">
        <f>BS!G28</f>
        <v>194492</v>
      </c>
      <c r="D32" s="181">
        <v>188249</v>
      </c>
      <c r="E32" s="181">
        <v>168550</v>
      </c>
      <c r="F32" s="181">
        <v>0</v>
      </c>
      <c r="G32" s="182">
        <v>0</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0.44193951040398899</v>
      </c>
      <c r="D65" s="73">
        <f t="shared" ref="D65:M65" si="33">IF(D$4="","",D25)</f>
        <v>0.41373060548458601</v>
      </c>
      <c r="E65" s="73">
        <f t="shared" si="33"/>
        <v>0.39735063469471898</v>
      </c>
      <c r="F65" s="73">
        <f t="shared" si="33"/>
        <v>0.21309006776117501</v>
      </c>
      <c r="G65" s="73">
        <f t="shared" si="33"/>
        <v>0.1641126733562136</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x14ac:dyDescent="0.35">
      <c r="B78" s="93" t="s">
        <v>88</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x14ac:dyDescent="0.35">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Data!C1</f>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71610+8868+34387</f>
        <v>114865</v>
      </c>
      <c r="D4" s="294">
        <v>0.6</v>
      </c>
      <c r="E4" s="25"/>
      <c r="F4" s="4" t="s">
        <v>79</v>
      </c>
      <c r="G4" s="19">
        <v>216246</v>
      </c>
      <c r="H4" s="294">
        <v>0.9</v>
      </c>
    </row>
    <row r="5" spans="2:8" ht="15" customHeight="1" x14ac:dyDescent="0.35">
      <c r="B5" s="1" t="s">
        <v>33</v>
      </c>
      <c r="C5" s="19">
        <v>9020</v>
      </c>
      <c r="D5" s="294">
        <v>0.6</v>
      </c>
      <c r="E5" s="25"/>
      <c r="F5" s="1" t="s">
        <v>29</v>
      </c>
      <c r="G5" s="19">
        <v>0</v>
      </c>
      <c r="H5" s="294">
        <v>0.7</v>
      </c>
    </row>
    <row r="6" spans="2:8" ht="15" customHeight="1" x14ac:dyDescent="0.35">
      <c r="B6" s="4" t="s">
        <v>10</v>
      </c>
      <c r="C6" s="19">
        <v>168338</v>
      </c>
      <c r="D6" s="294">
        <v>0.5</v>
      </c>
      <c r="E6" s="25"/>
      <c r="F6" s="4" t="s">
        <v>179</v>
      </c>
      <c r="G6" s="19">
        <v>0</v>
      </c>
      <c r="H6" s="294">
        <v>0.6</v>
      </c>
    </row>
    <row r="7" spans="2:8" ht="15" customHeight="1" x14ac:dyDescent="0.35">
      <c r="B7" s="1" t="s">
        <v>70</v>
      </c>
      <c r="C7" s="19">
        <v>0</v>
      </c>
      <c r="D7" s="294">
        <v>0.6</v>
      </c>
      <c r="E7" s="25"/>
      <c r="F7" s="4" t="s">
        <v>180</v>
      </c>
      <c r="G7" s="19">
        <v>2816</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14192</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65367</v>
      </c>
      <c r="D11" s="294">
        <v>0.05</v>
      </c>
      <c r="H11" s="295"/>
    </row>
    <row r="12" spans="2:8" ht="15" customHeight="1" x14ac:dyDescent="0.35">
      <c r="B12" s="80" t="s">
        <v>73</v>
      </c>
      <c r="C12" s="81">
        <f>SUM(C4:C11)</f>
        <v>371782</v>
      </c>
      <c r="D12" s="20">
        <f>C4*D4+C5*D5+C9*D9+C6*D6+C8*D8+C7*D7+C10*D10+C11*D11</f>
        <v>163187.55000000002</v>
      </c>
      <c r="F12" s="80" t="s">
        <v>71</v>
      </c>
      <c r="G12" s="81">
        <f>SUM(G4:G9)</f>
        <v>219062</v>
      </c>
      <c r="H12" s="20">
        <f>G4*H4+G5*H5+G6*H6+G7*H7+G8*H8+G9*H9</f>
        <v>196311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707</v>
      </c>
      <c r="H17" s="294">
        <v>0.6</v>
      </c>
    </row>
    <row r="18" spans="2:8" ht="15" customHeight="1" x14ac:dyDescent="0.35">
      <c r="B18" s="4" t="s">
        <v>175</v>
      </c>
      <c r="C18" s="19">
        <v>0</v>
      </c>
      <c r="D18" s="294">
        <v>0.6</v>
      </c>
      <c r="F18" s="4" t="s">
        <v>183</v>
      </c>
      <c r="G18" s="19">
        <v>290077</v>
      </c>
      <c r="H18" s="294">
        <v>0.1</v>
      </c>
    </row>
    <row r="19" spans="2:8" ht="15" customHeight="1" x14ac:dyDescent="0.35">
      <c r="B19" s="4" t="s">
        <v>26</v>
      </c>
      <c r="C19" s="19">
        <f>480407+875436+214967+120865+14018</f>
        <v>1705693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92790</v>
      </c>
      <c r="D21" s="294">
        <v>0.05</v>
      </c>
      <c r="F21" s="1" t="s">
        <v>182</v>
      </c>
      <c r="G21" s="19">
        <v>0</v>
      </c>
      <c r="H21" s="294">
        <v>0.1</v>
      </c>
    </row>
    <row r="22" spans="2:8" ht="15" customHeight="1" x14ac:dyDescent="0.35">
      <c r="B22" s="4" t="s">
        <v>20</v>
      </c>
      <c r="C22" s="19">
        <v>26765</v>
      </c>
      <c r="D22" s="294">
        <v>0.9</v>
      </c>
      <c r="H22" s="295"/>
    </row>
    <row r="23" spans="2:8" ht="15" customHeight="1" x14ac:dyDescent="0.35">
      <c r="B23" s="4" t="s">
        <v>21</v>
      </c>
      <c r="C23" s="19">
        <f>7436+38695</f>
        <v>46131</v>
      </c>
      <c r="D23" s="294">
        <v>0</v>
      </c>
      <c r="H23" s="295"/>
    </row>
    <row r="24" spans="2:8" ht="15" customHeight="1" x14ac:dyDescent="0.35">
      <c r="B24" s="80" t="s">
        <v>75</v>
      </c>
      <c r="C24" s="81">
        <f>SUM(C15:C23)</f>
        <v>1871379</v>
      </c>
      <c r="D24" s="20">
        <f>C15*D15+C16*D16+C18*D18+C17*D17+C19*D19+C20*D20+C21*D21+C22*D22+C23*D23</f>
        <v>199297.30000000002</v>
      </c>
      <c r="F24" s="80" t="s">
        <v>72</v>
      </c>
      <c r="G24" s="81">
        <f>SUM(G15:G21)</f>
        <v>290784</v>
      </c>
      <c r="H24" s="20">
        <f>G15*H15+G16*H16+G17*H17+G18*H18+G19*H19+G20*H20+G21*H21</f>
        <v>29431.9</v>
      </c>
    </row>
    <row r="26" spans="2:8" ht="15" customHeight="1" x14ac:dyDescent="0.35">
      <c r="B26" s="16" t="s">
        <v>202</v>
      </c>
      <c r="C26" s="203" t="s">
        <v>138</v>
      </c>
      <c r="F26" s="205" t="s">
        <v>198</v>
      </c>
      <c r="G26" s="206" t="s">
        <v>138</v>
      </c>
      <c r="H26" s="207" t="s">
        <v>35</v>
      </c>
    </row>
    <row r="27" spans="2:8" ht="15" customHeight="1" x14ac:dyDescent="0.35">
      <c r="B27" s="4" t="s">
        <v>5</v>
      </c>
      <c r="C27" s="19">
        <v>45955</v>
      </c>
      <c r="F27" s="208" t="s">
        <v>30</v>
      </c>
      <c r="G27" s="85">
        <f>G32-G30</f>
        <v>1709863</v>
      </c>
      <c r="H27" s="209">
        <f>H32-G30</f>
        <v>-454916.25</v>
      </c>
    </row>
    <row r="28" spans="2:8" ht="15" customHeight="1" x14ac:dyDescent="0.35">
      <c r="B28" s="4" t="s">
        <v>6</v>
      </c>
      <c r="C28" s="19">
        <v>0</v>
      </c>
      <c r="F28" s="210" t="s">
        <v>246</v>
      </c>
      <c r="G28" s="181">
        <v>194492</v>
      </c>
      <c r="H28" s="209"/>
    </row>
    <row r="29" spans="2:8" ht="15" customHeight="1" x14ac:dyDescent="0.35">
      <c r="B29" s="4" t="s">
        <v>7</v>
      </c>
      <c r="C29" s="19">
        <v>0</v>
      </c>
      <c r="F29" s="211" t="s">
        <v>77</v>
      </c>
      <c r="G29" s="14">
        <f>G27-G28</f>
        <v>1515371</v>
      </c>
      <c r="H29" s="209">
        <f>H27-G28</f>
        <v>-649408.25</v>
      </c>
    </row>
    <row r="30" spans="2:8" ht="15" customHeight="1" x14ac:dyDescent="0.35">
      <c r="B30" s="2" t="s">
        <v>8</v>
      </c>
      <c r="C30" s="19">
        <f>3808+7051+14895</f>
        <v>25754</v>
      </c>
      <c r="F30" s="208" t="s">
        <v>23</v>
      </c>
      <c r="G30" s="85">
        <f>C33+C42</f>
        <v>1043144</v>
      </c>
      <c r="H30" s="209"/>
    </row>
    <row r="31" spans="2:8" ht="15" customHeight="1" x14ac:dyDescent="0.35">
      <c r="B31" s="80" t="s">
        <v>205</v>
      </c>
      <c r="C31" s="81">
        <f>SUM(C27:C30)</f>
        <v>71709</v>
      </c>
      <c r="F31" s="211" t="s">
        <v>78</v>
      </c>
      <c r="G31" s="212">
        <f>C31+C40</f>
        <v>279749</v>
      </c>
      <c r="H31" s="209"/>
    </row>
    <row r="32" spans="2:8" ht="15" customHeight="1" x14ac:dyDescent="0.35">
      <c r="B32" s="4" t="s">
        <v>9</v>
      </c>
      <c r="C32" s="21">
        <f>C33-C31</f>
        <v>565608</v>
      </c>
      <c r="F32" s="213" t="s">
        <v>76</v>
      </c>
      <c r="G32" s="214">
        <f>G35+G40</f>
        <v>2753007</v>
      </c>
      <c r="H32" s="209">
        <f>H35+H40</f>
        <v>588227.75</v>
      </c>
    </row>
    <row r="33" spans="2:8" ht="15" customHeight="1" x14ac:dyDescent="0.35">
      <c r="B33" s="83" t="s">
        <v>4</v>
      </c>
      <c r="C33" s="84">
        <v>637317</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2243161</v>
      </c>
      <c r="H35" s="221">
        <f>D12+D24</f>
        <v>362484.85000000003</v>
      </c>
    </row>
    <row r="36" spans="2:8" ht="15" customHeight="1" x14ac:dyDescent="0.35">
      <c r="B36" s="4" t="s">
        <v>13</v>
      </c>
      <c r="C36" s="19">
        <v>74072</v>
      </c>
      <c r="F36" s="211" t="s">
        <v>199</v>
      </c>
      <c r="G36" s="212">
        <f>C4+C15</f>
        <v>114865</v>
      </c>
      <c r="H36" s="216"/>
    </row>
    <row r="37" spans="2:8" ht="15" customHeight="1" x14ac:dyDescent="0.35">
      <c r="B37" s="4" t="s">
        <v>14</v>
      </c>
      <c r="C37" s="19">
        <v>109968</v>
      </c>
      <c r="F37" s="211" t="s">
        <v>200</v>
      </c>
      <c r="G37" s="212">
        <f>C6</f>
        <v>168338</v>
      </c>
      <c r="H37" s="216"/>
    </row>
    <row r="38" spans="2:8" ht="15" customHeight="1" x14ac:dyDescent="0.35">
      <c r="B38" s="4" t="s">
        <v>15</v>
      </c>
      <c r="C38" s="19">
        <v>0</v>
      </c>
      <c r="F38" s="211" t="s">
        <v>201</v>
      </c>
      <c r="G38" s="212">
        <f>C7+C17</f>
        <v>0</v>
      </c>
      <c r="H38" s="216"/>
    </row>
    <row r="39" spans="2:8" ht="15" customHeight="1" x14ac:dyDescent="0.35">
      <c r="B39" s="2" t="s">
        <v>16</v>
      </c>
      <c r="C39" s="19">
        <v>24000</v>
      </c>
      <c r="F39" s="211" t="s">
        <v>81</v>
      </c>
      <c r="G39" s="212">
        <f>C7+C17+C19+C20</f>
        <v>1705693</v>
      </c>
      <c r="H39" s="209">
        <f>C7*D7+C17*D17+C19*D19+C20*D20</f>
        <v>170569.30000000002</v>
      </c>
    </row>
    <row r="40" spans="2:8" ht="15" customHeight="1" x14ac:dyDescent="0.35">
      <c r="B40" s="80" t="s">
        <v>206</v>
      </c>
      <c r="C40" s="81">
        <f>SUM(C36:C39)</f>
        <v>208040</v>
      </c>
      <c r="F40" s="220" t="s">
        <v>140</v>
      </c>
      <c r="G40" s="214">
        <f>G12+G24</f>
        <v>509846</v>
      </c>
      <c r="H40" s="221">
        <f>H12+H24</f>
        <v>225742.9</v>
      </c>
    </row>
    <row r="41" spans="2:8" ht="15" customHeight="1" x14ac:dyDescent="0.35">
      <c r="B41" s="4" t="s">
        <v>17</v>
      </c>
      <c r="C41" s="21">
        <f>C42-C40</f>
        <v>197787</v>
      </c>
      <c r="F41" s="211" t="s">
        <v>193</v>
      </c>
      <c r="G41" s="212">
        <f>C70</f>
        <v>506323</v>
      </c>
      <c r="H41" s="221">
        <f>H40-H42</f>
        <v>223629.1</v>
      </c>
    </row>
    <row r="42" spans="2:8" ht="15" customHeight="1" x14ac:dyDescent="0.35">
      <c r="B42" s="83" t="s">
        <v>22</v>
      </c>
      <c r="C42" s="84">
        <v>405827</v>
      </c>
      <c r="F42" s="222" t="s">
        <v>194</v>
      </c>
      <c r="G42" s="223">
        <f>C82</f>
        <v>3523</v>
      </c>
      <c r="H42" s="224">
        <f>D82</f>
        <v>2113.7999999999997</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1515371</v>
      </c>
      <c r="D46" s="188">
        <f>H29</f>
        <v>-649408.25</v>
      </c>
      <c r="F46" s="283"/>
    </row>
    <row r="47" spans="2:8" ht="15" customHeight="1" x14ac:dyDescent="0.35">
      <c r="B47" s="1" t="str">
        <f>"Equity per share ("&amp;Market_currency&amp;")"</f>
        <v>Equity per share (HKD)</v>
      </c>
      <c r="C47" s="148">
        <f>C46*H1/Common_Shares*Exchange_Rate</f>
        <v>8.8209787981268377</v>
      </c>
      <c r="D47" s="148">
        <f>D46*H1/Common_Shares*Exchange_Rate</f>
        <v>-3.7802072262031232</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1.1309485990394448</v>
      </c>
      <c r="D50" s="95">
        <f>G31/Normalized_FCF!G8</f>
        <v>1.1394328679189951</v>
      </c>
      <c r="F50" s="283"/>
    </row>
    <row r="51" spans="2:8" ht="15" customHeight="1" x14ac:dyDescent="0.35">
      <c r="B51" s="1" t="s">
        <v>178</v>
      </c>
      <c r="C51" s="202"/>
      <c r="D51" s="92">
        <f>G29/G32</f>
        <v>0.55044211656563169</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0.11027199460614415</v>
      </c>
      <c r="D54" s="92">
        <f>Normalized_FCF!G8/G35</f>
        <v>0.1094509043265285</v>
      </c>
      <c r="F54" s="283"/>
    </row>
    <row r="55" spans="2:8" ht="15" customHeight="1" x14ac:dyDescent="0.35">
      <c r="B55" s="1" t="s">
        <v>143</v>
      </c>
      <c r="C55" s="92">
        <f>Normalized_FCF!C11/G40</f>
        <v>3.656790481831769E-2</v>
      </c>
      <c r="D55" s="92">
        <f>Normalized_FCF!G11/G40</f>
        <v>3.656790481831769E-2</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0.14258662021829249</v>
      </c>
      <c r="F58" s="5"/>
    </row>
    <row r="59" spans="2:8" ht="15" customHeight="1" x14ac:dyDescent="0.35">
      <c r="B59" s="1" t="s">
        <v>94</v>
      </c>
      <c r="C59" s="98"/>
      <c r="D59" s="92">
        <f>G39/G32</f>
        <v>0.6195745234211173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0.12834612777992979</v>
      </c>
      <c r="D62" s="92">
        <f>G28/G29</f>
        <v>0.12834612777992979</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216246</v>
      </c>
      <c r="D66" s="188">
        <f>C66-D75</f>
        <v>126.15719684722717</v>
      </c>
      <c r="F66" s="5" t="s">
        <v>228</v>
      </c>
    </row>
    <row r="67" spans="2:6" ht="15" customHeight="1" x14ac:dyDescent="0.35">
      <c r="B67" s="105" t="s">
        <v>179</v>
      </c>
      <c r="C67" s="20">
        <f>G6+G16</f>
        <v>0</v>
      </c>
      <c r="F67" s="283"/>
    </row>
    <row r="68" spans="2:6" ht="15" customHeight="1" x14ac:dyDescent="0.35">
      <c r="B68" s="105" t="s">
        <v>183</v>
      </c>
      <c r="C68" s="20">
        <f>G18</f>
        <v>290077</v>
      </c>
      <c r="F68" s="283"/>
    </row>
    <row r="69" spans="2:6" ht="15" customHeight="1" x14ac:dyDescent="0.35">
      <c r="B69" s="105" t="s">
        <v>181</v>
      </c>
      <c r="C69" s="20">
        <f>G8+G20</f>
        <v>0</v>
      </c>
      <c r="F69" s="283"/>
    </row>
    <row r="70" spans="2:6" ht="15" customHeight="1" x14ac:dyDescent="0.35">
      <c r="B70" s="80" t="s">
        <v>190</v>
      </c>
      <c r="C70" s="81">
        <f>SUM(C66:C69)</f>
        <v>506323</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-231112.43344421219</v>
      </c>
      <c r="D73" s="188">
        <f>(Normalized_FCF!C25+Normalized_FCF!C35-Normalized_FCF!C91)/12</f>
        <v>-216119.84280315277</v>
      </c>
      <c r="F73" s="1" t="s">
        <v>364</v>
      </c>
    </row>
    <row r="74" spans="2:6" ht="15" customHeight="1" x14ac:dyDescent="0.35">
      <c r="B74" s="288" t="s">
        <v>334</v>
      </c>
      <c r="C74" s="289">
        <f>-$C$66/C73</f>
        <v>0.93567445410590266</v>
      </c>
      <c r="D74" s="289">
        <f>-$C$66/D73</f>
        <v>1.0005837372228803</v>
      </c>
      <c r="F74" s="283" t="s">
        <v>331</v>
      </c>
    </row>
    <row r="75" spans="2:6" ht="15" customHeight="1" x14ac:dyDescent="0.35">
      <c r="B75" s="80" t="s">
        <v>332</v>
      </c>
      <c r="C75" s="293"/>
      <c r="D75" s="292">
        <f>MAX(-D73*D76,G5)</f>
        <v>216119.84280315277</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3523</v>
      </c>
      <c r="D79" s="188">
        <f>G7*H7+G17*H17</f>
        <v>2113.7999999999997</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3523</v>
      </c>
      <c r="D82" s="81">
        <f>SUM(D79:D81)</f>
        <v>2113.7999999999997</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-298034.96682938002</v>
      </c>
      <c r="D86" s="248">
        <f>C86*$H$1/Common_Shares</f>
        <v>-1.6284197056675787</v>
      </c>
      <c r="E86" s="269" t="str">
        <f>Market_currency</f>
        <v>HKD</v>
      </c>
    </row>
    <row r="87" spans="2:8" ht="15" customHeight="1" x14ac:dyDescent="0.35">
      <c r="B87" s="267" t="s">
        <v>298</v>
      </c>
      <c r="C87" s="188">
        <f>Valuation_Model!C8*Exchange_Rate</f>
        <v>134.40354023660822</v>
      </c>
      <c r="D87" s="248">
        <f>C87*$H$1/Common_Shares</f>
        <v>7.3436139309812892E-4</v>
      </c>
      <c r="E87" s="269" t="str">
        <f>Market_currency</f>
        <v>HKD</v>
      </c>
    </row>
    <row r="88" spans="2:8" ht="15" customHeight="1" x14ac:dyDescent="0.35">
      <c r="B88" s="268" t="s">
        <v>191</v>
      </c>
      <c r="C88" s="188">
        <f>Valuation_Model!C9*Exchange_Rate</f>
        <v>2251.9698475559999</v>
      </c>
      <c r="D88" s="248">
        <f>C88*$H$1/Common_Shares</f>
        <v>1.2304435668546188E-2</v>
      </c>
      <c r="E88" s="269" t="str">
        <f>Market_currency</f>
        <v>HKD</v>
      </c>
    </row>
    <row r="89" spans="2:8" ht="15" customHeight="1" x14ac:dyDescent="0.35">
      <c r="B89" s="80" t="s">
        <v>302</v>
      </c>
      <c r="C89" s="187">
        <f>SUM(C86:C88)</f>
        <v>-295648.59344158741</v>
      </c>
      <c r="D89" s="271">
        <f>SUM(D86:D88)</f>
        <v>-1.6153809086059343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0.76614733079928599</v>
      </c>
      <c r="D28" s="26"/>
      <c r="E28" s="300" t="s">
        <v>346</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2.3041820740536588E-2</v>
      </c>
      <c r="D29" s="26"/>
      <c r="E29" s="300" t="s">
        <v>346</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-314015.75</v>
      </c>
      <c r="E33" s="300" t="s">
        <v>346</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-20445.75</v>
      </c>
      <c r="D34" s="58"/>
      <c r="E34" s="300" t="s">
        <v>346</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4.0689769984184679E-2</v>
      </c>
      <c r="E53" s="299" t="s">
        <v>348</v>
      </c>
      <c r="G53" s="6">
        <f>IF(Normalized_FCF!G4="","",Normalized_FCF!G49/BS!$C$66)</f>
        <v>4.0689769984184679E-2</v>
      </c>
      <c r="H53" s="170"/>
      <c r="I53" s="170"/>
      <c r="J53" s="170"/>
      <c r="K53" s="170"/>
      <c r="L53" s="170"/>
      <c r="M53" s="170"/>
      <c r="N53" s="170"/>
      <c r="O53" s="170"/>
      <c r="P53" s="170"/>
      <c r="Q53" s="170"/>
    </row>
    <row r="54" spans="1:17" ht="15.75" customHeight="1" x14ac:dyDescent="0.35">
      <c r="A54" s="10"/>
      <c r="B54" s="8" t="s">
        <v>89</v>
      </c>
      <c r="C54" s="82">
        <f>G54</f>
        <v>7.4105716195589616E-2</v>
      </c>
      <c r="E54" s="299" t="s">
        <v>349</v>
      </c>
      <c r="G54" s="23">
        <f>IFERROR(ABS(Normalized_FCF!G47/BS!$G$31),0)</f>
        <v>7.4105716195589616E-2</v>
      </c>
      <c r="H54" s="170"/>
      <c r="I54" s="170"/>
      <c r="J54" s="170"/>
      <c r="K54" s="170"/>
      <c r="L54" s="170"/>
      <c r="M54" s="170"/>
      <c r="N54" s="170"/>
      <c r="O54" s="170"/>
      <c r="P54" s="170"/>
      <c r="Q54" s="170"/>
    </row>
    <row r="55" spans="1:17" ht="15.75" customHeight="1" x14ac:dyDescent="0.35">
      <c r="A55" s="10"/>
      <c r="B55" s="26" t="s">
        <v>92</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6.4272589691702547E-2</v>
      </c>
      <c r="E67" s="302"/>
      <c r="G67" s="23">
        <f>IFERROR(G59/BS!$C$68,0)</f>
        <v>6.4272589691702547E-2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MAX(AVERAGE(H78:K78),C77)</f>
        <v>0.10287256125768818</v>
      </c>
      <c r="D78" s="27"/>
      <c r="E78" s="300" t="s">
        <v>367</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0.1641126733562136</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80884.201330546246</v>
      </c>
      <c r="E91" s="302"/>
      <c r="G91" s="74">
        <f t="shared" ref="G91:Q91" si="37">IF(G$4="","",G90*Common_Shares/$C$3)</f>
        <v>80884.201330546246</v>
      </c>
      <c r="H91" s="74">
        <f t="shared" si="37"/>
        <v>75721.37996902212</v>
      </c>
      <c r="I91" s="74">
        <f t="shared" si="37"/>
        <v>72723.501698430395</v>
      </c>
      <c r="J91" s="74">
        <f t="shared" si="37"/>
        <v>38999.952564954125</v>
      </c>
      <c r="K91" s="74">
        <f t="shared" si="37"/>
        <v>30036.061949980249</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0.61311573235445438</v>
      </c>
      <c r="E92" s="302"/>
      <c r="G92" s="171">
        <f t="shared" ref="G92:Q92" si="38">IF(G$4="","",G90/(G19*$C$3/Common_Shares))</f>
        <v>0.19322280877140166</v>
      </c>
      <c r="H92" s="171">
        <f t="shared" si="38"/>
        <v>0.24658504631051184</v>
      </c>
      <c r="I92" s="171">
        <f t="shared" si="38"/>
        <v>0.42892514526464176</v>
      </c>
      <c r="J92" s="171">
        <f t="shared" si="38"/>
        <v>0.30572167114546933</v>
      </c>
      <c r="K92" s="171">
        <f t="shared" si="38"/>
        <v>0.29479781550702921</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7.5934623780754121E-2</v>
      </c>
      <c r="E93" s="302"/>
      <c r="G93" s="23">
        <f t="shared" ref="G93:Q93" si="39">IF(G$4="","",G90/Market_Price)</f>
        <v>7.5934623780754121E-2</v>
      </c>
      <c r="H93" s="23">
        <f t="shared" si="39"/>
        <v>7.1087732901131614E-2</v>
      </c>
      <c r="I93" s="23">
        <f t="shared" si="39"/>
        <v>6.8273304930364084E-2</v>
      </c>
      <c r="J93" s="23">
        <f t="shared" si="39"/>
        <v>3.6613413704669244E-2</v>
      </c>
      <c r="K93" s="23">
        <f t="shared" si="39"/>
        <v>2.8198053841273812E-2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0.76792542689452259</v>
      </c>
      <c r="D124" s="27"/>
      <c r="E124" s="299"/>
      <c r="F124" s="27"/>
      <c r="G124" s="178">
        <f t="shared" ref="G124:Q124" si="49">IF(G$4="","",G16*$C$3/Common_Shares*Exchange_Rate)</f>
        <v>2.4367059121941921</v>
      </c>
      <c r="H124" s="178">
        <f t="shared" si="49"/>
        <v>1.7875145700036368</v>
      </c>
      <c r="I124" s="178">
        <f t="shared" si="49"/>
        <v>0.98694075169630613</v>
      </c>
      <c r="J124" s="178">
        <f t="shared" si="49"/>
        <v>0.74256702609807967</v>
      </c>
      <c r="K124" s="178">
        <f t="shared" si="49"/>
        <v>0.5930844490800885</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0.13194594963823414</v>
      </c>
      <c r="D125" s="27"/>
      <c r="E125" s="299"/>
      <c r="F125" s="27"/>
      <c r="G125" s="77">
        <f t="shared" ref="G125" si="50">IF(G$4="","",G124/Market_Price)</f>
        <v>0.41867799178594362</v>
      </c>
      <c r="H125" s="77">
        <f t="shared" ref="H125" si="51">IF(H$4="","",H124/Market_Price)</f>
        <v>0.30713308762949082</v>
      </c>
      <c r="I125" s="77">
        <f t="shared" ref="I125" si="52">IF(I$4="","",I124/Market_Price)</f>
        <v>0.16957744874506978</v>
      </c>
      <c r="J125" s="77">
        <f t="shared" ref="J125" si="53">IF(J$4="","",J124/Market_Price)</f>
        <v>0.12758883609932639</v>
      </c>
      <c r="K125" s="77">
        <f t="shared" ref="K125" si="54">IF(K$4="","",K124/Market_Price)</f>
        <v>0.10190454451547912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0.17250290027371404</v>
      </c>
      <c r="H126" s="23">
        <f>IF(H$4="","",(Data!D47*$C$3)/(Market_Price*Common_Shares))</f>
        <v>0.16951186237773722</v>
      </c>
      <c r="I126" s="23">
        <f>IF(I$4="","",(Data!E47*$C$3)/(Market_Price*Common_Shares))</f>
        <v>0.1533474899694105</v>
      </c>
      <c r="J126" s="23">
        <f>IF(J$4="","",(Data!F47*$C$3)/(Market_Price*Common_Shares))</f>
        <v>0.12429236384179386</v>
      </c>
      <c r="K126" s="23">
        <f>IF(K$4="","",(Data!G47*$C$3)/(Market_Price*Common_Shares))</f>
        <v>0.12112295268773932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131923.21948735364</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1649040.2435919205</v>
      </c>
      <c r="D6" t="str">
        <f>Reporting_currency</f>
        <v>CNY</v>
      </c>
      <c r="E6" s="344" t="s">
        <v>251</v>
      </c>
      <c r="F6" s="344"/>
      <c r="H6" s="121"/>
    </row>
    <row r="7" spans="2:8" x14ac:dyDescent="0.35">
      <c r="B7" s="149" t="s">
        <v>226</v>
      </c>
      <c r="C7" s="226">
        <f>BS!G31</f>
        <v>279749</v>
      </c>
      <c r="D7" t="str">
        <f>Reporting_currency</f>
        <v>CNY</v>
      </c>
      <c r="E7" s="344"/>
      <c r="F7" s="344"/>
      <c r="H7" s="121"/>
    </row>
    <row r="8" spans="2:8" x14ac:dyDescent="0.35">
      <c r="B8" s="149" t="s">
        <v>227</v>
      </c>
      <c r="C8" s="201">
        <f>BS!D66</f>
        <v>126.15719684722717</v>
      </c>
      <c r="D8" t="str">
        <f>Reporting_currency</f>
        <v>CNY</v>
      </c>
      <c r="E8" s="344"/>
      <c r="F8" s="344"/>
      <c r="H8" s="121"/>
    </row>
    <row r="9" spans="2:8" x14ac:dyDescent="0.35">
      <c r="B9" s="227" t="s">
        <v>192</v>
      </c>
      <c r="C9" s="229">
        <f>BS!H42</f>
        <v>2113.7999999999997</v>
      </c>
      <c r="D9" t="str">
        <f>Reporting_currency</f>
        <v>CNY</v>
      </c>
      <c r="E9" s="344"/>
      <c r="F9" s="344"/>
      <c r="H9" s="121"/>
    </row>
    <row r="10" spans="2:8" ht="13.15" x14ac:dyDescent="0.4">
      <c r="B10" s="150" t="s">
        <v>229</v>
      </c>
      <c r="C10" s="232">
        <f>C6-C7+C8+C9</f>
        <v>1371531.2007887678</v>
      </c>
      <c r="D10" t="str">
        <f>Reporting_currency</f>
        <v>CNY</v>
      </c>
      <c r="H10" s="121"/>
    </row>
    <row r="11" spans="2:8" ht="13.15" thickBot="1" x14ac:dyDescent="0.4">
      <c r="B11" s="230" t="s">
        <v>168</v>
      </c>
      <c r="C11" s="231">
        <f>Exchange_Rate</f>
        <v>1.0653656200000001</v>
      </c>
      <c r="D11" t="str">
        <f>Thesis!D17</f>
        <v>CNY/HKD</v>
      </c>
      <c r="H11" s="121"/>
    </row>
    <row r="12" spans="2:8" ht="13.5" thickTop="1" x14ac:dyDescent="0.4">
      <c r="B12" s="150" t="s">
        <v>104</v>
      </c>
      <c r="C12" s="112">
        <f>(C10*C3)/Common_Shares*C11</f>
        <v>7.9836869275755991</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-4.8975772939903201E-3</v>
      </c>
      <c r="H16" s="121"/>
    </row>
    <row r="17" spans="2:8" ht="13.25" customHeight="1" x14ac:dyDescent="0.35">
      <c r="B17" s="119" t="s">
        <v>136</v>
      </c>
      <c r="C17" s="163">
        <f>Scenarios!C64</f>
        <v>5</v>
      </c>
      <c r="H17" s="121"/>
    </row>
    <row r="18" spans="2:8" ht="13.25" customHeight="1" x14ac:dyDescent="0.4">
      <c r="B18" s="154" t="s">
        <v>108</v>
      </c>
      <c r="C18" s="141">
        <f>(F52-C7+C8+C9)*Exchange_Rate/Common_Shares*C3</f>
        <v>7.9092125531227566</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x14ac:dyDescent="0.35">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x14ac:dyDescent="0.35">
      <c r="B23" s="123">
        <v>3</v>
      </c>
      <c r="C23" s="124">
        <f t="shared" si="2"/>
        <v>129994.38453204895</v>
      </c>
      <c r="D23" s="139">
        <f>IF($C$17&lt;B23,0,Valuation_Model!$C$16)</f>
        <v>-4.8975772939903201E-3</v>
      </c>
      <c r="E23" s="125">
        <f t="shared" si="0"/>
        <v>0.79383224102016958</v>
      </c>
      <c r="F23" s="126">
        <f t="shared" si="1"/>
        <v>103193.73359311408</v>
      </c>
      <c r="H23" s="121"/>
    </row>
    <row r="24" spans="2:8" x14ac:dyDescent="0.35">
      <c r="B24" s="123">
        <v>4</v>
      </c>
      <c r="C24" s="124">
        <f t="shared" si="2"/>
        <v>129357.72698601855</v>
      </c>
      <c r="D24" s="139">
        <f>IF($C$17&lt;B24,0,Valuation_Model!$C$16)</f>
        <v>-4.8975772939903201E-3</v>
      </c>
      <c r="E24" s="125">
        <f t="shared" si="0"/>
        <v>0.73502985279645328</v>
      </c>
      <c r="F24" s="126">
        <f t="shared" si="1"/>
        <v>95081.791024617007</v>
      </c>
      <c r="H24" s="121"/>
    </row>
    <row r="25" spans="2:8" x14ac:dyDescent="0.35">
      <c r="B25" s="123">
        <v>5</v>
      </c>
      <c r="C25" s="124">
        <f t="shared" si="2"/>
        <v>128724.18751952963</v>
      </c>
      <c r="D25" s="139">
        <f>IF($C$17&lt;B25,0,Valuation_Model!$C$16)</f>
        <v>-4.8975772939903201E-3</v>
      </c>
      <c r="E25" s="125">
        <f t="shared" si="0"/>
        <v>0.68058319703375303</v>
      </c>
      <c r="F25" s="126">
        <f t="shared" si="1"/>
        <v>87607.519077613804</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1640963.9415380282</v>
      </c>
      <c r="D51" s="140">
        <f>Terminal_Growth</f>
        <v>0</v>
      </c>
      <c r="E51" s="125">
        <f>1/(1+Equity_Cost)^C17</f>
        <v>0.68058319703375303</v>
      </c>
      <c r="F51" s="126">
        <f t="shared" si="1"/>
        <v>1116812.4855490599</v>
      </c>
      <c r="H51" s="121"/>
    </row>
    <row r="52" spans="1:8" x14ac:dyDescent="0.35">
      <c r="C52" s="115"/>
      <c r="E52" s="128" t="s">
        <v>102</v>
      </c>
      <c r="F52" s="138">
        <f>SUM(F21:F51)</f>
        <v>1636246.1637203146</v>
      </c>
      <c r="H52" s="121"/>
    </row>
    <row r="53" spans="1:8" x14ac:dyDescent="0.35">
      <c r="C53" s="115"/>
      <c r="H53" s="121"/>
    </row>
    <row r="54" spans="1:8" ht="13.15" x14ac:dyDescent="0.35">
      <c r="B54" s="120" t="s">
        <v>131</v>
      </c>
      <c r="C54" s="137"/>
      <c r="D54" s="137"/>
      <c r="E54" s="118"/>
      <c r="F54" s="118"/>
      <c r="H54" s="121"/>
    </row>
    <row r="55" spans="1:8" ht="13.15" x14ac:dyDescent="0.4">
      <c r="A55" s="134">
        <f>F52</f>
        <v>1636246.1637203146</v>
      </c>
      <c r="B55" s="132">
        <f>C78</f>
        <v>-0.15</v>
      </c>
      <c r="C55" s="132">
        <f>C77</f>
        <v>-0.06</v>
      </c>
      <c r="D55" s="132">
        <f>C76</f>
        <v>0.01</v>
      </c>
      <c r="E55" s="132">
        <f>C75</f>
        <v>0.02</v>
      </c>
      <c r="F55" s="132">
        <f>C74</f>
        <v>0.06</v>
      </c>
      <c r="H55" s="121"/>
    </row>
    <row r="56" spans="1:8" ht="13.15" x14ac:dyDescent="0.4">
      <c r="A56" s="144">
        <v>5</v>
      </c>
      <c r="B56" s="124">
        <f t="dataTable" ref="B56:F61" dt2D="1" dtr="1" r1="C16" r2="C17"/>
        <v>1294277.8078295011</v>
      </c>
      <c r="C56" s="124">
        <v>1498313.7984313916</v>
      </c>
      <c r="D56" s="124">
        <v>1675448.6761986823</v>
      </c>
      <c r="E56" s="124">
        <v>1702246.9141336246</v>
      </c>
      <c r="F56" s="124">
        <v>1813510.7335644783</v>
      </c>
      <c r="H56" s="121"/>
    </row>
    <row r="57" spans="1:8" ht="13.15" x14ac:dyDescent="0.4">
      <c r="A57" s="144">
        <v>10</v>
      </c>
      <c r="B57" s="124">
        <v>1092333.8853154378</v>
      </c>
      <c r="C57" s="124">
        <v>1382780.7925548274</v>
      </c>
      <c r="D57" s="124">
        <v>1701012.2101715999</v>
      </c>
      <c r="E57" s="124">
        <v>1755502.5796109191</v>
      </c>
      <c r="F57" s="124">
        <v>2001715.4916865779</v>
      </c>
      <c r="H57" s="121"/>
    </row>
    <row r="58" spans="1:8" ht="13.15" x14ac:dyDescent="0.4">
      <c r="A58" s="144">
        <v>15</v>
      </c>
      <c r="B58" s="124">
        <v>915985.86107251025</v>
      </c>
      <c r="C58" s="124">
        <v>1264047.6678058072</v>
      </c>
      <c r="D58" s="124">
        <v>1731867.6066014508</v>
      </c>
      <c r="E58" s="124">
        <v>1821421.2320514028</v>
      </c>
      <c r="F58" s="124">
        <v>2260598.3976381649</v>
      </c>
      <c r="H58" s="121"/>
    </row>
    <row r="59" spans="1:8" ht="13.15" x14ac:dyDescent="0.4">
      <c r="A59" s="145">
        <v>20</v>
      </c>
      <c r="B59" s="124">
        <v>784216.86821847595</v>
      </c>
      <c r="C59" s="124">
        <v>1163208.9906452729</v>
      </c>
      <c r="D59" s="124">
        <v>1762493.2637714255</v>
      </c>
      <c r="E59" s="124">
        <v>1888581.7676758901</v>
      </c>
      <c r="F59" s="124">
        <v>2555913.4253175403</v>
      </c>
      <c r="H59" s="121"/>
    </row>
    <row r="60" spans="1:8" ht="13.15" x14ac:dyDescent="0.4">
      <c r="A60" s="145">
        <v>25</v>
      </c>
      <c r="B60" s="124">
        <v>690989.0136158067</v>
      </c>
      <c r="C60" s="124">
        <v>1084574.7886656087</v>
      </c>
      <c r="D60" s="124">
        <v>1790222.0419873991</v>
      </c>
      <c r="E60" s="124">
        <v>1951044.7925454304</v>
      </c>
      <c r="F60" s="124">
        <v>2865394.5953022684</v>
      </c>
      <c r="H60" s="121"/>
    </row>
    <row r="61" spans="1:8" ht="13.15" x14ac:dyDescent="0.4">
      <c r="A61" s="145">
        <v>30</v>
      </c>
      <c r="B61" s="124">
        <v>626468.25514984562</v>
      </c>
      <c r="C61" s="124">
        <v>1026060.3009149519</v>
      </c>
      <c r="D61" s="124">
        <v>1814018.9580837078</v>
      </c>
      <c r="E61" s="124">
        <v>2006145.8695980366</v>
      </c>
      <c r="F61" s="124">
        <v>3174836.4362881044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-0.15</v>
      </c>
      <c r="C64" s="133">
        <f>C55</f>
        <v>-0.06</v>
      </c>
      <c r="D64" s="133">
        <f>D55</f>
        <v>0.01</v>
      </c>
      <c r="E64" s="133">
        <f>E55</f>
        <v>0.02</v>
      </c>
      <c r="F64" s="133">
        <f>F55</f>
        <v>0.06</v>
      </c>
      <c r="H64" s="121"/>
    </row>
    <row r="65" spans="1:8" ht="13.15" x14ac:dyDescent="0.4">
      <c r="A65" s="144">
        <v>0</v>
      </c>
      <c r="B65" s="125">
        <f>C12</f>
        <v>7.9836869275755991</v>
      </c>
      <c r="C65" s="125">
        <f>C12</f>
        <v>7.9836869275755991</v>
      </c>
      <c r="D65" s="125">
        <f>C12</f>
        <v>7.9836869275755991</v>
      </c>
      <c r="E65" s="142">
        <f>C12</f>
        <v>7.9836869275755991</v>
      </c>
      <c r="F65" s="125">
        <f>C12</f>
        <v>7.9836869275755991</v>
      </c>
      <c r="H65" s="121"/>
    </row>
    <row r="66" spans="1:8" ht="13.15" x14ac:dyDescent="0.4">
      <c r="A66" s="144">
        <f t="shared" ref="A66:A71" si="3">A56</f>
        <v>5</v>
      </c>
      <c r="B66" s="125">
        <f t="shared" ref="B66:F71" si="4">(B56-$C$7+$C$8+$C$9)/Common_Shares*$C$3*Exchange_Rate</f>
        <v>5.9186138040750604</v>
      </c>
      <c r="C66" s="125">
        <f t="shared" si="4"/>
        <v>7.1063078718340984</v>
      </c>
      <c r="D66" s="125">
        <f t="shared" si="4"/>
        <v>8.1374104870973305</v>
      </c>
      <c r="E66" s="125">
        <f t="shared" si="4"/>
        <v>8.293403104516619</v>
      </c>
      <c r="F66" s="125">
        <f t="shared" si="4"/>
        <v>8.9410701063255313</v>
      </c>
      <c r="H66" s="121"/>
    </row>
    <row r="67" spans="1:8" ht="13.15" x14ac:dyDescent="0.4">
      <c r="A67" s="144">
        <f t="shared" si="3"/>
        <v>10</v>
      </c>
      <c r="B67" s="125">
        <f t="shared" si="4"/>
        <v>4.7430976704634746</v>
      </c>
      <c r="C67" s="125">
        <f t="shared" si="4"/>
        <v>6.4337899238721565</v>
      </c>
      <c r="D67" s="125">
        <f t="shared" si="4"/>
        <v>8.2862158893257636</v>
      </c>
      <c r="E67" s="125">
        <f t="shared" si="4"/>
        <v>8.6034044811137367</v>
      </c>
      <c r="F67" s="125">
        <f t="shared" si="4"/>
        <v>10.036610525867435</v>
      </c>
      <c r="H67" s="121"/>
    </row>
    <row r="68" spans="1:8" ht="13.15" x14ac:dyDescent="0.4">
      <c r="A68" s="144">
        <f t="shared" si="3"/>
        <v>15</v>
      </c>
      <c r="B68" s="125">
        <f t="shared" si="4"/>
        <v>3.7165753317501027</v>
      </c>
      <c r="C68" s="125">
        <f t="shared" si="4"/>
        <v>5.742644075069153</v>
      </c>
      <c r="D68" s="125">
        <f t="shared" si="4"/>
        <v>8.4658252376078096</v>
      </c>
      <c r="E68" s="125">
        <f t="shared" si="4"/>
        <v>8.9871171399798495</v>
      </c>
      <c r="F68" s="125">
        <f t="shared" si="4"/>
        <v>11.54356864014863</v>
      </c>
      <c r="H68" s="121"/>
    </row>
    <row r="69" spans="1:8" ht="13.15" x14ac:dyDescent="0.4">
      <c r="A69" s="145">
        <f t="shared" si="3"/>
        <v>20</v>
      </c>
      <c r="B69" s="125">
        <f t="shared" si="4"/>
        <v>2.9495476585163112</v>
      </c>
      <c r="C69" s="125">
        <f t="shared" si="4"/>
        <v>5.1556618553591091</v>
      </c>
      <c r="D69" s="125">
        <f t="shared" si="4"/>
        <v>8.6440972730202912</v>
      </c>
      <c r="E69" s="125">
        <f t="shared" si="4"/>
        <v>9.378058804307889</v>
      </c>
      <c r="F69" s="125">
        <f t="shared" si="4"/>
        <v>13.26259823615384</v>
      </c>
      <c r="H69" s="121"/>
    </row>
    <row r="70" spans="1:8" ht="13.15" x14ac:dyDescent="0.4">
      <c r="A70" s="145">
        <f t="shared" si="3"/>
        <v>25</v>
      </c>
      <c r="B70" s="125">
        <f t="shared" si="4"/>
        <v>2.4068680580455375</v>
      </c>
      <c r="C70" s="125">
        <f t="shared" si="4"/>
        <v>4.6979319473232275</v>
      </c>
      <c r="D70" s="125">
        <f t="shared" si="4"/>
        <v>8.8055065679989237</v>
      </c>
      <c r="E70" s="125">
        <f t="shared" si="4"/>
        <v>9.7416562454896738</v>
      </c>
      <c r="F70" s="125">
        <f t="shared" si="4"/>
        <v>15.06408898584799</v>
      </c>
    </row>
    <row r="71" spans="1:8" ht="13.15" x14ac:dyDescent="0.4">
      <c r="A71" s="145">
        <f t="shared" si="3"/>
        <v>30</v>
      </c>
      <c r="B71" s="125">
        <f t="shared" si="4"/>
        <v>2.0312925438860967</v>
      </c>
      <c r="C71" s="125">
        <f t="shared" si="4"/>
        <v>4.3573189516727924</v>
      </c>
      <c r="D71" s="125">
        <f t="shared" si="4"/>
        <v>8.9440284826629508</v>
      </c>
      <c r="E71" s="125">
        <f t="shared" si="4"/>
        <v>10.062399767990097</v>
      </c>
      <c r="F71" s="125">
        <f t="shared" si="4"/>
        <v>16.865350801330401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10.036610525867435</v>
      </c>
      <c r="F74" s="143">
        <f>Scenarios!C58</f>
        <v>0.05</v>
      </c>
    </row>
    <row r="75" spans="1:8" x14ac:dyDescent="0.35">
      <c r="B75" s="128" t="str">
        <f>Scenarios!B36</f>
        <v>Optimistic</v>
      </c>
      <c r="C75" s="143">
        <f>Scenarios!C38</f>
        <v>0.02</v>
      </c>
      <c r="D75" s="146">
        <f>Scenarios!C37</f>
        <v>5</v>
      </c>
      <c r="E75" s="136">
        <f>INDEX(B$65:F$71, MATCH(D75, A$65:A$71, 0), MATCH(C75, B$64:F$64, 0))</f>
        <v>8.293403104516619</v>
      </c>
      <c r="F75" s="143">
        <f>Scenarios!C40*(1-F$74-F$78)</f>
        <v>0.18</v>
      </c>
      <c r="H75" s="121"/>
    </row>
    <row r="76" spans="1:8" x14ac:dyDescent="0.35">
      <c r="B76" s="128" t="str">
        <f>Scenarios!B24</f>
        <v>Base</v>
      </c>
      <c r="C76" s="143">
        <f>Scenarios!C26</f>
        <v>0.01</v>
      </c>
      <c r="D76" s="146">
        <f>Scenarios!C25</f>
        <v>5</v>
      </c>
      <c r="E76" s="136">
        <f>INDEX(B$65:F$71, MATCH(D76, A$65:A$71, 0), MATCH(C76, B$64:F$64, 0))</f>
        <v>8.1374104870973305</v>
      </c>
      <c r="F76" s="143">
        <f>Scenarios!C28*(1-F$74-F$78)</f>
        <v>0.53999999999999992</v>
      </c>
      <c r="H76" s="121"/>
    </row>
    <row r="77" spans="1:8" x14ac:dyDescent="0.35">
      <c r="B77" s="128" t="str">
        <f>Scenarios!B30</f>
        <v>Pessimistic</v>
      </c>
      <c r="C77" s="143">
        <f>Scenarios!C32</f>
        <v>-0.06</v>
      </c>
      <c r="D77" s="146">
        <f>Scenarios!C31</f>
        <v>5</v>
      </c>
      <c r="E77" s="136">
        <f>INDEX(B$65:F$71, MATCH(D77, A$65:A$71, 0), MATCH(C77, B$64:F$64, 0))</f>
        <v>7.1063078718340984</v>
      </c>
      <c r="F77" s="143">
        <f>Scenarios!C34*(1-F$74-F$78)</f>
        <v>0.18</v>
      </c>
      <c r="H77" s="121"/>
    </row>
    <row r="78" spans="1:8" x14ac:dyDescent="0.35">
      <c r="B78" s="128" t="str">
        <f>Scenarios!B48</f>
        <v>Devil's advocate</v>
      </c>
      <c r="C78" s="143">
        <f>Scenarios!C50</f>
        <v>-0.15</v>
      </c>
      <c r="D78" s="146">
        <f>Scenarios!C49</f>
        <v>10</v>
      </c>
      <c r="E78" s="136">
        <f>INDEX(B$65:F$71, MATCH(D78, A$65:A$71, 0), MATCH(C78, B$64:F$64, 0))</f>
        <v>4.7430976704634746</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-5.82</v>
      </c>
    </row>
    <row r="4" spans="2:9" x14ac:dyDescent="0.35">
      <c r="B4" s="153" t="s">
        <v>148</v>
      </c>
      <c r="C4" s="121">
        <v>3</v>
      </c>
      <c r="D4" s="121"/>
      <c r="E4" s="156" t="s">
        <v>152</v>
      </c>
      <c r="F4" s="156"/>
      <c r="H4" s="276">
        <v>1</v>
      </c>
      <c r="I4" s="264">
        <f t="shared" ref="I4:I13" si="0">IF(ROW()-3 &lt; $C$76, $C$77, IF(ROW()-3 = $C$76, $C$77 + $C$60, ""))</f>
        <v>0.44193951040398899</v>
      </c>
    </row>
    <row r="5" spans="2:9" x14ac:dyDescent="0.35">
      <c r="H5" s="276">
        <v>2</v>
      </c>
      <c r="I5" s="264">
        <f t="shared" si="0"/>
        <v>0.44193951040398899</v>
      </c>
    </row>
    <row r="6" spans="2:9" ht="13.15" x14ac:dyDescent="0.4">
      <c r="B6" s="160" t="s">
        <v>97</v>
      </c>
      <c r="C6" s="107">
        <f>Valuation_Model!C3</f>
        <v>1000000</v>
      </c>
      <c r="E6" s="100" t="s">
        <v>285</v>
      </c>
      <c r="F6" s="100"/>
      <c r="H6" s="276">
        <v>3</v>
      </c>
      <c r="I6" s="264">
        <f t="shared" si="0"/>
        <v>8.347074558996221</v>
      </c>
    </row>
    <row r="7" spans="2:9" ht="12.75" customHeight="1" x14ac:dyDescent="0.35">
      <c r="B7" s="100" t="s">
        <v>279</v>
      </c>
      <c r="C7" s="115">
        <f>Normalized_FCF!G8</f>
        <v>245516</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46"/>
      <c r="H7" s="276">
        <v>4</v>
      </c>
      <c r="I7" s="264" t="str">
        <f t="shared" si="0"/>
        <v/>
      </c>
    </row>
    <row r="8" spans="2:9" x14ac:dyDescent="0.35">
      <c r="B8" s="100" t="s">
        <v>67</v>
      </c>
      <c r="C8" s="115">
        <f>Normalized_FCF!G19</f>
        <v>418605.86669267842</v>
      </c>
      <c r="D8" t="str">
        <f>Reporting_currency</f>
        <v>CNY</v>
      </c>
      <c r="E8" s="346"/>
      <c r="F8" s="346"/>
      <c r="H8" s="276">
        <v>5</v>
      </c>
      <c r="I8" s="264" t="str">
        <f t="shared" si="0"/>
        <v/>
      </c>
    </row>
    <row r="9" spans="2:9" x14ac:dyDescent="0.35">
      <c r="B9" s="100" t="s">
        <v>58</v>
      </c>
      <c r="C9" s="201">
        <f>Normalized_FCF!C19</f>
        <v>131923.21948735364</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0.16638727228030792</v>
      </c>
      <c r="D12" s="159"/>
      <c r="E12" s="346"/>
      <c r="F12" s="346"/>
      <c r="H12" s="276">
        <v>9</v>
      </c>
      <c r="I12" s="264" t="str">
        <f t="shared" si="0"/>
        <v/>
      </c>
    </row>
    <row r="13" spans="2:9" x14ac:dyDescent="0.35">
      <c r="B13" s="149" t="s">
        <v>154</v>
      </c>
      <c r="C13" s="159">
        <f ca="1">(Normalized_FCF!G8/OFFSET(Normalized_FCF!G8, 0, $C$4))^(1/$C$4) - 1</f>
        <v>0.15587431850223021</v>
      </c>
      <c r="E13" s="346"/>
      <c r="F13" s="346"/>
      <c r="H13" s="276">
        <v>10</v>
      </c>
      <c r="I13" s="264" t="str">
        <f t="shared" si="0"/>
        <v/>
      </c>
    </row>
    <row r="14" spans="2:9" x14ac:dyDescent="0.35">
      <c r="B14" s="100" t="s">
        <v>67</v>
      </c>
      <c r="C14" s="159">
        <f ca="1">(Normalized_FCF!G19/OFFSET(Normalized_FCF!G19, 0, $C$4))^(1/$C$4) - 1</f>
        <v>0.48601257847513946</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5.82</v>
      </c>
      <c r="D21" t="str">
        <f>Market_currency</f>
        <v>HKD</v>
      </c>
      <c r="E21" s="347"/>
      <c r="F21" s="347"/>
    </row>
    <row r="22" spans="2:6" x14ac:dyDescent="0.35">
      <c r="B22" s="100" t="s">
        <v>284</v>
      </c>
      <c r="C22" s="161">
        <f>Valuation_Model!C12</f>
        <v>7.9836869275755991</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0.01</v>
      </c>
      <c r="D26" s="165"/>
      <c r="E26" s="345"/>
      <c r="F26" s="345"/>
    </row>
    <row r="27" spans="2:6" x14ac:dyDescent="0.35">
      <c r="B27" s="100" t="s">
        <v>115</v>
      </c>
      <c r="C27" s="161">
        <f>Valuation_Model!E76</f>
        <v>8.1374104870973305</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-0.06</v>
      </c>
      <c r="D32" s="165"/>
      <c r="E32" s="345"/>
      <c r="F32" s="345"/>
    </row>
    <row r="33" spans="2:6" x14ac:dyDescent="0.35">
      <c r="B33" s="100" t="s">
        <v>115</v>
      </c>
      <c r="C33" s="161">
        <f>Valuation_Model!E77</f>
        <v>7.1063078718340984</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0.02</v>
      </c>
      <c r="D38" s="165"/>
      <c r="E38" s="345"/>
      <c r="F38" s="345"/>
    </row>
    <row r="39" spans="2:6" x14ac:dyDescent="0.35">
      <c r="B39" s="100" t="s">
        <v>115</v>
      </c>
      <c r="C39" s="161">
        <f>Valuation_Model!E75</f>
        <v>8.293403104516619</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7.9623884875285409</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-0.15</v>
      </c>
      <c r="D50" s="165"/>
      <c r="E50" s="345"/>
      <c r="F50" s="345"/>
    </row>
    <row r="51" spans="2:6" x14ac:dyDescent="0.35">
      <c r="B51" s="100" t="s">
        <v>115</v>
      </c>
      <c r="C51" s="161">
        <f>Valuation_Model!E78</f>
        <v>4.7430976704634746</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10.036610525867435</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7.905135048592232</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5</v>
      </c>
      <c r="D64" s="151"/>
      <c r="E64" s="281" t="s">
        <v>412</v>
      </c>
    </row>
    <row r="65" spans="2:6" x14ac:dyDescent="0.35">
      <c r="B65" s="119" t="s">
        <v>136</v>
      </c>
      <c r="C65" s="152">
        <v>-4.8975772939903201E-3</v>
      </c>
      <c r="D65" s="152"/>
      <c r="E65" s="281" t="s">
        <v>324</v>
      </c>
    </row>
    <row r="66" spans="2:6" x14ac:dyDescent="0.35">
      <c r="B66" s="100" t="s">
        <v>104</v>
      </c>
      <c r="C66" s="161">
        <f>Valuation_Model!C18</f>
        <v>7.9092125531227566</v>
      </c>
      <c r="D66" s="161" t="str">
        <f>Market_currency</f>
        <v>HKD</v>
      </c>
      <c r="E66" s="281" t="s">
        <v>325</v>
      </c>
    </row>
    <row r="68" spans="2:6" ht="13.15" x14ac:dyDescent="0.4">
      <c r="B68" s="109" t="s">
        <v>363</v>
      </c>
      <c r="E68" s="282" t="s">
        <v>326</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-0.20434577001864196</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0.44193951040398899</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0.86266592430858646</v>
      </c>
      <c r="D81" s="117"/>
      <c r="E81" s="100"/>
      <c r="F81" s="100"/>
    </row>
    <row r="82" spans="2:8" x14ac:dyDescent="0.35">
      <c r="B82" s="100" t="s">
        <v>124</v>
      </c>
      <c r="C82" s="117">
        <f>C60/(1+C80)^C76</f>
        <v>4.0474291448792226</v>
      </c>
      <c r="D82" s="117"/>
    </row>
    <row r="83" spans="2:8" ht="13.15" x14ac:dyDescent="0.4">
      <c r="B83" s="111" t="s">
        <v>103</v>
      </c>
      <c r="C83" s="112">
        <f>C81+C82</f>
        <v>4.9100950691878094</v>
      </c>
      <c r="D83" t="str">
        <f>Market_currency</f>
        <v>HKD</v>
      </c>
      <c r="E83" s="147" t="s">
        <v>128</v>
      </c>
      <c r="F83" s="329">
        <f>(1-C83/C60)</f>
        <v>0.3788727151394824</v>
      </c>
    </row>
    <row r="84" spans="2:8" x14ac:dyDescent="0.35">
      <c r="E84" s="121"/>
    </row>
    <row r="85" spans="2:8" ht="13.15" x14ac:dyDescent="0.4">
      <c r="B85" s="109" t="s">
        <v>313</v>
      </c>
    </row>
    <row r="86" spans="2:8" x14ac:dyDescent="0.35">
      <c r="B86" s="149" t="s">
        <v>311</v>
      </c>
      <c r="C86" s="266">
        <f>Market_Price</f>
        <v>5.82</v>
      </c>
      <c r="D86" t="str">
        <f>Market_currency</f>
        <v>HKD</v>
      </c>
    </row>
    <row r="87" spans="2:8" ht="13.15" x14ac:dyDescent="0.4">
      <c r="B87" s="100" t="s">
        <v>309</v>
      </c>
      <c r="C87" s="265">
        <f ca="1">IRR(OFFSET($I$3, 0, 0, $C$76 + 1, 1))</f>
        <v>0.17654933116845006</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2025-04-23T14:42:07Z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