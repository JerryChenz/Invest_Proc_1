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2B20F9D-FF8A-4485-9A7A-F1970A03E6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N126" i="2"/>
  <c r="N48" i="2"/>
  <c r="P126" i="2"/>
  <c r="P48" i="2"/>
  <c r="Q126" i="2"/>
  <c r="Q48" i="2"/>
  <c r="D69" i="4"/>
  <c r="O126" i="2"/>
  <c r="O48" i="2"/>
  <c r="K126" i="2"/>
  <c r="M126" i="2"/>
  <c r="M48"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H48" i="2"/>
  <c r="H50" i="2" s="1"/>
  <c r="H12" i="2" s="1"/>
  <c r="H80" i="2" s="1"/>
  <c r="J48" i="2"/>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C89" i="6"/>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<sst xmlns="http://schemas.openxmlformats.org/spreadsheetml/2006/main" count="604" uniqueCount="427">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</sst>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325</v>
      </c>
      <c r="C5" s="333" t="s">
        <v>423</v>
      </c>
      <c r="D5" s="49" t="s">
        <v>424</v>
      </c>
    </row>
    <row r="6" spans="1:10" x14ac:dyDescent="0.35">
      <c r="B6" s="4" t="s">
        <v>96</v>
      </c>
      <c r="C6" s="50">
        <v>5.8</v>
      </c>
      <c r="D6" s="48" t="s">
        <v>41</v>
      </c>
      <c r="E6" s="48"/>
    </row>
    <row r="7" spans="1:10" x14ac:dyDescent="0.35">
      <c r="B7" s="4" t="s">
        <v>0</v>
      </c>
      <c r="C7" s="51">
        <v>183020977818</v>
      </c>
      <c r="D7" s="34"/>
      <c r="E7" s="34"/>
    </row>
    <row r="8" spans="1:10" x14ac:dyDescent="0.35">
      <c r="B8" s="2" t="s">
        <v>316</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1061521.6713443999</v>
      </c>
      <c r="D10" s="32"/>
      <c r="E10" s="5"/>
    </row>
    <row r="11" spans="1:10" x14ac:dyDescent="0.35">
      <c r="D11" s="5"/>
      <c r="E11" s="5"/>
    </row>
    <row r="12" spans="1:10" ht="24.4" customHeight="1" x14ac:dyDescent="0.35">
      <c r="B12" s="342" t="s">
        <v>371</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Negative Growth </v>
      </c>
      <c r="E15" s="5"/>
    </row>
    <row r="16" spans="1:10" x14ac:dyDescent="0.35">
      <c r="B16" s="4" t="s">
        <v>358</v>
      </c>
      <c r="C16" s="48" t="s">
        <v>403</v>
      </c>
      <c r="D16" s="32"/>
      <c r="E16" s="5"/>
    </row>
    <row r="17" spans="1:6" x14ac:dyDescent="0.35">
      <c r="B17" s="4" t="s">
        <v>1</v>
      </c>
      <c r="C17" s="50">
        <v>1.06671125</v>
      </c>
      <c r="D17" s="32" t="str">
        <f>IF(C16=D6,D6,C16&amp;"/"&amp;D6)</f>
        <v>CNY/HKD</v>
      </c>
      <c r="E17" s="5"/>
    </row>
    <row r="18" spans="1:6" x14ac:dyDescent="0.35">
      <c r="B18" s="2" t="s">
        <v>57</v>
      </c>
      <c r="C18" s="48" t="s">
        <v>425</v>
      </c>
      <c r="E18" s="5"/>
    </row>
    <row r="19" spans="1:6" x14ac:dyDescent="0.35">
      <c r="B19" s="2" t="s">
        <v>278</v>
      </c>
      <c r="C19" s="249">
        <v>0.25</v>
      </c>
      <c r="D19" s="1" t="s">
        <v>409</v>
      </c>
      <c r="E19" s="336">
        <v>3.4500000000000003E-2</v>
      </c>
    </row>
    <row r="20" spans="1:6" x14ac:dyDescent="0.35">
      <c r="B20" s="2" t="str">
        <f>"Target Buy Price ("&amp;Market_currency&amp;"):"</f>
        <v>Target Buy Price (HKD):</v>
      </c>
      <c r="C20" s="252">
        <f>C133</f>
        <v>4.9152072503751691</v>
      </c>
      <c r="D20" s="1" t="s">
        <v>317</v>
      </c>
      <c r="E20" s="330">
        <v>3</v>
      </c>
    </row>
    <row r="21" spans="1:6" x14ac:dyDescent="0.35">
      <c r="B21" s="1" t="s">
        <v>413</v>
      </c>
      <c r="C21" s="280">
        <f ca="1">Scenarios!C87</f>
        <v>0.17842892639139052</v>
      </c>
      <c r="D21" s="5"/>
      <c r="E21" s="5"/>
    </row>
    <row r="22" spans="1:6" x14ac:dyDescent="0.35">
      <c r="D22" s="5"/>
      <c r="E22" s="5"/>
    </row>
    <row r="23" spans="1:6" ht="13.9" x14ac:dyDescent="0.45">
      <c r="A23" s="247" t="s">
        <v>366</v>
      </c>
      <c r="B23" s="36"/>
      <c r="C23" s="36"/>
      <c r="D23" s="36"/>
      <c r="E23" s="36"/>
      <c r="F23" s="36"/>
    </row>
    <row r="25" spans="1:6" ht="24.4" customHeight="1" x14ac:dyDescent="0.35">
      <c r="B25" s="342" t="s">
        <v>372</v>
      </c>
      <c r="C25" s="342"/>
      <c r="D25" s="342"/>
      <c r="E25" s="342"/>
      <c r="F25" s="342"/>
    </row>
    <row r="26" spans="1:6" ht="24.4" customHeight="1" x14ac:dyDescent="0.35">
      <c r="B26" s="345" t="s">
        <v>350</v>
      </c>
      <c r="C26" s="345"/>
      <c r="D26" s="345"/>
      <c r="E26" s="345"/>
      <c r="F26" s="345"/>
    </row>
    <row r="28" spans="1:6" x14ac:dyDescent="0.35">
      <c r="B28" s="234" t="s">
        <v>232</v>
      </c>
      <c r="C28" s="108">
        <f>Data!C3</f>
        <v>1000000</v>
      </c>
    </row>
    <row r="29" spans="1:6" ht="24.4" customHeight="1" x14ac:dyDescent="0.35">
      <c r="B29" s="343" t="s">
        <v>233</v>
      </c>
      <c r="C29" s="343"/>
      <c r="D29" s="343"/>
      <c r="E29" s="343"/>
      <c r="F29" s="343"/>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43" t="s">
        <v>238</v>
      </c>
      <c r="C36" s="343"/>
      <c r="D36" s="343"/>
      <c r="E36" s="343"/>
      <c r="F36" s="343"/>
    </row>
    <row r="37" spans="2:6" x14ac:dyDescent="0.35">
      <c r="B37" s="47" t="s">
        <v>239</v>
      </c>
      <c r="C37" s="188">
        <f>Normalized_FCF!C11</f>
        <v>18644</v>
      </c>
      <c r="D37" s="1" t="str">
        <f>Reporting_currency</f>
        <v>CNY</v>
      </c>
    </row>
    <row r="39" spans="2:6" x14ac:dyDescent="0.35">
      <c r="B39" s="343" t="s">
        <v>242</v>
      </c>
      <c r="C39" s="343"/>
      <c r="D39" s="343"/>
      <c r="E39" s="343"/>
      <c r="F39" s="343"/>
    </row>
    <row r="40" spans="2:6" x14ac:dyDescent="0.35">
      <c r="B40" s="47" t="s">
        <v>351</v>
      </c>
      <c r="C40" s="322">
        <f>Normalized_FCF!C48</f>
        <v>8793.8666926784372</v>
      </c>
      <c r="D40" s="1" t="str">
        <f>Reporting_currency</f>
        <v>CNY</v>
      </c>
      <c r="E40" s="321"/>
      <c r="F40" s="321"/>
    </row>
    <row r="41" spans="2:6" x14ac:dyDescent="0.35">
      <c r="B41" s="47" t="s">
        <v>352</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267</v>
      </c>
      <c r="C45" s="188">
        <f>Normalized_FCF!C15</f>
        <v>-17915.118234001515</v>
      </c>
      <c r="D45" s="1" t="str">
        <f>Reporting_currency</f>
        <v>CNY</v>
      </c>
    </row>
    <row r="47" spans="2:6" x14ac:dyDescent="0.35">
      <c r="B47" s="343" t="s">
        <v>243</v>
      </c>
      <c r="C47" s="343"/>
      <c r="D47" s="343"/>
      <c r="E47" s="343"/>
      <c r="F47" s="343"/>
    </row>
    <row r="48" spans="2:6" x14ac:dyDescent="0.35">
      <c r="B48" s="47" t="s">
        <v>241</v>
      </c>
      <c r="C48" s="188">
        <f>Normalized_FCF!C14</f>
        <v>-63516.176096347837</v>
      </c>
      <c r="D48" s="1" t="str">
        <f>Reporting_currency</f>
        <v>CNY</v>
      </c>
    </row>
    <row r="50" spans="1:6" x14ac:dyDescent="0.35">
      <c r="B50" s="343" t="s">
        <v>349</v>
      </c>
      <c r="C50" s="344"/>
      <c r="D50" s="344"/>
      <c r="E50" s="344"/>
      <c r="F50" s="344"/>
    </row>
    <row r="51" spans="1:6" x14ac:dyDescent="0.35">
      <c r="B51" s="47" t="s">
        <v>244</v>
      </c>
      <c r="C51" s="1">
        <f>Normalized_FCF!C17</f>
        <v>0</v>
      </c>
      <c r="D51" s="1" t="str">
        <f>Reporting_currency</f>
        <v>CNY</v>
      </c>
    </row>
    <row r="53" spans="1:6" ht="24.4" customHeight="1" x14ac:dyDescent="0.35">
      <c r="B53" s="342" t="s">
        <v>354</v>
      </c>
      <c r="C53" s="342"/>
      <c r="D53" s="342"/>
      <c r="E53" s="342"/>
      <c r="F53" s="342"/>
    </row>
    <row r="54" spans="1:6" ht="24.4" customHeight="1" x14ac:dyDescent="0.35">
      <c r="B54" s="342" t="s">
        <v>373</v>
      </c>
      <c r="C54" s="342"/>
      <c r="D54" s="342"/>
      <c r="E54" s="342"/>
      <c r="F54" s="342"/>
    </row>
    <row r="56" spans="1:6" x14ac:dyDescent="0.35">
      <c r="B56" s="47" t="s">
        <v>272</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402</v>
      </c>
      <c r="C58" s="92">
        <f>Normalized_FCF!C125</f>
        <v>0.13256816715305936</v>
      </c>
    </row>
    <row r="59" spans="1:6" x14ac:dyDescent="0.35">
      <c r="B59" s="254" t="s">
        <v>318</v>
      </c>
      <c r="C59" s="92">
        <f>Normalized_FCF!C93</f>
        <v>7.6196467311032592E-2</v>
      </c>
    </row>
    <row r="61" spans="1:6" ht="13.9" x14ac:dyDescent="0.45">
      <c r="A61" s="247" t="s">
        <v>367</v>
      </c>
      <c r="B61" s="36"/>
      <c r="C61" s="36"/>
      <c r="D61" s="36"/>
      <c r="E61" s="36"/>
      <c r="F61" s="36"/>
    </row>
    <row r="62" spans="1:6" x14ac:dyDescent="0.35">
      <c r="A62" s="233"/>
    </row>
    <row r="63" spans="1:6" ht="24.4" customHeight="1" x14ac:dyDescent="0.35">
      <c r="A63" s="17"/>
      <c r="B63" s="342" t="s">
        <v>374</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42" t="s">
        <v>375</v>
      </c>
      <c r="C73" s="342"/>
      <c r="D73" s="342"/>
      <c r="E73" s="342"/>
      <c r="F73" s="342"/>
    </row>
    <row r="74" spans="1:6" ht="24.4" customHeight="1" x14ac:dyDescent="0.35">
      <c r="B74" s="342" t="s">
        <v>376</v>
      </c>
      <c r="C74" s="342"/>
      <c r="D74" s="342"/>
      <c r="E74" s="342"/>
      <c r="F74" s="342"/>
    </row>
    <row r="76" spans="1:6" x14ac:dyDescent="0.35">
      <c r="B76" s="47" t="s">
        <v>253</v>
      </c>
      <c r="C76" s="263">
        <v>0</v>
      </c>
    </row>
    <row r="77" spans="1:6" x14ac:dyDescent="0.35">
      <c r="B77" s="47" t="s">
        <v>285</v>
      </c>
      <c r="C77" s="248">
        <f>Valuation_Model!C6*C28*Exchange_Rate/Common_Shares</f>
        <v>9.6111921185968026</v>
      </c>
      <c r="D77" s="1" t="str">
        <f>Market_currency</f>
        <v>HKD</v>
      </c>
    </row>
    <row r="79" spans="1:6" ht="13.9" x14ac:dyDescent="0.45">
      <c r="A79" s="247" t="s">
        <v>369</v>
      </c>
      <c r="B79" s="36"/>
      <c r="C79" s="36"/>
      <c r="D79" s="36"/>
      <c r="E79" s="36"/>
      <c r="F79" s="36"/>
    </row>
    <row r="80" spans="1:6" x14ac:dyDescent="0.35">
      <c r="A80" s="233"/>
    </row>
    <row r="81" spans="2:6" x14ac:dyDescent="0.35">
      <c r="B81" s="342" t="s">
        <v>377</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279749</v>
      </c>
      <c r="D86" s="1" t="str">
        <f>Reporting_currency</f>
        <v>CNY</v>
      </c>
    </row>
    <row r="87" spans="2:6" x14ac:dyDescent="0.35">
      <c r="B87" s="47" t="s">
        <v>286</v>
      </c>
      <c r="C87" s="248">
        <f>C86*C28*Exchange_Rate/Common_Shares</f>
        <v>1.6304765116761464</v>
      </c>
      <c r="D87" s="1" t="str">
        <f>Market_currency</f>
        <v>HKD</v>
      </c>
    </row>
    <row r="88" spans="2:6" x14ac:dyDescent="0.35">
      <c r="B88" s="337" t="s">
        <v>419</v>
      </c>
      <c r="C88" s="338">
        <f>BS!G30/BS!G27</f>
        <v>0.61007460831657279</v>
      </c>
    </row>
    <row r="89" spans="2:6" x14ac:dyDescent="0.35">
      <c r="B89" s="337" t="s">
        <v>420</v>
      </c>
      <c r="C89" s="338">
        <f>BS!G31/BS!G27</f>
        <v>0.16360901428944893</v>
      </c>
    </row>
    <row r="90" spans="2:6" x14ac:dyDescent="0.35">
      <c r="B90" s="337" t="s">
        <v>422</v>
      </c>
      <c r="C90" s="339">
        <f>BS!C50</f>
        <v>1.1309485990394448</v>
      </c>
    </row>
    <row r="92" spans="2:6" x14ac:dyDescent="0.35">
      <c r="B92" s="1" t="s">
        <v>256</v>
      </c>
    </row>
    <row r="93" spans="2:6" x14ac:dyDescent="0.35">
      <c r="B93" s="47" t="s">
        <v>266</v>
      </c>
      <c r="C93" s="188">
        <f>BS!C66</f>
        <v>216246</v>
      </c>
      <c r="D93" s="1" t="str">
        <f>Reporting_currency</f>
        <v>CNY</v>
      </c>
    </row>
    <row r="94" spans="2:6" x14ac:dyDescent="0.35">
      <c r="B94" s="47" t="s">
        <v>268</v>
      </c>
      <c r="C94" s="188">
        <f>Valuation_Model!C8</f>
        <v>126.15719684722717</v>
      </c>
      <c r="D94" s="1" t="str">
        <f>Reporting_currency</f>
        <v>CNY</v>
      </c>
    </row>
    <row r="95" spans="2:6" x14ac:dyDescent="0.35">
      <c r="B95" s="47" t="s">
        <v>287</v>
      </c>
      <c r="C95" s="248">
        <f>C94*C28*Exchange_Rate/Common_Shares</f>
        <v>7.352889420098298E-4</v>
      </c>
      <c r="D95" s="1" t="str">
        <f>Market_currency</f>
        <v>HKD</v>
      </c>
    </row>
    <row r="97" spans="1:6" x14ac:dyDescent="0.35">
      <c r="B97" s="1" t="s">
        <v>258</v>
      </c>
    </row>
    <row r="98" spans="1:6" x14ac:dyDescent="0.35">
      <c r="B98" s="47" t="s">
        <v>259</v>
      </c>
      <c r="C98" s="188">
        <f>Valuation_Model!C9</f>
        <v>2113.7999999999997</v>
      </c>
      <c r="D98" s="1" t="str">
        <f>Reporting_currency</f>
        <v>CNY</v>
      </c>
    </row>
    <row r="99" spans="1:6" x14ac:dyDescent="0.35">
      <c r="B99" s="47" t="s">
        <v>288</v>
      </c>
      <c r="C99" s="248">
        <f>C98*C28*Exchange_Rate/Common_Shares</f>
        <v>1.2319977016472042E-2</v>
      </c>
      <c r="D99" s="1" t="str">
        <f>Market_currency</f>
        <v>HKD</v>
      </c>
    </row>
    <row r="101" spans="1:6" ht="24.4" customHeight="1" x14ac:dyDescent="0.35">
      <c r="B101" s="342" t="s">
        <v>378</v>
      </c>
      <c r="C101" s="342"/>
      <c r="D101" s="342"/>
      <c r="E101" s="342"/>
      <c r="F101" s="342"/>
    </row>
    <row r="103" spans="1:6" x14ac:dyDescent="0.35">
      <c r="B103" s="47" t="s">
        <v>284</v>
      </c>
      <c r="C103" s="248">
        <f>Valuation_Model!C12</f>
        <v>7.9937708728791401</v>
      </c>
      <c r="D103" s="1" t="str">
        <f>Market_currency</f>
        <v>HKD</v>
      </c>
    </row>
    <row r="104" spans="1:6" x14ac:dyDescent="0.35">
      <c r="B104" s="337" t="s">
        <v>421</v>
      </c>
      <c r="C104" s="248">
        <f>BS!D47</f>
        <v>-3.7849818877411923</v>
      </c>
      <c r="D104" s="1" t="str">
        <f>Market_currency</f>
        <v>HKD</v>
      </c>
    </row>
    <row r="106" spans="1:6" ht="13.9" x14ac:dyDescent="0.45">
      <c r="A106" s="247" t="s">
        <v>370</v>
      </c>
      <c r="B106" s="36"/>
      <c r="C106" s="36"/>
      <c r="D106" s="36"/>
      <c r="E106" s="36"/>
      <c r="F106" s="36"/>
    </row>
    <row r="108" spans="1:6" ht="24.4" customHeight="1" x14ac:dyDescent="0.35">
      <c r="B108" s="343" t="s">
        <v>379</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x14ac:dyDescent="0.35">
      <c r="B112" s="242" t="str">
        <f>Valuation_Model!B75</f>
        <v>Optimistic</v>
      </c>
      <c r="C112" s="243">
        <f>Valuation_Model!C75</f>
        <v>0.02</v>
      </c>
      <c r="D112" s="244">
        <f>Valuation_Model!D75</f>
        <v>5</v>
      </c>
      <c r="E112" s="245" t="str">
        <f>ROUND(Valuation_Model!E75,2)&amp;" "&amp;Market_currency</f>
        <v>8.3 HKD</v>
      </c>
      <c r="F112" s="246">
        <f>Valuation_Model!F75</f>
        <v>0.18</v>
      </c>
    </row>
    <row r="113" spans="1:6" x14ac:dyDescent="0.35">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x14ac:dyDescent="0.35">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x14ac:dyDescent="0.35">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x14ac:dyDescent="0.35">
      <c r="B117" s="235" t="s">
        <v>260</v>
      </c>
      <c r="C117" s="241">
        <f>Scenarios!C60</f>
        <v>7.9151197774737936</v>
      </c>
      <c r="D117" s="236" t="str">
        <f>Market_currency</f>
        <v>HKD</v>
      </c>
    </row>
    <row r="119" spans="1:6" ht="24.4" customHeight="1" x14ac:dyDescent="0.35">
      <c r="B119" s="346" t="s">
        <v>382</v>
      </c>
      <c r="C119" s="346"/>
      <c r="D119" s="346"/>
      <c r="E119" s="346"/>
      <c r="F119" s="346"/>
    </row>
    <row r="121" spans="1:6" ht="13.9" x14ac:dyDescent="0.45">
      <c r="A121" s="247" t="s">
        <v>417</v>
      </c>
      <c r="B121" s="36"/>
      <c r="C121" s="36"/>
      <c r="D121" s="36"/>
      <c r="E121" s="36"/>
      <c r="F121" s="36"/>
    </row>
    <row r="123" spans="1:6" x14ac:dyDescent="0.35">
      <c r="B123" s="347" t="s">
        <v>380</v>
      </c>
      <c r="C123" s="347"/>
      <c r="D123" s="347"/>
      <c r="E123" s="347"/>
      <c r="F123" s="347"/>
    </row>
    <row r="124" spans="1:6" ht="24.4" customHeight="1" x14ac:dyDescent="0.35">
      <c r="B124" s="342" t="s">
        <v>381</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0.44193951040398899</v>
      </c>
      <c r="D128" s="236" t="str">
        <f>Market_currency</f>
        <v>HKD</v>
      </c>
    </row>
    <row r="130" spans="1:6" x14ac:dyDescent="0.35">
      <c r="B130" s="234" t="s">
        <v>414</v>
      </c>
    </row>
    <row r="131" spans="1:6" x14ac:dyDescent="0.35">
      <c r="B131" s="236" t="str">
        <f>"PV("&amp;C126&amp;" yrs of Dividends)"</f>
        <v>PV(3 yrs of Dividends)</v>
      </c>
      <c r="C131" s="240">
        <f>Scenarios!C81</f>
        <v>0.86266592430858646</v>
      </c>
    </row>
    <row r="132" spans="1:6" x14ac:dyDescent="0.35">
      <c r="B132" s="236" t="str">
        <f>"+ PV(Equity Value realized at year "&amp;C126&amp;")"</f>
        <v>+ PV(Equity Value realized at year 3)</v>
      </c>
      <c r="C132" s="240">
        <f>Scenarios!C82</f>
        <v>4.0525413260665824</v>
      </c>
    </row>
    <row r="133" spans="1:6" x14ac:dyDescent="0.35">
      <c r="B133" s="80" t="s">
        <v>262</v>
      </c>
      <c r="C133" s="239">
        <f>Scenarios!C83</f>
        <v>4.9152072503751691</v>
      </c>
      <c r="D133" s="47" t="str">
        <f>Reporting_currency</f>
        <v>CNY</v>
      </c>
    </row>
    <row r="134" spans="1:6" x14ac:dyDescent="0.35">
      <c r="B134" s="238" t="s">
        <v>264</v>
      </c>
      <c r="C134" s="92">
        <f>Scenarios!F83</f>
        <v>0.37901037652472302</v>
      </c>
    </row>
    <row r="136" spans="1:6" x14ac:dyDescent="0.35">
      <c r="B136" s="234" t="s">
        <v>415</v>
      </c>
    </row>
    <row r="137" spans="1:6" x14ac:dyDescent="0.35">
      <c r="B137" s="236" t="str">
        <f>"PV("&amp;C126&amp;" yrs of Dividends)"</f>
        <v>PV(3 yrs of Dividends)</v>
      </c>
      <c r="C137" s="240">
        <f>Scenarios!C91</f>
        <v>1.1873458770290581</v>
      </c>
    </row>
    <row r="138" spans="1:6" x14ac:dyDescent="0.35">
      <c r="B138" s="236" t="str">
        <f>"+ PV(Equity Value realized at year "&amp;C126&amp;")"</f>
        <v>+ PV(Equity Value realized at year 3)</v>
      </c>
      <c r="C138" s="240">
        <f>Scenarios!C92</f>
        <v>6.6976802431510594</v>
      </c>
    </row>
    <row r="139" spans="1:6" x14ac:dyDescent="0.35">
      <c r="B139" s="80" t="s">
        <v>416</v>
      </c>
      <c r="C139" s="239">
        <f>Scenarios!C93</f>
        <v>7.8850261201801173</v>
      </c>
      <c r="D139" s="101" t="str">
        <f>Reporting_currency</f>
        <v>CNY</v>
      </c>
    </row>
    <row r="140" spans="1:6" x14ac:dyDescent="0.35">
      <c r="B140" s="238" t="s">
        <v>264</v>
      </c>
      <c r="C140" s="92">
        <f>Scenarios!F93</f>
        <v>3.8020469859877393E-3</v>
      </c>
    </row>
    <row r="142" spans="1:6" ht="13.9" x14ac:dyDescent="0.45">
      <c r="A142" s="247" t="s">
        <v>386</v>
      </c>
      <c r="B142" s="36"/>
      <c r="C142" s="36"/>
      <c r="D142" s="36"/>
      <c r="E142" s="36"/>
      <c r="F142" s="36"/>
    </row>
    <row r="144" spans="1:6" x14ac:dyDescent="0.35">
      <c r="B144" s="341" t="s">
        <v>388</v>
      </c>
      <c r="C144" s="342"/>
      <c r="D144" s="342"/>
      <c r="E144" s="342"/>
      <c r="F144" s="342"/>
    </row>
    <row r="146" spans="2:6" x14ac:dyDescent="0.35">
      <c r="B146" s="234" t="s">
        <v>387</v>
      </c>
    </row>
    <row r="147" spans="2:6" x14ac:dyDescent="0.35">
      <c r="B147" s="344" t="s">
        <v>392</v>
      </c>
      <c r="C147" s="344"/>
      <c r="D147" s="344"/>
      <c r="E147" s="344"/>
      <c r="F147" s="344"/>
    </row>
    <row r="148" spans="2:6" x14ac:dyDescent="0.35">
      <c r="B148" s="238" t="s">
        <v>389</v>
      </c>
    </row>
    <row r="149" spans="2:6" x14ac:dyDescent="0.35">
      <c r="B149" s="238" t="s">
        <v>390</v>
      </c>
    </row>
    <row r="150" spans="2:6" x14ac:dyDescent="0.35">
      <c r="B150" s="238" t="s">
        <v>391</v>
      </c>
    </row>
    <row r="152" spans="2:6" x14ac:dyDescent="0.35">
      <c r="B152" s="1" t="s">
        <v>396</v>
      </c>
    </row>
    <row r="153" spans="2:6" ht="46.5" customHeight="1" x14ac:dyDescent="0.35">
      <c r="B153" s="343" t="s">
        <v>393</v>
      </c>
      <c r="C153" s="343"/>
      <c r="D153" s="343"/>
      <c r="E153" s="343"/>
      <c r="F153" s="343"/>
    </row>
    <row r="155" spans="2:6" x14ac:dyDescent="0.35">
      <c r="B155" s="1" t="s">
        <v>397</v>
      </c>
    </row>
    <row r="156" spans="2:6" ht="24.4" customHeight="1" x14ac:dyDescent="0.35">
      <c r="B156" s="340" t="s">
        <v>394</v>
      </c>
      <c r="C156" s="340"/>
      <c r="D156" s="340"/>
      <c r="E156" s="340"/>
      <c r="F156" s="340"/>
    </row>
    <row r="157" spans="2:6" ht="24.4" customHeight="1" x14ac:dyDescent="0.35">
      <c r="B157" s="340" t="s">
        <v>395</v>
      </c>
      <c r="C157" s="340"/>
      <c r="D157" s="340"/>
      <c r="E157" s="340"/>
      <c r="F157" s="340"/>
    </row>
    <row r="159" spans="2:6" x14ac:dyDescent="0.35">
      <c r="B159" s="1" t="s">
        <v>401</v>
      </c>
    </row>
    <row r="160" spans="2:6" x14ac:dyDescent="0.35">
      <c r="B160" s="238" t="s">
        <v>398</v>
      </c>
    </row>
    <row r="161" spans="2:2" x14ac:dyDescent="0.35">
      <c r="B161" s="238" t="s">
        <v>399</v>
      </c>
    </row>
    <row r="162" spans="2:2" x14ac:dyDescent="0.35">
      <c r="B162"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383</v>
      </c>
      <c r="C22" s="181">
        <v>406532</v>
      </c>
      <c r="D22" s="181">
        <v>456596</v>
      </c>
      <c r="E22" s="181">
        <v>393768</v>
      </c>
      <c r="F22" s="181">
        <v>276599</v>
      </c>
      <c r="G22" s="181">
        <v>256657</v>
      </c>
      <c r="H22" s="181"/>
      <c r="I22" s="181"/>
      <c r="J22" s="181"/>
      <c r="K22" s="181"/>
      <c r="L22" s="181"/>
      <c r="M22" s="181"/>
    </row>
    <row r="23" spans="2:13" x14ac:dyDescent="0.35">
      <c r="B23" s="27" t="s">
        <v>385</v>
      </c>
      <c r="C23" s="181">
        <v>-307347</v>
      </c>
      <c r="D23" s="181">
        <v>-255789</v>
      </c>
      <c r="E23" s="181">
        <v>-232971</v>
      </c>
      <c r="F23" s="181">
        <v>-149026</v>
      </c>
      <c r="G23" s="181">
        <v>-140250</v>
      </c>
      <c r="H23" s="181"/>
      <c r="I23" s="181"/>
      <c r="J23" s="181"/>
      <c r="K23" s="181"/>
      <c r="L23" s="181"/>
      <c r="M23" s="181"/>
    </row>
    <row r="24" spans="2:13" x14ac:dyDescent="0.35">
      <c r="B24" s="27" t="s">
        <v>384</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x14ac:dyDescent="0.35">
      <c r="B27" s="16" t="s">
        <v>28</v>
      </c>
      <c r="C27" s="97" t="s">
        <v>426</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406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273</v>
      </c>
      <c r="C45" s="261" t="s">
        <v>138</v>
      </c>
      <c r="D45" s="203" t="s">
        <v>421</v>
      </c>
      <c r="F45" s="287" t="s">
        <v>60</v>
      </c>
    </row>
    <row r="46" spans="2:8" ht="15" customHeight="1" x14ac:dyDescent="0.35">
      <c r="B46" s="1" t="s">
        <v>275</v>
      </c>
      <c r="C46" s="188">
        <f>G29</f>
        <v>1515371</v>
      </c>
      <c r="D46" s="188">
        <f>H29</f>
        <v>-649408.25</v>
      </c>
      <c r="F46" s="283"/>
    </row>
    <row r="47" spans="2:8" ht="15" customHeight="1" x14ac:dyDescent="0.35">
      <c r="B47" s="1" t="str">
        <f>"Equity per share ("&amp;Market_currency&amp;")"</f>
        <v>Equity per share (HKD)</v>
      </c>
      <c r="C47" s="148">
        <f>C46*H1/Common_Shares*Exchange_Rate</f>
        <v>8.8321203006094517</v>
      </c>
      <c r="D47" s="148">
        <f>D46*H1/Common_Shares*Exchange_Rate</f>
        <v>-3.7849818877411923</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0.12834612777992979</v>
      </c>
      <c r="D62" s="92">
        <f>G28/G29</f>
        <v>0.12834612777992979</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-231112.43344421219</v>
      </c>
      <c r="D73" s="188">
        <f>(Normalized_FCF!C25+Normalized_FCF!C35-Normalized_FCF!C91)/12</f>
        <v>-216119.84280315277</v>
      </c>
      <c r="F73" s="1" t="s">
        <v>362</v>
      </c>
    </row>
    <row r="74" spans="2:6" ht="15" customHeight="1" x14ac:dyDescent="0.35">
      <c r="B74" s="288" t="s">
        <v>332</v>
      </c>
      <c r="C74" s="289">
        <f>-$C$66/C73</f>
        <v>0.93567445410590266</v>
      </c>
      <c r="D74" s="289">
        <f>-$C$66/D73</f>
        <v>1.0005837372228803</v>
      </c>
      <c r="F74" s="283" t="s">
        <v>329</v>
      </c>
    </row>
    <row r="75" spans="2:6" ht="15" customHeight="1" x14ac:dyDescent="0.35">
      <c r="B75" s="80" t="s">
        <v>330</v>
      </c>
      <c r="C75" s="293"/>
      <c r="D75" s="292">
        <f>MAX(-D73*D76,G5)</f>
        <v>216119.84280315277</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-298411.40547624999</v>
      </c>
      <c r="D86" s="248">
        <f>C86*$H$1/Common_Shares</f>
        <v>-1.6304765116761464</v>
      </c>
      <c r="E86" s="269" t="str">
        <f>Market_currency</f>
        <v>HKD</v>
      </c>
    </row>
    <row r="87" spans="2:8" ht="15" customHeight="1" x14ac:dyDescent="0.35">
      <c r="B87" s="267" t="s">
        <v>296</v>
      </c>
      <c r="C87" s="188">
        <f>Valuation_Model!C8*Exchange_Rate</f>
        <v>134.57330114540176</v>
      </c>
      <c r="D87" s="248">
        <f>C87*$H$1/Common_Shares</f>
        <v>7.352889420098298E-4</v>
      </c>
      <c r="E87" s="269" t="str">
        <f>Market_currency</f>
        <v>HKD</v>
      </c>
    </row>
    <row r="88" spans="2:8" ht="15" customHeight="1" x14ac:dyDescent="0.35">
      <c r="B88" s="268" t="s">
        <v>191</v>
      </c>
      <c r="C88" s="188">
        <f>Valuation_Model!C9*Exchange_Rate</f>
        <v>2254.8142402499998</v>
      </c>
      <c r="D88" s="248">
        <f>C88*$H$1/Common_Shares</f>
        <v>1.2319977016472045E-2</v>
      </c>
      <c r="E88" s="269" t="str">
        <f>Market_currency</f>
        <v>HKD</v>
      </c>
    </row>
    <row r="89" spans="2:8" ht="15" customHeight="1" x14ac:dyDescent="0.35">
      <c r="B89" s="80" t="s">
        <v>300</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344</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346</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347</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365</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405</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407</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8" t="s">
        <v>251</v>
      </c>
      <c r="F6" s="348"/>
      <c r="H6" s="121"/>
    </row>
    <row r="7" spans="2:8" x14ac:dyDescent="0.35">
      <c r="B7" s="149" t="s">
        <v>226</v>
      </c>
      <c r="C7" s="226">
        <f>BS!G31</f>
        <v>279749</v>
      </c>
      <c r="D7" t="str">
        <f>Reporting_currency</f>
        <v>CNY</v>
      </c>
      <c r="E7" s="348"/>
      <c r="F7" s="348"/>
      <c r="H7" s="121"/>
    </row>
    <row r="8" spans="2:8" x14ac:dyDescent="0.35">
      <c r="B8" s="149" t="s">
        <v>227</v>
      </c>
      <c r="C8" s="201">
        <f>BS!D66</f>
        <v>126.15719684722717</v>
      </c>
      <c r="D8" t="str">
        <f>Reporting_currency</f>
        <v>CNY</v>
      </c>
      <c r="E8" s="348"/>
      <c r="F8" s="348"/>
      <c r="H8" s="121"/>
    </row>
    <row r="9" spans="2:8" x14ac:dyDescent="0.35">
      <c r="B9" s="227" t="s">
        <v>192</v>
      </c>
      <c r="C9" s="229">
        <f>BS!H42</f>
        <v>2113.7999999999997</v>
      </c>
      <c r="D9" t="str">
        <f>Reporting_currency</f>
        <v>CNY</v>
      </c>
      <c r="E9" s="348"/>
      <c r="F9" s="348"/>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7.9937708728791401</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-4.8975772939903201E-3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7.919202432172785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x14ac:dyDescent="0.35">
      <c r="B23" s="123">
        <v>3</v>
      </c>
      <c r="C23" s="124">
        <f t="shared" si="2"/>
        <v>129994.38453204895</v>
      </c>
      <c r="D23" s="139">
        <f>IF($C$17&lt;B23,0,Valuation_Model!$C$16)</f>
        <v>-4.8975772939903201E-3</v>
      </c>
      <c r="E23" s="125">
        <f t="shared" si="0"/>
        <v>0.79383224102016958</v>
      </c>
      <c r="F23" s="126">
        <f t="shared" si="1"/>
        <v>103193.73359311408</v>
      </c>
      <c r="H23" s="121"/>
    </row>
    <row r="24" spans="2:8" x14ac:dyDescent="0.35">
      <c r="B24" s="123">
        <v>4</v>
      </c>
      <c r="C24" s="124">
        <f t="shared" si="2"/>
        <v>129357.72698601855</v>
      </c>
      <c r="D24" s="139">
        <f>IF($C$17&lt;B24,0,Valuation_Model!$C$16)</f>
        <v>-4.8975772939903201E-3</v>
      </c>
      <c r="E24" s="125">
        <f t="shared" si="0"/>
        <v>0.73502985279645328</v>
      </c>
      <c r="F24" s="126">
        <f t="shared" si="1"/>
        <v>95081.791024617007</v>
      </c>
      <c r="H24" s="121"/>
    </row>
    <row r="25" spans="2:8" x14ac:dyDescent="0.35">
      <c r="B25" s="123">
        <v>5</v>
      </c>
      <c r="C25" s="124">
        <f t="shared" si="2"/>
        <v>128724.18751952963</v>
      </c>
      <c r="D25" s="139">
        <f>IF($C$17&lt;B25,0,Valuation_Model!$C$16)</f>
        <v>-4.8975772939903201E-3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7.9937708728791401</v>
      </c>
      <c r="C65" s="125">
        <f>C12</f>
        <v>7.9937708728791401</v>
      </c>
      <c r="D65" s="125">
        <f>C12</f>
        <v>7.9937708728791401</v>
      </c>
      <c r="E65" s="142">
        <f>C12</f>
        <v>7.9937708728791401</v>
      </c>
      <c r="F65" s="125">
        <f>C12</f>
        <v>7.9937708728791401</v>
      </c>
      <c r="H65" s="121"/>
    </row>
    <row r="66" spans="1:8" ht="13.15" x14ac:dyDescent="0.4">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x14ac:dyDescent="0.4">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x14ac:dyDescent="0.4">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x14ac:dyDescent="0.4">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x14ac:dyDescent="0.4">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x14ac:dyDescent="0.4">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10.049287454771823</v>
      </c>
      <c r="F74" s="143">
        <f>Scenarios!C58</f>
        <v>0.05</v>
      </c>
    </row>
    <row r="75" spans="1:8" x14ac:dyDescent="0.35">
      <c r="B75" s="128" t="str">
        <f>Scenarios!B36</f>
        <v>Optimistic</v>
      </c>
      <c r="C75" s="143">
        <f>Scenarios!C38</f>
        <v>0.02</v>
      </c>
      <c r="D75" s="146">
        <f>Scenarios!C37</f>
        <v>5</v>
      </c>
      <c r="E75" s="136">
        <f>INDEX(B$65:F$71, MATCH(D75, A$65:A$71, 0), MATCH(C75, B$64:F$64, 0))</f>
        <v>8.3038782426382429</v>
      </c>
      <c r="F75" s="143">
        <f>Scenarios!C40*(1-F$74-F$78)</f>
        <v>0.18</v>
      </c>
      <c r="H75" s="121"/>
    </row>
    <row r="76" spans="1:8" x14ac:dyDescent="0.35">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7.1152836270885009</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4.7490885288115274</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-5.8</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283</v>
      </c>
      <c r="F6" s="100"/>
      <c r="H6" s="276">
        <v>3</v>
      </c>
      <c r="I6" s="264">
        <f t="shared" si="0"/>
        <v>8.3570592878777834</v>
      </c>
    </row>
    <row r="7" spans="2:9" ht="12.75" customHeight="1" x14ac:dyDescent="0.35">
      <c r="B7" s="100" t="s">
        <v>277</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x14ac:dyDescent="0.35">
      <c r="B8" s="100" t="s">
        <v>67</v>
      </c>
      <c r="C8" s="115">
        <f>Normalized_FCF!G19</f>
        <v>418605.86669267842</v>
      </c>
      <c r="D8" t="str">
        <f>Reporting_currency</f>
        <v>CNY</v>
      </c>
      <c r="E8" s="350"/>
      <c r="F8" s="350"/>
      <c r="H8" s="276">
        <v>5</v>
      </c>
      <c r="I8" s="264" t="str">
        <f t="shared" si="0"/>
        <v/>
      </c>
    </row>
    <row r="9" spans="2:9" x14ac:dyDescent="0.35">
      <c r="B9" s="100" t="s">
        <v>58</v>
      </c>
      <c r="C9" s="201">
        <f>Normalized_FCF!C19</f>
        <v>131923.21948735364</v>
      </c>
      <c r="D9" t="str">
        <f>Reporting_currency</f>
        <v>CNY</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0.16638727228030792</v>
      </c>
      <c r="D12" s="159"/>
      <c r="E12" s="350"/>
      <c r="F12" s="350"/>
      <c r="H12" s="276">
        <v>9</v>
      </c>
      <c r="I12" s="264" t="str">
        <f t="shared" si="0"/>
        <v/>
      </c>
    </row>
    <row r="13" spans="2:9" x14ac:dyDescent="0.35">
      <c r="B13" s="149" t="s">
        <v>154</v>
      </c>
      <c r="C13" s="159">
        <f ca="1">(Normalized_FCF!G8/OFFSET(Normalized_FCF!G8, 0, $C$4))^(1/$C$4) - 1</f>
        <v>0.15587431850223021</v>
      </c>
      <c r="E13" s="350"/>
      <c r="F13" s="350"/>
      <c r="H13" s="276">
        <v>10</v>
      </c>
      <c r="I13" s="264" t="str">
        <f t="shared" si="0"/>
        <v/>
      </c>
    </row>
    <row r="14" spans="2:9" x14ac:dyDescent="0.35">
      <c r="B14" s="100" t="s">
        <v>67</v>
      </c>
      <c r="C14" s="159">
        <f ca="1">(Normalized_FCF!G19/OFFSET(Normalized_FCF!G19, 0, $C$4))^(1/$C$4) - 1</f>
        <v>0.48601257847513946</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5</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5.8</v>
      </c>
      <c r="D21" t="str">
        <f>Market_currency</f>
        <v>HKD</v>
      </c>
      <c r="E21" s="351"/>
      <c r="F21" s="351"/>
    </row>
    <row r="22" spans="2:6" x14ac:dyDescent="0.35">
      <c r="B22" s="100" t="s">
        <v>282</v>
      </c>
      <c r="C22" s="161">
        <f>Valuation_Model!C12</f>
        <v>7.9937708728791401</v>
      </c>
      <c r="D22" t="str">
        <f>Market_currency</f>
        <v>HKD</v>
      </c>
      <c r="E22" s="351"/>
      <c r="F22" s="351"/>
    </row>
    <row r="24" spans="2:6" ht="13.15" x14ac:dyDescent="0.4">
      <c r="B24" s="160" t="s">
        <v>117</v>
      </c>
      <c r="E24" s="160" t="s">
        <v>151</v>
      </c>
      <c r="F24" s="160"/>
    </row>
    <row r="25" spans="2:6" x14ac:dyDescent="0.35">
      <c r="B25" s="153" t="s">
        <v>135</v>
      </c>
      <c r="C25" s="167">
        <f>C18</f>
        <v>5</v>
      </c>
      <c r="D25" s="164"/>
      <c r="E25" s="349"/>
      <c r="F25" s="349"/>
    </row>
    <row r="26" spans="2:6" x14ac:dyDescent="0.35">
      <c r="B26" s="119" t="s">
        <v>136</v>
      </c>
      <c r="C26" s="165">
        <v>0.01</v>
      </c>
      <c r="D26" s="165"/>
      <c r="E26" s="349"/>
      <c r="F26" s="349"/>
    </row>
    <row r="27" spans="2:6" x14ac:dyDescent="0.35">
      <c r="B27" s="100" t="s">
        <v>115</v>
      </c>
      <c r="C27" s="161">
        <f>Valuation_Model!E76</f>
        <v>8.1476885958218759</v>
      </c>
      <c r="D27" s="161" t="str">
        <f>Market_currency</f>
        <v>HKD</v>
      </c>
      <c r="E27" s="349"/>
      <c r="F27" s="349"/>
    </row>
    <row r="28" spans="2:6" x14ac:dyDescent="0.35">
      <c r="B28" s="100" t="s">
        <v>149</v>
      </c>
      <c r="C28" s="166">
        <v>0.6</v>
      </c>
      <c r="D28" s="166"/>
      <c r="E28" s="349"/>
      <c r="F28" s="349"/>
    </row>
    <row r="30" spans="2:6" ht="13.15" x14ac:dyDescent="0.4">
      <c r="B30" s="160" t="s">
        <v>118</v>
      </c>
      <c r="E30" s="160" t="s">
        <v>151</v>
      </c>
      <c r="F30" s="160"/>
    </row>
    <row r="31" spans="2:6" x14ac:dyDescent="0.35">
      <c r="B31" s="153" t="s">
        <v>135</v>
      </c>
      <c r="C31" s="167">
        <f>C18</f>
        <v>5</v>
      </c>
      <c r="D31" s="164"/>
      <c r="E31" s="349"/>
      <c r="F31" s="349"/>
    </row>
    <row r="32" spans="2:6" x14ac:dyDescent="0.35">
      <c r="B32" s="119" t="s">
        <v>136</v>
      </c>
      <c r="C32" s="165">
        <v>-0.06</v>
      </c>
      <c r="D32" s="165"/>
      <c r="E32" s="349"/>
      <c r="F32" s="349"/>
    </row>
    <row r="33" spans="2:6" x14ac:dyDescent="0.35">
      <c r="B33" s="100" t="s">
        <v>115</v>
      </c>
      <c r="C33" s="161">
        <f>Valuation_Model!E77</f>
        <v>7.1152836270885009</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5</v>
      </c>
      <c r="D37" s="164"/>
      <c r="E37" s="349"/>
      <c r="F37" s="349"/>
    </row>
    <row r="38" spans="2:6" x14ac:dyDescent="0.35">
      <c r="B38" s="119" t="s">
        <v>136</v>
      </c>
      <c r="C38" s="165">
        <v>0.02</v>
      </c>
      <c r="D38" s="165"/>
      <c r="E38" s="349"/>
      <c r="F38" s="349"/>
    </row>
    <row r="39" spans="2:6" x14ac:dyDescent="0.35">
      <c r="B39" s="100" t="s">
        <v>115</v>
      </c>
      <c r="C39" s="161">
        <f>Valuation_Model!E75</f>
        <v>8.3038782426382429</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7.9724455314384741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9"/>
      <c r="F49" s="349"/>
    </row>
    <row r="50" spans="2:6" x14ac:dyDescent="0.35">
      <c r="B50" s="119" t="s">
        <v>136</v>
      </c>
      <c r="C50" s="165">
        <v>-0.15</v>
      </c>
      <c r="D50" s="165"/>
      <c r="E50" s="349"/>
      <c r="F50" s="349"/>
    </row>
    <row r="51" spans="2:6" x14ac:dyDescent="0.35">
      <c r="B51" s="100" t="s">
        <v>115</v>
      </c>
      <c r="C51" s="161">
        <f>Valuation_Model!E78</f>
        <v>4.7490885288115274</v>
      </c>
      <c r="D51" t="str">
        <f>Market_currency</f>
        <v>HKD</v>
      </c>
      <c r="E51" s="349"/>
      <c r="F51" s="349"/>
    </row>
    <row r="52" spans="2:6" x14ac:dyDescent="0.35">
      <c r="B52" s="100" t="s">
        <v>149</v>
      </c>
      <c r="C52" s="166">
        <v>0.05</v>
      </c>
      <c r="D52" s="166"/>
      <c r="E52" s="349"/>
      <c r="F52" s="349"/>
    </row>
    <row r="54" spans="2:6" ht="13.15" x14ac:dyDescent="0.4">
      <c r="B54" s="160" t="s">
        <v>326</v>
      </c>
      <c r="E54" s="160" t="s">
        <v>151</v>
      </c>
      <c r="F54" s="160"/>
    </row>
    <row r="55" spans="2:6" x14ac:dyDescent="0.35">
      <c r="B55" s="153" t="s">
        <v>135</v>
      </c>
      <c r="C55" s="167">
        <f>C46</f>
        <v>10</v>
      </c>
      <c r="D55" s="164"/>
      <c r="E55" s="349"/>
      <c r="F55" s="349"/>
    </row>
    <row r="56" spans="2:6" x14ac:dyDescent="0.35">
      <c r="B56" s="119" t="s">
        <v>136</v>
      </c>
      <c r="C56" s="165">
        <v>0.06</v>
      </c>
      <c r="D56" s="165"/>
      <c r="E56" s="349"/>
      <c r="F56" s="349"/>
    </row>
    <row r="57" spans="2:6" x14ac:dyDescent="0.35">
      <c r="B57" s="100" t="s">
        <v>115</v>
      </c>
      <c r="C57" s="161">
        <f>Valuation_Model!E74</f>
        <v>10.049287454771823</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7.9151197774737936</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5</v>
      </c>
      <c r="D64" s="151"/>
      <c r="E64" s="281" t="s">
        <v>408</v>
      </c>
    </row>
    <row r="65" spans="2:6" x14ac:dyDescent="0.35">
      <c r="B65" s="119" t="s">
        <v>136</v>
      </c>
      <c r="C65" s="152">
        <v>-4.8975772939903201E-3</v>
      </c>
      <c r="D65" s="152"/>
      <c r="E65" s="281" t="s">
        <v>322</v>
      </c>
    </row>
    <row r="66" spans="2:6" x14ac:dyDescent="0.35">
      <c r="B66" s="100" t="s">
        <v>104</v>
      </c>
      <c r="C66" s="161">
        <f>Valuation_Model!C18</f>
        <v>7.919202432172785</v>
      </c>
      <c r="D66" s="161" t="str">
        <f>Market_currency</f>
        <v>HKD</v>
      </c>
      <c r="E66" s="281" t="s">
        <v>323</v>
      </c>
    </row>
    <row r="68" spans="2:6" ht="13.15" x14ac:dyDescent="0.4">
      <c r="B68" s="109" t="s">
        <v>361</v>
      </c>
      <c r="E68" s="282" t="s">
        <v>324</v>
      </c>
    </row>
    <row r="69" spans="2:6" x14ac:dyDescent="0.35">
      <c r="B69" s="100" t="s">
        <v>314</v>
      </c>
      <c r="C69" s="273" t="str">
        <f>IF(C60&lt;C22,"Y","N")</f>
        <v>Y</v>
      </c>
      <c r="E69" s="135"/>
    </row>
    <row r="70" spans="2:6" x14ac:dyDescent="0.35">
      <c r="B70" s="100" t="s">
        <v>302</v>
      </c>
      <c r="C70" s="273" t="str">
        <f>IF(C69="Y","N",IF(C65&gt;8%,"N","Y"))</f>
        <v>N</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-0.20434577001864196</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0.44193951040398899</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0.86266592430858646</v>
      </c>
      <c r="D81" s="117"/>
      <c r="E81" s="100"/>
      <c r="F81" s="100"/>
    </row>
    <row r="82" spans="2:8" x14ac:dyDescent="0.35">
      <c r="B82" s="100" t="s">
        <v>124</v>
      </c>
      <c r="C82" s="117">
        <f>C60/(1+C80)^C76</f>
        <v>4.0525413260665824</v>
      </c>
      <c r="D82" s="117"/>
    </row>
    <row r="83" spans="2:8" ht="13.15" x14ac:dyDescent="0.4">
      <c r="B83" s="111" t="s">
        <v>103</v>
      </c>
      <c r="C83" s="112">
        <f>C81+C82</f>
        <v>4.9152072503751691</v>
      </c>
      <c r="D83" t="str">
        <f>Market_currency</f>
        <v>HKD</v>
      </c>
      <c r="E83" s="147" t="s">
        <v>128</v>
      </c>
      <c r="F83" s="329">
        <f>(1-C83/C60)</f>
        <v>0.37901037652472302</v>
      </c>
    </row>
    <row r="84" spans="2:8" x14ac:dyDescent="0.35">
      <c r="E84" s="121"/>
    </row>
    <row r="85" spans="2:8" ht="13.15" x14ac:dyDescent="0.4">
      <c r="B85" s="109" t="s">
        <v>311</v>
      </c>
    </row>
    <row r="86" spans="2:8" x14ac:dyDescent="0.35">
      <c r="B86" s="149" t="s">
        <v>309</v>
      </c>
      <c r="C86" s="266">
        <f>Market_Price</f>
        <v>5.8</v>
      </c>
      <c r="D86" t="str">
        <f>Market_currency</f>
        <v>HKD</v>
      </c>
    </row>
    <row r="87" spans="2:8" ht="13.15" x14ac:dyDescent="0.4">
      <c r="B87" s="100" t="s">
        <v>307</v>
      </c>
      <c r="C87" s="265">
        <f ca="1">IRR(OFFSET($I$3, 0, 0, $C$76 + 1, 1))</f>
        <v>0.17842892639139052</v>
      </c>
    </row>
    <row r="88" spans="2:8" x14ac:dyDescent="0.35">
      <c r="B88" s="100"/>
    </row>
    <row r="89" spans="2:8" ht="13.15" x14ac:dyDescent="0.4">
      <c r="B89" s="109" t="s">
        <v>411</v>
      </c>
    </row>
    <row r="90" spans="2:8" x14ac:dyDescent="0.35">
      <c r="B90" s="149" t="s">
        <v>418</v>
      </c>
      <c r="C90" s="135">
        <f>(Thesis!E19+Thesis!C67)/2</f>
        <v>5.7250000000000002E-2</v>
      </c>
    </row>
    <row r="91" spans="2:8" x14ac:dyDescent="0.35">
      <c r="B91" s="100" t="s">
        <v>123</v>
      </c>
      <c r="C91" s="117">
        <f>PV(C90, C76, -C77, 0)</f>
        <v>1.1873458770290581</v>
      </c>
      <c r="D91" s="117"/>
    </row>
    <row r="92" spans="2:8" x14ac:dyDescent="0.35">
      <c r="B92" s="100" t="s">
        <v>124</v>
      </c>
      <c r="C92" s="117">
        <f>C60/(1+C90)^C76</f>
        <v>6.6976802431510594</v>
      </c>
      <c r="D92" s="117"/>
    </row>
    <row r="93" spans="2:8" ht="13.15" x14ac:dyDescent="0.4">
      <c r="B93" s="111" t="s">
        <v>412</v>
      </c>
      <c r="C93" s="112">
        <f>C91+C92</f>
        <v>7.8850261201801173</v>
      </c>
      <c r="D93" t="s">
        <v>410</v>
      </c>
      <c r="E93" s="147" t="s">
        <v>128</v>
      </c>
      <c r="F93" s="329">
        <f>(1-C93/C60)</f>
        <v>3.8020469859877393E-3</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