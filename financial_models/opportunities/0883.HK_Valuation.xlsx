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57F1FF-682A-4B53-8D6E-31E99B7A25A6}"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<sst xmlns="http://schemas.openxmlformats.org/spreadsheetml/2006/main" count="767" uniqueCount="557">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</sst>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18.760000000000002</v>
      </c>
      <c r="E8" s="32"/>
    </row>
    <row r="9" spans="1:9">
      <c r="B9" s="4" t="s">
        <v>346</v>
      </c>
      <c r="C9" s="48">
        <f>44539953984+2990000000</f>
        <v>47529953984</v>
      </c>
    </row>
    <row r="10" spans="1:9">
      <c r="B10" s="4" t="s">
        <v>352</v>
      </c>
      <c r="C10" s="33">
        <f>Thesis!C8*Common_Shares/1000000</f>
        <v>891661.93673984008</v>
      </c>
      <c r="D10" s="1" t="s">
        <v>531</v>
      </c>
      <c r="E10" s="310">
        <f>Scenarios!F34</f>
        <v>0.15857218131450324</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1.0924664399999999</v>
      </c>
    </row>
    <row r="17" spans="1:6">
      <c r="B17" s="1" t="s">
        <v>535</v>
      </c>
      <c r="C17" s="423">
        <v>0</v>
      </c>
      <c r="D17" s="4" t="s">
        <v>274</v>
      </c>
      <c r="E17" s="227" t="s">
        <v>546</v>
      </c>
    </row>
    <row r="18" spans="1:6">
      <c r="B18" s="1" t="str">
        <f>"Expected Equity Value ("&amp;C7&amp;") :"</f>
        <v>Expected Equity Value (HKD) :</v>
      </c>
      <c r="C18" s="258">
        <f>C125</f>
        <v>24.763327047223395</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14.805476447785434</v>
      </c>
      <c r="D22" s="38" t="s">
        <v>408</v>
      </c>
      <c r="E22" s="79">
        <v>0.25992104989487319</v>
      </c>
    </row>
    <row r="23" spans="1:6">
      <c r="B23" s="1" t="s">
        <v>313</v>
      </c>
      <c r="C23" s="262">
        <f>E141</f>
        <v>17.573058499345738</v>
      </c>
      <c r="D23" s="38" t="s">
        <v>409</v>
      </c>
      <c r="E23" s="451">
        <v>0.1856311014966876</v>
      </c>
    </row>
    <row r="24" spans="1:6">
      <c r="B24" s="1" t="s">
        <v>315</v>
      </c>
      <c r="C24" s="262">
        <f>E144</f>
        <v>20.789251965404631</v>
      </c>
      <c r="D24" s="38" t="s">
        <v>410</v>
      </c>
      <c r="E24" s="451">
        <v>0.1174</v>
      </c>
    </row>
    <row r="25" spans="1:6">
      <c r="B25" s="1" t="s">
        <v>314</v>
      </c>
      <c r="C25" s="262">
        <f>E145</f>
        <v>23.364814929721526</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137124.09035259794</v>
      </c>
      <c r="D34" s="1" t="str">
        <f>Reporting_currency</f>
        <v>CNY</v>
      </c>
    </row>
    <row r="35" spans="2:6">
      <c r="B35" s="44"/>
      <c r="C35" s="73"/>
    </row>
    <row r="36" spans="2:6" ht="24.5" customHeight="1">
      <c r="B36" s="462" t="s">
        <v>198</v>
      </c>
      <c r="C36" s="462"/>
      <c r="D36" s="462"/>
      <c r="E36" s="462"/>
      <c r="F36" s="462"/>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2" t="s">
        <v>201</v>
      </c>
      <c r="C40" s="462"/>
      <c r="D40" s="462"/>
      <c r="E40" s="462"/>
      <c r="F40" s="462"/>
    </row>
    <row r="41" spans="2:6">
      <c r="B41" s="44" t="s">
        <v>202</v>
      </c>
      <c r="C41" s="292">
        <f>Normalized_FCF!C9</f>
        <v>1836</v>
      </c>
      <c r="D41" s="1" t="str">
        <f>Reporting_currency</f>
        <v>CNY</v>
      </c>
    </row>
    <row r="43" spans="2:6">
      <c r="B43" s="462" t="s">
        <v>205</v>
      </c>
      <c r="C43" s="462"/>
      <c r="D43" s="462"/>
      <c r="E43" s="462"/>
      <c r="F43" s="462"/>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2" t="s">
        <v>206</v>
      </c>
      <c r="C51" s="462"/>
      <c r="D51" s="462"/>
      <c r="E51" s="462"/>
      <c r="F51" s="462"/>
    </row>
    <row r="52" spans="2:6">
      <c r="B52" s="44" t="s">
        <v>204</v>
      </c>
      <c r="C52" s="292">
        <f>Normalized_FCF!C12</f>
        <v>-33987.291088149483</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0.12461901306278753</v>
      </c>
      <c r="F62" s="263"/>
    </row>
    <row r="63" spans="2:6">
      <c r="B63" s="206" t="s">
        <v>332</v>
      </c>
      <c r="C63" s="89">
        <f>Normalized_FCF!C92</f>
        <v>6.7164179104477612E-2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-72545</v>
      </c>
      <c r="D78" s="1" t="str">
        <f>Reporting_currency</f>
        <v>CNY</v>
      </c>
    </row>
    <row r="79" spans="1:6">
      <c r="A79" s="191"/>
      <c r="B79" s="44" t="s">
        <v>234</v>
      </c>
      <c r="C79" s="203">
        <f>C78*scaling_factor*Exchange_Rate/Common_Shares</f>
        <v>-1.6674322452842876</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0.12853099614900731</v>
      </c>
      <c r="D90" s="1" t="str">
        <f>Market_currency</f>
        <v>HKD</v>
      </c>
    </row>
    <row r="91" spans="1:6">
      <c r="A91" s="191"/>
    </row>
    <row r="92" spans="1:6">
      <c r="A92" s="191"/>
      <c r="B92" s="44" t="s">
        <v>472</v>
      </c>
      <c r="C92" s="219">
        <f>DCF!F8</f>
        <v>-1.5389012491352803</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0.4493861489015577</v>
      </c>
      <c r="D111" s="1" t="str">
        <f>Market_currency</f>
        <v>HKD</v>
      </c>
    </row>
    <row r="112" spans="2:6">
      <c r="B112" s="44" t="s">
        <v>323</v>
      </c>
      <c r="C112" s="219">
        <f>DCF!C11</f>
        <v>30.70734268269775</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33.31 HKD</v>
      </c>
      <c r="F118" s="211">
        <f>DCF!F82</f>
        <v>0.05</v>
      </c>
    </row>
    <row r="119" spans="2:6">
      <c r="B119" s="198" t="str">
        <f>DCF!B83</f>
        <v>Optimistic</v>
      </c>
      <c r="C119" s="199">
        <f>DCF!C83</f>
        <v>0.02</v>
      </c>
      <c r="D119" s="200">
        <f>DCF!D83</f>
        <v>5</v>
      </c>
      <c r="E119" s="210" t="str">
        <f>ROUND(DCF!E83,2)&amp;" "&amp;Market_currency</f>
        <v>30.42 HKD</v>
      </c>
      <c r="F119" s="201">
        <f>DCF!F83</f>
        <v>0.24000000000000002</v>
      </c>
    </row>
    <row r="120" spans="2:6">
      <c r="B120" s="198" t="str">
        <f>DCF!B84</f>
        <v>Base</v>
      </c>
      <c r="C120" s="199">
        <f>DCF!C84</f>
        <v>0.01</v>
      </c>
      <c r="D120" s="200">
        <f>DCF!D84</f>
        <v>5</v>
      </c>
      <c r="E120" s="210" t="str">
        <f>ROUND(DCF!E84,2)&amp;" "&amp;Market_currency</f>
        <v>29.06 HKD</v>
      </c>
      <c r="F120" s="201">
        <f>DCF!F84</f>
        <v>0.47999999999999993</v>
      </c>
    </row>
    <row r="121" spans="2:6">
      <c r="B121" s="198" t="str">
        <f>DCF!B85</f>
        <v>Pessimistic</v>
      </c>
      <c r="C121" s="199">
        <f>DCF!C85</f>
        <v>-0.05</v>
      </c>
      <c r="D121" s="200">
        <f>DCF!D85</f>
        <v>5</v>
      </c>
      <c r="E121" s="210" t="str">
        <f>ROUND(DCF!E85,2)&amp;" "&amp;Market_currency</f>
        <v>21.86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2" t="s">
        <v>357</v>
      </c>
      <c r="C124" s="462"/>
      <c r="D124" s="462"/>
      <c r="E124" s="462"/>
      <c r="F124" s="462"/>
    </row>
    <row r="125" spans="2:6">
      <c r="B125" s="193" t="s">
        <v>218</v>
      </c>
      <c r="C125" s="197">
        <f>Scenarios!C36</f>
        <v>24.763327047223395</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2.4238129241737356</v>
      </c>
      <c r="D140" s="340">
        <f>Scenarios!D62</f>
        <v>12.381663523611698</v>
      </c>
      <c r="E140" s="341">
        <f>Scenarios!E62</f>
        <v>14.805476447785434</v>
      </c>
      <c r="F140" s="342">
        <f>E22</f>
        <v>0.25992104989487319</v>
      </c>
    </row>
    <row r="141" spans="1:6">
      <c r="B141" s="343" t="s">
        <v>313</v>
      </c>
      <c r="C141" s="340">
        <f>Scenarios!C63</f>
        <v>2.7150622710116994</v>
      </c>
      <c r="D141" s="340">
        <f>Scenarios!D63</f>
        <v>14.857996228334038</v>
      </c>
      <c r="E141" s="341">
        <f>Scenarios!E63</f>
        <v>17.573058499345738</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17.749372026721932</v>
      </c>
      <c r="E144" s="341">
        <f>Scenarios!E66</f>
        <v>20.789251965404631</v>
      </c>
      <c r="F144" s="342">
        <f>E24</f>
        <v>0.1174</v>
      </c>
    </row>
    <row r="145" spans="1:6">
      <c r="B145" s="343" t="s">
        <v>314</v>
      </c>
      <c r="C145" s="340">
        <f>Scenarios!C67</f>
        <v>3.2915927862380006</v>
      </c>
      <c r="D145" s="340">
        <f>Scenarios!D67</f>
        <v>20.073222143483527</v>
      </c>
      <c r="E145" s="341">
        <f>Scenarios!E67</f>
        <v>23.364814929721526</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18.076808919763501</v>
      </c>
      <c r="D47" s="134">
        <f>D46*H1/Common_Shares*Exchange_Rate</f>
        <v>0.4493861489015577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79252.977889799993</v>
      </c>
      <c r="D86" s="203">
        <f>C86*scaling_factor/Common_Shares</f>
        <v>1.6674322452842876</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6109.0723324799992</v>
      </c>
      <c r="D88" s="203">
        <f>C88*scaling_factor/Common_Shares</f>
        <v>0.12853099614900731</v>
      </c>
      <c r="E88" s="217" t="str">
        <f>Market_currency</f>
        <v>HKD</v>
      </c>
    </row>
    <row r="89" spans="2:8" ht="15" customHeight="1">
      <c r="B89" s="77" t="s">
        <v>244</v>
      </c>
      <c r="C89" s="162">
        <f>SUM(C86:C88)</f>
        <v>85362.050222279999</v>
      </c>
      <c r="D89" s="219">
        <f>SUM(D86:D88)</f>
        <v>1.7959632414332949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6.7164179104477612E-2</v>
      </c>
      <c r="E92" s="241"/>
      <c r="G92" s="22">
        <f t="shared" ref="G92:Q92" si="38">IF(G$4="","",(G88*(1-dividend_tax_rate))/Market_Price)</f>
        <v>6.7164179104477612E-2</v>
      </c>
      <c r="H92" s="22">
        <f t="shared" si="38"/>
        <v>5.9968017057569288E-2</v>
      </c>
      <c r="I92" s="22">
        <f t="shared" si="38"/>
        <v>6.9562899786780374E-2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2.3378526850578942</v>
      </c>
      <c r="D123" s="26"/>
      <c r="E123" s="238"/>
      <c r="F123" s="26"/>
      <c r="G123" s="159">
        <f t="shared" ref="G123:Q123" si="48">IF(G$4="","",G14*$C$3/Common_Shares*Exchange_Rate)</f>
        <v>3.3179017088879661</v>
      </c>
      <c r="H123" s="159">
        <f t="shared" si="48"/>
        <v>2.9086803470430223</v>
      </c>
      <c r="I123" s="159">
        <f t="shared" si="48"/>
        <v>3.2790114289373009</v>
      </c>
      <c r="J123" s="159">
        <f t="shared" si="48"/>
        <v>1.7677608930293551</v>
      </c>
      <c r="K123" s="159">
        <f t="shared" si="48"/>
        <v>0.66479833156121793</v>
      </c>
      <c r="L123" s="159">
        <f t="shared" si="48"/>
        <v>1.3947917423193561</v>
      </c>
      <c r="M123" s="159">
        <f t="shared" si="48"/>
        <v>1.1804765298794926</v>
      </c>
      <c r="N123" s="159">
        <f t="shared" si="48"/>
        <v>6.8806834665905825</v>
      </c>
      <c r="O123" s="159">
        <f t="shared" si="48"/>
        <v>6.4720597095202939</v>
      </c>
      <c r="P123" s="159">
        <f t="shared" si="48"/>
        <v>6.5186498971444067</v>
      </c>
      <c r="Q123" s="159" t="str">
        <f t="shared" si="48"/>
        <v/>
      </c>
    </row>
    <row r="124" spans="1:17" ht="15.75" customHeight="1">
      <c r="A124" s="10"/>
      <c r="B124" s="26" t="s">
        <v>226</v>
      </c>
      <c r="C124" s="74">
        <f>C19*Exchange_Rate*$C$3/(Market_Price*Common_Shares)</f>
        <v>0.12461901306278753</v>
      </c>
      <c r="D124" s="26"/>
      <c r="E124" s="238"/>
      <c r="F124" s="26"/>
      <c r="G124" s="74">
        <f t="shared" ref="G124" si="49">IF(G$4="","",G123/Market_Price)</f>
        <v>0.17686043224349499</v>
      </c>
      <c r="H124" s="74">
        <f t="shared" ref="H124" si="50">IF(H$4="","",H123/Market_Price)</f>
        <v>0.15504692681466004</v>
      </c>
      <c r="I124" s="74">
        <f t="shared" ref="I124" si="51">IF(I$4="","",I123/Market_Price)</f>
        <v>0.17478738960220153</v>
      </c>
      <c r="J124" s="74">
        <f t="shared" ref="J124" si="52">IF(J$4="","",J123/Market_Price)</f>
        <v>9.4230324788345143E-2</v>
      </c>
      <c r="K124" s="74">
        <f t="shared" ref="K124" si="53">IF(K$4="","",K123/Market_Price)</f>
        <v>3.5437011277250421E-2</v>
      </c>
      <c r="L124" s="74">
        <f t="shared" ref="L124" si="54">IF(L$4="","",L123/Market_Price)</f>
        <v>7.4349239995701283E-2</v>
      </c>
      <c r="M124" s="74">
        <f t="shared" ref="M124" si="55">IF(M$4="","",M123/Market_Price)</f>
        <v>6.2925188159887666E-2</v>
      </c>
      <c r="N124" s="74">
        <f t="shared" ref="N124" si="56">IF(N$4="","",N123/Market_Price)</f>
        <v>0.36677417199310136</v>
      </c>
      <c r="O124" s="74">
        <f t="shared" ref="O124" si="57">IF(O$4="","",O123/Market_Price)</f>
        <v>0.34499252182943996</v>
      </c>
      <c r="P124" s="74">
        <f t="shared" ref="P124" si="58">IF(P$4="","",P123/Market_Price)</f>
        <v>0.3474760073104694</v>
      </c>
      <c r="Q124" s="74" t="str">
        <f t="shared" ref="Q124" si="59">IF(Q$4="","",Q123/Market_Price)</f>
        <v/>
      </c>
    </row>
    <row r="125" spans="1:17" ht="15.75" customHeight="1">
      <c r="B125" s="2" t="s">
        <v>306</v>
      </c>
      <c r="C125" s="151"/>
      <c r="G125" s="22">
        <f>IF(G$4="","",(Data!C47*$C$3)/(Market_Price*Common_Shares))</f>
        <v>0.15474698909375892</v>
      </c>
      <c r="H125" s="22">
        <f>IF(H$4="","",(Data!D47*$C$3)/(Market_Price*Common_Shares))</f>
        <v>0.1391670933646747</v>
      </c>
      <c r="I125" s="22">
        <f>IF(I$4="","",(Data!E47*$C$3)/(Market_Price*Common_Shares))</f>
        <v>0.1588909363093482</v>
      </c>
      <c r="J125" s="22">
        <f>IF(J$4="","",(Data!F47*$C$3)/(Market_Price*Common_Shares))</f>
        <v>7.8849390226369442E-2</v>
      </c>
      <c r="K125" s="22">
        <f>IF(K$4="","",(Data!G47*$C$3)/(Market_Price*Common_Shares))</f>
        <v>2.7987812837727204E-2</v>
      </c>
      <c r="L125" s="22">
        <f>IF(L$4="","",(Data!H47*$C$3)/(Market_Price*Common_Shares))</f>
        <v>6.8462560175214945E-2</v>
      </c>
      <c r="M125" s="22">
        <f>IF(M$4="","",(Data!I47*$C$3)/(Market_Price*Common_Shares))</f>
        <v>5.9075484922677675E-2</v>
      </c>
      <c r="N125" s="22">
        <f>IF(N$4="","",(Data!J47*$C$3)/(Market_Price*Common_Shares))</f>
        <v>7.8834810709778741E-2</v>
      </c>
      <c r="O125" s="22">
        <f>IF(O$4="","",(Data!K47*$C$3)/(Market_Price*Common_Shares))</f>
        <v>6.6359230513238804E-2</v>
      </c>
      <c r="P125" s="22">
        <f>IF(P$4="","",(Data!L47*$C$3)/(Market_Price*Common_Shares))</f>
        <v>4.8612594318520351E-2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-1.5389012491352803</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1.0924664399999999</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1459518.5846795433</v>
      </c>
      <c r="D10" t="str">
        <f>Market_currency</f>
        <v>HKD</v>
      </c>
      <c r="H10" s="315" t="s">
        <v>398</v>
      </c>
      <c r="I10" s="313">
        <f>Normalized_FCF!C41</f>
        <v>0.25</v>
      </c>
      <c r="N10" s="311"/>
      <c r="O10" s="311"/>
    </row>
    <row r="11" spans="2:15" ht="13.15">
      <c r="B11" s="136" t="s">
        <v>428</v>
      </c>
      <c r="C11" s="108">
        <f>(C10*scaling_factor)/Common_Shares</f>
        <v>30.70734268269775</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24.750220982207622</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30.70734268269775</v>
      </c>
      <c r="C69" s="119">
        <f>C11</f>
        <v>30.70734268269775</v>
      </c>
      <c r="D69" s="119">
        <f>C11</f>
        <v>30.70734268269775</v>
      </c>
      <c r="E69" s="119">
        <f>C11</f>
        <v>30.70734268269775</v>
      </c>
      <c r="F69" s="119">
        <f>C11</f>
        <v>30.70734268269775</v>
      </c>
      <c r="G69" s="303"/>
      <c r="H69" s="303"/>
      <c r="I69" s="303"/>
      <c r="J69" s="303"/>
      <c r="K69" s="303"/>
      <c r="L69" s="303"/>
    </row>
    <row r="70" spans="1:21" ht="13.15">
      <c r="A70" s="131">
        <f>A56</f>
        <v>5</v>
      </c>
      <c r="B70" s="119">
        <f t="shared" ref="B70:F74" si="11">(B56+FV_adjustments)/Common_Shares*scaling_factor*Exchange_Rate</f>
        <v>0.6633020081165808</v>
      </c>
      <c r="C70" s="119">
        <f t="shared" si="11"/>
        <v>21.858838883466046</v>
      </c>
      <c r="D70" s="119">
        <f t="shared" si="11"/>
        <v>29.058534873430876</v>
      </c>
      <c r="E70" s="119">
        <f t="shared" si="11"/>
        <v>30.423529044305521</v>
      </c>
      <c r="F70" s="119">
        <f t="shared" si="11"/>
        <v>33.307618508969604</v>
      </c>
      <c r="G70" s="303"/>
      <c r="H70" s="303"/>
      <c r="I70" s="303"/>
      <c r="J70" s="303"/>
      <c r="K70" s="303"/>
      <c r="L70" s="303"/>
    </row>
    <row r="71" spans="1:21" ht="13.15">
      <c r="A71" s="131">
        <v>6</v>
      </c>
      <c r="B71" s="119">
        <f t="shared" si="11"/>
        <v>0.33779792641331913</v>
      </c>
      <c r="C71" s="119">
        <f t="shared" si="11"/>
        <v>21.052858552264681</v>
      </c>
      <c r="D71" s="119">
        <f t="shared" si="11"/>
        <v>29.277484032610843</v>
      </c>
      <c r="E71" s="119">
        <f t="shared" si="11"/>
        <v>30.883539038509454</v>
      </c>
      <c r="F71" s="119">
        <f t="shared" si="11"/>
        <v>34.321443752482743</v>
      </c>
      <c r="G71" s="303"/>
      <c r="H71" s="303"/>
      <c r="I71" s="303"/>
      <c r="J71" s="303"/>
      <c r="K71" s="303"/>
      <c r="L71" s="303"/>
    </row>
    <row r="72" spans="1:21" ht="13.15">
      <c r="A72" s="131">
        <f t="shared" ref="A72" si="12">A58</f>
        <v>7</v>
      </c>
      <c r="B72" s="119">
        <f t="shared" si="11"/>
        <v>0.18604777177310361</v>
      </c>
      <c r="C72" s="119">
        <f t="shared" si="11"/>
        <v>20.338936580571165</v>
      </c>
      <c r="D72" s="119">
        <f t="shared" si="11"/>
        <v>29.483673916780322</v>
      </c>
      <c r="E72" s="119">
        <f t="shared" si="11"/>
        <v>31.32103106096913</v>
      </c>
      <c r="F72" s="119">
        <f t="shared" si="11"/>
        <v>35.304547018919742</v>
      </c>
      <c r="G72" s="303"/>
      <c r="H72" s="303"/>
      <c r="I72" s="303"/>
      <c r="J72" s="303"/>
      <c r="K72" s="303"/>
      <c r="L72" s="303"/>
    </row>
    <row r="73" spans="1:21" ht="13.15">
      <c r="A73" s="131">
        <v>8</v>
      </c>
      <c r="B73" s="119">
        <f t="shared" si="11"/>
        <v>0.1153017789338423</v>
      </c>
      <c r="C73" s="119">
        <f t="shared" si="11"/>
        <v>19.706558144106047</v>
      </c>
      <c r="D73" s="119">
        <f t="shared" si="11"/>
        <v>29.677848073434099</v>
      </c>
      <c r="E73" s="119">
        <f t="shared" si="11"/>
        <v>31.737107390021684</v>
      </c>
      <c r="F73" s="119">
        <f t="shared" si="11"/>
        <v>36.257859277282869</v>
      </c>
      <c r="G73" s="303"/>
      <c r="H73" s="303"/>
      <c r="I73" s="303"/>
      <c r="J73" s="303"/>
      <c r="K73" s="303"/>
      <c r="L73" s="303"/>
    </row>
    <row r="74" spans="1:21" ht="13.15">
      <c r="A74" s="131">
        <f t="shared" ref="A74" si="13">A60</f>
        <v>9</v>
      </c>
      <c r="B74" s="119">
        <f t="shared" si="11"/>
        <v>8.2319964090363934E-2</v>
      </c>
      <c r="C74" s="119">
        <f t="shared" si="11"/>
        <v>19.146409412505239</v>
      </c>
      <c r="D74" s="119">
        <f t="shared" si="11"/>
        <v>29.860706719793367</v>
      </c>
      <c r="E74" s="119">
        <f t="shared" si="11"/>
        <v>32.132816346323416</v>
      </c>
      <c r="F74" s="119">
        <f t="shared" si="11"/>
        <v>37.182283285392565</v>
      </c>
      <c r="G74" s="303"/>
      <c r="H74" s="303"/>
      <c r="I74" s="303"/>
      <c r="J74" s="303"/>
      <c r="K74" s="303"/>
      <c r="L74" s="303"/>
    </row>
    <row r="75" spans="1:21" ht="13.15">
      <c r="A75" s="131">
        <f t="shared" ref="A75:A79" si="14">A61</f>
        <v>10</v>
      </c>
      <c r="B75" s="119">
        <f t="shared" ref="B75:F79" si="15">(B61+FV_adjustments)/Common_Shares*scaling_factor*Exchange_Rate</f>
        <v>6.6943826634196638E-2</v>
      </c>
      <c r="C75" s="119">
        <f t="shared" si="15"/>
        <v>18.650240372858839</v>
      </c>
      <c r="D75" s="119">
        <f t="shared" si="15"/>
        <v>30.032909267879951</v>
      </c>
      <c r="E75" s="119">
        <f t="shared" si="15"/>
        <v>32.509154934134862</v>
      </c>
      <c r="F75" s="119">
        <f t="shared" si="15"/>
        <v>38.078694444771692</v>
      </c>
      <c r="G75" s="303"/>
      <c r="H75" s="303"/>
      <c r="I75" s="303"/>
      <c r="J75" s="303"/>
      <c r="K75" s="303"/>
      <c r="L75" s="303"/>
    </row>
    <row r="76" spans="1:21" ht="13.15">
      <c r="A76" s="131">
        <f t="shared" si="14"/>
        <v>15</v>
      </c>
      <c r="B76" s="119">
        <f t="shared" si="15"/>
        <v>5.38106223659909E-2</v>
      </c>
      <c r="C76" s="119">
        <f t="shared" si="15"/>
        <v>16.900607621214903</v>
      </c>
      <c r="D76" s="119">
        <f t="shared" si="15"/>
        <v>30.754591855939392</v>
      </c>
      <c r="E76" s="119">
        <f t="shared" si="15"/>
        <v>34.131901743197218</v>
      </c>
      <c r="F76" s="119">
        <f t="shared" si="15"/>
        <v>42.169383991563947</v>
      </c>
      <c r="G76" s="303"/>
      <c r="H76" s="303"/>
      <c r="I76" s="303"/>
      <c r="J76" s="303"/>
      <c r="K76" s="303"/>
      <c r="L76" s="303"/>
    </row>
    <row r="77" spans="1:21" ht="13.15">
      <c r="A77" s="132">
        <f t="shared" si="14"/>
        <v>20</v>
      </c>
      <c r="B77" s="119">
        <f t="shared" si="15"/>
        <v>5.3521398440326828E-2</v>
      </c>
      <c r="C77" s="119">
        <f t="shared" si="15"/>
        <v>15.946541615292031</v>
      </c>
      <c r="D77" s="119">
        <f t="shared" si="15"/>
        <v>31.289115095543469</v>
      </c>
      <c r="E77" s="119">
        <f t="shared" si="15"/>
        <v>35.394499805085289</v>
      </c>
      <c r="F77" s="119">
        <f t="shared" si="15"/>
        <v>45.676714663596599</v>
      </c>
      <c r="G77" s="303"/>
      <c r="H77" s="303"/>
      <c r="I77" s="303"/>
      <c r="J77" s="303"/>
      <c r="K77" s="303"/>
      <c r="L77" s="303"/>
    </row>
    <row r="78" spans="1:21" ht="13.15">
      <c r="A78" s="132">
        <f t="shared" si="14"/>
        <v>25</v>
      </c>
      <c r="B78" s="119">
        <f t="shared" si="15"/>
        <v>5.3515029051907644E-2</v>
      </c>
      <c r="C78" s="119">
        <f t="shared" si="15"/>
        <v>15.426294184622718</v>
      </c>
      <c r="D78" s="119">
        <f t="shared" si="15"/>
        <v>31.685016421700031</v>
      </c>
      <c r="E78" s="119">
        <f t="shared" si="15"/>
        <v>36.376879716098387</v>
      </c>
      <c r="F78" s="119">
        <f t="shared" si="15"/>
        <v>48.683877221954816</v>
      </c>
      <c r="G78" s="303"/>
      <c r="H78" s="303"/>
      <c r="I78" s="303"/>
      <c r="J78" s="303"/>
      <c r="K78" s="303"/>
      <c r="L78" s="303"/>
    </row>
    <row r="79" spans="1:21" ht="13.15">
      <c r="A79" s="132">
        <f t="shared" si="14"/>
        <v>30</v>
      </c>
      <c r="B79" s="119">
        <f t="shared" si="15"/>
        <v>5.3514888783052494E-2</v>
      </c>
      <c r="C79" s="119">
        <f t="shared" si="15"/>
        <v>15.142605857570112</v>
      </c>
      <c r="D79" s="119">
        <f t="shared" si="15"/>
        <v>31.978245693019694</v>
      </c>
      <c r="E79" s="119">
        <f t="shared" si="15"/>
        <v>37.141232457238338</v>
      </c>
      <c r="F79" s="119">
        <f t="shared" si="15"/>
        <v>51.262198885349811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33.307618508969604</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30.423529044305521</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29.058534873430876</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21.858838883466046</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0.6633020081165808</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30.423529044305521</v>
      </c>
      <c r="F22" s="335">
        <f>1-F23-F24</f>
        <v>0.30000000000000004</v>
      </c>
      <c r="G22" s="335">
        <f>F22*(1-F$29-F$30)</f>
        <v>0.24000000000000002</v>
      </c>
    </row>
    <row r="23" spans="2:7">
      <c r="B23" s="309" t="s">
        <v>440</v>
      </c>
      <c r="C23" s="331">
        <v>0.01</v>
      </c>
      <c r="D23" s="332">
        <f>C18</f>
        <v>5</v>
      </c>
      <c r="E23" s="333">
        <f>DCF!E84</f>
        <v>29.058534873430876</v>
      </c>
      <c r="F23" s="334">
        <v>0.6</v>
      </c>
      <c r="G23" s="335">
        <f t="shared" ref="G23:G24" si="0">F23*(1-F$29-F$30)</f>
        <v>0.47999999999999993</v>
      </c>
    </row>
    <row r="24" spans="2:7">
      <c r="B24" s="309" t="s">
        <v>449</v>
      </c>
      <c r="C24" s="331">
        <v>-0.05</v>
      </c>
      <c r="D24" s="332">
        <f>C18</f>
        <v>5</v>
      </c>
      <c r="E24" s="333">
        <f>DCF!E85</f>
        <v>21.858838883466046</v>
      </c>
      <c r="F24" s="334">
        <v>0.1</v>
      </c>
      <c r="G24" s="335">
        <f t="shared" si="0"/>
        <v>0.08</v>
      </c>
    </row>
    <row r="25" spans="2:7">
      <c r="B25" s="141" t="s">
        <v>454</v>
      </c>
      <c r="C25" s="449">
        <f>E23*F23+E24*F24+E22*F22</f>
        <v>28.748063525696786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33.307618508969604</v>
      </c>
      <c r="F29" s="334">
        <v>0.05</v>
      </c>
      <c r="G29" s="335">
        <f>F29</f>
        <v>0.05</v>
      </c>
    </row>
    <row r="30" spans="2:7">
      <c r="B30" s="322" t="s">
        <v>450</v>
      </c>
      <c r="C30" s="331">
        <v>-0.5</v>
      </c>
      <c r="D30" s="332">
        <f>C18</f>
        <v>5</v>
      </c>
      <c r="E30" s="333">
        <f>DCF!E86</f>
        <v>0.6633020081165808</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18.760000000000002</v>
      </c>
      <c r="D34" t="str">
        <f>Market_currency</f>
        <v>HKD</v>
      </c>
      <c r="E34" s="97" t="s">
        <v>457</v>
      </c>
      <c r="F34" s="337">
        <f>RATE(Holding_Period,$C$33,-C34,$C$36)</f>
        <v>0.15857218131450324</v>
      </c>
    </row>
    <row r="35" spans="2:7">
      <c r="B35" s="97" t="s">
        <v>437</v>
      </c>
      <c r="C35" s="327">
        <f>DCF!C11</f>
        <v>30.70734268269775</v>
      </c>
      <c r="D35" s="97" t="str">
        <f>Market_currency</f>
        <v>HKD</v>
      </c>
      <c r="E35" s="97" t="s">
        <v>457</v>
      </c>
      <c r="F35" s="337">
        <f>RATE(Holding_Period,$C$33,-C35,$C$36)</f>
        <v>-2.5140426148430668E-2</v>
      </c>
    </row>
    <row r="36" spans="2:7">
      <c r="B36" s="97" t="s">
        <v>438</v>
      </c>
      <c r="C36" s="328">
        <f>E22*G22+E23*G23+E24*G24+E30*G30+E29*G29</f>
        <v>24.763327047223395</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24.750220982207622</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2.4238129241737356</v>
      </c>
      <c r="D62" s="119">
        <f>C36/(1+F62)^Holding_Period</f>
        <v>12.381663523611698</v>
      </c>
      <c r="E62" s="339">
        <f>C62+D62</f>
        <v>14.805476447785434</v>
      </c>
      <c r="F62" s="308">
        <f>Thesis!E22</f>
        <v>0.25992104989487319</v>
      </c>
      <c r="G62" s="448">
        <f>(1-E62/C36)</f>
        <v>0.40212086931810287</v>
      </c>
    </row>
    <row r="63" spans="2:7" ht="13.15">
      <c r="B63" s="309" t="s">
        <v>313</v>
      </c>
      <c r="C63" s="119">
        <f>PV(F63, Holding_Period, -C58, 0)</f>
        <v>2.7150622710116994</v>
      </c>
      <c r="D63" s="119">
        <f>C36/(1+F63)^Holding_Period</f>
        <v>14.857996228334038</v>
      </c>
      <c r="E63" s="339">
        <f>C63+D63</f>
        <v>17.573058499345738</v>
      </c>
      <c r="F63" s="308">
        <f>Thesis!E23</f>
        <v>0.1856311014966876</v>
      </c>
      <c r="G63" s="448">
        <f>(1-E63/C36)</f>
        <v>0.29035955201681474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17.749372026721932</v>
      </c>
      <c r="E66" s="339">
        <f>C66+D66</f>
        <v>20.789251965404631</v>
      </c>
      <c r="F66" s="308">
        <f>Thesis!E24</f>
        <v>0.1174</v>
      </c>
      <c r="G66" s="448">
        <f>(1-E66/C47)</f>
        <v>0.16003772328539789</v>
      </c>
    </row>
    <row r="67" spans="2:7" ht="13.15">
      <c r="B67" s="309" t="s">
        <v>314</v>
      </c>
      <c r="C67" s="119">
        <f>PV(F67, Holding_Period, -C58, 0)</f>
        <v>3.2915927862380006</v>
      </c>
      <c r="D67" s="119">
        <f>C36/(1+F67)^Holding_Period</f>
        <v>20.073222143483527</v>
      </c>
      <c r="E67" s="339">
        <f>C67+D67</f>
        <v>23.364814929721526</v>
      </c>
      <c r="F67" s="308">
        <f>Thesis!E25</f>
        <v>7.2499999999999995E-2</v>
      </c>
      <c r="G67" s="448">
        <f>(1-E67/C36)</f>
        <v>5.6475130132349394E-2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18.760000000000002</v>
      </c>
    </row>
    <row r="9" spans="1:10">
      <c r="B9" s="358" t="s">
        <v>361</v>
      </c>
      <c r="C9" s="360">
        <f>Common_Shares</f>
        <v>47529953984</v>
      </c>
    </row>
    <row r="10" spans="1:10">
      <c r="B10" s="358" t="s">
        <v>367</v>
      </c>
      <c r="C10" s="364">
        <f>投资主题!C8*Common_Shares/1000000</f>
        <v>891661.93673984008</v>
      </c>
      <c r="D10" s="350" t="s">
        <v>532</v>
      </c>
      <c r="E10" s="367">
        <f>Scenarios!F34</f>
        <v>0.15857218131450324</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1.0924664399999999</v>
      </c>
    </row>
    <row r="17" spans="1:6">
      <c r="B17" s="350" t="s">
        <v>538</v>
      </c>
      <c r="C17" s="432">
        <f>Terminal_Growth</f>
        <v>0</v>
      </c>
      <c r="D17" s="358" t="s">
        <v>339</v>
      </c>
      <c r="E17" s="351" t="str">
        <f>Reporting_currency</f>
        <v>CNY</v>
      </c>
    </row>
    <row r="18" spans="1:6">
      <c r="B18" s="350" t="str">
        <f>"预期股权价值 ("&amp;C7&amp;") :"</f>
        <v>预期股权价值 (HKD) :</v>
      </c>
      <c r="C18" s="366">
        <f>C125</f>
        <v>24.763327047223395</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14.805476447785434</v>
      </c>
      <c r="D22" s="372" t="s">
        <v>443</v>
      </c>
      <c r="E22" s="373">
        <f>Thesis!E22</f>
        <v>0.25992104989487319</v>
      </c>
    </row>
    <row r="23" spans="1:6">
      <c r="B23" s="350" t="s">
        <v>341</v>
      </c>
      <c r="C23" s="374">
        <f>E141</f>
        <v>17.573058499345738</v>
      </c>
      <c r="D23" s="372" t="s">
        <v>444</v>
      </c>
      <c r="E23" s="375">
        <f>Thesis!E23</f>
        <v>0.1856311014966876</v>
      </c>
    </row>
    <row r="24" spans="1:6">
      <c r="B24" s="350" t="s">
        <v>343</v>
      </c>
      <c r="C24" s="374">
        <f>E144</f>
        <v>20.789251965404631</v>
      </c>
      <c r="D24" s="372" t="s">
        <v>446</v>
      </c>
      <c r="E24" s="375">
        <f>Thesis!E24</f>
        <v>0.1174</v>
      </c>
    </row>
    <row r="25" spans="1:6">
      <c r="B25" s="350" t="s">
        <v>342</v>
      </c>
      <c r="C25" s="374">
        <f>E145</f>
        <v>23.364814929721526</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0.12461901306278753</v>
      </c>
      <c r="F62" s="386"/>
    </row>
    <row r="63" spans="2:6">
      <c r="B63" s="384" t="s">
        <v>332</v>
      </c>
      <c r="C63" s="385">
        <f>Normalized_FCF!C92</f>
        <v>6.7164179104477612E-2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-72545</v>
      </c>
      <c r="D78" s="350" t="str">
        <f>Reporting_currency</f>
        <v>CNY</v>
      </c>
    </row>
    <row r="79" spans="1:6">
      <c r="B79" s="379" t="s">
        <v>234</v>
      </c>
      <c r="C79" s="394">
        <f>C78*scaling_factor*Exchange_Rate/Common_Shares</f>
        <v>-1.6674322452842876</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0.12853099614900731</v>
      </c>
      <c r="D90" s="350" t="str">
        <f>Market_currency</f>
        <v>HKD</v>
      </c>
    </row>
    <row r="92" spans="1:6">
      <c r="B92" s="379" t="s">
        <v>483</v>
      </c>
      <c r="C92" s="394">
        <f>DCF!F8</f>
        <v>-1.5389012491352803</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0.4493861489015577</v>
      </c>
      <c r="D111" s="350" t="str">
        <f>Market_currency</f>
        <v>HKD</v>
      </c>
    </row>
    <row r="112" spans="1:6">
      <c r="A112" s="392"/>
      <c r="B112" s="379" t="s">
        <v>377</v>
      </c>
      <c r="C112" s="401">
        <f>DCF!C11</f>
        <v>30.70734268269775</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33.31 HKD</v>
      </c>
      <c r="F118" s="406">
        <f>DCF!F82</f>
        <v>0.05</v>
      </c>
    </row>
    <row r="119" spans="1:6">
      <c r="A119" s="392"/>
      <c r="B119" s="407" t="str">
        <f>DCF!B83</f>
        <v>Optimistic</v>
      </c>
      <c r="C119" s="408">
        <f>DCF!C83</f>
        <v>0.02</v>
      </c>
      <c r="D119" s="409">
        <f>DCF!D83</f>
        <v>5</v>
      </c>
      <c r="E119" s="405" t="str">
        <f>ROUND(DCF!E83,2)&amp;" "&amp;Market_currency</f>
        <v>30.42 HKD</v>
      </c>
      <c r="F119" s="410">
        <f>DCF!F83</f>
        <v>0.24000000000000002</v>
      </c>
    </row>
    <row r="120" spans="1:6">
      <c r="B120" s="407" t="str">
        <f>DCF!B84</f>
        <v>Base</v>
      </c>
      <c r="C120" s="408">
        <f>DCF!C84</f>
        <v>0.01</v>
      </c>
      <c r="D120" s="409">
        <f>DCF!D84</f>
        <v>5</v>
      </c>
      <c r="E120" s="405" t="str">
        <f>ROUND(DCF!E84,2)&amp;" "&amp;Market_currency</f>
        <v>29.06 HKD</v>
      </c>
      <c r="F120" s="410">
        <f>DCF!F84</f>
        <v>0.47999999999999993</v>
      </c>
    </row>
    <row r="121" spans="1:6">
      <c r="B121" s="407" t="str">
        <f>DCF!B85</f>
        <v>Pessimistic</v>
      </c>
      <c r="C121" s="408">
        <f>DCF!C85</f>
        <v>-0.05</v>
      </c>
      <c r="D121" s="409">
        <f>DCF!D85</f>
        <v>5</v>
      </c>
      <c r="E121" s="405" t="str">
        <f>ROUND(DCF!E85,2)&amp;" "&amp;Market_currency</f>
        <v>21.86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24.763327047223395</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2.4238129241737356</v>
      </c>
      <c r="D140" s="416">
        <f>Scenarios!D62</f>
        <v>12.381663523611698</v>
      </c>
      <c r="E140" s="417">
        <f>Scenarios!E62</f>
        <v>14.805476447785434</v>
      </c>
      <c r="F140" s="418">
        <f>E22</f>
        <v>0.25992104989487319</v>
      </c>
    </row>
    <row r="141" spans="1:6">
      <c r="B141" s="415" t="s">
        <v>313</v>
      </c>
      <c r="C141" s="416">
        <f>Scenarios!C63</f>
        <v>2.7150622710116994</v>
      </c>
      <c r="D141" s="416">
        <f>Scenarios!D63</f>
        <v>14.857996228334038</v>
      </c>
      <c r="E141" s="417">
        <f>Scenarios!E63</f>
        <v>17.573058499345738</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17.749372026721932</v>
      </c>
      <c r="E144" s="417">
        <f>Scenarios!E66</f>
        <v>20.789251965404631</v>
      </c>
      <c r="F144" s="418">
        <f>E24</f>
        <v>0.1174</v>
      </c>
    </row>
    <row r="145" spans="1:6">
      <c r="B145" s="415" t="s">
        <v>314</v>
      </c>
      <c r="C145" s="416">
        <f>Scenarios!C67</f>
        <v>3.2915927862380006</v>
      </c>
      <c r="D145" s="416">
        <f>Scenarios!D67</f>
        <v>20.073222143483527</v>
      </c>
      <c r="E145" s="417">
        <f>Scenarios!E67</f>
        <v>23.364814929721526</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