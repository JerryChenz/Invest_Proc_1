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CB9A132-AE13-4A7F-8329-26C45391FC0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D22" i="6"/>
  <c r="F4" i="10"/>
  <c r="F4" i="8"/>
  <c r="D4" i="10"/>
  <c r="F73" i="10" l="1"/>
  <c r="F72" i="10" s="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62" i="10" l="1"/>
  <c r="C64" i="10"/>
  <c r="C66" i="10"/>
  <c r="B66" i="10"/>
  <c r="B63" i="10"/>
  <c r="B64" i="10"/>
  <c r="F65" i="10"/>
  <c r="D62" i="10"/>
  <c r="D64" i="10"/>
  <c r="D66" i="10"/>
  <c r="B61" i="10"/>
  <c r="B62" i="10"/>
  <c r="D65" i="10"/>
  <c r="E62" i="10"/>
  <c r="E64" i="10"/>
  <c r="E66" i="10"/>
  <c r="C63" i="10"/>
  <c r="D61" i="10"/>
  <c r="E63" i="10"/>
  <c r="F61" i="10"/>
  <c r="F62" i="10"/>
  <c r="F64" i="10"/>
  <c r="F66" i="10"/>
  <c r="C65" i="10"/>
  <c r="D63" i="10"/>
  <c r="E65" i="10"/>
  <c r="F63" i="10"/>
  <c r="C61" i="10"/>
  <c r="B65" i="10"/>
  <c r="E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D71" i="8"/>
  <c r="D70" i="8"/>
  <c r="F70" i="8"/>
  <c r="E67" i="8"/>
  <c r="B70" i="8"/>
  <c r="C66" i="8"/>
  <c r="E70" i="8"/>
  <c r="F71" i="8"/>
  <c r="B68" i="8"/>
  <c r="B67" i="8"/>
  <c r="D66" i="8"/>
  <c r="B66" i="8"/>
  <c r="G54" i="2"/>
  <c r="B69" i="8" l="1"/>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127" i="6"/>
  <c r="C26" i="6" s="1"/>
  <c r="C82" i="9"/>
  <c r="C83" i="9" s="1"/>
  <c r="F83" i="9" s="1"/>
  <c r="C98" i="9"/>
  <c r="C159" i="6" s="1"/>
  <c r="F72" i="9"/>
  <c r="C72" i="9" s="1"/>
  <c r="C104" i="9"/>
  <c r="C105" i="9" s="1"/>
  <c r="C168" i="6" s="1"/>
  <c r="C87" i="9"/>
  <c r="H76" i="2"/>
  <c r="H120" i="2"/>
  <c r="H116" i="2" s="1"/>
  <c r="H13" i="2"/>
  <c r="C99" i="9" l="1"/>
  <c r="C160" i="6" s="1"/>
  <c r="C143" i="6"/>
  <c r="C167" i="6"/>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<sst xmlns="http://schemas.openxmlformats.org/spreadsheetml/2006/main" count="682" uniqueCount="462">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</sst>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 numFmtId="182"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2" fontId="3" fillId="0" borderId="0" xfId="0" applyNumberFormat="1" applyFont="1"/>
    <xf numFmtId="10" fontId="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1" zoomScaleNormal="100" workbookViewId="0">
      <selection activeCell="E21" sqref="E21"/>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4" t="s">
        <v>354</v>
      </c>
      <c r="F1" s="280" t="s">
        <v>452</v>
      </c>
    </row>
    <row r="2" spans="1:10" ht="13.9">
      <c r="A2" s="246" t="s">
        <v>268</v>
      </c>
      <c r="B2" s="36"/>
      <c r="C2" s="36"/>
      <c r="D2" s="36"/>
      <c r="E2" s="36"/>
      <c r="F2" s="36"/>
      <c r="G2" s="22"/>
      <c r="H2" s="22"/>
      <c r="I2" s="22"/>
      <c r="J2" s="22"/>
    </row>
    <row r="4" spans="1:10">
      <c r="B4" s="45" t="s">
        <v>417</v>
      </c>
      <c r="C4" s="46"/>
      <c r="D4" s="5"/>
      <c r="E4" s="2"/>
      <c r="F4" s="2"/>
    </row>
    <row r="5" spans="1:10" ht="12.4">
      <c r="B5" s="4" t="s">
        <v>316</v>
      </c>
      <c r="C5" s="326" t="s">
        <v>453</v>
      </c>
    </row>
    <row r="6" spans="1:10">
      <c r="B6" s="4" t="s">
        <v>0</v>
      </c>
      <c r="C6" s="51">
        <v>47529953984</v>
      </c>
      <c r="E6" s="48"/>
    </row>
    <row r="7" spans="1:10">
      <c r="B7" s="2" t="s">
        <v>308</v>
      </c>
      <c r="C7" s="276">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17.239999999999998</v>
      </c>
      <c r="D12" s="50">
        <v>25.72</v>
      </c>
      <c r="E12" s="48"/>
    </row>
    <row r="13" spans="1:10">
      <c r="B13" s="1" t="s">
        <v>418</v>
      </c>
      <c r="C13" s="48" t="s">
        <v>397</v>
      </c>
      <c r="D13" s="48" t="s">
        <v>416</v>
      </c>
      <c r="E13" s="5"/>
    </row>
    <row r="14" spans="1:10">
      <c r="B14" s="4" t="s">
        <v>422</v>
      </c>
      <c r="C14" s="35">
        <f>Thesis!C12*Common_Shares/1000000</f>
        <v>819416.40668415988</v>
      </c>
      <c r="D14" s="35">
        <f>IF(D11="","",Thesis!D12*Common_Shares/1000000)</f>
        <v>1222470.4164684799</v>
      </c>
      <c r="E14" s="5"/>
    </row>
    <row r="15" spans="1:10">
      <c r="B15" s="4" t="s">
        <v>421</v>
      </c>
      <c r="C15" s="32" t="str">
        <f>IF(C25=C13,C13,C25&amp;"/"&amp;C13)</f>
        <v>CNY/HKD</v>
      </c>
      <c r="D15" s="32" t="str">
        <f>IF(D11="","",IF(C25=D13,D13,C25&amp;"/"&amp;D13))</f>
        <v>CNY</v>
      </c>
      <c r="E15" s="5"/>
    </row>
    <row r="16" spans="1:10">
      <c r="B16" s="4" t="s">
        <v>1</v>
      </c>
      <c r="C16" s="50">
        <v>1.0837740600000001</v>
      </c>
      <c r="D16" s="50">
        <v>1</v>
      </c>
      <c r="E16" s="5"/>
    </row>
    <row r="17" spans="2:6">
      <c r="D17" s="5"/>
      <c r="E17" s="5"/>
    </row>
    <row r="18" spans="2:6" ht="24.4" customHeight="1">
      <c r="B18" s="352" t="s">
        <v>360</v>
      </c>
      <c r="C18" s="352"/>
      <c r="D18" s="352"/>
      <c r="E18" s="352"/>
      <c r="F18" s="352"/>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42" t="s">
        <v>458</v>
      </c>
    </row>
    <row r="22" spans="2:6">
      <c r="B22" s="2" t="s">
        <v>56</v>
      </c>
      <c r="C22" s="48" t="s">
        <v>456</v>
      </c>
      <c r="D22" s="1" t="str">
        <f>IF(valuation_method="DDM","DDM Terminal Value","")</f>
        <v/>
      </c>
      <c r="E22" s="347"/>
    </row>
    <row r="23" spans="2:6">
      <c r="B23" s="1" t="s">
        <v>436</v>
      </c>
      <c r="C23" s="290" t="s">
        <v>457</v>
      </c>
    </row>
    <row r="24" spans="2:6">
      <c r="B24" s="1" t="s">
        <v>437</v>
      </c>
      <c r="C24" s="290" t="s">
        <v>457</v>
      </c>
    </row>
    <row r="25" spans="2:6">
      <c r="B25" s="4" t="s">
        <v>348</v>
      </c>
      <c r="C25" s="48" t="s">
        <v>416</v>
      </c>
      <c r="D25" s="32" t="str">
        <f>IF(D11="","",Market_currency&amp;"/"&amp;D13&amp;":")</f>
        <v>HKD/CNY:</v>
      </c>
      <c r="E25" s="333">
        <f>IF(D11="","",1/Exchange_Rate*D16)</f>
        <v>0.92270154537561078</v>
      </c>
    </row>
    <row r="26" spans="2:6">
      <c r="B26" s="1" t="str">
        <f>"Expected Equity Value ("&amp;C13&amp;") :"</f>
        <v>Expected Equity Value (HKD) :</v>
      </c>
      <c r="C26" s="338">
        <f>C127</f>
        <v>27.585840894032099</v>
      </c>
      <c r="D26" s="1" t="s">
        <v>400</v>
      </c>
      <c r="E26" s="335">
        <f ca="1">Scenarios!C87</f>
        <v>0.24005737138914962</v>
      </c>
    </row>
    <row r="27" spans="2:6">
      <c r="D27" s="5"/>
      <c r="E27" s="5"/>
    </row>
    <row r="28" spans="2:6">
      <c r="B28" s="45" t="s">
        <v>435</v>
      </c>
      <c r="C28" s="343" t="str">
        <f>C140&amp;" ("&amp;Market_currency&amp;")"</f>
        <v>0883.HK (HKD)</v>
      </c>
      <c r="D28" s="343" t="str">
        <f>IF(D11="","",D140&amp;" ("&amp;D13&amp;")")</f>
        <v>600938.SS (CNY)</v>
      </c>
      <c r="E28" s="339" t="s">
        <v>431</v>
      </c>
      <c r="F28" s="337">
        <v>3</v>
      </c>
    </row>
    <row r="29" spans="2:6">
      <c r="B29" s="1" t="s">
        <v>427</v>
      </c>
      <c r="C29" s="344">
        <f>C144</f>
        <v>12.277638809778463</v>
      </c>
      <c r="D29" s="344">
        <f>D144</f>
        <v>11.328596303346162</v>
      </c>
      <c r="E29" s="340" t="s">
        <v>426</v>
      </c>
      <c r="F29" s="336">
        <v>0.4</v>
      </c>
    </row>
    <row r="30" spans="2:6">
      <c r="B30" s="1" t="s">
        <v>428</v>
      </c>
      <c r="C30" s="345">
        <f>C152</f>
        <v>18.159816530624241</v>
      </c>
      <c r="D30" s="345">
        <f>D152</f>
        <v>16.75609077654455</v>
      </c>
      <c r="E30" s="341" t="s">
        <v>439</v>
      </c>
      <c r="F30" s="346">
        <v>0.21740000000000001</v>
      </c>
    </row>
    <row r="31" spans="2:6">
      <c r="B31" s="1" t="s">
        <v>429</v>
      </c>
      <c r="C31" s="345">
        <f>C160</f>
        <v>25.506465679482371</v>
      </c>
      <c r="D31" s="345">
        <f>D160</f>
        <v>23.534855299528363</v>
      </c>
      <c r="E31" s="341" t="s">
        <v>438</v>
      </c>
      <c r="F31" s="346">
        <v>0.08</v>
      </c>
    </row>
    <row r="32" spans="2:6">
      <c r="B32" s="1" t="s">
        <v>430</v>
      </c>
      <c r="C32" s="345">
        <f>C168</f>
        <v>23.150082537164369</v>
      </c>
      <c r="D32" s="345">
        <f>D168</f>
        <v>21.360616932614505</v>
      </c>
      <c r="E32" s="341" t="s">
        <v>440</v>
      </c>
      <c r="F32" s="346">
        <v>0.1174</v>
      </c>
    </row>
    <row r="33" spans="1:6">
      <c r="D33" s="5"/>
      <c r="E33" s="5"/>
    </row>
    <row r="34" spans="1:6" ht="13.9">
      <c r="A34" s="246" t="s">
        <v>355</v>
      </c>
      <c r="B34" s="36"/>
      <c r="C34" s="36"/>
      <c r="D34" s="36"/>
      <c r="E34" s="36"/>
      <c r="F34" s="36"/>
    </row>
    <row r="36" spans="1:6" ht="24.4" customHeight="1">
      <c r="B36" s="352" t="s">
        <v>361</v>
      </c>
      <c r="C36" s="352"/>
      <c r="D36" s="352"/>
      <c r="E36" s="352"/>
      <c r="F36" s="352"/>
    </row>
    <row r="37" spans="1:6" ht="24.4" customHeight="1">
      <c r="B37" s="355" t="s">
        <v>340</v>
      </c>
      <c r="C37" s="355"/>
      <c r="D37" s="355"/>
      <c r="E37" s="355"/>
      <c r="F37" s="355"/>
    </row>
    <row r="39" spans="1:6">
      <c r="B39" s="234" t="s">
        <v>231</v>
      </c>
      <c r="C39" s="108">
        <f>scaling_factor</f>
        <v>1000000</v>
      </c>
    </row>
    <row r="40" spans="1:6" ht="24.4" customHeight="1">
      <c r="B40" s="353" t="s">
        <v>232</v>
      </c>
      <c r="C40" s="353"/>
      <c r="D40" s="353"/>
      <c r="E40" s="353"/>
      <c r="F40" s="353"/>
    </row>
    <row r="41" spans="1:6">
      <c r="B41" s="47" t="s">
        <v>233</v>
      </c>
      <c r="C41" s="188">
        <f>Normalized_FCF!C8</f>
        <v>122178.06382484984</v>
      </c>
      <c r="D41" s="1" t="str">
        <f>Reporting_currency</f>
        <v>CNY</v>
      </c>
    </row>
    <row r="42" spans="1:6">
      <c r="B42" s="47"/>
      <c r="C42" s="76"/>
    </row>
    <row r="43" spans="1:6" ht="24.4" customHeight="1">
      <c r="B43" s="353" t="s">
        <v>234</v>
      </c>
      <c r="C43" s="353"/>
      <c r="D43" s="353"/>
      <c r="E43" s="353"/>
      <c r="F43" s="353"/>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53" t="s">
        <v>237</v>
      </c>
      <c r="C47" s="353"/>
      <c r="D47" s="353"/>
      <c r="E47" s="353"/>
      <c r="F47" s="353"/>
    </row>
    <row r="48" spans="1:6">
      <c r="B48" s="47" t="s">
        <v>238</v>
      </c>
      <c r="C48" s="188">
        <f>Normalized_FCF!C11</f>
        <v>0</v>
      </c>
      <c r="D48" s="1" t="str">
        <f>Reporting_currency</f>
        <v>CNY</v>
      </c>
    </row>
    <row r="50" spans="2:6">
      <c r="B50" s="353" t="s">
        <v>241</v>
      </c>
      <c r="C50" s="353"/>
      <c r="D50" s="353"/>
      <c r="E50" s="353"/>
      <c r="F50" s="353"/>
    </row>
    <row r="51" spans="2:6">
      <c r="B51" s="47" t="s">
        <v>341</v>
      </c>
      <c r="C51" s="316">
        <f>Normalized_FCF!C48</f>
        <v>801.81967938187529</v>
      </c>
      <c r="D51" s="1" t="str">
        <f>Reporting_currency</f>
        <v>CNY</v>
      </c>
      <c r="E51" s="315"/>
      <c r="F51" s="315"/>
    </row>
    <row r="52" spans="2:6">
      <c r="B52" s="47" t="s">
        <v>342</v>
      </c>
      <c r="C52" s="316">
        <f>Normalized_FCF!C47</f>
        <v>-2807</v>
      </c>
      <c r="D52" s="1" t="str">
        <f>Reporting_currency</f>
        <v>CNY</v>
      </c>
      <c r="E52" s="315"/>
      <c r="F52" s="315"/>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53" t="s">
        <v>242</v>
      </c>
      <c r="C58" s="353"/>
      <c r="D58" s="353"/>
      <c r="E58" s="353"/>
      <c r="F58" s="353"/>
    </row>
    <row r="59" spans="2:6">
      <c r="B59" s="47" t="s">
        <v>240</v>
      </c>
      <c r="C59" s="188">
        <f>Normalized_FCF!C14</f>
        <v>-30043.220876057931</v>
      </c>
      <c r="D59" s="1" t="str">
        <f>Reporting_currency</f>
        <v>CNY</v>
      </c>
    </row>
    <row r="61" spans="2:6">
      <c r="B61" s="353" t="s">
        <v>339</v>
      </c>
      <c r="C61" s="354"/>
      <c r="D61" s="354"/>
      <c r="E61" s="354"/>
      <c r="F61" s="354"/>
    </row>
    <row r="62" spans="2:6">
      <c r="B62" s="47" t="s">
        <v>243</v>
      </c>
      <c r="C62" s="1">
        <f>Normalized_FCF!C17</f>
        <v>0</v>
      </c>
      <c r="D62" s="1" t="str">
        <f>Reporting_currency</f>
        <v>CNY</v>
      </c>
    </row>
    <row r="64" spans="2:6" ht="24.4" customHeight="1">
      <c r="B64" s="352" t="s">
        <v>344</v>
      </c>
      <c r="C64" s="352"/>
      <c r="D64" s="352"/>
      <c r="E64" s="352"/>
      <c r="F64" s="352"/>
    </row>
    <row r="65" spans="1:6" ht="24.4" customHeight="1">
      <c r="B65" s="352" t="s">
        <v>362</v>
      </c>
      <c r="C65" s="352"/>
      <c r="D65" s="352"/>
      <c r="E65" s="352"/>
      <c r="F65" s="352"/>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1" t="s">
        <v>391</v>
      </c>
      <c r="C69" s="92">
        <f>Normalized_FCF!C125</f>
        <v>0.11891189490201272</v>
      </c>
      <c r="F69" s="348"/>
    </row>
    <row r="70" spans="1:6">
      <c r="B70" s="251" t="s">
        <v>309</v>
      </c>
      <c r="C70" s="92">
        <f>Normalized_FCF!C93</f>
        <v>8.1206496519721574E-2</v>
      </c>
      <c r="E70" s="47" t="s">
        <v>450</v>
      </c>
      <c r="F70" s="349">
        <f>Normalized_FCF!C92</f>
        <v>0.74012355537751062</v>
      </c>
    </row>
    <row r="72" spans="1:6" ht="13.9">
      <c r="A72" s="246" t="s">
        <v>356</v>
      </c>
      <c r="B72" s="36"/>
      <c r="C72" s="36"/>
      <c r="D72" s="36"/>
      <c r="E72" s="36"/>
      <c r="F72" s="36"/>
    </row>
    <row r="73" spans="1:6">
      <c r="A73" s="233"/>
    </row>
    <row r="74" spans="1:6" ht="24.4" customHeight="1">
      <c r="A74" s="17"/>
      <c r="B74" s="352" t="s">
        <v>363</v>
      </c>
      <c r="C74" s="352"/>
      <c r="D74" s="352"/>
      <c r="E74" s="352"/>
      <c r="F74" s="352"/>
    </row>
    <row r="75" spans="1:6">
      <c r="B75" s="355" t="s">
        <v>253</v>
      </c>
      <c r="C75" s="355"/>
      <c r="D75" s="355"/>
      <c r="E75" s="355"/>
      <c r="F75" s="355"/>
    </row>
    <row r="77" spans="1:6">
      <c r="B77" s="234" t="s">
        <v>231</v>
      </c>
    </row>
    <row r="78" spans="1:6">
      <c r="B78" s="1" t="s">
        <v>433</v>
      </c>
      <c r="C78" s="92">
        <f>F31</f>
        <v>0.08</v>
      </c>
    </row>
    <row r="79" spans="1:6">
      <c r="B79" s="1" t="s">
        <v>432</v>
      </c>
      <c r="C79" s="92">
        <f>IF(C23="Y",1%,0)+IF(C24="Y",1%,0)</f>
        <v>0</v>
      </c>
    </row>
    <row r="80" spans="1:6">
      <c r="B80" s="80" t="s">
        <v>248</v>
      </c>
      <c r="C80" s="260">
        <f>F31+C79</f>
        <v>0.08</v>
      </c>
    </row>
    <row r="81" spans="1:6">
      <c r="C81" s="122"/>
    </row>
    <row r="82" spans="1:6">
      <c r="B82" s="325" t="s">
        <v>357</v>
      </c>
      <c r="C82" s="122"/>
    </row>
    <row r="83" spans="1:6" ht="24.4" customHeight="1">
      <c r="B83" s="352" t="s">
        <v>364</v>
      </c>
      <c r="C83" s="352"/>
      <c r="D83" s="352"/>
      <c r="E83" s="352"/>
      <c r="F83" s="352"/>
    </row>
    <row r="84" spans="1:6" ht="24.4" customHeight="1">
      <c r="B84" s="352" t="s">
        <v>365</v>
      </c>
      <c r="C84" s="352"/>
      <c r="D84" s="352"/>
      <c r="E84" s="352"/>
      <c r="F84" s="352"/>
    </row>
    <row r="86" spans="1:6">
      <c r="B86" s="47" t="s">
        <v>252</v>
      </c>
      <c r="C86" s="260">
        <v>0</v>
      </c>
    </row>
    <row r="87" spans="1:6">
      <c r="B87" s="47" t="s">
        <v>281</v>
      </c>
      <c r="C87" s="247">
        <f>DCF!C6*scaling_factor*Exchange_Rate/Common_Shares</f>
        <v>25.625513351383745</v>
      </c>
      <c r="D87" s="1" t="str">
        <f>Market_currency</f>
        <v>HKD</v>
      </c>
    </row>
    <row r="89" spans="1:6" ht="13.9">
      <c r="A89" s="246" t="s">
        <v>358</v>
      </c>
      <c r="B89" s="36"/>
      <c r="C89" s="36"/>
      <c r="D89" s="36"/>
      <c r="E89" s="36"/>
      <c r="F89" s="36"/>
    </row>
    <row r="90" spans="1:6">
      <c r="A90" s="233"/>
    </row>
    <row r="91" spans="1:6">
      <c r="B91" s="352" t="s">
        <v>366</v>
      </c>
      <c r="C91" s="352"/>
      <c r="D91" s="352"/>
      <c r="E91" s="352"/>
      <c r="F91" s="352"/>
    </row>
    <row r="92" spans="1:6">
      <c r="B92" s="1" t="s">
        <v>254</v>
      </c>
    </row>
    <row r="94" spans="1:6">
      <c r="B94" s="234" t="s">
        <v>231</v>
      </c>
    </row>
    <row r="95" spans="1:6" ht="24.4" customHeight="1">
      <c r="B95" s="352" t="s">
        <v>345</v>
      </c>
      <c r="C95" s="352"/>
      <c r="D95" s="352"/>
      <c r="E95" s="352"/>
      <c r="F95" s="352"/>
    </row>
    <row r="96" spans="1:6">
      <c r="B96" s="47" t="s">
        <v>256</v>
      </c>
      <c r="C96" s="188">
        <f>DCF!C7</f>
        <v>91887</v>
      </c>
      <c r="D96" s="1" t="str">
        <f>Reporting_currency</f>
        <v>CNY</v>
      </c>
    </row>
    <row r="97" spans="2:6">
      <c r="B97" s="47" t="s">
        <v>282</v>
      </c>
      <c r="C97" s="247">
        <f>C96*scaling_factor*Exchange_Rate/Common_Shares</f>
        <v>2.0951997362493384</v>
      </c>
      <c r="D97" s="1" t="str">
        <f>Market_currency</f>
        <v>HKD</v>
      </c>
    </row>
    <row r="98" spans="2:6">
      <c r="B98" s="329" t="s">
        <v>405</v>
      </c>
      <c r="C98" s="330">
        <f>BS!G30/BS!G27</f>
        <v>0.40943456145688223</v>
      </c>
    </row>
    <row r="99" spans="2:6">
      <c r="B99" s="329" t="s">
        <v>406</v>
      </c>
      <c r="C99" s="330">
        <f>BS!G31/BS!G27</f>
        <v>0.12260820136742831</v>
      </c>
    </row>
    <row r="100" spans="2:6">
      <c r="B100" s="329" t="s">
        <v>408</v>
      </c>
      <c r="C100" s="331">
        <f>BS!C50</f>
        <v>0.75207444874659302</v>
      </c>
    </row>
    <row r="102" spans="2:6">
      <c r="B102" s="1" t="s">
        <v>255</v>
      </c>
    </row>
    <row r="103" spans="2:6">
      <c r="B103" s="47" t="s">
        <v>265</v>
      </c>
      <c r="C103" s="188">
        <f>BS!C66</f>
        <v>154196</v>
      </c>
      <c r="D103" s="1" t="str">
        <f>Reporting_currency</f>
        <v>CNY</v>
      </c>
    </row>
    <row r="104" spans="2:6">
      <c r="B104" s="47" t="s">
        <v>267</v>
      </c>
      <c r="C104" s="188">
        <f>DCF!C8</f>
        <v>100741.35470787497</v>
      </c>
      <c r="D104" s="1" t="str">
        <f>Reporting_currency</f>
        <v>CNY</v>
      </c>
    </row>
    <row r="105" spans="2:6">
      <c r="B105" s="47" t="s">
        <v>283</v>
      </c>
      <c r="C105" s="247">
        <f>C104*scaling_factor*Exchange_Rate/Common_Shares</f>
        <v>2.2970959963143938</v>
      </c>
      <c r="D105" s="1" t="str">
        <f>Market_currency</f>
        <v>HKD</v>
      </c>
    </row>
    <row r="107" spans="2:6">
      <c r="B107" s="1" t="s">
        <v>257</v>
      </c>
    </row>
    <row r="108" spans="2:6">
      <c r="B108" s="47" t="s">
        <v>258</v>
      </c>
      <c r="C108" s="188">
        <f>DCF!C9</f>
        <v>5113.2</v>
      </c>
      <c r="D108" s="1" t="str">
        <f>Reporting_currency</f>
        <v>CNY</v>
      </c>
    </row>
    <row r="109" spans="2:6">
      <c r="B109" s="47" t="s">
        <v>284</v>
      </c>
      <c r="C109" s="247">
        <f>C108*scaling_factor*Exchange_Rate/Common_Shares</f>
        <v>0.11659076138507207</v>
      </c>
      <c r="D109" s="1" t="str">
        <f>Market_currency</f>
        <v>HKD</v>
      </c>
    </row>
    <row r="111" spans="2:6" ht="24.4" customHeight="1">
      <c r="B111" s="352" t="s">
        <v>367</v>
      </c>
      <c r="C111" s="352"/>
      <c r="D111" s="352"/>
      <c r="E111" s="352"/>
      <c r="F111" s="352"/>
    </row>
    <row r="113" spans="1:6">
      <c r="B113" s="47" t="s">
        <v>451</v>
      </c>
      <c r="C113" s="247">
        <f>IF(valuation_method="DCF",DCF!C12,DDM!C7)</f>
        <v>25.944000372833873</v>
      </c>
      <c r="D113" s="1" t="str">
        <f>Market_currency</f>
        <v>HKD</v>
      </c>
    </row>
    <row r="114" spans="1:6">
      <c r="B114" s="329" t="s">
        <v>407</v>
      </c>
      <c r="C114" s="247">
        <f>BS!D47</f>
        <v>-0.45424610691085382</v>
      </c>
      <c r="D114" s="1" t="str">
        <f>Market_currency</f>
        <v>HKD</v>
      </c>
    </row>
    <row r="116" spans="1:6" ht="13.9">
      <c r="A116" s="246" t="s">
        <v>359</v>
      </c>
      <c r="B116" s="36"/>
      <c r="C116" s="36"/>
      <c r="D116" s="36"/>
      <c r="E116" s="36"/>
      <c r="F116" s="36"/>
    </row>
    <row r="118" spans="1:6" ht="24.4" customHeight="1">
      <c r="B118" s="353" t="s">
        <v>368</v>
      </c>
      <c r="C118" s="353"/>
      <c r="D118" s="353"/>
      <c r="E118" s="353"/>
      <c r="F118" s="353"/>
    </row>
    <row r="120" spans="1:6" ht="12.4">
      <c r="B120" s="257" t="s">
        <v>118</v>
      </c>
      <c r="C120" s="257" t="s">
        <v>133</v>
      </c>
      <c r="D120" s="257" t="s">
        <v>113</v>
      </c>
      <c r="E120" s="257" t="s">
        <v>260</v>
      </c>
      <c r="F120" s="257" t="s">
        <v>148</v>
      </c>
    </row>
    <row r="121" spans="1:6">
      <c r="B121" s="252" t="str">
        <f>DCF!B74</f>
        <v>Snowball Scenario</v>
      </c>
      <c r="C121" s="253">
        <f>DCF!C74</f>
        <v>0.04</v>
      </c>
      <c r="D121" s="254">
        <f>DCF!D74</f>
        <v>15</v>
      </c>
      <c r="E121" s="255" t="str">
        <f>ROUND(IF(valuation_method="DCF",DCF!E74,DDM!E69),2)&amp;" "&amp;Market_currency</f>
        <v>31.76 HKD</v>
      </c>
      <c r="F121" s="256">
        <f>DCF!F74</f>
        <v>0.05</v>
      </c>
    </row>
    <row r="122" spans="1:6">
      <c r="B122" s="242" t="str">
        <f>DCF!B75</f>
        <v>Optimistic</v>
      </c>
      <c r="C122" s="243">
        <f>DCF!C75</f>
        <v>0.03</v>
      </c>
      <c r="D122" s="244">
        <f>DCF!D75</f>
        <v>10</v>
      </c>
      <c r="E122" s="255" t="str">
        <f>ROUND(IF(valuation_method="DCF",DCF!E75,DDM!E70),2)&amp;" "&amp;Market_currency</f>
        <v>28.49 HKD</v>
      </c>
      <c r="F122" s="245">
        <f>DCF!F75</f>
        <v>0.18</v>
      </c>
    </row>
    <row r="123" spans="1:6">
      <c r="B123" s="242" t="str">
        <f>DCF!B76</f>
        <v>Base</v>
      </c>
      <c r="C123" s="243">
        <f>DCF!C76</f>
        <v>0.02</v>
      </c>
      <c r="D123" s="244">
        <f>DCF!D76</f>
        <v>10</v>
      </c>
      <c r="E123" s="255" t="str">
        <f>ROUND(IF(valuation_method="DCF",DCF!E76,DDM!E71),2)&amp;" "&amp;Market_currency</f>
        <v>27.6 HKD</v>
      </c>
      <c r="F123" s="245">
        <f>DCF!F76</f>
        <v>0.53999999999999992</v>
      </c>
    </row>
    <row r="124" spans="1:6">
      <c r="B124" s="242" t="str">
        <f>DCF!B77</f>
        <v>Pessimistic</v>
      </c>
      <c r="C124" s="243">
        <f>DCF!C77</f>
        <v>0</v>
      </c>
      <c r="D124" s="244">
        <f>DCF!D77</f>
        <v>10</v>
      </c>
      <c r="E124" s="255" t="str">
        <f>ROUND(IF(valuation_method="DCF",DCF!E77,DDM!E72),2)&amp;" "&amp;Market_currency</f>
        <v>25.94 HKD</v>
      </c>
      <c r="F124" s="245">
        <f>DCF!F77</f>
        <v>0.18</v>
      </c>
    </row>
    <row r="125" spans="1:6">
      <c r="B125" s="242" t="str">
        <f>DCF!B78</f>
        <v>Devil's advocate</v>
      </c>
      <c r="C125" s="243">
        <f>DCF!C78</f>
        <v>0</v>
      </c>
      <c r="D125" s="244">
        <f>DCF!D78</f>
        <v>15</v>
      </c>
      <c r="E125" s="255" t="str">
        <f>ROUND(IF(valuation_method="DCF",DCF!E78,DDM!E73),2)&amp;" "&amp;Market_currency</f>
        <v>25.94 HKD</v>
      </c>
      <c r="F125" s="245">
        <f>DCF!F78</f>
        <v>0.05</v>
      </c>
    </row>
    <row r="127" spans="1:6">
      <c r="B127" s="235" t="s">
        <v>259</v>
      </c>
      <c r="C127" s="241">
        <f>Scenarios!C60</f>
        <v>27.585840894032099</v>
      </c>
      <c r="D127" s="236" t="str">
        <f>Market_currency</f>
        <v>HKD</v>
      </c>
    </row>
    <row r="129" spans="1:6" ht="24.4" customHeight="1">
      <c r="B129" s="356" t="s">
        <v>371</v>
      </c>
      <c r="C129" s="356"/>
      <c r="D129" s="356"/>
      <c r="E129" s="356"/>
      <c r="F129" s="356"/>
    </row>
    <row r="131" spans="1:6" ht="13.9">
      <c r="A131" s="246" t="s">
        <v>403</v>
      </c>
      <c r="B131" s="36"/>
      <c r="C131" s="36"/>
      <c r="D131" s="36"/>
      <c r="E131" s="36"/>
      <c r="F131" s="36"/>
    </row>
    <row r="133" spans="1:6">
      <c r="B133" s="357" t="s">
        <v>369</v>
      </c>
      <c r="C133" s="357"/>
      <c r="D133" s="357"/>
      <c r="E133" s="357"/>
      <c r="F133" s="357"/>
    </row>
    <row r="134" spans="1:6" ht="24.4" customHeight="1">
      <c r="B134" s="352" t="s">
        <v>370</v>
      </c>
      <c r="C134" s="352"/>
      <c r="D134" s="352"/>
      <c r="E134" s="352"/>
      <c r="F134" s="352"/>
    </row>
    <row r="135" spans="1:6">
      <c r="B135" s="234" t="s">
        <v>231</v>
      </c>
    </row>
    <row r="136" spans="1:6">
      <c r="B136" s="1" t="s">
        <v>264</v>
      </c>
      <c r="C136" s="249">
        <f>F28</f>
        <v>3</v>
      </c>
    </row>
    <row r="137" spans="1:6">
      <c r="B137" s="1" t="s">
        <v>277</v>
      </c>
      <c r="C137" s="248">
        <f>F29</f>
        <v>0.4</v>
      </c>
    </row>
    <row r="138" spans="1:6">
      <c r="B138" s="236" t="s">
        <v>262</v>
      </c>
      <c r="C138" s="237">
        <f>Scenarios!C77</f>
        <v>1.4</v>
      </c>
      <c r="D138" s="236" t="str">
        <f>Market_currency</f>
        <v>HKD</v>
      </c>
    </row>
    <row r="140" spans="1:6">
      <c r="B140" s="234" t="s">
        <v>410</v>
      </c>
      <c r="C140" s="267" t="str">
        <f>C11</f>
        <v>0883.HK</v>
      </c>
      <c r="D140" s="267" t="str">
        <f>IF(D11="","",D11)</f>
        <v>600938.SS</v>
      </c>
    </row>
    <row r="141" spans="1:6">
      <c r="B141" s="1" t="s">
        <v>409</v>
      </c>
      <c r="C141" s="330">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10.053149013860097</v>
      </c>
    </row>
    <row r="144" spans="1:6">
      <c r="B144" s="80" t="s">
        <v>261</v>
      </c>
      <c r="C144" s="239">
        <f>Scenarios!C83</f>
        <v>12.277638809778463</v>
      </c>
      <c r="D144" s="334">
        <f>IF($D$11="","",C144*$E$25)</f>
        <v>11.328596303346162</v>
      </c>
    </row>
    <row r="145" spans="2:4">
      <c r="B145" s="285" t="s">
        <v>418</v>
      </c>
      <c r="C145" s="332" t="str">
        <f>Market_currency</f>
        <v>HKD</v>
      </c>
      <c r="D145" s="332" t="str">
        <f>IF($D$11="","",D$13)</f>
        <v>CNY</v>
      </c>
    </row>
    <row r="146" spans="2:4">
      <c r="B146" s="238" t="s">
        <v>263</v>
      </c>
      <c r="C146" s="92">
        <f>Scenarios!F83</f>
        <v>0.55492968813451693</v>
      </c>
    </row>
    <row r="148" spans="2:4">
      <c r="B148" s="234" t="s">
        <v>413</v>
      </c>
    </row>
    <row r="149" spans="2:4">
      <c r="B149" s="1" t="s">
        <v>412</v>
      </c>
      <c r="C149" s="330">
        <f>Scenarios!C90</f>
        <v>0.21740000000000001</v>
      </c>
    </row>
    <row r="150" spans="2:4">
      <c r="B150" s="236" t="str">
        <f>"PV("&amp;C136&amp;" yrs of Dividends)"</f>
        <v>PV(3 yrs of Dividends)</v>
      </c>
      <c r="C150" s="240">
        <f>Scenarios!C91</f>
        <v>2.870561153410911</v>
      </c>
    </row>
    <row r="151" spans="2:4">
      <c r="B151" s="236" t="str">
        <f>"+ PV(Equity Value realized at year "&amp;C136&amp;")"</f>
        <v>+ PV(Equity Value realized at year 3)</v>
      </c>
      <c r="C151" s="240">
        <f>Scenarios!C92</f>
        <v>15.289255377213331</v>
      </c>
    </row>
    <row r="152" spans="2:4">
      <c r="B152" s="80" t="s">
        <v>261</v>
      </c>
      <c r="C152" s="239">
        <f>Scenarios!C93</f>
        <v>18.159816530624241</v>
      </c>
      <c r="D152" s="334">
        <f>IF($D$11="","",C152*$E$25)</f>
        <v>16.75609077654455</v>
      </c>
    </row>
    <row r="153" spans="2:4">
      <c r="B153" s="285" t="s">
        <v>418</v>
      </c>
      <c r="C153" s="332" t="str">
        <f>Market_currency</f>
        <v>HKD</v>
      </c>
      <c r="D153" s="332" t="str">
        <f>IF($D$11="","",D$13)</f>
        <v>CNY</v>
      </c>
    </row>
    <row r="154" spans="2:4">
      <c r="B154" s="238" t="s">
        <v>263</v>
      </c>
      <c r="C154" s="92">
        <f>Scenarios!F93</f>
        <v>0.3416979166818539</v>
      </c>
    </row>
    <row r="156" spans="2:4">
      <c r="B156" s="234" t="s">
        <v>401</v>
      </c>
    </row>
    <row r="157" spans="2:4">
      <c r="B157" s="1" t="s">
        <v>411</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21.89852989733534</v>
      </c>
    </row>
    <row r="160" spans="2:4">
      <c r="B160" s="80" t="s">
        <v>402</v>
      </c>
      <c r="C160" s="239">
        <f>Scenarios!C99</f>
        <v>25.506465679482371</v>
      </c>
      <c r="D160" s="334">
        <f>IF($D$11="","",C160*$E$25)</f>
        <v>23.534855299528363</v>
      </c>
    </row>
    <row r="161" spans="1:6">
      <c r="B161" s="285" t="s">
        <v>418</v>
      </c>
      <c r="C161" s="332" t="str">
        <f>Market_currency</f>
        <v>HKD</v>
      </c>
      <c r="D161" s="332" t="str">
        <f>IF($D$11="","",D$13)</f>
        <v>CNY</v>
      </c>
    </row>
    <row r="162" spans="1:6">
      <c r="B162" s="238" t="s">
        <v>263</v>
      </c>
      <c r="C162" s="92">
        <f>Scenarios!F99</f>
        <v>7.5378351616592454E-2</v>
      </c>
    </row>
    <row r="164" spans="1:6">
      <c r="B164" s="234" t="s">
        <v>434</v>
      </c>
    </row>
    <row r="165" spans="1:6">
      <c r="B165" s="1" t="s">
        <v>425</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19.77243816085026</v>
      </c>
    </row>
    <row r="168" spans="1:6">
      <c r="B168" s="80" t="s">
        <v>402</v>
      </c>
      <c r="C168" s="239">
        <f>Scenarios!C105</f>
        <v>23.150082537164369</v>
      </c>
      <c r="D168" s="334">
        <f>IF($D$11="","",C168*$E$25)</f>
        <v>21.360616932614505</v>
      </c>
    </row>
    <row r="169" spans="1:6">
      <c r="B169" s="285" t="s">
        <v>418</v>
      </c>
      <c r="C169" s="332" t="str">
        <f>Market_currency</f>
        <v>HKD</v>
      </c>
      <c r="D169" s="332" t="str">
        <f>IF($D$11="","",D$13)</f>
        <v>CNY</v>
      </c>
    </row>
    <row r="170" spans="1:6">
      <c r="B170" s="238" t="s">
        <v>263</v>
      </c>
      <c r="C170" s="92">
        <f>Scenarios!F105</f>
        <v>0.16076746951188714</v>
      </c>
    </row>
    <row r="172" spans="1:6" ht="13.9">
      <c r="A172" s="246" t="s">
        <v>375</v>
      </c>
      <c r="B172" s="36"/>
      <c r="C172" s="36"/>
      <c r="D172" s="36"/>
      <c r="E172" s="36"/>
      <c r="F172" s="36"/>
    </row>
    <row r="174" spans="1:6">
      <c r="B174" s="351" t="s">
        <v>377</v>
      </c>
      <c r="C174" s="352"/>
      <c r="D174" s="352"/>
      <c r="E174" s="352"/>
      <c r="F174" s="352"/>
    </row>
    <row r="176" spans="1:6">
      <c r="B176" s="234" t="s">
        <v>376</v>
      </c>
    </row>
    <row r="177" spans="2:6">
      <c r="B177" s="354" t="s">
        <v>381</v>
      </c>
      <c r="C177" s="354"/>
      <c r="D177" s="354"/>
      <c r="E177" s="354"/>
      <c r="F177" s="354"/>
    </row>
    <row r="178" spans="2:6">
      <c r="B178" s="238" t="s">
        <v>378</v>
      </c>
    </row>
    <row r="179" spans="2:6">
      <c r="B179" s="238" t="s">
        <v>379</v>
      </c>
    </row>
    <row r="180" spans="2:6">
      <c r="B180" s="238" t="s">
        <v>380</v>
      </c>
    </row>
    <row r="182" spans="2:6">
      <c r="B182" s="1" t="s">
        <v>385</v>
      </c>
    </row>
    <row r="183" spans="2:6" ht="46.5" customHeight="1">
      <c r="B183" s="353" t="s">
        <v>382</v>
      </c>
      <c r="C183" s="353"/>
      <c r="D183" s="353"/>
      <c r="E183" s="353"/>
      <c r="F183" s="353"/>
    </row>
    <row r="185" spans="2:6">
      <c r="B185" s="1" t="s">
        <v>386</v>
      </c>
    </row>
    <row r="186" spans="2:6" ht="24.4" customHeight="1">
      <c r="B186" s="350" t="s">
        <v>383</v>
      </c>
      <c r="C186" s="350"/>
      <c r="D186" s="350"/>
      <c r="E186" s="350"/>
      <c r="F186" s="350"/>
    </row>
    <row r="187" spans="2:6" ht="24.4" customHeight="1">
      <c r="B187" s="350" t="s">
        <v>384</v>
      </c>
      <c r="C187" s="350"/>
      <c r="D187" s="350"/>
      <c r="E187" s="350"/>
      <c r="F187" s="350"/>
    </row>
    <row r="189" spans="2:6">
      <c r="B189" s="1" t="s">
        <v>390</v>
      </c>
    </row>
    <row r="190" spans="2:6">
      <c r="B190" s="238" t="s">
        <v>387</v>
      </c>
    </row>
    <row r="191" spans="2:6">
      <c r="B191" s="238" t="s">
        <v>388</v>
      </c>
    </row>
    <row r="192" spans="2:6">
      <c r="B192" s="238"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374</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373</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459</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28"/>
      <c r="J77" s="328"/>
      <c r="K77" s="328"/>
      <c r="L77" s="328"/>
      <c r="M77" s="328"/>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28"/>
      <c r="J78" s="328"/>
      <c r="K78" s="328"/>
      <c r="L78" s="328"/>
      <c r="M78" s="328"/>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89">
        <v>0.6</v>
      </c>
      <c r="E4" s="25"/>
      <c r="F4" s="4" t="s">
        <v>78</v>
      </c>
      <c r="G4" s="19">
        <f>72912+81284</f>
        <v>154196</v>
      </c>
      <c r="H4" s="289">
        <v>0.9</v>
      </c>
    </row>
    <row r="5" spans="2:8" ht="15" customHeight="1">
      <c r="B5" s="1" t="s">
        <v>33</v>
      </c>
      <c r="C5" s="19">
        <f>45771+4</f>
        <v>45775</v>
      </c>
      <c r="D5" s="289">
        <v>0.6</v>
      </c>
      <c r="E5" s="25"/>
      <c r="F5" s="1" t="s">
        <v>29</v>
      </c>
      <c r="G5" s="19">
        <v>0</v>
      </c>
      <c r="H5" s="289">
        <v>0.7</v>
      </c>
    </row>
    <row r="6" spans="2:8" ht="15" customHeight="1">
      <c r="B6" s="4" t="s">
        <v>10</v>
      </c>
      <c r="C6" s="19">
        <v>5732</v>
      </c>
      <c r="D6" s="289">
        <v>0.5</v>
      </c>
      <c r="E6" s="25"/>
      <c r="F6" s="4" t="s">
        <v>178</v>
      </c>
      <c r="G6" s="19">
        <v>0</v>
      </c>
      <c r="H6" s="289">
        <v>0.6</v>
      </c>
    </row>
    <row r="7" spans="2:8" ht="15" customHeight="1">
      <c r="B7" s="1" t="s">
        <v>69</v>
      </c>
      <c r="C7" s="19">
        <v>0</v>
      </c>
      <c r="D7" s="289">
        <v>0.6</v>
      </c>
      <c r="E7" s="25"/>
      <c r="F7" s="4" t="s">
        <v>179</v>
      </c>
      <c r="G7" s="19">
        <v>0</v>
      </c>
      <c r="H7" s="289">
        <v>0.6</v>
      </c>
    </row>
    <row r="8" spans="2:8" ht="15" customHeight="1">
      <c r="B8" s="1" t="s">
        <v>174</v>
      </c>
      <c r="C8" s="19">
        <v>0</v>
      </c>
      <c r="D8" s="289">
        <v>0.6</v>
      </c>
      <c r="E8" s="25"/>
      <c r="F8" s="1" t="s">
        <v>180</v>
      </c>
      <c r="G8" s="19">
        <v>0</v>
      </c>
      <c r="H8" s="289">
        <v>0.6</v>
      </c>
    </row>
    <row r="9" spans="2:8" ht="15" customHeight="1">
      <c r="B9" s="4" t="s">
        <v>25</v>
      </c>
      <c r="C9" s="19">
        <v>0</v>
      </c>
      <c r="D9" s="289">
        <v>0.1</v>
      </c>
      <c r="E9" s="25"/>
      <c r="F9" s="4" t="s">
        <v>181</v>
      </c>
      <c r="G9" s="19">
        <v>0</v>
      </c>
      <c r="H9" s="289">
        <v>0.6</v>
      </c>
    </row>
    <row r="10" spans="2:8" ht="15" customHeight="1">
      <c r="B10" s="4" t="s">
        <v>11</v>
      </c>
      <c r="C10" s="19">
        <v>0</v>
      </c>
      <c r="D10" s="289">
        <v>0.9</v>
      </c>
      <c r="H10" s="290"/>
    </row>
    <row r="11" spans="2:8" ht="15" customHeight="1">
      <c r="B11" s="4" t="s">
        <v>12</v>
      </c>
      <c r="C11" s="19">
        <f>12837+12408</f>
        <v>25245</v>
      </c>
      <c r="D11" s="289">
        <v>0.05</v>
      </c>
      <c r="H11" s="290"/>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89">
        <v>0.4</v>
      </c>
      <c r="F15" s="4" t="s">
        <v>79</v>
      </c>
      <c r="G15" s="19">
        <v>0</v>
      </c>
      <c r="H15" s="289">
        <v>0.8</v>
      </c>
    </row>
    <row r="16" spans="2:8" ht="15" customHeight="1">
      <c r="B16" s="1" t="s">
        <v>34</v>
      </c>
      <c r="C16" s="19">
        <v>0</v>
      </c>
      <c r="D16" s="289">
        <v>0.5</v>
      </c>
      <c r="F16" s="4" t="s">
        <v>178</v>
      </c>
      <c r="G16" s="19">
        <v>0</v>
      </c>
      <c r="H16" s="289">
        <v>0.6</v>
      </c>
    </row>
    <row r="17" spans="2:8" ht="15" customHeight="1">
      <c r="B17" s="1" t="s">
        <v>69</v>
      </c>
      <c r="C17" s="19">
        <v>0</v>
      </c>
      <c r="D17" s="289">
        <v>0.6</v>
      </c>
      <c r="F17" s="4" t="s">
        <v>179</v>
      </c>
      <c r="G17" s="19">
        <f>8504+18</f>
        <v>8522</v>
      </c>
      <c r="H17" s="289">
        <v>0.6</v>
      </c>
    </row>
    <row r="18" spans="2:8" ht="15" customHeight="1">
      <c r="B18" s="4" t="s">
        <v>174</v>
      </c>
      <c r="C18" s="19">
        <v>0</v>
      </c>
      <c r="D18" s="289">
        <v>0.6</v>
      </c>
      <c r="F18" s="4" t="s">
        <v>182</v>
      </c>
      <c r="G18" s="19">
        <f>25047+23444</f>
        <v>48491</v>
      </c>
      <c r="H18" s="289">
        <v>0.1</v>
      </c>
    </row>
    <row r="19" spans="2:8" ht="15" customHeight="1">
      <c r="B19" s="4" t="s">
        <v>26</v>
      </c>
      <c r="C19" s="19">
        <f>632410+12755</f>
        <v>645165</v>
      </c>
      <c r="D19" s="289">
        <v>0.1</v>
      </c>
      <c r="F19" s="4" t="s">
        <v>183</v>
      </c>
      <c r="G19" s="19">
        <v>0</v>
      </c>
      <c r="H19" s="289">
        <v>0.1</v>
      </c>
    </row>
    <row r="20" spans="2:8" ht="15" customHeight="1">
      <c r="B20" s="4" t="s">
        <v>18</v>
      </c>
      <c r="C20" s="19">
        <v>0</v>
      </c>
      <c r="D20" s="289">
        <v>0.05</v>
      </c>
      <c r="F20" s="4" t="s">
        <v>180</v>
      </c>
      <c r="G20" s="19">
        <v>0</v>
      </c>
      <c r="H20" s="289">
        <v>0.2</v>
      </c>
    </row>
    <row r="21" spans="2:8" ht="15" customHeight="1">
      <c r="B21" s="4" t="s">
        <v>19</v>
      </c>
      <c r="C21" s="19">
        <v>16961</v>
      </c>
      <c r="D21" s="289">
        <v>0.05</v>
      </c>
      <c r="F21" s="1" t="s">
        <v>181</v>
      </c>
      <c r="G21" s="19">
        <v>0</v>
      </c>
      <c r="H21" s="289">
        <v>0.1</v>
      </c>
    </row>
    <row r="22" spans="2:8" ht="15" customHeight="1">
      <c r="B22" s="4" t="s">
        <v>20</v>
      </c>
      <c r="C22" s="19">
        <v>25465</v>
      </c>
      <c r="D22" s="289">
        <v>0.9</v>
      </c>
      <c r="H22" s="290"/>
    </row>
    <row r="23" spans="2:8" ht="15" customHeight="1">
      <c r="B23" s="4" t="s">
        <v>21</v>
      </c>
      <c r="C23" s="19">
        <v>47068</v>
      </c>
      <c r="D23" s="289">
        <v>0</v>
      </c>
      <c r="H23" s="290"/>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8" t="s">
        <v>137</v>
      </c>
      <c r="D45" s="203" t="s">
        <v>407</v>
      </c>
      <c r="F45" s="282" t="s">
        <v>59</v>
      </c>
    </row>
    <row r="46" spans="2:8" ht="15" customHeight="1">
      <c r="B46" s="1" t="s">
        <v>274</v>
      </c>
      <c r="C46" s="188">
        <f>G29</f>
        <v>747548</v>
      </c>
      <c r="D46" s="188">
        <f>H29</f>
        <v>-19921.400000000023</v>
      </c>
      <c r="F46" s="279"/>
    </row>
    <row r="47" spans="2:8" ht="15" customHeight="1">
      <c r="B47" s="1" t="str">
        <f>"Equity per share ("&amp;Market_currency&amp;")"</f>
        <v>Equity per share (HKD)</v>
      </c>
      <c r="C47" s="148">
        <f>C46*H1/Common_Shares*Exchange_Rate</f>
        <v>17.045527358970482</v>
      </c>
      <c r="D47" s="148">
        <f>D46*H1/Common_Shares*Exchange_Rate</f>
        <v>-0.45424610691085382</v>
      </c>
      <c r="F47" s="279"/>
    </row>
    <row r="48" spans="2:8" ht="15" customHeight="1">
      <c r="F48" s="279"/>
    </row>
    <row r="49" spans="2:8" ht="15" customHeight="1">
      <c r="B49" s="158" t="s">
        <v>144</v>
      </c>
      <c r="C49" s="259" t="s">
        <v>57</v>
      </c>
      <c r="D49" s="218" t="s">
        <v>96</v>
      </c>
      <c r="E49" s="2"/>
      <c r="F49" s="279"/>
    </row>
    <row r="50" spans="2:8" ht="15" customHeight="1">
      <c r="B50" s="8" t="s">
        <v>94</v>
      </c>
      <c r="C50" s="95">
        <f>G31/Normalized_FCF!C8</f>
        <v>0.75207444874659302</v>
      </c>
      <c r="D50" s="95">
        <f>G31/Normalized_FCF!G8</f>
        <v>0.47663929536624461</v>
      </c>
      <c r="F50" s="279"/>
    </row>
    <row r="51" spans="2:8" ht="15" customHeight="1">
      <c r="B51" s="1" t="s">
        <v>177</v>
      </c>
      <c r="C51" s="202"/>
      <c r="D51" s="92">
        <f>G29/G32</f>
        <v>0.70771698061406008</v>
      </c>
      <c r="F51" s="279"/>
    </row>
    <row r="52" spans="2:8" ht="15" customHeight="1">
      <c r="F52" s="279"/>
    </row>
    <row r="53" spans="2:8" ht="15" customHeight="1">
      <c r="B53" s="158" t="s">
        <v>143</v>
      </c>
      <c r="C53" s="259" t="s">
        <v>57</v>
      </c>
      <c r="D53" s="218" t="s">
        <v>96</v>
      </c>
      <c r="F53" s="279"/>
    </row>
    <row r="54" spans="2:8" ht="15" customHeight="1">
      <c r="B54" s="1" t="s">
        <v>140</v>
      </c>
      <c r="C54" s="92">
        <f>Normalized_FCF!C8/G35</f>
        <v>0.14457710564880843</v>
      </c>
      <c r="D54" s="92">
        <f>Normalized_FCF!G8/G35</f>
        <v>0.22812375750231934</v>
      </c>
      <c r="F54" s="279"/>
    </row>
    <row r="55" spans="2:8" ht="15" customHeight="1">
      <c r="B55" s="1" t="s">
        <v>142</v>
      </c>
      <c r="C55" s="92">
        <f>Normalized_FCF!C11/G40</f>
        <v>0</v>
      </c>
      <c r="D55" s="92">
        <f>Normalized_FCF!G11/G40</f>
        <v>8.692811385878442E-3</v>
      </c>
      <c r="F55" s="279"/>
    </row>
    <row r="56" spans="2:8" ht="15" customHeight="1">
      <c r="F56" s="279"/>
    </row>
    <row r="57" spans="2:8" ht="15" customHeight="1">
      <c r="B57" s="158" t="s">
        <v>176</v>
      </c>
      <c r="C57" s="259" t="s">
        <v>57</v>
      </c>
      <c r="D57" s="218" t="s">
        <v>96</v>
      </c>
      <c r="F57" s="279"/>
    </row>
    <row r="58" spans="2:8" ht="15" customHeight="1">
      <c r="B58" s="2" t="s">
        <v>90</v>
      </c>
      <c r="C58" s="98"/>
      <c r="D58" s="23">
        <f>Normalized_FCF!G9/BS!$G$39</f>
        <v>0.1156386350778483</v>
      </c>
      <c r="F58" s="5"/>
    </row>
    <row r="59" spans="2:8" ht="15" customHeight="1">
      <c r="B59" s="1" t="s">
        <v>93</v>
      </c>
      <c r="C59" s="98"/>
      <c r="D59" s="92">
        <f>G39/G32</f>
        <v>0.61078917447156578</v>
      </c>
      <c r="F59" s="279"/>
    </row>
    <row r="60" spans="2:8" ht="15" customHeight="1">
      <c r="F60" s="279"/>
    </row>
    <row r="61" spans="2:8" ht="15" customHeight="1">
      <c r="B61" s="158" t="s">
        <v>275</v>
      </c>
      <c r="C61" s="259" t="s">
        <v>138</v>
      </c>
      <c r="D61" s="218" t="s">
        <v>96</v>
      </c>
      <c r="F61" s="279"/>
    </row>
    <row r="62" spans="2:8" ht="15" customHeight="1">
      <c r="B62" s="1" t="s">
        <v>246</v>
      </c>
      <c r="C62" s="92">
        <f>IF(G28&lt;=0,0,G28/G29)</f>
        <v>2.5255903299854993E-3</v>
      </c>
      <c r="D62" s="92">
        <f>G28/G29</f>
        <v>2.5255903299854993E-3</v>
      </c>
      <c r="F62" s="279" t="s">
        <v>273</v>
      </c>
    </row>
    <row r="64" spans="2:8" ht="15" customHeight="1">
      <c r="B64" s="79" t="s">
        <v>194</v>
      </c>
      <c r="C64" s="37"/>
      <c r="D64" s="37"/>
      <c r="E64" s="37"/>
      <c r="F64" s="37"/>
      <c r="G64" s="37"/>
      <c r="H64" s="37"/>
    </row>
    <row r="65" spans="2:6" ht="15" customHeight="1">
      <c r="B65" s="16" t="s">
        <v>189</v>
      </c>
      <c r="C65" s="258" t="s">
        <v>137</v>
      </c>
      <c r="D65" s="204" t="s">
        <v>286</v>
      </c>
      <c r="F65" s="282" t="s">
        <v>59</v>
      </c>
    </row>
    <row r="66" spans="2:6" ht="15" customHeight="1">
      <c r="B66" s="105" t="s">
        <v>188</v>
      </c>
      <c r="C66" s="20">
        <f>G4+G5+G15</f>
        <v>154196</v>
      </c>
      <c r="D66" s="188">
        <f>C66-D75</f>
        <v>100741.35470787497</v>
      </c>
      <c r="F66" s="5" t="s">
        <v>227</v>
      </c>
    </row>
    <row r="67" spans="2:6" ht="15" customHeight="1">
      <c r="B67" s="105" t="s">
        <v>178</v>
      </c>
      <c r="C67" s="20">
        <f>G6+G16</f>
        <v>0</v>
      </c>
      <c r="F67" s="279"/>
    </row>
    <row r="68" spans="2:6" ht="15" customHeight="1">
      <c r="B68" s="105" t="s">
        <v>182</v>
      </c>
      <c r="C68" s="20">
        <f>G18</f>
        <v>48491</v>
      </c>
      <c r="F68" s="279"/>
    </row>
    <row r="69" spans="2:6" ht="15" customHeight="1">
      <c r="B69" s="105" t="s">
        <v>180</v>
      </c>
      <c r="C69" s="20">
        <f>G8+G20</f>
        <v>0</v>
      </c>
      <c r="F69" s="279"/>
    </row>
    <row r="70" spans="2:6" ht="15" customHeight="1">
      <c r="B70" s="80" t="s">
        <v>189</v>
      </c>
      <c r="C70" s="81">
        <f>SUM(C66:C69)</f>
        <v>202687</v>
      </c>
      <c r="F70" s="279"/>
    </row>
    <row r="71" spans="2:6" ht="15" customHeight="1">
      <c r="F71" s="279"/>
    </row>
    <row r="72" spans="2:6" ht="15" customHeight="1">
      <c r="B72" s="281" t="s">
        <v>319</v>
      </c>
      <c r="C72" s="258" t="s">
        <v>96</v>
      </c>
      <c r="D72" s="203" t="s">
        <v>57</v>
      </c>
      <c r="F72" s="279"/>
    </row>
    <row r="73" spans="2:6" ht="15" customHeight="1">
      <c r="B73" s="105" t="s">
        <v>318</v>
      </c>
      <c r="C73" s="188">
        <f>(Normalized_FCF!G25+Normalized_FCF!G35-Normalized_FCF!G91)/12</f>
        <v>-24522.24463146667</v>
      </c>
      <c r="D73" s="188">
        <f>(Normalized_FCF!C25+Normalized_FCF!C35-Normalized_FCF!C91)/12</f>
        <v>-26727.322646062512</v>
      </c>
      <c r="F73" s="1" t="s">
        <v>352</v>
      </c>
    </row>
    <row r="74" spans="2:6" ht="15" customHeight="1">
      <c r="B74" s="283" t="s">
        <v>322</v>
      </c>
      <c r="C74" s="284">
        <f>-$C$66/C73</f>
        <v>6.2880051282963478</v>
      </c>
      <c r="D74" s="284">
        <f>-$C$66/D73</f>
        <v>5.769227319995565</v>
      </c>
      <c r="F74" s="279" t="s">
        <v>320</v>
      </c>
    </row>
    <row r="75" spans="2:6" ht="15" customHeight="1">
      <c r="B75" s="80" t="s">
        <v>321</v>
      </c>
      <c r="C75" s="288"/>
      <c r="D75" s="287">
        <f>MAX(-D73*D76,G5)</f>
        <v>53454.645292125024</v>
      </c>
      <c r="F75" s="279" t="s">
        <v>353</v>
      </c>
    </row>
    <row r="76" spans="2:6" ht="15" customHeight="1">
      <c r="B76" s="285" t="s">
        <v>323</v>
      </c>
      <c r="C76" s="286"/>
      <c r="D76" s="321">
        <f>IF(D74&lt;=3,1,IF(D74&gt;18,6,2))</f>
        <v>2</v>
      </c>
      <c r="F76" s="279" t="s">
        <v>324</v>
      </c>
    </row>
    <row r="77" spans="2:6" ht="15" customHeight="1">
      <c r="F77" s="279"/>
    </row>
    <row r="78" spans="2:6" ht="15" customHeight="1">
      <c r="B78" s="16" t="s">
        <v>190</v>
      </c>
      <c r="C78" s="258" t="s">
        <v>137</v>
      </c>
      <c r="D78" s="204" t="s">
        <v>35</v>
      </c>
      <c r="F78" s="279"/>
    </row>
    <row r="79" spans="2:6" ht="15" customHeight="1">
      <c r="B79" s="105" t="s">
        <v>179</v>
      </c>
      <c r="C79" s="20">
        <f>G7+G17</f>
        <v>8522</v>
      </c>
      <c r="D79" s="188">
        <f>G7*H7+G17*H17</f>
        <v>5113.2</v>
      </c>
      <c r="F79" s="279"/>
    </row>
    <row r="80" spans="2:6" ht="15" customHeight="1">
      <c r="B80" s="105" t="s">
        <v>183</v>
      </c>
      <c r="C80" s="20">
        <f>G19</f>
        <v>0</v>
      </c>
      <c r="D80" s="188">
        <f>G19*H19</f>
        <v>0</v>
      </c>
      <c r="F80" s="279"/>
    </row>
    <row r="81" spans="2:8" ht="15" customHeight="1">
      <c r="B81" s="105" t="s">
        <v>181</v>
      </c>
      <c r="C81" s="20">
        <f>G9+G21</f>
        <v>0</v>
      </c>
      <c r="D81" s="188">
        <f>G9*H9+G21*H21</f>
        <v>0</v>
      </c>
      <c r="F81" s="279"/>
    </row>
    <row r="82" spans="2:8" ht="15" customHeight="1">
      <c r="B82" s="80" t="s">
        <v>190</v>
      </c>
      <c r="C82" s="81">
        <f>SUM(C79:C81)</f>
        <v>8522</v>
      </c>
      <c r="D82" s="81">
        <f>SUM(D79:D81)</f>
        <v>5113.2</v>
      </c>
      <c r="F82" s="279"/>
    </row>
    <row r="84" spans="2:8" ht="15" customHeight="1">
      <c r="B84" s="79" t="s">
        <v>289</v>
      </c>
      <c r="C84" s="37"/>
      <c r="D84" s="37"/>
      <c r="E84" s="37"/>
      <c r="F84" s="37"/>
      <c r="G84" s="37"/>
      <c r="H84" s="37"/>
    </row>
    <row r="85" spans="2:8" ht="15" customHeight="1">
      <c r="B85" s="16" t="s">
        <v>290</v>
      </c>
      <c r="D85" s="267" t="s">
        <v>291</v>
      </c>
    </row>
    <row r="86" spans="2:8" ht="15" customHeight="1">
      <c r="B86" s="264" t="s">
        <v>287</v>
      </c>
      <c r="C86" s="188">
        <f>-DCF!C7*Exchange_Rate</f>
        <v>-99584.747051220009</v>
      </c>
      <c r="D86" s="247">
        <f>C86*scaling_factor/Common_Shares</f>
        <v>-2.0951997362493389</v>
      </c>
      <c r="E86" s="266" t="str">
        <f>Market_currency</f>
        <v>HKD</v>
      </c>
    </row>
    <row r="87" spans="2:8" ht="15" customHeight="1">
      <c r="B87" s="264" t="s">
        <v>288</v>
      </c>
      <c r="C87" s="188">
        <f>DCF!C8*Exchange_Rate</f>
        <v>109180.86700165378</v>
      </c>
      <c r="D87" s="247">
        <f>C87*scaling_factor/Common_Shares</f>
        <v>2.2970959963143938</v>
      </c>
      <c r="E87" s="266" t="str">
        <f>Market_currency</f>
        <v>HKD</v>
      </c>
    </row>
    <row r="88" spans="2:8" ht="15" customHeight="1">
      <c r="B88" s="265" t="s">
        <v>190</v>
      </c>
      <c r="C88" s="188">
        <f>DCF!C9*Exchange_Rate</f>
        <v>5541.5535235920006</v>
      </c>
      <c r="D88" s="247">
        <f>C88*scaling_factor/Common_Shares</f>
        <v>0.1165907613850721</v>
      </c>
      <c r="E88" s="266" t="str">
        <f>Market_currency</f>
        <v>HKD</v>
      </c>
    </row>
    <row r="89" spans="2:8" ht="15" customHeight="1">
      <c r="B89" s="80" t="s">
        <v>292</v>
      </c>
      <c r="C89" s="187">
        <f>SUM(C86:C88)</f>
        <v>15137.673474025771</v>
      </c>
      <c r="D89" s="268">
        <f>SUM(D86:D88)</f>
        <v>0.31848702145012697</v>
      </c>
      <c r="E89" s="266"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7"/>
      <c r="F3" s="9"/>
      <c r="G3" s="9"/>
    </row>
    <row r="4" spans="1:17" ht="15.75" customHeight="1">
      <c r="A4" s="10"/>
      <c r="B4" s="26" t="s">
        <v>2</v>
      </c>
      <c r="C4" s="190">
        <f>AVERAGE(G4:J4)</f>
        <v>376364</v>
      </c>
      <c r="D4" s="57"/>
      <c r="E4" s="295"/>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7"/>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7"/>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7"/>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3"/>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7"/>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7"/>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6"/>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7"/>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7"/>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7"/>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4"/>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5"/>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6" t="s">
        <v>332</v>
      </c>
      <c r="F17" s="58"/>
      <c r="G17" s="195"/>
      <c r="H17" s="195"/>
      <c r="I17" s="195"/>
      <c r="J17" s="195"/>
      <c r="K17" s="195"/>
      <c r="L17" s="195"/>
      <c r="M17" s="195"/>
      <c r="N17" s="195"/>
      <c r="O17" s="195"/>
      <c r="P17" s="195"/>
      <c r="Q17" s="195"/>
    </row>
    <row r="18" spans="1:17" ht="15.75" customHeight="1">
      <c r="A18" s="10"/>
      <c r="B18" s="27" t="s">
        <v>99</v>
      </c>
      <c r="C18" s="191">
        <v>0</v>
      </c>
      <c r="D18" s="58"/>
      <c r="E18" s="296" t="s">
        <v>333</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4"/>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4"/>
      <c r="F22" s="27"/>
      <c r="G22" s="12"/>
      <c r="H22" s="12"/>
      <c r="I22" s="12"/>
      <c r="J22" s="12"/>
      <c r="K22" s="12"/>
      <c r="L22" s="12"/>
      <c r="M22" s="12"/>
      <c r="N22" s="12"/>
      <c r="O22" s="12"/>
      <c r="P22" s="12"/>
      <c r="Q22" s="12"/>
    </row>
    <row r="23" spans="1:17" ht="15.75" customHeight="1">
      <c r="A23" s="10"/>
      <c r="B23" s="27" t="s">
        <v>43</v>
      </c>
      <c r="C23" s="197">
        <f>-C4*C28</f>
        <v>-239590.97053351856</v>
      </c>
      <c r="D23" s="58"/>
      <c r="E23" s="296"/>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4"/>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2"/>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7"/>
    </row>
    <row r="27" spans="1:17" ht="15.75" customHeight="1">
      <c r="A27" s="10"/>
      <c r="B27" s="64" t="s">
        <v>207</v>
      </c>
      <c r="E27" s="297"/>
    </row>
    <row r="28" spans="1:17" ht="15.75" customHeight="1">
      <c r="A28" s="10"/>
      <c r="B28" s="26" t="s">
        <v>43</v>
      </c>
      <c r="C28" s="63">
        <f>AVERAGE(G28:P28)</f>
        <v>0.6365937510854347</v>
      </c>
      <c r="D28" s="26"/>
      <c r="E28" s="295"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5"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7"/>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7"/>
    </row>
    <row r="32" spans="1:17" ht="15.75" customHeight="1">
      <c r="A32" s="10"/>
      <c r="B32" s="64" t="s">
        <v>45</v>
      </c>
      <c r="E32" s="297"/>
    </row>
    <row r="33" spans="1:17" ht="15.75" customHeight="1">
      <c r="A33" s="10"/>
      <c r="B33" s="8" t="s">
        <v>175</v>
      </c>
      <c r="C33" s="198">
        <f>G33</f>
        <v>-7213</v>
      </c>
      <c r="E33" s="295" t="s">
        <v>334</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5" t="s">
        <v>334</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6"/>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7"/>
    </row>
    <row r="37" spans="1:17" ht="15.75" customHeight="1">
      <c r="A37" s="10"/>
      <c r="B37" s="64" t="s">
        <v>208</v>
      </c>
      <c r="E37" s="297"/>
    </row>
    <row r="38" spans="1:17" ht="15.75" customHeight="1">
      <c r="A38" s="10"/>
      <c r="B38" s="2" t="str">
        <f>B33</f>
        <v>G&amp;A and other Opex</v>
      </c>
      <c r="C38" s="23">
        <f>ABS(C33/$C$4)</f>
        <v>1.9164957328543644E-2</v>
      </c>
      <c r="D38" s="27"/>
      <c r="E38" s="294"/>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4"/>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7"/>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7"/>
    </row>
    <row r="42" spans="1:17" ht="15.75" customHeight="1">
      <c r="A42" s="10"/>
      <c r="B42" s="64" t="s">
        <v>209</v>
      </c>
      <c r="E42" s="297"/>
    </row>
    <row r="43" spans="1:17" ht="15.75" customHeight="1">
      <c r="A43" s="10"/>
      <c r="B43" s="27" t="s">
        <v>172</v>
      </c>
      <c r="C43" s="291">
        <v>0.25</v>
      </c>
      <c r="D43" s="27"/>
      <c r="E43" s="294"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7"/>
    </row>
    <row r="47" spans="1:17" ht="15.75" customHeight="1">
      <c r="A47" s="10"/>
      <c r="B47" s="2" t="s">
        <v>39</v>
      </c>
      <c r="C47" s="191">
        <f>-BS!G31*Normalized_FCF!C54</f>
        <v>-2807</v>
      </c>
      <c r="E47" s="297"/>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346</v>
      </c>
      <c r="C48" s="191">
        <f>BS!D75*C53</f>
        <v>801.81967938187529</v>
      </c>
      <c r="E48" s="297"/>
      <c r="G48" s="322">
        <f>IFERROR(IF(G$4="","",($C$48/$C$49)*G49),0)</f>
        <v>1588.427616335812</v>
      </c>
      <c r="H48" s="322">
        <f t="shared" ref="H48:Q48" si="19">IFERROR(IF(H$4="","",($C$48/$C$49)*H49),0)</f>
        <v>1665.7343292216447</v>
      </c>
      <c r="I48" s="322">
        <f t="shared" si="19"/>
        <v>1033.0672843039545</v>
      </c>
      <c r="J48" s="322">
        <f t="shared" si="19"/>
        <v>464.88027793677952</v>
      </c>
      <c r="K48" s="322">
        <f t="shared" si="19"/>
        <v>510.62907328849445</v>
      </c>
      <c r="L48" s="322">
        <f t="shared" si="19"/>
        <v>369.83101577658761</v>
      </c>
      <c r="M48" s="322">
        <f t="shared" si="19"/>
        <v>276.64207206195277</v>
      </c>
      <c r="N48" s="322">
        <f t="shared" si="19"/>
        <v>0</v>
      </c>
      <c r="O48" s="322">
        <f t="shared" si="19"/>
        <v>0</v>
      </c>
      <c r="P48" s="322">
        <f t="shared" si="19"/>
        <v>0</v>
      </c>
      <c r="Q48" s="322" t="str">
        <f t="shared" si="19"/>
        <v/>
      </c>
    </row>
    <row r="49" spans="1:17" ht="15.75" customHeight="1">
      <c r="A49" s="10"/>
      <c r="B49" s="317" t="s">
        <v>343</v>
      </c>
      <c r="C49" s="318">
        <f>BS!$C$66*C53</f>
        <v>2312.94</v>
      </c>
      <c r="D49" s="319"/>
      <c r="E49" s="320"/>
      <c r="F49" s="319"/>
      <c r="G49" s="318">
        <f>Data!C52</f>
        <v>4582</v>
      </c>
      <c r="H49" s="318">
        <f>Data!D52</f>
        <v>4805</v>
      </c>
      <c r="I49" s="318">
        <f>Data!E52</f>
        <v>2980</v>
      </c>
      <c r="J49" s="318">
        <f>Data!F52</f>
        <v>1341</v>
      </c>
      <c r="K49" s="318">
        <f>Data!G52</f>
        <v>1472.9675999999999</v>
      </c>
      <c r="L49" s="318">
        <f>Data!H52</f>
        <v>1066.8196</v>
      </c>
      <c r="M49" s="318">
        <f>Data!I52</f>
        <v>798.00549999999998</v>
      </c>
      <c r="N49" s="318">
        <f>Data!J52</f>
        <v>0</v>
      </c>
      <c r="O49" s="318">
        <f>Data!K52</f>
        <v>0</v>
      </c>
      <c r="P49" s="318">
        <f>Data!L52</f>
        <v>0</v>
      </c>
      <c r="Q49" s="318" t="str">
        <f>Data!M52</f>
        <v/>
      </c>
    </row>
    <row r="50" spans="1:17" ht="15.75" customHeight="1">
      <c r="A50" s="10"/>
      <c r="B50" s="70" t="s">
        <v>68</v>
      </c>
      <c r="C50" s="184">
        <f>C47+C48</f>
        <v>-2005.1803206181248</v>
      </c>
      <c r="E50" s="297"/>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7"/>
    </row>
    <row r="52" spans="1:17" ht="15.75" customHeight="1">
      <c r="A52" s="10"/>
      <c r="B52" s="72" t="s">
        <v>156</v>
      </c>
      <c r="E52" s="297"/>
      <c r="G52" s="97" t="s">
        <v>220</v>
      </c>
    </row>
    <row r="53" spans="1:17" ht="15.75" customHeight="1">
      <c r="A53" s="10"/>
      <c r="B53" s="8" t="s">
        <v>89</v>
      </c>
      <c r="C53" s="87">
        <v>1.4999999999999999E-2</v>
      </c>
      <c r="E53" s="294" t="s">
        <v>336</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4" t="s">
        <v>337</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7"/>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7"/>
    </row>
    <row r="57" spans="1:17" ht="15.75" customHeight="1">
      <c r="A57" s="10"/>
      <c r="B57" s="64" t="s">
        <v>169</v>
      </c>
      <c r="E57" s="297"/>
      <c r="G57" s="97" t="s">
        <v>220</v>
      </c>
    </row>
    <row r="58" spans="1:17" ht="15.75" customHeight="1">
      <c r="A58" s="10"/>
      <c r="B58" s="40" t="s">
        <v>168</v>
      </c>
      <c r="C58" s="191">
        <f>BS!$C67*C66</f>
        <v>0</v>
      </c>
      <c r="E58" s="297"/>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7"/>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7"/>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7"/>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2">
        <v>0</v>
      </c>
      <c r="E62" s="295" t="s">
        <v>338</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7"/>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7"/>
    </row>
    <row r="65" spans="1:17" ht="15.75" customHeight="1">
      <c r="A65" s="10"/>
      <c r="B65" s="96" t="s">
        <v>170</v>
      </c>
      <c r="E65" s="297"/>
      <c r="G65" s="97" t="s">
        <v>220</v>
      </c>
    </row>
    <row r="66" spans="1:17" ht="15.75" customHeight="1">
      <c r="A66" s="10"/>
      <c r="B66" s="40" t="s">
        <v>168</v>
      </c>
      <c r="C66" s="177">
        <f>G66</f>
        <v>0</v>
      </c>
      <c r="E66" s="297"/>
      <c r="G66" s="23">
        <f>IFERROR(G58/BS!$C$67,0)</f>
        <v>0</v>
      </c>
      <c r="H66" s="176"/>
      <c r="I66" s="176"/>
      <c r="J66" s="176"/>
      <c r="K66" s="176"/>
      <c r="L66" s="176"/>
      <c r="M66" s="176"/>
      <c r="N66" s="176"/>
      <c r="O66" s="176"/>
      <c r="P66" s="176"/>
      <c r="Q66" s="176"/>
    </row>
    <row r="67" spans="1:17" ht="15.75" customHeight="1">
      <c r="A67" s="10"/>
      <c r="B67" s="105" t="s">
        <v>158</v>
      </c>
      <c r="C67" s="177">
        <v>0</v>
      </c>
      <c r="E67" s="297"/>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7"/>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2"/>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4"/>
      <c r="F72" s="27"/>
      <c r="G72" s="97"/>
      <c r="H72" s="12"/>
      <c r="I72" s="12"/>
      <c r="J72" s="12"/>
      <c r="K72" s="12"/>
      <c r="L72" s="12"/>
      <c r="M72" s="12"/>
      <c r="N72" s="12"/>
      <c r="O72" s="12"/>
      <c r="P72" s="12"/>
      <c r="Q72" s="12"/>
    </row>
    <row r="73" spans="1:17" ht="15.75" customHeight="1">
      <c r="A73" s="10"/>
      <c r="B73" s="2" t="s">
        <v>46</v>
      </c>
      <c r="C73" s="77">
        <f>ABS(C5/C$4)</f>
        <v>0.65166151963298868</v>
      </c>
      <c r="D73" s="27"/>
      <c r="E73" s="294"/>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4"/>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4"/>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4"/>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4"/>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5" t="s">
        <v>461</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4"/>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4"/>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4"/>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4"/>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3">
        <f>MIN(BS!C62,MAX(G83:K83))</f>
        <v>5.9288205487639486E-4</v>
      </c>
      <c r="D83" s="27"/>
      <c r="E83" s="294"/>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4"/>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3">
        <v>0</v>
      </c>
      <c r="D85" s="27"/>
      <c r="E85" s="296" t="str">
        <f>E17</f>
        <v>WCInv is by default excluded</v>
      </c>
      <c r="F85" s="27"/>
      <c r="G85" s="250"/>
      <c r="H85" s="250"/>
      <c r="I85" s="250"/>
      <c r="J85" s="250"/>
      <c r="K85" s="250"/>
      <c r="L85" s="250"/>
      <c r="M85" s="250"/>
      <c r="N85" s="250"/>
      <c r="O85" s="250"/>
      <c r="P85" s="250"/>
      <c r="Q85" s="250"/>
    </row>
    <row r="86" spans="1:17" ht="15.75" customHeight="1">
      <c r="A86" s="10"/>
      <c r="B86" s="8" t="s">
        <v>99</v>
      </c>
      <c r="C86" s="77">
        <v>0</v>
      </c>
      <c r="E86" s="296"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4"/>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7"/>
    </row>
    <row r="89" spans="1:17" ht="15.75" customHeight="1">
      <c r="A89" s="10"/>
      <c r="B89" s="64" t="s">
        <v>215</v>
      </c>
      <c r="E89" s="297"/>
    </row>
    <row r="90" spans="1:17" ht="15.75" customHeight="1">
      <c r="A90" s="10"/>
      <c r="B90" s="2" t="str">
        <f>"Dividend per share ("&amp;Market_currency&amp;")"</f>
        <v>Dividend per share (HKD)</v>
      </c>
      <c r="C90" s="114">
        <f>G90</f>
        <v>1.4</v>
      </c>
      <c r="E90" s="297"/>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7"/>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7"/>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8.1206496519721574E-2</v>
      </c>
      <c r="E93" s="297"/>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7"/>
    </row>
    <row r="95" spans="1:17" ht="15.75" customHeight="1">
      <c r="A95" s="10"/>
      <c r="B95" s="158" t="s">
        <v>85</v>
      </c>
      <c r="C95" s="62"/>
      <c r="D95" s="27"/>
      <c r="E95" s="294"/>
      <c r="F95" s="27"/>
      <c r="G95" s="12"/>
      <c r="H95" s="12"/>
      <c r="I95" s="12"/>
      <c r="J95" s="12"/>
      <c r="K95" s="12"/>
      <c r="L95" s="12"/>
      <c r="M95" s="12"/>
      <c r="N95" s="12"/>
      <c r="O95" s="12"/>
      <c r="P95" s="12"/>
      <c r="Q95" s="12"/>
    </row>
    <row r="96" spans="1:17" ht="15.75" customHeight="1">
      <c r="A96" s="10"/>
      <c r="B96" s="27" t="s">
        <v>145</v>
      </c>
      <c r="C96" s="77">
        <f>C4/G4-1</f>
        <v>-0.10497353188777325</v>
      </c>
      <c r="D96" s="27"/>
      <c r="E96" s="294"/>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4"/>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7"/>
      <c r="G100" s="97" t="s">
        <v>220</v>
      </c>
    </row>
    <row r="101" spans="1:17" ht="15.75" customHeight="1">
      <c r="A101" s="10"/>
      <c r="B101" s="26" t="s">
        <v>3</v>
      </c>
      <c r="C101" s="199">
        <f>BS!G32</f>
        <v>1056281</v>
      </c>
      <c r="D101" s="26"/>
      <c r="E101" s="298"/>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299"/>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299"/>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8"/>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8"/>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7"/>
    </row>
    <row r="107" spans="1:17" ht="15.75" customHeight="1">
      <c r="A107" s="10"/>
      <c r="B107" s="91" t="s">
        <v>221</v>
      </c>
      <c r="C107" s="26"/>
      <c r="D107" s="26"/>
      <c r="E107" s="298"/>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8"/>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8"/>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8"/>
      <c r="F110" s="26"/>
      <c r="G110" s="94">
        <f>BS!$G$38/G$4</f>
        <v>0</v>
      </c>
      <c r="H110" s="225"/>
      <c r="I110" s="225"/>
      <c r="J110" s="225"/>
      <c r="K110" s="225"/>
      <c r="L110" s="225"/>
      <c r="M110" s="225"/>
      <c r="N110" s="225"/>
      <c r="O110" s="225"/>
      <c r="P110" s="225"/>
      <c r="Q110" s="225"/>
    </row>
    <row r="111" spans="1:17" ht="15.75" customHeight="1">
      <c r="A111" s="10"/>
      <c r="E111" s="297"/>
    </row>
    <row r="112" spans="1:17" ht="15.75" customHeight="1">
      <c r="A112" s="10"/>
      <c r="B112" s="64" t="s">
        <v>51</v>
      </c>
      <c r="E112" s="297"/>
    </row>
    <row r="113" spans="1:17" ht="15.75" customHeight="1">
      <c r="A113" s="10"/>
      <c r="B113" s="2" t="s">
        <v>392</v>
      </c>
      <c r="C113" s="170"/>
      <c r="E113" s="297"/>
      <c r="G113" s="327">
        <f>IF(G$4="","",Data!C$22/Data!C15)</f>
        <v>1.6008682291893146</v>
      </c>
      <c r="H113" s="327">
        <f>IF(H$4="","",Data!D$22/Data!D15)</f>
        <v>1.6902490128132808</v>
      </c>
      <c r="I113" s="327">
        <f>IF(I$4="","",Data!E$22/Data!E15)</f>
        <v>1.4510047502417471</v>
      </c>
      <c r="J113" s="327">
        <f>IF(J$4="","",Data!F$22/Data!F15)</f>
        <v>2.1035316540316042</v>
      </c>
      <c r="K113" s="327">
        <f>IF(K$4="","",Data!G$22/Data!G15)</f>
        <v>3.2993724703992493</v>
      </c>
      <c r="L113" s="327">
        <f>IF(L$4="","",Data!H$22/Data!H15)</f>
        <v>2.023384343788782</v>
      </c>
      <c r="M113" s="327">
        <f>IF(M$4="","",Data!I$22/Data!I15)</f>
        <v>2.361580198596569</v>
      </c>
      <c r="N113" s="327">
        <f>IF(N$4="","",Data!J$22/Data!J15)</f>
        <v>2.716234671522463</v>
      </c>
      <c r="O113" s="327">
        <f>IF(O$4="","",Data!K$22/Data!K15)</f>
        <v>3.6258745986141627</v>
      </c>
      <c r="P113" s="327">
        <f>IF(P$4="","",Data!L$22/Data!L15)</f>
        <v>3.8254510220089513</v>
      </c>
      <c r="Q113" s="327" t="str">
        <f>IF(Q$4="","",Data!M$22/Data!M15)</f>
        <v/>
      </c>
    </row>
    <row r="114" spans="1:17" ht="15.75" customHeight="1">
      <c r="A114" s="10"/>
      <c r="B114" s="2" t="s">
        <v>393</v>
      </c>
      <c r="C114" s="170"/>
      <c r="E114" s="297"/>
      <c r="G114" s="327">
        <f>IF(G$4="","",Data!C$22/G19)</f>
        <v>1.5626305677332901</v>
      </c>
      <c r="H114" s="327">
        <f>IF(H$4="","",Data!D$22/H19)</f>
        <v>1.6995798647481588</v>
      </c>
      <c r="I114" s="327">
        <f>IF(I$4="","",Data!E$22/I19)</f>
        <v>1.4609446298590569</v>
      </c>
      <c r="J114" s="327">
        <f>IF(J$4="","",Data!F$22/J19)</f>
        <v>1.9450934170318153</v>
      </c>
      <c r="K114" s="327">
        <f>IF(K$4="","",Data!G$22/K19)</f>
        <v>2.9447404307897362</v>
      </c>
      <c r="L114" s="327">
        <f>IF(L$4="","",Data!H$22/L19)</f>
        <v>2.059112762372902</v>
      </c>
      <c r="M114" s="327">
        <f>IF(M$4="","",Data!I$22/M19)</f>
        <v>2.4469482333251551</v>
      </c>
      <c r="N114" s="327">
        <f>IF(N$4="","",Data!J$22/N19)</f>
        <v>0.63781492393722561</v>
      </c>
      <c r="O114" s="327">
        <f>IF(O$4="","",Data!K$22/O19)</f>
        <v>0.76192556289509195</v>
      </c>
      <c r="P114" s="327">
        <f>IF(P$4="","",Data!L$22/P19)</f>
        <v>0.58467527247211815</v>
      </c>
      <c r="Q114" s="327" t="str">
        <f>IF(Q$4="","",Data!M$22/Q19)</f>
        <v/>
      </c>
    </row>
    <row r="115" spans="1:17" ht="15.75" customHeight="1">
      <c r="A115" s="10"/>
      <c r="E115" s="297"/>
    </row>
    <row r="116" spans="1:17" ht="15.75" customHeight="1">
      <c r="A116" s="10"/>
      <c r="B116" s="91" t="s">
        <v>38</v>
      </c>
      <c r="C116" s="55"/>
      <c r="D116" s="55"/>
      <c r="E116" s="300"/>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7"/>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7"/>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1"/>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0"/>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4"/>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2.0500410681106991</v>
      </c>
      <c r="D124" s="27"/>
      <c r="E124" s="294"/>
      <c r="F124" s="27"/>
      <c r="G124" s="178">
        <f t="shared" ref="G124:Q124" si="49">IF(G$4="","",G16*$C$3/Common_Shares*Exchange_Rate)</f>
        <v>3.2232431166363908</v>
      </c>
      <c r="H124" s="178">
        <f t="shared" si="49"/>
        <v>2.8139557023022834</v>
      </c>
      <c r="I124" s="178">
        <f t="shared" si="49"/>
        <v>3.2085276639884759</v>
      </c>
      <c r="J124" s="178">
        <f t="shared" si="49"/>
        <v>1.7337182180759734</v>
      </c>
      <c r="K124" s="178">
        <f t="shared" si="49"/>
        <v>0.63756559662202417</v>
      </c>
      <c r="L124" s="178">
        <f t="shared" si="49"/>
        <v>1.3678011880301388</v>
      </c>
      <c r="M124" s="178">
        <f t="shared" si="49"/>
        <v>1.1591957982944394</v>
      </c>
      <c r="N124" s="178">
        <f t="shared" si="49"/>
        <v>6.8259362330267566</v>
      </c>
      <c r="O124" s="178">
        <f t="shared" si="49"/>
        <v>6.4205637547540872</v>
      </c>
      <c r="P124" s="178">
        <f t="shared" si="49"/>
        <v>6.4667832402675698</v>
      </c>
      <c r="Q124" s="178" t="str">
        <f t="shared" si="49"/>
        <v/>
      </c>
    </row>
    <row r="125" spans="1:17" ht="15.75" customHeight="1">
      <c r="A125" s="10"/>
      <c r="B125" s="27" t="s">
        <v>270</v>
      </c>
      <c r="C125" s="77">
        <f>C19*Exchange_Rate*$C$3/(Market_Price*Common_Shares)</f>
        <v>0.11891189490201272</v>
      </c>
      <c r="D125" s="27"/>
      <c r="E125" s="294"/>
      <c r="F125" s="27"/>
      <c r="G125" s="77">
        <f t="shared" ref="G125" si="50">IF(G$4="","",G124/Market_Price)</f>
        <v>0.18696305780953545</v>
      </c>
      <c r="H125" s="77">
        <f t="shared" ref="H125" si="51">IF(H$4="","",H124/Market_Price)</f>
        <v>0.16322248853261506</v>
      </c>
      <c r="I125" s="77">
        <f t="shared" ref="I125" si="52">IF(I$4="","",I124/Market_Price)</f>
        <v>0.18610949327079329</v>
      </c>
      <c r="J125" s="77">
        <f t="shared" ref="J125" si="53">IF(J$4="","",J124/Market_Price)</f>
        <v>0.10056370174454603</v>
      </c>
      <c r="K125" s="77">
        <f t="shared" ref="K125" si="54">IF(K$4="","",K124/Market_Price)</f>
        <v>3.6981763145129014E-2</v>
      </c>
      <c r="L125" s="77">
        <f t="shared" ref="L125" si="55">IF(L$4="","",L124/Market_Price)</f>
        <v>7.9338816011028948E-2</v>
      </c>
      <c r="M125" s="77">
        <f t="shared" ref="M125" si="56">IF(M$4="","",M124/Market_Price)</f>
        <v>6.7238735399909488E-2</v>
      </c>
      <c r="N125" s="77">
        <f t="shared" ref="N125" si="57">IF(N$4="","",N124/Market_Price)</f>
        <v>0.3959359763936634</v>
      </c>
      <c r="O125" s="77">
        <f t="shared" ref="O125" si="58">IF(O$4="","",O124/Market_Price)</f>
        <v>0.37242249157506307</v>
      </c>
      <c r="P125" s="77">
        <f t="shared" ref="P125" si="59">IF(P$4="","",P124/Market_Price)</f>
        <v>0.37510343621041592</v>
      </c>
      <c r="Q125" s="77" t="str">
        <f t="shared" ref="Q125" si="60">IF(Q$4="","",Q124/Market_Price)</f>
        <v/>
      </c>
    </row>
    <row r="126" spans="1:17" ht="15.75" customHeight="1">
      <c r="B126" s="2" t="s">
        <v>395</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Terminal_Growth</f>
        <v>0</v>
      </c>
      <c r="H4" s="121"/>
    </row>
    <row r="5" spans="2:8">
      <c r="B5" s="227" t="s">
        <v>124</v>
      </c>
      <c r="C5" s="228">
        <f>Equity_Cost</f>
        <v>0.08</v>
      </c>
      <c r="E5" s="149"/>
      <c r="H5" s="121"/>
    </row>
    <row r="6" spans="2:8" ht="13.15" customHeight="1">
      <c r="B6" s="150" t="s">
        <v>229</v>
      </c>
      <c r="C6" s="232">
        <f>(C4*(1+Terminal_Growth))/(Equity_Cost-Terminal_Growth)</f>
        <v>1123831.5395809037</v>
      </c>
      <c r="D6" t="str">
        <f>Reporting_currency</f>
        <v>CNY</v>
      </c>
      <c r="E6" s="358" t="s">
        <v>250</v>
      </c>
      <c r="F6" s="358"/>
      <c r="H6" s="121"/>
    </row>
    <row r="7" spans="2:8">
      <c r="B7" s="149" t="s">
        <v>225</v>
      </c>
      <c r="C7" s="226">
        <f>BS!G31</f>
        <v>91887</v>
      </c>
      <c r="D7" t="str">
        <f>Reporting_currency</f>
        <v>CNY</v>
      </c>
      <c r="E7" s="358"/>
      <c r="F7" s="358"/>
      <c r="H7" s="121"/>
    </row>
    <row r="8" spans="2:8">
      <c r="B8" s="149" t="s">
        <v>226</v>
      </c>
      <c r="C8" s="201">
        <f>BS!D66</f>
        <v>100741.35470787497</v>
      </c>
      <c r="D8" t="str">
        <f>Reporting_currency</f>
        <v>CNY</v>
      </c>
      <c r="E8" s="358"/>
      <c r="F8" s="358"/>
      <c r="H8" s="121"/>
    </row>
    <row r="9" spans="2:8">
      <c r="B9" s="227" t="s">
        <v>191</v>
      </c>
      <c r="C9" s="229">
        <f>BS!H42</f>
        <v>5113.2</v>
      </c>
      <c r="D9" t="str">
        <f>Reporting_currency</f>
        <v>CNY</v>
      </c>
      <c r="E9" s="358"/>
      <c r="F9" s="358"/>
      <c r="H9" s="121"/>
    </row>
    <row r="10" spans="2:8" ht="13.15">
      <c r="B10" s="150" t="s">
        <v>228</v>
      </c>
      <c r="C10" s="232">
        <f>C6-C7+C8+C9</f>
        <v>1137799.0942887787</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25.944000372833873</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27.584825058794923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IF($C$17&lt;B21,0,DCF!$C$16)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IF($C$17&lt;B22,0,DCF!$C$16)</f>
        <v>1.98435191985455E-2</v>
      </c>
      <c r="E22" s="125">
        <f t="shared" si="0"/>
        <v>0.85733882030178321</v>
      </c>
      <c r="F22" s="126">
        <f t="shared" si="1"/>
        <v>80169.794983261658</v>
      </c>
      <c r="H22" s="121"/>
    </row>
    <row r="23" spans="2:8">
      <c r="B23" s="123">
        <v>3</v>
      </c>
      <c r="C23" s="124">
        <f t="shared" si="2"/>
        <v>95365.617318454941</v>
      </c>
      <c r="D23" s="139">
        <f>IF($C$17&lt;B23,0,DCF!$C$16)</f>
        <v>1.98435191985455E-2</v>
      </c>
      <c r="E23" s="125">
        <f t="shared" si="0"/>
        <v>0.79383224102016958</v>
      </c>
      <c r="F23" s="126">
        <f t="shared" si="1"/>
        <v>75704.301712180983</v>
      </c>
      <c r="H23" s="121"/>
    </row>
    <row r="24" spans="2:8">
      <c r="B24" s="123">
        <v>4</v>
      </c>
      <c r="C24" s="124">
        <f t="shared" si="2"/>
        <v>97258.006776594848</v>
      </c>
      <c r="D24" s="139">
        <f>IF($C$17&lt;B24,0,DCF!$C$16)</f>
        <v>1.98435191985455E-2</v>
      </c>
      <c r="E24" s="125">
        <f t="shared" si="0"/>
        <v>0.73502985279645328</v>
      </c>
      <c r="F24" s="126">
        <f t="shared" si="1"/>
        <v>71487.538404276973</v>
      </c>
      <c r="H24" s="121"/>
    </row>
    <row r="25" spans="2:8">
      <c r="B25" s="123">
        <v>5</v>
      </c>
      <c r="C25" s="124">
        <f t="shared" si="2"/>
        <v>99187.947901278458</v>
      </c>
      <c r="D25" s="139">
        <f>IF($C$17&lt;B25,0,DCF!$C$16)</f>
        <v>1.98435191985455E-2</v>
      </c>
      <c r="E25" s="125">
        <f t="shared" si="0"/>
        <v>0.68058319703375303</v>
      </c>
      <c r="F25" s="126">
        <f t="shared" si="1"/>
        <v>67505.650689869421</v>
      </c>
      <c r="H25" s="121"/>
    </row>
    <row r="26" spans="2:8">
      <c r="B26" s="123">
        <v>6</v>
      </c>
      <c r="C26" s="124">
        <f t="shared" si="2"/>
        <v>101156.18584972182</v>
      </c>
      <c r="D26" s="139">
        <f>IF($C$17&lt;B26,0,DCF!$C$16)</f>
        <v>1.98435191985455E-2</v>
      </c>
      <c r="E26" s="125">
        <f t="shared" si="0"/>
        <v>0.63016962688310452</v>
      </c>
      <c r="F26" s="126">
        <f t="shared" si="1"/>
        <v>63745.555893837176</v>
      </c>
      <c r="H26" s="121"/>
    </row>
    <row r="27" spans="2:8">
      <c r="B27" s="123">
        <v>7</v>
      </c>
      <c r="C27" s="124">
        <f t="shared" si="2"/>
        <v>103163.48056568242</v>
      </c>
      <c r="D27" s="139">
        <f>IF($C$17&lt;B27,0,DCF!$C$16)</f>
        <v>1.98435191985455E-2</v>
      </c>
      <c r="E27" s="125">
        <f t="shared" si="0"/>
        <v>0.58349039526213387</v>
      </c>
      <c r="F27" s="126">
        <f t="shared" si="1"/>
        <v>60194.900051887496</v>
      </c>
      <c r="H27" s="121"/>
    </row>
    <row r="28" spans="2:8">
      <c r="B28" s="123">
        <v>8</v>
      </c>
      <c r="C28" s="124">
        <f t="shared" si="2"/>
        <v>105210.6070728763</v>
      </c>
      <c r="D28" s="139">
        <f>IF($C$17&lt;B28,0,DCF!$C$16)</f>
        <v>1.98435191985455E-2</v>
      </c>
      <c r="E28" s="125">
        <f t="shared" si="0"/>
        <v>0.54026888450197574</v>
      </c>
      <c r="F28" s="126">
        <f t="shared" si="1"/>
        <v>56842.017321038562</v>
      </c>
      <c r="H28" s="121"/>
    </row>
    <row r="29" spans="2:8">
      <c r="B29" s="123">
        <v>9</v>
      </c>
      <c r="C29" s="124">
        <f t="shared" si="2"/>
        <v>107298.35577421756</v>
      </c>
      <c r="D29" s="139">
        <f>IF($C$17&lt;B29,0,DCF!$C$16)</f>
        <v>1.98435191985455E-2</v>
      </c>
      <c r="E29" s="125">
        <f t="shared" si="0"/>
        <v>0.50024896713145905</v>
      </c>
      <c r="F29" s="126">
        <f t="shared" si="1"/>
        <v>53675.89165095616</v>
      </c>
      <c r="H29" s="121"/>
    </row>
    <row r="30" spans="2:8">
      <c r="B30" s="123">
        <v>10</v>
      </c>
      <c r="C30" s="124">
        <f t="shared" si="2"/>
        <v>109427.53275699561</v>
      </c>
      <c r="D30" s="139">
        <f>IF($C$17&lt;B30,0,DCF!$C$16)</f>
        <v>1.98435191985455E-2</v>
      </c>
      <c r="E30" s="125">
        <f t="shared" si="0"/>
        <v>0.46319348808468425</v>
      </c>
      <c r="F30" s="126">
        <f t="shared" si="1"/>
        <v>50686.120590213846</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25.944000372833873</v>
      </c>
      <c r="C65" s="125">
        <f>C12</f>
        <v>25.944000372833873</v>
      </c>
      <c r="D65" s="125">
        <f>C12</f>
        <v>25.944000372833873</v>
      </c>
      <c r="E65" s="142">
        <f>C12</f>
        <v>25.944000372833873</v>
      </c>
      <c r="F65" s="125">
        <f>C12</f>
        <v>25.944000372833873</v>
      </c>
      <c r="H65" s="121"/>
    </row>
    <row r="66" spans="1:8" ht="13.15">
      <c r="A66" s="144">
        <f t="shared" ref="A66:A71" si="3">A56</f>
        <v>5</v>
      </c>
      <c r="B66" s="125">
        <f t="shared" ref="B66:F71" si="4">(B56-$C$7+$C$8+$C$9)/Common_Shares*$C$3*Exchange_Rate</f>
        <v>25.944000372833862</v>
      </c>
      <c r="C66" s="125">
        <f t="shared" si="4"/>
        <v>25.944000372833862</v>
      </c>
      <c r="D66" s="125">
        <f t="shared" si="4"/>
        <v>26.770813576239554</v>
      </c>
      <c r="E66" s="125">
        <f t="shared" si="4"/>
        <v>27.193439054042674</v>
      </c>
      <c r="F66" s="125">
        <f t="shared" si="4"/>
        <v>27.622389474280432</v>
      </c>
      <c r="H66" s="121"/>
    </row>
    <row r="67" spans="1:8" ht="13.15">
      <c r="A67" s="144">
        <f t="shared" si="3"/>
        <v>10</v>
      </c>
      <c r="B67" s="125">
        <f t="shared" si="4"/>
        <v>25.944000372833859</v>
      </c>
      <c r="C67" s="125">
        <f t="shared" si="4"/>
        <v>25.944000372833859</v>
      </c>
      <c r="D67" s="125">
        <f t="shared" si="4"/>
        <v>27.598388143948494</v>
      </c>
      <c r="E67" s="125">
        <f t="shared" si="4"/>
        <v>28.486571722713233</v>
      </c>
      <c r="F67" s="125">
        <f t="shared" si="4"/>
        <v>29.418590363990191</v>
      </c>
      <c r="H67" s="121"/>
    </row>
    <row r="68" spans="1:8" ht="13.15">
      <c r="A68" s="144">
        <f t="shared" si="3"/>
        <v>15</v>
      </c>
      <c r="B68" s="125">
        <f t="shared" si="4"/>
        <v>25.944000372833852</v>
      </c>
      <c r="C68" s="125">
        <f t="shared" si="4"/>
        <v>25.944000372833852</v>
      </c>
      <c r="D68" s="125">
        <f t="shared" si="4"/>
        <v>28.622741136413637</v>
      </c>
      <c r="E68" s="125">
        <f t="shared" si="4"/>
        <v>30.12880880972472</v>
      </c>
      <c r="F68" s="125">
        <f t="shared" si="4"/>
        <v>31.760166009194872</v>
      </c>
      <c r="H68" s="121"/>
    </row>
    <row r="69" spans="1:8" ht="13.15">
      <c r="A69" s="145">
        <f t="shared" si="3"/>
        <v>20</v>
      </c>
      <c r="B69" s="125">
        <f t="shared" si="4"/>
        <v>25.944000372833859</v>
      </c>
      <c r="C69" s="125">
        <f t="shared" si="4"/>
        <v>25.944000372833859</v>
      </c>
      <c r="D69" s="125">
        <f t="shared" si="4"/>
        <v>29.6663925627625</v>
      </c>
      <c r="E69" s="125">
        <f t="shared" si="4"/>
        <v>31.847812902283948</v>
      </c>
      <c r="F69" s="125">
        <f t="shared" si="4"/>
        <v>34.280464885725387</v>
      </c>
      <c r="H69" s="121"/>
    </row>
    <row r="70" spans="1:8" ht="13.15">
      <c r="A70" s="145">
        <f t="shared" si="3"/>
        <v>25</v>
      </c>
      <c r="B70" s="125">
        <f t="shared" si="4"/>
        <v>25.944000372833852</v>
      </c>
      <c r="C70" s="125">
        <f t="shared" si="4"/>
        <v>25.944000372833852</v>
      </c>
      <c r="D70" s="125">
        <f t="shared" si="4"/>
        <v>30.637046301494621</v>
      </c>
      <c r="E70" s="125">
        <f t="shared" si="4"/>
        <v>33.492173177592221</v>
      </c>
      <c r="F70" s="125">
        <f t="shared" si="4"/>
        <v>36.763045017864883</v>
      </c>
    </row>
    <row r="71" spans="1:8" ht="13.15">
      <c r="A71" s="145">
        <f t="shared" si="3"/>
        <v>30</v>
      </c>
      <c r="B71" s="125">
        <f t="shared" si="4"/>
        <v>25.944000372833852</v>
      </c>
      <c r="C71" s="125">
        <f t="shared" si="4"/>
        <v>25.944000372833852</v>
      </c>
      <c r="D71" s="125">
        <f t="shared" si="4"/>
        <v>31.493297924930808</v>
      </c>
      <c r="E71" s="125">
        <f t="shared" si="4"/>
        <v>34.98561802192647</v>
      </c>
      <c r="F71" s="125">
        <f t="shared" si="4"/>
        <v>39.088003312796459</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31.760166009194872</v>
      </c>
      <c r="F74" s="143">
        <f>Scenarios!C58</f>
        <v>0.05</v>
      </c>
    </row>
    <row r="75" spans="1:8">
      <c r="B75" s="128" t="str">
        <f>Scenarios!B36</f>
        <v>Optimistic</v>
      </c>
      <c r="C75" s="143">
        <f>Scenarios!C38</f>
        <v>0.03</v>
      </c>
      <c r="D75" s="146">
        <f>Scenarios!C37</f>
        <v>10</v>
      </c>
      <c r="E75" s="136">
        <f>INDEX(B$65:F$71, MATCH(D75, A$65:A$71, 0), MATCH(C75, B$64:F$64, 0))</f>
        <v>28.486571722713233</v>
      </c>
      <c r="F75" s="143">
        <f>Scenarios!C40*(1-F$74-F$78)</f>
        <v>0.18</v>
      </c>
      <c r="H75" s="121"/>
    </row>
    <row r="76" spans="1:8">
      <c r="B76" s="128" t="str">
        <f>Scenarios!B24</f>
        <v>Base</v>
      </c>
      <c r="C76" s="143">
        <f>Scenarios!C26</f>
        <v>0.02</v>
      </c>
      <c r="D76" s="146">
        <f>Scenarios!C25</f>
        <v>10</v>
      </c>
      <c r="E76" s="136">
        <f>INDEX(B$65:F$71, MATCH(D76, A$65:A$71, 0), MATCH(C76, B$64:F$64, 0))</f>
        <v>27.598388143948494</v>
      </c>
      <c r="F76" s="143">
        <f>Scenarios!C28*(1-F$74-F$78)</f>
        <v>0.53999999999999992</v>
      </c>
      <c r="H76" s="121"/>
    </row>
    <row r="77" spans="1:8">
      <c r="B77" s="128" t="str">
        <f>Scenarios!B30</f>
        <v>Pessimistic</v>
      </c>
      <c r="C77" s="143">
        <f>Scenarios!C32</f>
        <v>0</v>
      </c>
      <c r="D77" s="146">
        <f>Scenarios!C31</f>
        <v>10</v>
      </c>
      <c r="E77" s="136">
        <f>INDEX(B$65:F$71, MATCH(D77, A$65:A$71, 0), MATCH(C77, B$64:F$64, 0))</f>
        <v>25.944000372833859</v>
      </c>
      <c r="F77" s="143">
        <f>Scenarios!C34*(1-F$74-F$78)</f>
        <v>0.18</v>
      </c>
      <c r="H77" s="121"/>
    </row>
    <row r="78" spans="1:8">
      <c r="B78" s="128" t="str">
        <f>Scenarios!B48</f>
        <v>Devil's advocate</v>
      </c>
      <c r="C78" s="143">
        <f>Scenarios!C50</f>
        <v>0</v>
      </c>
      <c r="D78" s="146">
        <f>Scenarios!C49</f>
        <v>15</v>
      </c>
      <c r="E78" s="136">
        <f>INDEX(B$65:F$71, MATCH(D78, A$65:A$71, 0), MATCH(C78, B$64:F$64, 0))</f>
        <v>25.944000372833852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1" t="s">
        <v>59</v>
      </c>
    </row>
    <row r="3" spans="2:8" ht="13.15">
      <c r="B3" s="109" t="s">
        <v>444</v>
      </c>
      <c r="C3" s="107">
        <f>scaling_factor</f>
        <v>1000000</v>
      </c>
      <c r="E3" s="109" t="s">
        <v>125</v>
      </c>
      <c r="H3" s="121"/>
    </row>
    <row r="4" spans="2:8">
      <c r="B4" s="100" t="s">
        <v>442</v>
      </c>
      <c r="C4" s="110">
        <f>Normalized_FCF!C91</f>
        <v>66541.935577600001</v>
      </c>
      <c r="D4" t="str">
        <f>Market_currency</f>
        <v>HKD</v>
      </c>
      <c r="E4" s="100" t="s">
        <v>251</v>
      </c>
      <c r="F4" s="135">
        <f>Thesis!E22</f>
        <v>0</v>
      </c>
      <c r="H4" s="121"/>
    </row>
    <row r="5" spans="2:8">
      <c r="B5" s="227" t="s">
        <v>124</v>
      </c>
      <c r="C5" s="228">
        <f>Equity_Cost</f>
        <v>0.08</v>
      </c>
      <c r="E5" s="149"/>
      <c r="H5" s="121"/>
    </row>
    <row r="6" spans="2:8" ht="13.15" customHeight="1">
      <c r="B6" s="150" t="s">
        <v>443</v>
      </c>
      <c r="C6" s="232">
        <f>(C4*(1+Terminal_Growth))/(Equity_Cost-Terminal_Growth)</f>
        <v>831774.19472000003</v>
      </c>
      <c r="D6" t="str">
        <f>Reporting_currency</f>
        <v>CNY</v>
      </c>
      <c r="E6" s="358"/>
      <c r="F6" s="358"/>
      <c r="H6" s="121"/>
    </row>
    <row r="7" spans="2:8" ht="13.15">
      <c r="B7" s="150" t="s">
        <v>446</v>
      </c>
      <c r="C7" s="112">
        <f>(C6*scaling_factor)/Common_Shares*Exchange_Rate</f>
        <v>18.966046050000003</v>
      </c>
      <c r="D7" t="str">
        <f>Market_currency</f>
        <v>HKD</v>
      </c>
      <c r="H7" s="121"/>
    </row>
    <row r="8" spans="2:8">
      <c r="H8" s="121"/>
    </row>
    <row r="9" spans="2:8" ht="13.9">
      <c r="B9" s="36" t="s">
        <v>230</v>
      </c>
      <c r="C9" s="37"/>
      <c r="D9" s="37"/>
      <c r="E9" s="37"/>
      <c r="F9" s="37"/>
      <c r="H9" s="121"/>
    </row>
    <row r="10" spans="2:8" ht="13.15">
      <c r="B10" s="120" t="s">
        <v>136</v>
      </c>
      <c r="H10" s="121"/>
    </row>
    <row r="11" spans="2:8" ht="13.35" customHeight="1">
      <c r="B11" s="153" t="s">
        <v>134</v>
      </c>
      <c r="C11" s="162">
        <f>Scenarios!C65</f>
        <v>1.98435191985455E-2</v>
      </c>
      <c r="H11" s="121"/>
    </row>
    <row r="12" spans="2:8" ht="13.35" customHeight="1">
      <c r="B12" s="119" t="s">
        <v>135</v>
      </c>
      <c r="C12" s="163">
        <f>Scenarios!C64</f>
        <v>10</v>
      </c>
      <c r="H12" s="121"/>
    </row>
    <row r="13" spans="2:8" ht="13.35" customHeight="1">
      <c r="B13" s="154" t="s">
        <v>107</v>
      </c>
      <c r="C13" s="141">
        <f>F47/Common_Shares*scaling_factor</f>
        <v>18.620540752123823</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67862.361753742487</v>
      </c>
      <c r="D16" s="139">
        <f>IF($C$12&lt;B16,0,DDM!$C$11)</f>
        <v>1.98435191985455E-2</v>
      </c>
      <c r="E16" s="125">
        <f t="shared" ref="E16:E45" si="0">IF($C$12&lt;B16,0,1/(1+Equity_Cost)^B16)</f>
        <v>0.92592592592592582</v>
      </c>
      <c r="F16" s="126">
        <f t="shared" ref="F16:F46" si="1">C16*E16</f>
        <v>62835.520142354144</v>
      </c>
      <c r="H16" s="121"/>
    </row>
    <row r="17" spans="2:8">
      <c r="B17" s="123">
        <v>2</v>
      </c>
      <c r="C17" s="124">
        <f t="shared" ref="C17:C45" si="2">IF(ROW()-ROW($C$16)&lt;$C$12, $C$16*(1+D17)^(ROW()-ROW($C$16)), 0)</f>
        <v>69208.989832061518</v>
      </c>
      <c r="D17" s="139">
        <f>IF($C$12&lt;B17,0,DDM!$C$11)</f>
        <v>1.98435191985455E-2</v>
      </c>
      <c r="E17" s="125">
        <f t="shared" si="0"/>
        <v>0.85733882030178321</v>
      </c>
      <c r="F17" s="126">
        <f t="shared" si="1"/>
        <v>59335.553696897732</v>
      </c>
      <c r="H17" s="121"/>
    </row>
    <row r="18" spans="2:8">
      <c r="B18" s="123">
        <v>3</v>
      </c>
      <c r="C18" s="124">
        <f t="shared" si="2"/>
        <v>70582.339750505969</v>
      </c>
      <c r="D18" s="139">
        <f>IF($C$12&lt;B18,0,DDM!$C$11)</f>
        <v>1.98435191985455E-2</v>
      </c>
      <c r="E18" s="125">
        <f t="shared" si="0"/>
        <v>0.79383224102016958</v>
      </c>
      <c r="F18" s="126">
        <f t="shared" si="1"/>
        <v>56030.536940591148</v>
      </c>
      <c r="H18" s="121"/>
    </row>
    <row r="19" spans="2:8">
      <c r="B19" s="123">
        <v>4</v>
      </c>
      <c r="C19" s="124">
        <f t="shared" si="2"/>
        <v>71982.941764423405</v>
      </c>
      <c r="D19" s="139">
        <f>IF($C$12&lt;B19,0,DDM!$C$11)</f>
        <v>1.98435191985455E-2</v>
      </c>
      <c r="E19" s="125">
        <f t="shared" si="0"/>
        <v>0.73502985279645328</v>
      </c>
      <c r="F19" s="126">
        <f t="shared" si="1"/>
        <v>52909.611088959806</v>
      </c>
      <c r="H19" s="121"/>
    </row>
    <row r="20" spans="2:8">
      <c r="B20" s="123">
        <v>5</v>
      </c>
      <c r="C20" s="124">
        <f t="shared" si="2"/>
        <v>73411.336651293517</v>
      </c>
      <c r="D20" s="139">
        <f>IF($C$12&lt;B20,0,DDM!$C$11)</f>
        <v>1.98435191985455E-2</v>
      </c>
      <c r="E20" s="125">
        <f t="shared" si="0"/>
        <v>0.68058319703375303</v>
      </c>
      <c r="F20" s="126">
        <f t="shared" si="1"/>
        <v>49962.522196658472</v>
      </c>
      <c r="H20" s="121"/>
    </row>
    <row r="21" spans="2:8">
      <c r="B21" s="123">
        <v>6</v>
      </c>
      <c r="C21" s="124">
        <f t="shared" si="2"/>
        <v>74868.075919524344</v>
      </c>
      <c r="D21" s="139">
        <f>IF($C$12&lt;B21,0,DDM!$C$11)</f>
        <v>1.98435191985455E-2</v>
      </c>
      <c r="E21" s="125">
        <f t="shared" si="0"/>
        <v>0.63016962688310452</v>
      </c>
      <c r="F21" s="126">
        <f t="shared" si="1"/>
        <v>47179.587467662597</v>
      </c>
      <c r="H21" s="121"/>
    </row>
    <row r="22" spans="2:8">
      <c r="B22" s="123">
        <v>7</v>
      </c>
      <c r="C22" s="124">
        <f t="shared" si="2"/>
        <v>76353.722021391586</v>
      </c>
      <c r="D22" s="139">
        <f>IF($C$12&lt;B22,0,DDM!$C$11)</f>
        <v>1.98435191985455E-2</v>
      </c>
      <c r="E22" s="125">
        <f t="shared" si="0"/>
        <v>0.58349039526213387</v>
      </c>
      <c r="F22" s="126">
        <f t="shared" si="1"/>
        <v>44551.663441996869</v>
      </c>
      <c r="H22" s="121"/>
    </row>
    <row r="23" spans="2:8">
      <c r="B23" s="123">
        <v>8</v>
      </c>
      <c r="C23" s="124">
        <f t="shared" si="2"/>
        <v>77868.848570203481</v>
      </c>
      <c r="D23" s="139">
        <f>IF($C$12&lt;B23,0,DDM!$C$11)</f>
        <v>1.98435191985455E-2</v>
      </c>
      <c r="E23" s="125">
        <f t="shared" si="0"/>
        <v>0.54026888450197574</v>
      </c>
      <c r="F23" s="126">
        <f t="shared" si="1"/>
        <v>42070.115954477107</v>
      </c>
      <c r="H23" s="121"/>
    </row>
    <row r="24" spans="2:8">
      <c r="B24" s="123">
        <v>9</v>
      </c>
      <c r="C24" s="124">
        <f t="shared" si="2"/>
        <v>79414.040561774949</v>
      </c>
      <c r="D24" s="139">
        <f>IF($C$12&lt;B24,0,DDM!$C$11)</f>
        <v>1.98435191985455E-2</v>
      </c>
      <c r="E24" s="125">
        <f t="shared" si="0"/>
        <v>0.50024896713145905</v>
      </c>
      <c r="F24" s="126">
        <f t="shared" si="1"/>
        <v>39726.791766763716</v>
      </c>
      <c r="H24" s="121"/>
    </row>
    <row r="25" spans="2:8">
      <c r="B25" s="123">
        <v>10</v>
      </c>
      <c r="C25" s="124">
        <f t="shared" si="2"/>
        <v>80989.894600296597</v>
      </c>
      <c r="D25" s="139">
        <f>IF($C$12&lt;B25,0,DDM!$C$11)</f>
        <v>1.98435191985455E-2</v>
      </c>
      <c r="E25" s="125">
        <f t="shared" si="0"/>
        <v>0.46319348808468425</v>
      </c>
      <c r="F25" s="126">
        <f t="shared" si="1"/>
        <v>37513.991779522315</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848279.52192178112</v>
      </c>
      <c r="D46" s="140">
        <f>Terminal_Growth</f>
        <v>0</v>
      </c>
      <c r="E46" s="125">
        <f>1/(1+Equity_Cost)^C12</f>
        <v>0.46319348808468425</v>
      </c>
      <c r="F46" s="126">
        <f t="shared" si="1"/>
        <v>392917.55062975816</v>
      </c>
      <c r="H46" s="121"/>
    </row>
    <row r="47" spans="2:8">
      <c r="C47" s="115"/>
      <c r="E47" s="128" t="s">
        <v>101</v>
      </c>
      <c r="F47" s="138">
        <f>SUM(F16:F46)</f>
        <v>885033.44510564208</v>
      </c>
      <c r="H47" s="121"/>
    </row>
    <row r="48" spans="2:8">
      <c r="C48" s="115"/>
      <c r="H48" s="121"/>
    </row>
    <row r="49" spans="1:8" ht="13.15">
      <c r="B49" s="120" t="s">
        <v>130</v>
      </c>
      <c r="C49" s="137"/>
      <c r="D49" s="137"/>
      <c r="E49" s="118"/>
      <c r="F49" s="118"/>
      <c r="H49" s="121"/>
    </row>
    <row r="50" spans="1:8" ht="13.15">
      <c r="A50" s="134">
        <f>F47</f>
        <v>885033.44510564208</v>
      </c>
      <c r="B50" s="132">
        <f>C73</f>
        <v>0</v>
      </c>
      <c r="C50" s="132">
        <f>C72</f>
        <v>0</v>
      </c>
      <c r="D50" s="132">
        <f>C71</f>
        <v>0.02</v>
      </c>
      <c r="E50" s="132">
        <f>C70</f>
        <v>0.03</v>
      </c>
      <c r="F50" s="132">
        <f>C69</f>
        <v>0.04</v>
      </c>
      <c r="H50" s="121"/>
    </row>
    <row r="51" spans="1:8" ht="13.15">
      <c r="A51" s="144">
        <v>5</v>
      </c>
      <c r="B51" s="124">
        <f t="dataTable" ref="B51:F56" dt2D="1" dtr="1" r1="C11" r2="C12"/>
        <v>831774.1947199998</v>
      </c>
      <c r="C51" s="124">
        <v>831774.1947199998</v>
      </c>
      <c r="D51" s="124">
        <v>858611.58435650798</v>
      </c>
      <c r="E51" s="124">
        <v>872329.51311163534</v>
      </c>
      <c r="F51" s="124">
        <v>886252.74210126267</v>
      </c>
      <c r="H51" s="121"/>
    </row>
    <row r="52" spans="1:8" ht="13.15">
      <c r="A52" s="144">
        <v>10</v>
      </c>
      <c r="B52" s="124">
        <v>831774.1947199998</v>
      </c>
      <c r="C52" s="124">
        <v>831774.1947199998</v>
      </c>
      <c r="D52" s="124">
        <v>885473.6869878954</v>
      </c>
      <c r="E52" s="124">
        <v>914303.08723679534</v>
      </c>
      <c r="F52" s="124">
        <v>944555.32235037233</v>
      </c>
      <c r="H52" s="121"/>
    </row>
    <row r="53" spans="1:8" ht="13.15">
      <c r="A53" s="144">
        <v>15</v>
      </c>
      <c r="B53" s="124">
        <v>831774.1947199998</v>
      </c>
      <c r="C53" s="124">
        <v>831774.1947199998</v>
      </c>
      <c r="D53" s="124">
        <v>918722.98715735739</v>
      </c>
      <c r="E53" s="124">
        <v>967608.18250875163</v>
      </c>
      <c r="F53" s="124">
        <v>1020560.1293549866</v>
      </c>
      <c r="H53" s="121"/>
    </row>
    <row r="54" spans="1:8" ht="13.15">
      <c r="A54" s="145">
        <v>20</v>
      </c>
      <c r="B54" s="124">
        <v>831774.19471999968</v>
      </c>
      <c r="C54" s="124">
        <v>831774.19471999968</v>
      </c>
      <c r="D54" s="124">
        <v>952598.69192144671</v>
      </c>
      <c r="E54" s="124">
        <v>1023405.045002889</v>
      </c>
      <c r="F54" s="124">
        <v>1102366.0834342125</v>
      </c>
      <c r="H54" s="121"/>
    </row>
    <row r="55" spans="1:8" ht="13.15">
      <c r="A55" s="145">
        <v>25</v>
      </c>
      <c r="B55" s="124">
        <v>831774.19471999968</v>
      </c>
      <c r="C55" s="124">
        <v>831774.19471999968</v>
      </c>
      <c r="D55" s="124">
        <v>984104.97711523261</v>
      </c>
      <c r="E55" s="124">
        <v>1076779.0564839209</v>
      </c>
      <c r="F55" s="124">
        <v>1182947.7311820304</v>
      </c>
      <c r="H55" s="121"/>
    </row>
    <row r="56" spans="1:8" ht="13.15">
      <c r="A56" s="145">
        <v>30</v>
      </c>
      <c r="B56" s="124">
        <v>831774.19471999945</v>
      </c>
      <c r="C56" s="124">
        <v>831774.19471999945</v>
      </c>
      <c r="D56" s="124">
        <v>1011897.9034381259</v>
      </c>
      <c r="E56" s="124">
        <v>1125254.5295689418</v>
      </c>
      <c r="F56" s="124">
        <v>1258413.1584305295</v>
      </c>
      <c r="H56" s="121"/>
    </row>
    <row r="57" spans="1:8">
      <c r="C57" s="115"/>
      <c r="D57" s="115"/>
      <c r="E57" s="115"/>
      <c r="F57" s="115"/>
      <c r="H57" s="121"/>
    </row>
    <row r="58" spans="1:8" ht="13.15">
      <c r="B58" s="120" t="s">
        <v>131</v>
      </c>
      <c r="C58" s="115"/>
      <c r="D58" s="115"/>
      <c r="E58" s="115"/>
      <c r="F58" s="115"/>
      <c r="H58" s="121"/>
    </row>
    <row r="59" spans="1:8" ht="13.15">
      <c r="B59" s="133">
        <f>B50</f>
        <v>0</v>
      </c>
      <c r="C59" s="133">
        <f>C50</f>
        <v>0</v>
      </c>
      <c r="D59" s="133">
        <f>D50</f>
        <v>0.02</v>
      </c>
      <c r="E59" s="133">
        <f>E50</f>
        <v>0.03</v>
      </c>
      <c r="F59" s="133">
        <f>F50</f>
        <v>0.04</v>
      </c>
      <c r="H59" s="121"/>
    </row>
    <row r="60" spans="1:8" ht="13.15">
      <c r="A60" s="144">
        <v>0</v>
      </c>
      <c r="B60" s="125">
        <f>C7</f>
        <v>18.966046050000003</v>
      </c>
      <c r="C60" s="125">
        <f>C7</f>
        <v>18.966046050000003</v>
      </c>
      <c r="D60" s="125">
        <f>C7</f>
        <v>18.966046050000003</v>
      </c>
      <c r="E60" s="142">
        <f>C7</f>
        <v>18.966046050000003</v>
      </c>
      <c r="F60" s="125">
        <f>C7</f>
        <v>18.966046050000003</v>
      </c>
      <c r="H60" s="121"/>
    </row>
    <row r="61" spans="1:8" ht="13.15">
      <c r="A61" s="144">
        <f t="shared" ref="A61:A66" si="3">A51</f>
        <v>5</v>
      </c>
      <c r="B61" s="125">
        <f t="shared" ref="B61:F66" si="4">B51/Common_Shares*$C$3*Exchange_Rate</f>
        <v>18.966046049999999</v>
      </c>
      <c r="C61" s="125">
        <f t="shared" si="4"/>
        <v>18.966046049999999</v>
      </c>
      <c r="D61" s="125">
        <f t="shared" si="4"/>
        <v>19.57798997773768</v>
      </c>
      <c r="E61" s="125">
        <f t="shared" si="4"/>
        <v>19.890785048962449</v>
      </c>
      <c r="F61" s="125">
        <f t="shared" si="4"/>
        <v>20.208261359069496</v>
      </c>
      <c r="H61" s="121"/>
    </row>
    <row r="62" spans="1:8" ht="13.15">
      <c r="A62" s="144">
        <f t="shared" si="3"/>
        <v>10</v>
      </c>
      <c r="B62" s="125">
        <f t="shared" si="4"/>
        <v>18.966046049999999</v>
      </c>
      <c r="C62" s="125">
        <f t="shared" si="4"/>
        <v>18.966046049999999</v>
      </c>
      <c r="D62" s="125">
        <f t="shared" si="4"/>
        <v>20.190497409130433</v>
      </c>
      <c r="E62" s="125">
        <f t="shared" si="4"/>
        <v>20.847862997273715</v>
      </c>
      <c r="F62" s="125">
        <f t="shared" si="4"/>
        <v>21.537671947733728</v>
      </c>
      <c r="H62" s="121"/>
    </row>
    <row r="63" spans="1:8" ht="13.15">
      <c r="A63" s="144">
        <f t="shared" si="3"/>
        <v>15</v>
      </c>
      <c r="B63" s="125">
        <f t="shared" si="4"/>
        <v>18.966046049999999</v>
      </c>
      <c r="C63" s="125">
        <f t="shared" si="4"/>
        <v>18.966046049999999</v>
      </c>
      <c r="D63" s="125">
        <f t="shared" si="4"/>
        <v>20.948645187875325</v>
      </c>
      <c r="E63" s="125">
        <f t="shared" si="4"/>
        <v>22.063321348885463</v>
      </c>
      <c r="F63" s="125">
        <f t="shared" si="4"/>
        <v>23.270727239448007</v>
      </c>
      <c r="H63" s="121"/>
    </row>
    <row r="64" spans="1:8" ht="13.15">
      <c r="A64" s="145">
        <f t="shared" si="3"/>
        <v>20</v>
      </c>
      <c r="B64" s="125">
        <f t="shared" si="4"/>
        <v>18.966046049999996</v>
      </c>
      <c r="C64" s="125">
        <f t="shared" si="4"/>
        <v>18.966046049999996</v>
      </c>
      <c r="D64" s="125">
        <f t="shared" si="4"/>
        <v>21.721076192119455</v>
      </c>
      <c r="E64" s="125">
        <f t="shared" si="4"/>
        <v>23.335596769578892</v>
      </c>
      <c r="F64" s="125">
        <f t="shared" si="4"/>
        <v>25.136059804559714</v>
      </c>
      <c r="H64" s="121"/>
    </row>
    <row r="65" spans="1:8" ht="13.15">
      <c r="A65" s="145">
        <f t="shared" si="3"/>
        <v>25</v>
      </c>
      <c r="B65" s="125">
        <f t="shared" si="4"/>
        <v>18.966046049999996</v>
      </c>
      <c r="C65" s="125">
        <f t="shared" si="4"/>
        <v>18.966046049999996</v>
      </c>
      <c r="D65" s="125">
        <f t="shared" si="4"/>
        <v>22.439479888270341</v>
      </c>
      <c r="E65" s="125">
        <f t="shared" si="4"/>
        <v>24.552626542861589</v>
      </c>
      <c r="F65" s="125">
        <f t="shared" si="4"/>
        <v>26.973475838468374</v>
      </c>
    </row>
    <row r="66" spans="1:8" ht="13.15">
      <c r="A66" s="145">
        <f t="shared" si="3"/>
        <v>30</v>
      </c>
      <c r="B66" s="125">
        <f t="shared" si="4"/>
        <v>18.966046049999989</v>
      </c>
      <c r="C66" s="125">
        <f t="shared" si="4"/>
        <v>18.966046049999989</v>
      </c>
      <c r="D66" s="125">
        <f t="shared" si="4"/>
        <v>23.073211884105696</v>
      </c>
      <c r="E66" s="125">
        <f t="shared" si="4"/>
        <v>25.657960250810458</v>
      </c>
      <c r="F66" s="125">
        <f t="shared" si="4"/>
        <v>28.69423223781757</v>
      </c>
    </row>
    <row r="68" spans="1:8" ht="13.15">
      <c r="B68" s="172" t="s">
        <v>118</v>
      </c>
      <c r="C68" s="172" t="s">
        <v>133</v>
      </c>
      <c r="D68" s="172" t="s">
        <v>113</v>
      </c>
      <c r="E68" s="173" t="s">
        <v>114</v>
      </c>
      <c r="F68" s="173" t="s">
        <v>120</v>
      </c>
    </row>
    <row r="69" spans="1:8">
      <c r="B69" s="128" t="str">
        <f>Scenarios!B54</f>
        <v>Snowball Scenario</v>
      </c>
      <c r="C69" s="143">
        <f>Scenarios!C56</f>
        <v>0.04</v>
      </c>
      <c r="D69" s="146">
        <f>Scenarios!C55</f>
        <v>15</v>
      </c>
      <c r="E69" s="136">
        <f>INDEX(B$60:F$66, MATCH(D69, A$60:A$66, 0), MATCH(C69, B$59:F$59, 0))</f>
        <v>23.270727239448007</v>
      </c>
      <c r="F69" s="143">
        <f>Scenarios!C58</f>
        <v>0.05</v>
      </c>
    </row>
    <row r="70" spans="1:8">
      <c r="B70" s="128" t="str">
        <f>Scenarios!B36</f>
        <v>Optimistic</v>
      </c>
      <c r="C70" s="143">
        <f>Scenarios!C38</f>
        <v>0.03</v>
      </c>
      <c r="D70" s="146">
        <f>Scenarios!C37</f>
        <v>10</v>
      </c>
      <c r="E70" s="136">
        <f>INDEX(B$60:F$66, MATCH(D70, A$60:A$66, 0), MATCH(C70, B$59:F$59, 0))</f>
        <v>20.847862997273715</v>
      </c>
      <c r="F70" s="143">
        <f>Scenarios!C40*(1-F$69-F$73)</f>
        <v>0.18</v>
      </c>
      <c r="H70" s="121"/>
    </row>
    <row r="71" spans="1:8">
      <c r="B71" s="128" t="str">
        <f>Scenarios!B24</f>
        <v>Base</v>
      </c>
      <c r="C71" s="143">
        <f>Scenarios!C26</f>
        <v>0.02</v>
      </c>
      <c r="D71" s="146">
        <f>Scenarios!C25</f>
        <v>10</v>
      </c>
      <c r="E71" s="136">
        <f>INDEX(B$60:F$66, MATCH(D71, A$60:A$66, 0), MATCH(C71, B$59:F$59, 0))</f>
        <v>20.190497409130433</v>
      </c>
      <c r="F71" s="143">
        <f>Scenarios!C28*(1-F$69-F$73)</f>
        <v>0.53999999999999992</v>
      </c>
      <c r="H71" s="121"/>
    </row>
    <row r="72" spans="1:8">
      <c r="B72" s="128" t="str">
        <f>Scenarios!B30</f>
        <v>Pessimistic</v>
      </c>
      <c r="C72" s="143">
        <f>Scenarios!C32</f>
        <v>0</v>
      </c>
      <c r="D72" s="146">
        <f>Scenarios!C31</f>
        <v>10</v>
      </c>
      <c r="E72" s="136">
        <f>INDEX(B$60:F$66, MATCH(D72, A$60:A$66, 0), MATCH(C72, B$59:F$59, 0))</f>
        <v>18.966046049999999</v>
      </c>
      <c r="F72" s="143">
        <f>Scenarios!C34*(1-F$69-F$73)</f>
        <v>0.18</v>
      </c>
      <c r="H72" s="121"/>
    </row>
    <row r="73" spans="1:8">
      <c r="B73" s="128" t="str">
        <f>Scenarios!B48</f>
        <v>Devil's advocate</v>
      </c>
      <c r="C73" s="143">
        <f>Scenarios!C50</f>
        <v>0</v>
      </c>
      <c r="D73" s="146">
        <f>Scenarios!C49</f>
        <v>15</v>
      </c>
      <c r="E73" s="136">
        <f>INDEX(B$60:F$66, MATCH(D73, A$60:A$66, 0), MATCH(C73, B$59:F$59, 0))</f>
        <v>18.966046049999999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4" t="s">
        <v>296</v>
      </c>
      <c r="I2" s="275"/>
    </row>
    <row r="3" spans="2:9" ht="13.15">
      <c r="B3" s="160" t="s">
        <v>149</v>
      </c>
      <c r="H3" s="273">
        <v>0</v>
      </c>
      <c r="I3" s="261">
        <f>-Market_Price</f>
        <v>-17.239999999999998</v>
      </c>
    </row>
    <row r="4" spans="2:9">
      <c r="B4" s="153" t="s">
        <v>147</v>
      </c>
      <c r="C4" s="121">
        <v>3</v>
      </c>
      <c r="D4" s="121"/>
      <c r="E4" s="156" t="s">
        <v>151</v>
      </c>
      <c r="F4" s="156"/>
      <c r="H4" s="273">
        <v>1</v>
      </c>
      <c r="I4" s="261">
        <f t="shared" ref="I4:I13" si="0">IF(ROW()-3 &lt; $C$76, $C$77, IF(ROW()-3 = $C$76, $C$77 + $C$60, ""))</f>
        <v>1.4</v>
      </c>
    </row>
    <row r="5" spans="2:9">
      <c r="H5" s="273">
        <v>2</v>
      </c>
      <c r="I5" s="261">
        <f t="shared" si="0"/>
        <v>1.4</v>
      </c>
    </row>
    <row r="6" spans="2:9" ht="13.15">
      <c r="B6" s="160" t="s">
        <v>96</v>
      </c>
      <c r="C6" s="107">
        <f>DCF!C3</f>
        <v>1000000</v>
      </c>
      <c r="E6" s="100" t="s">
        <v>280</v>
      </c>
      <c r="F6" s="100"/>
      <c r="H6" s="273">
        <v>3</v>
      </c>
      <c r="I6" s="261">
        <f t="shared" si="0"/>
        <v>28.985840894032098</v>
      </c>
    </row>
    <row r="7" spans="2:9" ht="12.75" customHeight="1">
      <c r="B7" s="100" t="s">
        <v>276</v>
      </c>
      <c r="C7" s="115">
        <f>Normalized_FCF!G8</f>
        <v>192781</v>
      </c>
      <c r="D7" t="str">
        <f>Reporting_currency</f>
        <v>CNY</v>
      </c>
      <c r="E7" s="36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0"/>
      <c r="H7" s="273">
        <v>4</v>
      </c>
      <c r="I7" s="261" t="str">
        <f t="shared" si="0"/>
        <v/>
      </c>
    </row>
    <row r="8" spans="2:9">
      <c r="B8" s="100" t="s">
        <v>66</v>
      </c>
      <c r="C8" s="115">
        <f>Normalized_FCF!G19</f>
        <v>141358.4276163358</v>
      </c>
      <c r="D8" t="str">
        <f>Reporting_currency</f>
        <v>CNY</v>
      </c>
      <c r="E8" s="360"/>
      <c r="F8" s="360"/>
      <c r="H8" s="273">
        <v>5</v>
      </c>
      <c r="I8" s="261" t="str">
        <f t="shared" si="0"/>
        <v/>
      </c>
    </row>
    <row r="9" spans="2:9">
      <c r="B9" s="100" t="s">
        <v>57</v>
      </c>
      <c r="C9" s="201">
        <f>Normalized_FCF!C19</f>
        <v>89906.523166472296</v>
      </c>
      <c r="D9" t="str">
        <f>Reporting_currency</f>
        <v>CNY</v>
      </c>
      <c r="E9" s="360"/>
      <c r="F9" s="360"/>
      <c r="H9" s="273">
        <v>6</v>
      </c>
      <c r="I9" s="261" t="str">
        <f t="shared" si="0"/>
        <v/>
      </c>
    </row>
    <row r="10" spans="2:9">
      <c r="E10" s="360"/>
      <c r="F10" s="360"/>
      <c r="H10" s="273">
        <v>7</v>
      </c>
      <c r="I10" s="261" t="str">
        <f t="shared" si="0"/>
        <v/>
      </c>
    </row>
    <row r="11" spans="2:9" ht="13.15">
      <c r="B11" s="160" t="s">
        <v>449</v>
      </c>
      <c r="E11" s="360"/>
      <c r="F11" s="360"/>
      <c r="H11" s="273">
        <v>8</v>
      </c>
      <c r="I11" s="261" t="str">
        <f t="shared" si="0"/>
        <v/>
      </c>
    </row>
    <row r="12" spans="2:9">
      <c r="B12" s="119" t="s">
        <v>145</v>
      </c>
      <c r="C12" s="159">
        <f ca="1">(Normalized_FCF!G4/OFFSET(Normalized_FCF!G4, 0, $C$4))^(1/$C$4) - 1</f>
        <v>0.19549305441006948</v>
      </c>
      <c r="D12" s="159"/>
      <c r="E12" s="360"/>
      <c r="F12" s="360"/>
      <c r="H12" s="273">
        <v>9</v>
      </c>
      <c r="I12" s="261" t="str">
        <f t="shared" si="0"/>
        <v/>
      </c>
    </row>
    <row r="13" spans="2:9">
      <c r="B13" s="149" t="s">
        <v>153</v>
      </c>
      <c r="C13" s="159">
        <f ca="1">(Normalized_FCF!G8/OFFSET(Normalized_FCF!G8, 0, $C$4))^(1/$C$4) - 1</f>
        <v>0.22866289579809873</v>
      </c>
      <c r="E13" s="360"/>
      <c r="F13" s="360"/>
      <c r="H13" s="273">
        <v>10</v>
      </c>
      <c r="I13" s="261" t="str">
        <f t="shared" si="0"/>
        <v/>
      </c>
    </row>
    <row r="14" spans="2:9">
      <c r="B14" s="100" t="s">
        <v>66</v>
      </c>
      <c r="C14" s="159">
        <f ca="1">(Normalized_FCF!G19/OFFSET(Normalized_FCF!G19, 0, $C$4))^(1/$C$4) - 1</f>
        <v>0.22962169479662209</v>
      </c>
      <c r="E14" s="360"/>
      <c r="F14" s="360"/>
    </row>
    <row r="16" spans="2:9" ht="13.9">
      <c r="B16" s="36" t="s">
        <v>163</v>
      </c>
      <c r="C16" s="37"/>
      <c r="D16" s="37"/>
      <c r="E16" s="37"/>
      <c r="F16" s="37"/>
    </row>
    <row r="17" spans="2:6" ht="13.15">
      <c r="B17" s="109" t="s">
        <v>152</v>
      </c>
      <c r="E17" s="160" t="s">
        <v>330</v>
      </c>
    </row>
    <row r="18" spans="2:6">
      <c r="B18" s="153" t="s">
        <v>134</v>
      </c>
      <c r="C18" s="151">
        <v>10</v>
      </c>
      <c r="E18" s="360" t="s">
        <v>331</v>
      </c>
      <c r="F18" s="361"/>
    </row>
    <row r="19" spans="2:6">
      <c r="E19" s="361"/>
      <c r="F19" s="361"/>
    </row>
    <row r="20" spans="2:6" ht="13.15">
      <c r="B20" s="160" t="s">
        <v>304</v>
      </c>
      <c r="E20" s="361"/>
      <c r="F20" s="361"/>
    </row>
    <row r="21" spans="2:6">
      <c r="B21" s="100" t="s">
        <v>278</v>
      </c>
      <c r="C21" s="161">
        <f>Market_Price</f>
        <v>17.239999999999998</v>
      </c>
      <c r="D21" t="str">
        <f>Market_currency</f>
        <v>HKD</v>
      </c>
      <c r="E21" s="361"/>
      <c r="F21" s="361"/>
    </row>
    <row r="22" spans="2:6">
      <c r="B22" s="100" t="s">
        <v>279</v>
      </c>
      <c r="C22" s="161">
        <f>IF(valuation_method="DCF",DCF!C12,DDM!C7)</f>
        <v>25.944000372833873</v>
      </c>
      <c r="D22" t="str">
        <f>Market_currency</f>
        <v>HKD</v>
      </c>
      <c r="E22" s="361"/>
      <c r="F22" s="361"/>
    </row>
    <row r="24" spans="2:6" ht="13.15">
      <c r="B24" s="160" t="s">
        <v>116</v>
      </c>
      <c r="E24" s="160" t="s">
        <v>150</v>
      </c>
      <c r="F24" s="160"/>
    </row>
    <row r="25" spans="2:6">
      <c r="B25" s="153" t="s">
        <v>134</v>
      </c>
      <c r="C25" s="167">
        <f>C18</f>
        <v>10</v>
      </c>
      <c r="D25" s="164"/>
      <c r="E25" s="359"/>
      <c r="F25" s="359"/>
    </row>
    <row r="26" spans="2:6">
      <c r="B26" s="119" t="s">
        <v>135</v>
      </c>
      <c r="C26" s="165">
        <v>0.02</v>
      </c>
      <c r="D26" s="165"/>
      <c r="E26" s="359"/>
      <c r="F26" s="359"/>
    </row>
    <row r="27" spans="2:6">
      <c r="B27" s="100" t="s">
        <v>114</v>
      </c>
      <c r="C27" s="161">
        <f>IF(valuation_method="DCF",DCF!E76,DDM!E71)</f>
        <v>27.598388143948494</v>
      </c>
      <c r="D27" s="161" t="str">
        <f>Market_currency</f>
        <v>HKD</v>
      </c>
      <c r="E27" s="359"/>
      <c r="F27" s="359"/>
    </row>
    <row r="28" spans="2:6">
      <c r="B28" s="100" t="s">
        <v>148</v>
      </c>
      <c r="C28" s="166">
        <v>0.6</v>
      </c>
      <c r="D28" s="166"/>
      <c r="E28" s="359"/>
      <c r="F28" s="359"/>
    </row>
    <row r="30" spans="2:6" ht="13.15">
      <c r="B30" s="160" t="s">
        <v>117</v>
      </c>
      <c r="E30" s="160" t="s">
        <v>150</v>
      </c>
      <c r="F30" s="160"/>
    </row>
    <row r="31" spans="2:6">
      <c r="B31" s="153" t="s">
        <v>134</v>
      </c>
      <c r="C31" s="167">
        <f>C18</f>
        <v>10</v>
      </c>
      <c r="D31" s="164"/>
      <c r="E31" s="359"/>
      <c r="F31" s="359"/>
    </row>
    <row r="32" spans="2:6">
      <c r="B32" s="119" t="s">
        <v>135</v>
      </c>
      <c r="C32" s="165">
        <v>0</v>
      </c>
      <c r="D32" s="165"/>
      <c r="E32" s="359"/>
      <c r="F32" s="359"/>
    </row>
    <row r="33" spans="2:6">
      <c r="B33" s="100" t="s">
        <v>114</v>
      </c>
      <c r="C33" s="161">
        <f>IF(valuation_method="DCF",DCF!E77,DDM!E72)</f>
        <v>25.944000372833859</v>
      </c>
      <c r="D33" t="str">
        <f>Market_currency</f>
        <v>HKD</v>
      </c>
      <c r="E33" s="359"/>
      <c r="F33" s="359"/>
    </row>
    <row r="34" spans="2:6">
      <c r="B34" s="100" t="s">
        <v>148</v>
      </c>
      <c r="C34" s="166">
        <v>0.2</v>
      </c>
      <c r="D34" s="166"/>
      <c r="E34" s="359"/>
      <c r="F34" s="359"/>
    </row>
    <row r="36" spans="2:6" ht="13.15">
      <c r="B36" s="160" t="s">
        <v>115</v>
      </c>
      <c r="E36" s="160" t="s">
        <v>150</v>
      </c>
      <c r="F36" s="160"/>
    </row>
    <row r="37" spans="2:6">
      <c r="B37" s="153" t="s">
        <v>134</v>
      </c>
      <c r="C37" s="167">
        <f>C18</f>
        <v>10</v>
      </c>
      <c r="D37" s="164"/>
      <c r="E37" s="359"/>
      <c r="F37" s="359"/>
    </row>
    <row r="38" spans="2:6">
      <c r="B38" s="119" t="s">
        <v>135</v>
      </c>
      <c r="C38" s="165">
        <v>0.03</v>
      </c>
      <c r="D38" s="165"/>
      <c r="E38" s="359"/>
      <c r="F38" s="359"/>
    </row>
    <row r="39" spans="2:6">
      <c r="B39" s="100" t="s">
        <v>114</v>
      </c>
      <c r="C39" s="161">
        <f>IF(valuation_method="DCF",DCF!E75,DDM!E70)</f>
        <v>28.486571722713233</v>
      </c>
      <c r="D39" t="str">
        <f>Market_currency</f>
        <v>HKD</v>
      </c>
      <c r="E39" s="359"/>
      <c r="F39" s="359"/>
    </row>
    <row r="40" spans="2:6">
      <c r="B40" s="100" t="s">
        <v>148</v>
      </c>
      <c r="C40" s="168">
        <f>1-C28-C34</f>
        <v>0.2</v>
      </c>
      <c r="D40" s="166"/>
      <c r="E40" s="359"/>
      <c r="F40" s="359"/>
    </row>
    <row r="42" spans="2:6" ht="13.15">
      <c r="B42" s="100" t="s">
        <v>121</v>
      </c>
      <c r="C42" s="155">
        <f>C27*C28+C33*C34+C39*C40</f>
        <v>27.445147305478514</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9"/>
      <c r="F49" s="359"/>
    </row>
    <row r="50" spans="2:6">
      <c r="B50" s="119" t="s">
        <v>135</v>
      </c>
      <c r="C50" s="165">
        <v>0</v>
      </c>
      <c r="D50" s="165"/>
      <c r="E50" s="359"/>
      <c r="F50" s="359"/>
    </row>
    <row r="51" spans="2:6">
      <c r="B51" s="100" t="s">
        <v>114</v>
      </c>
      <c r="C51" s="161">
        <f>IF(valuation_method="DCF",DCF!E78,DDM!E73)</f>
        <v>25.944000372833852</v>
      </c>
      <c r="D51" t="str">
        <f>Market_currency</f>
        <v>HKD</v>
      </c>
      <c r="E51" s="359"/>
      <c r="F51" s="359"/>
    </row>
    <row r="52" spans="2:6">
      <c r="B52" s="100" t="s">
        <v>148</v>
      </c>
      <c r="C52" s="166">
        <v>0.05</v>
      </c>
      <c r="D52" s="166"/>
      <c r="E52" s="359"/>
      <c r="F52" s="359"/>
    </row>
    <row r="54" spans="2:6" ht="13.15">
      <c r="B54" s="160" t="s">
        <v>317</v>
      </c>
      <c r="E54" s="160" t="s">
        <v>150</v>
      </c>
      <c r="F54" s="160"/>
    </row>
    <row r="55" spans="2:6">
      <c r="B55" s="153" t="s">
        <v>134</v>
      </c>
      <c r="C55" s="167">
        <f>C46</f>
        <v>15</v>
      </c>
      <c r="D55" s="164"/>
      <c r="E55" s="359"/>
      <c r="F55" s="359"/>
    </row>
    <row r="56" spans="2:6">
      <c r="B56" s="119" t="s">
        <v>135</v>
      </c>
      <c r="C56" s="165">
        <v>0.04</v>
      </c>
      <c r="D56" s="165"/>
      <c r="E56" s="359"/>
      <c r="F56" s="359"/>
    </row>
    <row r="57" spans="2:6">
      <c r="B57" s="100" t="s">
        <v>114</v>
      </c>
      <c r="C57" s="161">
        <f>IF(valuation_method="DCF",DCF!E74,DDM!E69)</f>
        <v>31.760166009194872</v>
      </c>
      <c r="D57" t="str">
        <f>Market_currency</f>
        <v>HKD</v>
      </c>
      <c r="E57" s="359"/>
      <c r="F57" s="359"/>
    </row>
    <row r="58" spans="2:6">
      <c r="B58" s="100" t="s">
        <v>148</v>
      </c>
      <c r="C58" s="166">
        <v>0.05</v>
      </c>
      <c r="D58" s="166"/>
      <c r="E58" s="359"/>
      <c r="F58" s="359"/>
    </row>
    <row r="60" spans="2:6" ht="13.15">
      <c r="B60" s="100" t="s">
        <v>121</v>
      </c>
      <c r="C60" s="155">
        <f>C51*C52+C57*C58+C42*(1-C52-C58)</f>
        <v>27.585840894032099</v>
      </c>
      <c r="D60" t="str">
        <f>Market_currency</f>
        <v>HKD</v>
      </c>
      <c r="E60" s="100" t="s">
        <v>297</v>
      </c>
      <c r="F60" s="306">
        <f>Thesis!F28</f>
        <v>3</v>
      </c>
    </row>
    <row r="62" spans="2:6" ht="13.9">
      <c r="B62" s="36" t="s">
        <v>350</v>
      </c>
      <c r="C62" s="37"/>
      <c r="D62" s="37"/>
      <c r="E62" s="37"/>
      <c r="F62" s="37"/>
    </row>
    <row r="63" spans="2:6" ht="13.15">
      <c r="B63" s="109" t="s">
        <v>305</v>
      </c>
      <c r="E63" s="278" t="s">
        <v>312</v>
      </c>
    </row>
    <row r="64" spans="2:6">
      <c r="B64" s="153" t="s">
        <v>134</v>
      </c>
      <c r="C64" s="167">
        <f>C18</f>
        <v>10</v>
      </c>
      <c r="D64" s="151"/>
      <c r="E64" s="277" t="s">
        <v>396</v>
      </c>
    </row>
    <row r="65" spans="2:6">
      <c r="B65" s="119" t="s">
        <v>135</v>
      </c>
      <c r="C65" s="152">
        <v>1.98435191985455E-2</v>
      </c>
      <c r="D65" s="152"/>
      <c r="E65" s="277" t="s">
        <v>313</v>
      </c>
    </row>
    <row r="66" spans="2:6">
      <c r="B66" s="100" t="s">
        <v>103</v>
      </c>
      <c r="C66" s="161">
        <f>IF(valuation_method="DCF",DCF!C18,DDM!C13)</f>
        <v>27.584825058794923</v>
      </c>
      <c r="D66" s="161" t="str">
        <f>Market_currency</f>
        <v>HKD</v>
      </c>
      <c r="E66" s="277" t="s">
        <v>314</v>
      </c>
    </row>
    <row r="68" spans="2:6" ht="13.15">
      <c r="B68" s="109" t="s">
        <v>351</v>
      </c>
      <c r="E68" s="278" t="s">
        <v>315</v>
      </c>
    </row>
    <row r="69" spans="2:6">
      <c r="B69" s="100" t="s">
        <v>306</v>
      </c>
      <c r="C69" s="270" t="str">
        <f>IF(C60&lt;C22,"Y","N")</f>
        <v>N</v>
      </c>
      <c r="E69" s="135"/>
    </row>
    <row r="70" spans="2:6">
      <c r="B70" s="100" t="s">
        <v>294</v>
      </c>
      <c r="C70" s="270" t="str">
        <f>IF(C69="Y","N",IF(C65&gt;8%,"N","Y"))</f>
        <v>Y</v>
      </c>
      <c r="E70" s="277" t="s">
        <v>295</v>
      </c>
    </row>
    <row r="71" spans="2:6">
      <c r="B71" s="100" t="s">
        <v>293</v>
      </c>
      <c r="C71" s="270" t="str">
        <f>IF(C65&gt;8%,"Y","N")</f>
        <v>N</v>
      </c>
      <c r="E71" s="277"/>
    </row>
    <row r="72" spans="2:6">
      <c r="B72" s="100" t="s">
        <v>285</v>
      </c>
      <c r="C72" s="269" t="str">
        <f>IF(F72&gt;50%,"Y","N")</f>
        <v>N</v>
      </c>
      <c r="E72" s="135" t="s">
        <v>347</v>
      </c>
      <c r="F72" s="323">
        <f>BS!D89/C60</f>
        <v>1.15453077059916E-2</v>
      </c>
    </row>
    <row r="74" spans="2:6" ht="13.9">
      <c r="B74" s="36" t="s">
        <v>128</v>
      </c>
      <c r="C74" s="37"/>
      <c r="D74" s="37"/>
      <c r="E74" s="37"/>
      <c r="F74" s="37"/>
    </row>
    <row r="75" spans="2:6" ht="13.15">
      <c r="B75" s="109" t="s">
        <v>126</v>
      </c>
    </row>
    <row r="76" spans="2:6">
      <c r="B76" s="272" t="s">
        <v>298</v>
      </c>
      <c r="C76" s="271">
        <f>F60</f>
        <v>3</v>
      </c>
      <c r="D76" s="135"/>
    </row>
    <row r="77" spans="2:6">
      <c r="B77" s="100" t="s">
        <v>112</v>
      </c>
      <c r="C77" s="174">
        <f>Normalized_FCF!C90</f>
        <v>1.4</v>
      </c>
      <c r="D77" t="str">
        <f>Market_currency</f>
        <v>HKD</v>
      </c>
    </row>
    <row r="79" spans="2:6" ht="13.15">
      <c r="B79" s="109" t="s">
        <v>302</v>
      </c>
    </row>
    <row r="80" spans="2:6">
      <c r="B80" s="149" t="s">
        <v>300</v>
      </c>
      <c r="C80" s="168">
        <f>Thesis!F29</f>
        <v>0.4</v>
      </c>
    </row>
    <row r="81" spans="2:8">
      <c r="B81" s="100" t="s">
        <v>122</v>
      </c>
      <c r="C81" s="117">
        <f>PV(C80, C76, -C77, 0)</f>
        <v>2.2244897959183665</v>
      </c>
      <c r="D81" s="117"/>
      <c r="E81" s="100"/>
      <c r="F81" s="100"/>
    </row>
    <row r="82" spans="2:8">
      <c r="B82" s="100" t="s">
        <v>123</v>
      </c>
      <c r="C82" s="117">
        <f>C60/(1+C80)^C76</f>
        <v>10.053149013860097</v>
      </c>
      <c r="D82" s="117"/>
    </row>
    <row r="83" spans="2:8" ht="13.15">
      <c r="B83" s="111" t="s">
        <v>102</v>
      </c>
      <c r="C83" s="112">
        <f>C81+C82</f>
        <v>12.277638809778463</v>
      </c>
      <c r="D83" t="str">
        <f>Market_currency</f>
        <v>HKD</v>
      </c>
      <c r="E83" s="147" t="s">
        <v>127</v>
      </c>
      <c r="F83" s="323">
        <f>(1-C83/C60)</f>
        <v>0.55492968813451693</v>
      </c>
    </row>
    <row r="84" spans="2:8">
      <c r="E84" s="121"/>
    </row>
    <row r="85" spans="2:8" ht="13.15">
      <c r="B85" s="109" t="s">
        <v>303</v>
      </c>
    </row>
    <row r="86" spans="2:8">
      <c r="B86" s="149" t="s">
        <v>301</v>
      </c>
      <c r="C86" s="263">
        <f>Market_Price</f>
        <v>17.239999999999998</v>
      </c>
      <c r="D86" t="str">
        <f>Market_currency</f>
        <v>HKD</v>
      </c>
    </row>
    <row r="87" spans="2:8" ht="13.15">
      <c r="B87" s="100" t="s">
        <v>299</v>
      </c>
      <c r="C87" s="262">
        <f ca="1">IRR(OFFSET($I$3, 0, 0, $C$76 + 1, 1))</f>
        <v>0.24005737138914962</v>
      </c>
    </row>
    <row r="88" spans="2:8">
      <c r="B88" s="100"/>
    </row>
    <row r="89" spans="2:8" ht="13.15">
      <c r="B89" s="109" t="s">
        <v>414</v>
      </c>
    </row>
    <row r="90" spans="2:8">
      <c r="B90" s="149" t="s">
        <v>415</v>
      </c>
      <c r="C90" s="168">
        <f>Thesis!F30</f>
        <v>0.21740000000000001</v>
      </c>
    </row>
    <row r="91" spans="2:8">
      <c r="B91" s="100" t="s">
        <v>122</v>
      </c>
      <c r="C91" s="117">
        <f>PV(C90, C76, -C77, 0)</f>
        <v>2.870561153410911</v>
      </c>
      <c r="D91" s="117"/>
      <c r="E91" s="100"/>
      <c r="F91" s="100"/>
    </row>
    <row r="92" spans="2:8">
      <c r="B92" s="100" t="s">
        <v>123</v>
      </c>
      <c r="C92" s="117">
        <f>C60/(1+C90)^C76</f>
        <v>15.289255377213331</v>
      </c>
      <c r="D92" s="117"/>
    </row>
    <row r="93" spans="2:8" ht="13.15">
      <c r="B93" s="111" t="s">
        <v>102</v>
      </c>
      <c r="C93" s="112">
        <f>C91+C92</f>
        <v>18.159816530624241</v>
      </c>
      <c r="D93" t="str">
        <f>Market_currency</f>
        <v>HKD</v>
      </c>
      <c r="E93" s="147" t="s">
        <v>127</v>
      </c>
      <c r="F93" s="323">
        <f>(1-C93/C60)</f>
        <v>0.3416979166818539</v>
      </c>
    </row>
    <row r="95" spans="2:8" ht="13.15">
      <c r="B95" s="109" t="s">
        <v>398</v>
      </c>
      <c r="G95" s="2"/>
      <c r="H95" s="310"/>
    </row>
    <row r="96" spans="2:8">
      <c r="B96" s="149" t="s">
        <v>404</v>
      </c>
      <c r="C96" s="135">
        <f>Thesis!F31</f>
        <v>0.08</v>
      </c>
      <c r="G96" s="2"/>
      <c r="H96" s="310"/>
    </row>
    <row r="97" spans="2:8">
      <c r="B97" s="100" t="s">
        <v>122</v>
      </c>
      <c r="C97" s="117">
        <f>PV(C96, C76, -C77, 0)</f>
        <v>3.6079357821470319</v>
      </c>
      <c r="D97" s="117"/>
      <c r="G97" s="2"/>
      <c r="H97" s="310"/>
    </row>
    <row r="98" spans="2:8">
      <c r="B98" s="100" t="s">
        <v>123</v>
      </c>
      <c r="C98" s="117">
        <f>C60/(1+C96)^C76</f>
        <v>21.89852989733534</v>
      </c>
      <c r="D98" s="117"/>
      <c r="G98" s="2"/>
      <c r="H98" s="310"/>
    </row>
    <row r="99" spans="2:8" ht="13.15">
      <c r="B99" s="111" t="s">
        <v>399</v>
      </c>
      <c r="C99" s="112">
        <f>C97+C98</f>
        <v>25.506465679482371</v>
      </c>
      <c r="D99" t="s">
        <v>397</v>
      </c>
      <c r="E99" s="147" t="s">
        <v>127</v>
      </c>
      <c r="F99" s="323">
        <f>(1-C99/C60)</f>
        <v>7.5378351616592454E-2</v>
      </c>
    </row>
    <row r="100" spans="2:8">
      <c r="B100" s="100"/>
    </row>
    <row r="101" spans="2:8" ht="13.15">
      <c r="B101" s="109" t="s">
        <v>424</v>
      </c>
    </row>
    <row r="102" spans="2:8">
      <c r="B102" s="149" t="s">
        <v>423</v>
      </c>
      <c r="C102" s="135">
        <f>Thesis!F32</f>
        <v>0.1174</v>
      </c>
    </row>
    <row r="103" spans="2:8">
      <c r="B103" s="100" t="s">
        <v>122</v>
      </c>
      <c r="C103" s="117">
        <f>PV(C102, C76, -C77, 0)</f>
        <v>3.3776443763141084</v>
      </c>
      <c r="D103" s="117"/>
    </row>
    <row r="104" spans="2:8">
      <c r="B104" s="100" t="s">
        <v>123</v>
      </c>
      <c r="C104" s="117">
        <f>C60/(1+C102)^C76</f>
        <v>19.77243816085026</v>
      </c>
      <c r="D104" s="117"/>
    </row>
    <row r="105" spans="2:8" ht="13.15">
      <c r="B105" s="111" t="s">
        <v>399</v>
      </c>
      <c r="C105" s="112">
        <f>C103+C104</f>
        <v>23.150082537164369</v>
      </c>
      <c r="D105" t="s">
        <v>397</v>
      </c>
      <c r="E105" s="147" t="s">
        <v>127</v>
      </c>
      <c r="F105" s="323">
        <f>(1-C105/C66)</f>
        <v>0.16076746951188714</v>
      </c>
    </row>
    <row r="106" spans="2:8">
      <c r="B106" s="100"/>
    </row>
    <row r="107" spans="2:8" ht="14.65">
      <c r="E107" s="314" t="s">
        <v>325</v>
      </c>
      <c r="F107" s="311"/>
    </row>
    <row r="108" spans="2:8" ht="13.9">
      <c r="E108" s="307" t="s">
        <v>326</v>
      </c>
      <c r="F108" s="312" t="s">
        <v>327</v>
      </c>
    </row>
    <row r="109" spans="2:8" ht="13.9">
      <c r="E109" s="308" t="s">
        <v>326</v>
      </c>
      <c r="F109" s="312" t="s">
        <v>328</v>
      </c>
    </row>
    <row r="110" spans="2:8" ht="13.9">
      <c r="E110" s="309" t="s">
        <v>326</v>
      </c>
      <c r="F110" s="313"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2025-05-18T13:26:48Z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