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DB137D-FB46-403C-833C-19F58A1B0FE8}"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<sst xmlns="http://schemas.openxmlformats.org/spreadsheetml/2006/main" count="767" uniqueCount="557">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</sst>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18.93</v>
      </c>
      <c r="E8" s="32"/>
    </row>
    <row r="9" spans="1:9">
      <c r="B9" s="4" t="s">
        <v>346</v>
      </c>
      <c r="C9" s="48">
        <f>44539953984+2990000000</f>
        <v>47529953984</v>
      </c>
    </row>
    <row r="10" spans="1:9">
      <c r="B10" s="4" t="s">
        <v>352</v>
      </c>
      <c r="C10" s="33">
        <f>Thesis!C8*Common_Shares/1000000</f>
        <v>899742.02891711995</v>
      </c>
      <c r="D10" s="1" t="s">
        <v>531</v>
      </c>
      <c r="E10" s="310">
        <f>Scenarios!F34</f>
        <v>0.20671765392664629</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1.0934131499999999</v>
      </c>
    </row>
    <row r="17" spans="1:6">
      <c r="B17" s="1" t="s">
        <v>535</v>
      </c>
      <c r="C17" s="423">
        <v>0</v>
      </c>
      <c r="D17" s="4" t="s">
        <v>274</v>
      </c>
      <c r="E17" s="227" t="s">
        <v>546</v>
      </c>
    </row>
    <row r="18" spans="1:6">
      <c r="B18" s="1" t="str">
        <f>"Expected Equity Value ("&amp;C7&amp;") :"</f>
        <v>Expected Equity Value (HKD) :</v>
      </c>
      <c r="C18" s="258">
        <f>C125</f>
        <v>24.784786460977905</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2</v>
      </c>
    </row>
    <row r="22" spans="1:6">
      <c r="B22" s="1" t="s">
        <v>312</v>
      </c>
      <c r="C22" s="261">
        <f>E140</f>
        <v>15.22402549299199</v>
      </c>
      <c r="D22" s="38" t="s">
        <v>408</v>
      </c>
      <c r="E22" s="79">
        <v>0.35</v>
      </c>
    </row>
    <row r="23" spans="1:6">
      <c r="B23" s="1" t="s">
        <v>313</v>
      </c>
      <c r="C23" s="262">
        <f>E141</f>
        <v>17.676663335025861</v>
      </c>
      <c r="D23" s="38" t="s">
        <v>409</v>
      </c>
      <c r="E23" s="451">
        <v>0.25</v>
      </c>
    </row>
    <row r="24" spans="1:6">
      <c r="B24" s="1" t="s">
        <v>315</v>
      </c>
      <c r="C24" s="262">
        <f>E144</f>
        <v>21.987097163649693</v>
      </c>
      <c r="D24" s="38" t="s">
        <v>410</v>
      </c>
      <c r="E24" s="451">
        <v>0.1174</v>
      </c>
    </row>
    <row r="25" spans="1:6">
      <c r="B25" s="1" t="s">
        <v>314</v>
      </c>
      <c r="C25" s="262">
        <f>E145</f>
        <v>23.817420214824224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137124.09035259794</v>
      </c>
      <c r="D34" s="1" t="str">
        <f>Reporting_currency</f>
        <v>CNY</v>
      </c>
    </row>
    <row r="35" spans="2:6">
      <c r="B35" s="44"/>
      <c r="C35" s="73"/>
    </row>
    <row r="36" spans="2:6" ht="24.5" customHeight="1">
      <c r="B36" s="460" t="s">
        <v>198</v>
      </c>
      <c r="C36" s="460"/>
      <c r="D36" s="460"/>
      <c r="E36" s="460"/>
      <c r="F36" s="460"/>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0" t="s">
        <v>201</v>
      </c>
      <c r="C40" s="460"/>
      <c r="D40" s="460"/>
      <c r="E40" s="460"/>
      <c r="F40" s="460"/>
    </row>
    <row r="41" spans="2:6">
      <c r="B41" s="44" t="s">
        <v>202</v>
      </c>
      <c r="C41" s="292">
        <f>Normalized_FCF!C9</f>
        <v>1836</v>
      </c>
      <c r="D41" s="1" t="str">
        <f>Reporting_currency</f>
        <v>CNY</v>
      </c>
    </row>
    <row r="43" spans="2:6">
      <c r="B43" s="460" t="s">
        <v>205</v>
      </c>
      <c r="C43" s="460"/>
      <c r="D43" s="460"/>
      <c r="E43" s="460"/>
      <c r="F43" s="460"/>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0" t="s">
        <v>206</v>
      </c>
      <c r="C51" s="460"/>
      <c r="D51" s="460"/>
      <c r="E51" s="460"/>
      <c r="F51" s="460"/>
    </row>
    <row r="52" spans="2:6">
      <c r="B52" s="44" t="s">
        <v>204</v>
      </c>
      <c r="C52" s="292">
        <f>Normalized_FCF!C12</f>
        <v>-33987.291088149483</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0.12360690028331171</v>
      </c>
      <c r="F62" s="263"/>
    </row>
    <row r="63" spans="2:6">
      <c r="B63" s="206" t="s">
        <v>332</v>
      </c>
      <c r="C63" s="89">
        <f>Normalized_FCF!C92</f>
        <v>6.6561014263074481E-2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-72545</v>
      </c>
      <c r="D78" s="1" t="str">
        <f>Reporting_currency</f>
        <v>CNY</v>
      </c>
    </row>
    <row r="79" spans="1:6">
      <c r="A79" s="191"/>
      <c r="B79" s="44" t="s">
        <v>234</v>
      </c>
      <c r="C79" s="203">
        <f>C78*scaling_factor*Exchange_Rate/Common_Shares</f>
        <v>-1.6688772093794164</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0.12864237859052582</v>
      </c>
      <c r="D90" s="1" t="str">
        <f>Market_currency</f>
        <v>HKD</v>
      </c>
    </row>
    <row r="91" spans="1:6">
      <c r="A91" s="191"/>
    </row>
    <row r="92" spans="1:6">
      <c r="A92" s="191"/>
      <c r="B92" s="44" t="s">
        <v>472</v>
      </c>
      <c r="C92" s="219">
        <f>DCF!F8</f>
        <v>-1.5402348307888905</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0.44977557812835084</v>
      </c>
      <c r="D111" s="1" t="str">
        <f>Market_currency</f>
        <v>HKD</v>
      </c>
    </row>
    <row r="112" spans="2:6">
      <c r="B112" s="44" t="s">
        <v>323</v>
      </c>
      <c r="C112" s="219">
        <f>DCF!C11</f>
        <v>30.733953063874438</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33.34 HKD</v>
      </c>
      <c r="F118" s="211">
        <f>DCF!F82</f>
        <v>0.05</v>
      </c>
    </row>
    <row r="119" spans="2:6">
      <c r="B119" s="198" t="str">
        <f>DCF!B83</f>
        <v>Optimistic</v>
      </c>
      <c r="C119" s="199">
        <f>DCF!C83</f>
        <v>0.02</v>
      </c>
      <c r="D119" s="200">
        <f>DCF!D83</f>
        <v>5</v>
      </c>
      <c r="E119" s="210" t="str">
        <f>ROUND(DCF!E83,2)&amp;" "&amp;Market_currency</f>
        <v>30.45 HKD</v>
      </c>
      <c r="F119" s="201">
        <f>DCF!F83</f>
        <v>0.24000000000000002</v>
      </c>
    </row>
    <row r="120" spans="2:6">
      <c r="B120" s="198" t="str">
        <f>DCF!B84</f>
        <v>Base</v>
      </c>
      <c r="C120" s="199">
        <f>DCF!C84</f>
        <v>0.01</v>
      </c>
      <c r="D120" s="200">
        <f>DCF!D84</f>
        <v>5</v>
      </c>
      <c r="E120" s="210" t="str">
        <f>ROUND(DCF!E84,2)&amp;" "&amp;Market_currency</f>
        <v>29.08 HKD</v>
      </c>
      <c r="F120" s="201">
        <f>DCF!F84</f>
        <v>0.47999999999999993</v>
      </c>
    </row>
    <row r="121" spans="2:6">
      <c r="B121" s="198" t="str">
        <f>DCF!B85</f>
        <v>Pessimistic</v>
      </c>
      <c r="C121" s="199">
        <f>DCF!C85</f>
        <v>-0.05</v>
      </c>
      <c r="D121" s="200">
        <f>DCF!D85</f>
        <v>5</v>
      </c>
      <c r="E121" s="210" t="str">
        <f>ROUND(DCF!E85,2)&amp;" "&amp;Market_currency</f>
        <v>21.88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0" t="s">
        <v>357</v>
      </c>
      <c r="C124" s="460"/>
      <c r="D124" s="460"/>
      <c r="E124" s="460"/>
      <c r="F124" s="460"/>
    </row>
    <row r="125" spans="2:6">
      <c r="B125" s="193" t="s">
        <v>218</v>
      </c>
      <c r="C125" s="197">
        <f>Scenarios!C36</f>
        <v>24.784786460977905</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PV(2 yrs of Dividends)</v>
      </c>
      <c r="D139" s="347" t="s">
        <v>474</v>
      </c>
      <c r="E139" s="348" t="str">
        <f>"Buy below ("&amp;Market_currency&amp;")"</f>
        <v>Buy below (HKD)</v>
      </c>
      <c r="F139" s="348" t="s">
        <v>475</v>
      </c>
    </row>
    <row r="140" spans="1:6">
      <c r="B140" s="343" t="s">
        <v>312</v>
      </c>
      <c r="C140" s="340">
        <f>Scenarios!C62</f>
        <v>1.6246913580246918</v>
      </c>
      <c r="D140" s="340">
        <f>Scenarios!D62</f>
        <v>13.599334134967298</v>
      </c>
      <c r="E140" s="341">
        <f>Scenarios!E62</f>
        <v>15.22402549299199</v>
      </c>
      <c r="F140" s="342">
        <f>E22</f>
        <v>0.35</v>
      </c>
    </row>
    <row r="141" spans="1:6">
      <c r="B141" s="343" t="s">
        <v>313</v>
      </c>
      <c r="C141" s="340">
        <f>Scenarios!C63</f>
        <v>1.8144</v>
      </c>
      <c r="D141" s="340">
        <f>Scenarios!D63</f>
        <v>15.86226333502586</v>
      </c>
      <c r="E141" s="341">
        <f>Scenarios!E63</f>
        <v>17.676663335025861</v>
      </c>
      <c r="F141" s="342">
        <f>Scenarios!F63</f>
        <v>0.25</v>
      </c>
    </row>
    <row r="142" spans="1:6">
      <c r="B142" s="194"/>
      <c r="C142" s="194"/>
      <c r="D142" s="194"/>
      <c r="E142" s="194"/>
      <c r="F142" s="194"/>
    </row>
    <row r="143" spans="1:6" ht="12.4">
      <c r="B143" s="347" t="s">
        <v>466</v>
      </c>
      <c r="C143" s="347" t="str">
        <f>"PV("&amp;Holding_Period&amp;" yrs of Dividends)"</f>
        <v>PV(2 yrs of Dividends)</v>
      </c>
      <c r="D143" s="347" t="s">
        <v>474</v>
      </c>
      <c r="E143" s="348" t="str">
        <f>"Sell above ("&amp;Market_currency&amp;")"</f>
        <v>Sell above (HKD)</v>
      </c>
      <c r="F143" s="348" t="s">
        <v>475</v>
      </c>
    </row>
    <row r="144" spans="1:6">
      <c r="B144" s="343" t="s">
        <v>315</v>
      </c>
      <c r="C144" s="340">
        <f>Scenarios!C66</f>
        <v>2.1367618434840465</v>
      </c>
      <c r="D144" s="340">
        <f>Scenarios!D66</f>
        <v>19.850335320165648</v>
      </c>
      <c r="E144" s="341">
        <f>Scenarios!E66</f>
        <v>21.987097163649693</v>
      </c>
      <c r="F144" s="342">
        <f>E24</f>
        <v>0.1174</v>
      </c>
    </row>
    <row r="145" spans="1:6">
      <c r="B145" s="343" t="s">
        <v>314</v>
      </c>
      <c r="C145" s="340">
        <f>Scenarios!C67</f>
        <v>2.270233263240256</v>
      </c>
      <c r="D145" s="340">
        <f>Scenarios!D67</f>
        <v>21.547186951583967</v>
      </c>
      <c r="E145" s="341">
        <f>Scenarios!E67</f>
        <v>23.817420214824224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18.092473927992433</v>
      </c>
      <c r="D47" s="134">
        <f>D46*H1/Common_Shares*Exchange_Rate</f>
        <v>0.44977557812835084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79321.656966750001</v>
      </c>
      <c r="D86" s="203">
        <f>C86*scaling_factor/Common_Shares</f>
        <v>1.6688772093794164</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6114.3663348</v>
      </c>
      <c r="D88" s="203">
        <f>C88*scaling_factor/Common_Shares</f>
        <v>0.12864237859052585</v>
      </c>
      <c r="E88" s="217" t="str">
        <f>Market_currency</f>
        <v>HKD</v>
      </c>
    </row>
    <row r="89" spans="2:8" ht="15" customHeight="1">
      <c r="B89" s="77" t="s">
        <v>244</v>
      </c>
      <c r="C89" s="162">
        <f>SUM(C86:C88)</f>
        <v>85436.023301549998</v>
      </c>
      <c r="D89" s="219">
        <f>SUM(D86:D88)</f>
        <v>1.7975195879699424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6.6561014263074481E-2</v>
      </c>
      <c r="E92" s="241"/>
      <c r="G92" s="22">
        <f t="shared" ref="G92:Q92" si="38">IF(G$4="","",(G88*(1-dividend_tax_rate))/Market_Price)</f>
        <v>6.6561014263074481E-2</v>
      </c>
      <c r="H92" s="22">
        <f t="shared" si="38"/>
        <v>5.9429477020602223E-2</v>
      </c>
      <c r="I92" s="22">
        <f t="shared" si="38"/>
        <v>6.8938193343898571E-2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2.339878622363091</v>
      </c>
      <c r="D123" s="26"/>
      <c r="E123" s="238"/>
      <c r="F123" s="26"/>
      <c r="G123" s="159">
        <f t="shared" ref="G123:Q123" si="48">IF(G$4="","",G14*$C$3/Common_Shares*Exchange_Rate)</f>
        <v>3.3207769374641605</v>
      </c>
      <c r="H123" s="159">
        <f t="shared" si="48"/>
        <v>2.9112009524094895</v>
      </c>
      <c r="I123" s="159">
        <f t="shared" si="48"/>
        <v>3.2818529559593017</v>
      </c>
      <c r="J123" s="159">
        <f t="shared" si="48"/>
        <v>1.7692927999637593</v>
      </c>
      <c r="K123" s="159">
        <f t="shared" si="48"/>
        <v>0.66537443276252561</v>
      </c>
      <c r="L123" s="159">
        <f t="shared" si="48"/>
        <v>1.3960004414995077</v>
      </c>
      <c r="M123" s="159">
        <f t="shared" si="48"/>
        <v>1.181499507698017</v>
      </c>
      <c r="N123" s="159">
        <f t="shared" si="48"/>
        <v>6.8866461319926024</v>
      </c>
      <c r="O123" s="159">
        <f t="shared" si="48"/>
        <v>6.4776682695851688</v>
      </c>
      <c r="P123" s="159">
        <f t="shared" si="48"/>
        <v>6.5242988313525139</v>
      </c>
      <c r="Q123" s="159" t="str">
        <f t="shared" si="48"/>
        <v/>
      </c>
    </row>
    <row r="124" spans="1:17" ht="15.75" customHeight="1">
      <c r="A124" s="10"/>
      <c r="B124" s="26" t="s">
        <v>226</v>
      </c>
      <c r="C124" s="74">
        <f>C19*Exchange_Rate*$C$3/(Market_Price*Common_Shares)</f>
        <v>0.12360690028331171</v>
      </c>
      <c r="D124" s="26"/>
      <c r="E124" s="238"/>
      <c r="F124" s="26"/>
      <c r="G124" s="74">
        <f t="shared" ref="G124" si="49">IF(G$4="","",G123/Market_Price)</f>
        <v>0.17542403261828635</v>
      </c>
      <c r="H124" s="74">
        <f t="shared" ref="H124" si="50">IF(H$4="","",H123/Market_Price)</f>
        <v>0.1537876889809556</v>
      </c>
      <c r="I124" s="74">
        <f t="shared" ref="I124" si="51">IF(I$4="","",I123/Market_Price)</f>
        <v>0.17336782651660337</v>
      </c>
      <c r="J124" s="74">
        <f t="shared" ref="J124" si="52">IF(J$4="","",J123/Market_Price)</f>
        <v>9.3465018487256177E-2</v>
      </c>
      <c r="K124" s="74">
        <f t="shared" ref="K124" si="53">IF(K$4="","",K123/Market_Price)</f>
        <v>3.5149204055072672E-2</v>
      </c>
      <c r="L124" s="74">
        <f t="shared" ref="L124" si="54">IF(L$4="","",L123/Market_Price)</f>
        <v>7.3745401030084937E-2</v>
      </c>
      <c r="M124" s="74">
        <f t="shared" ref="M124" si="55">IF(M$4="","",M123/Market_Price)</f>
        <v>6.241413141563746E-2</v>
      </c>
      <c r="N124" s="74">
        <f t="shared" ref="N124" si="56">IF(N$4="","",N123/Market_Price)</f>
        <v>0.36379535826690979</v>
      </c>
      <c r="O124" s="74">
        <f t="shared" ref="O124" si="57">IF(O$4="","",O123/Market_Price)</f>
        <v>0.34219061117724081</v>
      </c>
      <c r="P124" s="74">
        <f t="shared" ref="P124" si="58">IF(P$4="","",P123/Market_Price)</f>
        <v>0.34465392664302769</v>
      </c>
      <c r="Q124" s="74" t="str">
        <f t="shared" ref="Q124" si="59">IF(Q$4="","",Q123/Market_Price)</f>
        <v/>
      </c>
    </row>
    <row r="125" spans="1:17" ht="15.75" customHeight="1">
      <c r="B125" s="2" t="s">
        <v>306</v>
      </c>
      <c r="C125" s="151"/>
      <c r="G125" s="22">
        <f>IF(G$4="","",(Data!C47*$C$3)/(Market_Price*Common_Shares))</f>
        <v>0.15335729082931421</v>
      </c>
      <c r="H125" s="22">
        <f>IF(H$4="","",(Data!D47*$C$3)/(Market_Price*Common_Shares))</f>
        <v>0.1379173096419069</v>
      </c>
      <c r="I125" s="22">
        <f>IF(I$4="","",(Data!E47*$C$3)/(Market_Price*Common_Shares))</f>
        <v>0.15746402351629016</v>
      </c>
      <c r="J125" s="22">
        <f>IF(J$4="","",(Data!F47*$C$3)/(Market_Price*Common_Shares))</f>
        <v>7.8141286880437977E-2</v>
      </c>
      <c r="K125" s="22">
        <f>IF(K$4="","",(Data!G47*$C$3)/(Market_Price*Common_Shares))</f>
        <v>2.7736469563431718E-2</v>
      </c>
      <c r="L125" s="22">
        <f>IF(L$4="","",(Data!H47*$C$3)/(Market_Price*Common_Shares))</f>
        <v>6.7847735281935148E-2</v>
      </c>
      <c r="M125" s="22">
        <f>IF(M$4="","",(Data!I47*$C$3)/(Market_Price*Common_Shares))</f>
        <v>5.8544960229764041E-2</v>
      </c>
      <c r="N125" s="22">
        <f>IF(N$4="","",(Data!J47*$C$3)/(Market_Price*Common_Shares))</f>
        <v>7.8126838294529807E-2</v>
      </c>
      <c r="O125" s="22">
        <f>IF(O$4="","",(Data!K47*$C$3)/(Market_Price*Common_Shares))</f>
        <v>6.5763294475877448E-2</v>
      </c>
      <c r="P125" s="22">
        <f>IF(P$4="","",(Data!L47*$C$3)/(Market_Price*Common_Shares))</f>
        <v>4.8176031136579069E-2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-1.5402348307888905</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1460783.3748723678</v>
      </c>
      <c r="D10" t="str">
        <f>Market_currency</f>
        <v>HKD</v>
      </c>
      <c r="H10" s="315" t="s">
        <v>398</v>
      </c>
      <c r="I10" s="313">
        <f>Normalized_FCF!C41</f>
        <v>0.25</v>
      </c>
      <c r="N10" s="311"/>
      <c r="O10" s="311"/>
    </row>
    <row r="11" spans="2:15" ht="13.15">
      <c r="B11" s="136" t="s">
        <v>428</v>
      </c>
      <c r="C11" s="108">
        <f>(C10*scaling_factor)/Common_Shares</f>
        <v>30.733953063874438</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24.771669038503127</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30.733953063874438</v>
      </c>
      <c r="C69" s="119">
        <f>C11</f>
        <v>30.733953063874438</v>
      </c>
      <c r="D69" s="119">
        <f>C11</f>
        <v>30.733953063874438</v>
      </c>
      <c r="E69" s="119">
        <f>C11</f>
        <v>30.733953063874438</v>
      </c>
      <c r="F69" s="119">
        <f>C11</f>
        <v>30.733953063874438</v>
      </c>
      <c r="G69" s="303"/>
      <c r="H69" s="303"/>
      <c r="I69" s="303"/>
      <c r="J69" s="303"/>
      <c r="K69" s="303"/>
      <c r="L69" s="303"/>
    </row>
    <row r="70" spans="1:21" ht="13.15">
      <c r="A70" s="131">
        <f>A56</f>
        <v>5</v>
      </c>
      <c r="B70" s="119">
        <f t="shared" ref="B70:F74" si="11">(B56+FV_adjustments)/Common_Shares*scaling_factor*Exchange_Rate</f>
        <v>0.66387681263332554</v>
      </c>
      <c r="C70" s="119">
        <f t="shared" si="11"/>
        <v>21.87778132471794</v>
      </c>
      <c r="D70" s="119">
        <f t="shared" si="11"/>
        <v>29.08371643008357</v>
      </c>
      <c r="E70" s="119">
        <f t="shared" si="11"/>
        <v>30.449893478147111</v>
      </c>
      <c r="F70" s="119">
        <f t="shared" si="11"/>
        <v>33.336482238201071</v>
      </c>
      <c r="G70" s="303"/>
      <c r="H70" s="303"/>
      <c r="I70" s="303"/>
      <c r="J70" s="303"/>
      <c r="K70" s="303"/>
      <c r="L70" s="303"/>
    </row>
    <row r="71" spans="1:21" ht="13.15">
      <c r="A71" s="131">
        <v>6</v>
      </c>
      <c r="B71" s="119">
        <f t="shared" si="11"/>
        <v>0.338090655474099</v>
      </c>
      <c r="C71" s="119">
        <f t="shared" si="11"/>
        <v>21.071102546762134</v>
      </c>
      <c r="D71" s="119">
        <f t="shared" si="11"/>
        <v>29.302855326312564</v>
      </c>
      <c r="E71" s="119">
        <f t="shared" si="11"/>
        <v>30.9103021079939</v>
      </c>
      <c r="F71" s="119">
        <f t="shared" si="11"/>
        <v>34.351186042795035</v>
      </c>
      <c r="G71" s="303"/>
      <c r="H71" s="303"/>
      <c r="I71" s="303"/>
      <c r="J71" s="303"/>
      <c r="K71" s="303"/>
      <c r="L71" s="303"/>
    </row>
    <row r="72" spans="1:21" ht="13.15">
      <c r="A72" s="131">
        <f t="shared" ref="A72" si="12">A58</f>
        <v>7</v>
      </c>
      <c r="B72" s="119">
        <f t="shared" si="11"/>
        <v>0.18620899712480898</v>
      </c>
      <c r="C72" s="119">
        <f t="shared" si="11"/>
        <v>20.356561904283801</v>
      </c>
      <c r="D72" s="119">
        <f t="shared" si="11"/>
        <v>29.509223890593482</v>
      </c>
      <c r="E72" s="119">
        <f t="shared" si="11"/>
        <v>31.348173252463571</v>
      </c>
      <c r="F72" s="119">
        <f t="shared" si="11"/>
        <v>35.335141247249794</v>
      </c>
      <c r="G72" s="303"/>
      <c r="H72" s="303"/>
      <c r="I72" s="303"/>
      <c r="J72" s="303"/>
      <c r="K72" s="303"/>
      <c r="L72" s="303"/>
    </row>
    <row r="73" spans="1:21" ht="13.15">
      <c r="A73" s="131">
        <v>8</v>
      </c>
      <c r="B73" s="119">
        <f t="shared" si="11"/>
        <v>0.11540169719507004</v>
      </c>
      <c r="C73" s="119">
        <f t="shared" si="11"/>
        <v>19.723635461062901</v>
      </c>
      <c r="D73" s="119">
        <f t="shared" si="11"/>
        <v>29.703566314764792</v>
      </c>
      <c r="E73" s="119">
        <f t="shared" si="11"/>
        <v>31.764610145106051</v>
      </c>
      <c r="F73" s="119">
        <f t="shared" si="11"/>
        <v>36.289279627327119</v>
      </c>
      <c r="G73" s="303"/>
      <c r="H73" s="303"/>
      <c r="I73" s="303"/>
      <c r="J73" s="303"/>
      <c r="K73" s="303"/>
      <c r="L73" s="303"/>
    </row>
    <row r="74" spans="1:21" ht="13.15">
      <c r="A74" s="131">
        <f t="shared" ref="A74" si="13">A60</f>
        <v>9</v>
      </c>
      <c r="B74" s="119">
        <f t="shared" si="11"/>
        <v>8.2391300957429608E-2</v>
      </c>
      <c r="C74" s="119">
        <f t="shared" si="11"/>
        <v>19.163001315552542</v>
      </c>
      <c r="D74" s="119">
        <f t="shared" si="11"/>
        <v>29.8865834228422</v>
      </c>
      <c r="E74" s="119">
        <f t="shared" si="11"/>
        <v>32.160662015031761</v>
      </c>
      <c r="F74" s="119">
        <f t="shared" si="11"/>
        <v>37.214504723159671</v>
      </c>
      <c r="G74" s="303"/>
      <c r="H74" s="303"/>
      <c r="I74" s="303"/>
      <c r="J74" s="303"/>
      <c r="K74" s="303"/>
      <c r="L74" s="303"/>
    </row>
    <row r="75" spans="1:21" ht="13.15">
      <c r="A75" s="131">
        <f t="shared" ref="A75:A79" si="14">A61</f>
        <v>10</v>
      </c>
      <c r="B75" s="119">
        <f t="shared" ref="B75:F79" si="15">(B61+FV_adjustments)/Common_Shares*scaling_factor*Exchange_Rate</f>
        <v>6.70018388419793E-2</v>
      </c>
      <c r="C75" s="119">
        <f t="shared" si="15"/>
        <v>18.666402305543368</v>
      </c>
      <c r="D75" s="119">
        <f t="shared" si="15"/>
        <v>30.058935198281066</v>
      </c>
      <c r="E75" s="119">
        <f t="shared" si="15"/>
        <v>32.537326730485596</v>
      </c>
      <c r="F75" s="119">
        <f t="shared" si="15"/>
        <v>38.111692694876112</v>
      </c>
      <c r="G75" s="303"/>
      <c r="H75" s="303"/>
      <c r="I75" s="303"/>
      <c r="J75" s="303"/>
      <c r="K75" s="303"/>
      <c r="L75" s="303"/>
    </row>
    <row r="76" spans="1:21" ht="13.15">
      <c r="A76" s="131">
        <f t="shared" si="14"/>
        <v>15</v>
      </c>
      <c r="B76" s="119">
        <f t="shared" si="15"/>
        <v>5.3857253596420372E-2</v>
      </c>
      <c r="C76" s="119">
        <f t="shared" si="15"/>
        <v>16.915253356456965</v>
      </c>
      <c r="D76" s="119">
        <f t="shared" si="15"/>
        <v>30.781243182323326</v>
      </c>
      <c r="E76" s="119">
        <f t="shared" si="15"/>
        <v>34.161479780120075</v>
      </c>
      <c r="F76" s="119">
        <f t="shared" si="15"/>
        <v>42.205927153035027</v>
      </c>
      <c r="G76" s="303"/>
      <c r="H76" s="303"/>
      <c r="I76" s="303"/>
      <c r="J76" s="303"/>
      <c r="K76" s="303"/>
      <c r="L76" s="303"/>
    </row>
    <row r="77" spans="1:21" ht="13.15">
      <c r="A77" s="132">
        <f t="shared" si="14"/>
        <v>20</v>
      </c>
      <c r="B77" s="119">
        <f t="shared" si="15"/>
        <v>5.356777903497232E-2</v>
      </c>
      <c r="C77" s="119">
        <f t="shared" si="15"/>
        <v>15.96036057563704</v>
      </c>
      <c r="D77" s="119">
        <f t="shared" si="15"/>
        <v>31.316229629287957</v>
      </c>
      <c r="E77" s="119">
        <f t="shared" si="15"/>
        <v>35.425171984736387</v>
      </c>
      <c r="F77" s="119">
        <f t="shared" si="15"/>
        <v>45.716297209069737</v>
      </c>
      <c r="G77" s="303"/>
      <c r="H77" s="303"/>
      <c r="I77" s="303"/>
      <c r="J77" s="303"/>
      <c r="K77" s="303"/>
      <c r="L77" s="303"/>
    </row>
    <row r="78" spans="1:21" ht="13.15">
      <c r="A78" s="132">
        <f t="shared" si="14"/>
        <v>25</v>
      </c>
      <c r="B78" s="119">
        <f t="shared" si="15"/>
        <v>5.3561404126966E-2</v>
      </c>
      <c r="C78" s="119">
        <f t="shared" si="15"/>
        <v>15.439662308743332</v>
      </c>
      <c r="D78" s="119">
        <f t="shared" si="15"/>
        <v>31.712474035772448</v>
      </c>
      <c r="E78" s="119">
        <f t="shared" si="15"/>
        <v>36.408403206921619</v>
      </c>
      <c r="F78" s="119">
        <f t="shared" si="15"/>
        <v>48.726065715548081</v>
      </c>
      <c r="G78" s="303"/>
      <c r="H78" s="303"/>
      <c r="I78" s="303"/>
      <c r="J78" s="303"/>
      <c r="K78" s="303"/>
      <c r="L78" s="303"/>
    </row>
    <row r="79" spans="1:21" ht="13.15">
      <c r="A79" s="132">
        <f t="shared" si="14"/>
        <v>30</v>
      </c>
      <c r="B79" s="119">
        <f t="shared" si="15"/>
        <v>5.3561263736556605E-2</v>
      </c>
      <c r="C79" s="119">
        <f t="shared" si="15"/>
        <v>15.155728142947977</v>
      </c>
      <c r="D79" s="119">
        <f t="shared" si="15"/>
        <v>32.005957413830117</v>
      </c>
      <c r="E79" s="119">
        <f t="shared" si="15"/>
        <v>37.173418321162536</v>
      </c>
      <c r="F79" s="119">
        <f t="shared" si="15"/>
        <v>51.306621701950704</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33.336482238201071</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30.449893478147111</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29.08371643008357</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21.87778132471794</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0.66387681263332554</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30.449893478147111</v>
      </c>
      <c r="F22" s="335">
        <f>1-F23-F24</f>
        <v>0.30000000000000004</v>
      </c>
      <c r="G22" s="335">
        <f>F22*(1-F$29-F$30)</f>
        <v>0.24000000000000002</v>
      </c>
    </row>
    <row r="23" spans="2:7">
      <c r="B23" s="309" t="s">
        <v>440</v>
      </c>
      <c r="C23" s="331">
        <v>0.01</v>
      </c>
      <c r="D23" s="332">
        <f>C18</f>
        <v>5</v>
      </c>
      <c r="E23" s="333">
        <f>DCF!E84</f>
        <v>29.08371643008357</v>
      </c>
      <c r="F23" s="334">
        <v>0.6</v>
      </c>
      <c r="G23" s="335">
        <f t="shared" ref="G23:G24" si="0">F23*(1-F$29-F$30)</f>
        <v>0.47999999999999993</v>
      </c>
    </row>
    <row r="24" spans="2:7">
      <c r="B24" s="309" t="s">
        <v>449</v>
      </c>
      <c r="C24" s="331">
        <v>-0.05</v>
      </c>
      <c r="D24" s="332">
        <f>C18</f>
        <v>5</v>
      </c>
      <c r="E24" s="333">
        <f>DCF!E85</f>
        <v>21.87778132471794</v>
      </c>
      <c r="F24" s="334">
        <v>0.1</v>
      </c>
      <c r="G24" s="335">
        <f t="shared" si="0"/>
        <v>0.08</v>
      </c>
    </row>
    <row r="25" spans="2:7">
      <c r="B25" s="141" t="s">
        <v>454</v>
      </c>
      <c r="C25" s="449">
        <f>E23*F23+E24*F24+E22*F22</f>
        <v>28.772976033966067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33.336482238201071</v>
      </c>
      <c r="F29" s="334">
        <v>0.05</v>
      </c>
      <c r="G29" s="335">
        <f>F29</f>
        <v>0.05</v>
      </c>
    </row>
    <row r="30" spans="2:7">
      <c r="B30" s="322" t="s">
        <v>450</v>
      </c>
      <c r="C30" s="331">
        <v>-0.5</v>
      </c>
      <c r="D30" s="332">
        <f>C18</f>
        <v>5</v>
      </c>
      <c r="E30" s="333">
        <f>DCF!E86</f>
        <v>0.66387681263332554</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2</v>
      </c>
    </row>
    <row r="34" spans="2:7">
      <c r="B34" s="97" t="s">
        <v>233</v>
      </c>
      <c r="C34" s="146">
        <f>Market_Price</f>
        <v>18.93</v>
      </c>
      <c r="D34" t="str">
        <f>Market_currency</f>
        <v>HKD</v>
      </c>
      <c r="E34" s="97" t="s">
        <v>457</v>
      </c>
      <c r="F34" s="337">
        <f>RATE(Holding_Period,$C$33,-C34,$C$36)</f>
        <v>0.20671765392664629</v>
      </c>
    </row>
    <row r="35" spans="2:7">
      <c r="B35" s="97" t="s">
        <v>437</v>
      </c>
      <c r="C35" s="327">
        <f>DCF!C11</f>
        <v>30.733953063874438</v>
      </c>
      <c r="D35" s="97" t="str">
        <f>Market_currency</f>
        <v>HKD</v>
      </c>
      <c r="E35" s="97" t="s">
        <v>457</v>
      </c>
      <c r="F35" s="337">
        <f>RATE(Holding_Period,$C$33,-C35,$C$36)</f>
        <v>-5.8715233198262613E-2</v>
      </c>
    </row>
    <row r="36" spans="2:7">
      <c r="B36" s="97" t="s">
        <v>438</v>
      </c>
      <c r="C36" s="328">
        <f>E22*G22+E23*G23+E24*G24+E30*G30+E29*G29</f>
        <v>24.784786460977905</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24.771669038503127</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1.6246913580246918</v>
      </c>
      <c r="D62" s="119">
        <f>C36/(1+F62)^Holding_Period</f>
        <v>13.599334134967298</v>
      </c>
      <c r="E62" s="339">
        <f>C62+D62</f>
        <v>15.22402549299199</v>
      </c>
      <c r="F62" s="308">
        <f>Thesis!E22</f>
        <v>0.35</v>
      </c>
      <c r="G62" s="448">
        <f>(1-E62/C36)</f>
        <v>0.38575119390432255</v>
      </c>
    </row>
    <row r="63" spans="2:7" ht="13.15">
      <c r="B63" s="309" t="s">
        <v>313</v>
      </c>
      <c r="C63" s="119">
        <f>PV(F63, Holding_Period, -C58, 0)</f>
        <v>1.8144</v>
      </c>
      <c r="D63" s="119">
        <f>C36/(1+F63)^Holding_Period</f>
        <v>15.86226333502586</v>
      </c>
      <c r="E63" s="339">
        <f>C63+D63</f>
        <v>17.676663335025861</v>
      </c>
      <c r="F63" s="308">
        <f>Thesis!E23</f>
        <v>0.25</v>
      </c>
      <c r="G63" s="448">
        <f>(1-E63/C36)</f>
        <v>0.2867938013968101</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2.1367618434840465</v>
      </c>
      <c r="D66" s="119">
        <f>C36/(1+F66)^Holding_Period</f>
        <v>19.850335320165648</v>
      </c>
      <c r="E66" s="339">
        <f>C66+D66</f>
        <v>21.987097163649693</v>
      </c>
      <c r="F66" s="308">
        <f>Thesis!E24</f>
        <v>0.1174</v>
      </c>
      <c r="G66" s="448">
        <f>(1-E66/C47)</f>
        <v>0.11240953811086829</v>
      </c>
    </row>
    <row r="67" spans="2:7" ht="13.15">
      <c r="B67" s="309" t="s">
        <v>314</v>
      </c>
      <c r="C67" s="119">
        <f>PV(F67, Holding_Period, -C58, 0)</f>
        <v>2.270233263240256</v>
      </c>
      <c r="D67" s="119">
        <f>C36/(1+F67)^Holding_Period</f>
        <v>21.547186951583967</v>
      </c>
      <c r="E67" s="339">
        <f>C67+D67</f>
        <v>23.817420214824224</v>
      </c>
      <c r="F67" s="308">
        <f>Thesis!E25</f>
        <v>7.2499999999999995E-2</v>
      </c>
      <c r="G67" s="448">
        <f>(1-E67/C36)</f>
        <v>3.9030646791197388E-2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18.93</v>
      </c>
    </row>
    <row r="9" spans="1:10">
      <c r="B9" s="358" t="s">
        <v>361</v>
      </c>
      <c r="C9" s="360">
        <f>Common_Shares</f>
        <v>47529953984</v>
      </c>
    </row>
    <row r="10" spans="1:10">
      <c r="B10" s="358" t="s">
        <v>367</v>
      </c>
      <c r="C10" s="364">
        <f>投资主题!C8*Common_Shares/1000000</f>
        <v>899742.02891711995</v>
      </c>
      <c r="D10" s="350" t="s">
        <v>532</v>
      </c>
      <c r="E10" s="367">
        <f>Scenarios!F34</f>
        <v>0.20671765392664629</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1.0934131499999999</v>
      </c>
    </row>
    <row r="17" spans="1:6">
      <c r="B17" s="350" t="s">
        <v>538</v>
      </c>
      <c r="C17" s="432">
        <f>Terminal_Growth</f>
        <v>0</v>
      </c>
      <c r="D17" s="358" t="s">
        <v>339</v>
      </c>
      <c r="E17" s="351" t="str">
        <f>Reporting_currency</f>
        <v>CNY</v>
      </c>
    </row>
    <row r="18" spans="1:6">
      <c r="B18" s="350" t="str">
        <f>"预期股权价值 ("&amp;C7&amp;") :"</f>
        <v>预期股权价值 (HKD) :</v>
      </c>
      <c r="C18" s="366">
        <f>C125</f>
        <v>24.784786460977905</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2</v>
      </c>
    </row>
    <row r="22" spans="1:6">
      <c r="B22" s="350" t="s">
        <v>340</v>
      </c>
      <c r="C22" s="371">
        <f>E140</f>
        <v>15.22402549299199</v>
      </c>
      <c r="D22" s="372" t="s">
        <v>443</v>
      </c>
      <c r="E22" s="373">
        <f>Thesis!E22</f>
        <v>0.35</v>
      </c>
    </row>
    <row r="23" spans="1:6">
      <c r="B23" s="350" t="s">
        <v>341</v>
      </c>
      <c r="C23" s="374">
        <f>E141</f>
        <v>17.676663335025861</v>
      </c>
      <c r="D23" s="372" t="s">
        <v>444</v>
      </c>
      <c r="E23" s="375">
        <f>Thesis!E23</f>
        <v>0.25</v>
      </c>
    </row>
    <row r="24" spans="1:6">
      <c r="B24" s="350" t="s">
        <v>343</v>
      </c>
      <c r="C24" s="374">
        <f>E144</f>
        <v>21.987097163649693</v>
      </c>
      <c r="D24" s="372" t="s">
        <v>446</v>
      </c>
      <c r="E24" s="375">
        <f>Thesis!E24</f>
        <v>0.1174</v>
      </c>
    </row>
    <row r="25" spans="1:6">
      <c r="B25" s="350" t="s">
        <v>342</v>
      </c>
      <c r="C25" s="374">
        <f>E145</f>
        <v>23.817420214824224</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0.12360690028331171</v>
      </c>
      <c r="F62" s="386"/>
    </row>
    <row r="63" spans="2:6">
      <c r="B63" s="384" t="s">
        <v>332</v>
      </c>
      <c r="C63" s="385">
        <f>Normalized_FCF!C92</f>
        <v>6.6561014263074481E-2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-72545</v>
      </c>
      <c r="D78" s="350" t="str">
        <f>Reporting_currency</f>
        <v>CNY</v>
      </c>
    </row>
    <row r="79" spans="1:6">
      <c r="B79" s="379" t="s">
        <v>234</v>
      </c>
      <c r="C79" s="394">
        <f>C78*scaling_factor*Exchange_Rate/Common_Shares</f>
        <v>-1.6688772093794164</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0.12864237859052582</v>
      </c>
      <c r="D90" s="350" t="str">
        <f>Market_currency</f>
        <v>HKD</v>
      </c>
    </row>
    <row r="92" spans="1:6">
      <c r="B92" s="379" t="s">
        <v>483</v>
      </c>
      <c r="C92" s="394">
        <f>DCF!F8</f>
        <v>-1.5402348307888905</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0.44977557812835084</v>
      </c>
      <c r="D111" s="350" t="str">
        <f>Market_currency</f>
        <v>HKD</v>
      </c>
    </row>
    <row r="112" spans="1:6">
      <c r="A112" s="392"/>
      <c r="B112" s="379" t="s">
        <v>377</v>
      </c>
      <c r="C112" s="401">
        <f>DCF!C11</f>
        <v>30.733953063874438</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33.34 HKD</v>
      </c>
      <c r="F118" s="406">
        <f>DCF!F82</f>
        <v>0.05</v>
      </c>
    </row>
    <row r="119" spans="1:6">
      <c r="A119" s="392"/>
      <c r="B119" s="407" t="str">
        <f>DCF!B83</f>
        <v>Optimistic</v>
      </c>
      <c r="C119" s="408">
        <f>DCF!C83</f>
        <v>0.02</v>
      </c>
      <c r="D119" s="409">
        <f>DCF!D83</f>
        <v>5</v>
      </c>
      <c r="E119" s="405" t="str">
        <f>ROUND(DCF!E83,2)&amp;" "&amp;Market_currency</f>
        <v>30.45 HKD</v>
      </c>
      <c r="F119" s="410">
        <f>DCF!F83</f>
        <v>0.24000000000000002</v>
      </c>
    </row>
    <row r="120" spans="1:6">
      <c r="B120" s="407" t="str">
        <f>DCF!B84</f>
        <v>Base</v>
      </c>
      <c r="C120" s="408">
        <f>DCF!C84</f>
        <v>0.01</v>
      </c>
      <c r="D120" s="409">
        <f>DCF!D84</f>
        <v>5</v>
      </c>
      <c r="E120" s="405" t="str">
        <f>ROUND(DCF!E84,2)&amp;" "&amp;Market_currency</f>
        <v>29.08 HKD</v>
      </c>
      <c r="F120" s="410">
        <f>DCF!F84</f>
        <v>0.47999999999999993</v>
      </c>
    </row>
    <row r="121" spans="1:6">
      <c r="B121" s="407" t="str">
        <f>DCF!B85</f>
        <v>Pessimistic</v>
      </c>
      <c r="C121" s="408">
        <f>DCF!C85</f>
        <v>-0.05</v>
      </c>
      <c r="D121" s="409">
        <f>DCF!D85</f>
        <v>5</v>
      </c>
      <c r="E121" s="405" t="str">
        <f>ROUND(DCF!E85,2)&amp;" "&amp;Market_currency</f>
        <v>21.88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24.784786460977905</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2</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PV(2 yrs of Dividends)</v>
      </c>
      <c r="D139" s="347" t="s">
        <v>474</v>
      </c>
      <c r="E139" s="348" t="str">
        <f>"Buy below ("&amp;Market_currency&amp;")"</f>
        <v>Buy below (HKD)</v>
      </c>
      <c r="F139" s="348" t="s">
        <v>498</v>
      </c>
    </row>
    <row r="140" spans="1:6">
      <c r="B140" s="415" t="s">
        <v>312</v>
      </c>
      <c r="C140" s="416">
        <f>Scenarios!C62</f>
        <v>1.6246913580246918</v>
      </c>
      <c r="D140" s="416">
        <f>Scenarios!D62</f>
        <v>13.599334134967298</v>
      </c>
      <c r="E140" s="417">
        <f>Scenarios!E62</f>
        <v>15.22402549299199</v>
      </c>
      <c r="F140" s="418">
        <f>E22</f>
        <v>0.35</v>
      </c>
    </row>
    <row r="141" spans="1:6">
      <c r="B141" s="415" t="s">
        <v>313</v>
      </c>
      <c r="C141" s="416">
        <f>Scenarios!C63</f>
        <v>1.8144</v>
      </c>
      <c r="D141" s="416">
        <f>Scenarios!D63</f>
        <v>15.86226333502586</v>
      </c>
      <c r="E141" s="417">
        <f>Scenarios!E63</f>
        <v>17.676663335025861</v>
      </c>
      <c r="F141" s="418">
        <f>Scenarios!F63</f>
        <v>0.25</v>
      </c>
    </row>
    <row r="143" spans="1:6">
      <c r="B143" s="347" t="s">
        <v>466</v>
      </c>
      <c r="C143" s="347" t="str">
        <f>"PV("&amp;Holding_Period&amp;" yrs of Dividends)"</f>
        <v>PV(2 yrs of Dividends)</v>
      </c>
      <c r="D143" s="347" t="s">
        <v>474</v>
      </c>
      <c r="E143" s="348" t="str">
        <f>"Sell above ("&amp;Market_currency&amp;")"</f>
        <v>Sell above (HKD)</v>
      </c>
      <c r="F143" s="348" t="s">
        <v>498</v>
      </c>
    </row>
    <row r="144" spans="1:6">
      <c r="B144" s="415" t="s">
        <v>315</v>
      </c>
      <c r="C144" s="416">
        <f>Scenarios!C66</f>
        <v>2.1367618434840465</v>
      </c>
      <c r="D144" s="416">
        <f>Scenarios!D66</f>
        <v>19.850335320165648</v>
      </c>
      <c r="E144" s="417">
        <f>Scenarios!E66</f>
        <v>21.987097163649693</v>
      </c>
      <c r="F144" s="418">
        <f>E24</f>
        <v>0.1174</v>
      </c>
    </row>
    <row r="145" spans="1:6">
      <c r="B145" s="415" t="s">
        <v>314</v>
      </c>
      <c r="C145" s="416">
        <f>Scenarios!C67</f>
        <v>2.270233263240256</v>
      </c>
      <c r="D145" s="416">
        <f>Scenarios!D67</f>
        <v>21.547186951583967</v>
      </c>
      <c r="E145" s="417">
        <f>Scenarios!E67</f>
        <v>23.817420214824224</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