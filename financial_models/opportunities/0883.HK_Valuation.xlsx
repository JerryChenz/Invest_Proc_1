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4770BE6-9FBD-46E2-BB6C-7224E604419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83" i="8"/>
  <c r="D82" i="8"/>
  <c r="B118" i="6" s="1"/>
  <c r="F55" i="8"/>
  <c r="F68" i="8" s="1"/>
  <c r="C118" i="6"/>
  <c r="C89" i="6"/>
  <c r="C90" i="6" s="1"/>
  <c r="G65" i="2"/>
  <c r="C57" i="2" l="1"/>
  <c r="D118" i="12"/>
  <c r="E119" i="6"/>
  <c r="F119" i="12"/>
  <c r="C85" i="8"/>
  <c r="C121" i="12" s="1"/>
  <c r="D24" i="9"/>
  <c r="D86" i="8"/>
  <c r="B122" i="6" s="1"/>
  <c r="D23" i="9"/>
  <c r="C84" i="8"/>
  <c r="C120" i="12" s="1"/>
  <c r="C86" i="8"/>
  <c r="C122" i="12" s="1"/>
  <c r="D83" i="8"/>
  <c r="B119" i="6" s="1"/>
  <c r="C83" i="8"/>
  <c r="C119" i="12" s="1"/>
  <c r="C15" i="8"/>
  <c r="B51" i="8" s="1"/>
  <c r="Q95" i="2"/>
  <c r="A79" i="8"/>
  <c r="A78" i="8"/>
  <c r="D122" i="12" l="1"/>
  <c r="D119" i="12"/>
  <c r="D85" i="8"/>
  <c r="B121" i="6" s="1"/>
  <c r="D84" i="8"/>
  <c r="B120" i="6" s="1"/>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B74" i="8"/>
  <c r="E72" i="8"/>
  <c r="F71" i="8"/>
  <c r="D73" i="8"/>
  <c r="D72" i="8"/>
  <c r="C74" i="8"/>
  <c r="C71" i="8"/>
  <c r="F72" i="8"/>
  <c r="B72" i="8"/>
  <c r="E73" i="8"/>
  <c r="D74" i="8"/>
  <c r="C72" i="8"/>
  <c r="F73" i="8"/>
  <c r="B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0" i="6"/>
  <c r="F121" i="6"/>
  <c r="F119"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<sst xmlns="http://schemas.openxmlformats.org/spreadsheetml/2006/main" count="767" uniqueCount="558">
  <si>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</si>
  <si>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</si>
  <si>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</si>
  <si>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</si>
  <si>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</si>
  <si>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</si>
  <si>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</si>
  <si>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</si>
  <si>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</si>
  <si>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</si>
  <si>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</si>
  <si>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</si>
  <si>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</si>
  <si>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</si>
  <si>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</si>
  <si>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</si>
  <si>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</si>
  <si>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</si>
  <si>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</si>
  <si>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</si>
  <si>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</si>
  <si>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</si>
  <si>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</si>
  <si>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</si>
  <si>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</si>
  <si>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</si>
  <si>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</si>
  <si>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</si>
  <si>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</si>
  <si>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</si>
  <si>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</si>
  <si>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</si>
  <si>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</si>
  <si>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</si>
  <si>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</si>
  <si>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</si>
  <si>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</si>
  <si>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</si>
  <si>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</si>
  <si>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</si>
  <si>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</si>
  <si>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</si>
  <si>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</si>
  <si>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</si>
  <si>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</si>
  <si>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</si>
  <si>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</si>
  <si>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</si>
  <si>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</si>
  <si>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</si>
  <si>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</si>
  <si>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</si>
  <si>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</si>
  <si>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</si>
  <si>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</si>
  <si>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</si>
  <si>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</si>
  <si>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</si>
  <si>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</si>
  <si>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</si>
  <si>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</si>
  <si>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</si>
  <si>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</si>
  <si>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</si>
  <si>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</si>
  <si>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</si>
  <si>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</si>
  <si>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</si>
  <si>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</si>
  <si>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</si>
  <si>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</si>
  <si>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</si>
  <si>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</si>
  <si>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</si>
  <si>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</si>
  <si>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</si>
  <si>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</si>
  <si>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</si>
  <si>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</si>
  <si>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</si>
  <si>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</si>
  <si>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</si>
  <si>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</si>
  <si>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</si>
  <si>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</si>
  <si>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</si>
  <si>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</si>
  <si>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</si>
  <si>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</si>
  <si>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</si>
  <si>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</si>
  <si>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</si>
  <si>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</si>
  <si>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</si>
  <si>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</si>
  <si>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</si>
  <si>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</si>
  <si>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</si>
  <si>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</si>
  <si>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</si>
  <si>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</si>
  <si>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</si>
  <si>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</si>
  <si>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</si>
  <si>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</si>
  <si>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</si>
  <si>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</si>
  <si>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</si>
  <si>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</si>
  <si>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</si>
  <si>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</si>
  <si>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</si>
  <si>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</si>
  <si>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</si>
  <si>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</si>
  <si>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</si>
  <si>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</si>
  <si>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</si>
  <si>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</si>
  <si>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</si>
  <si>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</si>
  <si>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</si>
  <si>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</si>
  <si>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</si>
  <si>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</si>
  <si>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</si>
  <si>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</si>
  <si>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</si>
  <si>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</si>
  <si>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</si>
  <si>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</si>
  <si>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</si>
  <si>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</si>
  <si>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</si>
  <si>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</si>
  <si>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</si>
  <si>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</si>
  <si>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</si>
  <si>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</si>
  <si>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</si>
  <si>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</si>
  <si>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</si>
  <si>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</si>
  <si>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</si>
  <si>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</si>
  <si>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</si>
  <si>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</si>
  <si>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</si>
  <si>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</si>
  <si>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</si>
  <si>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</si>
  <si>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</si>
  <si>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</si>
  <si>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</si>
  <si>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</si>
  <si>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</si>
  <si>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</si>
  <si>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</si>
  <si>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</si>
  <si>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</si>
  <si>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</si>
  <si>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</si>
  <si>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</si>
  <si>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</si>
  <si>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</si>
  <si>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</si>
  <si>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</si>
  <si>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</si>
  <si>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</si>
  <si>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</si>
  <si>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</si>
  <si>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</si>
  <si>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</si>
  <si>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</si>
  <si>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</si>
  <si>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</si>
  <si>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</si>
  <si>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</si>
  <si>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</si>
  <si>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</si>
  <si>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</si>
  <si>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</si>
  <si>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</si>
  <si>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</si>
  <si>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</si>
  <si>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</si>
  <si>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</si>
  <si>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</si>
  <si>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</si>
  <si>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</si>
  <si>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</si>
  <si>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</si>
  <si>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</si>
  <si>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</si>
  <si>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</si>
  <si>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</si>
  <si>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</si>
  <si>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</si>
  <si>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</si>
  <si>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</si>
  <si>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</si>
  <si>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</si>
  <si>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</si>
  <si>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</si>
  <si>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</si>
  <si>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</si>
  <si>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</si>
  <si>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</si>
  <si>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</si>
  <si>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</si>
  <si>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</si>
  <si>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</si>
  <si>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</si>
  <si>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</si>
  <si>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</si>
  <si>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</si>
  <si>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</si>
  <si>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</si>
  <si>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</si>
  <si>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</si>
  <si>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</si>
  <si>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</si>
  <si>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</si>
  <si>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</si>
  <si>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</si>
  <si>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</si>
  <si>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</si>
  <si>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</si>
  <si>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</si>
  <si>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</si>
  <si>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</si>
  <si>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</si>
  <si>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</si>
  <si>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</si>
  <si>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</si>
  <si>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</si>
  <si>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</si>
  <si>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</si>
  <si>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</si>
  <si>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</si>
  <si>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</si>
  <si>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</si>
  <si>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</si>
  <si>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</si>
  <si>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</si>
  <si>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</si>
  <si>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</si>
  <si>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</si>
  <si>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</si>
  <si>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</si>
  <si>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</si>
  <si>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</si>
  <si>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</si>
  <si>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</si>
  <si>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</si>
  <si>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</si>
  <si>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</si>
  <si>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</si>
  <si>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</si>
  <si>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</si>
  <si>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</si>
  <si>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</si>
  <si>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</si>
  <si>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</si>
  <si>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</si>
  <si>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</si>
  <si>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</si>
  <si>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</si>
  <si>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</si>
  <si>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</si>
  <si>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</si>
  <si>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</si>
  <si>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</si>
  <si>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</si>
  <si>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</si>
  <si>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</si>
  <si>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</si>
  <si>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</si>
  <si>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</si>
  <si>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</si>
  <si>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</si>
  <si>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</si>
  <si>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</si>
  <si>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</si>
  <si>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</si>
  <si>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</si>
  <si>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</si>
  <si>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</si>
  <si>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</si>
  <si>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</si>
  <si>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</si>
  <si>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</si>
  <si>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</si>
  <si>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</si>
  <si>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</si>
  <si>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</si>
  <si>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</si>
  <si>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</si>
  <si>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</si>
  <si>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</si>
  <si>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</si>
  <si>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</si>
  <si>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</si>
  <si>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</si>
  <si>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</si>
  <si>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</si>
  <si>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</si>
  <si>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</si>
  <si>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</si>
  <si>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</si>
  <si>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</si>
  <si>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</si>
  <si>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</si>
  <si>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</si>
  <si>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</si>
  <si>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</si>
  <si>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</si>
  <si>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</si>
  <si>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</si>
  <si>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</si>
  <si>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</si>
  <si>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</si>
  <si>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</si>
  <si>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</si>
  <si>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</si>
  <si>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</si>
  <si>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</si>
  <si>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</si>
  <si>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</si>
  <si>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</si>
  <si>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</si>
  <si>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</si>
  <si>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</si>
  <si>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</si>
  <si>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</si>
  <si>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</si>
  <si>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</si>
  <si>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</si>
  <si>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</si>
  <si>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</si>
  <si>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</si>
  <si>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</si>
  <si>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</si>
  <si>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</si>
  <si>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</si>
  <si>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</si>
  <si>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</si>
  <si>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</si>
  <si>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</si>
  <si>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</si>
  <si>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</si>
  <si>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</si>
  <si>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</si>
  <si>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</si>
  <si>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</si>
  <si>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</si>
  <si>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</si>
  <si>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</si>
  <si>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</si>
  <si>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</si>
  <si>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</si>
  <si>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</si>
  <si>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</si>
  <si>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</si>
  <si>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</si>
  <si>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</si>
  <si>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</si>
  <si>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</si>
  <si>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</si>
  <si>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</si>
  <si>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</si>
  <si>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</si>
  <si>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</si>
  <si>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</si>
  <si>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</si>
  <si>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</si>
  <si>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</si>
  <si>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</si>
  <si>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</si>
  <si>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</si>
  <si>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</si>
  <si>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</si>
  <si>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</si>
  <si>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</si>
  <si>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</si>
  <si>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</si>
  <si>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</si>
  <si>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</si>
  <si>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</si>
  <si>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</si>
  <si>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</si>
  <si>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</si>
  <si>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</si>
  <si>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</si>
  <si>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</si>
  <si>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</si>
  <si>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</si>
  <si>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</si>
  <si>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</si>
  <si>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</si>
  <si>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</si>
  <si>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</si>
  <si>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</si>
  <si>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</si>
  <si>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</si>
  <si>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</si>
  <si>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</si>
  <si>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</si>
  <si>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</si>
  <si>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</si>
  <si>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</si>
  <si>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</si>
  <si>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</si>
  <si>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</si>
  <si>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</si>
  <si>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</si>
  <si>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</si>
  <si>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</si>
  <si>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</si>
  <si>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</si>
  <si>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</si>
  <si>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</si>
  <si>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</si>
  <si>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</si>
  <si>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</si>
  <si>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</si>
  <si>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</si>
  <si>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</si>
  <si>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</si>
  <si>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</si>
  <si>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</si>
  <si>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</si>
  <si>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</si>
  <si>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</si>
  <si>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</si>
  <si>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</si>
  <si>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</si>
  <si>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</si>
  <si>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</si>
  <si>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</si>
  <si>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</si>
  <si>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</si>
  <si>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</si>
  <si>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</si>
  <si>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</si>
  <si>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</si>
  <si>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</si>
  <si>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</si>
  <si>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</si>
  <si>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</si>
  <si>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</si>
  <si>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</si>
  <si>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</si>
  <si>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</si>
  <si>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</si>
  <si>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</si>
  <si>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</si>
  <si>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</si>
  <si>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</si>
  <si>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</si>
  <si>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</si>
  <si>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</si>
  <si>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</si>
  <si>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</si>
  <si>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</si>
  <si>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</si>
  <si>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</si>
  <si>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</si>
  <si>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</si>
  <si>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</si>
  <si>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</si>
  <si>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</si>
  <si>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</si>
  <si>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</si>
  <si>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</si>
  <si>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</si>
  <si>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</si>
  <si>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</si>
  <si>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</si>
  <si>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</si>
  <si>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</si>
  <si>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</si>
  <si>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</si>
  <si>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</si>
  <si>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</si>
  <si>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</si>
  <si>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</si>
  <si>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</si>
  <si>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</si>
  <si>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</si>
  <si>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</si>
  <si>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</si>
  <si>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</si>
  <si>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</si>
  <si>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</si>
  <si>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</si>
  <si>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</si>
  <si>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</si>
  <si>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</si>
  <si>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</si>
  <si>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</si>
  <si>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</si>
  <si>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</si>
  <si>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</si>
  <si>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</si>
  <si>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</si>
  <si>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</si>
  <si>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</si>
  <si>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</si>
  <si>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</si>
  <si>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</si>
  <si>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</si>
  <si>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</si>
  <si>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</si>
  <si>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</si>
  <si>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</si>
  <si>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</si>
  <si>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</si>
  <si>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</si>
  <si>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</si>
  <si>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</si>
  <si>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</si>
  <si>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</si>
  <si>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</si>
  <si>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</si>
  <si>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</si>
  <si>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</si>
  <si>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</si>
  <si>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</si>
  <si>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</si>
  <si>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</si>
  <si>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</si>
  <si>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</si>
  <si>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</si>
  <si>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</si>
  <si>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</si>
  <si>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</si>
  <si>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</si>
  <si>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</si>
  <si>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</si>
  <si>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</si>
  <si>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</si>
  <si>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</si>
  <si>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</si>
  <si>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</si>
  <si>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</si>
  <si>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</si>
  <si>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</si>
  <si>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</si>
  <si>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</si>
  <si>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Implied Return</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</si>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</sst>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9" zoomScaleNormal="100" workbookViewId="0">
      <selection activeCell="F117" sqref="F1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551</v>
      </c>
      <c r="E4" s="435" t="s">
        <v>540</v>
      </c>
      <c r="F4" s="436" t="s">
        <v>324</v>
      </c>
    </row>
    <row r="5" spans="1:9">
      <c r="B5" s="1" t="s">
        <v>349</v>
      </c>
      <c r="C5" s="46" t="s">
        <v>552</v>
      </c>
      <c r="D5" s="1" t="s">
        <v>553</v>
      </c>
      <c r="E5" s="438" t="s">
        <v>542</v>
      </c>
      <c r="F5" s="437" t="s">
        <v>500</v>
      </c>
    </row>
    <row r="6" spans="1:9">
      <c r="B6" s="2" t="s">
        <v>53</v>
      </c>
      <c r="C6" s="45" t="s">
        <v>554</v>
      </c>
      <c r="D6" s="45"/>
      <c r="E6" s="45"/>
    </row>
    <row r="7" spans="1:9">
      <c r="B7" s="1" t="s">
        <v>351</v>
      </c>
      <c r="C7" s="45" t="s">
        <v>308</v>
      </c>
      <c r="D7" s="45"/>
      <c r="E7" s="45"/>
    </row>
    <row r="8" spans="1:9">
      <c r="B8" s="4" t="s">
        <v>350</v>
      </c>
      <c r="C8" s="47">
        <v>18.59</v>
      </c>
      <c r="E8" s="32"/>
    </row>
    <row r="9" spans="1:9">
      <c r="B9" s="4" t="s">
        <v>346</v>
      </c>
      <c r="C9" s="48">
        <f>44539953984+2990000000</f>
        <v>47529953984</v>
      </c>
    </row>
    <row r="10" spans="1:9">
      <c r="B10" s="4" t="s">
        <v>352</v>
      </c>
      <c r="C10" s="33">
        <f>Thesis!C8*Common_Shares/1000000</f>
        <v>883581.84456255997</v>
      </c>
      <c r="D10" s="1" t="s">
        <v>531</v>
      </c>
      <c r="E10" s="307">
        <f>Scenarios!F34</f>
        <v>0.16198065963162989</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555</v>
      </c>
      <c r="D15" s="4" t="s">
        <v>353</v>
      </c>
      <c r="E15" s="256" t="str">
        <f>IF(E17=C7,C7,E17&amp;"/"&amp;C7)</f>
        <v>CNY/HKD</v>
      </c>
    </row>
    <row r="16" spans="1:9">
      <c r="B16" s="1" t="s">
        <v>320</v>
      </c>
      <c r="C16" s="422" t="s">
        <v>555</v>
      </c>
      <c r="D16" s="4" t="s">
        <v>354</v>
      </c>
      <c r="E16" s="421">
        <v>1.09146385</v>
      </c>
    </row>
    <row r="17" spans="1:6">
      <c r="B17" s="1" t="s">
        <v>535</v>
      </c>
      <c r="C17" s="420">
        <v>0</v>
      </c>
      <c r="D17" s="4" t="s">
        <v>274</v>
      </c>
      <c r="E17" s="224" t="s">
        <v>546</v>
      </c>
    </row>
    <row r="18" spans="1:6">
      <c r="B18" s="1" t="str">
        <f>"Expected Equity Value ("&amp;C7&amp;") :"</f>
        <v>Expected Equity Value (HKD) :</v>
      </c>
      <c r="C18" s="255">
        <f>C125</f>
        <v>24.740600981547388</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13.706811594906767</v>
      </c>
      <c r="D22" s="38" t="s">
        <v>408</v>
      </c>
      <c r="E22" s="79">
        <v>0.29465259038036606</v>
      </c>
    </row>
    <row r="23" spans="1:6">
      <c r="B23" s="1" t="s">
        <v>313</v>
      </c>
      <c r="C23" s="259">
        <f>E141</f>
        <v>16.941644818496165</v>
      </c>
      <c r="D23" s="38" t="s">
        <v>409</v>
      </c>
      <c r="E23" s="448">
        <v>0.20075184365903009</v>
      </c>
    </row>
    <row r="24" spans="1:6">
      <c r="B24" s="1" t="s">
        <v>315</v>
      </c>
      <c r="C24" s="259">
        <f>E144</f>
        <v>20.772962821639016</v>
      </c>
      <c r="D24" s="38" t="s">
        <v>410</v>
      </c>
      <c r="E24" s="448">
        <v>0.1174</v>
      </c>
    </row>
    <row r="25" spans="1:6">
      <c r="B25" s="1" t="s">
        <v>314</v>
      </c>
      <c r="C25" s="259">
        <f>E145</f>
        <v>23.346393117341798</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137124.09035259794</v>
      </c>
      <c r="D34" s="1" t="str">
        <f>Reporting_currency</f>
        <v>CNY</v>
      </c>
    </row>
    <row r="35" spans="2:6">
      <c r="B35" s="44"/>
      <c r="C35" s="73"/>
    </row>
    <row r="36" spans="2:6" ht="24.5" customHeight="1">
      <c r="B36" s="459" t="s">
        <v>198</v>
      </c>
      <c r="C36" s="459"/>
      <c r="D36" s="459"/>
      <c r="E36" s="459"/>
      <c r="F36" s="459"/>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9" t="s">
        <v>201</v>
      </c>
      <c r="C40" s="459"/>
      <c r="D40" s="459"/>
      <c r="E40" s="459"/>
      <c r="F40" s="459"/>
    </row>
    <row r="41" spans="2:6">
      <c r="B41" s="44" t="s">
        <v>202</v>
      </c>
      <c r="C41" s="289">
        <f>Normalized_FCF!C9</f>
        <v>1836</v>
      </c>
      <c r="D41" s="1" t="str">
        <f>Reporting_currency</f>
        <v>CNY</v>
      </c>
    </row>
    <row r="43" spans="2:6">
      <c r="B43" s="459" t="s">
        <v>205</v>
      </c>
      <c r="C43" s="459"/>
      <c r="D43" s="459"/>
      <c r="E43" s="459"/>
      <c r="F43" s="459"/>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9" t="s">
        <v>206</v>
      </c>
      <c r="C51" s="459"/>
      <c r="D51" s="459"/>
      <c r="E51" s="459"/>
      <c r="F51" s="459"/>
    </row>
    <row r="52" spans="2:6">
      <c r="B52" s="44" t="s">
        <v>204</v>
      </c>
      <c r="C52" s="289">
        <f>Normalized_FCF!C12</f>
        <v>-33987.291088149483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0.12564320418810407</v>
      </c>
      <c r="F62" s="260"/>
    </row>
    <row r="63" spans="2:6">
      <c r="B63" s="204" t="s">
        <v>332</v>
      </c>
      <c r="C63" s="89">
        <f>Normalized_FCF!C92</f>
        <v>6.7778375470683161E-2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-72545</v>
      </c>
      <c r="D78" s="1" t="str">
        <f>Reporting_currency</f>
        <v>CNY</v>
      </c>
    </row>
    <row r="79" spans="1:6">
      <c r="A79" s="191"/>
      <c r="B79" s="44" t="s">
        <v>234</v>
      </c>
      <c r="C79" s="201">
        <f>C78*scaling_factor*Exchange_Rate/Common_Shares</f>
        <v>-1.6659019915084377</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0.12841303930684655</v>
      </c>
      <c r="D90" s="1" t="str">
        <f>Market_currency</f>
        <v>HKD</v>
      </c>
    </row>
    <row r="91" spans="1:6">
      <c r="A91" s="191"/>
    </row>
    <row r="92" spans="1:6">
      <c r="A92" s="191"/>
      <c r="B92" s="44" t="s">
        <v>472</v>
      </c>
      <c r="C92" s="216">
        <f>DCF!F8</f>
        <v>-1.5374889522015911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0.44897373343273361</v>
      </c>
      <c r="D111" s="1" t="str">
        <f>Market_currency</f>
        <v>HKD</v>
      </c>
    </row>
    <row r="112" spans="2:6">
      <c r="B112" s="44" t="s">
        <v>323</v>
      </c>
      <c r="C112" s="216">
        <f>DCF!C11</f>
        <v>30.679161611341225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550</v>
      </c>
    </row>
    <row r="118" spans="2:6">
      <c r="B118" s="205" t="str">
        <f>DCF!B82&amp;" ("&amp;DCF!D82&amp;"yrs)"</f>
        <v>Snowball Scenario (5yrs)</v>
      </c>
      <c r="C118" s="206">
        <f>DCF!C82</f>
        <v>0.04</v>
      </c>
      <c r="D118" s="207" t="str">
        <f>ROUND(DCF!E82,2)&amp;" "&amp;Market_currency</f>
        <v>33.28 HKD</v>
      </c>
      <c r="E118" s="208">
        <f>DCF!F82</f>
        <v>0.05</v>
      </c>
      <c r="F118" s="208">
        <f>RATE(Holding_Period,Scenarios!C$58,-DCF!E82,C$18)</f>
        <v>-5.2274830353007638E-2</v>
      </c>
    </row>
    <row r="119" spans="2:6">
      <c r="B119" s="205" t="str">
        <f>DCF!B83&amp;" ("&amp;DCF!D83&amp;"yrs)"</f>
        <v>Optimistic (5yrs)</v>
      </c>
      <c r="C119" s="198">
        <f>DCF!C83</f>
        <v>0.02</v>
      </c>
      <c r="D119" s="207" t="str">
        <f>ROUND(DCF!E83,2)&amp;" "&amp;Market_currency</f>
        <v>30.4 HKD</v>
      </c>
      <c r="E119" s="199">
        <f>DCF!F83</f>
        <v>0.24000000000000002</v>
      </c>
      <c r="F119" s="208">
        <f>RATE(Holding_Period,Scenarios!C$58,-DCF!E83,C$18)</f>
        <v>-2.1943211772017475E-2</v>
      </c>
    </row>
    <row r="120" spans="2:6">
      <c r="B120" s="205" t="str">
        <f>DCF!B84&amp;" ("&amp;DCF!D84&amp;"yrs)"</f>
        <v>Base (5yrs)</v>
      </c>
      <c r="C120" s="198">
        <f>DCF!C84</f>
        <v>0.01</v>
      </c>
      <c r="D120" s="207" t="str">
        <f>ROUND(DCF!E84,2)&amp;" "&amp;Market_currency</f>
        <v>29.03 HKD</v>
      </c>
      <c r="E120" s="199">
        <f>DCF!F84</f>
        <v>0.47999999999999993</v>
      </c>
      <c r="F120" s="208">
        <f>RATE(Holding_Period,Scenarios!C$58,-DCF!E84,C$18)</f>
        <v>-6.1757084463083386E-3</v>
      </c>
    </row>
    <row r="121" spans="2:6">
      <c r="B121" s="205" t="str">
        <f>DCF!B85&amp;" ("&amp;DCF!D85&amp;"yrs)"</f>
        <v>Pessimistic (5yrs)</v>
      </c>
      <c r="C121" s="198">
        <f>DCF!C85</f>
        <v>-0.05</v>
      </c>
      <c r="D121" s="207" t="str">
        <f>ROUND(DCF!E85,2)&amp;" "&amp;Market_currency</f>
        <v>21.84 HKD</v>
      </c>
      <c r="E121" s="199">
        <f>DCF!F85</f>
        <v>0.08</v>
      </c>
      <c r="F121" s="208">
        <f>RATE(Holding_Period,Scenarios!C$58,-DCF!E85,C$18)</f>
        <v>9.7919810470482427E-2</v>
      </c>
    </row>
    <row r="122" spans="2:6">
      <c r="B122" s="205" t="str">
        <f>DCF!B86&amp;" ("&amp;DCF!D86&amp;"yrs)"</f>
        <v>Devil's advocate (5yrs)</v>
      </c>
      <c r="C122" s="198">
        <f>DCF!C86</f>
        <v>-0.5</v>
      </c>
      <c r="D122" s="207" t="str">
        <f>ROUND(DCF!E86,2)&amp;" "&amp;Market_currency</f>
        <v>0.66 HKD</v>
      </c>
      <c r="E122" s="199">
        <f>DCF!F86</f>
        <v>0.15</v>
      </c>
      <c r="F122" s="208" t="e">
        <f>RATE(Holding_Period,Scenarios!C$58,-DCF!E86,C$18)</f>
        <v>#NUM!</v>
      </c>
    </row>
    <row r="124" spans="2:6">
      <c r="B124" s="459" t="s">
        <v>357</v>
      </c>
      <c r="C124" s="459"/>
      <c r="D124" s="459"/>
      <c r="E124" s="459"/>
      <c r="F124" s="459"/>
    </row>
    <row r="125" spans="2:6">
      <c r="B125" s="193" t="s">
        <v>218</v>
      </c>
      <c r="C125" s="197">
        <f>Scenarios!C36</f>
        <v>24.740600981547388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11.401198609008016</v>
      </c>
      <c r="E140" s="338">
        <f>Scenarios!E62</f>
        <v>13.706811594906767</v>
      </c>
      <c r="F140" s="339">
        <f>E22</f>
        <v>0.29465259038036606</v>
      </c>
    </row>
    <row r="141" spans="1:6">
      <c r="B141" s="340" t="s">
        <v>313</v>
      </c>
      <c r="C141" s="337">
        <f>Scenarios!C63</f>
        <v>2.6510449735590389</v>
      </c>
      <c r="D141" s="337">
        <f>Scenarios!D63</f>
        <v>14.290599844937125</v>
      </c>
      <c r="E141" s="338">
        <f>Scenarios!E63</f>
        <v>16.941644818496165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17.733082882956317</v>
      </c>
      <c r="E144" s="338">
        <f>Scenarios!E66</f>
        <v>20.772962821639016</v>
      </c>
      <c r="F144" s="339">
        <f>E24</f>
        <v>0.1174</v>
      </c>
    </row>
    <row r="145" spans="1:6">
      <c r="B145" s="340" t="s">
        <v>314</v>
      </c>
      <c r="C145" s="337">
        <f>Scenarios!C67</f>
        <v>3.2915927862380006</v>
      </c>
      <c r="D145" s="337">
        <f>Scenarios!D67</f>
        <v>20.054800331103795</v>
      </c>
      <c r="E145" s="338">
        <f>Scenarios!E67</f>
        <v>23.346393117341798</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556</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18.060219277106047</v>
      </c>
      <c r="D47" s="134">
        <f>D46*H1/Common_Shares*Exchange_Rate</f>
        <v>0.44897373343273361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79180.244998249997</v>
      </c>
      <c r="D86" s="201">
        <f>C86*scaling_factor/Common_Shares</f>
        <v>1.6659019915084377</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6103.4658491999999</v>
      </c>
      <c r="D88" s="201">
        <f>C88*scaling_factor/Common_Shares</f>
        <v>0.12841303930684655</v>
      </c>
      <c r="E88" s="214" t="str">
        <f>Market_currency</f>
        <v>HKD</v>
      </c>
    </row>
    <row r="89" spans="2:8" ht="15" customHeight="1">
      <c r="B89" s="77" t="s">
        <v>244</v>
      </c>
      <c r="C89" s="162">
        <f>SUM(C86:C88)</f>
        <v>85283.710847449998</v>
      </c>
      <c r="D89" s="216">
        <f>SUM(D86:D88)</f>
        <v>1.7943150308152842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6.7778375470683161E-2</v>
      </c>
      <c r="E92" s="238"/>
      <c r="G92" s="22">
        <f t="shared" ref="G92:Q92" si="38">IF(G$4="","",(G88*(1-dividend_tax_rate))/Market_Price)</f>
        <v>6.7778375470683161E-2</v>
      </c>
      <c r="H92" s="22">
        <f t="shared" si="38"/>
        <v>6.0516406670252827E-2</v>
      </c>
      <c r="I92" s="22">
        <f t="shared" si="38"/>
        <v>7.019903173749327E-2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2.3357071658568542</v>
      </c>
      <c r="D123" s="26"/>
      <c r="E123" s="235"/>
      <c r="F123" s="26"/>
      <c r="G123" s="159">
        <f t="shared" ref="G123:Q123" si="48">IF(G$4="","",G14*$C$3/Common_Shares*Exchange_Rate)</f>
        <v>3.3148567686019161</v>
      </c>
      <c r="H123" s="159">
        <f t="shared" si="48"/>
        <v>2.906010961767314</v>
      </c>
      <c r="I123" s="159">
        <f t="shared" si="48"/>
        <v>3.2760021794554239</v>
      </c>
      <c r="J123" s="159">
        <f t="shared" si="48"/>
        <v>1.7661385645725265</v>
      </c>
      <c r="K123" s="159">
        <f t="shared" si="48"/>
        <v>0.6641882257173809</v>
      </c>
      <c r="L123" s="159">
        <f t="shared" si="48"/>
        <v>1.3935116991054595</v>
      </c>
      <c r="M123" s="159">
        <f t="shared" si="48"/>
        <v>1.1793931703173519</v>
      </c>
      <c r="N123" s="159">
        <f t="shared" si="48"/>
        <v>6.8743688520777848</v>
      </c>
      <c r="O123" s="159">
        <f t="shared" si="48"/>
        <v>6.4661201015775847</v>
      </c>
      <c r="P123" s="159">
        <f t="shared" si="48"/>
        <v>6.5126675319557989</v>
      </c>
      <c r="Q123" s="159" t="str">
        <f t="shared" si="48"/>
        <v/>
      </c>
    </row>
    <row r="124" spans="1:17" ht="15.75" customHeight="1">
      <c r="A124" s="10"/>
      <c r="B124" s="26" t="s">
        <v>226</v>
      </c>
      <c r="C124" s="74">
        <f>C19*Exchange_Rate*$C$3/(Market_Price*Common_Shares)</f>
        <v>0.12564320418810407</v>
      </c>
      <c r="D124" s="26"/>
      <c r="E124" s="235"/>
      <c r="F124" s="26"/>
      <c r="G124" s="74">
        <f t="shared" ref="G124" si="49">IF(G$4="","",G123/Market_Price)</f>
        <v>0.17831397356653664</v>
      </c>
      <c r="H124" s="74">
        <f t="shared" ref="H124" si="50">IF(H$4="","",H123/Market_Price)</f>
        <v>0.1563211921337985</v>
      </c>
      <c r="I124" s="74">
        <f t="shared" ref="I124" si="51">IF(I$4="","",I123/Market_Price)</f>
        <v>0.17622389346183023</v>
      </c>
      <c r="J124" s="74">
        <f t="shared" ref="J124" si="52">IF(J$4="","",J123/Market_Price)</f>
        <v>9.5004764097500083E-2</v>
      </c>
      <c r="K124" s="74">
        <f t="shared" ref="K124" si="53">IF(K$4="","",K123/Market_Price)</f>
        <v>3.57282531316504E-2</v>
      </c>
      <c r="L124" s="74">
        <f t="shared" ref="L124" si="54">IF(L$4="","",L123/Market_Price)</f>
        <v>7.4960285051396416E-2</v>
      </c>
      <c r="M124" s="74">
        <f t="shared" ref="M124" si="55">IF(M$4="","",M123/Market_Price)</f>
        <v>6.344234375026099E-2</v>
      </c>
      <c r="N124" s="74">
        <f t="shared" ref="N124" si="56">IF(N$4="","",N123/Market_Price)</f>
        <v>0.36978853426991848</v>
      </c>
      <c r="O124" s="74">
        <f t="shared" ref="O124" si="57">IF(O$4="","",O123/Market_Price)</f>
        <v>0.34782786990734721</v>
      </c>
      <c r="P124" s="74">
        <f t="shared" ref="P124" si="58">IF(P$4="","",P123/Market_Price)</f>
        <v>0.35033176610843458</v>
      </c>
      <c r="Q124" s="74" t="str">
        <f t="shared" ref="Q124" si="59">IF(Q$4="","",Q123/Market_Price)</f>
        <v/>
      </c>
    </row>
    <row r="125" spans="1:17" ht="15.75" customHeight="1">
      <c r="B125" s="2" t="s">
        <v>306</v>
      </c>
      <c r="C125" s="151"/>
      <c r="G125" s="22">
        <f>IF(G$4="","",(Data!C47*$C$3)/(Market_Price*Common_Shares))</f>
        <v>0.15616210410967821</v>
      </c>
      <c r="H125" s="22">
        <f>IF(H$4="","",(Data!D47*$C$3)/(Market_Price*Common_Shares))</f>
        <v>0.14043973488549208</v>
      </c>
      <c r="I125" s="22">
        <f>IF(I$4="","",(Data!E47*$C$3)/(Market_Price*Common_Shares))</f>
        <v>0.16034394648538852</v>
      </c>
      <c r="J125" s="22">
        <f>IF(J$4="","",(Data!F47*$C$3)/(Market_Price*Common_Shares))</f>
        <v>7.9570444359692905E-2</v>
      </c>
      <c r="K125" s="22">
        <f>IF(K$4="","",(Data!G47*$C$3)/(Market_Price*Common_Shares))</f>
        <v>2.8243753030433701E-2</v>
      </c>
      <c r="L125" s="22">
        <f>IF(L$4="","",(Data!H47*$C$3)/(Market_Price*Common_Shares))</f>
        <v>6.908862984868383E-2</v>
      </c>
      <c r="M125" s="22">
        <f>IF(M$4="","",(Data!I47*$C$3)/(Market_Price*Common_Shares))</f>
        <v>5.9615712595450961E-2</v>
      </c>
      <c r="N125" s="22">
        <f>IF(N$4="","",(Data!J47*$C$3)/(Market_Price*Common_Shares))</f>
        <v>7.955573151777566E-2</v>
      </c>
      <c r="O125" s="22">
        <f>IF(O$4="","",(Data!K47*$C$3)/(Market_Price*Common_Shares))</f>
        <v>6.6966065864892954E-2</v>
      </c>
      <c r="P125" s="22">
        <f>IF(P$4="","",(Data!L47*$C$3)/(Market_Price*Common_Shares))</f>
        <v>4.905714198038956E-2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-1.5374889522015911</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1.09146385</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1458179.1396547479</v>
      </c>
      <c r="D10" t="str">
        <f>Market_currency</f>
        <v>HKD</v>
      </c>
      <c r="H10" s="312" t="s">
        <v>398</v>
      </c>
      <c r="I10" s="310">
        <f>Normalized_FCF!C41</f>
        <v>0.25</v>
      </c>
      <c r="N10" s="308"/>
      <c r="O10" s="308"/>
    </row>
    <row r="11" spans="2:15" ht="13.15">
      <c r="B11" s="136" t="s">
        <v>428</v>
      </c>
      <c r="C11" s="108">
        <f>(C10*scaling_factor)/Common_Shares</f>
        <v>30.679161611341225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24.727506944369949</v>
      </c>
      <c r="J18" t="str">
        <f>Market_currency</f>
        <v>HKD</v>
      </c>
    </row>
    <row r="19" spans="1:21">
      <c r="L19" s="279"/>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299"/>
      <c r="H56" s="299"/>
      <c r="I56" s="299"/>
      <c r="J56" s="299"/>
      <c r="K56" s="299"/>
      <c r="L56" s="299"/>
    </row>
    <row r="57" spans="1:21" ht="13.15">
      <c r="A57" s="131">
        <v>6</v>
      </c>
      <c r="B57" s="118">
        <v>81649.57951077717</v>
      </c>
      <c r="C57" s="118">
        <v>982900.0365248028</v>
      </c>
      <c r="D57" s="118">
        <v>1340728.9421124994</v>
      </c>
      <c r="E57" s="118">
        <v>1410603.6016271054</v>
      </c>
      <c r="F57" s="118">
        <v>1560176.5741904797</v>
      </c>
      <c r="G57" s="299"/>
      <c r="H57" s="299"/>
      <c r="I57" s="299"/>
      <c r="J57" s="299"/>
      <c r="K57" s="299"/>
      <c r="L57" s="299"/>
    </row>
    <row r="58" spans="1:21" ht="13.15">
      <c r="A58" s="131">
        <v>7</v>
      </c>
      <c r="B58" s="118">
        <v>75047.383229933679</v>
      </c>
      <c r="C58" s="118">
        <v>951839.42246808228</v>
      </c>
      <c r="D58" s="118">
        <v>1349699.6485321324</v>
      </c>
      <c r="E58" s="118">
        <v>1429637.5736874971</v>
      </c>
      <c r="F58" s="118">
        <v>1602948.4629226136</v>
      </c>
      <c r="G58" s="299"/>
      <c r="H58" s="299"/>
      <c r="I58" s="299"/>
      <c r="J58" s="299"/>
      <c r="K58" s="299"/>
      <c r="L58" s="299"/>
    </row>
    <row r="59" spans="1:21" ht="13.15">
      <c r="A59" s="131">
        <v>8</v>
      </c>
      <c r="B59" s="118">
        <v>71969.436245857461</v>
      </c>
      <c r="C59" s="118">
        <v>924326.52423602215</v>
      </c>
      <c r="D59" s="118">
        <v>1358147.5865123929</v>
      </c>
      <c r="E59" s="118">
        <v>1447739.8128498273</v>
      </c>
      <c r="F59" s="118">
        <v>1644424.2338143792</v>
      </c>
      <c r="G59" s="299"/>
      <c r="H59" s="299"/>
      <c r="I59" s="299"/>
      <c r="J59" s="299"/>
      <c r="K59" s="299"/>
      <c r="L59" s="299"/>
    </row>
    <row r="60" spans="1:21" ht="13.15">
      <c r="A60" s="131">
        <v>9</v>
      </c>
      <c r="B60" s="118">
        <v>70534.495926940814</v>
      </c>
      <c r="C60" s="118">
        <v>899956.12486962858</v>
      </c>
      <c r="D60" s="118">
        <v>1366103.2204145496</v>
      </c>
      <c r="E60" s="118">
        <v>1464955.9284167988</v>
      </c>
      <c r="F60" s="118">
        <v>1684643.1631639698</v>
      </c>
      <c r="G60" s="299"/>
      <c r="H60" s="299"/>
      <c r="I60" s="299"/>
      <c r="J60" s="299"/>
      <c r="K60" s="299"/>
      <c r="L60" s="299"/>
    </row>
    <row r="61" spans="1:21" ht="13.15">
      <c r="A61" s="131">
        <v>10</v>
      </c>
      <c r="B61" s="118">
        <v>69865.526081292017</v>
      </c>
      <c r="C61" s="118">
        <v>878369.29093203065</v>
      </c>
      <c r="D61" s="118">
        <v>1373595.2392874432</v>
      </c>
      <c r="E61" s="118">
        <v>1481329.2970679048</v>
      </c>
      <c r="F61" s="118">
        <v>1723643.3370787252</v>
      </c>
      <c r="G61" s="299"/>
      <c r="H61" s="299"/>
      <c r="I61" s="299"/>
      <c r="J61" s="299"/>
      <c r="K61" s="299"/>
      <c r="L61" s="299"/>
    </row>
    <row r="62" spans="1:21" ht="13.15">
      <c r="A62" s="131">
        <v>15</v>
      </c>
      <c r="B62" s="118">
        <v>69294.139563889898</v>
      </c>
      <c r="C62" s="281">
        <v>802247.99225439283</v>
      </c>
      <c r="D62" s="118">
        <v>1404993.4945981686</v>
      </c>
      <c r="E62" s="118">
        <v>1551930.1671160657</v>
      </c>
      <c r="F62" s="118">
        <v>1901617.0292700073</v>
      </c>
      <c r="G62" s="299"/>
      <c r="H62" s="299"/>
      <c r="I62" s="299"/>
      <c r="J62" s="299"/>
      <c r="K62" s="299"/>
      <c r="L62" s="299"/>
      <c r="M62" s="279"/>
      <c r="N62" s="279"/>
      <c r="O62" s="279"/>
      <c r="P62" s="279"/>
      <c r="Q62" s="279"/>
      <c r="R62" s="279"/>
      <c r="S62" s="279"/>
      <c r="T62" s="279"/>
      <c r="U62" s="279"/>
    </row>
    <row r="63" spans="1:21" ht="13.15">
      <c r="A63" s="132">
        <v>20</v>
      </c>
      <c r="B63" s="118">
        <v>69281.556294166861</v>
      </c>
      <c r="C63" s="281">
        <v>760739.4280561069</v>
      </c>
      <c r="D63" s="118">
        <v>1428249.0052953763</v>
      </c>
      <c r="E63" s="118">
        <v>1606862.0401554126</v>
      </c>
      <c r="F63" s="118">
        <v>2054210.5180442566</v>
      </c>
      <c r="G63" s="299"/>
      <c r="H63" s="299"/>
      <c r="I63" s="299"/>
      <c r="J63" s="299"/>
      <c r="K63" s="299"/>
      <c r="L63" s="299"/>
      <c r="M63" s="279"/>
      <c r="N63" s="279"/>
      <c r="O63" s="279"/>
      <c r="P63" s="279"/>
      <c r="Q63" s="279"/>
      <c r="R63" s="279"/>
      <c r="S63" s="279"/>
      <c r="T63" s="279"/>
      <c r="U63" s="279"/>
    </row>
    <row r="64" spans="1:21" ht="13.15">
      <c r="A64" s="132">
        <v>25</v>
      </c>
      <c r="B64" s="118">
        <v>69281.279181088248</v>
      </c>
      <c r="C64" s="281">
        <v>738105.01519486913</v>
      </c>
      <c r="D64" s="118">
        <v>1445473.4903005415</v>
      </c>
      <c r="E64" s="118">
        <v>1649602.4578521419</v>
      </c>
      <c r="F64" s="118">
        <v>2185043.185106481</v>
      </c>
      <c r="G64" s="299"/>
      <c r="H64" s="299"/>
      <c r="I64" s="299"/>
      <c r="J64" s="299"/>
      <c r="K64" s="299"/>
      <c r="L64" s="299"/>
      <c r="M64" s="279"/>
      <c r="N64" s="279"/>
      <c r="O64" s="279"/>
      <c r="P64" s="279"/>
      <c r="Q64" s="279"/>
      <c r="R64" s="279"/>
      <c r="S64" s="279"/>
      <c r="T64" s="279"/>
      <c r="U64" s="279"/>
    </row>
    <row r="65" spans="1:21" ht="13.15">
      <c r="A65" s="132">
        <v>30</v>
      </c>
      <c r="B65" s="118">
        <v>69281.273078409038</v>
      </c>
      <c r="C65" s="281">
        <v>725762.58284462849</v>
      </c>
      <c r="D65" s="118">
        <v>1458231.0206577992</v>
      </c>
      <c r="E65" s="118">
        <v>1682857.1641604893</v>
      </c>
      <c r="F65" s="118">
        <v>2297218.2648435887</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30.679161611341225</v>
      </c>
      <c r="C69" s="119">
        <f>C11</f>
        <v>30.679161611341225</v>
      </c>
      <c r="D69" s="119">
        <f>C11</f>
        <v>30.679161611341225</v>
      </c>
      <c r="E69" s="119">
        <f>C11</f>
        <v>30.679161611341225</v>
      </c>
      <c r="F69" s="119">
        <f>C11</f>
        <v>30.679161611341225</v>
      </c>
      <c r="G69" s="300"/>
      <c r="H69" s="300"/>
      <c r="I69" s="300"/>
      <c r="J69" s="300"/>
      <c r="K69" s="300"/>
      <c r="L69" s="300"/>
    </row>
    <row r="70" spans="1:21" ht="13.15">
      <c r="A70" s="131">
        <f>A56</f>
        <v>5</v>
      </c>
      <c r="B70" s="119">
        <f t="shared" ref="B70:F74" si="11">(B56+FV_adjustments)/Common_Shares*scaling_factor*Exchange_Rate</f>
        <v>0.66269327549471868</v>
      </c>
      <c r="C70" s="119">
        <f t="shared" si="11"/>
        <v>21.838778355770412</v>
      </c>
      <c r="D70" s="119">
        <f t="shared" si="11"/>
        <v>29.031866963633345</v>
      </c>
      <c r="E70" s="119">
        <f t="shared" si="11"/>
        <v>30.395608437440448</v>
      </c>
      <c r="F70" s="119">
        <f t="shared" si="11"/>
        <v>33.277051084636724</v>
      </c>
      <c r="G70" s="300"/>
      <c r="H70" s="300"/>
      <c r="I70" s="300"/>
      <c r="J70" s="300"/>
      <c r="K70" s="300"/>
      <c r="L70" s="300"/>
    </row>
    <row r="71" spans="1:21" ht="13.15">
      <c r="A71" s="131">
        <v>6</v>
      </c>
      <c r="B71" s="119">
        <f t="shared" si="11"/>
        <v>0.33748791888298008</v>
      </c>
      <c r="C71" s="119">
        <f t="shared" si="11"/>
        <v>21.033537697469438</v>
      </c>
      <c r="D71" s="119">
        <f t="shared" si="11"/>
        <v>29.250615186446332</v>
      </c>
      <c r="E71" s="119">
        <f t="shared" si="11"/>
        <v>30.855196266346478</v>
      </c>
      <c r="F71" s="119">
        <f t="shared" si="11"/>
        <v>34.289945909590841</v>
      </c>
      <c r="G71" s="300"/>
      <c r="H71" s="300"/>
      <c r="I71" s="300"/>
      <c r="J71" s="300"/>
      <c r="K71" s="300"/>
      <c r="L71" s="300"/>
    </row>
    <row r="72" spans="1:21" ht="13.15">
      <c r="A72" s="131">
        <f t="shared" ref="A72" si="12">A58</f>
        <v>7</v>
      </c>
      <c r="B72" s="119">
        <f t="shared" si="11"/>
        <v>0.18587703001969835</v>
      </c>
      <c r="C72" s="119">
        <f t="shared" si="11"/>
        <v>20.320270913892823</v>
      </c>
      <c r="D72" s="119">
        <f t="shared" si="11"/>
        <v>29.456615843827322</v>
      </c>
      <c r="E72" s="119">
        <f t="shared" si="11"/>
        <v>31.292286788942416</v>
      </c>
      <c r="F72" s="119">
        <f t="shared" si="11"/>
        <v>35.272146951970591</v>
      </c>
      <c r="G72" s="300"/>
      <c r="H72" s="300"/>
      <c r="I72" s="300"/>
      <c r="J72" s="300"/>
      <c r="K72" s="300"/>
      <c r="L72" s="300"/>
    </row>
    <row r="73" spans="1:21" ht="13.15">
      <c r="A73" s="131">
        <v>8</v>
      </c>
      <c r="B73" s="119">
        <f t="shared" si="11"/>
        <v>0.11519596295056939</v>
      </c>
      <c r="C73" s="119">
        <f t="shared" si="11"/>
        <v>19.688472830538245</v>
      </c>
      <c r="D73" s="119">
        <f t="shared" si="11"/>
        <v>29.650611800894744</v>
      </c>
      <c r="E73" s="119">
        <f t="shared" si="11"/>
        <v>31.70798127197072</v>
      </c>
      <c r="F73" s="119">
        <f t="shared" si="11"/>
        <v>36.224584326399423</v>
      </c>
      <c r="G73" s="300"/>
      <c r="H73" s="300"/>
      <c r="I73" s="300"/>
      <c r="J73" s="300"/>
      <c r="K73" s="300"/>
      <c r="L73" s="300"/>
    </row>
    <row r="74" spans="1:21" ht="13.15">
      <c r="A74" s="131">
        <f t="shared" ref="A74" si="13">A60</f>
        <v>9</v>
      </c>
      <c r="B74" s="119">
        <f t="shared" si="11"/>
        <v>8.2244416531395109E-2</v>
      </c>
      <c r="C74" s="119">
        <f t="shared" si="11"/>
        <v>19.128838164629759</v>
      </c>
      <c r="D74" s="119">
        <f t="shared" si="11"/>
        <v>29.833302632258928</v>
      </c>
      <c r="E74" s="119">
        <f t="shared" si="11"/>
        <v>32.103327074011617</v>
      </c>
      <c r="F74" s="119">
        <f t="shared" si="11"/>
        <v>37.148159962209199</v>
      </c>
      <c r="G74" s="300"/>
      <c r="H74" s="300"/>
      <c r="I74" s="300"/>
      <c r="J74" s="300"/>
      <c r="K74" s="300"/>
      <c r="L74" s="300"/>
    </row>
    <row r="75" spans="1:21" ht="13.15">
      <c r="A75" s="131">
        <f t="shared" ref="A75:A79" si="14">A61</f>
        <v>10</v>
      </c>
      <c r="B75" s="119">
        <f t="shared" ref="B75:F79" si="15">(B61+FV_adjustments)/Common_Shares*scaling_factor*Exchange_Rate</f>
        <v>6.6882390228749561E-2</v>
      </c>
      <c r="C75" s="119">
        <f t="shared" si="15"/>
        <v>18.633124474547653</v>
      </c>
      <c r="D75" s="119">
        <f t="shared" si="15"/>
        <v>30.005347144779051</v>
      </c>
      <c r="E75" s="119">
        <f t="shared" si="15"/>
        <v>32.479320284344233</v>
      </c>
      <c r="F75" s="119">
        <f t="shared" si="15"/>
        <v>38.04374845753992</v>
      </c>
      <c r="G75" s="300"/>
      <c r="H75" s="300"/>
      <c r="I75" s="300"/>
      <c r="J75" s="300"/>
      <c r="K75" s="300"/>
      <c r="L75" s="300"/>
    </row>
    <row r="76" spans="1:21" ht="13.15">
      <c r="A76" s="131">
        <f t="shared" si="14"/>
        <v>15</v>
      </c>
      <c r="B76" s="119">
        <f t="shared" si="15"/>
        <v>5.3761238705401823E-2</v>
      </c>
      <c r="C76" s="119">
        <f t="shared" si="15"/>
        <v>16.885097414608506</v>
      </c>
      <c r="D76" s="119">
        <f t="shared" si="15"/>
        <v>30.726367422565637</v>
      </c>
      <c r="E76" s="119">
        <f t="shared" si="15"/>
        <v>34.100577848827783</v>
      </c>
      <c r="F76" s="119">
        <f t="shared" si="15"/>
        <v>42.130683852916121</v>
      </c>
      <c r="G76" s="300"/>
      <c r="H76" s="300"/>
      <c r="I76" s="300"/>
      <c r="J76" s="300"/>
      <c r="K76" s="300"/>
      <c r="L76" s="300"/>
    </row>
    <row r="77" spans="1:21" ht="13.15">
      <c r="A77" s="132">
        <f t="shared" si="14"/>
        <v>20</v>
      </c>
      <c r="B77" s="119">
        <f t="shared" si="15"/>
        <v>5.3472280209415975E-2</v>
      </c>
      <c r="C77" s="119">
        <f t="shared" si="15"/>
        <v>15.931906984357212</v>
      </c>
      <c r="D77" s="119">
        <f t="shared" si="15"/>
        <v>31.260400113778317</v>
      </c>
      <c r="E77" s="119">
        <f t="shared" si="15"/>
        <v>35.362017185701966</v>
      </c>
      <c r="F77" s="119">
        <f t="shared" si="15"/>
        <v>45.634795739886165</v>
      </c>
      <c r="G77" s="300"/>
      <c r="H77" s="300"/>
      <c r="I77" s="300"/>
      <c r="J77" s="300"/>
      <c r="K77" s="300"/>
      <c r="L77" s="300"/>
    </row>
    <row r="78" spans="1:21" ht="13.15">
      <c r="A78" s="132">
        <f t="shared" si="14"/>
        <v>25</v>
      </c>
      <c r="B78" s="119">
        <f t="shared" si="15"/>
        <v>5.3465916666380134E-2</v>
      </c>
      <c r="C78" s="119">
        <f t="shared" si="15"/>
        <v>15.412137000731047</v>
      </c>
      <c r="D78" s="119">
        <f t="shared" si="15"/>
        <v>31.655938109130329</v>
      </c>
      <c r="E78" s="119">
        <f t="shared" si="15"/>
        <v>36.343495536503305</v>
      </c>
      <c r="F78" s="119">
        <f t="shared" si="15"/>
        <v>48.639198532819108</v>
      </c>
      <c r="G78" s="300"/>
      <c r="H78" s="300"/>
      <c r="I78" s="300"/>
      <c r="J78" s="300"/>
      <c r="K78" s="300"/>
      <c r="L78" s="300"/>
    </row>
    <row r="79" spans="1:21" ht="13.15">
      <c r="A79" s="132">
        <f t="shared" si="14"/>
        <v>30</v>
      </c>
      <c r="B79" s="119">
        <f t="shared" si="15"/>
        <v>5.3465776526254019E-2</v>
      </c>
      <c r="C79" s="119">
        <f t="shared" si="15"/>
        <v>15.128709023167822</v>
      </c>
      <c r="D79" s="119">
        <f t="shared" si="15"/>
        <v>31.948898274943069</v>
      </c>
      <c r="E79" s="119">
        <f t="shared" si="15"/>
        <v>37.107146807660577</v>
      </c>
      <c r="F79" s="119">
        <f t="shared" si="15"/>
        <v>51.215153991247199</v>
      </c>
      <c r="G79" s="300"/>
      <c r="H79" s="300"/>
      <c r="I79" s="300"/>
      <c r="J79" s="300"/>
      <c r="K79" s="300"/>
      <c r="L79" s="300"/>
    </row>
    <row r="81" spans="2:12" ht="13.15">
      <c r="B81" s="153" t="s">
        <v>101</v>
      </c>
      <c r="C81" s="153" t="s">
        <v>110</v>
      </c>
      <c r="D81" s="153" t="s">
        <v>99</v>
      </c>
      <c r="E81" s="154" t="s">
        <v>100</v>
      </c>
      <c r="F81" s="154" t="s">
        <v>460</v>
      </c>
      <c r="G81" s="327"/>
      <c r="H81" s="327"/>
      <c r="I81" s="327"/>
      <c r="J81" s="327"/>
      <c r="K81" s="327"/>
      <c r="L81" s="327"/>
    </row>
    <row r="82" spans="2:12">
      <c r="B82" s="120" t="str">
        <f>Scenarios!B29</f>
        <v>Snowball Scenario</v>
      </c>
      <c r="C82" s="130">
        <f>Scenarios!C29</f>
        <v>0.04</v>
      </c>
      <c r="D82" s="133">
        <f>Scenarios!D29</f>
        <v>5</v>
      </c>
      <c r="E82" s="127">
        <f>INDEX(B$69:F$79, MATCH(D82, A$69:A$79, 0), MATCH(C82, B$68:F$68, 0))</f>
        <v>33.277051084636724</v>
      </c>
      <c r="F82" s="130">
        <f>Scenarios!F29</f>
        <v>0.05</v>
      </c>
      <c r="G82" s="301"/>
      <c r="H82" s="301"/>
      <c r="I82" s="301"/>
      <c r="J82" s="301"/>
      <c r="K82" s="301"/>
      <c r="L82" s="301"/>
    </row>
    <row r="83" spans="2:12">
      <c r="B83" s="120" t="str">
        <f>Scenarios!B22</f>
        <v>Optimistic</v>
      </c>
      <c r="C83" s="130">
        <f>Scenarios!C22</f>
        <v>0.02</v>
      </c>
      <c r="D83" s="133">
        <f>Scenarios!D22</f>
        <v>5</v>
      </c>
      <c r="E83" s="127">
        <f>INDEX(B$69:F$79, MATCH(D83, A$69:A$79, 0), MATCH(C83, B$68:F$68, 0))</f>
        <v>30.395608437440448</v>
      </c>
      <c r="F83" s="130">
        <f>Scenarios!F22*(1-F$82-F$86)</f>
        <v>0.24000000000000002</v>
      </c>
      <c r="G83" s="301"/>
      <c r="H83" s="301"/>
      <c r="I83" s="301"/>
      <c r="J83" s="301"/>
      <c r="K83" s="301"/>
      <c r="L83" s="301"/>
    </row>
    <row r="84" spans="2:12">
      <c r="B84" s="120" t="str">
        <f>Scenarios!B23</f>
        <v>Base</v>
      </c>
      <c r="C84" s="130">
        <f>Scenarios!C23</f>
        <v>0.01</v>
      </c>
      <c r="D84" s="133">
        <f>Scenarios!D23</f>
        <v>5</v>
      </c>
      <c r="E84" s="127">
        <f>INDEX(B$69:F$79, MATCH(D84, A$69:A$79, 0), MATCH(C84, B$68:F$68, 0))</f>
        <v>29.031866963633345</v>
      </c>
      <c r="F84" s="130">
        <f>Scenarios!F23*(1-F$82-F$86)</f>
        <v>0.47999999999999993</v>
      </c>
      <c r="G84" s="301"/>
      <c r="H84" s="301"/>
      <c r="I84" s="301"/>
      <c r="J84" s="301"/>
      <c r="K84" s="301"/>
      <c r="L84" s="301"/>
    </row>
    <row r="85" spans="2:12">
      <c r="B85" s="120" t="str">
        <f>Scenarios!B24</f>
        <v>Pessimistic</v>
      </c>
      <c r="C85" s="130">
        <f>Scenarios!C24</f>
        <v>-0.05</v>
      </c>
      <c r="D85" s="133">
        <f>Scenarios!D24</f>
        <v>5</v>
      </c>
      <c r="E85" s="127">
        <f>INDEX(B$69:F$79, MATCH(D85, A$69:A$79, 0), MATCH(C85, B$68:F$68, 0))</f>
        <v>21.838778355770412</v>
      </c>
      <c r="F85" s="130">
        <f>Scenarios!F24*(1-F$82-F$86)</f>
        <v>0.08</v>
      </c>
      <c r="G85" s="301"/>
      <c r="H85" s="301"/>
      <c r="I85" s="301"/>
      <c r="J85" s="301"/>
      <c r="K85" s="301"/>
      <c r="L85" s="301"/>
    </row>
    <row r="86" spans="2:12">
      <c r="B86" s="120" t="str">
        <f>Scenarios!B30</f>
        <v>Devil's advocate</v>
      </c>
      <c r="C86" s="130">
        <f>Scenarios!C30</f>
        <v>-0.5</v>
      </c>
      <c r="D86" s="133">
        <f>Scenarios!D30</f>
        <v>5</v>
      </c>
      <c r="E86" s="127">
        <f>INDEX(B$69:F$79, MATCH(D86, A$69:A$79, 0), MATCH(C86, B$68:F$68, 0))</f>
        <v>0.66269327549471868</v>
      </c>
      <c r="F86" s="130">
        <f>Scenarios!F30</f>
        <v>0.15</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549</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DCF!E83</f>
        <v>30.395608437440448</v>
      </c>
      <c r="F22" s="332">
        <f>1-F23-F24</f>
        <v>0.30000000000000004</v>
      </c>
      <c r="G22" s="332">
        <f>F22*(1-F$29-F$30)</f>
        <v>0.24000000000000002</v>
      </c>
    </row>
    <row r="23" spans="2:7">
      <c r="B23" s="306" t="s">
        <v>440</v>
      </c>
      <c r="C23" s="328">
        <v>0.01</v>
      </c>
      <c r="D23" s="329">
        <f>C18</f>
        <v>5</v>
      </c>
      <c r="E23" s="330">
        <f>DCF!E84</f>
        <v>29.031866963633345</v>
      </c>
      <c r="F23" s="331">
        <v>0.6</v>
      </c>
      <c r="G23" s="332">
        <f t="shared" ref="G23:G24" si="0">F23*(1-F$29-F$30)</f>
        <v>0.47999999999999993</v>
      </c>
    </row>
    <row r="24" spans="2:7">
      <c r="B24" s="306" t="s">
        <v>449</v>
      </c>
      <c r="C24" s="328">
        <v>-0.05</v>
      </c>
      <c r="D24" s="329">
        <f>C18</f>
        <v>5</v>
      </c>
      <c r="E24" s="330">
        <f>DCF!E85</f>
        <v>21.838778355770412</v>
      </c>
      <c r="F24" s="331">
        <v>0.1</v>
      </c>
      <c r="G24" s="332">
        <f t="shared" si="0"/>
        <v>0.08</v>
      </c>
    </row>
    <row r="25" spans="2:7">
      <c r="B25" s="141" t="s">
        <v>454</v>
      </c>
      <c r="C25" s="446">
        <f>E23*F23+E24*F24+E22*F22</f>
        <v>28.72168054498918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DCF!E82</f>
        <v>33.277051084636724</v>
      </c>
      <c r="F29" s="331">
        <v>0.05</v>
      </c>
      <c r="G29" s="332">
        <f>F29</f>
        <v>0.05</v>
      </c>
    </row>
    <row r="30" spans="2:7">
      <c r="B30" s="319" t="s">
        <v>450</v>
      </c>
      <c r="C30" s="328">
        <v>-0.5</v>
      </c>
      <c r="D30" s="329">
        <f>C18</f>
        <v>5</v>
      </c>
      <c r="E30" s="330">
        <f>DCF!E86</f>
        <v>0.66269327549471868</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18.59</v>
      </c>
      <c r="D34" t="str">
        <f>Market_currency</f>
        <v>HKD</v>
      </c>
      <c r="E34" s="97" t="s">
        <v>457</v>
      </c>
      <c r="F34" s="334">
        <f>RATE(Holding_Period,$C$33,-C34,$C$36)</f>
        <v>0.16198065963162989</v>
      </c>
    </row>
    <row r="35" spans="2:7">
      <c r="B35" s="97" t="s">
        <v>437</v>
      </c>
      <c r="C35" s="324">
        <f>DCF!C11</f>
        <v>30.679161611341225</v>
      </c>
      <c r="D35" s="97" t="str">
        <f>Market_currency</f>
        <v>HKD</v>
      </c>
      <c r="E35" s="97" t="s">
        <v>457</v>
      </c>
      <c r="F35" s="334">
        <f>RATE(Holding_Period,$C$33,-C35,$C$36)</f>
        <v>-2.5100039951747557E-2</v>
      </c>
    </row>
    <row r="36" spans="2:7">
      <c r="B36" s="97" t="s">
        <v>438</v>
      </c>
      <c r="C36" s="325">
        <f>E22*G22+E23*G23+E24*G24+E30*G30+E29*G29</f>
        <v>24.740600981547388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24.727506944369949</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7.2525119020090179E-2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11.401198609008016</v>
      </c>
      <c r="E62" s="336">
        <f>C62+D62</f>
        <v>13.706811594906767</v>
      </c>
      <c r="F62" s="305">
        <f>Thesis!E22</f>
        <v>0.29465259038036606</v>
      </c>
      <c r="G62" s="445">
        <f>(1-E62/C36)</f>
        <v>0.4459790364377203</v>
      </c>
    </row>
    <row r="63" spans="2:7" ht="13.15">
      <c r="B63" s="306" t="s">
        <v>313</v>
      </c>
      <c r="C63" s="119">
        <f>PV(F63, Holding_Period, -C58, 0)</f>
        <v>2.6510449735590389</v>
      </c>
      <c r="D63" s="119">
        <f>C36/(1+F63)^Holding_Period</f>
        <v>14.290599844937125</v>
      </c>
      <c r="E63" s="336">
        <f>C63+D63</f>
        <v>16.941644818496165</v>
      </c>
      <c r="F63" s="305">
        <f>Thesis!E23</f>
        <v>0.20075184365903009</v>
      </c>
      <c r="G63" s="445">
        <f>(1-E63/C36)</f>
        <v>0.31522905077641494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17.733082882956317</v>
      </c>
      <c r="E66" s="336">
        <f>C66+D66</f>
        <v>20.772962821639016</v>
      </c>
      <c r="F66" s="305">
        <f>Thesis!E24</f>
        <v>0.1174</v>
      </c>
      <c r="G66" s="445">
        <f>(1-E66/C36)</f>
        <v>0.16036951417904555</v>
      </c>
    </row>
    <row r="67" spans="2:7" ht="13.15">
      <c r="B67" s="306" t="s">
        <v>314</v>
      </c>
      <c r="C67" s="119">
        <f>PV(F67, Holding_Period, -C58, 0)</f>
        <v>3.2915927862380006</v>
      </c>
      <c r="D67" s="119">
        <f>C36/(1+F67)^Holding_Period</f>
        <v>20.054800331103795</v>
      </c>
      <c r="E67" s="336">
        <f>C67+D67</f>
        <v>23.346393117341798</v>
      </c>
      <c r="F67" s="305">
        <f>Thesis!E25</f>
        <v>7.2499999999999995E-2</v>
      </c>
      <c r="G67" s="445">
        <f>(1-E67/C36)</f>
        <v>5.6353031409602794E-2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18.59</v>
      </c>
    </row>
    <row r="9" spans="1:10">
      <c r="B9" s="355" t="s">
        <v>361</v>
      </c>
      <c r="C9" s="357">
        <f>Common_Shares</f>
        <v>47529953984</v>
      </c>
    </row>
    <row r="10" spans="1:10">
      <c r="B10" s="355" t="s">
        <v>367</v>
      </c>
      <c r="C10" s="361">
        <f>投资主题!C8*Common_Shares/1000000</f>
        <v>883581.84456255997</v>
      </c>
      <c r="D10" s="347" t="s">
        <v>532</v>
      </c>
      <c r="E10" s="364">
        <f>Scenarios!F34</f>
        <v>0.16198065963162989</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1.09146385</v>
      </c>
    </row>
    <row r="17" spans="1:6">
      <c r="B17" s="347" t="s">
        <v>538</v>
      </c>
      <c r="C17" s="429">
        <f>Terminal_Growth</f>
        <v>0</v>
      </c>
      <c r="D17" s="355" t="s">
        <v>339</v>
      </c>
      <c r="E17" s="348" t="str">
        <f>Reporting_currency</f>
        <v>CNY</v>
      </c>
    </row>
    <row r="18" spans="1:6">
      <c r="B18" s="347" t="str">
        <f>"预期股权价值 ("&amp;C7&amp;") :"</f>
        <v>预期股权价值 (HKD) :</v>
      </c>
      <c r="C18" s="363">
        <f>C125</f>
        <v>24.740600981547388</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13.706811594906767</v>
      </c>
      <c r="D22" s="369" t="s">
        <v>443</v>
      </c>
      <c r="E22" s="370">
        <f>Thesis!E22</f>
        <v>0.29465259038036606</v>
      </c>
    </row>
    <row r="23" spans="1:6">
      <c r="B23" s="347" t="s">
        <v>341</v>
      </c>
      <c r="C23" s="371">
        <f>E141</f>
        <v>16.941644818496165</v>
      </c>
      <c r="D23" s="369" t="s">
        <v>444</v>
      </c>
      <c r="E23" s="372">
        <f>Thesis!E23</f>
        <v>0.20075184365903009</v>
      </c>
    </row>
    <row r="24" spans="1:6">
      <c r="B24" s="347" t="s">
        <v>343</v>
      </c>
      <c r="C24" s="371">
        <f>E144</f>
        <v>20.772962821639016</v>
      </c>
      <c r="D24" s="369" t="s">
        <v>446</v>
      </c>
      <c r="E24" s="372">
        <f>Thesis!E24</f>
        <v>0.1174</v>
      </c>
    </row>
    <row r="25" spans="1:6">
      <c r="B25" s="347" t="s">
        <v>342</v>
      </c>
      <c r="C25" s="371">
        <f>E145</f>
        <v>23.346393117341798</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0.12564320418810407</v>
      </c>
      <c r="F62" s="383"/>
    </row>
    <row r="63" spans="2:6">
      <c r="B63" s="381" t="s">
        <v>332</v>
      </c>
      <c r="C63" s="382">
        <f>Normalized_FCF!C92</f>
        <v>6.7778375470683161E-2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-72545</v>
      </c>
      <c r="D78" s="347" t="str">
        <f>Reporting_currency</f>
        <v>CNY</v>
      </c>
    </row>
    <row r="79" spans="1:6">
      <c r="B79" s="376" t="s">
        <v>234</v>
      </c>
      <c r="C79" s="391">
        <f>C78*scaling_factor*Exchange_Rate/Common_Shares</f>
        <v>-1.6659019915084377</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0.12841303930684655</v>
      </c>
      <c r="D90" s="347" t="str">
        <f>Market_currency</f>
        <v>HKD</v>
      </c>
    </row>
    <row r="92" spans="1:6">
      <c r="B92" s="376" t="s">
        <v>483</v>
      </c>
      <c r="C92" s="391">
        <f>DCF!F8</f>
        <v>-1.5374889522015911</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0.44897373343273361</v>
      </c>
      <c r="D111" s="347" t="str">
        <f>Market_currency</f>
        <v>HKD</v>
      </c>
    </row>
    <row r="112" spans="1:6">
      <c r="A112" s="389"/>
      <c r="B112" s="376" t="s">
        <v>377</v>
      </c>
      <c r="C112" s="398">
        <f>DCF!C11</f>
        <v>30.679161611341225</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DCF!B82</f>
        <v>Snowball Scenario</v>
      </c>
      <c r="C118" s="400">
        <f>DCF!C82</f>
        <v>0.04</v>
      </c>
      <c r="D118" s="401">
        <f>DCF!D82</f>
        <v>5</v>
      </c>
      <c r="E118" s="402" t="str">
        <f>ROUND(DCF!E82,2)&amp;" "&amp;Market_currency</f>
        <v>33.28 HKD</v>
      </c>
      <c r="F118" s="403">
        <f>DCF!F82</f>
        <v>0.05</v>
      </c>
    </row>
    <row r="119" spans="1:6">
      <c r="A119" s="389"/>
      <c r="B119" s="404" t="str">
        <f>DCF!B83</f>
        <v>Optimistic</v>
      </c>
      <c r="C119" s="405">
        <f>DCF!C83</f>
        <v>0.02</v>
      </c>
      <c r="D119" s="406">
        <f>DCF!D83</f>
        <v>5</v>
      </c>
      <c r="E119" s="402" t="str">
        <f>ROUND(DCF!E83,2)&amp;" "&amp;Market_currency</f>
        <v>30.4 HKD</v>
      </c>
      <c r="F119" s="407">
        <f>DCF!F83</f>
        <v>0.24000000000000002</v>
      </c>
    </row>
    <row r="120" spans="1:6">
      <c r="B120" s="404" t="str">
        <f>DCF!B84</f>
        <v>Base</v>
      </c>
      <c r="C120" s="405">
        <f>DCF!C84</f>
        <v>0.01</v>
      </c>
      <c r="D120" s="406">
        <f>DCF!D84</f>
        <v>5</v>
      </c>
      <c r="E120" s="402" t="str">
        <f>ROUND(DCF!E84,2)&amp;" "&amp;Market_currency</f>
        <v>29.03 HKD</v>
      </c>
      <c r="F120" s="407">
        <f>DCF!F84</f>
        <v>0.47999999999999993</v>
      </c>
    </row>
    <row r="121" spans="1:6">
      <c r="B121" s="404" t="str">
        <f>DCF!B85</f>
        <v>Pessimistic</v>
      </c>
      <c r="C121" s="405">
        <f>DCF!C85</f>
        <v>-0.05</v>
      </c>
      <c r="D121" s="406">
        <f>DCF!D85</f>
        <v>5</v>
      </c>
      <c r="E121" s="402" t="str">
        <f>ROUND(DCF!E85,2)&amp;" "&amp;Market_currency</f>
        <v>21.84 HKD</v>
      </c>
      <c r="F121" s="407">
        <f>DCF!F85</f>
        <v>0.08</v>
      </c>
    </row>
    <row r="122" spans="1:6">
      <c r="B122" s="404" t="str">
        <f>DCF!B86</f>
        <v>Devil's advocate</v>
      </c>
      <c r="C122" s="405">
        <f>DCF!C86</f>
        <v>-0.5</v>
      </c>
      <c r="D122" s="406">
        <f>DCF!D86</f>
        <v>5</v>
      </c>
      <c r="E122" s="402" t="str">
        <f>ROUND(DCF!E86,2)&amp;" "&amp;Market_currency</f>
        <v>0.66 HKD</v>
      </c>
      <c r="F122" s="407">
        <f>DCF!F86</f>
        <v>0.15</v>
      </c>
    </row>
    <row r="124" spans="1:6">
      <c r="B124" s="466" t="s">
        <v>522</v>
      </c>
      <c r="C124" s="466"/>
      <c r="D124" s="466"/>
      <c r="E124" s="466"/>
      <c r="F124" s="466"/>
    </row>
    <row r="125" spans="1:6">
      <c r="B125" s="376" t="s">
        <v>218</v>
      </c>
      <c r="C125" s="408">
        <f>Scenarios!C36</f>
        <v>24.740600981547388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11.401198609008016</v>
      </c>
      <c r="E140" s="414">
        <f>Scenarios!E62</f>
        <v>13.706811594906767</v>
      </c>
      <c r="F140" s="415">
        <f>E22</f>
        <v>0.29465259038036606</v>
      </c>
    </row>
    <row r="141" spans="1:6">
      <c r="B141" s="412" t="s">
        <v>313</v>
      </c>
      <c r="C141" s="413">
        <f>Scenarios!C63</f>
        <v>2.6510449735590389</v>
      </c>
      <c r="D141" s="413">
        <f>Scenarios!D63</f>
        <v>14.290599844937125</v>
      </c>
      <c r="E141" s="414">
        <f>Scenarios!E63</f>
        <v>16.941644818496165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17.733082882956317</v>
      </c>
      <c r="E144" s="414">
        <f>Scenarios!E66</f>
        <v>20.772962821639016</v>
      </c>
      <c r="F144" s="415">
        <f>E24</f>
        <v>0.1174</v>
      </c>
    </row>
    <row r="145" spans="1:6">
      <c r="B145" s="412" t="s">
        <v>314</v>
      </c>
      <c r="C145" s="413">
        <f>Scenarios!C67</f>
        <v>3.2915927862380006</v>
      </c>
      <c r="D145" s="413">
        <f>Scenarios!D67</f>
        <v>20.054800331103795</v>
      </c>
      <c r="E145" s="414">
        <f>Scenarios!E67</f>
        <v>23.346393117341798</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