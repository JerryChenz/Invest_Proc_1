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1E0380-2F66-4D07-B722-9CCF9C56F45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<sst xmlns="http://schemas.openxmlformats.org/spreadsheetml/2006/main" count="769" uniqueCount="560">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</sst>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23.58</v>
      </c>
      <c r="E8" s="32"/>
    </row>
    <row r="9" spans="1:9">
      <c r="B9" s="4" t="s">
        <v>346</v>
      </c>
      <c r="C9" s="48">
        <f>44539953984+2990000000</f>
        <v>47529953984</v>
      </c>
    </row>
    <row r="10" spans="1:9">
      <c r="B10" s="4" t="s">
        <v>352</v>
      </c>
      <c r="C10" s="33">
        <f>Thesis!C8*Common_Shares/1000000</f>
        <v>1120756.3149427199</v>
      </c>
      <c r="D10" s="1" t="s">
        <v>528</v>
      </c>
      <c r="E10" s="303">
        <f>Scenarios!F34</f>
        <v>8.1657412135849566E-2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1.1254930708885194</v>
      </c>
    </row>
    <row r="17" spans="1:6">
      <c r="B17" s="1" t="s">
        <v>532</v>
      </c>
      <c r="C17" s="456">
        <v>0.01</v>
      </c>
      <c r="D17" s="4" t="s">
        <v>274</v>
      </c>
      <c r="E17" s="224" t="s">
        <v>559</v>
      </c>
    </row>
    <row r="18" spans="1:6">
      <c r="B18" s="1" t="str">
        <f>"Expected Equity Value ("&amp;C7&amp;") :"</f>
        <v>Expected Equity Value (HKD) :</v>
      </c>
      <c r="C18" s="252">
        <f>C125</f>
        <v>25.743907281854984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14.169164728689069</v>
      </c>
      <c r="D22" s="38" t="s">
        <v>406</v>
      </c>
      <c r="E22" s="79">
        <v>0.29465259038036606</v>
      </c>
    </row>
    <row r="23" spans="1:6">
      <c r="B23" s="1" t="s">
        <v>313</v>
      </c>
      <c r="C23" s="256">
        <f>E141</f>
        <v>17.521171923366978</v>
      </c>
      <c r="D23" s="38" t="s">
        <v>407</v>
      </c>
      <c r="E23" s="443">
        <v>0.20075184365903009</v>
      </c>
    </row>
    <row r="24" spans="1:6">
      <c r="B24" s="1" t="s">
        <v>315</v>
      </c>
      <c r="C24" s="256">
        <f>E144</f>
        <v>21.492093039761716</v>
      </c>
      <c r="D24" s="38" t="s">
        <v>408</v>
      </c>
      <c r="E24" s="443">
        <v>0.1174</v>
      </c>
    </row>
    <row r="25" spans="1:6">
      <c r="B25" s="1" t="s">
        <v>314</v>
      </c>
      <c r="C25" s="256">
        <f>E145</f>
        <v>24.159676009645601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0.10233001970651005</v>
      </c>
      <c r="F62" s="257"/>
    </row>
    <row r="63" spans="2:6">
      <c r="B63" s="204" t="s">
        <v>332</v>
      </c>
      <c r="C63" s="89">
        <f>Normalized_FCF!C92</f>
        <v>5.34351145038168E-2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-1.7178408137128238</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0.13241664939392253</v>
      </c>
      <c r="D90" s="1" t="str">
        <f>Market_currency</f>
        <v>HKD</v>
      </c>
    </row>
    <row r="91" spans="1:6">
      <c r="A91" s="191"/>
    </row>
    <row r="92" spans="1:6">
      <c r="A92" s="191"/>
      <c r="B92" s="44" t="s">
        <v>469</v>
      </c>
      <c r="C92" s="216">
        <f>DCF!F8</f>
        <v>-1.5854241643189013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0.4629716559000015</v>
      </c>
      <c r="D111" s="1" t="str">
        <f>Market_currency</f>
        <v>HKD</v>
      </c>
    </row>
    <row r="112" spans="2:6">
      <c r="B112" s="44" t="s">
        <v>323</v>
      </c>
      <c r="C112" s="216">
        <f>DCF!C11</f>
        <v>37.407716368901944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34.54 HKD</v>
      </c>
      <c r="E118" s="208">
        <f>DCF!F90</f>
        <v>0.05</v>
      </c>
      <c r="F118" s="208">
        <f>RATE(Holding_Period,Scenarios!C$58,-DCF!E90,C$18)</f>
        <v>-5.3032704829308046E-2</v>
      </c>
    </row>
    <row r="119" spans="2:6">
      <c r="B119" s="205" t="str">
        <f>DCF!B91&amp;" ("&amp;DCF!D91&amp;"yrs)"</f>
        <v>Optimistic (5yrs)</v>
      </c>
      <c r="C119" s="198">
        <f>DCF!C91</f>
        <v>0.02</v>
      </c>
      <c r="D119" s="207" t="str">
        <f>ROUND(DCF!E91,2)&amp;" "&amp;Market_currency</f>
        <v>31.57 HKD</v>
      </c>
      <c r="E119" s="199">
        <f>DCF!F91</f>
        <v>0.24000000000000002</v>
      </c>
      <c r="F119" s="208">
        <f>RATE(Holding_Period,Scenarios!C$58,-DCF!E91,C$18)</f>
        <v>-2.3008645202582362E-2</v>
      </c>
    </row>
    <row r="120" spans="2:6">
      <c r="B120" s="205" t="str">
        <f>DCF!B92&amp;" ("&amp;DCF!D92&amp;"yrs)"</f>
        <v>Base (5yrs)</v>
      </c>
      <c r="C120" s="198">
        <f>DCF!C92</f>
        <v>0.01</v>
      </c>
      <c r="D120" s="207" t="str">
        <f>ROUND(DCF!E92,2)&amp;" "&amp;Market_currency</f>
        <v>30.16 HKD</v>
      </c>
      <c r="E120" s="199">
        <f>DCF!F92</f>
        <v>0.47999999999999993</v>
      </c>
      <c r="F120" s="208">
        <f>RATE(Holding_Period,Scenarios!C$58,-DCF!E92,C$18)</f>
        <v>-7.4145177037191678E-3</v>
      </c>
    </row>
    <row r="121" spans="2:6">
      <c r="B121" s="205" t="str">
        <f>DCF!B93&amp;" ("&amp;DCF!D93&amp;"yrs)"</f>
        <v>Pessimistic (5yrs)</v>
      </c>
      <c r="C121" s="198">
        <f>DCF!C93</f>
        <v>-0.05</v>
      </c>
      <c r="D121" s="207" t="str">
        <f>ROUND(DCF!E93,2)&amp;" "&amp;Market_currency</f>
        <v>22.75 HKD</v>
      </c>
      <c r="E121" s="199">
        <f>DCF!F93</f>
        <v>0.08</v>
      </c>
      <c r="F121" s="208">
        <f>RATE(Holding_Period,Scenarios!C$58,-DCF!E93,C$18)</f>
        <v>9.5283222204247953E-2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3" t="s">
        <v>357</v>
      </c>
      <c r="C124" s="463"/>
      <c r="D124" s="463"/>
      <c r="E124" s="463"/>
      <c r="F124" s="463"/>
    </row>
    <row r="125" spans="2:6">
      <c r="B125" s="193" t="s">
        <v>218</v>
      </c>
      <c r="C125" s="197">
        <f>Scenarios!C36</f>
        <v>25.743907281854984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11.863551742790317</v>
      </c>
      <c r="E140" s="334">
        <f>Scenarios!E62</f>
        <v>14.169164728689069</v>
      </c>
      <c r="F140" s="335">
        <f>E22</f>
        <v>0.29465259038036606</v>
      </c>
    </row>
    <row r="141" spans="1:6">
      <c r="B141" s="336" t="s">
        <v>313</v>
      </c>
      <c r="C141" s="333">
        <f>Scenarios!C63</f>
        <v>2.6510449735590389</v>
      </c>
      <c r="D141" s="333">
        <f>Scenarios!D63</f>
        <v>14.87012694980794</v>
      </c>
      <c r="E141" s="334">
        <f>Scenarios!E63</f>
        <v>17.521171923366978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18.452213101079018</v>
      </c>
      <c r="E144" s="334">
        <f>Scenarios!E66</f>
        <v>21.492093039761716</v>
      </c>
      <c r="F144" s="335">
        <f>E24</f>
        <v>0.1174</v>
      </c>
    </row>
    <row r="145" spans="1:6">
      <c r="B145" s="336" t="s">
        <v>314</v>
      </c>
      <c r="C145" s="333">
        <f>Scenarios!C67</f>
        <v>3.2915927862380006</v>
      </c>
      <c r="D145" s="333">
        <f>Scenarios!D67</f>
        <v>20.868083223407602</v>
      </c>
      <c r="E145" s="334">
        <f>Scenarios!E67</f>
        <v>24.159676009645601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18.623293529245259</v>
      </c>
      <c r="D47" s="134">
        <f>D46*H1/Common_Shares*Exchange_Rate</f>
        <v>0.4629716559000015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-81648.894827607641</v>
      </c>
      <c r="D86" s="201">
        <f>C86*scaling_factor/Common_Shares</f>
        <v>-1.7178408137128238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6293.7572524085999</v>
      </c>
      <c r="D88" s="201">
        <f>C88*scaling_factor/Common_Shares</f>
        <v>0.13241664939392253</v>
      </c>
      <c r="E88" s="214" t="str">
        <f>Market_currency</f>
        <v>HKD</v>
      </c>
    </row>
    <row r="89" spans="2:8" ht="15" customHeight="1">
      <c r="B89" s="77" t="s">
        <v>244</v>
      </c>
      <c r="C89" s="162">
        <f>SUM(C86:C88)</f>
        <v>-75355.137575199042</v>
      </c>
      <c r="D89" s="216">
        <f>SUM(D86:D88)</f>
        <v>-1.5854241643189013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5.34351145038168E-2</v>
      </c>
      <c r="E92" s="237"/>
      <c r="G92" s="22">
        <f t="shared" ref="G92:Q92" si="38">IF(G$4="","",(G88*(1-dividend_tax_rate))/Market_Price)</f>
        <v>5.34351145038168E-2</v>
      </c>
      <c r="H92" s="22">
        <f t="shared" si="38"/>
        <v>4.7709923664122141E-2</v>
      </c>
      <c r="I92" s="22">
        <f t="shared" si="38"/>
        <v>5.5343511450381681E-2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2.4129418646795071</v>
      </c>
      <c r="D123" s="26"/>
      <c r="E123" s="234"/>
      <c r="F123" s="26"/>
      <c r="G123" s="159">
        <f t="shared" ref="G123:Q123" si="48">IF(G$4="","",G14*$C$3/Common_Shares*Exchange_Rate)</f>
        <v>3.4182060395764498</v>
      </c>
      <c r="H123" s="159">
        <f t="shared" si="48"/>
        <v>2.9966134026291331</v>
      </c>
      <c r="I123" s="159">
        <f t="shared" si="48"/>
        <v>3.378140057678289</v>
      </c>
      <c r="J123" s="159">
        <f t="shared" si="48"/>
        <v>1.8212025223330799</v>
      </c>
      <c r="K123" s="159">
        <f t="shared" si="48"/>
        <v>0.68489601905793951</v>
      </c>
      <c r="L123" s="159">
        <f t="shared" si="48"/>
        <v>1.4369580463386689</v>
      </c>
      <c r="M123" s="159">
        <f t="shared" si="48"/>
        <v>1.2161638161863291</v>
      </c>
      <c r="N123" s="159">
        <f t="shared" si="48"/>
        <v>7.0886951590246543</v>
      </c>
      <c r="O123" s="159">
        <f t="shared" si="48"/>
        <v>6.6677181931939762</v>
      </c>
      <c r="P123" s="159">
        <f t="shared" si="48"/>
        <v>6.7157168606334388</v>
      </c>
      <c r="Q123" s="159" t="str">
        <f t="shared" si="48"/>
        <v/>
      </c>
    </row>
    <row r="124" spans="1:17" ht="15.75" customHeight="1">
      <c r="A124" s="10"/>
      <c r="B124" s="26" t="s">
        <v>226</v>
      </c>
      <c r="C124" s="74">
        <f>C19*Exchange_Rate*$C$3/(Market_Price*Common_Shares)</f>
        <v>0.10233001970651005</v>
      </c>
      <c r="D124" s="26"/>
      <c r="E124" s="234"/>
      <c r="F124" s="26"/>
      <c r="G124" s="74">
        <f t="shared" ref="G124" si="49">IF(G$4="","",G123/Market_Price)</f>
        <v>0.14496208819238549</v>
      </c>
      <c r="H124" s="74">
        <f t="shared" ref="H124" si="50">IF(H$4="","",H123/Market_Price)</f>
        <v>0.12708284150250779</v>
      </c>
      <c r="I124" s="74">
        <f t="shared" ref="I124" si="51">IF(I$4="","",I123/Market_Price)</f>
        <v>0.14326293713648386</v>
      </c>
      <c r="J124" s="74">
        <f t="shared" ref="J124" si="52">IF(J$4="","",J123/Market_Price)</f>
        <v>7.7235051837704835E-2</v>
      </c>
      <c r="K124" s="74">
        <f t="shared" ref="K124" si="53">IF(K$4="","",K123/Market_Price)</f>
        <v>2.9045632699658167E-2</v>
      </c>
      <c r="L124" s="74">
        <f t="shared" ref="L124" si="54">IF(L$4="","",L123/Market_Price)</f>
        <v>6.0939696621656866E-2</v>
      </c>
      <c r="M124" s="74">
        <f t="shared" ref="M124" si="55">IF(M$4="","",M123/Market_Price)</f>
        <v>5.1576073629615318E-2</v>
      </c>
      <c r="N124" s="74">
        <f t="shared" ref="N124" si="56">IF(N$4="","",N123/Market_Price)</f>
        <v>0.30062320436915413</v>
      </c>
      <c r="O124" s="74">
        <f t="shared" ref="O124" si="57">IF(O$4="","",O123/Market_Price)</f>
        <v>0.28277006756547823</v>
      </c>
      <c r="P124" s="74">
        <f t="shared" ref="P124" si="58">IF(P$4="","",P123/Market_Price)</f>
        <v>0.28480563446282608</v>
      </c>
      <c r="Q124" s="74" t="str">
        <f t="shared" ref="Q124" si="59">IF(Q$4="","",Q123/Market_Price)</f>
        <v/>
      </c>
    </row>
    <row r="125" spans="1:17" ht="15.75" customHeight="1">
      <c r="B125" s="2" t="s">
        <v>306</v>
      </c>
      <c r="C125" s="151"/>
      <c r="G125" s="22">
        <f>IF(G$4="","",(Data!C47*$C$3)/(Market_Price*Common_Shares))</f>
        <v>0.12311507698892782</v>
      </c>
      <c r="H125" s="22">
        <f>IF(H$4="","",(Data!D47*$C$3)/(Market_Price*Common_Shares))</f>
        <v>0.11071987580667082</v>
      </c>
      <c r="I125" s="22">
        <f>IF(I$4="","",(Data!E47*$C$3)/(Market_Price*Common_Shares))</f>
        <v>0.12641195781015152</v>
      </c>
      <c r="J125" s="22">
        <f>IF(J$4="","",(Data!F47*$C$3)/(Market_Price*Common_Shares))</f>
        <v>6.273174557449919E-2</v>
      </c>
      <c r="K125" s="22">
        <f>IF(K$4="","",(Data!G47*$C$3)/(Market_Price*Common_Shares))</f>
        <v>2.226680953501961E-2</v>
      </c>
      <c r="L125" s="22">
        <f>IF(L$4="","",(Data!H47*$C$3)/(Market_Price*Common_Shares))</f>
        <v>5.4468092828118424E-2</v>
      </c>
      <c r="M125" s="22">
        <f>IF(M$4="","",(Data!I47*$C$3)/(Market_Price*Common_Shares))</f>
        <v>4.6999834484708791E-2</v>
      </c>
      <c r="N125" s="22">
        <f>IF(N$4="","",(Data!J47*$C$3)/(Market_Price*Common_Shares))</f>
        <v>6.2720146264438059E-2</v>
      </c>
      <c r="O125" s="22">
        <f>IF(O$4="","",(Data!K47*$C$3)/(Market_Price*Common_Shares))</f>
        <v>5.2794705870583547E-2</v>
      </c>
      <c r="P125" s="22">
        <f>IF(P$4="","",(Data!L47*$C$3)/(Market_Price*Common_Shares))</f>
        <v>3.8675668762317296E-2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-1.5854241643189013</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1.1254930708885194</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1777987.0376604327</v>
      </c>
      <c r="D10" t="str">
        <f>Market_currency</f>
        <v>HKD</v>
      </c>
      <c r="H10" s="308" t="s">
        <v>397</v>
      </c>
      <c r="I10" s="306">
        <f>Normalized_FCF!C41</f>
        <v>0.25</v>
      </c>
      <c r="N10" s="304"/>
      <c r="O10" s="304"/>
    </row>
    <row r="11" spans="2:15" ht="13.15">
      <c r="B11" s="136" t="s">
        <v>425</v>
      </c>
      <c r="C11" s="108">
        <f>(C10*scaling_factor)/Common_Shares</f>
        <v>37.407716368901944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25.727894856355498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37.407716368901944</v>
      </c>
      <c r="C73" s="119">
        <f>C11</f>
        <v>37.407716368901944</v>
      </c>
      <c r="D73" s="119">
        <f>C11</f>
        <v>37.407716368901944</v>
      </c>
      <c r="E73" s="119">
        <f>C11</f>
        <v>37.407716368901944</v>
      </c>
      <c r="F73" s="119">
        <f>C11</f>
        <v>37.407716368901944</v>
      </c>
      <c r="G73" s="296"/>
      <c r="H73" s="296"/>
      <c r="I73" s="296"/>
      <c r="J73" s="296"/>
      <c r="K73" s="296"/>
      <c r="L73" s="296"/>
    </row>
    <row r="74" spans="1:21" ht="13.15">
      <c r="A74" s="131">
        <v>1</v>
      </c>
      <c r="B74" s="119">
        <f t="shared" ref="B74:F87" si="11">(B56+FV_adjustments)/Common_Shares*scaling_factor*Exchange_Rate</f>
        <v>13.645614637359552</v>
      </c>
      <c r="C74" s="119">
        <f t="shared" si="11"/>
        <v>27.353549558870164</v>
      </c>
      <c r="D74" s="119">
        <f t="shared" si="11"/>
        <v>29.181274215071582</v>
      </c>
      <c r="E74" s="119">
        <f t="shared" si="11"/>
        <v>29.485894991105152</v>
      </c>
      <c r="F74" s="119">
        <f t="shared" si="11"/>
        <v>30.095136543172284</v>
      </c>
      <c r="G74" s="296"/>
      <c r="H74" s="296"/>
      <c r="I74" s="296"/>
      <c r="J74" s="296"/>
      <c r="K74" s="296"/>
      <c r="L74" s="296"/>
    </row>
    <row r="75" spans="1:21" ht="13.15">
      <c r="A75" s="131">
        <v>2</v>
      </c>
      <c r="B75" s="119">
        <f t="shared" si="11"/>
        <v>6.5353858937517817</v>
      </c>
      <c r="C75" s="119">
        <f t="shared" si="11"/>
        <v>25.986341683017795</v>
      </c>
      <c r="D75" s="119">
        <f t="shared" si="11"/>
        <v>29.448930263463275</v>
      </c>
      <c r="E75" s="119">
        <f t="shared" si="11"/>
        <v>30.045910368896344</v>
      </c>
      <c r="F75" s="119">
        <f t="shared" si="11"/>
        <v>31.256912301498655</v>
      </c>
      <c r="G75" s="296"/>
      <c r="H75" s="296"/>
      <c r="I75" s="296"/>
      <c r="J75" s="296"/>
      <c r="K75" s="296"/>
      <c r="L75" s="296"/>
    </row>
    <row r="76" spans="1:21" ht="13.15">
      <c r="A76" s="131">
        <v>3</v>
      </c>
      <c r="B76" s="119">
        <f t="shared" si="11"/>
        <v>3.2205939386898832</v>
      </c>
      <c r="C76" s="119">
        <f t="shared" si="11"/>
        <v>24.775295079698683</v>
      </c>
      <c r="D76" s="119">
        <f t="shared" si="11"/>
        <v>29.700988640037263</v>
      </c>
      <c r="E76" s="119">
        <f t="shared" si="11"/>
        <v>30.578512406515959</v>
      </c>
      <c r="F76" s="119">
        <f t="shared" si="11"/>
        <v>32.383482733815121</v>
      </c>
      <c r="G76" s="296"/>
      <c r="H76" s="296"/>
      <c r="I76" s="296"/>
      <c r="J76" s="296"/>
      <c r="K76" s="296"/>
      <c r="L76" s="296"/>
    </row>
    <row r="77" spans="1:21" ht="13.15">
      <c r="A77" s="131">
        <v>4</v>
      </c>
      <c r="B77" s="119">
        <f t="shared" si="11"/>
        <v>1.6752363838824715</v>
      </c>
      <c r="C77" s="119">
        <f t="shared" si="11"/>
        <v>23.702573146688749</v>
      </c>
      <c r="D77" s="119">
        <f t="shared" si="11"/>
        <v>29.938358300027687</v>
      </c>
      <c r="E77" s="119">
        <f t="shared" si="11"/>
        <v>31.085043015720604</v>
      </c>
      <c r="F77" s="119">
        <f t="shared" si="11"/>
        <v>33.475914668182611</v>
      </c>
      <c r="G77" s="296"/>
      <c r="H77" s="296"/>
      <c r="I77" s="296"/>
      <c r="J77" s="296"/>
      <c r="K77" s="296"/>
      <c r="L77" s="296"/>
    </row>
    <row r="78" spans="1:21" ht="13.15">
      <c r="A78" s="131">
        <v>5</v>
      </c>
      <c r="B78" s="119">
        <f t="shared" si="11"/>
        <v>0.95478997138484334</v>
      </c>
      <c r="C78" s="119">
        <f t="shared" si="11"/>
        <v>22.752376562670634</v>
      </c>
      <c r="D78" s="119">
        <f t="shared" si="11"/>
        <v>30.161895229249442</v>
      </c>
      <c r="E78" s="119">
        <f t="shared" si="11"/>
        <v>31.566778420278879</v>
      </c>
      <c r="F78" s="119">
        <f t="shared" si="11"/>
        <v>34.535242604538958</v>
      </c>
      <c r="G78" s="296"/>
      <c r="H78" s="296"/>
      <c r="I78" s="296"/>
      <c r="J78" s="296"/>
      <c r="K78" s="296"/>
      <c r="L78" s="296"/>
    </row>
    <row r="79" spans="1:21" ht="13.15">
      <c r="A79" s="131">
        <v>6</v>
      </c>
      <c r="B79" s="119">
        <f t="shared" si="11"/>
        <v>0.61891751800599548</v>
      </c>
      <c r="C79" s="119">
        <f t="shared" si="11"/>
        <v>21.910710590813082</v>
      </c>
      <c r="D79" s="119">
        <f t="shared" si="11"/>
        <v>30.372405530894167</v>
      </c>
      <c r="E79" s="119">
        <f t="shared" si="11"/>
        <v>32.024932371467173</v>
      </c>
      <c r="F79" s="119">
        <f t="shared" si="11"/>
        <v>35.562469694339065</v>
      </c>
      <c r="G79" s="296"/>
      <c r="H79" s="296"/>
      <c r="I79" s="296"/>
      <c r="J79" s="296"/>
      <c r="K79" s="296"/>
      <c r="L79" s="296"/>
    </row>
    <row r="80" spans="1:21" ht="13.15">
      <c r="A80" s="131">
        <f t="shared" ref="A80" si="12">A62</f>
        <v>7</v>
      </c>
      <c r="B80" s="119">
        <f t="shared" si="11"/>
        <v>0.46233362365688274</v>
      </c>
      <c r="C80" s="119">
        <f t="shared" si="11"/>
        <v>21.165178960729477</v>
      </c>
      <c r="D80" s="119">
        <f t="shared" si="11"/>
        <v>30.570648332443049</v>
      </c>
      <c r="E80" s="119">
        <f t="shared" si="11"/>
        <v>32.460659206163726</v>
      </c>
      <c r="F80" s="119">
        <f t="shared" si="11"/>
        <v>36.558568690508864</v>
      </c>
      <c r="G80" s="296"/>
      <c r="H80" s="296"/>
      <c r="I80" s="296"/>
      <c r="J80" s="296"/>
      <c r="K80" s="296"/>
      <c r="L80" s="296"/>
    </row>
    <row r="81" spans="1:12" ht="13.15">
      <c r="A81" s="131">
        <v>8</v>
      </c>
      <c r="B81" s="119">
        <f t="shared" si="11"/>
        <v>0.38933413911184173</v>
      </c>
      <c r="C81" s="119">
        <f t="shared" si="11"/>
        <v>20.504801293056353</v>
      </c>
      <c r="D81" s="119">
        <f t="shared" si="11"/>
        <v>30.757338523179058</v>
      </c>
      <c r="E81" s="119">
        <f t="shared" si="11"/>
        <v>32.875056755245758</v>
      </c>
      <c r="F81" s="119">
        <f t="shared" si="11"/>
        <v>37.524482868612893</v>
      </c>
      <c r="G81" s="296"/>
      <c r="H81" s="296"/>
      <c r="I81" s="296"/>
      <c r="J81" s="296"/>
      <c r="K81" s="296"/>
      <c r="L81" s="296"/>
    </row>
    <row r="82" spans="1:12" ht="13.15">
      <c r="A82" s="131">
        <f t="shared" ref="A82" si="13">A64</f>
        <v>9</v>
      </c>
      <c r="B82" s="119">
        <f t="shared" si="11"/>
        <v>0.35530174538454984</v>
      </c>
      <c r="C82" s="119">
        <f t="shared" si="11"/>
        <v>19.919851377634934</v>
      </c>
      <c r="D82" s="119">
        <f t="shared" si="11"/>
        <v>30.933149332170537</v>
      </c>
      <c r="E82" s="119">
        <f t="shared" si="11"/>
        <v>33.269169109617494</v>
      </c>
      <c r="F82" s="119">
        <f t="shared" si="11"/>
        <v>38.461126920107723</v>
      </c>
      <c r="G82" s="296"/>
      <c r="H82" s="296"/>
      <c r="I82" s="296"/>
      <c r="J82" s="296"/>
      <c r="K82" s="296"/>
      <c r="L82" s="296"/>
    </row>
    <row r="83" spans="1:12" ht="13.15">
      <c r="A83" s="131">
        <f t="shared" ref="A83:A87" si="14">A65</f>
        <v>10</v>
      </c>
      <c r="B83" s="119">
        <f t="shared" si="11"/>
        <v>0.33943582756296858</v>
      </c>
      <c r="C83" s="119">
        <f t="shared" si="11"/>
        <v>19.4017139234155</v>
      </c>
      <c r="D83" s="119">
        <f t="shared" si="11"/>
        <v>31.09871475602267</v>
      </c>
      <c r="E83" s="119">
        <f t="shared" si="11"/>
        <v>33.64398925083816</v>
      </c>
      <c r="F83" s="119">
        <f t="shared" si="11"/>
        <v>39.369387818526945</v>
      </c>
      <c r="G83" s="296"/>
      <c r="H83" s="296"/>
      <c r="I83" s="296"/>
      <c r="J83" s="296"/>
      <c r="K83" s="296"/>
      <c r="L83" s="296"/>
    </row>
    <row r="84" spans="1:12" ht="13.15">
      <c r="A84" s="131">
        <f t="shared" si="14"/>
        <v>15</v>
      </c>
      <c r="B84" s="119">
        <f t="shared" si="11"/>
        <v>0.32588428770145306</v>
      </c>
      <c r="C84" s="119">
        <f t="shared" si="11"/>
        <v>17.574614311553802</v>
      </c>
      <c r="D84" s="119">
        <f t="shared" si="11"/>
        <v>31.792581861396048</v>
      </c>
      <c r="E84" s="119">
        <f t="shared" si="11"/>
        <v>35.260188619803444</v>
      </c>
      <c r="F84" s="119">
        <f t="shared" si="11"/>
        <v>43.514152555165353</v>
      </c>
      <c r="G84" s="296"/>
      <c r="H84" s="296"/>
      <c r="I84" s="296"/>
      <c r="J84" s="296"/>
      <c r="K84" s="296"/>
      <c r="L84" s="296"/>
    </row>
    <row r="85" spans="1:12" ht="13.15">
      <c r="A85" s="132">
        <f t="shared" si="14"/>
        <v>20</v>
      </c>
      <c r="B85" s="119">
        <f t="shared" si="11"/>
        <v>0.32558585104597271</v>
      </c>
      <c r="C85" s="119">
        <f t="shared" si="11"/>
        <v>16.578306013441367</v>
      </c>
      <c r="D85" s="119">
        <f t="shared" si="11"/>
        <v>32.306503215680323</v>
      </c>
      <c r="E85" s="119">
        <f t="shared" si="11"/>
        <v>36.517692365603054</v>
      </c>
      <c r="F85" s="119">
        <f t="shared" si="11"/>
        <v>47.067846944066247</v>
      </c>
      <c r="G85" s="296"/>
      <c r="H85" s="296"/>
      <c r="I85" s="296"/>
      <c r="J85" s="296"/>
      <c r="K85" s="296"/>
      <c r="L85" s="296"/>
    </row>
    <row r="86" spans="1:12" ht="13.15">
      <c r="A86" s="132">
        <f t="shared" si="14"/>
        <v>25</v>
      </c>
      <c r="B86" s="119">
        <f t="shared" si="11"/>
        <v>0.32557927877165932</v>
      </c>
      <c r="C86" s="119">
        <f t="shared" si="11"/>
        <v>16.035024071699695</v>
      </c>
      <c r="D86" s="119">
        <f t="shared" si="11"/>
        <v>32.687145497673569</v>
      </c>
      <c r="E86" s="119">
        <f t="shared" si="11"/>
        <v>37.496108581488862</v>
      </c>
      <c r="F86" s="119">
        <f t="shared" si="11"/>
        <v>50.114761452402895</v>
      </c>
      <c r="G86" s="296"/>
      <c r="H86" s="296"/>
      <c r="I86" s="296"/>
      <c r="J86" s="296"/>
      <c r="K86" s="296"/>
      <c r="L86" s="296"/>
    </row>
    <row r="87" spans="1:12" ht="13.15">
      <c r="A87" s="132">
        <f t="shared" si="14"/>
        <v>30</v>
      </c>
      <c r="B87" s="119">
        <f t="shared" si="11"/>
        <v>0.325579134034782</v>
      </c>
      <c r="C87" s="119">
        <f t="shared" si="11"/>
        <v>15.738775140739477</v>
      </c>
      <c r="D87" s="119">
        <f t="shared" si="11"/>
        <v>32.969072966989984</v>
      </c>
      <c r="E87" s="119">
        <f t="shared" si="11"/>
        <v>38.257377321010253</v>
      </c>
      <c r="F87" s="119">
        <f t="shared" si="11"/>
        <v>52.72716617975022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34.535242604538958</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31.566778420278879</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30.161895229249442</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22.752376562670634</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0.95478997138484334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31.566778420278879</v>
      </c>
      <c r="F22" s="328">
        <f>1-F23-F24</f>
        <v>0.30000000000000004</v>
      </c>
      <c r="G22" s="328">
        <f>F22*(1-F$29-F$30)</f>
        <v>0.24000000000000002</v>
      </c>
    </row>
    <row r="23" spans="2:7">
      <c r="B23" s="302" t="s">
        <v>437</v>
      </c>
      <c r="C23" s="324">
        <v>0.01</v>
      </c>
      <c r="D23" s="325">
        <f>C18</f>
        <v>5</v>
      </c>
      <c r="E23" s="326">
        <f>DCF!E92</f>
        <v>30.161895229249442</v>
      </c>
      <c r="F23" s="327">
        <v>0.6</v>
      </c>
      <c r="G23" s="328">
        <f t="shared" ref="G23:G24" si="0">F23*(1-F$29-F$30)</f>
        <v>0.47999999999999993</v>
      </c>
    </row>
    <row r="24" spans="2:7">
      <c r="B24" s="302" t="s">
        <v>446</v>
      </c>
      <c r="C24" s="324">
        <v>-0.05</v>
      </c>
      <c r="D24" s="325">
        <f>C18</f>
        <v>5</v>
      </c>
      <c r="E24" s="326">
        <f>DCF!E93</f>
        <v>22.752376562670634</v>
      </c>
      <c r="F24" s="327">
        <v>0.1</v>
      </c>
      <c r="G24" s="328">
        <f t="shared" si="0"/>
        <v>0.08</v>
      </c>
    </row>
    <row r="25" spans="2:7">
      <c r="B25" s="141" t="s">
        <v>451</v>
      </c>
      <c r="C25" s="441">
        <f>E23*F23+E24*F24+E22*F22</f>
        <v>29.842408319900393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34.535242604538958</v>
      </c>
      <c r="F29" s="327">
        <v>0.05</v>
      </c>
      <c r="G29" s="328">
        <f>F29</f>
        <v>0.05</v>
      </c>
    </row>
    <row r="30" spans="2:7">
      <c r="B30" s="315" t="s">
        <v>447</v>
      </c>
      <c r="C30" s="324">
        <v>-0.5</v>
      </c>
      <c r="D30" s="325">
        <f>C18</f>
        <v>5</v>
      </c>
      <c r="E30" s="326">
        <f>DCF!E94</f>
        <v>0.95478997138484334</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23.58</v>
      </c>
      <c r="D34" t="str">
        <f>Market_currency</f>
        <v>HKD</v>
      </c>
      <c r="E34" s="97" t="s">
        <v>454</v>
      </c>
      <c r="F34" s="330">
        <f>RATE(Holding_Period,$C$33,-C34,$C$36)</f>
        <v>8.1657412135849566E-2</v>
      </c>
    </row>
    <row r="35" spans="2:7">
      <c r="B35" s="97" t="s">
        <v>434</v>
      </c>
      <c r="C35" s="320">
        <f>DCF!C11</f>
        <v>37.407716368901944</v>
      </c>
      <c r="D35" s="97" t="str">
        <f>Market_currency</f>
        <v>HKD</v>
      </c>
      <c r="E35" s="97" t="s">
        <v>454</v>
      </c>
      <c r="F35" s="330">
        <f>RATE(Holding_Period,$C$33,-C35,$C$36)</f>
        <v>-7.8900436691035941E-2</v>
      </c>
    </row>
    <row r="36" spans="2:7">
      <c r="B36" s="97" t="s">
        <v>435</v>
      </c>
      <c r="C36" s="321">
        <f>E22*G22+E23*G23+E24*G24+E30*G30+E29*G29</f>
        <v>25.743907281854984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25.727894856355498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11.863551742790317</v>
      </c>
      <c r="E62" s="332">
        <f>C62+D62</f>
        <v>14.169164728689069</v>
      </c>
      <c r="F62" s="301">
        <f>Thesis!E22</f>
        <v>0.29465259038036606</v>
      </c>
      <c r="G62" s="440">
        <f>(1-E62/C36)</f>
        <v>0.44961094780372024</v>
      </c>
    </row>
    <row r="63" spans="2:7" ht="13.15">
      <c r="B63" s="302" t="s">
        <v>313</v>
      </c>
      <c r="C63" s="119">
        <f>PV(F63, Holding_Period, -C58, 0)</f>
        <v>2.6510449735590389</v>
      </c>
      <c r="D63" s="119">
        <f>C36/(1+F63)^Holding_Period</f>
        <v>14.87012694980794</v>
      </c>
      <c r="E63" s="332">
        <f>C63+D63</f>
        <v>17.521171923366978</v>
      </c>
      <c r="F63" s="301">
        <f>Thesis!E23</f>
        <v>0.20075184365903009</v>
      </c>
      <c r="G63" s="440">
        <f>(1-E63/C36)</f>
        <v>0.31940510305844738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18.452213101079018</v>
      </c>
      <c r="E66" s="332">
        <f>C66+D66</f>
        <v>21.492093039761716</v>
      </c>
      <c r="F66" s="301">
        <f>Thesis!E24</f>
        <v>0.1174</v>
      </c>
      <c r="G66" s="440">
        <f>(1-E66/C36)</f>
        <v>0.16515807781401015</v>
      </c>
    </row>
    <row r="67" spans="2:7" ht="13.15">
      <c r="B67" s="302" t="s">
        <v>314</v>
      </c>
      <c r="C67" s="119">
        <f>PV(F67, Holding_Period, -C58, 0)</f>
        <v>3.2915927862380006</v>
      </c>
      <c r="D67" s="119">
        <f>C36/(1+F67)^Holding_Period</f>
        <v>20.868083223407602</v>
      </c>
      <c r="E67" s="332">
        <f>C67+D67</f>
        <v>24.159676009645601</v>
      </c>
      <c r="F67" s="301">
        <f>Thesis!E25</f>
        <v>7.2499999999999995E-2</v>
      </c>
      <c r="G67" s="440">
        <f>(1-E67/C36)</f>
        <v>6.1538105108310148E-2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23.58</v>
      </c>
    </row>
    <row r="9" spans="1:10">
      <c r="B9" s="351" t="s">
        <v>361</v>
      </c>
      <c r="C9" s="353">
        <f>Common_Shares</f>
        <v>47529953984</v>
      </c>
    </row>
    <row r="10" spans="1:10">
      <c r="B10" s="351" t="s">
        <v>367</v>
      </c>
      <c r="C10" s="357">
        <f>投资主题!C8*Common_Shares/1000000</f>
        <v>1120756.3149427199</v>
      </c>
      <c r="D10" s="343" t="s">
        <v>529</v>
      </c>
      <c r="E10" s="360">
        <f>Scenarios!F34</f>
        <v>8.1657412135849566E-2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1.1254930708885194</v>
      </c>
    </row>
    <row r="17" spans="1:6">
      <c r="B17" s="343" t="s">
        <v>535</v>
      </c>
      <c r="C17" s="424">
        <f>Terminal_Growth</f>
        <v>0.01</v>
      </c>
      <c r="D17" s="351" t="s">
        <v>339</v>
      </c>
      <c r="E17" s="344" t="str">
        <f>Reporting_currency</f>
        <v>CNY</v>
      </c>
    </row>
    <row r="18" spans="1:6">
      <c r="B18" s="343" t="str">
        <f>"预期股权价值 ("&amp;C7&amp;") :"</f>
        <v>预期股权价值 (HKD) :</v>
      </c>
      <c r="C18" s="359">
        <f>C125</f>
        <v>25.743907281854984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14.169164728689069</v>
      </c>
      <c r="D22" s="365" t="s">
        <v>440</v>
      </c>
      <c r="E22" s="366">
        <f>Thesis!E22</f>
        <v>0.29465259038036606</v>
      </c>
    </row>
    <row r="23" spans="1:6">
      <c r="B23" s="343" t="s">
        <v>341</v>
      </c>
      <c r="C23" s="367">
        <f>E141</f>
        <v>17.521171923366978</v>
      </c>
      <c r="D23" s="365" t="s">
        <v>441</v>
      </c>
      <c r="E23" s="368">
        <f>Thesis!E23</f>
        <v>0.20075184365903009</v>
      </c>
    </row>
    <row r="24" spans="1:6">
      <c r="B24" s="343" t="s">
        <v>343</v>
      </c>
      <c r="C24" s="367">
        <f>E144</f>
        <v>21.492093039761716</v>
      </c>
      <c r="D24" s="365" t="s">
        <v>443</v>
      </c>
      <c r="E24" s="368">
        <f>Thesis!E24</f>
        <v>0.1174</v>
      </c>
    </row>
    <row r="25" spans="1:6">
      <c r="B25" s="343" t="s">
        <v>342</v>
      </c>
      <c r="C25" s="367">
        <f>E145</f>
        <v>24.159676009645601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0.10233001970651005</v>
      </c>
      <c r="F62" s="379"/>
    </row>
    <row r="63" spans="2:6">
      <c r="B63" s="377" t="s">
        <v>332</v>
      </c>
      <c r="C63" s="378">
        <f>Normalized_FCF!C92</f>
        <v>5.34351145038168E-2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-1.7178408137128238</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0.13241664939392253</v>
      </c>
      <c r="D90" s="343" t="str">
        <f>Market_currency</f>
        <v>HKD</v>
      </c>
    </row>
    <row r="92" spans="1:6">
      <c r="B92" s="372" t="s">
        <v>480</v>
      </c>
      <c r="C92" s="387">
        <f>DCF!F8</f>
        <v>-1.5854241643189013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0.4629716559000015</v>
      </c>
      <c r="D111" s="343" t="str">
        <f>Market_currency</f>
        <v>HKD</v>
      </c>
    </row>
    <row r="112" spans="1:6">
      <c r="A112" s="385"/>
      <c r="B112" s="372" t="s">
        <v>377</v>
      </c>
      <c r="C112" s="394">
        <f>DCF!C11</f>
        <v>37.407716368901944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34.54 HKD</v>
      </c>
      <c r="F118" s="399">
        <f>DCF!F90</f>
        <v>0.05</v>
      </c>
    </row>
    <row r="119" spans="1:6">
      <c r="A119" s="385"/>
      <c r="B119" s="400" t="str">
        <f>DCF!B91</f>
        <v>Optimistic</v>
      </c>
      <c r="C119" s="401">
        <f>DCF!C91</f>
        <v>0.02</v>
      </c>
      <c r="D119" s="402">
        <f>DCF!D91</f>
        <v>5</v>
      </c>
      <c r="E119" s="398" t="str">
        <f>ROUND(DCF!E91,2)&amp;" "&amp;Market_currency</f>
        <v>31.57 HKD</v>
      </c>
      <c r="F119" s="403">
        <f>DCF!F91</f>
        <v>0.24000000000000002</v>
      </c>
    </row>
    <row r="120" spans="1:6">
      <c r="B120" s="400" t="str">
        <f>DCF!B92</f>
        <v>Base</v>
      </c>
      <c r="C120" s="401">
        <f>DCF!C92</f>
        <v>0.01</v>
      </c>
      <c r="D120" s="402">
        <f>DCF!D92</f>
        <v>5</v>
      </c>
      <c r="E120" s="398" t="str">
        <f>ROUND(DCF!E92,2)&amp;" "&amp;Market_currency</f>
        <v>30.16 HKD</v>
      </c>
      <c r="F120" s="403">
        <f>DCF!F92</f>
        <v>0.47999999999999993</v>
      </c>
    </row>
    <row r="121" spans="1:6">
      <c r="B121" s="400" t="str">
        <f>DCF!B93</f>
        <v>Pessimistic</v>
      </c>
      <c r="C121" s="401">
        <f>DCF!C93</f>
        <v>-0.05</v>
      </c>
      <c r="D121" s="402">
        <f>DCF!D93</f>
        <v>5</v>
      </c>
      <c r="E121" s="398" t="str">
        <f>ROUND(DCF!E93,2)&amp;" "&amp;Market_currency</f>
        <v>22.75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25.743907281854984</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11.863551742790317</v>
      </c>
      <c r="E140" s="410">
        <f>Scenarios!E62</f>
        <v>14.169164728689069</v>
      </c>
      <c r="F140" s="411">
        <f>E22</f>
        <v>0.29465259038036606</v>
      </c>
    </row>
    <row r="141" spans="1:6">
      <c r="B141" s="408" t="s">
        <v>313</v>
      </c>
      <c r="C141" s="409">
        <f>Scenarios!C63</f>
        <v>2.6510449735590389</v>
      </c>
      <c r="D141" s="409">
        <f>Scenarios!D63</f>
        <v>14.87012694980794</v>
      </c>
      <c r="E141" s="410">
        <f>Scenarios!E63</f>
        <v>17.521171923366978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18.452213101079018</v>
      </c>
      <c r="E144" s="410">
        <f>Scenarios!E66</f>
        <v>21.492093039761716</v>
      </c>
      <c r="F144" s="411">
        <f>E24</f>
        <v>0.1174</v>
      </c>
    </row>
    <row r="145" spans="1:6">
      <c r="B145" s="408" t="s">
        <v>314</v>
      </c>
      <c r="C145" s="409">
        <f>Scenarios!C67</f>
        <v>3.2915927862380006</v>
      </c>
      <c r="D145" s="409">
        <f>Scenarios!D67</f>
        <v>20.868083223407602</v>
      </c>
      <c r="E145" s="410">
        <f>Scenarios!E67</f>
        <v>24.159676009645601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