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07FE41F-5A1D-4DD2-9516-FACA64DB491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25" i="4" l="1"/>
  <c r="D25" i="4"/>
  <c r="C25" i="4"/>
  <c r="C11" i="3"/>
  <c r="G4" i="3" l="1"/>
  <c r="C5" i="3"/>
  <c r="G17" i="3"/>
  <c r="G18" i="3"/>
  <c r="C19" i="3"/>
  <c r="E85" i="2" l="1"/>
  <c r="E86" i="2"/>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55" i="8"/>
  <c r="F64" i="8" s="1"/>
  <c r="C116" i="6"/>
  <c r="C103" i="6"/>
  <c r="C104" i="6" s="1"/>
  <c r="G67" i="2"/>
  <c r="C59" i="2" l="1"/>
  <c r="C77" i="8"/>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4" i="2" s="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83" i="2" s="1"/>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70" i="8"/>
  <c r="G54" i="2"/>
  <c r="C54" i="2" s="1"/>
  <c r="C66" i="8" l="1"/>
  <c r="B70" i="8"/>
  <c r="E67" i="8"/>
  <c r="E66" i="8"/>
  <c r="C70" i="8"/>
  <c r="B68" i="8"/>
  <c r="C67" i="8"/>
  <c r="B66" i="8"/>
  <c r="F71" i="8"/>
  <c r="F66" i="8"/>
  <c r="D69" i="8"/>
  <c r="E68" i="8"/>
  <c r="D66" i="8"/>
  <c r="D70" i="8"/>
  <c r="B69" i="8"/>
  <c r="B67" i="8"/>
  <c r="D71" i="8"/>
  <c r="F69" i="8"/>
  <c r="F70" i="8"/>
  <c r="F67"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<sst xmlns="http://schemas.openxmlformats.org/spreadsheetml/2006/main" count="627" uniqueCount="440">
  <si>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</si>
  <si>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</si>
  <si>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</si>
  <si>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</si>
  <si>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</si>
  <si>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</si>
  <si>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</si>
  <si>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</si>
  <si>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</si>
  <si>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</si>
  <si>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</si>
  <si>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</si>
  <si>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</si>
  <si>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</si>
  <si>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</si>
  <si>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</si>
  <si>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</si>
  <si>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</si>
  <si>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</si>
  <si>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</si>
  <si>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</si>
  <si>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</si>
  <si>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</si>
  <si>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</si>
  <si>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</si>
  <si>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</si>
  <si>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</si>
  <si>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</si>
  <si>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</si>
  <si>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</si>
  <si>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</si>
  <si>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</si>
  <si>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</si>
  <si>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</si>
  <si>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</si>
  <si>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</si>
  <si>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</si>
  <si>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</si>
  <si>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</si>
  <si>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</si>
  <si>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</si>
  <si>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</si>
  <si>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</si>
  <si>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</si>
  <si>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</si>
  <si>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</si>
  <si>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</si>
  <si>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</si>
  <si>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</si>
  <si>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</si>
  <si>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</si>
  <si>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</si>
  <si>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</si>
  <si>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</si>
  <si>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</si>
  <si>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</si>
  <si>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</si>
  <si>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</si>
  <si>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</si>
  <si>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</si>
  <si>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</si>
  <si>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</si>
  <si>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</si>
  <si>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</si>
  <si>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</si>
  <si>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</si>
  <si>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</si>
  <si>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</si>
  <si>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</si>
  <si>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</si>
  <si>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</si>
  <si>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</si>
  <si>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</si>
  <si>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</si>
  <si>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</si>
  <si>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</si>
  <si>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</si>
  <si>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</si>
  <si>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</si>
  <si>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</si>
  <si>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</si>
  <si>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</si>
  <si>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</si>
  <si>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</si>
  <si>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</si>
  <si>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</si>
  <si>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</si>
  <si>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</si>
  <si>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</si>
  <si>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</si>
  <si>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</si>
  <si>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</si>
  <si>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</si>
  <si>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</si>
  <si>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</si>
  <si>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</si>
  <si>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</si>
  <si>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</si>
  <si>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</si>
  <si>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</si>
  <si>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</si>
  <si>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</si>
  <si>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</si>
  <si>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</si>
  <si>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</si>
  <si>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</si>
  <si>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</si>
  <si>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</si>
  <si>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</si>
  <si>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</si>
  <si>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</si>
  <si>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</si>
  <si>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</si>
  <si>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</si>
  <si>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</si>
  <si>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</si>
  <si>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</si>
  <si>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</si>
  <si>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</si>
  <si>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</si>
  <si>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</si>
  <si>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</si>
  <si>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</si>
  <si>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</si>
  <si>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</si>
  <si>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</si>
  <si>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</si>
  <si>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</si>
  <si>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</si>
  <si>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</si>
  <si>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</si>
  <si>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</si>
  <si>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</si>
  <si>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</si>
  <si>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</si>
  <si>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</si>
  <si>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</si>
  <si>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</si>
  <si>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</si>
  <si>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</si>
  <si>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</si>
  <si>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</si>
  <si>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</si>
  <si>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</si>
  <si>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</si>
  <si>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</si>
  <si>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</si>
  <si>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</si>
  <si>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</si>
  <si>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</si>
  <si>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</si>
  <si>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</si>
  <si>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</si>
  <si>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</si>
  <si>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</si>
  <si>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</si>
  <si>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</si>
  <si>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</si>
  <si>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</si>
  <si>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</si>
  <si>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</si>
  <si>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</si>
  <si>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</si>
  <si>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</si>
  <si>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</si>
  <si>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</si>
  <si>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</si>
  <si>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</si>
  <si>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</si>
  <si>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</si>
  <si>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</si>
  <si>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</si>
  <si>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</si>
  <si>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</si>
  <si>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</si>
  <si>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</si>
  <si>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</si>
  <si>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</si>
  <si>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</si>
  <si>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</si>
  <si>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</si>
  <si>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</si>
  <si>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</si>
  <si>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</si>
  <si>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</si>
  <si>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</si>
  <si>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</si>
  <si>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</si>
  <si>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</si>
  <si>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</si>
  <si>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</si>
  <si>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</si>
  <si>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</si>
  <si>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</si>
  <si>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</si>
  <si>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</si>
  <si>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</si>
  <si>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</si>
  <si>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</si>
  <si>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</si>
  <si>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</si>
  <si>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</si>
  <si>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</si>
  <si>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</si>
  <si>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</si>
  <si>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</si>
  <si>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</si>
  <si>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</si>
  <si>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</si>
  <si>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</si>
  <si>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</si>
  <si>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</si>
  <si>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</si>
  <si>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</si>
  <si>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</si>
  <si>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</si>
  <si>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</si>
  <si>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</si>
  <si>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</si>
  <si>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</si>
  <si>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</si>
  <si>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</si>
  <si>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</si>
  <si>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</si>
  <si>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</si>
  <si>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</si>
  <si>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</si>
  <si>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</si>
  <si>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</si>
  <si>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</si>
  <si>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</si>
  <si>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</si>
  <si>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</si>
  <si>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</si>
  <si>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</si>
  <si>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</si>
  <si>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</si>
  <si>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</si>
  <si>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</si>
  <si>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</si>
  <si>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</si>
  <si>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</si>
  <si>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</si>
  <si>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</si>
  <si>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</si>
  <si>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</si>
  <si>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</si>
  <si>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</si>
  <si>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</si>
  <si>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</si>
  <si>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</si>
  <si>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</si>
  <si>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</si>
  <si>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</si>
  <si>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</si>
  <si>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</si>
  <si>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</si>
  <si>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</si>
  <si>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</si>
  <si>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</si>
  <si>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</si>
  <si>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</si>
  <si>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</si>
  <si>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</si>
  <si>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</si>
  <si>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</si>
  <si>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</si>
  <si>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</si>
  <si>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</si>
  <si>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</si>
  <si>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</si>
  <si>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</si>
  <si>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</si>
  <si>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</si>
  <si>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</si>
  <si>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</si>
  <si>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</si>
  <si>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</si>
  <si>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</si>
  <si>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</si>
  <si>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</si>
  <si>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</si>
  <si>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</si>
  <si>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</si>
  <si>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</si>
  <si>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</si>
  <si>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</si>
  <si>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</si>
  <si>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</si>
  <si>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</si>
  <si>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</si>
  <si>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</si>
  <si>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</si>
  <si>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</si>
  <si>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</si>
  <si>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</si>
  <si>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</si>
  <si>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</si>
  <si>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</si>
  <si>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</si>
  <si>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</si>
  <si>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</si>
  <si>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</si>
  <si>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</si>
  <si>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</si>
  <si>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</si>
  <si>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</si>
  <si>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</si>
  <si>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</si>
  <si>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</si>
  <si>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</si>
  <si>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</si>
  <si>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</si>
  <si>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</si>
  <si>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</si>
  <si>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</si>
  <si>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</si>
  <si>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</si>
  <si>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</si>
  <si>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</si>
  <si>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</si>
  <si>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</si>
  <si>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</si>
  <si>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</si>
  <si>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</si>
  <si>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</si>
  <si>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</si>
  <si>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</si>
  <si>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</si>
  <si>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</si>
  <si>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</si>
  <si>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</si>
  <si>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</si>
  <si>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</si>
  <si>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</si>
  <si>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</si>
  <si>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</si>
  <si>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</si>
  <si>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</si>
  <si>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</si>
  <si>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</si>
  <si>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</si>
  <si>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</si>
  <si>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</si>
  <si>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</si>
  <si>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</si>
  <si>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</si>
  <si>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</si>
  <si>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</si>
  <si>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</si>
  <si>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</si>
  <si>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</si>
  <si>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</si>
  <si>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</si>
  <si>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</si>
  <si>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</si>
  <si>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</si>
  <si>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</si>
  <si>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</si>
  <si>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</si>
  <si>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</si>
  <si>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</si>
  <si>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</si>
  <si>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</si>
  <si>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</si>
  <si>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</si>
  <si>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</si>
  <si>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</si>
  <si>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</si>
  <si>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</si>
  <si>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</si>
  <si>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</si>
  <si>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</si>
  <si>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</si>
  <si>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</si>
  <si>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</si>
  <si>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</si>
  <si>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</si>
  <si>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</si>
  <si>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</si>
  <si>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</si>
  <si>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</si>
  <si>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</si>
  <si>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</si>
  <si>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</si>
  <si>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</si>
  <si>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</si>
  <si>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</si>
  <si>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</si>
  <si>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</si>
  <si>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</si>
  <si>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</si>
  <si>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</si>
  <si>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</si>
  <si>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</si>
  <si>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</si>
  <si>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</si>
  <si>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</si>
  <si>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</si>
  <si>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</si>
  <si>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</si>
  <si>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</si>
  <si>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</si>
  <si>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</si>
  <si>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</si>
  <si>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</si>
  <si>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</si>
  <si>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</si>
  <si>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</si>
  <si>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</si>
  <si>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</si>
  <si>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</si>
  <si>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</si>
  <si>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</si>
  <si>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</si>
  <si>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</si>
  <si>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</si>
  <si>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</si>
  <si>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</si>
  <si>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</si>
  <si>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</si>
  <si>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</si>
  <si>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</si>
  <si>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</si>
  <si>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ENG_01</t>
  </si>
  <si>
    <t>Company Information</t>
  </si>
  <si>
    <t>Market Currency</t>
  </si>
  <si>
    <t>Symbol:</t>
  </si>
  <si>
    <t>Listing Information</t>
  </si>
  <si>
    <t>Forex Symbol:</t>
  </si>
  <si>
    <t>Capitalization:</t>
  </si>
  <si>
    <t>Y</t>
  </si>
  <si>
    <t>中国海油</t>
  </si>
  <si>
    <t>0883.HK</t>
  </si>
  <si>
    <t>600938.SS</t>
  </si>
  <si>
    <t>N</t>
  </si>
  <si>
    <t>Latest Asset Value</t>
  </si>
  <si>
    <t>Notes</t>
  </si>
  <si>
    <t>Historical Average or D&amp;A</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</si>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</sst>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zoomScaleNormal="100" workbookViewId="0">
      <selection activeCell="C2" sqref="C2"/>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47529953984</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17.54</v>
      </c>
      <c r="D12" s="50">
        <v>25.72</v>
      </c>
      <c r="E12" s="48"/>
    </row>
    <row r="13" spans="1:10">
      <c r="B13" s="1" t="s">
        <v>426</v>
      </c>
      <c r="C13" s="48" t="s">
        <v>404</v>
      </c>
      <c r="D13" s="48" t="s">
        <v>439</v>
      </c>
      <c r="E13" s="5"/>
    </row>
    <row r="14" spans="1:10">
      <c r="B14" s="4" t="s">
        <v>430</v>
      </c>
      <c r="C14" s="35">
        <f>Thesis!C12*Common_Shares/1000000</f>
        <v>833675.39287936001</v>
      </c>
      <c r="D14" s="35">
        <f>IF(D11="","",Thesis!D12*Common_Shares/1000000)</f>
        <v>1222470.4164684799</v>
      </c>
      <c r="E14" s="5"/>
    </row>
    <row r="15" spans="1:10">
      <c r="B15" s="4" t="s">
        <v>429</v>
      </c>
      <c r="C15" s="32" t="str">
        <f>IF(C22=C13,C13,C22&amp;"/"&amp;C13)</f>
        <v>CNY/HKD</v>
      </c>
      <c r="D15" s="32" t="str">
        <f>IF(D11="","",IF(C22=D13,D13,C22&amp;"/"&amp;D13))</f>
        <v>CNY</v>
      </c>
      <c r="E15" s="5"/>
    </row>
    <row r="16" spans="1:10">
      <c r="B16" s="4" t="s">
        <v>1</v>
      </c>
      <c r="C16" s="50">
        <v>1.06</v>
      </c>
      <c r="D16" s="50">
        <v>1</v>
      </c>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439</v>
      </c>
      <c r="D22" s="32" t="str">
        <f>IF(D11="","",Market_currency&amp;"/"&amp;D13&amp;":")</f>
        <v>HKD/CNY:</v>
      </c>
      <c r="E22" s="341">
        <f>IF(D11="","",1/Exchange_Rate*D16)</f>
        <v>0.94339622641509424</v>
      </c>
    </row>
    <row r="23" spans="1:6">
      <c r="B23" s="2" t="s">
        <v>56</v>
      </c>
      <c r="C23" s="48" t="s">
        <v>424</v>
      </c>
      <c r="E23" s="5"/>
    </row>
    <row r="24" spans="1:6">
      <c r="B24" s="2" t="s">
        <v>277</v>
      </c>
      <c r="C24" s="249">
        <v>0.4</v>
      </c>
      <c r="D24" s="1" t="s">
        <v>417</v>
      </c>
      <c r="E24" s="339">
        <v>0.2</v>
      </c>
    </row>
    <row r="25" spans="1:6">
      <c r="B25" s="2" t="str">
        <f>"Target Buy Price ("&amp;Market_currency&amp;"):"</f>
        <v>Target Buy Price (HKD):</v>
      </c>
      <c r="C25" s="252">
        <f>C139</f>
        <v>15.581396137654423</v>
      </c>
      <c r="D25" s="1" t="s">
        <v>315</v>
      </c>
      <c r="E25" s="330">
        <v>3</v>
      </c>
    </row>
    <row r="26" spans="1:6">
      <c r="B26" s="1" t="s">
        <v>407</v>
      </c>
      <c r="C26" s="280">
        <f ca="1">Scenarios!C87</f>
        <v>0.34266014643955889</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165037.69629926985</v>
      </c>
      <c r="D35" s="1" t="str">
        <f>Reporting_currency</f>
        <v>CNY</v>
      </c>
    </row>
    <row r="36" spans="2:6">
      <c r="B36" s="47"/>
      <c r="C36" s="76"/>
    </row>
    <row r="37" spans="2:6" ht="24.4" customHeight="1">
      <c r="B37" s="346" t="s">
        <v>234</v>
      </c>
      <c r="C37" s="346"/>
      <c r="D37" s="346"/>
      <c r="E37" s="346"/>
      <c r="F37" s="346"/>
    </row>
    <row r="38" spans="2:6">
      <c r="B38" s="47" t="s">
        <v>235</v>
      </c>
      <c r="C38" s="188">
        <f>Normalized_FCF!C9</f>
        <v>74606</v>
      </c>
      <c r="D38" s="1" t="str">
        <f>Reporting_currency</f>
        <v>CNY</v>
      </c>
    </row>
    <row r="39" spans="2:6">
      <c r="B39" s="52" t="s">
        <v>236</v>
      </c>
      <c r="C39" s="188">
        <f>Normalized_FCF!C10</f>
        <v>-74606</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694.67059819582528</v>
      </c>
      <c r="D45" s="1" t="str">
        <f>Reporting_currency</f>
        <v>CNY</v>
      </c>
      <c r="E45" s="321"/>
      <c r="F45" s="321"/>
    </row>
    <row r="46" spans="2:6">
      <c r="B46" s="47" t="s">
        <v>349</v>
      </c>
      <c r="C46" s="322">
        <f>Normalized_FCF!C47</f>
        <v>-2807</v>
      </c>
      <c r="D46" s="1" t="str">
        <f>Reporting_currency</f>
        <v>CNY</v>
      </c>
      <c r="E46" s="321"/>
      <c r="F46" s="321"/>
    </row>
    <row r="47" spans="2:6">
      <c r="B47" s="47" t="s">
        <v>239</v>
      </c>
      <c r="C47" s="188">
        <f>Normalized_FCF!C12</f>
        <v>-2112.3294018041747</v>
      </c>
      <c r="D47" s="1" t="str">
        <f>Reporting_currency</f>
        <v>CNY</v>
      </c>
    </row>
    <row r="49" spans="2:6">
      <c r="B49" s="1" t="s">
        <v>247</v>
      </c>
    </row>
    <row r="50" spans="2:6">
      <c r="B50" s="47" t="s">
        <v>266</v>
      </c>
      <c r="C50" s="188">
        <f>Normalized_FCF!C15</f>
        <v>-223.13946170149947</v>
      </c>
      <c r="D50" s="1" t="str">
        <f>Reporting_currency</f>
        <v>CNY</v>
      </c>
    </row>
    <row r="52" spans="2:6">
      <c r="B52" s="346" t="s">
        <v>242</v>
      </c>
      <c r="C52" s="346"/>
      <c r="D52" s="346"/>
      <c r="E52" s="346"/>
      <c r="F52" s="346"/>
    </row>
    <row r="53" spans="2:6">
      <c r="B53" s="47" t="s">
        <v>240</v>
      </c>
      <c r="C53" s="188">
        <f>Normalized_FCF!C14</f>
        <v>-40731.341724366423</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215752.16223548091</v>
      </c>
      <c r="D61" s="1" t="str">
        <f>Reporting_currency</f>
        <v>CNY</v>
      </c>
    </row>
    <row r="62" spans="2:6">
      <c r="B62" s="47" t="s">
        <v>249</v>
      </c>
      <c r="C62" s="188">
        <f>Normalized_FCF!C19</f>
        <v>121970.88571139777</v>
      </c>
      <c r="D62" s="1" t="str">
        <f>Reporting_currency</f>
        <v>CNY</v>
      </c>
    </row>
    <row r="63" spans="2:6">
      <c r="B63" s="254" t="s">
        <v>398</v>
      </c>
      <c r="C63" s="92">
        <f>Normalized_FCF!C125</f>
        <v>0.15508330935322556</v>
      </c>
    </row>
    <row r="64" spans="2:6">
      <c r="B64" s="254" t="s">
        <v>316</v>
      </c>
      <c r="C64" s="92">
        <f>Normalized_FCF!C93</f>
        <v>7.9817559863169893E-2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34.002015575694706</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91887</v>
      </c>
      <c r="D91" s="1" t="str">
        <f>Reporting_currency</f>
        <v>CNY</v>
      </c>
    </row>
    <row r="92" spans="1:6">
      <c r="B92" s="47" t="s">
        <v>285</v>
      </c>
      <c r="C92" s="248">
        <f>C91*scaling_factor*Exchange_Rate/Common_Shares</f>
        <v>2.0492386765783071</v>
      </c>
      <c r="D92" s="1" t="str">
        <f>Market_currency</f>
        <v>HKD</v>
      </c>
    </row>
    <row r="93" spans="1:6">
      <c r="B93" s="336" t="s">
        <v>412</v>
      </c>
      <c r="C93" s="337">
        <f>BS!G30/BS!G27</f>
        <v>0.40943456145688223</v>
      </c>
    </row>
    <row r="94" spans="1:6">
      <c r="B94" s="336" t="s">
        <v>413</v>
      </c>
      <c r="C94" s="337">
        <f>BS!G31/BS!G27</f>
        <v>0.12260820136742831</v>
      </c>
    </row>
    <row r="95" spans="1:6">
      <c r="B95" s="336" t="s">
        <v>415</v>
      </c>
      <c r="C95" s="338">
        <f>BS!C50</f>
        <v>0.55676370950656873</v>
      </c>
    </row>
    <row r="97" spans="1:6">
      <c r="B97" s="1" t="s">
        <v>255</v>
      </c>
    </row>
    <row r="98" spans="1:6">
      <c r="B98" s="47" t="s">
        <v>265</v>
      </c>
      <c r="C98" s="188">
        <f>BS!C66</f>
        <v>154196</v>
      </c>
      <c r="D98" s="1" t="str">
        <f>Reporting_currency</f>
        <v>CNY</v>
      </c>
    </row>
    <row r="99" spans="1:6">
      <c r="B99" s="47" t="s">
        <v>267</v>
      </c>
      <c r="C99" s="188">
        <f>Valuation_Model!C8</f>
        <v>107884.62678694498</v>
      </c>
      <c r="D99" s="1" t="str">
        <f>Reporting_currency</f>
        <v>CNY</v>
      </c>
    </row>
    <row r="100" spans="1:6">
      <c r="B100" s="47" t="s">
        <v>286</v>
      </c>
      <c r="C100" s="248">
        <f>C99*scaling_factor*Exchange_Rate/Common_Shares</f>
        <v>2.4060133622821915</v>
      </c>
      <c r="D100" s="1" t="str">
        <f>Market_currency</f>
        <v>HKD</v>
      </c>
    </row>
    <row r="102" spans="1:6">
      <c r="B102" s="1" t="s">
        <v>257</v>
      </c>
    </row>
    <row r="103" spans="1:6">
      <c r="B103" s="47" t="s">
        <v>258</v>
      </c>
      <c r="C103" s="188">
        <f>Valuation_Model!C9</f>
        <v>5113.2</v>
      </c>
      <c r="D103" s="1" t="str">
        <f>Reporting_currency</f>
        <v>CNY</v>
      </c>
    </row>
    <row r="104" spans="1:6">
      <c r="B104" s="47" t="s">
        <v>287</v>
      </c>
      <c r="C104" s="248">
        <f>C103*scaling_factor*Exchange_Rate/Common_Shares</f>
        <v>0.11403318424891661</v>
      </c>
      <c r="D104" s="1" t="str">
        <f>Market_currency</f>
        <v>HKD</v>
      </c>
    </row>
    <row r="106" spans="1:6" ht="24.4" customHeight="1">
      <c r="B106" s="345" t="s">
        <v>374</v>
      </c>
      <c r="C106" s="345"/>
      <c r="D106" s="345"/>
      <c r="E106" s="345"/>
      <c r="F106" s="345"/>
    </row>
    <row r="108" spans="1:6">
      <c r="B108" s="47" t="s">
        <v>283</v>
      </c>
      <c r="C108" s="248">
        <f>Valuation_Model!C12</f>
        <v>34.472823445647499</v>
      </c>
      <c r="D108" s="1" t="str">
        <f>Market_currency</f>
        <v>HKD</v>
      </c>
    </row>
    <row r="109" spans="1:6">
      <c r="B109" s="336" t="s">
        <v>414</v>
      </c>
      <c r="C109" s="248">
        <f>BS!D47</f>
        <v>-0.44428159991714977</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0.04</v>
      </c>
      <c r="D116" s="257">
        <f>Valuation_Model!D74</f>
        <v>15</v>
      </c>
      <c r="E116" s="258" t="str">
        <f>ROUND(Valuation_Model!E74,2)&amp;" "&amp;Market_currency</f>
        <v>42.19 HKD</v>
      </c>
      <c r="F116" s="259">
        <f>Valuation_Model!F74</f>
        <v>0.05</v>
      </c>
    </row>
    <row r="117" spans="1:6">
      <c r="B117" s="242" t="str">
        <f>Valuation_Model!B75</f>
        <v>Optimistic</v>
      </c>
      <c r="C117" s="243">
        <f>Valuation_Model!C75</f>
        <v>0.03</v>
      </c>
      <c r="D117" s="244">
        <f>Valuation_Model!D75</f>
        <v>10</v>
      </c>
      <c r="E117" s="245" t="str">
        <f>ROUND(Valuation_Model!E75,2)&amp;" "&amp;Market_currency</f>
        <v>37.85 HKD</v>
      </c>
      <c r="F117" s="246">
        <f>Valuation_Model!F75</f>
        <v>0.18</v>
      </c>
    </row>
    <row r="118" spans="1:6">
      <c r="B118" s="242" t="str">
        <f>Valuation_Model!B76</f>
        <v>Base</v>
      </c>
      <c r="C118" s="243">
        <f>Valuation_Model!C76</f>
        <v>0.02</v>
      </c>
      <c r="D118" s="244">
        <f>Valuation_Model!D76</f>
        <v>10</v>
      </c>
      <c r="E118" s="245" t="str">
        <f>ROUND(Valuation_Model!E76,2)&amp;" "&amp;Market_currency</f>
        <v>36.67 HKD</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34.47 HKD</v>
      </c>
      <c r="F119" s="246">
        <f>Valuation_Model!F77</f>
        <v>0.18</v>
      </c>
    </row>
    <row r="120" spans="1:6">
      <c r="B120" s="242" t="str">
        <f>Valuation_Model!B78</f>
        <v>Devil's advocate</v>
      </c>
      <c r="C120" s="243">
        <f>Valuation_Model!C78</f>
        <v>0</v>
      </c>
      <c r="D120" s="244">
        <f>Valuation_Model!D78</f>
        <v>15</v>
      </c>
      <c r="E120" s="245" t="str">
        <f>ROUND(Valuation_Model!E78,2)&amp;" "&amp;Market_currency</f>
        <v>34.47 HKD</v>
      </c>
      <c r="F120" s="246">
        <f>Valuation_Model!F78</f>
        <v>0.05</v>
      </c>
    </row>
    <row r="122" spans="1:6">
      <c r="B122" s="235" t="s">
        <v>259</v>
      </c>
      <c r="C122" s="241">
        <f>Scenarios!C60</f>
        <v>36.651351001723732</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1.4</v>
      </c>
      <c r="D133" s="236" t="str">
        <f>Market_currency</f>
        <v>HKD</v>
      </c>
    </row>
    <row r="135" spans="2:6">
      <c r="B135" s="234" t="s">
        <v>418</v>
      </c>
      <c r="C135" s="270" t="str">
        <f>C11</f>
        <v>0883.HK</v>
      </c>
      <c r="D135" s="270" t="str">
        <f>IF(D11="","",D11)</f>
        <v>600938.SS</v>
      </c>
    </row>
    <row r="136" spans="2:6">
      <c r="B136" s="1" t="s">
        <v>416</v>
      </c>
      <c r="C136" s="337">
        <f>C24</f>
        <v>0.4</v>
      </c>
    </row>
    <row r="137" spans="2:6">
      <c r="B137" s="236" t="str">
        <f>"PV("&amp;C131&amp;" yrs of Dividends)"</f>
        <v>PV(3 yrs of Dividends)</v>
      </c>
      <c r="C137" s="240">
        <f>Scenarios!C81</f>
        <v>2.2244897959183665</v>
      </c>
    </row>
    <row r="138" spans="2:6">
      <c r="B138" s="236" t="str">
        <f>"+ PV(Equity Value realized at year "&amp;C131&amp;")"</f>
        <v>+ PV(Equity Value realized at year 3)</v>
      </c>
      <c r="C138" s="240">
        <f>Scenarios!C82</f>
        <v>13.356906341736057</v>
      </c>
    </row>
    <row r="139" spans="2:6">
      <c r="B139" s="80" t="s">
        <v>261</v>
      </c>
      <c r="C139" s="239">
        <f>Scenarios!C83</f>
        <v>15.581396137654423</v>
      </c>
      <c r="D139" s="342">
        <f>IF($D$11="","",C139*$E$22)</f>
        <v>14.699430318541907</v>
      </c>
    </row>
    <row r="140" spans="2:6">
      <c r="B140" s="290" t="s">
        <v>426</v>
      </c>
      <c r="C140" s="340" t="str">
        <f>Market_currency</f>
        <v>HKD</v>
      </c>
      <c r="D140" s="340" t="str">
        <f>IF($D$11="","",D$13)</f>
        <v>CNY</v>
      </c>
    </row>
    <row r="141" spans="2:6">
      <c r="B141" s="238" t="s">
        <v>263</v>
      </c>
      <c r="C141" s="92">
        <f>Scenarios!F83</f>
        <v>0.5748752580246872</v>
      </c>
    </row>
    <row r="143" spans="2:6">
      <c r="B143" s="234" t="s">
        <v>421</v>
      </c>
    </row>
    <row r="144" spans="2:6">
      <c r="B144" s="1" t="s">
        <v>420</v>
      </c>
      <c r="C144" s="337">
        <f>Scenarios!C90</f>
        <v>0.2</v>
      </c>
    </row>
    <row r="145" spans="1:6">
      <c r="B145" s="236" t="str">
        <f>"PV("&amp;C131&amp;" yrs of Dividends)"</f>
        <v>PV(3 yrs of Dividends)</v>
      </c>
      <c r="C145" s="240">
        <f>Scenarios!C91</f>
        <v>2.9490740740740735</v>
      </c>
    </row>
    <row r="146" spans="1:6">
      <c r="B146" s="236" t="str">
        <f>"+ PV(Equity Value realized at year "&amp;C131&amp;")"</f>
        <v>+ PV(Equity Value realized at year 3)</v>
      </c>
      <c r="C146" s="240">
        <f>Scenarios!C92</f>
        <v>21.210272570441976</v>
      </c>
    </row>
    <row r="147" spans="1:6">
      <c r="B147" s="80" t="s">
        <v>261</v>
      </c>
      <c r="C147" s="239">
        <f>Scenarios!C93</f>
        <v>24.159346644516049</v>
      </c>
      <c r="D147" s="342">
        <f>IF($D$11="","",C147*$E$22)</f>
        <v>22.791836457090611</v>
      </c>
    </row>
    <row r="148" spans="1:6">
      <c r="B148" s="290" t="s">
        <v>426</v>
      </c>
      <c r="C148" s="340" t="str">
        <f>Market_currency</f>
        <v>HKD</v>
      </c>
      <c r="D148" s="340" t="str">
        <f>IF($D$11="","",D$13)</f>
        <v>CNY</v>
      </c>
    </row>
    <row r="149" spans="1:6">
      <c r="B149" s="238" t="s">
        <v>263</v>
      </c>
      <c r="C149" s="92">
        <f>Scenarios!F93</f>
        <v>0.3408333940165037</v>
      </c>
    </row>
    <row r="151" spans="1:6">
      <c r="B151" s="234" t="s">
        <v>408</v>
      </c>
    </row>
    <row r="152" spans="1:6">
      <c r="B152" s="1" t="s">
        <v>419</v>
      </c>
      <c r="C152" s="92">
        <f>Scenarios!C96</f>
        <v>0.08</v>
      </c>
    </row>
    <row r="153" spans="1:6">
      <c r="B153" s="236" t="str">
        <f>"PV("&amp;C131&amp;" yrs of Dividends)"</f>
        <v>PV(3 yrs of Dividends)</v>
      </c>
      <c r="C153" s="240">
        <f>Scenarios!C97</f>
        <v>3.6079357821470319</v>
      </c>
    </row>
    <row r="154" spans="1:6">
      <c r="B154" s="236" t="str">
        <f>"+ PV(Equity Value realized at year "&amp;C131&amp;")"</f>
        <v>+ PV(Equity Value realized at year 3)</v>
      </c>
      <c r="C154" s="240">
        <f>Scenarios!C98</f>
        <v>29.095024102115186</v>
      </c>
    </row>
    <row r="155" spans="1:6">
      <c r="B155" s="80" t="s">
        <v>409</v>
      </c>
      <c r="C155" s="239">
        <f>Scenarios!C99</f>
        <v>32.702959884262221</v>
      </c>
      <c r="D155" s="342">
        <f>IF($D$11="","",C155*$E$22)</f>
        <v>30.851848947417185</v>
      </c>
    </row>
    <row r="156" spans="1:6">
      <c r="B156" s="290" t="s">
        <v>426</v>
      </c>
      <c r="C156" s="340" t="str">
        <f>Market_currency</f>
        <v>HKD</v>
      </c>
      <c r="D156" s="340" t="str">
        <f>IF($D$11="","",D$13)</f>
        <v>CNY</v>
      </c>
    </row>
    <row r="157" spans="1:6">
      <c r="B157" s="238" t="s">
        <v>263</v>
      </c>
      <c r="C157" s="92">
        <f>Scenarios!F99</f>
        <v>0.10772839225696806</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104581.49190000001</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7881.8547999999992</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381</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380</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436</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-104581.49190000001</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50791.179499999984</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-7881.8547999999992</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41588.249299999981</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-4600.1271999999808</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-3967.7236999999809</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1.2317654584099595</v>
      </c>
      <c r="G69" s="92">
        <f t="shared" si="35"/>
        <v>-0.46343160157258034</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1.4991674751742927</v>
      </c>
      <c r="G70" s="101">
        <f t="shared" si="36"/>
        <v>-0.51802695682898614</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0.36017977937654111</v>
      </c>
      <c r="G71" s="101">
        <f t="shared" si="37"/>
        <v>-4.3703644574709006</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35"/>
      <c r="J77" s="335"/>
      <c r="K77" s="335"/>
      <c r="L77" s="335"/>
      <c r="M77" s="335"/>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35"/>
      <c r="J78" s="335"/>
      <c r="K78" s="335"/>
      <c r="L78" s="335"/>
      <c r="M78" s="335"/>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42" sqref="C4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94">
        <v>0.6</v>
      </c>
      <c r="E4" s="25"/>
      <c r="F4" s="4" t="s">
        <v>78</v>
      </c>
      <c r="G4" s="19">
        <f>72912+81284</f>
        <v>154196</v>
      </c>
      <c r="H4" s="294">
        <v>0.9</v>
      </c>
    </row>
    <row r="5" spans="2:8" ht="15" customHeight="1">
      <c r="B5" s="1" t="s">
        <v>33</v>
      </c>
      <c r="C5" s="19">
        <f>45771+4</f>
        <v>45775</v>
      </c>
      <c r="D5" s="294">
        <v>0.6</v>
      </c>
      <c r="E5" s="25"/>
      <c r="F5" s="1" t="s">
        <v>29</v>
      </c>
      <c r="G5" s="19">
        <v>0</v>
      </c>
      <c r="H5" s="294">
        <v>0.7</v>
      </c>
    </row>
    <row r="6" spans="2:8" ht="15" customHeight="1">
      <c r="B6" s="4" t="s">
        <v>10</v>
      </c>
      <c r="C6" s="19">
        <v>5732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f>12837+12408</f>
        <v>25245</v>
      </c>
      <c r="D11" s="294">
        <v>0.05</v>
      </c>
      <c r="H11" s="295"/>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f>8504+18</f>
        <v>8522</v>
      </c>
      <c r="H17" s="294">
        <v>0.6</v>
      </c>
    </row>
    <row r="18" spans="2:8" ht="15" customHeight="1">
      <c r="B18" s="4" t="s">
        <v>174</v>
      </c>
      <c r="C18" s="19">
        <v>0</v>
      </c>
      <c r="D18" s="294">
        <v>0.6</v>
      </c>
      <c r="F18" s="4" t="s">
        <v>182</v>
      </c>
      <c r="G18" s="19">
        <f>25047+23444</f>
        <v>48491</v>
      </c>
      <c r="H18" s="294">
        <v>0.1</v>
      </c>
    </row>
    <row r="19" spans="2:8" ht="15" customHeight="1">
      <c r="B19" s="4" t="s">
        <v>26</v>
      </c>
      <c r="C19" s="19">
        <f>632410+12755</f>
        <v>645165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16961</v>
      </c>
      <c r="D21" s="294">
        <v>0.05</v>
      </c>
      <c r="F21" s="1" t="s">
        <v>181</v>
      </c>
      <c r="G21" s="19">
        <v>0</v>
      </c>
      <c r="H21" s="294">
        <v>0.1</v>
      </c>
    </row>
    <row r="22" spans="2:8" ht="15" customHeight="1">
      <c r="B22" s="4" t="s">
        <v>20</v>
      </c>
      <c r="C22" s="19">
        <v>25465</v>
      </c>
      <c r="D22" s="294">
        <v>0.9</v>
      </c>
      <c r="H22" s="295"/>
    </row>
    <row r="23" spans="2:8" ht="15" customHeight="1">
      <c r="B23" s="4" t="s">
        <v>21</v>
      </c>
      <c r="C23" s="19">
        <v>47068</v>
      </c>
      <c r="D23" s="294">
        <v>0</v>
      </c>
      <c r="H23" s="295"/>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747548</v>
      </c>
      <c r="D46" s="188">
        <f>H29</f>
        <v>-19921.400000000023</v>
      </c>
      <c r="F46" s="283"/>
    </row>
    <row r="47" spans="2:8" ht="15" customHeight="1">
      <c r="B47" s="1" t="str">
        <f>"Equity per share ("&amp;Market_currency&amp;")"</f>
        <v>Equity per share (HKD)</v>
      </c>
      <c r="C47" s="148">
        <f>C46*H1/Common_Shares*Exchange_Rate</f>
        <v>16.671610502016176</v>
      </c>
      <c r="D47" s="148">
        <f>D46*H1/Common_Shares*Exchange_Rate</f>
        <v>-0.44428159991714977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0.55676370950656873</v>
      </c>
      <c r="D50" s="95">
        <f>G31/Normalized_FCF!G8</f>
        <v>0.47663929536624461</v>
      </c>
      <c r="F50" s="283"/>
    </row>
    <row r="51" spans="2:8" ht="15" customHeight="1">
      <c r="B51" s="1" t="s">
        <v>177</v>
      </c>
      <c r="C51" s="202"/>
      <c r="D51" s="92">
        <f>G29/G32</f>
        <v>0.70771698061406008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0.19529424273821622</v>
      </c>
      <c r="D54" s="92">
        <f>Normalized_FCF!G8/G35</f>
        <v>0.22812375750231934</v>
      </c>
      <c r="F54" s="283"/>
    </row>
    <row r="55" spans="2:8" ht="15" customHeight="1">
      <c r="B55" s="1" t="s">
        <v>142</v>
      </c>
      <c r="C55" s="92">
        <f>Normalized_FCF!C11/G40</f>
        <v>0</v>
      </c>
      <c r="D55" s="92">
        <f>Normalized_FCF!G11/G40</f>
        <v>8.692811385878442E-3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0.1156386350778483</v>
      </c>
      <c r="F58" s="5"/>
    </row>
    <row r="59" spans="2:8" ht="15" customHeight="1">
      <c r="B59" s="1" t="s">
        <v>93</v>
      </c>
      <c r="C59" s="98"/>
      <c r="D59" s="92">
        <f>G39/G32</f>
        <v>0.61078917447156578</v>
      </c>
      <c r="F59" s="283"/>
    </row>
    <row r="60" spans="2:8" ht="15" customHeight="1">
      <c r="F60" s="283"/>
    </row>
    <row r="61" spans="2:8" ht="15" customHeight="1">
      <c r="B61" s="158" t="s">
        <v>275</v>
      </c>
      <c r="C61" s="262" t="s">
        <v>138</v>
      </c>
      <c r="D61" s="218" t="s">
        <v>96</v>
      </c>
      <c r="F61" s="283"/>
    </row>
    <row r="62" spans="2:8" ht="15" customHeight="1">
      <c r="B62" s="1" t="s">
        <v>246</v>
      </c>
      <c r="C62" s="92">
        <f>IF(G28&lt;=0,0,G28/G29)</f>
        <v>2.5255903299854993E-3</v>
      </c>
      <c r="D62" s="92">
        <f>G28/G29</f>
        <v>2.5255903299854993E-3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154196</v>
      </c>
      <c r="D66" s="188">
        <f>C66-D75</f>
        <v>107884.62678694498</v>
      </c>
      <c r="F66" s="5" t="s">
        <v>227</v>
      </c>
    </row>
    <row r="67" spans="2:6" ht="15" customHeight="1">
      <c r="B67" s="105" t="s">
        <v>178</v>
      </c>
      <c r="C67" s="20">
        <f>G6+G16</f>
        <v>0</v>
      </c>
      <c r="F67" s="283"/>
    </row>
    <row r="68" spans="2:6" ht="15" customHeight="1">
      <c r="B68" s="105" t="s">
        <v>182</v>
      </c>
      <c r="C68" s="20">
        <f>G18</f>
        <v>48491</v>
      </c>
      <c r="F68" s="283"/>
    </row>
    <row r="69" spans="2:6" ht="15" customHeight="1">
      <c r="B69" s="105" t="s">
        <v>180</v>
      </c>
      <c r="C69" s="20">
        <f>G8+G20</f>
        <v>0</v>
      </c>
      <c r="F69" s="283"/>
    </row>
    <row r="70" spans="2:6" ht="15" customHeight="1">
      <c r="B70" s="80" t="s">
        <v>189</v>
      </c>
      <c r="C70" s="81">
        <f>SUM(C66:C69)</f>
        <v>202687</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-24522.24463146667</v>
      </c>
      <c r="D73" s="188">
        <f>(Normalized_FCF!C25+Normalized_FCF!C35-Normalized_FCF!C91)/12</f>
        <v>-23155.68660652751</v>
      </c>
      <c r="F73" s="1" t="s">
        <v>359</v>
      </c>
    </row>
    <row r="74" spans="2:6" ht="15" customHeight="1">
      <c r="B74" s="288" t="s">
        <v>329</v>
      </c>
      <c r="C74" s="289">
        <f>-$C$66/C73</f>
        <v>6.2880051282963478</v>
      </c>
      <c r="D74" s="289">
        <f>-$C$66/D73</f>
        <v>6.6590985886176517</v>
      </c>
      <c r="F74" s="283" t="s">
        <v>327</v>
      </c>
    </row>
    <row r="75" spans="2:6" ht="15" customHeight="1">
      <c r="B75" s="80" t="s">
        <v>328</v>
      </c>
      <c r="C75" s="293"/>
      <c r="D75" s="292">
        <f>MAX(-D73*D76,G5)</f>
        <v>46311.37321305502</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8522</v>
      </c>
      <c r="D79" s="188">
        <f>G7*H7+G17*H17</f>
        <v>5113.2</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8522</v>
      </c>
      <c r="D82" s="81">
        <f>SUM(D79:D81)</f>
        <v>5113.2</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-97400.22</v>
      </c>
      <c r="D86" s="248">
        <f>C86*scaling_factor/Common_Shares</f>
        <v>-2.0492386765783071</v>
      </c>
      <c r="E86" s="269" t="str">
        <f>Market_currency</f>
        <v>HKD</v>
      </c>
    </row>
    <row r="87" spans="2:8" ht="15" customHeight="1">
      <c r="B87" s="267" t="s">
        <v>294</v>
      </c>
      <c r="C87" s="188">
        <f>Valuation_Model!C8*Exchange_Rate</f>
        <v>114357.70439416169</v>
      </c>
      <c r="D87" s="248">
        <f>C87*scaling_factor/Common_Shares</f>
        <v>2.4060133622821915</v>
      </c>
      <c r="E87" s="269" t="str">
        <f>Market_currency</f>
        <v>HKD</v>
      </c>
    </row>
    <row r="88" spans="2:8" ht="15" customHeight="1">
      <c r="B88" s="268" t="s">
        <v>190</v>
      </c>
      <c r="C88" s="188">
        <f>Valuation_Model!C9*Exchange_Rate</f>
        <v>5419.9920000000002</v>
      </c>
      <c r="D88" s="248">
        <f>C88*scaling_factor/Common_Shares</f>
        <v>0.11403318424891661</v>
      </c>
      <c r="E88" s="269" t="str">
        <f>Market_currency</f>
        <v>HKD</v>
      </c>
    </row>
    <row r="89" spans="2:8" ht="15" customHeight="1">
      <c r="B89" s="80" t="s">
        <v>298</v>
      </c>
      <c r="C89" s="187">
        <f>SUM(C86:C88)</f>
        <v>22377.476394161684</v>
      </c>
      <c r="D89" s="271">
        <f>SUM(D86:D88)</f>
        <v>0.47080786995280111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1" activePane="bottomRight" state="frozen"/>
      <selection pane="topRight" activeCell="C1" sqref="C1"/>
      <selection pane="bottomLeft" activeCell="A2" sqref="A2"/>
      <selection pane="bottomRight" activeCell="C90" sqref="C9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376364</v>
      </c>
      <c r="D4" s="57"/>
      <c r="E4" s="300"/>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-203289.30370073015</v>
      </c>
      <c r="E5" s="302"/>
      <c r="G5" s="183">
        <f t="shared" ref="G5:Q5" si="1">G25</f>
        <v>-218801</v>
      </c>
      <c r="H5" s="183">
        <f t="shared" si="1"/>
        <v>-236626</v>
      </c>
      <c r="I5" s="183">
        <f t="shared" si="1"/>
        <v>-220356</v>
      </c>
      <c r="J5" s="183">
        <f t="shared" si="1"/>
        <v>-135451</v>
      </c>
      <c r="K5" s="183">
        <f t="shared" si="1"/>
        <v>-107629.52360000001</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173074.69629926985</v>
      </c>
      <c r="E6" s="302"/>
      <c r="G6" s="184">
        <f>IF(G4="","",G4+G5)</f>
        <v>201705</v>
      </c>
      <c r="H6" s="184">
        <f t="shared" ref="H6:Q6" si="2">IF(H4="","",H4+H5)</f>
        <v>179983</v>
      </c>
      <c r="I6" s="184">
        <f t="shared" si="2"/>
        <v>201874</v>
      </c>
      <c r="J6" s="184">
        <f t="shared" si="2"/>
        <v>110660</v>
      </c>
      <c r="K6" s="184">
        <f t="shared" si="2"/>
        <v>47743.147799999977</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-8037</v>
      </c>
      <c r="E7" s="302"/>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165037.69629926985</v>
      </c>
      <c r="D8" s="59"/>
      <c r="E8" s="308"/>
      <c r="F8" s="59"/>
      <c r="G8" s="184">
        <f>IF(G$4="","",G6+G7)</f>
        <v>192781</v>
      </c>
      <c r="H8" s="184">
        <f t="shared" ref="H8:Q8" si="4">IF(H$4="","",H6+H7)</f>
        <v>171366</v>
      </c>
      <c r="I8" s="184">
        <f t="shared" si="4"/>
        <v>193991</v>
      </c>
      <c r="J8" s="184">
        <f t="shared" si="4"/>
        <v>103936</v>
      </c>
      <c r="K8" s="184">
        <f t="shared" si="4"/>
        <v>41588.249299999981</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302"/>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-2112.3294018041747</v>
      </c>
      <c r="E12" s="302"/>
      <c r="G12" s="191">
        <f>G50</f>
        <v>-1430.8377645190662</v>
      </c>
      <c r="H12" s="191">
        <f t="shared" ref="H12:Q12" si="6">H50</f>
        <v>-979.86173254345545</v>
      </c>
      <c r="I12" s="191">
        <f t="shared" si="6"/>
        <v>-2233.9839673214356</v>
      </c>
      <c r="J12" s="191">
        <f t="shared" si="6"/>
        <v>-2796.2427852946457</v>
      </c>
      <c r="K12" s="191">
        <f t="shared" si="6"/>
        <v>-3111.5736108670917</v>
      </c>
      <c r="L12" s="191">
        <f t="shared" si="6"/>
        <v>-2749.5129872564653</v>
      </c>
      <c r="M12" s="191">
        <f t="shared" si="6"/>
        <v>-2362.3088695752767</v>
      </c>
      <c r="N12" s="191">
        <f t="shared" si="6"/>
        <v>0</v>
      </c>
      <c r="O12" s="191">
        <f t="shared" si="6"/>
        <v>0</v>
      </c>
      <c r="P12" s="191">
        <f t="shared" si="6"/>
        <v>0</v>
      </c>
      <c r="Q12" s="191" t="str">
        <f t="shared" si="6"/>
        <v/>
      </c>
    </row>
    <row r="13" spans="1:17" ht="15.75" customHeight="1">
      <c r="A13" s="10"/>
      <c r="B13" s="70" t="s">
        <v>165</v>
      </c>
      <c r="C13" s="184">
        <f>SUM(C8:C12)</f>
        <v>162925.36689746569</v>
      </c>
      <c r="E13" s="302"/>
      <c r="G13" s="184">
        <f>IF(G$4="","",SUM(G8:G12))</f>
        <v>267792.16223548091</v>
      </c>
      <c r="H13" s="184">
        <f t="shared" ref="H13:Q13" si="7">IF(H$4="","",SUM(H8:H12))</f>
        <v>241264.13826745655</v>
      </c>
      <c r="I13" s="184">
        <f t="shared" si="7"/>
        <v>256520.01603267857</v>
      </c>
      <c r="J13" s="184">
        <f t="shared" si="7"/>
        <v>157448.75721470534</v>
      </c>
      <c r="K13" s="184">
        <f t="shared" si="7"/>
        <v>88923.014089132892</v>
      </c>
      <c r="L13" s="184">
        <f t="shared" si="7"/>
        <v>140904.2098127435</v>
      </c>
      <c r="M13" s="184">
        <f t="shared" si="7"/>
        <v>124121.7042304247</v>
      </c>
      <c r="N13" s="184">
        <f t="shared" si="7"/>
        <v>334812</v>
      </c>
      <c r="O13" s="184">
        <f t="shared" si="7"/>
        <v>315041</v>
      </c>
      <c r="P13" s="184">
        <f t="shared" si="7"/>
        <v>307359</v>
      </c>
      <c r="Q13" s="184" t="str">
        <f t="shared" si="7"/>
        <v/>
      </c>
    </row>
    <row r="14" spans="1:17" ht="15.75" customHeight="1">
      <c r="A14" s="10"/>
      <c r="B14" s="2" t="s">
        <v>63</v>
      </c>
      <c r="C14" s="191">
        <f>-SUM(C8+C11,C12)*C43</f>
        <v>-40731.341724366423</v>
      </c>
      <c r="E14" s="302"/>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9"/>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121970.88571139777</v>
      </c>
      <c r="D16" s="61"/>
      <c r="E16" s="310"/>
      <c r="F16" s="61"/>
      <c r="G16" s="184">
        <f>IF(G$4="","",SUM(G13:G15))</f>
        <v>215752.16223548091</v>
      </c>
      <c r="H16" s="184">
        <f t="shared" ref="H16:Q16" si="8">IF(H$4="","",SUM(H13:H15))</f>
        <v>192133.13826745655</v>
      </c>
      <c r="I16" s="184">
        <f t="shared" si="8"/>
        <v>203427.01603267857</v>
      </c>
      <c r="J16" s="184">
        <f t="shared" si="8"/>
        <v>131934.75721470534</v>
      </c>
      <c r="K16" s="184">
        <f t="shared" si="8"/>
        <v>78971.557889132891</v>
      </c>
      <c r="L16" s="184">
        <f t="shared" si="8"/>
        <v>116300.3311127435</v>
      </c>
      <c r="M16" s="184">
        <f t="shared" si="8"/>
        <v>101638.9275304247</v>
      </c>
      <c r="N16" s="184">
        <f t="shared" si="8"/>
        <v>299358</v>
      </c>
      <c r="O16" s="184">
        <f t="shared" si="8"/>
        <v>281580</v>
      </c>
      <c r="P16" s="184">
        <f t="shared" si="8"/>
        <v>283607</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121970.88571139777</v>
      </c>
      <c r="D19" s="27"/>
      <c r="E19" s="299"/>
      <c r="F19" s="27"/>
      <c r="G19" s="186">
        <f>IF(G$4="","",G16+G17)</f>
        <v>215752.16223548091</v>
      </c>
      <c r="H19" s="186">
        <f t="shared" ref="H19:Q19" si="9">IF(H$4="","",H16+H17)</f>
        <v>192133.13826745655</v>
      </c>
      <c r="I19" s="186">
        <f t="shared" si="9"/>
        <v>203427.01603267857</v>
      </c>
      <c r="J19" s="186">
        <f t="shared" si="9"/>
        <v>131934.75721470534</v>
      </c>
      <c r="K19" s="186">
        <f t="shared" si="9"/>
        <v>78971.557889132891</v>
      </c>
      <c r="L19" s="186">
        <f t="shared" si="9"/>
        <v>116300.3311127435</v>
      </c>
      <c r="M19" s="186">
        <f t="shared" si="9"/>
        <v>101638.9275304247</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-199930.71094910003</v>
      </c>
      <c r="D23" s="58"/>
      <c r="E23" s="301"/>
      <c r="F23" s="58"/>
      <c r="G23" s="183">
        <f>Data!C37</f>
        <v>-215269</v>
      </c>
      <c r="H23" s="183">
        <f>Data!D37</f>
        <v>-233125</v>
      </c>
      <c r="I23" s="183">
        <f>Data!E37</f>
        <v>-217001</v>
      </c>
      <c r="J23" s="183">
        <f>Data!F37</f>
        <v>-132757</v>
      </c>
      <c r="K23" s="183">
        <f>Data!G37</f>
        <v>-104581.49190000001</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-3358.5927516301235</v>
      </c>
      <c r="D24" s="27"/>
      <c r="E24" s="299"/>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-203289.30370073015</v>
      </c>
      <c r="D25" s="9"/>
      <c r="E25" s="307"/>
      <c r="F25" s="9"/>
      <c r="G25" s="184">
        <f t="shared" ref="G25:Q25" si="10">IF(G$4="","",G23+G24)</f>
        <v>-218801</v>
      </c>
      <c r="H25" s="184">
        <f t="shared" si="10"/>
        <v>-236626</v>
      </c>
      <c r="I25" s="184">
        <f t="shared" si="10"/>
        <v>-220356</v>
      </c>
      <c r="J25" s="184">
        <f t="shared" si="10"/>
        <v>-135451</v>
      </c>
      <c r="K25" s="184">
        <f t="shared" si="10"/>
        <v>-107629.52360000001</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0.53121635158809033</v>
      </c>
      <c r="D28" s="26"/>
      <c r="E28" s="300" t="s">
        <v>341</v>
      </c>
      <c r="F28" s="26"/>
      <c r="G28" s="13">
        <f t="shared" ref="G28:Q28" si="11">IF(G$4="","",ABS(G23/G$4))</f>
        <v>0.51192848615715347</v>
      </c>
      <c r="H28" s="13">
        <f t="shared" si="11"/>
        <v>0.55957744551845978</v>
      </c>
      <c r="I28" s="13">
        <f t="shared" si="11"/>
        <v>0.51394026952135097</v>
      </c>
      <c r="J28" s="13">
        <f t="shared" si="11"/>
        <v>0.53941920515539732</v>
      </c>
      <c r="K28" s="13">
        <f t="shared" si="11"/>
        <v>0.67310094470062654</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8.9237885441490784E-3</v>
      </c>
      <c r="D29" s="26"/>
      <c r="E29" s="300" t="s">
        <v>341</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0.54014014013223943</v>
      </c>
      <c r="E30" s="302"/>
      <c r="G30" s="30">
        <f t="shared" ref="G30:Q30" si="13">IF(G$4="","",ABS(G25/G$4))</f>
        <v>0.52032789068408059</v>
      </c>
      <c r="H30" s="30">
        <f t="shared" si="13"/>
        <v>0.56798100857158629</v>
      </c>
      <c r="I30" s="30">
        <f t="shared" si="13"/>
        <v>0.52188617578097241</v>
      </c>
      <c r="J30" s="30">
        <f t="shared" si="13"/>
        <v>0.55036548549231845</v>
      </c>
      <c r="K30" s="30">
        <f t="shared" si="13"/>
        <v>0.69271849824164133</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-6449.75</v>
      </c>
      <c r="E33" s="300" t="s">
        <v>341</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AVERAGE(G34:J34)</f>
        <v>-1587.25</v>
      </c>
      <c r="D34" s="58"/>
      <c r="E34" s="300" t="s">
        <v>341</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-8037</v>
      </c>
      <c r="D35" s="58"/>
      <c r="E35" s="301"/>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1.71370003507243E-2</v>
      </c>
      <c r="D38" s="27"/>
      <c r="E38" s="299"/>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4.2173268431624708E-3</v>
      </c>
      <c r="D39" s="27"/>
      <c r="E39" s="299"/>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2.1354327193886771E-2</v>
      </c>
      <c r="E40" s="302"/>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0.26913935966398467</v>
      </c>
      <c r="H43" s="6">
        <f t="shared" si="18"/>
        <v>0.28368623394920972</v>
      </c>
      <c r="I43" s="6">
        <f t="shared" si="18"/>
        <v>0.27414438939180003</v>
      </c>
      <c r="J43" s="6">
        <f t="shared" si="18"/>
        <v>0.25140473599681634</v>
      </c>
      <c r="K43" s="6">
        <f t="shared" si="18"/>
        <v>0.26295805479534612</v>
      </c>
      <c r="L43" s="6">
        <f t="shared" si="18"/>
        <v>0.29102924016788195</v>
      </c>
      <c r="M43" s="6">
        <f t="shared" si="18"/>
        <v>0.30679198503001187</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-2807</v>
      </c>
      <c r="E47" s="302"/>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353</v>
      </c>
      <c r="C48" s="191">
        <f>BS!D75*C53</f>
        <v>694.67059819582528</v>
      </c>
      <c r="E48" s="302"/>
      <c r="G48" s="328">
        <f>IFERROR(IF(G$4="","",($C$48/$C$49)*G49),0)</f>
        <v>1376.1622354809338</v>
      </c>
      <c r="H48" s="328">
        <f t="shared" ref="H48:Q48" si="19">IFERROR(IF(H$4="","",($C$48/$C$49)*H49),0)</f>
        <v>1443.1382674565446</v>
      </c>
      <c r="I48" s="328">
        <f t="shared" si="19"/>
        <v>895.01603267856456</v>
      </c>
      <c r="J48" s="328">
        <f t="shared" si="19"/>
        <v>402.75721470535404</v>
      </c>
      <c r="K48" s="328">
        <f t="shared" si="19"/>
        <v>442.39248913290834</v>
      </c>
      <c r="L48" s="328">
        <f t="shared" si="19"/>
        <v>320.40961274353464</v>
      </c>
      <c r="M48" s="328">
        <f t="shared" si="19"/>
        <v>239.67373042472289</v>
      </c>
      <c r="N48" s="328">
        <f t="shared" si="19"/>
        <v>0</v>
      </c>
      <c r="O48" s="328">
        <f t="shared" si="19"/>
        <v>0</v>
      </c>
      <c r="P48" s="328">
        <f t="shared" si="19"/>
        <v>0</v>
      </c>
      <c r="Q48" s="328" t="str">
        <f t="shared" si="19"/>
        <v/>
      </c>
    </row>
    <row r="49" spans="1:17" ht="15.75" customHeight="1">
      <c r="A49" s="10"/>
      <c r="B49" s="323" t="s">
        <v>350</v>
      </c>
      <c r="C49" s="324">
        <f>BS!$C$66*C53</f>
        <v>2312.94</v>
      </c>
      <c r="D49" s="325"/>
      <c r="E49" s="326"/>
      <c r="F49" s="325"/>
      <c r="G49" s="324">
        <f>Data!C52</f>
        <v>4582</v>
      </c>
      <c r="H49" s="324">
        <f>Data!D52</f>
        <v>4805</v>
      </c>
      <c r="I49" s="324">
        <f>Data!E52</f>
        <v>2980</v>
      </c>
      <c r="J49" s="324">
        <f>Data!F52</f>
        <v>1341</v>
      </c>
      <c r="K49" s="324">
        <f>Data!G52</f>
        <v>1472.9675999999999</v>
      </c>
      <c r="L49" s="324">
        <f>Data!H52</f>
        <v>1066.8196</v>
      </c>
      <c r="M49" s="324">
        <f>Data!I52</f>
        <v>798.00549999999998</v>
      </c>
      <c r="N49" s="324">
        <f>Data!J52</f>
        <v>0</v>
      </c>
      <c r="O49" s="324">
        <f>Data!K52</f>
        <v>0</v>
      </c>
      <c r="P49" s="324">
        <f>Data!L52</f>
        <v>0</v>
      </c>
      <c r="Q49" s="324" t="str">
        <f>Data!M52</f>
        <v/>
      </c>
    </row>
    <row r="50" spans="1:17" ht="15.75" customHeight="1">
      <c r="A50" s="10"/>
      <c r="B50" s="70" t="s">
        <v>68</v>
      </c>
      <c r="C50" s="184">
        <f>C47+C48</f>
        <v>-2112.3294018041747</v>
      </c>
      <c r="E50" s="302"/>
      <c r="G50" s="184">
        <f>IF(G$4="","",(G47+G48))</f>
        <v>-1430.8377645190662</v>
      </c>
      <c r="H50" s="184">
        <f t="shared" ref="H50:Q50" si="20">IF(H$4="","",(H47+H48))</f>
        <v>-979.86173254345545</v>
      </c>
      <c r="I50" s="184">
        <f t="shared" si="20"/>
        <v>-2233.9839673214356</v>
      </c>
      <c r="J50" s="184">
        <f t="shared" si="20"/>
        <v>-2796.2427852946457</v>
      </c>
      <c r="K50" s="184">
        <f t="shared" si="20"/>
        <v>-3111.5736108670917</v>
      </c>
      <c r="L50" s="184">
        <f t="shared" si="20"/>
        <v>-2749.5129872564653</v>
      </c>
      <c r="M50" s="184">
        <f t="shared" si="20"/>
        <v>-2362.3088695752767</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9" t="s">
        <v>344</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58.795046775657234</v>
      </c>
      <c r="E55" s="302"/>
      <c r="G55" s="42">
        <f t="shared" ref="G55:Q55" si="21">IF(G4="","",-G8/G47)</f>
        <v>68.678660491628079</v>
      </c>
      <c r="H55" s="42">
        <f t="shared" si="21"/>
        <v>70.724721419727615</v>
      </c>
      <c r="I55" s="42">
        <f t="shared" si="21"/>
        <v>61.997762863534675</v>
      </c>
      <c r="J55" s="42">
        <f t="shared" si="21"/>
        <v>32.49015317286652</v>
      </c>
      <c r="K55" s="42">
        <f t="shared" si="21"/>
        <v>11.70192627892539</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7">
        <v>0</v>
      </c>
      <c r="E62" s="300" t="s">
        <v>345</v>
      </c>
      <c r="G62" s="191">
        <f>Data!C58</f>
        <v>-6416</v>
      </c>
      <c r="H62" s="191">
        <f>Data!D58</f>
        <v>-2705</v>
      </c>
      <c r="I62" s="191">
        <f>Data!E58</f>
        <v>-983</v>
      </c>
      <c r="J62" s="191">
        <f>Data!F58</f>
        <v>-6603</v>
      </c>
      <c r="K62" s="191">
        <f>Data!G58</f>
        <v>-3967.7236999999809</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-4580</v>
      </c>
      <c r="H63" s="184">
        <f t="shared" si="23"/>
        <v>-774</v>
      </c>
      <c r="I63" s="184">
        <f t="shared" si="23"/>
        <v>928</v>
      </c>
      <c r="J63" s="184">
        <f t="shared" si="23"/>
        <v>-6257</v>
      </c>
      <c r="K63" s="184">
        <f t="shared" si="23"/>
        <v>-4600.1271999999808</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v>0</v>
      </c>
      <c r="E67" s="302"/>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0.54014014013223943</v>
      </c>
      <c r="D73" s="27"/>
      <c r="E73" s="299"/>
      <c r="F73" s="27"/>
      <c r="G73" s="6">
        <f t="shared" ref="G73:Q73" si="24">IF(G$4="","",ABS(G5/G$4))</f>
        <v>0.52032789068408059</v>
      </c>
      <c r="H73" s="6">
        <f t="shared" si="24"/>
        <v>0.56798100857158629</v>
      </c>
      <c r="I73" s="6">
        <f t="shared" si="24"/>
        <v>0.52188617578097241</v>
      </c>
      <c r="J73" s="6">
        <f t="shared" si="24"/>
        <v>0.55036548549231845</v>
      </c>
      <c r="K73" s="6">
        <f t="shared" si="24"/>
        <v>0.69271849824164133</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0.45985985986776062</v>
      </c>
      <c r="D74" s="27"/>
      <c r="E74" s="299"/>
      <c r="F74" s="27"/>
      <c r="G74" s="65">
        <f t="shared" ref="G74:Q74" si="25">IF(G$4="","",ABS(G6/G$4))</f>
        <v>0.47967210931591941</v>
      </c>
      <c r="H74" s="65">
        <f t="shared" si="25"/>
        <v>0.43201899142841371</v>
      </c>
      <c r="I74" s="65">
        <f t="shared" si="25"/>
        <v>0.47811382421902754</v>
      </c>
      <c r="J74" s="65">
        <f t="shared" si="25"/>
        <v>0.44963451450768149</v>
      </c>
      <c r="K74" s="65">
        <f t="shared" si="25"/>
        <v>0.30728150175835867</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2.1354327193886771E-2</v>
      </c>
      <c r="D75" s="27"/>
      <c r="E75" s="299"/>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0.43850553267387382</v>
      </c>
      <c r="D76" s="27"/>
      <c r="E76" s="299"/>
      <c r="F76" s="27"/>
      <c r="G76" s="65">
        <f t="shared" ref="G76:Q76" si="27">IF(G$4="","",ABS(G8/G$4))</f>
        <v>0.45845005778752262</v>
      </c>
      <c r="H76" s="65">
        <f t="shared" si="27"/>
        <v>0.41133532880950724</v>
      </c>
      <c r="I76" s="65">
        <f t="shared" si="27"/>
        <v>0.4594439049806977</v>
      </c>
      <c r="J76" s="65">
        <f t="shared" si="27"/>
        <v>0.42231350894515074</v>
      </c>
      <c r="K76" s="65">
        <f t="shared" si="27"/>
        <v>0.26766772383627807</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9"/>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5.6124640024130222E-3</v>
      </c>
      <c r="D80" s="27"/>
      <c r="E80" s="299"/>
      <c r="F80" s="27"/>
      <c r="G80" s="6">
        <f t="shared" ref="G80:Q80" si="31">IF(G$4="","",ABS(G12/G$4))</f>
        <v>3.4026571904302583E-3</v>
      </c>
      <c r="H80" s="6">
        <f t="shared" si="31"/>
        <v>2.3519936740287787E-3</v>
      </c>
      <c r="I80" s="6">
        <f t="shared" si="31"/>
        <v>5.2909171951813832E-3</v>
      </c>
      <c r="J80" s="6">
        <f t="shared" si="31"/>
        <v>1.1361713963596287E-2</v>
      </c>
      <c r="K80" s="6">
        <f t="shared" si="31"/>
        <v>2.0026518066722846E-2</v>
      </c>
      <c r="L80" s="6">
        <f t="shared" si="31"/>
        <v>1.1790437436921255E-2</v>
      </c>
      <c r="M80" s="6">
        <f t="shared" si="31"/>
        <v>1.0374189281100607E-2</v>
      </c>
      <c r="N80" s="6">
        <f t="shared" si="31"/>
        <v>0</v>
      </c>
      <c r="O80" s="6">
        <f t="shared" si="31"/>
        <v>0</v>
      </c>
      <c r="P80" s="6">
        <f t="shared" si="31"/>
        <v>0</v>
      </c>
      <c r="Q80" s="6" t="str">
        <f t="shared" si="31"/>
        <v/>
      </c>
    </row>
    <row r="81" spans="1:17" ht="15.75" customHeight="1">
      <c r="A81" s="10"/>
      <c r="B81" s="70" t="s">
        <v>165</v>
      </c>
      <c r="C81" s="78">
        <f>C13/C4</f>
        <v>0.43289306867146082</v>
      </c>
      <c r="D81" s="27"/>
      <c r="E81" s="299"/>
      <c r="F81" s="27"/>
      <c r="G81" s="65">
        <f t="shared" ref="G81:Q81" si="32">IF(G$4="","",G13/G$4)</f>
        <v>0.63683315395138451</v>
      </c>
      <c r="H81" s="65">
        <f t="shared" si="32"/>
        <v>0.57911408123073804</v>
      </c>
      <c r="I81" s="65">
        <f t="shared" si="32"/>
        <v>0.60753621493659515</v>
      </c>
      <c r="J81" s="65">
        <f t="shared" si="32"/>
        <v>0.63974693213511524</v>
      </c>
      <c r="K81" s="65">
        <f t="shared" si="32"/>
        <v>0.57232081606040341</v>
      </c>
      <c r="L81" s="65">
        <f t="shared" si="32"/>
        <v>0.60422419464680843</v>
      </c>
      <c r="M81" s="65">
        <f t="shared" si="32"/>
        <v>0.54508623752097352</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0.10822326716786521</v>
      </c>
      <c r="D82" s="27"/>
      <c r="E82" s="299"/>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5.9288205487639486E-4</v>
      </c>
      <c r="D83" s="27"/>
      <c r="E83" s="299"/>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0.32407691944871925</v>
      </c>
      <c r="D84" s="27"/>
      <c r="E84" s="299"/>
      <c r="F84" s="27"/>
      <c r="G84" s="65">
        <f t="shared" ref="G84:Q84" si="35">IF(G$4="","",ABS(G16/G$4))</f>
        <v>0.51307748815826859</v>
      </c>
      <c r="H84" s="65">
        <f t="shared" si="35"/>
        <v>0.46118335961886697</v>
      </c>
      <c r="I84" s="65">
        <f t="shared" si="35"/>
        <v>0.48179195233090633</v>
      </c>
      <c r="J84" s="65">
        <f t="shared" si="35"/>
        <v>0.53607826230727329</v>
      </c>
      <c r="K84" s="65">
        <f t="shared" si="35"/>
        <v>0.50827186774580291</v>
      </c>
      <c r="L84" s="65">
        <f t="shared" si="35"/>
        <v>0.49871805815555692</v>
      </c>
      <c r="M84" s="65">
        <f t="shared" si="35"/>
        <v>0.44635207787975223</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0.32407691944871925</v>
      </c>
      <c r="D87" s="75"/>
      <c r="E87" s="299"/>
      <c r="F87" s="75"/>
      <c r="G87" s="65">
        <f t="shared" ref="G87:Q87" si="36">IF(G$4="","",ABS(G19/G$4))</f>
        <v>0.51307748815826859</v>
      </c>
      <c r="H87" s="65">
        <f t="shared" si="36"/>
        <v>0.46118335961886697</v>
      </c>
      <c r="I87" s="65">
        <f t="shared" si="36"/>
        <v>0.48179195233090633</v>
      </c>
      <c r="J87" s="65">
        <f t="shared" si="36"/>
        <v>0.53607826230727329</v>
      </c>
      <c r="K87" s="65">
        <f t="shared" si="36"/>
        <v>0.50827186774580291</v>
      </c>
      <c r="L87" s="65">
        <f t="shared" si="36"/>
        <v>0.49871805815555692</v>
      </c>
      <c r="M87" s="65">
        <f t="shared" si="36"/>
        <v>0.44635207787975223</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1.4</v>
      </c>
      <c r="E90" s="302"/>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302"/>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0.54555589384706649</v>
      </c>
      <c r="E92" s="302"/>
      <c r="G92" s="171">
        <f t="shared" ref="G92:Q92" si="38">IF(G$4="","",G90/(G19*scaling_factor/Common_Shares))</f>
        <v>0.30841839492191675</v>
      </c>
      <c r="H92" s="171">
        <f t="shared" si="38"/>
        <v>0.30922537889999818</v>
      </c>
      <c r="I92" s="171">
        <f t="shared" si="38"/>
        <v>0.33878702357669604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7.9817559863169893E-2</v>
      </c>
      <c r="E93" s="302"/>
      <c r="G93" s="23">
        <f t="shared" ref="G93:Q93" si="39">IF(G$4="","",G90/Market_Price)</f>
        <v>7.9817559863169893E-2</v>
      </c>
      <c r="H93" s="23">
        <f t="shared" si="39"/>
        <v>7.1265678449258837E-2</v>
      </c>
      <c r="I93" s="23">
        <f t="shared" si="39"/>
        <v>8.2668187001140259E-2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-0.10497353188777325</v>
      </c>
      <c r="D96" s="27"/>
      <c r="E96" s="299"/>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-0.39159770197382193</v>
      </c>
      <c r="D97" s="27"/>
      <c r="E97" s="299"/>
      <c r="F97" s="27"/>
      <c r="G97" s="6">
        <f t="shared" ref="G97:Q97" si="41">IF(H5="","",G13/H13-1)</f>
        <v>0.10995427732660534</v>
      </c>
      <c r="H97" s="6">
        <f t="shared" si="41"/>
        <v>-5.9472465350534409E-2</v>
      </c>
      <c r="I97" s="6">
        <f t="shared" si="41"/>
        <v>0.62922858567168283</v>
      </c>
      <c r="J97" s="6">
        <f t="shared" si="41"/>
        <v>0.7706187630671737</v>
      </c>
      <c r="K97" s="6">
        <f t="shared" si="41"/>
        <v>-0.36891158747273556</v>
      </c>
      <c r="L97" s="6">
        <f t="shared" si="41"/>
        <v>0.13521008019002911</v>
      </c>
      <c r="M97" s="6">
        <f t="shared" si="41"/>
        <v>-0.62927940387314463</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1056281</v>
      </c>
      <c r="D101" s="26"/>
      <c r="E101" s="303"/>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304"/>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304"/>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303"/>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303"/>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303"/>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303"/>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1.6008682291893146</v>
      </c>
      <c r="H113" s="334">
        <f>IF(H$4="","",Data!D$22/Data!D15)</f>
        <v>1.6902490128132808</v>
      </c>
      <c r="I113" s="334">
        <f>IF(I$4="","",Data!E$22/Data!E15)</f>
        <v>1.4510047502417471</v>
      </c>
      <c r="J113" s="334">
        <f>IF(J$4="","",Data!F$22/Data!F15)</f>
        <v>2.1035316540316042</v>
      </c>
      <c r="K113" s="334">
        <f>IF(K$4="","",Data!G$22/Data!G15)</f>
        <v>3.2993724703992493</v>
      </c>
      <c r="L113" s="334">
        <f>IF(L$4="","",Data!H$22/Data!H15)</f>
        <v>2.023384343788782</v>
      </c>
      <c r="M113" s="334">
        <f>IF(M$4="","",Data!I$22/Data!I15)</f>
        <v>2.361580198596569</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400</v>
      </c>
      <c r="C114" s="170"/>
      <c r="E114" s="302"/>
      <c r="G114" s="334">
        <f>IF(G$4="","",Data!C$22/G19)</f>
        <v>1.0238182445602113</v>
      </c>
      <c r="H114" s="334">
        <f>IF(H$4="","",Data!D$22/H19)</f>
        <v>1.0916544740347178</v>
      </c>
      <c r="I114" s="334">
        <f>IF(I$4="","",Data!E$22/I19)</f>
        <v>1.0105540749168564</v>
      </c>
      <c r="J114" s="334">
        <f>IF(J$4="","",Data!F$22/J19)</f>
        <v>1.1209555625992085</v>
      </c>
      <c r="K114" s="334">
        <f>IF(K$4="","",Data!G$22/K19)</f>
        <v>1.0426290705268</v>
      </c>
      <c r="L114" s="334">
        <f>IF(L$4="","",Data!H$22/L19)</f>
        <v>1.0620642677298928</v>
      </c>
      <c r="M114" s="334">
        <f>IF(M$4="","",Data!I$22/M19)</f>
        <v>1.2239118733593766</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0.43289306867146082</v>
      </c>
      <c r="E117" s="302"/>
      <c r="G117" s="23">
        <f t="shared" ref="G117:Q117" si="45">G81</f>
        <v>0.63683315395138451</v>
      </c>
      <c r="H117" s="23">
        <f t="shared" si="45"/>
        <v>0.57911408123073804</v>
      </c>
      <c r="I117" s="23">
        <f t="shared" si="45"/>
        <v>0.60753621493659515</v>
      </c>
      <c r="J117" s="23">
        <f t="shared" si="45"/>
        <v>0.63974693213511524</v>
      </c>
      <c r="K117" s="23">
        <f t="shared" si="45"/>
        <v>0.57232081606040341</v>
      </c>
      <c r="L117" s="23">
        <f t="shared" si="45"/>
        <v>0.60422419464680843</v>
      </c>
      <c r="M117" s="23">
        <f t="shared" si="45"/>
        <v>0.54508623752097352</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302"/>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6"/>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0.22021586406213453</v>
      </c>
      <c r="D120" s="103"/>
      <c r="E120" s="305"/>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9.5840772518307402E-2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2.720161246055576</v>
      </c>
      <c r="D124" s="27"/>
      <c r="E124" s="299"/>
      <c r="F124" s="27"/>
      <c r="G124" s="178">
        <f t="shared" ref="G124:Q124" si="49">IF(G$4="","",G16*$C$3/Common_Shares*Exchange_Rate)</f>
        <v>4.8116455582220024</v>
      </c>
      <c r="H124" s="178">
        <f t="shared" si="49"/>
        <v>4.2849005625392014</v>
      </c>
      <c r="I124" s="178">
        <f t="shared" si="49"/>
        <v>4.536773527431305</v>
      </c>
      <c r="J124" s="178">
        <f t="shared" si="49"/>
        <v>2.9423727760112208</v>
      </c>
      <c r="K124" s="178">
        <f t="shared" si="49"/>
        <v>1.7612020283179761</v>
      </c>
      <c r="L124" s="178">
        <f t="shared" si="49"/>
        <v>2.5936980923862722</v>
      </c>
      <c r="M124" s="178">
        <f t="shared" si="49"/>
        <v>2.2667234901703832</v>
      </c>
      <c r="N124" s="178">
        <f t="shared" si="49"/>
        <v>6.6762000255001137</v>
      </c>
      <c r="O124" s="178">
        <f t="shared" si="49"/>
        <v>6.2797199446158851</v>
      </c>
      <c r="P124" s="178">
        <f t="shared" si="49"/>
        <v>6.3249255427682263</v>
      </c>
      <c r="Q124" s="178" t="str">
        <f t="shared" si="49"/>
        <v/>
      </c>
    </row>
    <row r="125" spans="1:17" ht="15.75" customHeight="1">
      <c r="A125" s="10"/>
      <c r="B125" s="27" t="s">
        <v>270</v>
      </c>
      <c r="C125" s="77">
        <f>C19*Exchange_Rate*$C$3/(Market_Price*Common_Shares)</f>
        <v>0.15508330935322556</v>
      </c>
      <c r="D125" s="27"/>
      <c r="E125" s="299"/>
      <c r="F125" s="27"/>
      <c r="G125" s="77">
        <f t="shared" ref="G125" si="50">IF(G$4="","",G124/Market_Price)</f>
        <v>0.27432414813124301</v>
      </c>
      <c r="H125" s="77">
        <f t="shared" ref="H125" si="51">IF(H$4="","",H124/Market_Price)</f>
        <v>0.24429307654157364</v>
      </c>
      <c r="I125" s="77">
        <f t="shared" ref="I125" si="52">IF(I$4="","",I124/Market_Price)</f>
        <v>0.25865299472242331</v>
      </c>
      <c r="J125" s="77">
        <f t="shared" ref="J125" si="53">IF(J$4="","",J124/Market_Price)</f>
        <v>0.16775215370645502</v>
      </c>
      <c r="K125" s="77">
        <f t="shared" ref="K125" si="54">IF(K$4="","",K124/Market_Price)</f>
        <v>0.10041060594743308</v>
      </c>
      <c r="L125" s="77">
        <f t="shared" ref="L125" si="55">IF(L$4="","",L124/Market_Price)</f>
        <v>0.14787332339716491</v>
      </c>
      <c r="M125" s="77">
        <f t="shared" ref="M125" si="56">IF(M$4="","",M124/Market_Price)</f>
        <v>0.12923166990709142</v>
      </c>
      <c r="N125" s="77">
        <f t="shared" ref="N125" si="57">IF(N$4="","",N124/Market_Price)</f>
        <v>0.38062713942417981</v>
      </c>
      <c r="O125" s="77">
        <f t="shared" ref="O125" si="58">IF(O$4="","",O124/Market_Price)</f>
        <v>0.35802280185951457</v>
      </c>
      <c r="P125" s="77">
        <f t="shared" ref="P125" si="59">IF(P$4="","",P124/Market_Price)</f>
        <v>0.36060008795713949</v>
      </c>
      <c r="Q125" s="77" t="str">
        <f t="shared" ref="Q125" si="60">IF(Q$4="","",Q124/Market_Price)</f>
        <v/>
      </c>
    </row>
    <row r="126" spans="1:17" ht="15.75" customHeight="1">
      <c r="B126" s="2" t="s">
        <v>402</v>
      </c>
      <c r="C126" s="170"/>
      <c r="G126" s="23">
        <f>IF(G$4="","",(Data!C47*$C$3)/(Market_Price*Common_Shares))</f>
        <v>0.16551046267952782</v>
      </c>
      <c r="H126" s="23">
        <f>IF(H$4="","",(Data!D47*$C$3)/(Market_Price*Common_Shares))</f>
        <v>0.14884690259528494</v>
      </c>
      <c r="I126" s="23">
        <f>IF(I$4="","",(Data!E47*$C$3)/(Market_Price*Common_Shares))</f>
        <v>0.16994264339585932</v>
      </c>
      <c r="J126" s="23">
        <f>IF(J$4="","",(Data!F47*$C$3)/(Market_Price*Common_Shares))</f>
        <v>8.4333783389207009E-2</v>
      </c>
      <c r="K126" s="23">
        <f>IF(K$4="","",(Data!G47*$C$3)/(Market_Price*Common_Shares))</f>
        <v>2.9934513616634118E-2</v>
      </c>
      <c r="L126" s="23">
        <f>IF(L$4="","",(Data!H47*$C$3)/(Market_Price*Common_Shares))</f>
        <v>7.322449423529262E-2</v>
      </c>
      <c r="M126" s="23">
        <f>IF(M$4="","",(Data!I47*$C$3)/(Market_Price*Common_Shares))</f>
        <v>6.3184498127105665E-2</v>
      </c>
      <c r="N126" s="23">
        <f>IF(N$4="","",(Data!J47*$C$3)/(Market_Price*Common_Shares))</f>
        <v>8.4318189789934397E-2</v>
      </c>
      <c r="O126" s="23">
        <f>IF(O$4="","",(Data!K47*$C$3)/(Market_Price*Common_Shares))</f>
        <v>7.0974866843122014E-2</v>
      </c>
      <c r="P126" s="23">
        <f>IF(P$4="","",(Data!L47*$C$3)/(Market_Price*Common_Shares))</f>
        <v>5.199385800544138E-2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121970.88571139777</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1524636.0713924721</v>
      </c>
      <c r="D6" t="str">
        <f>Reporting_currency</f>
        <v>CNY</v>
      </c>
      <c r="E6" s="351" t="s">
        <v>250</v>
      </c>
      <c r="F6" s="351"/>
      <c r="H6" s="121"/>
    </row>
    <row r="7" spans="2:8">
      <c r="B7" s="149" t="s">
        <v>225</v>
      </c>
      <c r="C7" s="226">
        <f>BS!G31</f>
        <v>91887</v>
      </c>
      <c r="D7" t="str">
        <f>Reporting_currency</f>
        <v>CNY</v>
      </c>
      <c r="E7" s="351"/>
      <c r="F7" s="351"/>
      <c r="H7" s="121"/>
    </row>
    <row r="8" spans="2:8">
      <c r="B8" s="149" t="s">
        <v>226</v>
      </c>
      <c r="C8" s="201">
        <f>BS!D66</f>
        <v>107884.62678694498</v>
      </c>
      <c r="D8" t="str">
        <f>Reporting_currency</f>
        <v>CNY</v>
      </c>
      <c r="E8" s="351"/>
      <c r="F8" s="351"/>
      <c r="H8" s="121"/>
    </row>
    <row r="9" spans="2:8">
      <c r="B9" s="227" t="s">
        <v>191</v>
      </c>
      <c r="C9" s="229">
        <f>BS!H42</f>
        <v>5113.2</v>
      </c>
      <c r="D9" t="str">
        <f>Reporting_currency</f>
        <v>CNY</v>
      </c>
      <c r="E9" s="351"/>
      <c r="F9" s="351"/>
      <c r="H9" s="121"/>
    </row>
    <row r="10" spans="2:8" ht="13.15">
      <c r="B10" s="150" t="s">
        <v>228</v>
      </c>
      <c r="C10" s="232">
        <f>C6-C7+C8+C9</f>
        <v>1545746.898179417</v>
      </c>
      <c r="D10" t="str">
        <f>Reporting_currency</f>
        <v>CNY</v>
      </c>
      <c r="H10" s="121"/>
    </row>
    <row r="11" spans="2:8" ht="13.15" thickBot="1">
      <c r="B11" s="230" t="s">
        <v>167</v>
      </c>
      <c r="C11" s="231">
        <f>Exchange_Rate</f>
        <v>1.06</v>
      </c>
      <c r="D11" t="str">
        <f>Thesis!C15</f>
        <v>CNY/HKD</v>
      </c>
      <c r="H11" s="121"/>
    </row>
    <row r="12" spans="2:8" ht="13.5" thickTop="1">
      <c r="B12" s="150" t="s">
        <v>103</v>
      </c>
      <c r="C12" s="112">
        <f>(C10*scaling_factor)/Common_Shares*Exchange_Rate</f>
        <v>34.472823445647499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1.9843519198545507E-2</v>
      </c>
      <c r="H16" s="121"/>
    </row>
    <row r="17" spans="2:8" ht="13.25" customHeight="1">
      <c r="B17" s="119" t="s">
        <v>135</v>
      </c>
      <c r="C17" s="163">
        <f>Scenarios!C64</f>
        <v>10</v>
      </c>
      <c r="H17" s="121"/>
    </row>
    <row r="18" spans="2:8" ht="13.25" customHeight="1">
      <c r="B18" s="154" t="s">
        <v>107</v>
      </c>
      <c r="C18" s="141">
        <f>(F52-C7+C8+C9)*Exchange_Rate/Common_Shares*scaling_factor</f>
        <v>36.650003108899789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124391.2173236755</v>
      </c>
      <c r="D21" s="139">
        <f>IF($C$17&lt;B21,0,Valuation_Model!$C$16)</f>
        <v>1.9843519198545507E-2</v>
      </c>
      <c r="E21" s="125">
        <f t="shared" ref="E21:E50" si="0">IF($C$17&lt;B21,0,1/(1+Equity_Cost)^B21)</f>
        <v>0.92592592592592582</v>
      </c>
      <c r="F21" s="126">
        <f t="shared" ref="F21:F51" si="1">C21*E21</f>
        <v>115177.05307747731</v>
      </c>
      <c r="H21" s="121"/>
    </row>
    <row r="22" spans="2:8">
      <c r="B22" s="123">
        <v>2</v>
      </c>
      <c r="C22" s="124">
        <f t="shared" ref="C22:C50" si="2">IF(ROW()-ROW($C$21)&lt;$C$17, $C$21*(1+D22)^(ROW()-ROW($C$21)), 0)</f>
        <v>126859.5768327683</v>
      </c>
      <c r="D22" s="139">
        <f>IF($C$17&lt;B22,0,Valuation_Model!$C$16)</f>
        <v>1.9843519198545507E-2</v>
      </c>
      <c r="E22" s="125">
        <f t="shared" si="0"/>
        <v>0.85733882030178321</v>
      </c>
      <c r="F22" s="126">
        <f t="shared" si="1"/>
        <v>108761.63994578901</v>
      </c>
      <c r="H22" s="121"/>
    </row>
    <row r="23" spans="2:8">
      <c r="B23" s="123">
        <v>3</v>
      </c>
      <c r="C23" s="124">
        <f t="shared" si="2"/>
        <v>129376.9172811687</v>
      </c>
      <c r="D23" s="139">
        <f>IF($C$17&lt;B23,0,Valuation_Model!$C$16)</f>
        <v>1.9843519198545507E-2</v>
      </c>
      <c r="E23" s="125">
        <f t="shared" si="0"/>
        <v>0.79383224102016958</v>
      </c>
      <c r="F23" s="126">
        <f t="shared" si="1"/>
        <v>102703.56818159125</v>
      </c>
      <c r="H23" s="121"/>
    </row>
    <row r="24" spans="2:8">
      <c r="B24" s="123">
        <v>4</v>
      </c>
      <c r="C24" s="124">
        <f t="shared" si="2"/>
        <v>131944.21062308623</v>
      </c>
      <c r="D24" s="139">
        <f>IF($C$17&lt;B24,0,Valuation_Model!$C$16)</f>
        <v>1.9843519198545507E-2</v>
      </c>
      <c r="E24" s="125">
        <f t="shared" si="0"/>
        <v>0.73502985279645328</v>
      </c>
      <c r="F24" s="126">
        <f t="shared" si="1"/>
        <v>96982.933711631296</v>
      </c>
      <c r="H24" s="121"/>
    </row>
    <row r="25" spans="2:8">
      <c r="B25" s="123">
        <v>5</v>
      </c>
      <c r="C25" s="124">
        <f t="shared" si="2"/>
        <v>134562.44809972236</v>
      </c>
      <c r="D25" s="139">
        <f>IF($C$17&lt;B25,0,Valuation_Model!$C$16)</f>
        <v>1.9843519198545507E-2</v>
      </c>
      <c r="E25" s="125">
        <f t="shared" si="0"/>
        <v>0.68058319703375303</v>
      </c>
      <c r="F25" s="126">
        <f t="shared" si="1"/>
        <v>91580.941128397506</v>
      </c>
      <c r="H25" s="121"/>
    </row>
    <row r="26" spans="2:8">
      <c r="B26" s="123">
        <v>6</v>
      </c>
      <c r="C26" s="124">
        <f t="shared" si="2"/>
        <v>137232.64062199247</v>
      </c>
      <c r="D26" s="139">
        <f>IF($C$17&lt;B26,0,Valuation_Model!$C$16)</f>
        <v>1.9843519198545507E-2</v>
      </c>
      <c r="E26" s="125">
        <f t="shared" si="0"/>
        <v>0.63016962688310452</v>
      </c>
      <c r="F26" s="126">
        <f t="shared" si="1"/>
        <v>86479.841936944169</v>
      </c>
      <c r="H26" s="121"/>
    </row>
    <row r="27" spans="2:8">
      <c r="B27" s="123">
        <v>7</v>
      </c>
      <c r="C27" s="124">
        <f t="shared" si="2"/>
        <v>139955.81916084207</v>
      </c>
      <c r="D27" s="139">
        <f>IF($C$17&lt;B27,0,Valuation_Model!$C$16)</f>
        <v>1.9843519198545507E-2</v>
      </c>
      <c r="E27" s="125">
        <f t="shared" si="0"/>
        <v>0.58349039526213387</v>
      </c>
      <c r="F27" s="126">
        <f t="shared" si="1"/>
        <v>81662.876241395468</v>
      </c>
      <c r="H27" s="121"/>
    </row>
    <row r="28" spans="2:8">
      <c r="B28" s="123">
        <v>8</v>
      </c>
      <c r="C28" s="124">
        <f t="shared" si="2"/>
        <v>142733.03514530841</v>
      </c>
      <c r="D28" s="139">
        <f>IF($C$17&lt;B28,0,Valuation_Model!$C$16)</f>
        <v>1.9843519198545507E-2</v>
      </c>
      <c r="E28" s="125">
        <f t="shared" si="0"/>
        <v>0.54026888450197574</v>
      </c>
      <c r="F28" s="126">
        <f t="shared" si="1"/>
        <v>77114.217679537076</v>
      </c>
      <c r="H28" s="121"/>
    </row>
    <row r="29" spans="2:8">
      <c r="B29" s="123">
        <v>9</v>
      </c>
      <c r="C29" s="124">
        <f t="shared" si="2"/>
        <v>145565.36086848102</v>
      </c>
      <c r="D29" s="139">
        <f>IF($C$17&lt;B29,0,Valuation_Model!$C$16)</f>
        <v>1.9843519198545507E-2</v>
      </c>
      <c r="E29" s="125">
        <f t="shared" si="0"/>
        <v>0.50024896713145905</v>
      </c>
      <c r="F29" s="126">
        <f t="shared" si="1"/>
        <v>72818.921424575732</v>
      </c>
      <c r="H29" s="121"/>
    </row>
    <row r="30" spans="2:8">
      <c r="B30" s="123">
        <v>10</v>
      </c>
      <c r="C30" s="124">
        <f t="shared" si="2"/>
        <v>148453.88990151792</v>
      </c>
      <c r="D30" s="139">
        <f>IF($C$17&lt;B30,0,Valuation_Model!$C$16)</f>
        <v>1.9843519198545507E-2</v>
      </c>
      <c r="E30" s="125">
        <f t="shared" si="0"/>
        <v>0.46319348808468425</v>
      </c>
      <c r="F30" s="126">
        <f t="shared" si="1"/>
        <v>68762.875083223771</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1554890.2165459439</v>
      </c>
      <c r="D51" s="140">
        <f>Terminal_Growth</f>
        <v>0</v>
      </c>
      <c r="E51" s="125">
        <f>1/(1+Equity_Cost)^C17</f>
        <v>0.46319348808468425</v>
      </c>
      <c r="F51" s="126">
        <f t="shared" si="1"/>
        <v>720215.02299066575</v>
      </c>
      <c r="H51" s="121"/>
    </row>
    <row r="52" spans="1:8">
      <c r="C52" s="115"/>
      <c r="E52" s="128" t="s">
        <v>101</v>
      </c>
      <c r="F52" s="138">
        <f>SUM(F21:F51)</f>
        <v>1622259.8914012285</v>
      </c>
      <c r="H52" s="121"/>
    </row>
    <row r="53" spans="1:8">
      <c r="C53" s="115"/>
      <c r="H53" s="121"/>
    </row>
    <row r="54" spans="1:8" ht="13.15">
      <c r="B54" s="120" t="s">
        <v>130</v>
      </c>
      <c r="C54" s="137"/>
      <c r="D54" s="137"/>
      <c r="E54" s="118"/>
      <c r="F54" s="118"/>
      <c r="H54" s="121"/>
    </row>
    <row r="55" spans="1:8" ht="13.15">
      <c r="A55" s="134">
        <f>F52</f>
        <v>1622259.8914012285</v>
      </c>
      <c r="B55" s="132">
        <f>C78</f>
        <v>0</v>
      </c>
      <c r="C55" s="132">
        <f>C77</f>
        <v>0</v>
      </c>
      <c r="D55" s="132">
        <f>C76</f>
        <v>0.02</v>
      </c>
      <c r="E55" s="132">
        <f>C75</f>
        <v>0.03</v>
      </c>
      <c r="F55" s="132">
        <f>C74</f>
        <v>0.04</v>
      </c>
      <c r="H55" s="121"/>
    </row>
    <row r="56" spans="1:8" ht="13.15">
      <c r="A56" s="144">
        <v>5</v>
      </c>
      <c r="B56" s="124">
        <f t="dataTable" ref="B56:F61" dt2D="1" dtr="1" r1="C16" r2="C17"/>
        <v>1524636.0713924719</v>
      </c>
      <c r="C56" s="124">
        <v>1524636.0713924719</v>
      </c>
      <c r="D56" s="124">
        <v>1573828.8121165438</v>
      </c>
      <c r="E56" s="124">
        <v>1598973.6761164423</v>
      </c>
      <c r="F56" s="124">
        <v>1624494.8539584514</v>
      </c>
      <c r="H56" s="121"/>
    </row>
    <row r="57" spans="1:8" ht="13.15">
      <c r="A57" s="144">
        <v>10</v>
      </c>
      <c r="B57" s="124">
        <v>1524636.0713924717</v>
      </c>
      <c r="C57" s="124">
        <v>1524636.0713924717</v>
      </c>
      <c r="D57" s="124">
        <v>1623066.8515811446</v>
      </c>
      <c r="E57" s="124">
        <v>1675910.9333224401</v>
      </c>
      <c r="F57" s="124">
        <v>1731363.0610599834</v>
      </c>
      <c r="H57" s="121"/>
    </row>
    <row r="58" spans="1:8" ht="13.15">
      <c r="A58" s="144">
        <v>15</v>
      </c>
      <c r="B58" s="124">
        <v>1524636.0713924714</v>
      </c>
      <c r="C58" s="124">
        <v>1524636.0713924714</v>
      </c>
      <c r="D58" s="124">
        <v>1684012.5778476135</v>
      </c>
      <c r="E58" s="124">
        <v>1773618.7866755913</v>
      </c>
      <c r="F58" s="124">
        <v>1870679.3215235178</v>
      </c>
      <c r="H58" s="121"/>
    </row>
    <row r="59" spans="1:8" ht="13.15">
      <c r="A59" s="145">
        <v>20</v>
      </c>
      <c r="B59" s="124">
        <v>1524636.0713924714</v>
      </c>
      <c r="C59" s="124">
        <v>1524636.0713924714</v>
      </c>
      <c r="D59" s="124">
        <v>1746106.4991967347</v>
      </c>
      <c r="E59" s="124">
        <v>1875894.0312901761</v>
      </c>
      <c r="F59" s="124">
        <v>2020629.042536262</v>
      </c>
      <c r="H59" s="121"/>
    </row>
    <row r="60" spans="1:8" ht="13.15">
      <c r="A60" s="145">
        <v>25</v>
      </c>
      <c r="B60" s="124">
        <v>1524636.0713924712</v>
      </c>
      <c r="C60" s="124">
        <v>1524636.0713924712</v>
      </c>
      <c r="D60" s="124">
        <v>1803857.2916437099</v>
      </c>
      <c r="E60" s="124">
        <v>1973728.207555155</v>
      </c>
      <c r="F60" s="124">
        <v>2168334.6189155849</v>
      </c>
      <c r="H60" s="121"/>
    </row>
    <row r="61" spans="1:8" ht="13.15">
      <c r="A61" s="145">
        <v>30</v>
      </c>
      <c r="B61" s="124">
        <v>1524636.0713924712</v>
      </c>
      <c r="C61" s="124">
        <v>1524636.0713924712</v>
      </c>
      <c r="D61" s="124">
        <v>1854801.5241895404</v>
      </c>
      <c r="E61" s="124">
        <v>2062583.3984379612</v>
      </c>
      <c r="F61" s="124">
        <v>2306662.2001948259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34.472823445647499</v>
      </c>
      <c r="C65" s="125">
        <f>C12</f>
        <v>34.472823445647499</v>
      </c>
      <c r="D65" s="125">
        <f>C12</f>
        <v>34.472823445647499</v>
      </c>
      <c r="E65" s="142">
        <f>C12</f>
        <v>34.472823445647499</v>
      </c>
      <c r="F65" s="125">
        <f>C12</f>
        <v>34.472823445647499</v>
      </c>
      <c r="H65" s="121"/>
    </row>
    <row r="66" spans="1:8" ht="13.15">
      <c r="A66" s="144">
        <f t="shared" ref="A66:A71" si="3">A56</f>
        <v>5</v>
      </c>
      <c r="B66" s="125">
        <f t="shared" ref="B66:F71" si="4">(B56-$C$7+$C$8+$C$9)/Common_Shares*$C$3*Exchange_Rate</f>
        <v>34.472823445647492</v>
      </c>
      <c r="C66" s="125">
        <f t="shared" si="4"/>
        <v>34.472823445647492</v>
      </c>
      <c r="D66" s="125">
        <f t="shared" si="4"/>
        <v>35.569906459552151</v>
      </c>
      <c r="E66" s="125">
        <f t="shared" si="4"/>
        <v>36.130680321207151</v>
      </c>
      <c r="F66" s="125">
        <f t="shared" si="4"/>
        <v>36.699846630975443</v>
      </c>
      <c r="H66" s="121"/>
    </row>
    <row r="67" spans="1:8" ht="13.15">
      <c r="A67" s="144">
        <f t="shared" si="3"/>
        <v>10</v>
      </c>
      <c r="B67" s="125">
        <f t="shared" si="4"/>
        <v>34.472823445647492</v>
      </c>
      <c r="C67" s="125">
        <f t="shared" si="4"/>
        <v>34.472823445647492</v>
      </c>
      <c r="D67" s="125">
        <f t="shared" si="4"/>
        <v>36.66799971354618</v>
      </c>
      <c r="E67" s="125">
        <f t="shared" si="4"/>
        <v>37.846513933539512</v>
      </c>
      <c r="F67" s="125">
        <f t="shared" si="4"/>
        <v>39.083192080158021</v>
      </c>
      <c r="H67" s="121"/>
    </row>
    <row r="68" spans="1:8" ht="13.15">
      <c r="A68" s="144">
        <f t="shared" si="3"/>
        <v>15</v>
      </c>
      <c r="B68" s="125">
        <f t="shared" si="4"/>
        <v>34.472823445647485</v>
      </c>
      <c r="C68" s="125">
        <f t="shared" si="4"/>
        <v>34.472823445647485</v>
      </c>
      <c r="D68" s="125">
        <f t="shared" si="4"/>
        <v>38.027194588092115</v>
      </c>
      <c r="E68" s="125">
        <f t="shared" si="4"/>
        <v>40.025567685394719</v>
      </c>
      <c r="F68" s="125">
        <f t="shared" si="4"/>
        <v>42.190185117455272</v>
      </c>
      <c r="H68" s="121"/>
    </row>
    <row r="69" spans="1:8" ht="13.15">
      <c r="A69" s="145">
        <f t="shared" si="3"/>
        <v>20</v>
      </c>
      <c r="B69" s="125">
        <f t="shared" si="4"/>
        <v>34.472823445647485</v>
      </c>
      <c r="C69" s="125">
        <f t="shared" si="4"/>
        <v>34.472823445647485</v>
      </c>
      <c r="D69" s="125">
        <f t="shared" si="4"/>
        <v>39.411996194511197</v>
      </c>
      <c r="E69" s="125">
        <f t="shared" si="4"/>
        <v>42.306482144684004</v>
      </c>
      <c r="F69" s="125">
        <f t="shared" si="4"/>
        <v>45.534322675993934</v>
      </c>
      <c r="H69" s="121"/>
    </row>
    <row r="70" spans="1:8" ht="13.15">
      <c r="A70" s="145">
        <f t="shared" si="3"/>
        <v>25</v>
      </c>
      <c r="B70" s="125">
        <f t="shared" si="4"/>
        <v>34.472823445647485</v>
      </c>
      <c r="C70" s="125">
        <f t="shared" si="4"/>
        <v>34.472823445647485</v>
      </c>
      <c r="D70" s="125">
        <f t="shared" si="4"/>
        <v>40.699938531135402</v>
      </c>
      <c r="E70" s="125">
        <f t="shared" si="4"/>
        <v>44.488353115478283</v>
      </c>
      <c r="F70" s="125">
        <f t="shared" si="4"/>
        <v>48.828411936311504</v>
      </c>
    </row>
    <row r="71" spans="1:8" ht="13.15">
      <c r="A71" s="145">
        <f t="shared" si="3"/>
        <v>30</v>
      </c>
      <c r="B71" s="125">
        <f t="shared" si="4"/>
        <v>34.472823445647485</v>
      </c>
      <c r="C71" s="125">
        <f t="shared" si="4"/>
        <v>34.472823445647485</v>
      </c>
      <c r="D71" s="125">
        <f t="shared" si="4"/>
        <v>41.836082835351611</v>
      </c>
      <c r="E71" s="125">
        <f t="shared" si="4"/>
        <v>46.4699772165132</v>
      </c>
      <c r="F71" s="125">
        <f t="shared" si="4"/>
        <v>51.913355721558055</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42.190185117455272</v>
      </c>
      <c r="F74" s="143">
        <f>Scenarios!C58</f>
        <v>0.05</v>
      </c>
    </row>
    <row r="75" spans="1:8">
      <c r="B75" s="128" t="str">
        <f>Scenarios!B36</f>
        <v>Optimistic</v>
      </c>
      <c r="C75" s="143">
        <f>Scenarios!C38</f>
        <v>0.03</v>
      </c>
      <c r="D75" s="146">
        <f>Scenarios!C37</f>
        <v>10</v>
      </c>
      <c r="E75" s="136">
        <f>INDEX(B$65:F$71, MATCH(D75, A$65:A$71, 0), MATCH(C75, B$64:F$64, 0))</f>
        <v>37.846513933539512</v>
      </c>
      <c r="F75" s="143">
        <f>Scenarios!C40*(1-F$74-F$78)</f>
        <v>0.18</v>
      </c>
      <c r="H75" s="121"/>
    </row>
    <row r="76" spans="1:8">
      <c r="B76" s="128" t="str">
        <f>Scenarios!B24</f>
        <v>Base</v>
      </c>
      <c r="C76" s="143">
        <f>Scenarios!C26</f>
        <v>0.02</v>
      </c>
      <c r="D76" s="146">
        <f>Scenarios!C25</f>
        <v>10</v>
      </c>
      <c r="E76" s="136">
        <f>INDEX(B$65:F$71, MATCH(D76, A$65:A$71, 0), MATCH(C76, B$64:F$64, 0))</f>
        <v>36.66799971354618</v>
      </c>
      <c r="F76" s="143">
        <f>Scenarios!C28*(1-F$74-F$78)</f>
        <v>0.53999999999999992</v>
      </c>
      <c r="H76" s="121"/>
    </row>
    <row r="77" spans="1:8">
      <c r="B77" s="128" t="str">
        <f>Scenarios!B30</f>
        <v>Pessimistic</v>
      </c>
      <c r="C77" s="143">
        <f>Scenarios!C32</f>
        <v>0</v>
      </c>
      <c r="D77" s="146">
        <f>Scenarios!C31</f>
        <v>10</v>
      </c>
      <c r="E77" s="136">
        <f>INDEX(B$65:F$71, MATCH(D77, A$65:A$71, 0), MATCH(C77, B$64:F$64, 0))</f>
        <v>34.472823445647492</v>
      </c>
      <c r="F77" s="143">
        <f>Scenarios!C34*(1-F$74-F$78)</f>
        <v>0.18</v>
      </c>
      <c r="H77" s="121"/>
    </row>
    <row r="78" spans="1:8">
      <c r="B78" s="128" t="str">
        <f>Scenarios!B48</f>
        <v>Devil's advocate</v>
      </c>
      <c r="C78" s="143">
        <f>Scenarios!C50</f>
        <v>0</v>
      </c>
      <c r="D78" s="146">
        <f>Scenarios!C49</f>
        <v>15</v>
      </c>
      <c r="E78" s="136">
        <f>INDEX(B$65:F$71, MATCH(D78, A$65:A$71, 0), MATCH(C78, B$64:F$64, 0))</f>
        <v>34.472823445647485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36" zoomScale="75" zoomScaleNormal="100" workbookViewId="0">
      <selection activeCell="C66" sqref="C66"/>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-17.54</v>
      </c>
    </row>
    <row r="4" spans="2:9">
      <c r="B4" s="153" t="s">
        <v>147</v>
      </c>
      <c r="C4" s="121">
        <v>3</v>
      </c>
      <c r="D4" s="121"/>
      <c r="E4" s="156" t="s">
        <v>151</v>
      </c>
      <c r="F4" s="156"/>
      <c r="H4" s="276">
        <v>1</v>
      </c>
      <c r="I4" s="264">
        <f t="shared" ref="I4:I13" si="0">IF(ROW()-3 &lt; $C$76, $C$77, IF(ROW()-3 = $C$76, $C$77 + $C$60, ""))</f>
        <v>1.4</v>
      </c>
    </row>
    <row r="5" spans="2:9">
      <c r="H5" s="276">
        <v>2</v>
      </c>
      <c r="I5" s="264">
        <f t="shared" si="0"/>
        <v>1.4</v>
      </c>
    </row>
    <row r="6" spans="2:9" ht="13.15">
      <c r="B6" s="160" t="s">
        <v>96</v>
      </c>
      <c r="C6" s="107">
        <f>Valuation_Model!C3</f>
        <v>1000000</v>
      </c>
      <c r="E6" s="100" t="s">
        <v>282</v>
      </c>
      <c r="F6" s="100"/>
      <c r="H6" s="276">
        <v>3</v>
      </c>
      <c r="I6" s="264">
        <f t="shared" si="0"/>
        <v>38.051351001723731</v>
      </c>
    </row>
    <row r="7" spans="2:9" ht="12.75" customHeight="1">
      <c r="B7" s="100" t="s">
        <v>276</v>
      </c>
      <c r="C7" s="115">
        <f>Normalized_FCF!G8</f>
        <v>192781</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3"/>
      <c r="H7" s="276">
        <v>4</v>
      </c>
      <c r="I7" s="264" t="str">
        <f t="shared" si="0"/>
        <v/>
      </c>
    </row>
    <row r="8" spans="2:9">
      <c r="B8" s="100" t="s">
        <v>66</v>
      </c>
      <c r="C8" s="115">
        <f>Normalized_FCF!G19</f>
        <v>215752.16223548091</v>
      </c>
      <c r="D8" t="str">
        <f>Reporting_currency</f>
        <v>CNY</v>
      </c>
      <c r="E8" s="353"/>
      <c r="F8" s="353"/>
      <c r="H8" s="276">
        <v>5</v>
      </c>
      <c r="I8" s="264" t="str">
        <f t="shared" si="0"/>
        <v/>
      </c>
    </row>
    <row r="9" spans="2:9">
      <c r="B9" s="100" t="s">
        <v>57</v>
      </c>
      <c r="C9" s="201">
        <f>Normalized_FCF!C19</f>
        <v>121970.88571139777</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0.19549305441006948</v>
      </c>
      <c r="D12" s="159"/>
      <c r="E12" s="353"/>
      <c r="F12" s="353"/>
      <c r="H12" s="276">
        <v>9</v>
      </c>
      <c r="I12" s="264" t="str">
        <f t="shared" si="0"/>
        <v/>
      </c>
    </row>
    <row r="13" spans="2:9">
      <c r="B13" s="149" t="s">
        <v>153</v>
      </c>
      <c r="C13" s="159">
        <f ca="1">(Normalized_FCF!G8/OFFSET(Normalized_FCF!G8, 0, $C$4))^(1/$C$4) - 1</f>
        <v>0.22866289579809873</v>
      </c>
      <c r="E13" s="353"/>
      <c r="F13" s="353"/>
      <c r="H13" s="276">
        <v>10</v>
      </c>
      <c r="I13" s="264" t="str">
        <f t="shared" si="0"/>
        <v/>
      </c>
    </row>
    <row r="14" spans="2:9">
      <c r="B14" s="100" t="s">
        <v>66</v>
      </c>
      <c r="C14" s="159">
        <f ca="1">(Normalized_FCF!G19/OFFSET(Normalized_FCF!G19, 0, $C$4))^(1/$C$4) - 1</f>
        <v>0.17814472984231577</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17.54</v>
      </c>
      <c r="D21" t="str">
        <f>Market_currency</f>
        <v>HKD</v>
      </c>
      <c r="E21" s="354"/>
      <c r="F21" s="354"/>
    </row>
    <row r="22" spans="2:6">
      <c r="B22" s="100" t="s">
        <v>281</v>
      </c>
      <c r="C22" s="161">
        <f>Valuation_Model!C12</f>
        <v>34.472823445647499</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36.66799971354618</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34.472823445647492</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37.846513933539512</v>
      </c>
      <c r="D39" t="str">
        <f>Market_currency</f>
        <v>HKD</v>
      </c>
      <c r="E39" s="352"/>
      <c r="F39" s="352"/>
    </row>
    <row r="40" spans="2:6">
      <c r="B40" s="100" t="s">
        <v>148</v>
      </c>
      <c r="C40" s="168">
        <f>1-C28-C34</f>
        <v>0.2</v>
      </c>
      <c r="D40" s="166"/>
      <c r="E40" s="352"/>
      <c r="F40" s="352"/>
    </row>
    <row r="42" spans="2:6" ht="13.15">
      <c r="B42" s="100" t="s">
        <v>121</v>
      </c>
      <c r="C42" s="155">
        <f>C27*C28+C33*C34+C39*C40</f>
        <v>36.464667303965108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34.472823445647485</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0.04</v>
      </c>
      <c r="D56" s="165"/>
      <c r="E56" s="352"/>
      <c r="F56" s="352"/>
    </row>
    <row r="57" spans="2:6">
      <c r="B57" s="100" t="s">
        <v>114</v>
      </c>
      <c r="C57" s="161">
        <f>Valuation_Model!E74</f>
        <v>42.190185117455272</v>
      </c>
      <c r="D57" t="str">
        <f>Market_currency</f>
        <v>HKD</v>
      </c>
      <c r="E57" s="352"/>
      <c r="F57" s="352"/>
    </row>
    <row r="58" spans="2:6">
      <c r="B58" s="100" t="s">
        <v>148</v>
      </c>
      <c r="C58" s="166">
        <v>0.05</v>
      </c>
      <c r="D58" s="166"/>
      <c r="E58" s="352"/>
      <c r="F58" s="352"/>
    </row>
    <row r="60" spans="2:6" ht="13.15">
      <c r="B60" s="100" t="s">
        <v>121</v>
      </c>
      <c r="C60" s="155">
        <f>C51*C52+C57*C58+C42*(1-C52-C58)</f>
        <v>36.651351001723732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1.9843519198545507E-2</v>
      </c>
      <c r="D65" s="152"/>
      <c r="E65" s="281" t="s">
        <v>320</v>
      </c>
    </row>
    <row r="66" spans="2:6">
      <c r="B66" s="100" t="s">
        <v>103</v>
      </c>
      <c r="C66" s="161">
        <f>Valuation_Model!C18</f>
        <v>36.650003108899789</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1.2845580233335976E-2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1.4</v>
      </c>
      <c r="D77" t="str">
        <f>Market_currency</f>
        <v>HKD</v>
      </c>
    </row>
    <row r="79" spans="2:6" ht="13.15">
      <c r="B79" s="109" t="s">
        <v>308</v>
      </c>
    </row>
    <row r="80" spans="2:6">
      <c r="B80" s="149" t="s">
        <v>306</v>
      </c>
      <c r="C80" s="168">
        <f>Thesis!C132</f>
        <v>0.4</v>
      </c>
    </row>
    <row r="81" spans="2:8">
      <c r="B81" s="100" t="s">
        <v>122</v>
      </c>
      <c r="C81" s="117">
        <f>PV(C80, C76, -C77, 0)</f>
        <v>2.2244897959183665</v>
      </c>
      <c r="D81" s="117"/>
      <c r="E81" s="100"/>
      <c r="F81" s="100"/>
    </row>
    <row r="82" spans="2:8">
      <c r="B82" s="100" t="s">
        <v>123</v>
      </c>
      <c r="C82" s="117">
        <f>C60/(1+C80)^C76</f>
        <v>13.356906341736057</v>
      </c>
      <c r="D82" s="117"/>
    </row>
    <row r="83" spans="2:8" ht="13.15">
      <c r="B83" s="111" t="s">
        <v>102</v>
      </c>
      <c r="C83" s="112">
        <f>C81+C82</f>
        <v>15.581396137654423</v>
      </c>
      <c r="D83" t="str">
        <f>Market_currency</f>
        <v>HKD</v>
      </c>
      <c r="E83" s="147" t="s">
        <v>127</v>
      </c>
      <c r="F83" s="329">
        <f>(1-C83/C60)</f>
        <v>0.5748752580246872</v>
      </c>
    </row>
    <row r="84" spans="2:8">
      <c r="E84" s="121"/>
    </row>
    <row r="85" spans="2:8" ht="13.15">
      <c r="B85" s="109" t="s">
        <v>309</v>
      </c>
    </row>
    <row r="86" spans="2:8">
      <c r="B86" s="149" t="s">
        <v>307</v>
      </c>
      <c r="C86" s="266">
        <f>Market_Price</f>
        <v>17.54</v>
      </c>
      <c r="D86" t="str">
        <f>Market_currency</f>
        <v>HKD</v>
      </c>
    </row>
    <row r="87" spans="2:8" ht="13.15">
      <c r="B87" s="100" t="s">
        <v>305</v>
      </c>
      <c r="C87" s="265">
        <f ca="1">IRR(OFFSET($I$3, 0, 0, $C$76 + 1, 1))</f>
        <v>0.34266014643955889</v>
      </c>
    </row>
    <row r="88" spans="2:8">
      <c r="B88" s="100"/>
    </row>
    <row r="89" spans="2:8" ht="13.15">
      <c r="B89" s="109" t="s">
        <v>422</v>
      </c>
    </row>
    <row r="90" spans="2:8">
      <c r="B90" s="149" t="s">
        <v>423</v>
      </c>
      <c r="C90" s="168">
        <f>Thesis!E24</f>
        <v>0.2</v>
      </c>
    </row>
    <row r="91" spans="2:8">
      <c r="B91" s="100" t="s">
        <v>122</v>
      </c>
      <c r="C91" s="117">
        <f>PV(C90, C76, -C77, 0)</f>
        <v>2.9490740740740735</v>
      </c>
      <c r="D91" s="117"/>
      <c r="E91" s="100"/>
      <c r="F91" s="100"/>
    </row>
    <row r="92" spans="2:8">
      <c r="B92" s="100" t="s">
        <v>123</v>
      </c>
      <c r="C92" s="117">
        <f>C60/(1+C90)^C76</f>
        <v>21.210272570441976</v>
      </c>
      <c r="D92" s="117"/>
    </row>
    <row r="93" spans="2:8" ht="13.15">
      <c r="B93" s="111" t="s">
        <v>102</v>
      </c>
      <c r="C93" s="112">
        <f>C91+C92</f>
        <v>24.159346644516049</v>
      </c>
      <c r="D93" t="str">
        <f>Market_currency</f>
        <v>HKD</v>
      </c>
      <c r="E93" s="147" t="s">
        <v>127</v>
      </c>
      <c r="F93" s="329">
        <f>(1-C93/C60)</f>
        <v>0.3408333940165037</v>
      </c>
    </row>
    <row r="95" spans="2:8" ht="13.15">
      <c r="B95" s="109" t="s">
        <v>405</v>
      </c>
      <c r="G95" s="2"/>
      <c r="H95" s="316"/>
    </row>
    <row r="96" spans="2:8">
      <c r="B96" s="149" t="s">
        <v>411</v>
      </c>
      <c r="C96" s="135">
        <f>Thesis!C72</f>
        <v>0.08</v>
      </c>
      <c r="G96" s="2"/>
      <c r="H96" s="316"/>
    </row>
    <row r="97" spans="2:8">
      <c r="B97" s="100" t="s">
        <v>122</v>
      </c>
      <c r="C97" s="117">
        <f>PV(C96, C76, -C77, 0)</f>
        <v>3.6079357821470319</v>
      </c>
      <c r="D97" s="117"/>
      <c r="G97" s="2"/>
      <c r="H97" s="316"/>
    </row>
    <row r="98" spans="2:8">
      <c r="B98" s="100" t="s">
        <v>123</v>
      </c>
      <c r="C98" s="117">
        <f>C60/(1+C96)^C76</f>
        <v>29.095024102115186</v>
      </c>
      <c r="D98" s="117"/>
      <c r="G98" s="2"/>
      <c r="H98" s="316"/>
    </row>
    <row r="99" spans="2:8" ht="13.15">
      <c r="B99" s="111" t="s">
        <v>406</v>
      </c>
      <c r="C99" s="112">
        <f>C97+C98</f>
        <v>32.702959884262221</v>
      </c>
      <c r="D99" t="s">
        <v>404</v>
      </c>
      <c r="E99" s="147" t="s">
        <v>127</v>
      </c>
      <c r="F99" s="329">
        <f>(1-C99/C60)</f>
        <v>0.10772839225696806</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2025-05-15T08:43:01Z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