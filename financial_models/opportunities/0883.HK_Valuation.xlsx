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0D3FF93-CD6E-40D7-B360-E93EACD94FCC}"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Q92" i="2"/>
  <c r="Q94" i="2"/>
  <c r="K94" i="2"/>
  <c r="I94" i="2"/>
  <c r="C44" i="6"/>
  <c r="C44" i="12"/>
  <c r="O94" i="2"/>
  <c r="L94" i="2"/>
  <c r="N94" i="2"/>
  <c r="J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D149" i="6" l="1"/>
  <c r="D29" i="6" s="1"/>
  <c r="C32" i="6"/>
  <c r="D173" i="6"/>
  <c r="D32"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<sst xmlns="http://schemas.openxmlformats.org/spreadsheetml/2006/main" count="837" uniqueCount="561">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</sst>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CC04BA7-3B1D-421B-8843-4656220BF70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47529953984</v>
          </cell>
        </row>
        <row r="12">
          <cell r="C12">
            <v>18.559999999999999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18.989999999999998</v>
      </c>
      <c r="D12" s="50">
        <v>25.72</v>
      </c>
      <c r="E12" s="48"/>
    </row>
    <row r="13" spans="1:10">
      <c r="B13" s="1" t="s">
        <v>465</v>
      </c>
      <c r="C13" s="48" t="s">
        <v>377</v>
      </c>
      <c r="D13" s="48" t="s">
        <v>394</v>
      </c>
      <c r="E13" s="5"/>
    </row>
    <row r="14" spans="1:10">
      <c r="B14" s="4" t="s">
        <v>466</v>
      </c>
      <c r="C14" s="35">
        <f>Thesis!C12*Common_Shares/1000000</f>
        <v>902593.82615615986</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1.0897717599999999</v>
      </c>
      <c r="D16" s="50">
        <v>1</v>
      </c>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0.91762333793637685</v>
      </c>
    </row>
    <row r="26" spans="2:6">
      <c r="B26" s="1" t="str">
        <f>"Expected Equity Value ("&amp;C13&amp;") :"</f>
        <v>Expected Equity Value (HKD) :</v>
      </c>
      <c r="C26" s="304">
        <f>C132</f>
        <v>28.330562740685753</v>
      </c>
      <c r="D26" s="1" t="s">
        <v>380</v>
      </c>
      <c r="E26" s="301">
        <f ca="1">Scenarios!C87</f>
        <v>0.20131348231099344</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13.651542037569781</v>
      </c>
      <c r="D29" s="310">
        <f>D149</f>
        <v>12.526973572493549</v>
      </c>
      <c r="E29" s="306" t="s">
        <v>401</v>
      </c>
      <c r="F29" s="302">
        <v>0.35</v>
      </c>
    </row>
    <row r="30" spans="2:6">
      <c r="B30" s="1" t="s">
        <v>403</v>
      </c>
      <c r="C30" s="311">
        <f>C157</f>
        <v>16.964768123231107</v>
      </c>
      <c r="D30" s="311">
        <f>D157</f>
        <v>15.567267152555971</v>
      </c>
      <c r="E30" s="307" t="s">
        <v>414</v>
      </c>
      <c r="F30" s="312">
        <v>0.25</v>
      </c>
    </row>
    <row r="31" spans="2:6">
      <c r="B31" s="1" t="s">
        <v>404</v>
      </c>
      <c r="C31" s="311">
        <f>C165</f>
        <v>26.081648350508612</v>
      </c>
      <c r="D31" s="311">
        <f>D165</f>
        <v>23.933129218276509</v>
      </c>
      <c r="E31" s="307" t="s">
        <v>413</v>
      </c>
      <c r="F31" s="312">
        <v>7.4999999999999997E-2</v>
      </c>
    </row>
    <row r="32" spans="2:6">
      <c r="B32" s="1" t="s">
        <v>405</v>
      </c>
      <c r="C32" s="311">
        <f>C173</f>
        <v>23.346105223027141</v>
      </c>
      <c r="D32" s="311">
        <f>D173</f>
        <v>21.422931002568045</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122178.06382484984</v>
      </c>
      <c r="D41" s="1" t="str">
        <f>Reporting_currency</f>
        <v>CNY</v>
      </c>
    </row>
    <row r="42" spans="1:6">
      <c r="B42" s="47"/>
      <c r="C42" s="76"/>
    </row>
    <row r="43" spans="1:6" ht="24.6" customHeight="1">
      <c r="B43" s="373" t="s">
        <v>229</v>
      </c>
      <c r="C43" s="373"/>
      <c r="D43" s="373"/>
      <c r="E43" s="373"/>
      <c r="F43" s="373"/>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3" t="s">
        <v>237</v>
      </c>
      <c r="C58" s="373"/>
      <c r="D58" s="373"/>
      <c r="E58" s="373"/>
      <c r="F58" s="373"/>
    </row>
    <row r="59" spans="2:6">
      <c r="B59" s="47" t="s">
        <v>235</v>
      </c>
      <c r="C59" s="349">
        <f>Normalized_FCF!C14</f>
        <v>-30043.220876057931</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0.10855114132993851</v>
      </c>
      <c r="F69" s="314"/>
    </row>
    <row r="70" spans="1:6">
      <c r="B70" s="227" t="s">
        <v>435</v>
      </c>
      <c r="C70" s="92">
        <f>Normalized_FCF!C94</f>
        <v>6.6350710900473939E-2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27.485148984740434</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91887</v>
      </c>
      <c r="D102" s="1" t="str">
        <f>Reporting_currency</f>
        <v>CNY</v>
      </c>
    </row>
    <row r="103" spans="2:6">
      <c r="B103" s="47" t="s">
        <v>276</v>
      </c>
      <c r="C103" s="223">
        <f>C102*scaling_factor*Exchange_Rate/Common_Shares</f>
        <v>2.1067947539951062</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2.3098083255401867</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0.1172359848088171</v>
      </c>
      <c r="D114" s="1" t="str">
        <f>Market_currency</f>
        <v>HKD</v>
      </c>
    </row>
    <row r="116" spans="1:6" ht="24.6" customHeight="1">
      <c r="B116" s="372" t="s">
        <v>352</v>
      </c>
      <c r="C116" s="372"/>
      <c r="D116" s="372"/>
      <c r="E116" s="372"/>
      <c r="F116" s="372"/>
    </row>
    <row r="118" spans="1:6">
      <c r="B118" s="47" t="s">
        <v>426</v>
      </c>
      <c r="C118" s="223">
        <f>IF(valuation_method="DCF",DCF!C12,DDM!C7)</f>
        <v>27.805398541094334</v>
      </c>
      <c r="D118" s="1" t="str">
        <f>Market_currency</f>
        <v>HKD</v>
      </c>
    </row>
    <row r="119" spans="1:6">
      <c r="B119" s="296" t="s">
        <v>550</v>
      </c>
      <c r="C119" s="223">
        <f>BS!D47</f>
        <v>-0.45675994441257362</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37.85 HKD</v>
      </c>
      <c r="F126" s="232">
        <f>DCF!F74</f>
        <v>0.05</v>
      </c>
    </row>
    <row r="127" spans="1:6">
      <c r="B127" s="218" t="str">
        <f>DCF!B75</f>
        <v>Optimistic</v>
      </c>
      <c r="C127" s="219">
        <f>DCF!C75</f>
        <v>0.02</v>
      </c>
      <c r="D127" s="220">
        <f>DCF!D75</f>
        <v>10</v>
      </c>
      <c r="E127" s="231" t="str">
        <f>ROUND(IF(valuation_method="DCF",DCF!E75,DDM!E70),2)&amp;" "&amp;Market_currency</f>
        <v>29.54 HKD</v>
      </c>
      <c r="F127" s="221">
        <f>DCF!F75</f>
        <v>0.18</v>
      </c>
    </row>
    <row r="128" spans="1:6">
      <c r="B128" s="218" t="str">
        <f>DCF!B76</f>
        <v>Base</v>
      </c>
      <c r="C128" s="219">
        <f>DCF!C76</f>
        <v>0.01</v>
      </c>
      <c r="D128" s="220">
        <f>DCF!D76</f>
        <v>10</v>
      </c>
      <c r="E128" s="231" t="str">
        <f>ROUND(IF(valuation_method="DCF",DCF!E76,DDM!E71),2)&amp;" "&amp;Market_currency</f>
        <v>28.65 HKD</v>
      </c>
      <c r="F128" s="221">
        <f>DCF!F76</f>
        <v>0.53999999999999992</v>
      </c>
    </row>
    <row r="129" spans="1:6">
      <c r="B129" s="218" t="str">
        <f>DCF!B77</f>
        <v>Pessimistic</v>
      </c>
      <c r="C129" s="219">
        <f>DCF!C77</f>
        <v>-0.01</v>
      </c>
      <c r="D129" s="220">
        <f>DCF!D77</f>
        <v>10</v>
      </c>
      <c r="E129" s="231" t="str">
        <f>ROUND(IF(valuation_method="DCF",DCF!E77,DDM!E72),2)&amp;" "&amp;Market_currency</f>
        <v>27 HKD</v>
      </c>
      <c r="F129" s="221">
        <f>DCF!F77</f>
        <v>0.18</v>
      </c>
    </row>
    <row r="130" spans="1:6">
      <c r="B130" s="218" t="str">
        <f>DCF!B78</f>
        <v>Devil's advocate</v>
      </c>
      <c r="C130" s="219">
        <f>DCF!C78</f>
        <v>-0.15</v>
      </c>
      <c r="D130" s="220">
        <f>DCF!D78</f>
        <v>15</v>
      </c>
      <c r="E130" s="231" t="str">
        <f>ROUND(IF(valuation_method="DCF",DCF!E78,DDM!E73),2)&amp;" "&amp;Market_currency</f>
        <v>15.77 HKD</v>
      </c>
      <c r="F130" s="221">
        <f>DCF!F78</f>
        <v>0.05</v>
      </c>
    </row>
    <row r="132" spans="1:6">
      <c r="B132" s="211" t="s">
        <v>254</v>
      </c>
      <c r="C132" s="217">
        <f>Scenarios!C60</f>
        <v>28.330562740685753</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11.514733624218158</v>
      </c>
    </row>
    <row r="149" spans="2:4">
      <c r="B149" s="80" t="s">
        <v>256</v>
      </c>
      <c r="C149" s="215">
        <f>Scenarios!C83</f>
        <v>13.651542037569781</v>
      </c>
      <c r="D149" s="300">
        <f>IF($D$11="","",C149*$E$25)</f>
        <v>12.526973572493549</v>
      </c>
    </row>
    <row r="150" spans="2:4">
      <c r="B150" s="259" t="s">
        <v>396</v>
      </c>
      <c r="C150" s="298" t="str">
        <f>Market_currency</f>
        <v>HKD</v>
      </c>
      <c r="D150" s="298" t="str">
        <f>IF($D$11="","",D$13)</f>
        <v>CNY</v>
      </c>
    </row>
    <row r="151" spans="2:4">
      <c r="B151" s="214" t="s">
        <v>258</v>
      </c>
      <c r="C151" s="92">
        <f>Scenarios!F83</f>
        <v>0.51813374967082138</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14.505248123231105</v>
      </c>
    </row>
    <row r="157" spans="2:4">
      <c r="B157" s="80" t="s">
        <v>256</v>
      </c>
      <c r="C157" s="215">
        <f>Scenarios!C93</f>
        <v>16.964768123231107</v>
      </c>
      <c r="D157" s="300">
        <f>IF($D$11="","",C157*$E$25)</f>
        <v>15.567267152555971</v>
      </c>
    </row>
    <row r="158" spans="2:4">
      <c r="B158" s="259" t="s">
        <v>396</v>
      </c>
      <c r="C158" s="298" t="str">
        <f>Market_currency</f>
        <v>HKD</v>
      </c>
      <c r="D158" s="298" t="str">
        <f>IF($D$11="","",D$13)</f>
        <v>CNY</v>
      </c>
    </row>
    <row r="159" spans="2:4">
      <c r="B159" s="214" t="s">
        <v>258</v>
      </c>
      <c r="C159" s="92">
        <f>Scenarios!F93</f>
        <v>0.40118492249827908</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22.804985918269942</v>
      </c>
    </row>
    <row r="165" spans="2:4">
      <c r="B165" s="80" t="s">
        <v>382</v>
      </c>
      <c r="C165" s="215">
        <f>Scenarios!C99</f>
        <v>26.081648350508612</v>
      </c>
      <c r="D165" s="300">
        <f>IF($D$11="","",C165*$E$25)</f>
        <v>23.933129218276509</v>
      </c>
    </row>
    <row r="166" spans="2:4">
      <c r="B166" s="259" t="s">
        <v>396</v>
      </c>
      <c r="C166" s="298" t="str">
        <f>Market_currency</f>
        <v>HKD</v>
      </c>
      <c r="D166" s="298" t="str">
        <f>IF($D$11="","",D$13)</f>
        <v>CNY</v>
      </c>
    </row>
    <row r="167" spans="2:4">
      <c r="B167" s="214" t="s">
        <v>258</v>
      </c>
      <c r="C167" s="92">
        <f>Scenarios!F99</f>
        <v>7.9381211406275964E-2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20.306225284344443</v>
      </c>
    </row>
    <row r="173" spans="2:4">
      <c r="B173" s="80" t="s">
        <v>382</v>
      </c>
      <c r="C173" s="215">
        <f>Scenarios!C105</f>
        <v>23.346105223027141</v>
      </c>
      <c r="D173" s="300">
        <f>IF($D$11="","",C173*$E$25)</f>
        <v>21.422931002568045</v>
      </c>
    </row>
    <row r="174" spans="2:4">
      <c r="B174" s="259" t="s">
        <v>396</v>
      </c>
      <c r="C174" s="298" t="str">
        <f>Market_currency</f>
        <v>HKD</v>
      </c>
      <c r="D174" s="298" t="str">
        <f>IF($D$11="","",D$13)</f>
        <v>CNY</v>
      </c>
    </row>
    <row r="175" spans="2:4">
      <c r="B175" s="214" t="s">
        <v>258</v>
      </c>
      <c r="C175" s="92">
        <f>Scenarios!F105</f>
        <v>0.20933056707623687</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17.139858791336462</v>
      </c>
      <c r="D47" s="147">
        <f>D46*H1/Common_Shares*Exchange_Rate</f>
        <v>-0.45675994441257362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-100135.85771111998</v>
      </c>
      <c r="D86" s="223">
        <f>C86*scaling_factor/Common_Shares</f>
        <v>-2.1067947539951057</v>
      </c>
      <c r="E86" s="240" t="str">
        <f>Market_currency</f>
        <v>HKD</v>
      </c>
    </row>
    <row r="87" spans="2:8" ht="15" customHeight="1">
      <c r="B87" s="238" t="s">
        <v>282</v>
      </c>
      <c r="C87" s="76">
        <f>DCF!C8*Exchange_Rate</f>
        <v>109785.08342478517</v>
      </c>
      <c r="D87" s="223">
        <f>C87*scaling_factor/Common_Shares</f>
        <v>2.3098083255401867</v>
      </c>
      <c r="E87" s="240" t="str">
        <f>Market_currency</f>
        <v>HKD</v>
      </c>
    </row>
    <row r="88" spans="2:8" ht="15" customHeight="1">
      <c r="B88" s="239" t="s">
        <v>185</v>
      </c>
      <c r="C88" s="76">
        <f>DCF!C9*Exchange_Rate</f>
        <v>5572.2209632319991</v>
      </c>
      <c r="D88" s="223">
        <f>C88*scaling_factor/Common_Shares</f>
        <v>0.1172359848088171</v>
      </c>
      <c r="E88" s="240" t="str">
        <f>Market_currency</f>
        <v>HKD</v>
      </c>
    </row>
    <row r="89" spans="2:8" ht="15" customHeight="1">
      <c r="B89" s="80" t="s">
        <v>286</v>
      </c>
      <c r="C89" s="180">
        <f>SUM(C86:C88)</f>
        <v>15221.446676897189</v>
      </c>
      <c r="D89" s="242">
        <f>SUM(D86:D88)</f>
        <v>0.32024955635389801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6.6350710900473939E-2</v>
      </c>
      <c r="E94" s="268"/>
      <c r="G94" s="23">
        <f t="shared" ref="G94:Q94" si="39">IF(G$4="","",(G90*(1-dividend_tax_rate))/Market_Price)</f>
        <v>6.6350710900473939E-2</v>
      </c>
      <c r="H94" s="23">
        <f t="shared" si="39"/>
        <v>5.9241706161137449E-2</v>
      </c>
      <c r="I94" s="23">
        <f t="shared" si="39"/>
        <v>6.8720379146919433E-2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2.0613861738555324</v>
      </c>
      <c r="D125" s="27"/>
      <c r="E125" s="265"/>
      <c r="F125" s="27"/>
      <c r="G125" s="177">
        <f t="shared" ref="G125:Q125" si="49">IF(G$4="","",G16*$C$3/Common_Shares*Exchange_Rate)</f>
        <v>3.2410808246552092</v>
      </c>
      <c r="H125" s="177">
        <f t="shared" si="49"/>
        <v>2.8295283781381468</v>
      </c>
      <c r="I125" s="177">
        <f t="shared" si="49"/>
        <v>3.2262839354112325</v>
      </c>
      <c r="J125" s="177">
        <f t="shared" si="49"/>
        <v>1.7433127656300584</v>
      </c>
      <c r="K125" s="177">
        <f t="shared" si="49"/>
        <v>0.64109394013936183</v>
      </c>
      <c r="L125" s="177">
        <f t="shared" si="49"/>
        <v>1.3753707188836897</v>
      </c>
      <c r="M125" s="177">
        <f t="shared" si="49"/>
        <v>1.165610888760279</v>
      </c>
      <c r="N125" s="177">
        <f t="shared" si="49"/>
        <v>6.8637115583974548</v>
      </c>
      <c r="O125" s="177">
        <f t="shared" si="49"/>
        <v>6.4560957135388248</v>
      </c>
      <c r="P125" s="177">
        <f t="shared" si="49"/>
        <v>6.5025709817089465</v>
      </c>
      <c r="Q125" s="177" t="str">
        <f t="shared" si="49"/>
        <v/>
      </c>
    </row>
    <row r="126" spans="1:17" ht="15.75" customHeight="1">
      <c r="A126" s="10"/>
      <c r="B126" s="27" t="s">
        <v>264</v>
      </c>
      <c r="C126" s="77">
        <f>C19*Exchange_Rate*$C$3/(Market_Price*Common_Shares)</f>
        <v>0.10855114132993851</v>
      </c>
      <c r="D126" s="27"/>
      <c r="E126" s="265"/>
      <c r="F126" s="27"/>
      <c r="G126" s="77">
        <f t="shared" ref="G126" si="50">IF(G$4="","",G125/Market_Price)</f>
        <v>0.17067302920775196</v>
      </c>
      <c r="H126" s="77">
        <f t="shared" ref="H126" si="51">IF(H$4="","",H125/Market_Price)</f>
        <v>0.14900096777978658</v>
      </c>
      <c r="I126" s="77">
        <f t="shared" ref="I126" si="52">IF(I$4="","",I125/Market_Price)</f>
        <v>0.16989383546136033</v>
      </c>
      <c r="J126" s="77">
        <f t="shared" ref="J126" si="53">IF(J$4="","",J125/Market_Price)</f>
        <v>9.1801620096369593E-2</v>
      </c>
      <c r="K126" s="77">
        <f t="shared" ref="K126" si="54">IF(K$4="","",K125/Market_Price)</f>
        <v>3.375955450970837E-2</v>
      </c>
      <c r="L126" s="77">
        <f t="shared" ref="L126" si="55">IF(L$4="","",L125/Market_Price)</f>
        <v>7.2426051547324372E-2</v>
      </c>
      <c r="M126" s="77">
        <f t="shared" ref="M126" si="56">IF(M$4="","",M125/Market_Price)</f>
        <v>6.1380246906807746E-2</v>
      </c>
      <c r="N126" s="77">
        <f t="shared" ref="N126" si="57">IF(N$4="","",N125/Market_Price)</f>
        <v>0.36143820739323096</v>
      </c>
      <c r="O126" s="77">
        <f t="shared" ref="O126" si="58">IF(O$4="","",O125/Market_Price)</f>
        <v>0.33997344463079648</v>
      </c>
      <c r="P126" s="77">
        <f t="shared" ref="P126" si="59">IF(P$4="","",P125/Market_Price)</f>
        <v>0.3424207994580804</v>
      </c>
      <c r="Q126" s="77" t="str">
        <f t="shared" ref="Q126" si="60">IF(Q$4="","",Q125/Market_Price)</f>
        <v/>
      </c>
    </row>
    <row r="127" spans="1:17" ht="15.75" customHeight="1">
      <c r="B127" s="2" t="s">
        <v>375</v>
      </c>
      <c r="C127" s="169"/>
      <c r="G127" s="23">
        <f>IF(G$4="","",(Data!C47*$C$3)/(Market_Price*Common_Shares))</f>
        <v>0.15287274962606204</v>
      </c>
      <c r="H127" s="23">
        <f>IF(H$4="","",(Data!D47*$C$3)/(Market_Price*Common_Shares))</f>
        <v>0.13748155194951545</v>
      </c>
      <c r="I127" s="23">
        <f>IF(I$4="","",(Data!E47*$C$3)/(Market_Price*Common_Shares))</f>
        <v>0.15696650685431138</v>
      </c>
      <c r="J127" s="23">
        <f>IF(J$4="","",(Data!F47*$C$3)/(Market_Price*Common_Shares))</f>
        <v>7.7894394978762035E-2</v>
      </c>
      <c r="K127" s="23">
        <f>IF(K$4="","",(Data!G47*$C$3)/(Market_Price*Common_Shares))</f>
        <v>2.7648834588507767E-2</v>
      </c>
      <c r="L127" s="23">
        <f>IF(L$4="","",(Data!H47*$C$3)/(Market_Price*Common_Shares))</f>
        <v>6.7633366450080709E-2</v>
      </c>
      <c r="M127" s="23">
        <f>IF(M$4="","",(Data!I47*$C$3)/(Market_Price*Common_Shares))</f>
        <v>5.8359984052102867E-2</v>
      </c>
      <c r="N127" s="23">
        <f>IF(N$4="","",(Data!J47*$C$3)/(Market_Price*Common_Shares))</f>
        <v>7.7879992043994178E-2</v>
      </c>
      <c r="O127" s="23">
        <f>IF(O$4="","",(Data!K47*$C$3)/(Market_Price*Common_Shares))</f>
        <v>6.5555511554942603E-2</v>
      </c>
      <c r="P127" s="23">
        <f>IF(P$4="","",(Data!L47*$C$3)/(Market_Price*Common_Shares))</f>
        <v>4.8023816188280249E-2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1.0897717599999999</v>
      </c>
      <c r="D11" t="str">
        <f>Thesis!C15</f>
        <v>CNY/HKD</v>
      </c>
      <c r="H11" s="120"/>
    </row>
    <row r="12" spans="2:8" ht="13.5" thickTop="1">
      <c r="B12" s="149" t="s">
        <v>99</v>
      </c>
      <c r="C12" s="111">
        <f>(C10*scaling_factor)/Common_Shares*Exchange_Rate</f>
        <v>27.805398541094334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29.52701122730539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27.805398541094334</v>
      </c>
      <c r="C65" s="124">
        <f>C12</f>
        <v>27.805398541094334</v>
      </c>
      <c r="D65" s="124">
        <f>C12</f>
        <v>27.805398541094334</v>
      </c>
      <c r="E65" s="141">
        <f>C12</f>
        <v>27.805398541094334</v>
      </c>
      <c r="F65" s="124">
        <f>C12</f>
        <v>27.805398541094334</v>
      </c>
      <c r="H65" s="120"/>
    </row>
    <row r="66" spans="1:8" ht="13.15">
      <c r="A66" s="143">
        <f t="shared" ref="A66:A71" si="3">A56</f>
        <v>5</v>
      </c>
      <c r="B66" s="124">
        <f t="shared" ref="B66:F71" si="4">(B56-$C$7+$C$8+$C$9)/Common_Shares*$C$3*Exchange_Rate</f>
        <v>21.974128825799578</v>
      </c>
      <c r="C66" s="124">
        <f t="shared" si="4"/>
        <v>27.378796537653017</v>
      </c>
      <c r="D66" s="124">
        <f t="shared" si="4"/>
        <v>28.238077109823116</v>
      </c>
      <c r="E66" s="124">
        <f t="shared" si="4"/>
        <v>28.676966449097851</v>
      </c>
      <c r="F66" s="124">
        <f t="shared" si="4"/>
        <v>30.497389854503631</v>
      </c>
      <c r="H66" s="120"/>
    </row>
    <row r="67" spans="1:8" ht="13.15">
      <c r="A67" s="143">
        <f t="shared" si="3"/>
        <v>10</v>
      </c>
      <c r="B67" s="124">
        <f t="shared" si="4"/>
        <v>18.6991160147649</v>
      </c>
      <c r="C67" s="124">
        <f t="shared" si="4"/>
        <v>26.996403159230312</v>
      </c>
      <c r="D67" s="124">
        <f t="shared" si="4"/>
        <v>28.652921422750961</v>
      </c>
      <c r="E67" s="124">
        <f t="shared" si="4"/>
        <v>29.541237867149299</v>
      </c>
      <c r="F67" s="124">
        <f t="shared" si="4"/>
        <v>33.552292830501223</v>
      </c>
      <c r="H67" s="120"/>
    </row>
    <row r="68" spans="1:8" ht="13.15">
      <c r="A68" s="143">
        <f t="shared" si="3"/>
        <v>15</v>
      </c>
      <c r="B68" s="124">
        <f t="shared" si="4"/>
        <v>15.773490603162362</v>
      </c>
      <c r="C68" s="124">
        <f t="shared" si="4"/>
        <v>26.546758505410708</v>
      </c>
      <c r="D68" s="124">
        <f t="shared" si="4"/>
        <v>29.165105310355351</v>
      </c>
      <c r="E68" s="124">
        <f t="shared" si="4"/>
        <v>30.635506694116373</v>
      </c>
      <c r="F68" s="124">
        <f t="shared" si="4"/>
        <v>37.850705149875758</v>
      </c>
      <c r="H68" s="120"/>
    </row>
    <row r="69" spans="1:8" ht="13.15">
      <c r="A69" s="144">
        <f t="shared" si="3"/>
        <v>20</v>
      </c>
      <c r="B69" s="124">
        <f t="shared" si="4"/>
        <v>13.536462371969639</v>
      </c>
      <c r="C69" s="124">
        <f t="shared" si="4"/>
        <v>26.112142768010422</v>
      </c>
      <c r="D69" s="124">
        <f t="shared" si="4"/>
        <v>29.685288942195228</v>
      </c>
      <c r="E69" s="124">
        <f t="shared" si="4"/>
        <v>31.776299798722039</v>
      </c>
      <c r="F69" s="124">
        <f t="shared" si="4"/>
        <v>42.868032263477183</v>
      </c>
      <c r="H69" s="120"/>
    </row>
    <row r="70" spans="1:8" ht="13.15">
      <c r="A70" s="144">
        <f t="shared" si="3"/>
        <v>25</v>
      </c>
      <c r="B70" s="124">
        <f t="shared" si="4"/>
        <v>11.916687743693142</v>
      </c>
      <c r="C70" s="124">
        <f t="shared" si="4"/>
        <v>25.728981732036981</v>
      </c>
      <c r="D70" s="124">
        <f t="shared" si="4"/>
        <v>30.167263696311078</v>
      </c>
      <c r="E70" s="124">
        <f t="shared" si="4"/>
        <v>32.862071541134192</v>
      </c>
      <c r="F70" s="124">
        <f t="shared" si="4"/>
        <v>48.24885468198184</v>
      </c>
    </row>
    <row r="71" spans="1:8" ht="13.15">
      <c r="A71" s="144">
        <f t="shared" si="3"/>
        <v>30</v>
      </c>
      <c r="B71" s="124">
        <f t="shared" si="4"/>
        <v>10.769395663623939</v>
      </c>
      <c r="C71" s="124">
        <f t="shared" si="4"/>
        <v>25.408811991312053</v>
      </c>
      <c r="D71" s="124">
        <f t="shared" si="4"/>
        <v>30.590571965686365</v>
      </c>
      <c r="E71" s="124">
        <f t="shared" si="4"/>
        <v>33.842280370302092</v>
      </c>
      <c r="F71" s="124">
        <f t="shared" si="4"/>
        <v>53.754915375510024</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37.850705149875758</v>
      </c>
      <c r="F74" s="142">
        <f>Scenarios!C58</f>
        <v>0.05</v>
      </c>
    </row>
    <row r="75" spans="1:8">
      <c r="B75" s="127" t="str">
        <f>Scenarios!B36</f>
        <v>Optimistic</v>
      </c>
      <c r="C75" s="142">
        <f>Scenarios!C38</f>
        <v>0.02</v>
      </c>
      <c r="D75" s="145">
        <f>Scenarios!C37</f>
        <v>10</v>
      </c>
      <c r="E75" s="135">
        <f>INDEX(B$65:F$71, MATCH(D75, A$65:A$71, 0), MATCH(C75, B$64:F$64, 0))</f>
        <v>29.541237867149299</v>
      </c>
      <c r="F75" s="142">
        <f>Scenarios!C40*(1-F$74-F$78)</f>
        <v>0.18</v>
      </c>
      <c r="H75" s="120"/>
    </row>
    <row r="76" spans="1:8">
      <c r="B76" s="127" t="str">
        <f>Scenarios!B24</f>
        <v>Base</v>
      </c>
      <c r="C76" s="142">
        <f>Scenarios!C26</f>
        <v>0.01</v>
      </c>
      <c r="D76" s="145">
        <f>Scenarios!C25</f>
        <v>10</v>
      </c>
      <c r="E76" s="135">
        <f>INDEX(B$65:F$71, MATCH(D76, A$65:A$71, 0), MATCH(C76, B$64:F$64, 0))</f>
        <v>28.652921422750961</v>
      </c>
      <c r="F76" s="142">
        <f>Scenarios!C28*(1-F$74-F$78)</f>
        <v>0.53999999999999992</v>
      </c>
      <c r="H76" s="120"/>
    </row>
    <row r="77" spans="1:8">
      <c r="B77" s="127" t="str">
        <f>Scenarios!B30</f>
        <v>Pessimistic</v>
      </c>
      <c r="C77" s="142">
        <f>Scenarios!C32</f>
        <v>-0.01</v>
      </c>
      <c r="D77" s="145">
        <f>Scenarios!C31</f>
        <v>10</v>
      </c>
      <c r="E77" s="135">
        <f>INDEX(B$65:F$71, MATCH(D77, A$65:A$71, 0), MATCH(C77, B$64:F$64, 0))</f>
        <v>26.996403159230312</v>
      </c>
      <c r="F77" s="142">
        <f>Scenarios!C34*(1-F$74-F$78)</f>
        <v>0.18</v>
      </c>
      <c r="H77" s="120"/>
    </row>
    <row r="78" spans="1:8">
      <c r="B78" s="127" t="str">
        <f>Scenarios!B48</f>
        <v>Devil's advocate</v>
      </c>
      <c r="C78" s="142">
        <f>Scenarios!C50</f>
        <v>-0.15</v>
      </c>
      <c r="D78" s="145">
        <f>Scenarios!C49</f>
        <v>15</v>
      </c>
      <c r="E78" s="135">
        <f>INDEX(B$65:F$71, MATCH(D78, A$65:A$71, 0), MATCH(C78, B$64:F$64, 0))</f>
        <v>15.773490603162362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18.308165568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18.308165568</v>
      </c>
      <c r="C60" s="124">
        <f>C7</f>
        <v>18.308165568</v>
      </c>
      <c r="D60" s="124">
        <f>C7</f>
        <v>18.308165568</v>
      </c>
      <c r="E60" s="141">
        <f>C7</f>
        <v>18.308165568</v>
      </c>
      <c r="F60" s="124">
        <f>C7</f>
        <v>18.308165568</v>
      </c>
      <c r="H60" s="120"/>
    </row>
    <row r="61" spans="1:8" ht="13.15">
      <c r="A61" s="143">
        <f t="shared" ref="A61:A66" si="3">A51</f>
        <v>5</v>
      </c>
      <c r="B61" s="124">
        <f t="shared" ref="B61:F66" si="4">B51/Common_Shares*$C$3*Exchange_Rate</f>
        <v>14.42389150135576</v>
      </c>
      <c r="C61" s="124">
        <f t="shared" si="4"/>
        <v>18.024001195633662</v>
      </c>
      <c r="D61" s="124">
        <f t="shared" si="4"/>
        <v>18.596377608560882</v>
      </c>
      <c r="E61" s="124">
        <f t="shared" si="4"/>
        <v>18.888726712942049</v>
      </c>
      <c r="F61" s="124">
        <f t="shared" si="4"/>
        <v>20.101331131733271</v>
      </c>
      <c r="H61" s="120"/>
    </row>
    <row r="62" spans="1:8" ht="13.15">
      <c r="A62" s="143">
        <f t="shared" si="3"/>
        <v>10</v>
      </c>
      <c r="B62" s="124">
        <f t="shared" si="4"/>
        <v>12.242368788306862</v>
      </c>
      <c r="C62" s="124">
        <f t="shared" si="4"/>
        <v>17.769284683521732</v>
      </c>
      <c r="D62" s="124">
        <f t="shared" si="4"/>
        <v>18.872710051591945</v>
      </c>
      <c r="E62" s="124">
        <f t="shared" si="4"/>
        <v>19.46442758420751</v>
      </c>
      <c r="F62" s="124">
        <f t="shared" si="4"/>
        <v>22.136236218469087</v>
      </c>
      <c r="H62" s="120"/>
    </row>
    <row r="63" spans="1:8" ht="13.15">
      <c r="A63" s="143">
        <f t="shared" si="3"/>
        <v>15</v>
      </c>
      <c r="B63" s="124">
        <f t="shared" si="4"/>
        <v>10.293576935102609</v>
      </c>
      <c r="C63" s="124">
        <f t="shared" si="4"/>
        <v>17.469771343664423</v>
      </c>
      <c r="D63" s="124">
        <f t="shared" si="4"/>
        <v>19.213881475502703</v>
      </c>
      <c r="E63" s="124">
        <f t="shared" si="4"/>
        <v>20.193332305485796</v>
      </c>
      <c r="F63" s="124">
        <f t="shared" si="4"/>
        <v>24.999456805933661</v>
      </c>
      <c r="H63" s="120"/>
    </row>
    <row r="64" spans="1:8" ht="13.15">
      <c r="A64" s="144">
        <f t="shared" si="3"/>
        <v>20</v>
      </c>
      <c r="B64" s="124">
        <f t="shared" si="4"/>
        <v>8.8034673759474096</v>
      </c>
      <c r="C64" s="124">
        <f t="shared" si="4"/>
        <v>17.180268933355478</v>
      </c>
      <c r="D64" s="124">
        <f t="shared" si="4"/>
        <v>19.560381618644559</v>
      </c>
      <c r="E64" s="124">
        <f t="shared" si="4"/>
        <v>20.953227369163606</v>
      </c>
      <c r="F64" s="124">
        <f t="shared" si="4"/>
        <v>28.341554589563255</v>
      </c>
      <c r="H64" s="120"/>
    </row>
    <row r="65" spans="1:8" ht="13.15">
      <c r="A65" s="144">
        <f t="shared" si="3"/>
        <v>25</v>
      </c>
      <c r="B65" s="124">
        <f t="shared" si="4"/>
        <v>7.7245173548361477</v>
      </c>
      <c r="C65" s="124">
        <f t="shared" si="4"/>
        <v>16.925041075951359</v>
      </c>
      <c r="D65" s="124">
        <f t="shared" si="4"/>
        <v>19.881430400401143</v>
      </c>
      <c r="E65" s="124">
        <f t="shared" si="4"/>
        <v>21.67647208725387</v>
      </c>
      <c r="F65" s="124">
        <f t="shared" si="4"/>
        <v>31.925780666878065</v>
      </c>
    </row>
    <row r="66" spans="1:8" ht="13.15">
      <c r="A66" s="144">
        <f t="shared" si="3"/>
        <v>30</v>
      </c>
      <c r="B66" s="124">
        <f t="shared" si="4"/>
        <v>6.9602932508145976</v>
      </c>
      <c r="C66" s="124">
        <f t="shared" si="4"/>
        <v>16.711772425804696</v>
      </c>
      <c r="D66" s="124">
        <f t="shared" si="4"/>
        <v>20.163400779616815</v>
      </c>
      <c r="E66" s="124">
        <f t="shared" si="4"/>
        <v>22.329400166544428</v>
      </c>
      <c r="F66" s="124">
        <f t="shared" si="4"/>
        <v>35.593429361834666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24.999456805933661</v>
      </c>
      <c r="F69" s="142">
        <f>Scenarios!C58</f>
        <v>0.05</v>
      </c>
    </row>
    <row r="70" spans="1:8">
      <c r="B70" s="127" t="str">
        <f>Scenarios!B36</f>
        <v>Optimistic</v>
      </c>
      <c r="C70" s="142">
        <f>Scenarios!C38</f>
        <v>0.02</v>
      </c>
      <c r="D70" s="145">
        <f>Scenarios!C37</f>
        <v>10</v>
      </c>
      <c r="E70" s="135">
        <f>INDEX(B$60:F$66, MATCH(D70, A$60:A$66, 0), MATCH(C70, B$59:F$59, 0))</f>
        <v>19.46442758420751</v>
      </c>
      <c r="F70" s="142">
        <f>Scenarios!C40*(1-F$69-F$73)</f>
        <v>0.18</v>
      </c>
      <c r="H70" s="120"/>
    </row>
    <row r="71" spans="1:8">
      <c r="B71" s="127" t="str">
        <f>Scenarios!B24</f>
        <v>Base</v>
      </c>
      <c r="C71" s="142">
        <f>Scenarios!C26</f>
        <v>0.01</v>
      </c>
      <c r="D71" s="145">
        <f>Scenarios!C25</f>
        <v>10</v>
      </c>
      <c r="E71" s="135">
        <f>INDEX(B$60:F$66, MATCH(D71, A$60:A$66, 0), MATCH(C71, B$59:F$59, 0))</f>
        <v>18.872710051591945</v>
      </c>
      <c r="F71" s="142">
        <f>Scenarios!C28*(1-F$69-F$73)</f>
        <v>0.53999999999999992</v>
      </c>
      <c r="H71" s="120"/>
    </row>
    <row r="72" spans="1:8">
      <c r="B72" s="127" t="str">
        <f>Scenarios!B30</f>
        <v>Pessimistic</v>
      </c>
      <c r="C72" s="142">
        <f>Scenarios!C32</f>
        <v>-0.01</v>
      </c>
      <c r="D72" s="145">
        <f>Scenarios!C31</f>
        <v>10</v>
      </c>
      <c r="E72" s="135">
        <f>INDEX(B$60:F$66, MATCH(D72, A$60:A$66, 0), MATCH(C72, B$59:F$59, 0))</f>
        <v>17.769284683521732</v>
      </c>
      <c r="F72" s="142">
        <f>Scenarios!C34*(1-F$69-F$73)</f>
        <v>0.18</v>
      </c>
      <c r="H72" s="120"/>
    </row>
    <row r="73" spans="1:8">
      <c r="B73" s="127" t="str">
        <f>Scenarios!B48</f>
        <v>Devil's advocate</v>
      </c>
      <c r="C73" s="142">
        <f>Scenarios!C50</f>
        <v>-0.15</v>
      </c>
      <c r="D73" s="145">
        <f>Scenarios!C49</f>
        <v>15</v>
      </c>
      <c r="E73" s="135">
        <f>INDEX(B$60:F$66, MATCH(D73, A$60:A$66, 0), MATCH(C73, B$59:F$59, 0))</f>
        <v>10.293576935102609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-18.989999999999998</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29.590562740685755</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18.989999999999998</v>
      </c>
      <c r="D21" t="str">
        <f>Market_currency</f>
        <v>HKD</v>
      </c>
      <c r="E21" s="381"/>
      <c r="F21" s="381"/>
    </row>
    <row r="22" spans="2:6">
      <c r="B22" s="100" t="s">
        <v>273</v>
      </c>
      <c r="C22" s="160">
        <f>IF(valuation_method="DCF",DCF!C12,DDM!C7)</f>
        <v>27.805398541094334</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28.652921422750961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26.996403159230312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29.541237867149299</v>
      </c>
      <c r="D39" t="str">
        <f>Market_currency</f>
        <v>HKD</v>
      </c>
      <c r="E39" s="379"/>
      <c r="F39" s="379"/>
    </row>
    <row r="40" spans="2:6">
      <c r="B40" s="100" t="s">
        <v>143</v>
      </c>
      <c r="C40" s="167">
        <f>1-C28-C34</f>
        <v>0.2</v>
      </c>
      <c r="D40" s="165"/>
      <c r="E40" s="379"/>
      <c r="F40" s="379"/>
    </row>
    <row r="42" spans="2:6" ht="13.15">
      <c r="B42" s="100" t="s">
        <v>116</v>
      </c>
      <c r="C42" s="154">
        <f>C27*C28+C33*C34+C39*C40</f>
        <v>28.499281058926499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15.773490603162362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37.850705149875758</v>
      </c>
      <c r="D57" t="str">
        <f>Market_currency</f>
        <v>HKD</v>
      </c>
      <c r="E57" s="379"/>
      <c r="F57" s="379"/>
    </row>
    <row r="58" spans="2:6">
      <c r="B58" s="100" t="s">
        <v>143</v>
      </c>
      <c r="C58" s="165">
        <v>0.05</v>
      </c>
      <c r="D58" s="165"/>
      <c r="E58" s="379"/>
      <c r="F58" s="379"/>
    </row>
    <row r="60" spans="2:6" ht="13.15">
      <c r="B60" s="100" t="s">
        <v>116</v>
      </c>
      <c r="C60" s="154">
        <f>C51*C52+C57*C58+C42*(1-C52-C58)</f>
        <v>28.330562740685753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29.52701122730539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1.1304030890074238E-2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11.514733624218158</v>
      </c>
      <c r="D82" s="116"/>
    </row>
    <row r="83" spans="2:8" ht="13.15">
      <c r="B83" s="110" t="s">
        <v>98</v>
      </c>
      <c r="C83" s="111">
        <f>C81+C82</f>
        <v>13.651542037569781</v>
      </c>
      <c r="D83" t="str">
        <f>Market_currency</f>
        <v>HKD</v>
      </c>
      <c r="E83" s="146" t="s">
        <v>122</v>
      </c>
      <c r="F83" s="291">
        <f>(1-C83/C60)</f>
        <v>0.51813374967082138</v>
      </c>
    </row>
    <row r="84" spans="2:8">
      <c r="E84" s="120"/>
    </row>
    <row r="85" spans="2:8" ht="13.15">
      <c r="B85" s="109" t="s">
        <v>297</v>
      </c>
    </row>
    <row r="86" spans="2:8">
      <c r="B86" s="148" t="s">
        <v>295</v>
      </c>
      <c r="C86" s="116">
        <f>Market_Price</f>
        <v>18.989999999999998</v>
      </c>
      <c r="D86" t="str">
        <f>Market_currency</f>
        <v>HKD</v>
      </c>
    </row>
    <row r="87" spans="2:8" ht="13.15">
      <c r="B87" s="100" t="s">
        <v>293</v>
      </c>
      <c r="C87" s="237">
        <f ca="1">IRR(OFFSET($I$3, 0, 0, $C$76 + 1, 1))</f>
        <v>0.20131348231099344</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14.505248123231105</v>
      </c>
      <c r="D92" s="116"/>
    </row>
    <row r="93" spans="2:8" ht="13.15">
      <c r="B93" s="110" t="s">
        <v>98</v>
      </c>
      <c r="C93" s="111">
        <f>C91+C92</f>
        <v>16.964768123231107</v>
      </c>
      <c r="D93" t="str">
        <f>Market_currency</f>
        <v>HKD</v>
      </c>
      <c r="E93" s="146" t="s">
        <v>122</v>
      </c>
      <c r="F93" s="291">
        <f>(1-C93/C60)</f>
        <v>0.40118492249827908</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22.804985918269942</v>
      </c>
      <c r="D98" s="116"/>
      <c r="G98" s="2"/>
      <c r="H98" s="281"/>
    </row>
    <row r="99" spans="2:8" ht="13.15">
      <c r="B99" s="110" t="s">
        <v>379</v>
      </c>
      <c r="C99" s="111">
        <f>C97+C98</f>
        <v>26.081648350508612</v>
      </c>
      <c r="D99" t="s">
        <v>377</v>
      </c>
      <c r="E99" s="146" t="s">
        <v>122</v>
      </c>
      <c r="F99" s="291">
        <f>(1-C99/C60)</f>
        <v>7.9381211406275964E-2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20.306225284344443</v>
      </c>
      <c r="D104" s="116"/>
    </row>
    <row r="105" spans="2:8" ht="13.15">
      <c r="B105" s="110" t="s">
        <v>379</v>
      </c>
      <c r="C105" s="111">
        <f>C103+C104</f>
        <v>23.346105223027141</v>
      </c>
      <c r="D105" t="s">
        <v>377</v>
      </c>
      <c r="E105" s="146" t="s">
        <v>122</v>
      </c>
      <c r="F105" s="291">
        <f>(1-C105/C66)</f>
        <v>0.20933056707623687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18.989999999999998</v>
      </c>
      <c r="D12" s="50"/>
      <c r="E12" s="48"/>
    </row>
    <row r="13" spans="1:10">
      <c r="B13" s="1" t="s">
        <v>486</v>
      </c>
      <c r="C13" s="32" t="str">
        <f>Market_currency</f>
        <v>HKD</v>
      </c>
      <c r="D13" s="48"/>
      <c r="E13" s="5"/>
    </row>
    <row r="14" spans="1:10">
      <c r="B14" s="4" t="s">
        <v>487</v>
      </c>
      <c r="C14" s="35">
        <f>投资主题!C12*Common_Shares/1000000</f>
        <v>902593.82615615986</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1.0897717599999999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28.330562740685753</v>
      </c>
      <c r="D26" s="1" t="s">
        <v>447</v>
      </c>
      <c r="E26" s="301">
        <f ca="1">Scenarios!C87</f>
        <v>0.20131348231099344</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13.651542037569781</v>
      </c>
      <c r="D29" s="310" t="str">
        <f>D149</f>
        <v/>
      </c>
      <c r="E29" s="306" t="s">
        <v>456</v>
      </c>
      <c r="F29" s="362">
        <f>Thesis!F29</f>
        <v>0.35</v>
      </c>
    </row>
    <row r="30" spans="2:6">
      <c r="B30" s="1" t="s">
        <v>451</v>
      </c>
      <c r="C30" s="311">
        <f>C157</f>
        <v>16.964768123231107</v>
      </c>
      <c r="D30" s="311" t="str">
        <f>D157</f>
        <v/>
      </c>
      <c r="E30" s="307" t="s">
        <v>455</v>
      </c>
      <c r="F30" s="224">
        <f>Thesis!F30</f>
        <v>0.25</v>
      </c>
    </row>
    <row r="31" spans="2:6">
      <c r="B31" s="1" t="s">
        <v>452</v>
      </c>
      <c r="C31" s="311">
        <f>C165</f>
        <v>26.081648350508612</v>
      </c>
      <c r="D31" s="311" t="str">
        <f>D165</f>
        <v/>
      </c>
      <c r="E31" s="307" t="s">
        <v>492</v>
      </c>
      <c r="F31" s="224">
        <f>Thesis!F31</f>
        <v>7.4999999999999997E-2</v>
      </c>
    </row>
    <row r="32" spans="2:6">
      <c r="B32" s="1" t="s">
        <v>453</v>
      </c>
      <c r="C32" s="311">
        <f>C173</f>
        <v>23.346105223027141</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1000000</v>
      </c>
    </row>
    <row r="40" spans="1:6">
      <c r="B40" s="373" t="s">
        <v>495</v>
      </c>
      <c r="C40" s="373"/>
      <c r="D40" s="373"/>
      <c r="E40" s="373"/>
      <c r="F40" s="373"/>
    </row>
    <row r="41" spans="1:6">
      <c r="B41" s="47" t="s">
        <v>228</v>
      </c>
      <c r="C41" s="349">
        <f>Normalized_FCF!C8</f>
        <v>122178.06382484984</v>
      </c>
      <c r="D41" s="1" t="str">
        <f>Reporting_currency</f>
        <v>CNY</v>
      </c>
    </row>
    <row r="42" spans="1:6">
      <c r="B42" s="47"/>
      <c r="C42" s="76"/>
    </row>
    <row r="43" spans="1:6" ht="24.6" customHeight="1">
      <c r="B43" s="373" t="s">
        <v>496</v>
      </c>
      <c r="C43" s="373"/>
      <c r="D43" s="373"/>
      <c r="E43" s="373"/>
      <c r="F43" s="373"/>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3" t="s">
        <v>497</v>
      </c>
      <c r="C47" s="373"/>
      <c r="D47" s="373"/>
      <c r="E47" s="373"/>
      <c r="F47" s="373"/>
    </row>
    <row r="48" spans="1:6">
      <c r="B48" s="47" t="s">
        <v>233</v>
      </c>
      <c r="C48" s="349">
        <f>Normalized_FCF!C11</f>
        <v>0</v>
      </c>
      <c r="D48" s="1" t="str">
        <f>Reporting_currency</f>
        <v>CNY</v>
      </c>
    </row>
    <row r="50" spans="2:6">
      <c r="B50" s="373" t="s">
        <v>498</v>
      </c>
      <c r="C50" s="373"/>
      <c r="D50" s="373"/>
      <c r="E50" s="373"/>
      <c r="F50" s="373"/>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3" t="s">
        <v>237</v>
      </c>
      <c r="C58" s="373"/>
      <c r="D58" s="373"/>
      <c r="E58" s="373"/>
      <c r="F58" s="373"/>
    </row>
    <row r="59" spans="2:6">
      <c r="B59" s="47" t="s">
        <v>235</v>
      </c>
      <c r="C59" s="349">
        <f>Normalized_FCF!C14</f>
        <v>-30043.220876057931</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0.10855114132993851</v>
      </c>
      <c r="F69" s="314"/>
    </row>
    <row r="70" spans="1:6">
      <c r="B70" s="227" t="s">
        <v>435</v>
      </c>
      <c r="C70" s="92">
        <f>Normalized_FCF!C94</f>
        <v>6.6350710900473939E-2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27.485148984740434</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91887</v>
      </c>
      <c r="D102" s="1" t="str">
        <f>Reporting_currency</f>
        <v>CNY</v>
      </c>
    </row>
    <row r="103" spans="2:6">
      <c r="B103" s="47" t="s">
        <v>276</v>
      </c>
      <c r="C103" s="223">
        <f>C102*scaling_factor*Exchange_Rate/Common_Shares</f>
        <v>2.1067947539951062</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2.3098083255401867</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0.1172359848088171</v>
      </c>
      <c r="D114" s="1" t="str">
        <f>Market_currency</f>
        <v>HKD</v>
      </c>
    </row>
    <row r="116" spans="1:6">
      <c r="B116" s="372" t="s">
        <v>517</v>
      </c>
      <c r="C116" s="372"/>
      <c r="D116" s="372"/>
      <c r="E116" s="372"/>
      <c r="F116" s="372"/>
    </row>
    <row r="118" spans="1:6">
      <c r="B118" s="47" t="s">
        <v>518</v>
      </c>
      <c r="C118" s="223">
        <f>IF(valuation_method="DCF",DCF!C12,DDM!C7)</f>
        <v>27.805398541094334</v>
      </c>
      <c r="D118" s="1" t="str">
        <f>Market_currency</f>
        <v>HKD</v>
      </c>
    </row>
    <row r="119" spans="1:6">
      <c r="B119" s="296" t="s">
        <v>551</v>
      </c>
      <c r="C119" s="223">
        <f>BS!D47</f>
        <v>-0.45675994441257362</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37.85 HKD</v>
      </c>
      <c r="F126" s="232">
        <f>DCF!F74</f>
        <v>0.05</v>
      </c>
    </row>
    <row r="127" spans="1:6">
      <c r="B127" s="218" t="str">
        <f>DCF!B75</f>
        <v>Optimistic</v>
      </c>
      <c r="C127" s="219">
        <f>DCF!C75</f>
        <v>0.02</v>
      </c>
      <c r="D127" s="220">
        <f>DCF!D75</f>
        <v>10</v>
      </c>
      <c r="E127" s="231" t="str">
        <f>ROUND(IF(valuation_method="DCF",DCF!E75,DDM!E70),2)&amp;" "&amp;Market_currency</f>
        <v>29.54 HKD</v>
      </c>
      <c r="F127" s="221">
        <f>DCF!F75</f>
        <v>0.18</v>
      </c>
    </row>
    <row r="128" spans="1:6">
      <c r="B128" s="218" t="str">
        <f>DCF!B76</f>
        <v>Base</v>
      </c>
      <c r="C128" s="219">
        <f>DCF!C76</f>
        <v>0.01</v>
      </c>
      <c r="D128" s="220">
        <f>DCF!D76</f>
        <v>10</v>
      </c>
      <c r="E128" s="231" t="str">
        <f>ROUND(IF(valuation_method="DCF",DCF!E76,DDM!E71),2)&amp;" "&amp;Market_currency</f>
        <v>28.65 HKD</v>
      </c>
      <c r="F128" s="221">
        <f>DCF!F76</f>
        <v>0.53999999999999992</v>
      </c>
    </row>
    <row r="129" spans="1:6">
      <c r="B129" s="218" t="str">
        <f>DCF!B77</f>
        <v>Pessimistic</v>
      </c>
      <c r="C129" s="219">
        <f>DCF!C77</f>
        <v>-0.01</v>
      </c>
      <c r="D129" s="220">
        <f>DCF!D77</f>
        <v>10</v>
      </c>
      <c r="E129" s="231" t="str">
        <f>ROUND(IF(valuation_method="DCF",DCF!E77,DDM!E72),2)&amp;" "&amp;Market_currency</f>
        <v>27 HKD</v>
      </c>
      <c r="F129" s="221">
        <f>DCF!F77</f>
        <v>0.18</v>
      </c>
    </row>
    <row r="130" spans="1:6">
      <c r="B130" s="218" t="str">
        <f>DCF!B78</f>
        <v>Devil's advocate</v>
      </c>
      <c r="C130" s="219">
        <f>DCF!C78</f>
        <v>-0.15</v>
      </c>
      <c r="D130" s="220">
        <f>DCF!D78</f>
        <v>15</v>
      </c>
      <c r="E130" s="231" t="str">
        <f>ROUND(IF(valuation_method="DCF",DCF!E78,DDM!E73),2)&amp;" "&amp;Market_currency</f>
        <v>15.77 HKD</v>
      </c>
      <c r="F130" s="221">
        <f>DCF!F78</f>
        <v>0.05</v>
      </c>
    </row>
    <row r="132" spans="1:6">
      <c r="B132" s="211" t="s">
        <v>254</v>
      </c>
      <c r="C132" s="217">
        <f>Scenarios!C60</f>
        <v>28.330562740685753</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11.514733624218158</v>
      </c>
    </row>
    <row r="149" spans="2:4">
      <c r="B149" s="80" t="s">
        <v>256</v>
      </c>
      <c r="C149" s="215">
        <f>Scenarios!C83</f>
        <v>13.651542037569781</v>
      </c>
      <c r="D149" s="300" t="str">
        <f>IF($D$11="","",C149*$E$25)</f>
        <v/>
      </c>
    </row>
    <row r="150" spans="2:4">
      <c r="B150" s="259" t="s">
        <v>533</v>
      </c>
      <c r="C150" s="298" t="str">
        <f>Market_currency</f>
        <v>HKD</v>
      </c>
      <c r="D150" s="298" t="str">
        <f>IF($D$11="","",D$13)</f>
        <v/>
      </c>
    </row>
    <row r="151" spans="2:4">
      <c r="B151" s="214" t="s">
        <v>534</v>
      </c>
      <c r="C151" s="92">
        <f>Scenarios!F83</f>
        <v>0.51813374967082138</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14.505248123231105</v>
      </c>
    </row>
    <row r="157" spans="2:4">
      <c r="B157" s="80" t="s">
        <v>256</v>
      </c>
      <c r="C157" s="215">
        <f>Scenarios!C93</f>
        <v>16.964768123231107</v>
      </c>
      <c r="D157" s="300" t="str">
        <f>IF($D$11="","",C157*$E$25)</f>
        <v/>
      </c>
    </row>
    <row r="158" spans="2:4">
      <c r="B158" s="259" t="s">
        <v>533</v>
      </c>
      <c r="C158" s="298" t="str">
        <f>Market_currency</f>
        <v>HKD</v>
      </c>
      <c r="D158" s="298" t="str">
        <f>IF($D$11="","",D$13)</f>
        <v/>
      </c>
    </row>
    <row r="159" spans="2:4">
      <c r="B159" s="214" t="s">
        <v>534</v>
      </c>
      <c r="C159" s="92">
        <f>Scenarios!F93</f>
        <v>0.40118492249827908</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22.804985918269942</v>
      </c>
    </row>
    <row r="165" spans="2:4">
      <c r="B165" s="80" t="s">
        <v>382</v>
      </c>
      <c r="C165" s="215">
        <f>Scenarios!C99</f>
        <v>26.081648350508612</v>
      </c>
      <c r="D165" s="300" t="str">
        <f>IF($D$11="","",C165*$E$25)</f>
        <v/>
      </c>
    </row>
    <row r="166" spans="2:4">
      <c r="B166" s="259" t="s">
        <v>533</v>
      </c>
      <c r="C166" s="298" t="str">
        <f>Market_currency</f>
        <v>HKD</v>
      </c>
      <c r="D166" s="298" t="str">
        <f>IF($D$11="","",D$13)</f>
        <v/>
      </c>
    </row>
    <row r="167" spans="2:4">
      <c r="B167" s="214" t="s">
        <v>534</v>
      </c>
      <c r="C167" s="92">
        <f>Scenarios!F99</f>
        <v>7.9381211406275964E-2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20.306225284344443</v>
      </c>
    </row>
    <row r="173" spans="2:4">
      <c r="B173" s="80" t="s">
        <v>382</v>
      </c>
      <c r="C173" s="215">
        <f>Scenarios!C105</f>
        <v>23.346105223027141</v>
      </c>
      <c r="D173" s="300" t="str">
        <f>IF($D$11="","",C173*$E$25)</f>
        <v/>
      </c>
    </row>
    <row r="174" spans="2:4">
      <c r="B174" s="259" t="s">
        <v>533</v>
      </c>
      <c r="C174" s="298" t="str">
        <f>Market_currency</f>
        <v>HKD</v>
      </c>
      <c r="D174" s="298" t="str">
        <f>IF($D$11="","",D$13)</f>
        <v/>
      </c>
    </row>
    <row r="175" spans="2:4">
      <c r="B175" s="214" t="s">
        <v>534</v>
      </c>
      <c r="C175" s="92">
        <f>Scenarios!F105</f>
        <v>0.20933056707623687</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56F5A-E1C3-4C39-B603-AABB1938A17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