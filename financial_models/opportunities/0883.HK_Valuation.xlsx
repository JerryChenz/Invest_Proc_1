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E6E0ECB-17FB-4F4D-9D79-121FCAF98BF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<sst xmlns="http://schemas.openxmlformats.org/spreadsheetml/2006/main" count="686" uniqueCount="466">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</sst>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E29" sqref="E2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18.22</v>
      </c>
      <c r="D12" s="50">
        <v>25.72</v>
      </c>
      <c r="E12" s="48"/>
    </row>
    <row r="13" spans="1:10">
      <c r="B13" s="1" t="s">
        <v>416</v>
      </c>
      <c r="C13" s="48" t="s">
        <v>396</v>
      </c>
      <c r="D13" s="48" t="s">
        <v>414</v>
      </c>
      <c r="E13" s="5"/>
    </row>
    <row r="14" spans="1:10">
      <c r="B14" s="4" t="s">
        <v>420</v>
      </c>
      <c r="C14" s="35">
        <f>Thesis!C12*Common_Shares/1000000</f>
        <v>865995.76158847997</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1.0928781500000002</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0.91501509111514379</v>
      </c>
    </row>
    <row r="26" spans="2:6">
      <c r="B26" s="1" t="str">
        <f>"Expected Equity Value ("&amp;C13&amp;") :"</f>
        <v>Expected Equity Value (HKD) :</v>
      </c>
      <c r="C26" s="304">
        <f>C132</f>
        <v>28.411318895343356</v>
      </c>
      <c r="D26" s="1" t="s">
        <v>399</v>
      </c>
      <c r="E26" s="301">
        <f ca="1">Scenarios!C87</f>
        <v>0.22673325494528251</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13.432481226833289</v>
      </c>
      <c r="D29" s="310">
        <f>D149</f>
        <v>12.290923033673321</v>
      </c>
      <c r="E29" s="306" t="s">
        <v>424</v>
      </c>
      <c r="F29" s="302">
        <v>0.3674</v>
      </c>
    </row>
    <row r="30" spans="2:6">
      <c r="B30" s="1" t="s">
        <v>426</v>
      </c>
      <c r="C30" s="311">
        <f>C157</f>
        <v>18.617331819674209</v>
      </c>
      <c r="D30" s="311">
        <f>D157</f>
        <v>17.035139571300064</v>
      </c>
      <c r="E30" s="307" t="s">
        <v>437</v>
      </c>
      <c r="F30" s="312">
        <v>0.21740000000000001</v>
      </c>
    </row>
    <row r="31" spans="2:6">
      <c r="B31" s="1" t="s">
        <v>427</v>
      </c>
      <c r="C31" s="311">
        <f>C165</f>
        <v>26.510727474335276</v>
      </c>
      <c r="D31" s="311">
        <f>D165</f>
        <v>24.257715715457639</v>
      </c>
      <c r="E31" s="307" t="s">
        <v>436</v>
      </c>
      <c r="F31" s="312">
        <v>7.4999999999999997E-2</v>
      </c>
    </row>
    <row r="32" spans="2:6">
      <c r="B32" s="1" t="s">
        <v>428</v>
      </c>
      <c r="C32" s="311">
        <f>C173</f>
        <v>23.741752473809299</v>
      </c>
      <c r="D32" s="311">
        <f>D173</f>
        <v>21.724061803055807</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122178.06382484984</v>
      </c>
      <c r="D41" s="1" t="str">
        <f>Reporting_currency</f>
        <v>CNY</v>
      </c>
    </row>
    <row r="42" spans="1:6">
      <c r="B42" s="47"/>
      <c r="C42" s="76"/>
    </row>
    <row r="43" spans="1:6" ht="24.5" customHeight="1">
      <c r="B43" s="357" t="s">
        <v>233</v>
      </c>
      <c r="C43" s="357"/>
      <c r="D43" s="357"/>
      <c r="E43" s="357"/>
      <c r="F43" s="357"/>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7" t="s">
        <v>241</v>
      </c>
      <c r="C58" s="357"/>
      <c r="D58" s="357"/>
      <c r="E58" s="357"/>
      <c r="F58" s="357"/>
    </row>
    <row r="59" spans="2:6">
      <c r="B59" s="47" t="s">
        <v>239</v>
      </c>
      <c r="C59" s="349">
        <f>Normalized_FCF!C14</f>
        <v>-30043.220876057931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0.11346114966068152</v>
      </c>
      <c r="F69" s="314"/>
    </row>
    <row r="70" spans="1:6">
      <c r="B70" s="227" t="s">
        <v>308</v>
      </c>
      <c r="C70" s="92">
        <f>Normalized_FCF!C93</f>
        <v>7.6838638858397368E-2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27.563495290901571</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91887</v>
      </c>
      <c r="D102" s="1" t="str">
        <f>Reporting_currency</f>
        <v>CNY</v>
      </c>
    </row>
    <row r="103" spans="2:6">
      <c r="B103" s="47" t="s">
        <v>281</v>
      </c>
      <c r="C103" s="223">
        <f>C102*scaling_factor*Exchange_Rate/Common_Shares</f>
        <v>2.1128001639314613</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2.3163924248422059</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0.11757016550996711</v>
      </c>
      <c r="D114" s="1" t="str">
        <f>Market_currency</f>
        <v>HKD</v>
      </c>
    </row>
    <row r="116" spans="1:6" ht="24.5" customHeight="1">
      <c r="B116" s="356" t="s">
        <v>366</v>
      </c>
      <c r="C116" s="356"/>
      <c r="D116" s="356"/>
      <c r="E116" s="356"/>
      <c r="F116" s="356"/>
    </row>
    <row r="118" spans="1:6">
      <c r="B118" s="47" t="s">
        <v>449</v>
      </c>
      <c r="C118" s="223">
        <f>IF(valuation_method="DCF",DCF!C12,DDM!C7)</f>
        <v>27.88465771732228</v>
      </c>
      <c r="D118" s="1" t="str">
        <f>Market_currency</f>
        <v>HKD</v>
      </c>
    </row>
    <row r="119" spans="1:6">
      <c r="B119" s="296" t="s">
        <v>405</v>
      </c>
      <c r="C119" s="223">
        <f>BS!D47</f>
        <v>-0.45806193678914608</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37.96 HKD</v>
      </c>
      <c r="F126" s="232">
        <f>DCF!F74</f>
        <v>0.05</v>
      </c>
    </row>
    <row r="127" spans="1:6">
      <c r="B127" s="218" t="str">
        <f>DCF!B75</f>
        <v>Optimistic</v>
      </c>
      <c r="C127" s="219">
        <f>DCF!C75</f>
        <v>0.02</v>
      </c>
      <c r="D127" s="220">
        <f>DCF!D75</f>
        <v>10</v>
      </c>
      <c r="E127" s="231" t="str">
        <f>ROUND(IF(valuation_method="DCF",DCF!E75,DDM!E70),2)&amp;" "&amp;Market_currency</f>
        <v>29.63 HKD</v>
      </c>
      <c r="F127" s="221">
        <f>DCF!F75</f>
        <v>0.18</v>
      </c>
    </row>
    <row r="128" spans="1:6">
      <c r="B128" s="218" t="str">
        <f>DCF!B76</f>
        <v>Base</v>
      </c>
      <c r="C128" s="219">
        <f>DCF!C76</f>
        <v>0.01</v>
      </c>
      <c r="D128" s="220">
        <f>DCF!D76</f>
        <v>10</v>
      </c>
      <c r="E128" s="231" t="str">
        <f>ROUND(IF(valuation_method="DCF",DCF!E76,DDM!E71),2)&amp;" "&amp;Market_currency</f>
        <v>28.73 HKD</v>
      </c>
      <c r="F128" s="221">
        <f>DCF!F76</f>
        <v>0.53999999999999992</v>
      </c>
    </row>
    <row r="129" spans="1:6">
      <c r="B129" s="218" t="str">
        <f>DCF!B77</f>
        <v>Pessimistic</v>
      </c>
      <c r="C129" s="219">
        <f>DCF!C77</f>
        <v>-0.01</v>
      </c>
      <c r="D129" s="220">
        <f>DCF!D77</f>
        <v>10</v>
      </c>
      <c r="E129" s="231" t="str">
        <f>ROUND(IF(valuation_method="DCF",DCF!E77,DDM!E72),2)&amp;" "&amp;Market_currency</f>
        <v>27.07 HKD</v>
      </c>
      <c r="F129" s="221">
        <f>DCF!F77</f>
        <v>0.18</v>
      </c>
    </row>
    <row r="130" spans="1:6">
      <c r="B130" s="218" t="str">
        <f>DCF!B78</f>
        <v>Devil's advocate</v>
      </c>
      <c r="C130" s="219">
        <f>DCF!C78</f>
        <v>-0.15</v>
      </c>
      <c r="D130" s="220">
        <f>DCF!D78</f>
        <v>15</v>
      </c>
      <c r="E130" s="231" t="str">
        <f>ROUND(IF(valuation_method="DCF",DCF!E78,DDM!E73),2)&amp;" "&amp;Market_currency</f>
        <v>15.82 HKD</v>
      </c>
      <c r="F130" s="221">
        <f>DCF!F78</f>
        <v>0.05</v>
      </c>
    </row>
    <row r="132" spans="1:6">
      <c r="B132" s="211" t="s">
        <v>258</v>
      </c>
      <c r="C132" s="217">
        <f>Scenarios!C60</f>
        <v>28.411318895343356</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11.112318179722486</v>
      </c>
    </row>
    <row r="149" spans="2:4">
      <c r="B149" s="80" t="s">
        <v>260</v>
      </c>
      <c r="C149" s="215">
        <f>Scenarios!C83</f>
        <v>13.432481226833289</v>
      </c>
      <c r="D149" s="300">
        <f>IF($D$11="","",C149*$E$25)</f>
        <v>12.290923033673321</v>
      </c>
    </row>
    <row r="150" spans="2:4">
      <c r="B150" s="259" t="s">
        <v>416</v>
      </c>
      <c r="C150" s="298" t="str">
        <f>Market_currency</f>
        <v>HKD</v>
      </c>
      <c r="D150" s="298" t="str">
        <f>IF($D$11="","",D$13)</f>
        <v>CNY</v>
      </c>
    </row>
    <row r="151" spans="2:4">
      <c r="B151" s="214" t="s">
        <v>262</v>
      </c>
      <c r="C151" s="92">
        <f>Scenarios!F83</f>
        <v>0.52721373913286063</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15.746770666263298</v>
      </c>
    </row>
    <row r="157" spans="2:4">
      <c r="B157" s="80" t="s">
        <v>260</v>
      </c>
      <c r="C157" s="215">
        <f>Scenarios!C93</f>
        <v>18.617331819674209</v>
      </c>
      <c r="D157" s="300">
        <f>IF($D$11="","",C157*$E$25)</f>
        <v>17.035139571300064</v>
      </c>
    </row>
    <row r="158" spans="2:4">
      <c r="B158" s="259" t="s">
        <v>416</v>
      </c>
      <c r="C158" s="298" t="str">
        <f>Market_currency</f>
        <v>HKD</v>
      </c>
      <c r="D158" s="298" t="str">
        <f>IF($D$11="","",D$13)</f>
        <v>CNY</v>
      </c>
    </row>
    <row r="159" spans="2:4">
      <c r="B159" s="214" t="s">
        <v>262</v>
      </c>
      <c r="C159" s="92">
        <f>Scenarios!F93</f>
        <v>0.34472131025477992</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22.869991438514532</v>
      </c>
    </row>
    <row r="165" spans="2:4">
      <c r="B165" s="80" t="s">
        <v>401</v>
      </c>
      <c r="C165" s="215">
        <f>Scenarios!C99</f>
        <v>26.510727474335276</v>
      </c>
      <c r="D165" s="300">
        <f>IF($D$11="","",C165*$E$25)</f>
        <v>24.257715715457639</v>
      </c>
    </row>
    <row r="166" spans="2:4">
      <c r="B166" s="259" t="s">
        <v>416</v>
      </c>
      <c r="C166" s="298" t="str">
        <f>Market_currency</f>
        <v>HKD</v>
      </c>
      <c r="D166" s="298" t="str">
        <f>IF($D$11="","",D$13)</f>
        <v>CNY</v>
      </c>
    </row>
    <row r="167" spans="2:4">
      <c r="B167" s="214" t="s">
        <v>262</v>
      </c>
      <c r="C167" s="92">
        <f>Scenarios!F99</f>
        <v>6.6895571726506176E-2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20.36410809749519</v>
      </c>
    </row>
    <row r="173" spans="2:4">
      <c r="B173" s="80" t="s">
        <v>401</v>
      </c>
      <c r="C173" s="215">
        <f>Scenarios!C105</f>
        <v>23.741752473809299</v>
      </c>
      <c r="D173" s="300">
        <f>IF($D$11="","",C173*$E$25)</f>
        <v>21.724061803055807</v>
      </c>
    </row>
    <row r="174" spans="2:4">
      <c r="B174" s="259" t="s">
        <v>416</v>
      </c>
      <c r="C174" s="298" t="str">
        <f>Market_currency</f>
        <v>HKD</v>
      </c>
      <c r="D174" s="298" t="str">
        <f>IF($D$11="","",D$13)</f>
        <v>CNY</v>
      </c>
    </row>
    <row r="175" spans="2:4">
      <c r="B175" s="214" t="s">
        <v>262</v>
      </c>
      <c r="C175" s="92">
        <f>Scenarios!F105</f>
        <v>0.19821654541276801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17.188715889588693</v>
      </c>
      <c r="D47" s="147">
        <f>D46*H1/Common_Shares*Exchange_Rate</f>
        <v>-0.45806193678914608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-100421.29456905002</v>
      </c>
      <c r="D86" s="223">
        <f>C86*scaling_factor/Common_Shares</f>
        <v>-2.1128001639314613</v>
      </c>
      <c r="E86" s="240" t="str">
        <f>Market_currency</f>
        <v>HKD</v>
      </c>
    </row>
    <row r="87" spans="2:8" ht="15" customHeight="1">
      <c r="B87" s="238" t="s">
        <v>287</v>
      </c>
      <c r="C87" s="76">
        <f>DCF!C8*Exchange_Rate</f>
        <v>110098.0253616362</v>
      </c>
      <c r="D87" s="223">
        <f>C87*scaling_factor/Common_Shares</f>
        <v>2.3163924248422054</v>
      </c>
      <c r="E87" s="240" t="str">
        <f>Market_currency</f>
        <v>HKD</v>
      </c>
    </row>
    <row r="88" spans="2:8" ht="15" customHeight="1">
      <c r="B88" s="239" t="s">
        <v>189</v>
      </c>
      <c r="C88" s="76">
        <f>DCF!C9*Exchange_Rate</f>
        <v>5588.1045565800005</v>
      </c>
      <c r="D88" s="223">
        <f>C88*scaling_factor/Common_Shares</f>
        <v>0.11757016550996711</v>
      </c>
      <c r="E88" s="240" t="str">
        <f>Market_currency</f>
        <v>HKD</v>
      </c>
    </row>
    <row r="89" spans="2:8" ht="15" customHeight="1">
      <c r="B89" s="80" t="s">
        <v>291</v>
      </c>
      <c r="C89" s="180">
        <f>SUM(C86:C88)</f>
        <v>15264.835349166184</v>
      </c>
      <c r="D89" s="242">
        <f>SUM(D86:D88)</f>
        <v>0.32116242642071124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9" sqref="C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7.6838638858397368E-2</v>
      </c>
      <c r="E93" s="268"/>
      <c r="G93" s="23">
        <f t="shared" ref="G93:Q93" si="39">IF(G$4="","",G90/Market_Price)</f>
        <v>7.6838638858397368E-2</v>
      </c>
      <c r="H93" s="23">
        <f t="shared" si="39"/>
        <v>6.8605927552140511E-2</v>
      </c>
      <c r="I93" s="23">
        <f t="shared" si="39"/>
        <v>7.9582875960482982E-2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2.0672621468176171</v>
      </c>
      <c r="D124" s="27"/>
      <c r="E124" s="265"/>
      <c r="F124" s="27"/>
      <c r="G124" s="177">
        <f t="shared" ref="G124:Q124" si="49">IF(G$4="","",G16*$C$3/Common_Shares*Exchange_Rate)</f>
        <v>3.2503195124542965</v>
      </c>
      <c r="H124" s="177">
        <f t="shared" si="49"/>
        <v>2.8375939373508077</v>
      </c>
      <c r="I124" s="177">
        <f t="shared" si="49"/>
        <v>3.2354804447372985</v>
      </c>
      <c r="J124" s="177">
        <f t="shared" si="49"/>
        <v>1.7482820716267802</v>
      </c>
      <c r="K124" s="177">
        <f t="shared" si="49"/>
        <v>0.64292137582617914</v>
      </c>
      <c r="L124" s="177">
        <f t="shared" si="49"/>
        <v>1.3792912075623773</v>
      </c>
      <c r="M124" s="177">
        <f t="shared" si="49"/>
        <v>1.168933457890476</v>
      </c>
      <c r="N124" s="177">
        <f t="shared" si="49"/>
        <v>6.8832765404703</v>
      </c>
      <c r="O124" s="177">
        <f t="shared" si="49"/>
        <v>6.4744987882923697</v>
      </c>
      <c r="P124" s="177">
        <f t="shared" si="49"/>
        <v>6.5211065340266847</v>
      </c>
      <c r="Q124" s="177" t="str">
        <f t="shared" si="49"/>
        <v/>
      </c>
    </row>
    <row r="125" spans="1:17" ht="15.75" customHeight="1">
      <c r="A125" s="10"/>
      <c r="B125" s="27" t="s">
        <v>269</v>
      </c>
      <c r="C125" s="77">
        <f>C19*Exchange_Rate*$C$3/(Market_Price*Common_Shares)</f>
        <v>0.11346114966068152</v>
      </c>
      <c r="D125" s="27"/>
      <c r="E125" s="265"/>
      <c r="F125" s="27"/>
      <c r="G125" s="77">
        <f t="shared" ref="G125" si="50">IF(G$4="","",G124/Market_Price)</f>
        <v>0.1783929479941985</v>
      </c>
      <c r="H125" s="77">
        <f t="shared" ref="H125" si="51">IF(H$4="","",H124/Market_Price)</f>
        <v>0.15574061127062611</v>
      </c>
      <c r="I125" s="77">
        <f t="shared" ref="I125" si="52">IF(I$4="","",I124/Market_Price)</f>
        <v>0.17757850959041155</v>
      </c>
      <c r="J125" s="77">
        <f t="shared" ref="J125" si="53">IF(J$4="","",J124/Market_Price)</f>
        <v>9.5954010517386404E-2</v>
      </c>
      <c r="K125" s="77">
        <f t="shared" ref="K125" si="54">IF(K$4="","",K124/Market_Price)</f>
        <v>3.5286573865322676E-2</v>
      </c>
      <c r="L125" s="77">
        <f t="shared" ref="L125" si="55">IF(L$4="","",L124/Market_Price)</f>
        <v>7.5702042127463079E-2</v>
      </c>
      <c r="M125" s="77">
        <f t="shared" ref="M125" si="56">IF(M$4="","",M124/Market_Price)</f>
        <v>6.4156611300245664E-2</v>
      </c>
      <c r="N125" s="77">
        <f t="shared" ref="N125" si="57">IF(N$4="","",N124/Market_Price)</f>
        <v>0.37778685732548301</v>
      </c>
      <c r="O125" s="77">
        <f t="shared" ref="O125" si="58">IF(O$4="","",O124/Market_Price)</f>
        <v>0.35535119584480629</v>
      </c>
      <c r="P125" s="77">
        <f t="shared" ref="P125" si="59">IF(P$4="","",P124/Market_Price)</f>
        <v>0.35790924994657985</v>
      </c>
      <c r="Q125" s="77" t="str">
        <f t="shared" ref="Q125" si="60">IF(Q$4="","",Q124/Market_Price)</f>
        <v/>
      </c>
    </row>
    <row r="126" spans="1:17" ht="15.75" customHeight="1">
      <c r="B126" s="2" t="s">
        <v>394</v>
      </c>
      <c r="C126" s="169"/>
      <c r="G126" s="23">
        <f>IF(G$4="","",(Data!C47*$C$3)/(Market_Price*Common_Shares))</f>
        <v>0.15933334332595597</v>
      </c>
      <c r="H126" s="23">
        <f>IF(H$4="","",(Data!D47*$C$3)/(Market_Price*Common_Shares))</f>
        <v>0.14329169437548286</v>
      </c>
      <c r="I126" s="23">
        <f>IF(I$4="","",(Data!E47*$C$3)/(Market_Price*Common_Shares))</f>
        <v>0.16360010785748477</v>
      </c>
      <c r="J126" s="23">
        <f>IF(J$4="","",(Data!F47*$C$3)/(Market_Price*Common_Shares))</f>
        <v>8.1186309585438585E-2</v>
      </c>
      <c r="K126" s="23">
        <f>IF(K$4="","",(Data!G47*$C$3)/(Market_Price*Common_Shares))</f>
        <v>2.8817308937198818E-2</v>
      </c>
      <c r="L126" s="23">
        <f>IF(L$4="","",(Data!H47*$C$3)/(Market_Price*Common_Shares))</f>
        <v>7.049163715077017E-2</v>
      </c>
      <c r="M126" s="23">
        <f>IF(M$4="","",(Data!I47*$C$3)/(Market_Price*Common_Shares))</f>
        <v>6.0826350008201614E-2</v>
      </c>
      <c r="N126" s="23">
        <f>IF(N$4="","",(Data!J47*$C$3)/(Market_Price*Common_Shares))</f>
        <v>8.1171297964624009E-2</v>
      </c>
      <c r="O126" s="23">
        <f>IF(O$4="","",(Data!K47*$C$3)/(Market_Price*Common_Shares))</f>
        <v>6.8325969507593856E-2</v>
      </c>
      <c r="P126" s="23">
        <f>IF(P$4="","",(Data!L47*$C$3)/(Market_Price*Common_Shares))</f>
        <v>5.0053362756061572E-2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1.0928781500000002</v>
      </c>
      <c r="D11" t="str">
        <f>Thesis!C15</f>
        <v>CNY/HKD</v>
      </c>
      <c r="H11" s="120"/>
    </row>
    <row r="12" spans="2:8" ht="13.5" thickTop="1">
      <c r="B12" s="149" t="s">
        <v>102</v>
      </c>
      <c r="C12" s="111">
        <f>(C10*scaling_factor)/Common_Shares*Exchange_Rate</f>
        <v>27.88465771732228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29.611177853541324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27.88465771732228</v>
      </c>
      <c r="C65" s="124">
        <f>C12</f>
        <v>27.88465771732228</v>
      </c>
      <c r="D65" s="124">
        <f>C12</f>
        <v>27.88465771732228</v>
      </c>
      <c r="E65" s="141">
        <f>C12</f>
        <v>27.88465771732228</v>
      </c>
      <c r="F65" s="124">
        <f>C12</f>
        <v>27.88465771732228</v>
      </c>
      <c r="H65" s="120"/>
    </row>
    <row r="66" spans="1:8" ht="13.15">
      <c r="A66" s="143">
        <f t="shared" ref="A66:A71" si="3">A56</f>
        <v>5</v>
      </c>
      <c r="B66" s="124">
        <f t="shared" ref="B66:F71" si="4">(B56-$C$7+$C$8+$C$9)/Common_Shares*$C$3*Exchange_Rate</f>
        <v>22.036765991258136</v>
      </c>
      <c r="C66" s="124">
        <f t="shared" si="4"/>
        <v>27.456839686593316</v>
      </c>
      <c r="D66" s="124">
        <f t="shared" si="4"/>
        <v>28.31856963456352</v>
      </c>
      <c r="E66" s="124">
        <f t="shared" si="4"/>
        <v>28.758710026127066</v>
      </c>
      <c r="F66" s="124">
        <f t="shared" si="4"/>
        <v>30.584322541096778</v>
      </c>
      <c r="H66" s="120"/>
    </row>
    <row r="67" spans="1:8" ht="13.15">
      <c r="A67" s="143">
        <f t="shared" si="3"/>
        <v>10</v>
      </c>
      <c r="B67" s="124">
        <f t="shared" si="4"/>
        <v>18.752417769434256</v>
      </c>
      <c r="C67" s="124">
        <f t="shared" si="4"/>
        <v>27.073356297390003</v>
      </c>
      <c r="D67" s="124">
        <f t="shared" si="4"/>
        <v>28.734596459529698</v>
      </c>
      <c r="E67" s="124">
        <f t="shared" si="4"/>
        <v>29.625445046364646</v>
      </c>
      <c r="F67" s="124">
        <f t="shared" si="4"/>
        <v>33.647933505687881</v>
      </c>
      <c r="H67" s="120"/>
    </row>
    <row r="68" spans="1:8" ht="13.15">
      <c r="A68" s="143">
        <f t="shared" si="3"/>
        <v>15</v>
      </c>
      <c r="B68" s="124">
        <f t="shared" si="4"/>
        <v>15.818452874413328</v>
      </c>
      <c r="C68" s="124">
        <f t="shared" si="4"/>
        <v>26.622429933300921</v>
      </c>
      <c r="D68" s="124">
        <f t="shared" si="4"/>
        <v>29.248240325236857</v>
      </c>
      <c r="E68" s="124">
        <f t="shared" si="4"/>
        <v>30.722833082202943</v>
      </c>
      <c r="F68" s="124">
        <f t="shared" si="4"/>
        <v>37.958598432016359</v>
      </c>
      <c r="H68" s="120"/>
    </row>
    <row r="69" spans="1:8" ht="13.15">
      <c r="A69" s="144">
        <f t="shared" si="3"/>
        <v>20</v>
      </c>
      <c r="B69" s="124">
        <f t="shared" si="4"/>
        <v>13.575048003283547</v>
      </c>
      <c r="C69" s="124">
        <f t="shared" si="4"/>
        <v>26.186575325496708</v>
      </c>
      <c r="D69" s="124">
        <f t="shared" si="4"/>
        <v>29.769906738418133</v>
      </c>
      <c r="E69" s="124">
        <f t="shared" si="4"/>
        <v>31.866878012945321</v>
      </c>
      <c r="F69" s="124">
        <f t="shared" si="4"/>
        <v>42.990227416288775</v>
      </c>
      <c r="H69" s="120"/>
    </row>
    <row r="70" spans="1:8" ht="13.15">
      <c r="A70" s="144">
        <f t="shared" si="3"/>
        <v>25</v>
      </c>
      <c r="B70" s="124">
        <f t="shared" si="4"/>
        <v>11.950656213971849</v>
      </c>
      <c r="C70" s="124">
        <f t="shared" si="4"/>
        <v>25.802322090537913</v>
      </c>
      <c r="D70" s="124">
        <f t="shared" si="4"/>
        <v>30.253255359623765</v>
      </c>
      <c r="E70" s="124">
        <f t="shared" si="4"/>
        <v>32.9557447433235</v>
      </c>
      <c r="F70" s="124">
        <f t="shared" si="4"/>
        <v>48.386387847362798</v>
      </c>
    </row>
    <row r="71" spans="1:8" ht="13.15">
      <c r="A71" s="144">
        <f t="shared" si="3"/>
        <v>30</v>
      </c>
      <c r="B71" s="124">
        <f t="shared" si="4"/>
        <v>10.800093782462628</v>
      </c>
      <c r="C71" s="124">
        <f t="shared" si="4"/>
        <v>25.481239707260297</v>
      </c>
      <c r="D71" s="124">
        <f t="shared" si="4"/>
        <v>30.67777026751105</v>
      </c>
      <c r="E71" s="124">
        <f t="shared" si="4"/>
        <v>33.938747653799609</v>
      </c>
      <c r="F71" s="124">
        <f t="shared" si="4"/>
        <v>53.908143544657428</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37.958598432016359</v>
      </c>
      <c r="F74" s="142">
        <f>Scenarios!C58</f>
        <v>0.05</v>
      </c>
    </row>
    <row r="75" spans="1:8">
      <c r="B75" s="127" t="str">
        <f>Scenarios!B36</f>
        <v>Optimistic</v>
      </c>
      <c r="C75" s="142">
        <f>Scenarios!C38</f>
        <v>0.02</v>
      </c>
      <c r="D75" s="145">
        <f>Scenarios!C37</f>
        <v>10</v>
      </c>
      <c r="E75" s="135">
        <f>INDEX(B$65:F$71, MATCH(D75, A$65:A$71, 0), MATCH(C75, B$64:F$64, 0))</f>
        <v>29.625445046364646</v>
      </c>
      <c r="F75" s="142">
        <f>Scenarios!C40*(1-F$74-F$78)</f>
        <v>0.18</v>
      </c>
      <c r="H75" s="120"/>
    </row>
    <row r="76" spans="1:8">
      <c r="B76" s="127" t="str">
        <f>Scenarios!B24</f>
        <v>Base</v>
      </c>
      <c r="C76" s="142">
        <f>Scenarios!C26</f>
        <v>0.01</v>
      </c>
      <c r="D76" s="145">
        <f>Scenarios!C25</f>
        <v>10</v>
      </c>
      <c r="E76" s="135">
        <f>INDEX(B$65:F$71, MATCH(D76, A$65:A$71, 0), MATCH(C76, B$64:F$64, 0))</f>
        <v>28.734596459529698</v>
      </c>
      <c r="F76" s="142">
        <f>Scenarios!C28*(1-F$74-F$78)</f>
        <v>0.53999999999999992</v>
      </c>
      <c r="H76" s="120"/>
    </row>
    <row r="77" spans="1:8">
      <c r="B77" s="127" t="str">
        <f>Scenarios!B30</f>
        <v>Pessimistic</v>
      </c>
      <c r="C77" s="142">
        <f>Scenarios!C32</f>
        <v>-0.01</v>
      </c>
      <c r="D77" s="145">
        <f>Scenarios!C31</f>
        <v>10</v>
      </c>
      <c r="E77" s="135">
        <f>INDEX(B$65:F$71, MATCH(D77, A$65:A$71, 0), MATCH(C77, B$64:F$64, 0))</f>
        <v>27.073356297390003</v>
      </c>
      <c r="F77" s="142">
        <f>Scenarios!C34*(1-F$74-F$78)</f>
        <v>0.18</v>
      </c>
      <c r="H77" s="120"/>
    </row>
    <row r="78" spans="1:8">
      <c r="B78" s="127" t="str">
        <f>Scenarios!B48</f>
        <v>Devil's advocate</v>
      </c>
      <c r="C78" s="142">
        <f>Scenarios!C50</f>
        <v>-0.15</v>
      </c>
      <c r="D78" s="145">
        <f>Scenarios!C49</f>
        <v>15</v>
      </c>
      <c r="E78" s="135">
        <f>INDEX(B$65:F$71, MATCH(D78, A$65:A$71, 0), MATCH(C78, B$64:F$64, 0))</f>
        <v>15.818452874413328</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20.400392133333337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-0.15</v>
      </c>
      <c r="C50" s="131">
        <f>C72</f>
        <v>-0.01</v>
      </c>
      <c r="D50" s="131">
        <f>C71</f>
        <v>0.01</v>
      </c>
      <c r="E50" s="131">
        <f>C70</f>
        <v>0.02</v>
      </c>
      <c r="F50" s="131">
        <f>C69</f>
        <v>0.06</v>
      </c>
      <c r="H50" s="120"/>
    </row>
    <row r="51" spans="1:8" ht="13.15">
      <c r="A51" s="143">
        <v>5</v>
      </c>
      <c r="B51" s="123">
        <f t="dataTable" ref="B51:F56" dt2D="1" dtr="1" r1="C11" r2="C12"/>
        <v>698991.31837951508</v>
      </c>
      <c r="C51" s="123">
        <v>873455.01434378722</v>
      </c>
      <c r="D51" s="123">
        <v>901192.75373566593</v>
      </c>
      <c r="E51" s="123">
        <v>915360.184617911</v>
      </c>
      <c r="F51" s="123">
        <v>974123.79645484407</v>
      </c>
      <c r="H51" s="120"/>
    </row>
    <row r="52" spans="1:8" ht="13.15">
      <c r="A52" s="143">
        <v>10</v>
      </c>
      <c r="B52" s="123">
        <v>593273.28541139583</v>
      </c>
      <c r="C52" s="123">
        <v>861111.28376335325</v>
      </c>
      <c r="D52" s="123">
        <v>914584.00661961618</v>
      </c>
      <c r="E52" s="123">
        <v>943259.02945879591</v>
      </c>
      <c r="F52" s="123">
        <v>1072736.6423169298</v>
      </c>
      <c r="H52" s="120"/>
    </row>
    <row r="53" spans="1:8" ht="13.15">
      <c r="A53" s="143">
        <v>15</v>
      </c>
      <c r="B53" s="123">
        <v>498833.54377922509</v>
      </c>
      <c r="C53" s="123">
        <v>846596.66929336521</v>
      </c>
      <c r="D53" s="123">
        <v>931117.39938469487</v>
      </c>
      <c r="E53" s="123">
        <v>978582.23416062468</v>
      </c>
      <c r="F53" s="123">
        <v>1211490.2049775417</v>
      </c>
      <c r="H53" s="120"/>
    </row>
    <row r="54" spans="1:8" ht="13.15">
      <c r="A54" s="144">
        <v>20</v>
      </c>
      <c r="B54" s="123">
        <v>426621.84937027108</v>
      </c>
      <c r="C54" s="123">
        <v>832567.19108792557</v>
      </c>
      <c r="D54" s="123">
        <v>947909.02540674666</v>
      </c>
      <c r="E54" s="123">
        <v>1015407.2513441156</v>
      </c>
      <c r="F54" s="123">
        <v>1373450.4731695845</v>
      </c>
      <c r="H54" s="120"/>
    </row>
    <row r="55" spans="1:8" ht="13.15">
      <c r="A55" s="144">
        <v>25</v>
      </c>
      <c r="B55" s="123">
        <v>374335.21800929069</v>
      </c>
      <c r="C55" s="123">
        <v>820198.68037656078</v>
      </c>
      <c r="D55" s="123">
        <v>963467.26162913372</v>
      </c>
      <c r="E55" s="123">
        <v>1050456.1685493938</v>
      </c>
      <c r="F55" s="123">
        <v>1547144.4385545175</v>
      </c>
      <c r="H55" s="120"/>
    </row>
    <row r="56" spans="1:8" ht="13.15">
      <c r="A56" s="144">
        <v>30</v>
      </c>
      <c r="B56" s="123">
        <v>337300.41266863642</v>
      </c>
      <c r="C56" s="123">
        <v>809863.54058983806</v>
      </c>
      <c r="D56" s="123">
        <v>977131.73262805981</v>
      </c>
      <c r="E56" s="123">
        <v>1082097.4949492363</v>
      </c>
      <c r="F56" s="123">
        <v>1724881.1191444711</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20.400392133333337</v>
      </c>
      <c r="C60" s="124">
        <f>C7</f>
        <v>20.400392133333337</v>
      </c>
      <c r="D60" s="124">
        <f>C7</f>
        <v>20.400392133333337</v>
      </c>
      <c r="E60" s="141">
        <f>C7</f>
        <v>20.400392133333337</v>
      </c>
      <c r="F60" s="124">
        <f>C7</f>
        <v>20.400392133333337</v>
      </c>
      <c r="H60" s="120"/>
    </row>
    <row r="61" spans="1:8" ht="13.15">
      <c r="A61" s="143">
        <f t="shared" ref="A61:A66" si="3">A51</f>
        <v>5</v>
      </c>
      <c r="B61" s="124">
        <f t="shared" ref="B61:F66" si="4">B51/Common_Shares*$C$3*Exchange_Rate</f>
        <v>16.072229717576022</v>
      </c>
      <c r="C61" s="124">
        <f t="shared" si="4"/>
        <v>20.083753931375611</v>
      </c>
      <c r="D61" s="124">
        <f t="shared" si="4"/>
        <v>20.721540564242602</v>
      </c>
      <c r="E61" s="124">
        <f t="shared" si="4"/>
        <v>21.047298835711853</v>
      </c>
      <c r="F61" s="124">
        <f t="shared" si="4"/>
        <v>22.398477661032921</v>
      </c>
      <c r="H61" s="120"/>
    </row>
    <row r="62" spans="1:8" ht="13.15">
      <c r="A62" s="143">
        <f t="shared" si="3"/>
        <v>10</v>
      </c>
      <c r="B62" s="124">
        <f t="shared" si="4"/>
        <v>13.641406234541924</v>
      </c>
      <c r="C62" s="124">
        <f t="shared" si="4"/>
        <v>19.799928841930239</v>
      </c>
      <c r="D62" s="124">
        <f t="shared" si="4"/>
        <v>21.029451817068985</v>
      </c>
      <c r="E62" s="124">
        <f t="shared" si="4"/>
        <v>21.688789840460295</v>
      </c>
      <c r="F62" s="124">
        <f t="shared" si="4"/>
        <v>24.665928300439614</v>
      </c>
      <c r="H62" s="120"/>
    </row>
    <row r="63" spans="1:8" ht="13.15">
      <c r="A63" s="143">
        <f t="shared" si="3"/>
        <v>15</v>
      </c>
      <c r="B63" s="124">
        <f t="shared" si="4"/>
        <v>11.469909705086231</v>
      </c>
      <c r="C63" s="124">
        <f t="shared" si="4"/>
        <v>19.466187618127169</v>
      </c>
      <c r="D63" s="124">
        <f t="shared" si="4"/>
        <v>21.40961174115402</v>
      </c>
      <c r="E63" s="124">
        <f t="shared" si="4"/>
        <v>22.500992575173672</v>
      </c>
      <c r="F63" s="124">
        <f t="shared" si="4"/>
        <v>27.856352951754982</v>
      </c>
      <c r="H63" s="120"/>
    </row>
    <row r="64" spans="1:8" ht="13.15">
      <c r="A64" s="144">
        <f t="shared" si="3"/>
        <v>20</v>
      </c>
      <c r="B64" s="124">
        <f t="shared" si="4"/>
        <v>9.8095129157144321</v>
      </c>
      <c r="C64" s="124">
        <f t="shared" si="4"/>
        <v>19.143601356171445</v>
      </c>
      <c r="D64" s="124">
        <f t="shared" si="4"/>
        <v>21.795709341598769</v>
      </c>
      <c r="E64" s="124">
        <f t="shared" si="4"/>
        <v>23.347727176826343</v>
      </c>
      <c r="F64" s="124">
        <f t="shared" si="4"/>
        <v>31.580380084935207</v>
      </c>
      <c r="H64" s="120"/>
    </row>
    <row r="65" spans="1:8" ht="13.15">
      <c r="A65" s="144">
        <f t="shared" si="3"/>
        <v>25</v>
      </c>
      <c r="B65" s="124">
        <f t="shared" si="4"/>
        <v>8.6072622892830193</v>
      </c>
      <c r="C65" s="124">
        <f t="shared" si="4"/>
        <v>18.85920648574843</v>
      </c>
      <c r="D65" s="124">
        <f t="shared" si="4"/>
        <v>22.153447041612306</v>
      </c>
      <c r="E65" s="124">
        <f t="shared" si="4"/>
        <v>24.153623092646118</v>
      </c>
      <c r="F65" s="124">
        <f t="shared" si="4"/>
        <v>35.574205528569152</v>
      </c>
    </row>
    <row r="66" spans="1:8" ht="13.15">
      <c r="A66" s="144">
        <f t="shared" si="3"/>
        <v>30</v>
      </c>
      <c r="B66" s="124">
        <f t="shared" si="4"/>
        <v>7.7557039317906193</v>
      </c>
      <c r="C66" s="124">
        <f t="shared" si="4"/>
        <v>18.621565850667928</v>
      </c>
      <c r="D66" s="124">
        <f t="shared" si="4"/>
        <v>22.467640524548607</v>
      </c>
      <c r="E66" s="124">
        <f t="shared" si="4"/>
        <v>24.881166701694145</v>
      </c>
      <c r="F66" s="124">
        <f t="shared" si="4"/>
        <v>39.660986987176869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27.856352951754982</v>
      </c>
      <c r="F69" s="142">
        <f>Scenarios!C58</f>
        <v>0.05</v>
      </c>
    </row>
    <row r="70" spans="1:8">
      <c r="B70" s="127" t="str">
        <f>Scenarios!B36</f>
        <v>Optimistic</v>
      </c>
      <c r="C70" s="142">
        <f>Scenarios!C38</f>
        <v>0.02</v>
      </c>
      <c r="D70" s="145">
        <f>Scenarios!C37</f>
        <v>10</v>
      </c>
      <c r="E70" s="135">
        <f>INDEX(B$60:F$66, MATCH(D70, A$60:A$66, 0), MATCH(C70, B$59:F$59, 0))</f>
        <v>21.688789840460295</v>
      </c>
      <c r="F70" s="142">
        <f>Scenarios!C40*(1-F$69-F$73)</f>
        <v>0.18</v>
      </c>
      <c r="H70" s="120"/>
    </row>
    <row r="71" spans="1:8">
      <c r="B71" s="127" t="str">
        <f>Scenarios!B24</f>
        <v>Base</v>
      </c>
      <c r="C71" s="142">
        <f>Scenarios!C26</f>
        <v>0.01</v>
      </c>
      <c r="D71" s="145">
        <f>Scenarios!C25</f>
        <v>10</v>
      </c>
      <c r="E71" s="135">
        <f>INDEX(B$60:F$66, MATCH(D71, A$60:A$66, 0), MATCH(C71, B$59:F$59, 0))</f>
        <v>21.029451817068985</v>
      </c>
      <c r="F71" s="142">
        <f>Scenarios!C28*(1-F$69-F$73)</f>
        <v>0.53999999999999992</v>
      </c>
      <c r="H71" s="120"/>
    </row>
    <row r="72" spans="1:8">
      <c r="B72" s="127" t="str">
        <f>Scenarios!B30</f>
        <v>Pessimistic</v>
      </c>
      <c r="C72" s="142">
        <f>Scenarios!C32</f>
        <v>-0.01</v>
      </c>
      <c r="D72" s="145">
        <f>Scenarios!C31</f>
        <v>10</v>
      </c>
      <c r="E72" s="135">
        <f>INDEX(B$60:F$66, MATCH(D72, A$60:A$66, 0), MATCH(C72, B$59:F$59, 0))</f>
        <v>19.799928841930239</v>
      </c>
      <c r="F72" s="142">
        <f>Scenarios!C34*(1-F$69-F$73)</f>
        <v>0.18</v>
      </c>
      <c r="H72" s="120"/>
    </row>
    <row r="73" spans="1:8">
      <c r="B73" s="127" t="str">
        <f>Scenarios!B48</f>
        <v>Devil's advocate</v>
      </c>
      <c r="C73" s="142">
        <f>Scenarios!C50</f>
        <v>-0.15</v>
      </c>
      <c r="D73" s="145">
        <f>Scenarios!C49</f>
        <v>15</v>
      </c>
      <c r="E73" s="135">
        <f>INDEX(B$60:F$66, MATCH(D73, A$60:A$66, 0), MATCH(C73, B$59:F$59, 0))</f>
        <v>11.469909705086231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8" zoomScale="75" zoomScaleNormal="100" workbookViewId="0">
      <selection activeCell="E53" sqref="E53"/>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-18.22</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29.811318895343355</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18.22</v>
      </c>
      <c r="D21" t="str">
        <f>Market_currency</f>
        <v>HKD</v>
      </c>
      <c r="E21" s="367"/>
      <c r="F21" s="367"/>
    </row>
    <row r="22" spans="2:6">
      <c r="B22" s="100" t="s">
        <v>278</v>
      </c>
      <c r="C22" s="160">
        <f>IF(valuation_method="DCF",DCF!C12,DDM!C7)</f>
        <v>27.88465771732228</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0.01</v>
      </c>
      <c r="D26" s="164"/>
      <c r="E26" s="365"/>
      <c r="F26" s="365"/>
    </row>
    <row r="27" spans="2:6">
      <c r="B27" s="100" t="s">
        <v>113</v>
      </c>
      <c r="C27" s="160">
        <f>IF(valuation_method="DCF",DCF!E76,DDM!E71)</f>
        <v>28.734596459529698</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27.073356297390003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29.625445046364646</v>
      </c>
      <c r="D39" t="str">
        <f>Market_currency</f>
        <v>HKD</v>
      </c>
      <c r="E39" s="365"/>
      <c r="F39" s="365"/>
    </row>
    <row r="40" spans="2:6">
      <c r="B40" s="100" t="s">
        <v>147</v>
      </c>
      <c r="C40" s="167">
        <f>1-C28-C34</f>
        <v>0.2</v>
      </c>
      <c r="D40" s="165"/>
      <c r="E40" s="365"/>
      <c r="F40" s="365"/>
    </row>
    <row r="42" spans="2:6" ht="13.15">
      <c r="B42" s="100" t="s">
        <v>120</v>
      </c>
      <c r="C42" s="154">
        <f>C27*C28+C33*C34+C39*C40</f>
        <v>28.580518144468751</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15.818452874413328</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37.958598432016359</v>
      </c>
      <c r="D57" t="str">
        <f>Market_currency</f>
        <v>HKD</v>
      </c>
      <c r="E57" s="365"/>
      <c r="F57" s="365"/>
    </row>
    <row r="58" spans="2:6">
      <c r="B58" s="100" t="s">
        <v>147</v>
      </c>
      <c r="C58" s="165">
        <v>0.05</v>
      </c>
      <c r="D58" s="165"/>
      <c r="E58" s="365"/>
      <c r="F58" s="365"/>
    </row>
    <row r="60" spans="2:6" ht="13.15">
      <c r="B60" s="100" t="s">
        <v>120</v>
      </c>
      <c r="C60" s="154">
        <f>C51*C52+C57*C58+C42*(1-C52-C58)</f>
        <v>28.411318895343356</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29.611177853541324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1.130403089007424E-2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11.112318179722486</v>
      </c>
      <c r="D82" s="116"/>
    </row>
    <row r="83" spans="2:8" ht="13.15">
      <c r="B83" s="110" t="s">
        <v>101</v>
      </c>
      <c r="C83" s="111">
        <f>C81+C82</f>
        <v>13.432481226833289</v>
      </c>
      <c r="D83" t="str">
        <f>Market_currency</f>
        <v>HKD</v>
      </c>
      <c r="E83" s="146" t="s">
        <v>126</v>
      </c>
      <c r="F83" s="291">
        <f>(1-C83/C60)</f>
        <v>0.52721373913286063</v>
      </c>
    </row>
    <row r="84" spans="2:8">
      <c r="E84" s="120"/>
    </row>
    <row r="85" spans="2:8" ht="13.15">
      <c r="B85" s="109" t="s">
        <v>302</v>
      </c>
    </row>
    <row r="86" spans="2:8">
      <c r="B86" s="148" t="s">
        <v>300</v>
      </c>
      <c r="C86" s="116">
        <f>Market_Price</f>
        <v>18.22</v>
      </c>
      <c r="D86" t="str">
        <f>Market_currency</f>
        <v>HKD</v>
      </c>
    </row>
    <row r="87" spans="2:8" ht="13.15">
      <c r="B87" s="100" t="s">
        <v>298</v>
      </c>
      <c r="C87" s="237">
        <f ca="1">IRR(OFFSET($I$3, 0, 0, $C$76 + 1, 1))</f>
        <v>0.22673325494528251</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15.746770666263298</v>
      </c>
      <c r="D92" s="116"/>
    </row>
    <row r="93" spans="2:8" ht="13.15">
      <c r="B93" s="110" t="s">
        <v>101</v>
      </c>
      <c r="C93" s="111">
        <f>C91+C92</f>
        <v>18.617331819674209</v>
      </c>
      <c r="D93" t="str">
        <f>Market_currency</f>
        <v>HKD</v>
      </c>
      <c r="E93" s="146" t="s">
        <v>126</v>
      </c>
      <c r="F93" s="291">
        <f>(1-C93/C60)</f>
        <v>0.34472131025477992</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22.869991438514532</v>
      </c>
      <c r="D98" s="116"/>
      <c r="G98" s="2"/>
      <c r="H98" s="281"/>
    </row>
    <row r="99" spans="2:8" ht="13.15">
      <c r="B99" s="110" t="s">
        <v>398</v>
      </c>
      <c r="C99" s="111">
        <f>C97+C98</f>
        <v>26.510727474335276</v>
      </c>
      <c r="D99" t="s">
        <v>396</v>
      </c>
      <c r="E99" s="146" t="s">
        <v>126</v>
      </c>
      <c r="F99" s="291">
        <f>(1-C99/C60)</f>
        <v>6.6895571726506176E-2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20.36410809749519</v>
      </c>
      <c r="D104" s="116"/>
    </row>
    <row r="105" spans="2:8" ht="13.15">
      <c r="B105" s="110" t="s">
        <v>398</v>
      </c>
      <c r="C105" s="111">
        <f>C103+C104</f>
        <v>23.741752473809299</v>
      </c>
      <c r="D105" t="s">
        <v>396</v>
      </c>
      <c r="E105" s="146" t="s">
        <v>126</v>
      </c>
      <c r="F105" s="291">
        <f>(1-C105/C66)</f>
        <v>0.19821654541276801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2025-06-05T02:30:38Z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