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71E1CD8-4AFC-4A90-9A48-AC985A1E222E}"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E38" i="4" l="1"/>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P94" i="2"/>
  <c r="O94" i="2"/>
  <c r="Q92" i="2"/>
  <c r="Q94" i="2"/>
  <c r="J94" i="2"/>
  <c r="K94" i="2"/>
  <c r="F71" i="4"/>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<sst xmlns="http://schemas.openxmlformats.org/spreadsheetml/2006/main" count="687" uniqueCount="466">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</sst>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45792</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47529953984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18.239999999999998</v>
      </c>
      <c r="D12" s="50">
        <v>25.72</v>
      </c>
      <c r="E12" s="48"/>
    </row>
    <row r="13" spans="1:10">
      <c r="B13" s="1" t="s">
        <v>413</v>
      </c>
      <c r="C13" s="48" t="s">
        <v>393</v>
      </c>
      <c r="D13" s="48" t="s">
        <v>411</v>
      </c>
      <c r="E13" s="5"/>
    </row>
    <row r="14" spans="1:10">
      <c r="B14" s="4" t="s">
        <v>417</v>
      </c>
      <c r="C14" s="35">
        <f>Thesis!C12*Common_Shares/1000000</f>
        <v>866946.3606681599</v>
      </c>
      <c r="D14" s="35">
        <f>IF(D11="","",Thesis!D12*Common_Shares/1000000)</f>
        <v>1222470.4164684799</v>
      </c>
      <c r="E14" s="5"/>
    </row>
    <row r="15" spans="1:10">
      <c r="B15" s="4" t="s">
        <v>416</v>
      </c>
      <c r="C15" s="32" t="str">
        <f>IF(C25=C13,C13,C25&amp;"/"&amp;C13)</f>
        <v>CNY/HKD</v>
      </c>
      <c r="D15" s="32" t="str">
        <f>IF(D11="","",IF(C25=D13,D13,C25&amp;"/"&amp;D13))</f>
        <v>CNY</v>
      </c>
      <c r="E15" s="5"/>
    </row>
    <row r="16" spans="1:10">
      <c r="B16" s="4" t="s">
        <v>1</v>
      </c>
      <c r="C16" s="50">
        <v>1.09663103</v>
      </c>
      <c r="D16" s="50">
        <v>1</v>
      </c>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HKD/CNY:</v>
      </c>
      <c r="E25" s="299">
        <f>IF(D11="","",1/Exchange_Rate*D16)</f>
        <v>0.91188373540734124</v>
      </c>
    </row>
    <row r="26" spans="2:6">
      <c r="B26" s="1" t="str">
        <f>"Expected Equity Value ("&amp;C13&amp;") :"</f>
        <v>Expected Equity Value (HKD) :</v>
      </c>
      <c r="C26" s="304">
        <f>C132</f>
        <v>28.508881711889689</v>
      </c>
      <c r="D26" s="1" t="s">
        <v>396</v>
      </c>
      <c r="E26" s="301">
        <f ca="1">Scenarios!C87</f>
        <v>0.22078274399263664</v>
      </c>
    </row>
    <row r="27" spans="2:6">
      <c r="D27" s="5"/>
      <c r="E27" s="5"/>
    </row>
    <row r="28" spans="2:6">
      <c r="B28" s="45" t="s">
        <v>430</v>
      </c>
      <c r="C28" s="309" t="str">
        <f>C145&amp;" ("&amp;Market_currency&amp;")"</f>
        <v>0883.HK (HKD)</v>
      </c>
      <c r="D28" s="309" t="str">
        <f>IF(D11="","",D145&amp;" ("&amp;D13&amp;")")</f>
        <v>600938.SS (CNY)</v>
      </c>
      <c r="E28" s="305" t="s">
        <v>426</v>
      </c>
      <c r="F28" s="303">
        <v>3</v>
      </c>
    </row>
    <row r="29" spans="2:6">
      <c r="B29" s="1" t="s">
        <v>422</v>
      </c>
      <c r="C29" s="310">
        <f>C149</f>
        <v>13.238623976404986</v>
      </c>
      <c r="D29" s="310">
        <f>D149</f>
        <v>12.072085883257367</v>
      </c>
      <c r="E29" s="306" t="s">
        <v>421</v>
      </c>
      <c r="F29" s="302">
        <v>0.3674</v>
      </c>
    </row>
    <row r="30" spans="2:6">
      <c r="B30" s="1" t="s">
        <v>423</v>
      </c>
      <c r="C30" s="311">
        <f>C157</f>
        <v>18.384349198892416</v>
      </c>
      <c r="D30" s="311">
        <f>D157</f>
        <v>16.764389020518976</v>
      </c>
      <c r="E30" s="307" t="s">
        <v>434</v>
      </c>
      <c r="F30" s="312">
        <v>0.21740000000000001</v>
      </c>
    </row>
    <row r="31" spans="2:6">
      <c r="B31" s="1" t="s">
        <v>424</v>
      </c>
      <c r="C31" s="311">
        <f>C165</f>
        <v>26.2251880911233</v>
      </c>
      <c r="D31" s="311">
        <f>D165</f>
        <v>23.914322478293634</v>
      </c>
      <c r="E31" s="307" t="s">
        <v>433</v>
      </c>
      <c r="F31" s="312">
        <v>7.4999999999999997E-2</v>
      </c>
    </row>
    <row r="32" spans="2:6">
      <c r="B32" s="1" t="s">
        <v>425</v>
      </c>
      <c r="C32" s="311">
        <f>C173</f>
        <v>23.47391719890927</v>
      </c>
      <c r="D32" s="311">
        <f>D173</f>
        <v>21.405483299984017</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122178.06382484984</v>
      </c>
      <c r="D41" s="1" t="str">
        <f>Reporting_currency</f>
        <v>CNY</v>
      </c>
    </row>
    <row r="42" spans="1:6">
      <c r="B42" s="47"/>
      <c r="C42" s="76"/>
    </row>
    <row r="43" spans="1:6" ht="24.6" customHeight="1">
      <c r="B43" s="359" t="s">
        <v>232</v>
      </c>
      <c r="C43" s="359"/>
      <c r="D43" s="359"/>
      <c r="E43" s="359"/>
      <c r="F43" s="359"/>
    </row>
    <row r="44" spans="1:6">
      <c r="B44" s="47" t="s">
        <v>233</v>
      </c>
      <c r="C44" s="349">
        <f>Normalized_FCF!C9</f>
        <v>74606</v>
      </c>
      <c r="D44" s="1" t="str">
        <f>Reporting_currency</f>
        <v>CNY</v>
      </c>
    </row>
    <row r="45" spans="1:6">
      <c r="B45" s="52" t="s">
        <v>234</v>
      </c>
      <c r="C45" s="349">
        <f>Normalized_FCF!C10</f>
        <v>-74606</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801.81967938187529</v>
      </c>
      <c r="D51" s="1" t="str">
        <f>Reporting_currency</f>
        <v>CNY</v>
      </c>
      <c r="E51" s="286"/>
      <c r="F51" s="286"/>
    </row>
    <row r="52" spans="2:6">
      <c r="B52" s="47" t="s">
        <v>338</v>
      </c>
      <c r="C52" s="350">
        <f>Normalized_FCF!C47</f>
        <v>-2807</v>
      </c>
      <c r="D52" s="1" t="str">
        <f>Reporting_currency</f>
        <v>CNY</v>
      </c>
      <c r="E52" s="286"/>
      <c r="F52" s="286"/>
    </row>
    <row r="53" spans="2:6">
      <c r="B53" s="47" t="s">
        <v>237</v>
      </c>
      <c r="C53" s="349">
        <f>Normalized_FCF!C12</f>
        <v>-2005.1803206181248</v>
      </c>
      <c r="D53" s="1" t="str">
        <f>Reporting_currency</f>
        <v>CNY</v>
      </c>
    </row>
    <row r="55" spans="2:6">
      <c r="B55" s="1" t="s">
        <v>245</v>
      </c>
    </row>
    <row r="56" spans="2:6">
      <c r="B56" s="47" t="s">
        <v>264</v>
      </c>
      <c r="C56" s="349">
        <f>Normalized_FCF!C15</f>
        <v>-223.13946170149947</v>
      </c>
      <c r="D56" s="1" t="str">
        <f>Reporting_currency</f>
        <v>CNY</v>
      </c>
    </row>
    <row r="58" spans="2:6">
      <c r="B58" s="359" t="s">
        <v>240</v>
      </c>
      <c r="C58" s="359"/>
      <c r="D58" s="359"/>
      <c r="E58" s="359"/>
      <c r="F58" s="359"/>
    </row>
    <row r="59" spans="2:6">
      <c r="B59" s="47" t="s">
        <v>238</v>
      </c>
      <c r="C59" s="349">
        <f>Normalized_FCF!C14</f>
        <v>-30043.220876057931</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141358.4276163358</v>
      </c>
      <c r="D67" s="1" t="str">
        <f>Reporting_currency</f>
        <v>CNY</v>
      </c>
    </row>
    <row r="68" spans="1:6">
      <c r="B68" s="47" t="s">
        <v>247</v>
      </c>
      <c r="C68" s="349">
        <f>Normalized_FCF!C19</f>
        <v>89906.523166472296</v>
      </c>
      <c r="D68" s="1" t="str">
        <f>Reporting_currency</f>
        <v>CNY</v>
      </c>
    </row>
    <row r="69" spans="1:6">
      <c r="B69" s="227" t="s">
        <v>387</v>
      </c>
      <c r="C69" s="92">
        <f>Normalized_FCF!C126</f>
        <v>0.11372593228003203</v>
      </c>
      <c r="F69" s="314"/>
    </row>
    <row r="70" spans="1:6">
      <c r="B70" s="227" t="s">
        <v>455</v>
      </c>
      <c r="C70" s="92">
        <f>Normalized_FCF!C94</f>
        <v>6.9078947368421059E-2</v>
      </c>
      <c r="E70" s="47" t="s">
        <v>445</v>
      </c>
      <c r="F70" s="315">
        <f>Normalized_FCF!C92</f>
        <v>0.74012355537751062</v>
      </c>
    </row>
    <row r="72" spans="1:6">
      <c r="B72" s="210" t="s">
        <v>448</v>
      </c>
      <c r="C72" s="323" t="s">
        <v>450</v>
      </c>
      <c r="D72" s="323" t="s">
        <v>451</v>
      </c>
    </row>
    <row r="73" spans="1:6">
      <c r="B73" s="47" t="s">
        <v>449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27.658146730503791</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91887</v>
      </c>
      <c r="D102" s="1" t="str">
        <f>Reporting_currency</f>
        <v>CNY</v>
      </c>
    </row>
    <row r="103" spans="2:6">
      <c r="B103" s="47" t="s">
        <v>280</v>
      </c>
      <c r="C103" s="223">
        <f>C102*scaling_factor*Exchange_Rate/Common_Shares</f>
        <v>2.1200553968036848</v>
      </c>
      <c r="D103" s="1" t="str">
        <f>Market_currency</f>
        <v>HKD</v>
      </c>
    </row>
    <row r="104" spans="2:6">
      <c r="B104" s="296" t="s">
        <v>401</v>
      </c>
      <c r="C104" s="325">
        <f>IF(BS!G31/BS!G27&gt;300%,"nm",BS!G31/BS!G27)</f>
        <v>0.12260820136742831</v>
      </c>
    </row>
    <row r="105" spans="2:6">
      <c r="B105" s="296" t="s">
        <v>403</v>
      </c>
      <c r="C105" s="326">
        <f>IF(BS!C50&gt;30,"nm",BS!C50)</f>
        <v>0.75207444874659302</v>
      </c>
    </row>
    <row r="107" spans="2:6">
      <c r="B107" s="1" t="s">
        <v>253</v>
      </c>
    </row>
    <row r="108" spans="2:6">
      <c r="B108" s="47" t="s">
        <v>263</v>
      </c>
      <c r="C108" s="349">
        <f>BS!C66</f>
        <v>154196</v>
      </c>
      <c r="D108" s="1" t="str">
        <f>Reporting_currency</f>
        <v>CNY</v>
      </c>
    </row>
    <row r="109" spans="2:6">
      <c r="B109" s="47" t="s">
        <v>265</v>
      </c>
      <c r="C109" s="349">
        <f>DCF!C8</f>
        <v>100741.35470787497</v>
      </c>
      <c r="D109" s="1" t="str">
        <f>Reporting_currency</f>
        <v>CNY</v>
      </c>
    </row>
    <row r="110" spans="2:6">
      <c r="B110" s="47" t="s">
        <v>281</v>
      </c>
      <c r="C110" s="223">
        <f>C109*scaling_factor*Exchange_Rate/Common_Shares</f>
        <v>2.324346781696482</v>
      </c>
      <c r="D110" s="1" t="str">
        <f>Market_currency</f>
        <v>HKD</v>
      </c>
    </row>
    <row r="112" spans="2:6">
      <c r="B112" s="1" t="s">
        <v>255</v>
      </c>
    </row>
    <row r="113" spans="1:6">
      <c r="B113" s="47" t="s">
        <v>256</v>
      </c>
      <c r="C113" s="349">
        <f>DCF!C9</f>
        <v>5113.2</v>
      </c>
      <c r="D113" s="1" t="str">
        <f>Reporting_currency</f>
        <v>CNY</v>
      </c>
    </row>
    <row r="114" spans="1:6">
      <c r="B114" s="47" t="s">
        <v>282</v>
      </c>
      <c r="C114" s="223">
        <f>C113*scaling_factor*Exchange_Rate/Common_Shares</f>
        <v>0.11797389461987659</v>
      </c>
      <c r="D114" s="1" t="str">
        <f>Market_currency</f>
        <v>HKD</v>
      </c>
    </row>
    <row r="116" spans="1:6" ht="24.6" customHeight="1">
      <c r="B116" s="358" t="s">
        <v>363</v>
      </c>
      <c r="C116" s="358"/>
      <c r="D116" s="358"/>
      <c r="E116" s="358"/>
      <c r="F116" s="358"/>
    </row>
    <row r="118" spans="1:6">
      <c r="B118" s="47" t="s">
        <v>446</v>
      </c>
      <c r="C118" s="223">
        <f>IF(valuation_method="DCF",DCF!C12,DDM!C7)</f>
        <v>27.980412010016462</v>
      </c>
      <c r="D118" s="1" t="str">
        <f>Market_currency</f>
        <v>HKD</v>
      </c>
    </row>
    <row r="119" spans="1:6">
      <c r="B119" s="296" t="s">
        <v>402</v>
      </c>
      <c r="C119" s="223">
        <f>BS!D47</f>
        <v>-0.4596348948369734</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38.09 HKD</v>
      </c>
      <c r="F126" s="232">
        <f>DCF!F74</f>
        <v>0.05</v>
      </c>
    </row>
    <row r="127" spans="1:6">
      <c r="B127" s="218" t="str">
        <f>DCF!B75</f>
        <v>Optimistic</v>
      </c>
      <c r="C127" s="219">
        <f>DCF!C75</f>
        <v>0.02</v>
      </c>
      <c r="D127" s="220">
        <f>DCF!D75</f>
        <v>10</v>
      </c>
      <c r="E127" s="231" t="str">
        <f>ROUND(IF(valuation_method="DCF",DCF!E75,DDM!E70),2)&amp;" "&amp;Market_currency</f>
        <v>29.73 HKD</v>
      </c>
      <c r="F127" s="221">
        <f>DCF!F75</f>
        <v>0.18</v>
      </c>
    </row>
    <row r="128" spans="1:6">
      <c r="B128" s="218" t="str">
        <f>DCF!B76</f>
        <v>Base</v>
      </c>
      <c r="C128" s="219">
        <f>DCF!C76</f>
        <v>0.01</v>
      </c>
      <c r="D128" s="220">
        <f>DCF!D76</f>
        <v>10</v>
      </c>
      <c r="E128" s="231" t="str">
        <f>ROUND(IF(valuation_method="DCF",DCF!E76,DDM!E71),2)&amp;" "&amp;Market_currency</f>
        <v>28.83 HKD</v>
      </c>
      <c r="F128" s="221">
        <f>DCF!F76</f>
        <v>0.53999999999999992</v>
      </c>
    </row>
    <row r="129" spans="1:6">
      <c r="B129" s="218" t="str">
        <f>DCF!B77</f>
        <v>Pessimistic</v>
      </c>
      <c r="C129" s="219">
        <f>DCF!C77</f>
        <v>-0.01</v>
      </c>
      <c r="D129" s="220">
        <f>DCF!D77</f>
        <v>10</v>
      </c>
      <c r="E129" s="231" t="str">
        <f>ROUND(IF(valuation_method="DCF",DCF!E77,DDM!E72),2)&amp;" "&amp;Market_currency</f>
        <v>27.17 HKD</v>
      </c>
      <c r="F129" s="221">
        <f>DCF!F77</f>
        <v>0.18</v>
      </c>
    </row>
    <row r="130" spans="1:6">
      <c r="B130" s="218" t="str">
        <f>DCF!B78</f>
        <v>Devil's advocate</v>
      </c>
      <c r="C130" s="219">
        <f>DCF!C78</f>
        <v>-0.15</v>
      </c>
      <c r="D130" s="220">
        <f>DCF!D78</f>
        <v>15</v>
      </c>
      <c r="E130" s="231" t="str">
        <f>ROUND(IF(valuation_method="DCF",DCF!E78,DDM!E73),2)&amp;" "&amp;Market_currency</f>
        <v>15.87 HKD</v>
      </c>
      <c r="F130" s="221">
        <f>DCF!F78</f>
        <v>0.05</v>
      </c>
    </row>
    <row r="132" spans="1:6">
      <c r="B132" s="211" t="s">
        <v>257</v>
      </c>
      <c r="C132" s="217">
        <f>Scenarios!C60</f>
        <v>28.508881711889689</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1.26</v>
      </c>
      <c r="D143" s="212" t="str">
        <f>Market_currency</f>
        <v>HKD</v>
      </c>
    </row>
    <row r="145" spans="2:4">
      <c r="B145" s="210" t="s">
        <v>405</v>
      </c>
      <c r="C145" s="241" t="str">
        <f>C11</f>
        <v>0883.HK</v>
      </c>
      <c r="D145" s="241" t="str">
        <f>IF(D11="","",D11)</f>
        <v>600938.SS</v>
      </c>
    </row>
    <row r="146" spans="2:4">
      <c r="B146" s="1" t="s">
        <v>404</v>
      </c>
      <c r="C146" s="297">
        <f>F29</f>
        <v>0.3674</v>
      </c>
    </row>
    <row r="147" spans="2:4">
      <c r="B147" s="212" t="str">
        <f>"PV("&amp;C141&amp;" yrs of Dividends)"</f>
        <v>PV(3 yrs of Dividends)</v>
      </c>
      <c r="C147" s="216">
        <f>Scenarios!C81</f>
        <v>2.0881467423997222</v>
      </c>
    </row>
    <row r="148" spans="2:4">
      <c r="B148" s="212" t="str">
        <f>"+ PV(Equity Value realized at year "&amp;C141&amp;")"</f>
        <v>+ PV(Equity Value realized at year 3)</v>
      </c>
      <c r="C148" s="216">
        <f>Scenarios!C82</f>
        <v>11.150477234005264</v>
      </c>
    </row>
    <row r="149" spans="2:4">
      <c r="B149" s="80" t="s">
        <v>259</v>
      </c>
      <c r="C149" s="215">
        <f>Scenarios!C83</f>
        <v>13.238623976404986</v>
      </c>
      <c r="D149" s="300">
        <f>IF($D$11="","",C149*$E$25)</f>
        <v>12.072085883257367</v>
      </c>
    </row>
    <row r="150" spans="2:4">
      <c r="B150" s="259" t="s">
        <v>413</v>
      </c>
      <c r="C150" s="298" t="str">
        <f>Market_currency</f>
        <v>HKD</v>
      </c>
      <c r="D150" s="298" t="str">
        <f>IF($D$11="","",D$13)</f>
        <v>CNY</v>
      </c>
    </row>
    <row r="151" spans="2:4">
      <c r="B151" s="214" t="s">
        <v>261</v>
      </c>
      <c r="C151" s="92">
        <f>Scenarios!F83</f>
        <v>0.53563159333311239</v>
      </c>
    </row>
    <row r="153" spans="2:4">
      <c r="B153" s="210" t="s">
        <v>408</v>
      </c>
    </row>
    <row r="154" spans="2:4">
      <c r="B154" s="1" t="s">
        <v>407</v>
      </c>
      <c r="C154" s="297">
        <f>Scenarios!C90</f>
        <v>0.21740000000000001</v>
      </c>
    </row>
    <row r="155" spans="2:4">
      <c r="B155" s="212" t="str">
        <f>"PV("&amp;C141&amp;" yrs of Dividends)"</f>
        <v>PV(3 yrs of Dividends)</v>
      </c>
      <c r="C155" s="216">
        <f>Scenarios!C91</f>
        <v>2.5835050380698203</v>
      </c>
    </row>
    <row r="156" spans="2:4">
      <c r="B156" s="212" t="str">
        <f>"+ PV(Equity Value realized at year "&amp;C141&amp;")"</f>
        <v>+ PV(Equity Value realized at year 3)</v>
      </c>
      <c r="C156" s="216">
        <f>Scenarios!C92</f>
        <v>15.800844160822596</v>
      </c>
    </row>
    <row r="157" spans="2:4">
      <c r="B157" s="80" t="s">
        <v>259</v>
      </c>
      <c r="C157" s="215">
        <f>Scenarios!C93</f>
        <v>18.384349198892416</v>
      </c>
      <c r="D157" s="300">
        <f>IF($D$11="","",C157*$E$25)</f>
        <v>16.764389020518976</v>
      </c>
    </row>
    <row r="158" spans="2:4">
      <c r="B158" s="259" t="s">
        <v>413</v>
      </c>
      <c r="C158" s="298" t="str">
        <f>Market_currency</f>
        <v>HKD</v>
      </c>
      <c r="D158" s="298" t="str">
        <f>IF($D$11="","",D$13)</f>
        <v>CNY</v>
      </c>
    </row>
    <row r="159" spans="2:4">
      <c r="B159" s="214" t="s">
        <v>261</v>
      </c>
      <c r="C159" s="92">
        <f>Scenarios!F93</f>
        <v>0.35513608058413659</v>
      </c>
    </row>
    <row r="161" spans="2:4">
      <c r="B161" s="210" t="s">
        <v>397</v>
      </c>
    </row>
    <row r="162" spans="2:4">
      <c r="B162" s="1" t="s">
        <v>406</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22.94852565888463</v>
      </c>
    </row>
    <row r="165" spans="2:4">
      <c r="B165" s="80" t="s">
        <v>398</v>
      </c>
      <c r="C165" s="215">
        <f>Scenarios!C99</f>
        <v>26.2251880911233</v>
      </c>
      <c r="D165" s="300">
        <f>IF($D$11="","",C165*$E$25)</f>
        <v>23.914322478293634</v>
      </c>
    </row>
    <row r="166" spans="2:4">
      <c r="B166" s="259" t="s">
        <v>413</v>
      </c>
      <c r="C166" s="298" t="str">
        <f>Market_currency</f>
        <v>HKD</v>
      </c>
      <c r="D166" s="298" t="str">
        <f>IF($D$11="","",D$13)</f>
        <v>CNY</v>
      </c>
    </row>
    <row r="167" spans="2:4">
      <c r="B167" s="214" t="s">
        <v>261</v>
      </c>
      <c r="C167" s="92">
        <f>Scenarios!F99</f>
        <v>8.0104636998580281E-2</v>
      </c>
    </row>
    <row r="169" spans="2:4">
      <c r="B169" s="210" t="s">
        <v>429</v>
      </c>
    </row>
    <row r="170" spans="2:4">
      <c r="B170" s="1" t="s">
        <v>420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20.434037260226571</v>
      </c>
    </row>
    <row r="173" spans="2:4">
      <c r="B173" s="80" t="s">
        <v>398</v>
      </c>
      <c r="C173" s="215">
        <f>Scenarios!C105</f>
        <v>23.47391719890927</v>
      </c>
      <c r="D173" s="300">
        <f>IF($D$11="","",C173*$E$25)</f>
        <v>21.405483299984017</v>
      </c>
    </row>
    <row r="174" spans="2:4">
      <c r="B174" s="259" t="s">
        <v>413</v>
      </c>
      <c r="C174" s="298" t="str">
        <f>Market_currency</f>
        <v>HKD</v>
      </c>
      <c r="D174" s="298" t="str">
        <f>IF($D$11="","",D$13)</f>
        <v>CNY</v>
      </c>
    </row>
    <row r="175" spans="2:4">
      <c r="B175" s="214" t="s">
        <v>261</v>
      </c>
      <c r="C175" s="92">
        <f>Scenarios!F105</f>
        <v>0.20997452028255981</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43</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54</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61</v>
      </c>
      <c r="C7" s="352">
        <v>3532</v>
      </c>
      <c r="D7" s="352">
        <v>3501</v>
      </c>
      <c r="E7" s="352">
        <v>3355</v>
      </c>
      <c r="F7" s="352">
        <v>2694</v>
      </c>
      <c r="G7" s="352">
        <v>3048.0317</v>
      </c>
      <c r="H7" s="352">
        <v>2798.4634999999998</v>
      </c>
      <c r="I7" s="352">
        <v>2444.741</v>
      </c>
      <c r="J7" s="352">
        <v>56055</v>
      </c>
      <c r="K7" s="352">
        <v>49550</v>
      </c>
      <c r="L7" s="352">
        <v>46872</v>
      </c>
      <c r="M7" s="352"/>
    </row>
    <row r="8" spans="2:13">
      <c r="B8" s="40" t="s">
        <v>49</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158</v>
      </c>
      <c r="C9" s="351">
        <v>1836</v>
      </c>
      <c r="D9" s="351">
        <v>1931</v>
      </c>
      <c r="E9" s="351">
        <v>1911</v>
      </c>
      <c r="F9" s="351">
        <v>346</v>
      </c>
      <c r="G9" s="351">
        <v>-632.40350000000001</v>
      </c>
      <c r="H9" s="351">
        <v>1002.7065</v>
      </c>
      <c r="I9" s="351">
        <v>-5186.9755999999998</v>
      </c>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67</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50</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42</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44</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51</v>
      </c>
      <c r="C18" s="9"/>
    </row>
    <row r="19" spans="2:13">
      <c r="B19" s="27" t="s">
        <v>47</v>
      </c>
      <c r="C19" s="351">
        <v>74606</v>
      </c>
      <c r="D19" s="351">
        <v>68947</v>
      </c>
      <c r="E19" s="351">
        <v>62852</v>
      </c>
      <c r="F19" s="351">
        <v>55963</v>
      </c>
      <c r="G19" s="351">
        <v>51078.741900000001</v>
      </c>
      <c r="H19" s="351">
        <v>56363.515599999999</v>
      </c>
      <c r="I19" s="351">
        <v>50838.249000000003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370</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369</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464</v>
      </c>
    </row>
    <row r="28" spans="2:13">
      <c r="B28" s="26" t="s">
        <v>24</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32</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40</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30</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171</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43</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58</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54</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61</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64</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49</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151</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167</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68</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50</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42</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44</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68</v>
      </c>
    </row>
    <row r="51" spans="2:13">
      <c r="B51" s="40" t="s">
        <v>39</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67</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167</v>
      </c>
    </row>
    <row r="55" spans="2:13">
      <c r="B55" s="40" t="s">
        <v>158</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51</v>
      </c>
      <c r="C60" s="9"/>
    </row>
    <row r="61" spans="2:13">
      <c r="B61" s="27" t="s">
        <v>47</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53</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167</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85</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86</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40</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30</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33661</v>
      </c>
      <c r="D4" s="261">
        <v>0.6</v>
      </c>
      <c r="E4" s="25"/>
      <c r="F4" s="4" t="s">
        <v>77</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8504+18</f>
        <v>8522</v>
      </c>
      <c r="H17" s="261">
        <v>0.6</v>
      </c>
    </row>
    <row r="18" spans="2:8" ht="15" customHeight="1">
      <c r="B18" s="4" t="s">
        <v>172</v>
      </c>
      <c r="C18" s="19">
        <v>0</v>
      </c>
      <c r="D18" s="261">
        <v>0.6</v>
      </c>
      <c r="F18" s="4" t="s">
        <v>180</v>
      </c>
      <c r="G18" s="19">
        <f>25047+23444</f>
        <v>48491</v>
      </c>
      <c r="H18" s="261">
        <v>0.1</v>
      </c>
    </row>
    <row r="19" spans="2:8" ht="15" customHeight="1">
      <c r="B19" s="4" t="s">
        <v>26</v>
      </c>
      <c r="C19" s="19">
        <f>632410+12755</f>
        <v>645165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16961</v>
      </c>
      <c r="D21" s="261">
        <v>0.05</v>
      </c>
      <c r="F21" s="1" t="s">
        <v>179</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73</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199</v>
      </c>
      <c r="C26" s="182" t="s">
        <v>135</v>
      </c>
      <c r="F26" s="184" t="s">
        <v>195</v>
      </c>
      <c r="G26" s="185" t="s">
        <v>135</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243</v>
      </c>
      <c r="G28" s="12">
        <v>1888</v>
      </c>
      <c r="H28" s="188"/>
    </row>
    <row r="29" spans="2:8" ht="15" customHeight="1">
      <c r="B29" s="4" t="s">
        <v>7</v>
      </c>
      <c r="C29" s="19">
        <v>0</v>
      </c>
      <c r="F29" s="190" t="s">
        <v>75</v>
      </c>
      <c r="G29" s="14">
        <f>G27-G28</f>
        <v>747548</v>
      </c>
      <c r="H29" s="188">
        <f>H27-G28</f>
        <v>-19921.400000000023</v>
      </c>
    </row>
    <row r="30" spans="2:8" ht="15" customHeight="1">
      <c r="B30" s="2" t="s">
        <v>8</v>
      </c>
      <c r="C30" s="19">
        <v>0</v>
      </c>
      <c r="F30" s="187" t="s">
        <v>23</v>
      </c>
      <c r="G30" s="85">
        <f>C33+C42</f>
        <v>306845</v>
      </c>
      <c r="H30" s="188"/>
    </row>
    <row r="31" spans="2:8" ht="15" customHeight="1">
      <c r="B31" s="80" t="s">
        <v>202</v>
      </c>
      <c r="C31" s="81">
        <f>SUM(C27:C30)</f>
        <v>22348</v>
      </c>
      <c r="F31" s="190" t="s">
        <v>76</v>
      </c>
      <c r="G31" s="191">
        <f>C31+C40</f>
        <v>91887</v>
      </c>
      <c r="H31" s="188"/>
    </row>
    <row r="32" spans="2:8" ht="15" customHeight="1">
      <c r="B32" s="4" t="s">
        <v>9</v>
      </c>
      <c r="C32" s="21">
        <f>C33-C31</f>
        <v>96527</v>
      </c>
      <c r="F32" s="192" t="s">
        <v>74</v>
      </c>
      <c r="G32" s="193">
        <f>G35+G40</f>
        <v>1056281</v>
      </c>
      <c r="H32" s="188">
        <f>H35+H40</f>
        <v>288811.59999999998</v>
      </c>
    </row>
    <row r="33" spans="2:8" ht="15" customHeight="1">
      <c r="B33" s="83" t="s">
        <v>4</v>
      </c>
      <c r="C33" s="84">
        <v>118875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845072</v>
      </c>
      <c r="H35" s="200">
        <f>D12+D24</f>
        <v>140072.9</v>
      </c>
    </row>
    <row r="36" spans="2:8" ht="15" customHeight="1">
      <c r="B36" s="4" t="s">
        <v>13</v>
      </c>
      <c r="C36" s="19">
        <v>61243</v>
      </c>
      <c r="F36" s="190" t="s">
        <v>196</v>
      </c>
      <c r="G36" s="191">
        <f>C4+C15</f>
        <v>33661</v>
      </c>
      <c r="H36" s="195"/>
    </row>
    <row r="37" spans="2:8" ht="15" customHeight="1">
      <c r="B37" s="4" t="s">
        <v>14</v>
      </c>
      <c r="C37" s="19">
        <v>8296</v>
      </c>
      <c r="F37" s="190" t="s">
        <v>197</v>
      </c>
      <c r="G37" s="191">
        <f>C6</f>
        <v>5732</v>
      </c>
      <c r="H37" s="195"/>
    </row>
    <row r="38" spans="2:8" ht="15" customHeight="1">
      <c r="B38" s="4" t="s">
        <v>15</v>
      </c>
      <c r="C38" s="19">
        <v>0</v>
      </c>
      <c r="F38" s="190" t="s">
        <v>198</v>
      </c>
      <c r="G38" s="191">
        <f>C7+C17</f>
        <v>0</v>
      </c>
      <c r="H38" s="195"/>
    </row>
    <row r="39" spans="2:8" ht="15" customHeight="1">
      <c r="B39" s="2" t="s">
        <v>16</v>
      </c>
      <c r="C39" s="19">
        <v>0</v>
      </c>
      <c r="F39" s="190" t="s">
        <v>79</v>
      </c>
      <c r="G39" s="191">
        <f>C7+C17+C19+C20</f>
        <v>645165</v>
      </c>
      <c r="H39" s="188">
        <f>C7*D7+C17*D17+C19*D19+C20*D20</f>
        <v>64516.5</v>
      </c>
    </row>
    <row r="40" spans="2:8" ht="15" customHeight="1">
      <c r="B40" s="80" t="s">
        <v>203</v>
      </c>
      <c r="C40" s="81">
        <f>SUM(C36:C39)</f>
        <v>69539</v>
      </c>
      <c r="F40" s="199" t="s">
        <v>137</v>
      </c>
      <c r="G40" s="193">
        <f>G12+G24</f>
        <v>211209</v>
      </c>
      <c r="H40" s="200">
        <f>H12+H24</f>
        <v>148738.69999999998</v>
      </c>
    </row>
    <row r="41" spans="2:8" ht="15" customHeight="1">
      <c r="B41" s="4" t="s">
        <v>17</v>
      </c>
      <c r="C41" s="21">
        <f>C42-C40</f>
        <v>118431</v>
      </c>
      <c r="F41" s="190" t="s">
        <v>190</v>
      </c>
      <c r="G41" s="191">
        <f>C70</f>
        <v>202687</v>
      </c>
      <c r="H41" s="200">
        <f>H40-H42</f>
        <v>143625.49999999997</v>
      </c>
    </row>
    <row r="42" spans="2:8" ht="15" customHeight="1">
      <c r="B42" s="83" t="s">
        <v>22</v>
      </c>
      <c r="C42" s="84">
        <v>187970</v>
      </c>
      <c r="F42" s="201" t="s">
        <v>191</v>
      </c>
      <c r="G42" s="202">
        <f>C82</f>
        <v>8522</v>
      </c>
      <c r="H42" s="203">
        <f>D82</f>
        <v>5113.2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747548</v>
      </c>
      <c r="D46" s="76">
        <f>H29</f>
        <v>-19921.400000000023</v>
      </c>
      <c r="F46" s="253"/>
    </row>
    <row r="47" spans="2:8" ht="15" customHeight="1">
      <c r="B47" s="1" t="str">
        <f>"Equity per share ("&amp;Market_currency&amp;")"</f>
        <v>Equity per share (HKD)</v>
      </c>
      <c r="C47" s="147">
        <f>C46*H1/Common_Shares*Exchange_Rate</f>
        <v>17.247740940174353</v>
      </c>
      <c r="D47" s="147">
        <f>D46*H1/Common_Shares*Exchange_Rate</f>
        <v>-0.4596348948369734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0.75207444874659302</v>
      </c>
      <c r="D50" s="95">
        <f>G31/Normalized_FCF!G8</f>
        <v>0.47663929536624461</v>
      </c>
      <c r="F50" s="253"/>
    </row>
    <row r="51" spans="2:8" ht="15" customHeight="1">
      <c r="B51" s="1" t="s">
        <v>175</v>
      </c>
      <c r="C51" s="181"/>
      <c r="D51" s="92">
        <f>G29/G32</f>
        <v>0.70771698061406008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0.14457710564880843</v>
      </c>
      <c r="D54" s="92">
        <f>Normalized_FCF!G8/G35</f>
        <v>0.22812375750231934</v>
      </c>
      <c r="F54" s="253"/>
    </row>
    <row r="55" spans="2:8" ht="15" customHeight="1">
      <c r="B55" s="1" t="s">
        <v>140</v>
      </c>
      <c r="C55" s="92">
        <f>Normalized_FCF!C11/G40</f>
        <v>0</v>
      </c>
      <c r="D55" s="92">
        <f>Normalized_FCF!G11/G40</f>
        <v>8.692811385878442E-3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0.1156386350778483</v>
      </c>
      <c r="F58" s="5"/>
    </row>
    <row r="59" spans="2:8" ht="15" customHeight="1">
      <c r="B59" s="1" t="s">
        <v>92</v>
      </c>
      <c r="C59" s="98"/>
      <c r="D59" s="92">
        <f>G39/G32</f>
        <v>0.61078917447156578</v>
      </c>
      <c r="F59" s="253"/>
    </row>
    <row r="60" spans="2:8" ht="15" customHeight="1">
      <c r="F60" s="253"/>
    </row>
    <row r="61" spans="2:8" ht="15" customHeight="1">
      <c r="B61" s="157" t="s">
        <v>273</v>
      </c>
      <c r="C61" s="235" t="s">
        <v>136</v>
      </c>
      <c r="D61" s="197" t="s">
        <v>95</v>
      </c>
      <c r="F61" s="253"/>
    </row>
    <row r="62" spans="2:8" ht="15" customHeight="1">
      <c r="B62" s="1" t="s">
        <v>244</v>
      </c>
      <c r="C62" s="92">
        <f>IF(G28&lt;=0,0,G28/G29)</f>
        <v>2.5255903299854993E-3</v>
      </c>
      <c r="D62" s="92">
        <f>G28/G29</f>
        <v>2.5255903299854993E-3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154196</v>
      </c>
      <c r="D66" s="76">
        <f>C66-D75</f>
        <v>100741.35470787497</v>
      </c>
      <c r="F66" s="5" t="s">
        <v>225</v>
      </c>
    </row>
    <row r="67" spans="2:6" ht="15" customHeight="1">
      <c r="B67" s="105" t="s">
        <v>176</v>
      </c>
      <c r="C67" s="20">
        <f>G6+G16</f>
        <v>0</v>
      </c>
      <c r="F67" s="253"/>
    </row>
    <row r="68" spans="2:6" ht="15" customHeight="1">
      <c r="B68" s="105" t="s">
        <v>180</v>
      </c>
      <c r="C68" s="20">
        <f>G18</f>
        <v>48491</v>
      </c>
      <c r="F68" s="253"/>
    </row>
    <row r="69" spans="2:6" ht="15" customHeight="1">
      <c r="B69" s="105" t="s">
        <v>178</v>
      </c>
      <c r="C69" s="20">
        <f>G8+G20</f>
        <v>0</v>
      </c>
      <c r="F69" s="253"/>
    </row>
    <row r="70" spans="2:6" ht="15" customHeight="1">
      <c r="B70" s="80" t="s">
        <v>187</v>
      </c>
      <c r="C70" s="81">
        <f>SUM(C66:C69)</f>
        <v>202687</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-24522.24463146667</v>
      </c>
      <c r="D73" s="349">
        <f>(Normalized_FCF!C25+Normalized_FCF!C35-Normalized_FCF!C91)/12</f>
        <v>-26727.322646062512</v>
      </c>
      <c r="F73" s="1" t="s">
        <v>348</v>
      </c>
    </row>
    <row r="74" spans="2:6" ht="15" customHeight="1">
      <c r="B74" s="257" t="s">
        <v>318</v>
      </c>
      <c r="C74" s="258">
        <f>-$C$66/C73</f>
        <v>6.2880051282963478</v>
      </c>
      <c r="D74" s="258">
        <f>-$C$66/D73</f>
        <v>5.769227319995565</v>
      </c>
      <c r="F74" s="253" t="s">
        <v>316</v>
      </c>
    </row>
    <row r="75" spans="2:6" ht="15" customHeight="1">
      <c r="B75" s="80" t="s">
        <v>317</v>
      </c>
      <c r="C75" s="320"/>
      <c r="D75" s="321">
        <f>MAX(-D73*D76,G5)</f>
        <v>53454.645292125024</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8522</v>
      </c>
      <c r="D79" s="76">
        <f>G7*H7+G17*H17</f>
        <v>5113.2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8522</v>
      </c>
      <c r="D82" s="81">
        <f>SUM(D79:D81)</f>
        <v>5113.2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-100766.13545361</v>
      </c>
      <c r="D86" s="223">
        <f>C86*scaling_factor/Common_Shares</f>
        <v>-2.1200553968036848</v>
      </c>
      <c r="E86" s="240" t="str">
        <f>Market_currency</f>
        <v>HKD</v>
      </c>
    </row>
    <row r="87" spans="2:8" ht="15" customHeight="1">
      <c r="B87" s="238" t="s">
        <v>286</v>
      </c>
      <c r="C87" s="76">
        <f>DCF!C8*Exchange_Rate</f>
        <v>110476.09557689227</v>
      </c>
      <c r="D87" s="223">
        <f>C87*scaling_factor/Common_Shares</f>
        <v>2.324346781696482</v>
      </c>
      <c r="E87" s="240" t="str">
        <f>Market_currency</f>
        <v>HKD</v>
      </c>
    </row>
    <row r="88" spans="2:8" ht="15" customHeight="1">
      <c r="B88" s="239" t="s">
        <v>188</v>
      </c>
      <c r="C88" s="76">
        <f>DCF!C9*Exchange_Rate</f>
        <v>5607.2937825959998</v>
      </c>
      <c r="D88" s="223">
        <f>C88*scaling_factor/Common_Shares</f>
        <v>0.11797389461987659</v>
      </c>
      <c r="E88" s="240" t="str">
        <f>Market_currency</f>
        <v>HKD</v>
      </c>
    </row>
    <row r="89" spans="2:8" ht="15" customHeight="1">
      <c r="B89" s="80" t="s">
        <v>290</v>
      </c>
      <c r="C89" s="180">
        <f>SUM(C86:C88)</f>
        <v>15317.253905878275</v>
      </c>
      <c r="D89" s="242">
        <f>SUM(D86:D88)</f>
        <v>0.32226527951267381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46</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48</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45</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151</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65</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80</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193</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68</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163</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63</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242</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153</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62</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46</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0.6365937510854347</v>
      </c>
      <c r="D28" s="26"/>
      <c r="E28" s="266" t="s">
        <v>330</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330</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-7213</v>
      </c>
      <c r="E33" s="266" t="s">
        <v>330</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49</v>
      </c>
      <c r="C34" s="340">
        <f>G34</f>
        <v>-1711</v>
      </c>
      <c r="D34" s="58"/>
      <c r="E34" s="266" t="s">
        <v>330</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45</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342</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339</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68</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2.9715427118732003E-2</v>
      </c>
      <c r="H53" s="169"/>
      <c r="I53" s="169"/>
      <c r="J53" s="169"/>
      <c r="K53" s="169"/>
      <c r="L53" s="169"/>
      <c r="M53" s="169"/>
      <c r="N53" s="169"/>
      <c r="O53" s="169"/>
      <c r="P53" s="169"/>
      <c r="Q53" s="169"/>
    </row>
    <row r="54" spans="1:17" ht="15.75" customHeight="1">
      <c r="A54" s="10"/>
      <c r="B54" s="8" t="s">
        <v>87</v>
      </c>
      <c r="C54" s="82">
        <f>G54</f>
        <v>3.0548390958459848E-2</v>
      </c>
      <c r="E54" s="265" t="s">
        <v>333</v>
      </c>
      <c r="G54" s="23">
        <f>IFERROR(ABS(Normalized_FCF!G47/BS!$G$31),0)</f>
        <v>3.0548390958459848E-2</v>
      </c>
      <c r="H54" s="169"/>
      <c r="I54" s="169"/>
      <c r="J54" s="169"/>
      <c r="K54" s="169"/>
      <c r="L54" s="169"/>
      <c r="M54" s="169"/>
      <c r="N54" s="169"/>
      <c r="O54" s="169"/>
      <c r="P54" s="169"/>
      <c r="Q54" s="169"/>
    </row>
    <row r="55" spans="1:17" ht="15.75" customHeight="1">
      <c r="A55" s="10"/>
      <c r="B55" s="26" t="s">
        <v>90</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159</v>
      </c>
      <c r="C62" s="343">
        <v>0</v>
      </c>
      <c r="E62" s="266" t="s">
        <v>334</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194</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v>0</v>
      </c>
      <c r="E67" s="268"/>
      <c r="G67" s="23">
        <f>IFERROR(G59/BS!$C$68,0)</f>
        <v>3.7862696170423378E-2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151</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80</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163</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153</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6.9078947368421059E-2</v>
      </c>
      <c r="E94" s="268"/>
      <c r="G94" s="23">
        <f t="shared" ref="G94:Q94" si="39">IF(G$4="","",(G90*(1-dividend_tax_rate))/Market_Price)</f>
        <v>6.9078947368421059E-2</v>
      </c>
      <c r="H94" s="23">
        <f t="shared" si="39"/>
        <v>6.1677631578947373E-2</v>
      </c>
      <c r="I94" s="23">
        <f t="shared" si="39"/>
        <v>7.1546052631578955E-2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163</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209</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30</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389</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83</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91</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221</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2.0743610047877836</v>
      </c>
      <c r="D125" s="27"/>
      <c r="E125" s="265"/>
      <c r="F125" s="27"/>
      <c r="G125" s="177">
        <f t="shared" ref="G125:Q125" si="49">IF(G$4="","",G16*$C$3/Common_Shares*Exchange_Rate)</f>
        <v>3.2614809206056981</v>
      </c>
      <c r="H125" s="177">
        <f t="shared" si="49"/>
        <v>2.8473380698834276</v>
      </c>
      <c r="I125" s="177">
        <f t="shared" si="49"/>
        <v>3.2465908963932719</v>
      </c>
      <c r="J125" s="177">
        <f t="shared" si="49"/>
        <v>1.7542855705721716</v>
      </c>
      <c r="K125" s="177">
        <f t="shared" si="49"/>
        <v>0.64512913043533704</v>
      </c>
      <c r="L125" s="177">
        <f t="shared" si="49"/>
        <v>1.3840276133428722</v>
      </c>
      <c r="M125" s="177">
        <f t="shared" si="49"/>
        <v>1.1729475073940256</v>
      </c>
      <c r="N125" s="177">
        <f t="shared" si="49"/>
        <v>6.9069133117454857</v>
      </c>
      <c r="O125" s="177">
        <f t="shared" si="49"/>
        <v>6.4967318405430756</v>
      </c>
      <c r="P125" s="177">
        <f t="shared" si="49"/>
        <v>6.5434996345653094</v>
      </c>
      <c r="Q125" s="177" t="str">
        <f t="shared" si="49"/>
        <v/>
      </c>
    </row>
    <row r="126" spans="1:17" ht="15.75" customHeight="1">
      <c r="A126" s="10"/>
      <c r="B126" s="27" t="s">
        <v>268</v>
      </c>
      <c r="C126" s="77">
        <f>C19*Exchange_Rate*$C$3/(Market_Price*Common_Shares)</f>
        <v>0.11372593228003203</v>
      </c>
      <c r="D126" s="27"/>
      <c r="E126" s="265"/>
      <c r="F126" s="27"/>
      <c r="G126" s="77">
        <f t="shared" ref="G126" si="50">IF(G$4="","",G125/Market_Price)</f>
        <v>0.17880926099811942</v>
      </c>
      <c r="H126" s="77">
        <f t="shared" ref="H126" si="51">IF(H$4="","",H125/Market_Price)</f>
        <v>0.15610406084887216</v>
      </c>
      <c r="I126" s="77">
        <f t="shared" ref="I126" si="52">IF(I$4="","",I125/Market_Price)</f>
        <v>0.17799292195138552</v>
      </c>
      <c r="J126" s="77">
        <f t="shared" ref="J126" si="53">IF(J$4="","",J125/Market_Price)</f>
        <v>9.6177936983123449E-2</v>
      </c>
      <c r="K126" s="77">
        <f t="shared" ref="K126" si="54">IF(K$4="","",K125/Market_Price)</f>
        <v>3.5368921624744358E-2</v>
      </c>
      <c r="L126" s="77">
        <f t="shared" ref="L126" si="55">IF(L$4="","",L125/Market_Price)</f>
        <v>7.5878706871867999E-2</v>
      </c>
      <c r="M126" s="77">
        <f t="shared" ref="M126" si="56">IF(M$4="","",M125/Market_Price)</f>
        <v>6.4306332642216329E-2</v>
      </c>
      <c r="N126" s="77">
        <f t="shared" ref="N126" si="57">IF(N$4="","",N125/Market_Price)</f>
        <v>0.37866849296850252</v>
      </c>
      <c r="O126" s="77">
        <f t="shared" ref="O126" si="58">IF(O$4="","",O125/Market_Price)</f>
        <v>0.35618047371398442</v>
      </c>
      <c r="P126" s="77">
        <f t="shared" ref="P126" si="59">IF(P$4="","",P125/Market_Price)</f>
        <v>0.35874449750906306</v>
      </c>
      <c r="Q126" s="77" t="str">
        <f t="shared" ref="Q126" si="60">IF(Q$4="","",Q125/Market_Price)</f>
        <v/>
      </c>
    </row>
    <row r="127" spans="1:17" ht="15.75" customHeight="1">
      <c r="B127" s="2" t="s">
        <v>391</v>
      </c>
      <c r="C127" s="169"/>
      <c r="G127" s="23">
        <f>IF(G$4="","",(Data!C47*$C$3)/(Market_Price*Common_Shares))</f>
        <v>0.15915863571265998</v>
      </c>
      <c r="H127" s="23">
        <f>IF(H$4="","",(Data!D47*$C$3)/(Market_Price*Common_Shares))</f>
        <v>0.14313457628954485</v>
      </c>
      <c r="I127" s="23">
        <f>IF(I$4="","",(Data!E47*$C$3)/(Market_Price*Common_Shares))</f>
        <v>0.16342072177430772</v>
      </c>
      <c r="J127" s="23">
        <f>IF(J$4="","",(Data!F47*$C$3)/(Market_Price*Common_Shares))</f>
        <v>8.1097289509138762E-2</v>
      </c>
      <c r="K127" s="23">
        <f>IF(K$4="","",(Data!G47*$C$3)/(Market_Price*Common_Shares))</f>
        <v>2.8785711010732594E-2</v>
      </c>
      <c r="L127" s="23">
        <f>IF(L$4="","",(Data!H47*$C$3)/(Market_Price*Common_Shares))</f>
        <v>7.0414343688982042E-2</v>
      </c>
      <c r="M127" s="23">
        <f>IF(M$4="","",(Data!I47*$C$3)/(Market_Price*Common_Shares))</f>
        <v>6.0759654448982098E-2</v>
      </c>
      <c r="N127" s="23">
        <f>IF(N$4="","",(Data!J47*$C$3)/(Market_Price*Common_Shares))</f>
        <v>8.1082294348434725E-2</v>
      </c>
      <c r="O127" s="23">
        <f>IF(O$4="","",(Data!K47*$C$3)/(Market_Price*Common_Shares))</f>
        <v>6.8251050681379391E-2</v>
      </c>
      <c r="P127" s="23">
        <f>IF(P$4="","",(Data!L47*$C$3)/(Market_Price*Common_Shares))</f>
        <v>4.9998479682864139E-2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89906.523166472296</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1198753.6422196308</v>
      </c>
      <c r="D6" t="str">
        <f>Reporting_currency</f>
        <v>CNY</v>
      </c>
      <c r="E6" s="366" t="s">
        <v>248</v>
      </c>
      <c r="F6" s="366"/>
      <c r="H6" s="120"/>
    </row>
    <row r="7" spans="2:8">
      <c r="B7" s="148" t="s">
        <v>223</v>
      </c>
      <c r="C7" s="338">
        <f>BS!G31</f>
        <v>91887</v>
      </c>
      <c r="D7" t="str">
        <f>Reporting_currency</f>
        <v>CNY</v>
      </c>
      <c r="E7" s="366"/>
      <c r="F7" s="366"/>
      <c r="H7" s="120"/>
    </row>
    <row r="8" spans="2:8">
      <c r="B8" s="148" t="s">
        <v>224</v>
      </c>
      <c r="C8" s="338">
        <f>BS!D66</f>
        <v>100741.35470787497</v>
      </c>
      <c r="D8" t="str">
        <f>Reporting_currency</f>
        <v>CNY</v>
      </c>
      <c r="E8" s="366"/>
      <c r="F8" s="366"/>
      <c r="H8" s="120"/>
    </row>
    <row r="9" spans="2:8">
      <c r="B9" s="205" t="s">
        <v>189</v>
      </c>
      <c r="C9" s="348">
        <f>BS!H42</f>
        <v>5113.2</v>
      </c>
      <c r="D9" t="str">
        <f>Reporting_currency</f>
        <v>CNY</v>
      </c>
      <c r="E9" s="366"/>
      <c r="F9" s="366"/>
      <c r="H9" s="120"/>
    </row>
    <row r="10" spans="2:8" ht="13.15">
      <c r="B10" s="149" t="s">
        <v>226</v>
      </c>
      <c r="C10" s="347">
        <f>C6-C7+C8+C9</f>
        <v>1212721.1969275058</v>
      </c>
      <c r="D10" t="str">
        <f>Reporting_currency</f>
        <v>CNY</v>
      </c>
      <c r="H10" s="120"/>
    </row>
    <row r="11" spans="2:8" ht="13.15" thickBot="1">
      <c r="B11" s="207" t="s">
        <v>165</v>
      </c>
      <c r="C11" s="208">
        <f>Exchange_Rate</f>
        <v>1.09663103</v>
      </c>
      <c r="D11" t="str">
        <f>Thesis!C15</f>
        <v>CNY/HKD</v>
      </c>
      <c r="H11" s="120"/>
    </row>
    <row r="12" spans="2:8" ht="13.5" thickTop="1">
      <c r="B12" s="149" t="s">
        <v>102</v>
      </c>
      <c r="C12" s="111">
        <f>(C10*scaling_factor)/Common_Shares*Exchange_Rate</f>
        <v>27.980412010016462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1.98435191985455E-2</v>
      </c>
      <c r="H16" s="120"/>
    </row>
    <row r="17" spans="2:17" ht="13.35" customHeight="1">
      <c r="B17" s="118" t="s">
        <v>133</v>
      </c>
      <c r="C17" s="162">
        <f>Scenarios!C64</f>
        <v>10</v>
      </c>
      <c r="H17" s="120"/>
    </row>
    <row r="18" spans="2:17" ht="13.35" customHeight="1">
      <c r="B18" s="153" t="s">
        <v>106</v>
      </c>
      <c r="C18" s="140">
        <f>(F52-C7+C8+C9)*Exchange_Rate/Common_Shares*scaling_factor</f>
        <v>29.712860915960494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1222541.1331333423</v>
      </c>
      <c r="D51" s="139">
        <f>Terminal_Growth</f>
        <v>0</v>
      </c>
      <c r="E51" s="124">
        <f>1/(1+Equity_Cost)^C17</f>
        <v>0.48519392830146441</v>
      </c>
      <c r="F51" s="125">
        <f t="shared" si="1"/>
        <v>593169.53489508992</v>
      </c>
      <c r="H51" s="120"/>
    </row>
    <row r="52" spans="1:17">
      <c r="C52" s="114"/>
      <c r="E52" s="127" t="s">
        <v>100</v>
      </c>
      <c r="F52" s="137">
        <f>SUM(F21:F51)</f>
        <v>1273841.0823216592</v>
      </c>
      <c r="H52" s="120"/>
    </row>
    <row r="53" spans="1:17">
      <c r="C53" s="114"/>
      <c r="H53" s="120"/>
    </row>
    <row r="54" spans="1:17" ht="13.15">
      <c r="B54" s="119" t="s">
        <v>128</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27.980412010016462</v>
      </c>
      <c r="C65" s="124">
        <f>C12</f>
        <v>27.980412010016462</v>
      </c>
      <c r="D65" s="124">
        <f>C12</f>
        <v>27.980412010016462</v>
      </c>
      <c r="E65" s="141">
        <f>C12</f>
        <v>27.980412010016462</v>
      </c>
      <c r="F65" s="124">
        <f>C12</f>
        <v>27.980412010016462</v>
      </c>
      <c r="H65" s="120"/>
    </row>
    <row r="66" spans="1:8" ht="13.15">
      <c r="A66" s="143">
        <f t="shared" ref="A66:A71" si="3">A56</f>
        <v>5</v>
      </c>
      <c r="B66" s="124">
        <f t="shared" ref="B66:F71" si="4">(B56-$C$7+$C$8+$C$9)/Common_Shares*$C$3*Exchange_Rate</f>
        <v>22.112438963906794</v>
      </c>
      <c r="C66" s="124">
        <f t="shared" si="4"/>
        <v>27.551124877053947</v>
      </c>
      <c r="D66" s="124">
        <f t="shared" si="4"/>
        <v>28.415813955543086</v>
      </c>
      <c r="E66" s="124">
        <f t="shared" si="4"/>
        <v>28.857465763610556</v>
      </c>
      <c r="F66" s="124">
        <f t="shared" si="4"/>
        <v>30.689347325770186</v>
      </c>
      <c r="H66" s="120"/>
    </row>
    <row r="67" spans="1:8" ht="13.15">
      <c r="A67" s="143">
        <f t="shared" si="3"/>
        <v>10</v>
      </c>
      <c r="B67" s="124">
        <f t="shared" si="4"/>
        <v>18.816812481322813</v>
      </c>
      <c r="C67" s="124">
        <f t="shared" si="4"/>
        <v>27.166324628197369</v>
      </c>
      <c r="D67" s="124">
        <f t="shared" si="4"/>
        <v>28.833269392428054</v>
      </c>
      <c r="E67" s="124">
        <f t="shared" si="4"/>
        <v>29.727177101494117</v>
      </c>
      <c r="F67" s="124">
        <f t="shared" si="4"/>
        <v>33.763478552219205</v>
      </c>
      <c r="H67" s="120"/>
    </row>
    <row r="68" spans="1:8" ht="13.15">
      <c r="A68" s="143">
        <f t="shared" si="3"/>
        <v>15</v>
      </c>
      <c r="B68" s="124">
        <f t="shared" si="4"/>
        <v>15.872772521506029</v>
      </c>
      <c r="C68" s="124">
        <f t="shared" si="4"/>
        <v>26.713849809202074</v>
      </c>
      <c r="D68" s="124">
        <f t="shared" si="4"/>
        <v>29.348677081294031</v>
      </c>
      <c r="E68" s="124">
        <f t="shared" si="4"/>
        <v>30.828333504018065</v>
      </c>
      <c r="F68" s="124">
        <f t="shared" si="4"/>
        <v>38.08894605117549</v>
      </c>
      <c r="H68" s="120"/>
    </row>
    <row r="69" spans="1:8" ht="13.15">
      <c r="A69" s="144">
        <f t="shared" si="3"/>
        <v>20</v>
      </c>
      <c r="B69" s="124">
        <f t="shared" si="4"/>
        <v>13.621663928536108</v>
      </c>
      <c r="C69" s="124">
        <f t="shared" si="4"/>
        <v>26.27649850202608</v>
      </c>
      <c r="D69" s="124">
        <f t="shared" si="4"/>
        <v>29.87213486659552</v>
      </c>
      <c r="E69" s="124">
        <f t="shared" si="4"/>
        <v>31.976307018509402</v>
      </c>
      <c r="F69" s="124">
        <f t="shared" si="4"/>
        <v>43.137853356715922</v>
      </c>
      <c r="H69" s="120"/>
    </row>
    <row r="70" spans="1:8" ht="13.15">
      <c r="A70" s="144">
        <f t="shared" si="3"/>
        <v>25</v>
      </c>
      <c r="B70" s="124">
        <f t="shared" si="4"/>
        <v>11.99169407230243</v>
      </c>
      <c r="C70" s="124">
        <f t="shared" si="4"/>
        <v>25.890925763808472</v>
      </c>
      <c r="D70" s="124">
        <f t="shared" si="4"/>
        <v>30.357143278852469</v>
      </c>
      <c r="E70" s="124">
        <f t="shared" si="4"/>
        <v>33.068912853905928</v>
      </c>
      <c r="F70" s="124">
        <f t="shared" si="4"/>
        <v>48.55254388884336</v>
      </c>
    </row>
    <row r="71" spans="1:8" ht="13.15">
      <c r="A71" s="144">
        <f t="shared" si="3"/>
        <v>30</v>
      </c>
      <c r="B71" s="124">
        <f t="shared" si="4"/>
        <v>10.837180676325705</v>
      </c>
      <c r="C71" s="124">
        <f t="shared" si="4"/>
        <v>25.56874080230239</v>
      </c>
      <c r="D71" s="124">
        <f t="shared" si="4"/>
        <v>30.783115946241594</v>
      </c>
      <c r="E71" s="124">
        <f t="shared" si="4"/>
        <v>34.055291339200387</v>
      </c>
      <c r="F71" s="124">
        <f t="shared" si="4"/>
        <v>54.093260974030372</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38.08894605117549</v>
      </c>
      <c r="F74" s="142">
        <f>Scenarios!C58</f>
        <v>0.05</v>
      </c>
    </row>
    <row r="75" spans="1:8">
      <c r="B75" s="127" t="str">
        <f>Scenarios!B36</f>
        <v>Optimistic</v>
      </c>
      <c r="C75" s="142">
        <f>Scenarios!C38</f>
        <v>0.02</v>
      </c>
      <c r="D75" s="145">
        <f>Scenarios!C37</f>
        <v>10</v>
      </c>
      <c r="E75" s="135">
        <f>INDEX(B$65:F$71, MATCH(D75, A$65:A$71, 0), MATCH(C75, B$64:F$64, 0))</f>
        <v>29.727177101494117</v>
      </c>
      <c r="F75" s="142">
        <f>Scenarios!C40*(1-F$74-F$78)</f>
        <v>0.18</v>
      </c>
      <c r="H75" s="120"/>
    </row>
    <row r="76" spans="1:8">
      <c r="B76" s="127" t="str">
        <f>Scenarios!B24</f>
        <v>Base</v>
      </c>
      <c r="C76" s="142">
        <f>Scenarios!C26</f>
        <v>0.01</v>
      </c>
      <c r="D76" s="145">
        <f>Scenarios!C25</f>
        <v>10</v>
      </c>
      <c r="E76" s="135">
        <f>INDEX(B$65:F$71, MATCH(D76, A$65:A$71, 0), MATCH(C76, B$64:F$64, 0))</f>
        <v>28.833269392428054</v>
      </c>
      <c r="F76" s="142">
        <f>Scenarios!C28*(1-F$74-F$78)</f>
        <v>0.53999999999999992</v>
      </c>
      <c r="H76" s="120"/>
    </row>
    <row r="77" spans="1:8">
      <c r="B77" s="127" t="str">
        <f>Scenarios!B30</f>
        <v>Pessimistic</v>
      </c>
      <c r="C77" s="142">
        <f>Scenarios!C32</f>
        <v>-0.01</v>
      </c>
      <c r="D77" s="145">
        <f>Scenarios!C31</f>
        <v>10</v>
      </c>
      <c r="E77" s="135">
        <f>INDEX(B$65:F$71, MATCH(D77, A$65:A$71, 0), MATCH(C77, B$64:F$64, 0))</f>
        <v>27.166324628197369</v>
      </c>
      <c r="F77" s="142">
        <f>Scenarios!C34*(1-F$74-F$78)</f>
        <v>0.18</v>
      </c>
      <c r="H77" s="120"/>
    </row>
    <row r="78" spans="1:8">
      <c r="B78" s="127" t="str">
        <f>Scenarios!B48</f>
        <v>Devil's advocate</v>
      </c>
      <c r="C78" s="142">
        <f>Scenarios!C50</f>
        <v>-0.15</v>
      </c>
      <c r="D78" s="145">
        <f>Scenarios!C49</f>
        <v>15</v>
      </c>
      <c r="E78" s="135">
        <f>INDEX(B$65:F$71, MATCH(D78, A$65:A$71, 0), MATCH(C78, B$64:F$64, 0))</f>
        <v>15.872772521506029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59887.74201984</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798503.22693120001</v>
      </c>
      <c r="D6" t="str">
        <f>Reporting_currency</f>
        <v>CNY</v>
      </c>
      <c r="E6" s="366"/>
      <c r="F6" s="366"/>
      <c r="H6" s="120"/>
    </row>
    <row r="7" spans="2:8" ht="13.15">
      <c r="B7" s="149" t="s">
        <v>441</v>
      </c>
      <c r="C7" s="111">
        <f>(C6*scaling_factor)/Common_Shares*Exchange_Rate</f>
        <v>18.423401303999999</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1.98435191985455E-2</v>
      </c>
      <c r="H11" s="120"/>
    </row>
    <row r="12" spans="2:8" ht="13.35" customHeight="1">
      <c r="B12" s="118" t="s">
        <v>133</v>
      </c>
      <c r="C12" s="162">
        <f>Scenarios!C64</f>
        <v>10</v>
      </c>
      <c r="H12" s="120"/>
    </row>
    <row r="13" spans="2:8" ht="13.35" customHeight="1">
      <c r="B13" s="153" t="s">
        <v>106</v>
      </c>
      <c r="C13" s="140">
        <f>F47/Common_Shares*scaling_factor</f>
        <v>17.852317131131564</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814348.34104490979</v>
      </c>
      <c r="D46" s="139">
        <f>Terminal_Growth</f>
        <v>0</v>
      </c>
      <c r="E46" s="124">
        <f>1/(1+Equity_Cost)^C12</f>
        <v>0.48519392830146441</v>
      </c>
      <c r="F46" s="125">
        <f t="shared" si="1"/>
        <v>395116.87059736042</v>
      </c>
      <c r="H46" s="120"/>
    </row>
    <row r="47" spans="2:8">
      <c r="C47" s="114"/>
      <c r="E47" s="127" t="s">
        <v>100</v>
      </c>
      <c r="F47" s="137">
        <f>SUM(F16:F46)</f>
        <v>848519.81175045809</v>
      </c>
      <c r="H47" s="120"/>
    </row>
    <row r="48" spans="2:8">
      <c r="C48" s="114"/>
      <c r="H48" s="120"/>
    </row>
    <row r="49" spans="1:8" ht="13.15">
      <c r="B49" s="119" t="s">
        <v>128</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18.423401303999999</v>
      </c>
      <c r="C60" s="124">
        <f>C7</f>
        <v>18.423401303999999</v>
      </c>
      <c r="D60" s="124">
        <f>C7</f>
        <v>18.423401303999999</v>
      </c>
      <c r="E60" s="141">
        <f>C7</f>
        <v>18.423401303999999</v>
      </c>
      <c r="F60" s="124">
        <f>C7</f>
        <v>18.423401303999999</v>
      </c>
      <c r="H60" s="120"/>
    </row>
    <row r="61" spans="1:8" ht="13.15">
      <c r="A61" s="143">
        <f t="shared" ref="A61:A66" si="3">A51</f>
        <v>5</v>
      </c>
      <c r="B61" s="124">
        <f t="shared" ref="B61:F66" si="4">B51/Common_Shares*$C$3*Exchange_Rate</f>
        <v>14.514678737628524</v>
      </c>
      <c r="C61" s="124">
        <f t="shared" si="4"/>
        <v>18.137448336786573</v>
      </c>
      <c r="D61" s="124">
        <f t="shared" si="4"/>
        <v>18.713427416347308</v>
      </c>
      <c r="E61" s="124">
        <f t="shared" si="4"/>
        <v>19.007616632130528</v>
      </c>
      <c r="F61" s="124">
        <f t="shared" si="4"/>
        <v>20.227853457465006</v>
      </c>
      <c r="H61" s="120"/>
    </row>
    <row r="62" spans="1:8" ht="13.15">
      <c r="A62" s="143">
        <f t="shared" si="3"/>
        <v>10</v>
      </c>
      <c r="B62" s="124">
        <f t="shared" si="4"/>
        <v>12.319425027090817</v>
      </c>
      <c r="C62" s="124">
        <f t="shared" si="4"/>
        <v>17.881128581322077</v>
      </c>
      <c r="D62" s="124">
        <f t="shared" si="4"/>
        <v>18.991499158290381</v>
      </c>
      <c r="E62" s="124">
        <f t="shared" si="4"/>
        <v>19.586941094922384</v>
      </c>
      <c r="F62" s="124">
        <f t="shared" si="4"/>
        <v>22.275566697179837</v>
      </c>
      <c r="H62" s="120"/>
    </row>
    <row r="63" spans="1:8" ht="13.15">
      <c r="A63" s="143">
        <f t="shared" si="3"/>
        <v>15</v>
      </c>
      <c r="B63" s="124">
        <f t="shared" si="4"/>
        <v>10.358367037081065</v>
      </c>
      <c r="C63" s="124">
        <f t="shared" si="4"/>
        <v>17.579730036743843</v>
      </c>
      <c r="D63" s="124">
        <f t="shared" si="4"/>
        <v>19.33481799232754</v>
      </c>
      <c r="E63" s="124">
        <f t="shared" si="4"/>
        <v>20.32043370741885</v>
      </c>
      <c r="F63" s="124">
        <f t="shared" si="4"/>
        <v>25.156809042777493</v>
      </c>
      <c r="H63" s="120"/>
    </row>
    <row r="64" spans="1:8" ht="13.15">
      <c r="A64" s="144">
        <f t="shared" si="3"/>
        <v>20</v>
      </c>
      <c r="B64" s="124">
        <f t="shared" si="4"/>
        <v>8.8588783912482789</v>
      </c>
      <c r="C64" s="124">
        <f t="shared" si="4"/>
        <v>17.288405432769352</v>
      </c>
      <c r="D64" s="124">
        <f t="shared" si="4"/>
        <v>19.683499085760168</v>
      </c>
      <c r="E64" s="124">
        <f t="shared" si="4"/>
        <v>21.085111722540947</v>
      </c>
      <c r="F64" s="124">
        <f t="shared" si="4"/>
        <v>28.51994274595075</v>
      </c>
      <c r="H64" s="120"/>
    </row>
    <row r="65" spans="1:8" ht="13.15">
      <c r="A65" s="144">
        <f t="shared" si="3"/>
        <v>25</v>
      </c>
      <c r="B65" s="124">
        <f t="shared" si="4"/>
        <v>7.7731372146098199</v>
      </c>
      <c r="C65" s="124">
        <f t="shared" si="4"/>
        <v>17.031571113489715</v>
      </c>
      <c r="D65" s="124">
        <f t="shared" si="4"/>
        <v>20.006568621181028</v>
      </c>
      <c r="E65" s="124">
        <f t="shared" si="4"/>
        <v>21.812908706508843</v>
      </c>
      <c r="F65" s="124">
        <f t="shared" si="4"/>
        <v>32.126728753067141</v>
      </c>
    </row>
    <row r="66" spans="1:8" ht="13.15">
      <c r="A66" s="144">
        <f t="shared" si="3"/>
        <v>30</v>
      </c>
      <c r="B66" s="124">
        <f t="shared" si="4"/>
        <v>7.0041029111846882</v>
      </c>
      <c r="C66" s="124">
        <f t="shared" si="4"/>
        <v>16.816960102210579</v>
      </c>
      <c r="D66" s="124">
        <f t="shared" si="4"/>
        <v>20.290313785754542</v>
      </c>
      <c r="E66" s="124">
        <f t="shared" si="4"/>
        <v>22.469946462844465</v>
      </c>
      <c r="F66" s="124">
        <f t="shared" si="4"/>
        <v>35.817462458653722</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25.156809042777493</v>
      </c>
      <c r="F69" s="142">
        <f>Scenarios!C58</f>
        <v>0.05</v>
      </c>
    </row>
    <row r="70" spans="1:8">
      <c r="B70" s="127" t="str">
        <f>Scenarios!B36</f>
        <v>Optimistic</v>
      </c>
      <c r="C70" s="142">
        <f>Scenarios!C38</f>
        <v>0.02</v>
      </c>
      <c r="D70" s="145">
        <f>Scenarios!C37</f>
        <v>10</v>
      </c>
      <c r="E70" s="135">
        <f>INDEX(B$60:F$66, MATCH(D70, A$60:A$66, 0), MATCH(C70, B$59:F$59, 0))</f>
        <v>19.586941094922384</v>
      </c>
      <c r="F70" s="142">
        <f>Scenarios!C40*(1-F$69-F$73)</f>
        <v>0.18</v>
      </c>
      <c r="H70" s="120"/>
    </row>
    <row r="71" spans="1:8">
      <c r="B71" s="127" t="str">
        <f>Scenarios!B24</f>
        <v>Base</v>
      </c>
      <c r="C71" s="142">
        <f>Scenarios!C26</f>
        <v>0.01</v>
      </c>
      <c r="D71" s="145">
        <f>Scenarios!C25</f>
        <v>10</v>
      </c>
      <c r="E71" s="135">
        <f>INDEX(B$60:F$66, MATCH(D71, A$60:A$66, 0), MATCH(C71, B$59:F$59, 0))</f>
        <v>18.991499158290381</v>
      </c>
      <c r="F71" s="142">
        <f>Scenarios!C28*(1-F$69-F$73)</f>
        <v>0.53999999999999992</v>
      </c>
      <c r="H71" s="120"/>
    </row>
    <row r="72" spans="1:8">
      <c r="B72" s="127" t="str">
        <f>Scenarios!B30</f>
        <v>Pessimistic</v>
      </c>
      <c r="C72" s="142">
        <f>Scenarios!C32</f>
        <v>-0.01</v>
      </c>
      <c r="D72" s="145">
        <f>Scenarios!C31</f>
        <v>10</v>
      </c>
      <c r="E72" s="135">
        <f>INDEX(B$60:F$66, MATCH(D72, A$60:A$66, 0), MATCH(C72, B$59:F$59, 0))</f>
        <v>17.881128581322077</v>
      </c>
      <c r="F72" s="142">
        <f>Scenarios!C34*(1-F$69-F$73)</f>
        <v>0.18</v>
      </c>
      <c r="H72" s="120"/>
    </row>
    <row r="73" spans="1:8">
      <c r="B73" s="127" t="str">
        <f>Scenarios!B48</f>
        <v>Devil's advocate</v>
      </c>
      <c r="C73" s="142">
        <f>Scenarios!C50</f>
        <v>-0.15</v>
      </c>
      <c r="D73" s="145">
        <f>Scenarios!C49</f>
        <v>15</v>
      </c>
      <c r="E73" s="135">
        <f>INDEX(B$60:F$66, MATCH(D73, A$60:A$66, 0), MATCH(C73, B$59:F$59, 0))</f>
        <v>10.358367037081065</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-18.239999999999998</v>
      </c>
    </row>
    <row r="4" spans="2:9">
      <c r="B4" s="152" t="s">
        <v>145</v>
      </c>
      <c r="C4" s="120">
        <v>3</v>
      </c>
      <c r="D4" s="120"/>
      <c r="E4" s="155" t="s">
        <v>149</v>
      </c>
      <c r="F4" s="155"/>
      <c r="H4" s="247">
        <v>1</v>
      </c>
      <c r="I4" s="124">
        <f t="shared" ref="I4:I13" si="0">IF(ROW()-3 &lt; $C$76, $C$77, IF(ROW()-3 = $C$76, $C$77 + $C$60, ""))</f>
        <v>1.26</v>
      </c>
    </row>
    <row r="5" spans="2:9">
      <c r="H5" s="247">
        <v>2</v>
      </c>
      <c r="I5" s="124">
        <f t="shared" si="0"/>
        <v>1.26</v>
      </c>
    </row>
    <row r="6" spans="2:9" ht="13.15">
      <c r="B6" s="159" t="s">
        <v>95</v>
      </c>
      <c r="C6" s="107">
        <f>DCF!C3</f>
        <v>1000000</v>
      </c>
      <c r="E6" s="100" t="s">
        <v>278</v>
      </c>
      <c r="F6" s="100"/>
      <c r="H6" s="247">
        <v>3</v>
      </c>
      <c r="I6" s="124">
        <f t="shared" si="0"/>
        <v>29.768881711889691</v>
      </c>
    </row>
    <row r="7" spans="2:9" ht="12.75" customHeight="1">
      <c r="B7" s="100" t="s">
        <v>274</v>
      </c>
      <c r="C7" s="338">
        <f>Normalized_FCF!G8</f>
        <v>192781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8"/>
      <c r="H7" s="247">
        <v>4</v>
      </c>
      <c r="I7" s="124" t="str">
        <f t="shared" si="0"/>
        <v/>
      </c>
    </row>
    <row r="8" spans="2:9">
      <c r="B8" s="100" t="s">
        <v>66</v>
      </c>
      <c r="C8" s="338">
        <f>Normalized_FCF!G19</f>
        <v>141358.4276163358</v>
      </c>
      <c r="D8" t="str">
        <f>Reporting_currency</f>
        <v>CNY</v>
      </c>
      <c r="E8" s="368"/>
      <c r="F8" s="368"/>
      <c r="H8" s="247">
        <v>5</v>
      </c>
      <c r="I8" s="124" t="str">
        <f t="shared" si="0"/>
        <v/>
      </c>
    </row>
    <row r="9" spans="2:9">
      <c r="B9" s="100" t="s">
        <v>57</v>
      </c>
      <c r="C9" s="338">
        <f>Normalized_FCF!C19</f>
        <v>89906.523166472296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0.19549305441006948</v>
      </c>
      <c r="D12" s="158"/>
      <c r="E12" s="368"/>
      <c r="F12" s="368"/>
      <c r="H12" s="247">
        <v>9</v>
      </c>
      <c r="I12" s="124" t="str">
        <f t="shared" si="0"/>
        <v/>
      </c>
    </row>
    <row r="13" spans="2:9">
      <c r="B13" s="148" t="s">
        <v>151</v>
      </c>
      <c r="C13" s="158">
        <f ca="1">(Normalized_FCF!G8/OFFSET(Normalized_FCF!G8, 0, $C$4))^(1/$C$4) - 1</f>
        <v>0.22866289579809873</v>
      </c>
      <c r="E13" s="368"/>
      <c r="F13" s="368"/>
      <c r="H13" s="247">
        <v>10</v>
      </c>
      <c r="I13" s="124" t="str">
        <f t="shared" si="0"/>
        <v/>
      </c>
    </row>
    <row r="14" spans="2:9">
      <c r="B14" s="100" t="s">
        <v>66</v>
      </c>
      <c r="C14" s="158">
        <f ca="1">(Normalized_FCF!G19/OFFSET(Normalized_FCF!G19, 0, $C$4))^(1/$C$4) - 1</f>
        <v>0.22962169479662209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18.239999999999998</v>
      </c>
      <c r="D21" t="str">
        <f>Market_currency</f>
        <v>HKD</v>
      </c>
      <c r="E21" s="369"/>
      <c r="F21" s="369"/>
    </row>
    <row r="22" spans="2:6">
      <c r="B22" s="100" t="s">
        <v>277</v>
      </c>
      <c r="C22" s="160">
        <f>IF(valuation_method="DCF",DCF!C12,DDM!C7)</f>
        <v>27.980412010016462</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0.01</v>
      </c>
      <c r="D26" s="164"/>
      <c r="E26" s="367"/>
      <c r="F26" s="367"/>
    </row>
    <row r="27" spans="2:6">
      <c r="B27" s="100" t="s">
        <v>112</v>
      </c>
      <c r="C27" s="160">
        <f>IF(valuation_method="DCF",DCF!E76,DDM!E71)</f>
        <v>28.833269392428054</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27.166324628197369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29.727177101494117</v>
      </c>
      <c r="D39" t="str">
        <f>Market_currency</f>
        <v>HKD</v>
      </c>
      <c r="E39" s="367"/>
      <c r="F39" s="367"/>
    </row>
    <row r="40" spans="2:6">
      <c r="B40" s="100" t="s">
        <v>146</v>
      </c>
      <c r="C40" s="167">
        <f>1-C28-C34</f>
        <v>0.2</v>
      </c>
      <c r="D40" s="165"/>
      <c r="E40" s="367"/>
      <c r="F40" s="367"/>
    </row>
    <row r="42" spans="2:6" ht="13.15">
      <c r="B42" s="100" t="s">
        <v>119</v>
      </c>
      <c r="C42" s="154">
        <f>C27*C28+C33*C34+C39*C40</f>
        <v>28.67866198139513</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15.872772521506029</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38.08894605117549</v>
      </c>
      <c r="D57" t="str">
        <f>Market_currency</f>
        <v>HKD</v>
      </c>
      <c r="E57" s="367"/>
      <c r="F57" s="367"/>
    </row>
    <row r="58" spans="2:6">
      <c r="B58" s="100" t="s">
        <v>146</v>
      </c>
      <c r="C58" s="165">
        <v>0.05</v>
      </c>
      <c r="D58" s="165"/>
      <c r="E58" s="367"/>
      <c r="F58" s="367"/>
    </row>
    <row r="60" spans="2:6" ht="13.15">
      <c r="B60" s="100" t="s">
        <v>119</v>
      </c>
      <c r="C60" s="154">
        <f>C51*C52+C57*C58+C42*(1-C52-C58)</f>
        <v>28.508881711889689</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1.98435191985455E-2</v>
      </c>
      <c r="D65" s="151"/>
      <c r="E65" s="251" t="s">
        <v>309</v>
      </c>
    </row>
    <row r="66" spans="2:6">
      <c r="B66" s="100" t="s">
        <v>102</v>
      </c>
      <c r="C66" s="160">
        <f>IF(valuation_method="DCF",DCF!C18,DDM!C13)</f>
        <v>29.712860915960494</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1.1304030890074247E-2</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1.26</v>
      </c>
      <c r="D77" t="str">
        <f>Market_currency</f>
        <v>HKD</v>
      </c>
    </row>
    <row r="79" spans="2:6" ht="13.15">
      <c r="B79" s="109" t="s">
        <v>300</v>
      </c>
    </row>
    <row r="80" spans="2:6">
      <c r="B80" s="148" t="s">
        <v>298</v>
      </c>
      <c r="C80" s="167">
        <f>Thesis!F29</f>
        <v>0.3674</v>
      </c>
    </row>
    <row r="81" spans="2:8">
      <c r="B81" s="100" t="s">
        <v>120</v>
      </c>
      <c r="C81" s="116">
        <f>PV(C80, C76, -C77, 0)</f>
        <v>2.0881467423997222</v>
      </c>
      <c r="D81" s="116"/>
      <c r="E81" s="100"/>
      <c r="F81" s="100"/>
    </row>
    <row r="82" spans="2:8">
      <c r="B82" s="100" t="s">
        <v>121</v>
      </c>
      <c r="C82" s="116">
        <f>C60/(1+C80)^C76</f>
        <v>11.150477234005264</v>
      </c>
      <c r="D82" s="116"/>
    </row>
    <row r="83" spans="2:8" ht="13.15">
      <c r="B83" s="110" t="s">
        <v>101</v>
      </c>
      <c r="C83" s="111">
        <f>C81+C82</f>
        <v>13.238623976404986</v>
      </c>
      <c r="D83" t="str">
        <f>Market_currency</f>
        <v>HKD</v>
      </c>
      <c r="E83" s="146" t="s">
        <v>125</v>
      </c>
      <c r="F83" s="291">
        <f>(1-C83/C60)</f>
        <v>0.53563159333311239</v>
      </c>
    </row>
    <row r="84" spans="2:8">
      <c r="E84" s="120"/>
    </row>
    <row r="85" spans="2:8" ht="13.15">
      <c r="B85" s="109" t="s">
        <v>301</v>
      </c>
    </row>
    <row r="86" spans="2:8">
      <c r="B86" s="148" t="s">
        <v>299</v>
      </c>
      <c r="C86" s="116">
        <f>Market_Price</f>
        <v>18.239999999999998</v>
      </c>
      <c r="D86" t="str">
        <f>Market_currency</f>
        <v>HKD</v>
      </c>
    </row>
    <row r="87" spans="2:8" ht="13.15">
      <c r="B87" s="100" t="s">
        <v>297</v>
      </c>
      <c r="C87" s="237">
        <f ca="1">IRR(OFFSET($I$3, 0, 0, $C$76 + 1, 1))</f>
        <v>0.22078274399263664</v>
      </c>
    </row>
    <row r="88" spans="2:8">
      <c r="B88" s="100"/>
    </row>
    <row r="89" spans="2:8" ht="13.15">
      <c r="B89" s="109" t="s">
        <v>409</v>
      </c>
    </row>
    <row r="90" spans="2:8">
      <c r="B90" s="148" t="s">
        <v>410</v>
      </c>
      <c r="C90" s="167">
        <f>Thesis!F30</f>
        <v>0.21740000000000001</v>
      </c>
    </row>
    <row r="91" spans="2:8">
      <c r="B91" s="100" t="s">
        <v>120</v>
      </c>
      <c r="C91" s="116">
        <f>PV(C90, C76, -C77, 0)</f>
        <v>2.5835050380698203</v>
      </c>
      <c r="D91" s="116"/>
      <c r="E91" s="100"/>
      <c r="F91" s="100"/>
    </row>
    <row r="92" spans="2:8">
      <c r="B92" s="100" t="s">
        <v>121</v>
      </c>
      <c r="C92" s="116">
        <f>C60/(1+C90)^C76</f>
        <v>15.800844160822596</v>
      </c>
      <c r="D92" s="116"/>
    </row>
    <row r="93" spans="2:8" ht="13.15">
      <c r="B93" s="110" t="s">
        <v>101</v>
      </c>
      <c r="C93" s="111">
        <f>C91+C92</f>
        <v>18.384349198892416</v>
      </c>
      <c r="D93" t="str">
        <f>Market_currency</f>
        <v>HKD</v>
      </c>
      <c r="E93" s="146" t="s">
        <v>125</v>
      </c>
      <c r="F93" s="291">
        <f>(1-C93/C60)</f>
        <v>0.35513608058413659</v>
      </c>
    </row>
    <row r="95" spans="2:8" ht="13.15">
      <c r="B95" s="109" t="s">
        <v>394</v>
      </c>
      <c r="G95" s="2"/>
      <c r="H95" s="281"/>
    </row>
    <row r="96" spans="2:8">
      <c r="B96" s="148" t="s">
        <v>400</v>
      </c>
      <c r="C96" s="134">
        <f>Thesis!F31</f>
        <v>7.4999999999999997E-2</v>
      </c>
      <c r="G96" s="2"/>
      <c r="H96" s="281"/>
    </row>
    <row r="97" spans="2:8">
      <c r="B97" s="100" t="s">
        <v>120</v>
      </c>
      <c r="C97" s="116">
        <f>PV(C96, C76, -C77, 0)</f>
        <v>3.2766624322386693</v>
      </c>
      <c r="D97" s="116"/>
      <c r="G97" s="2"/>
      <c r="H97" s="281"/>
    </row>
    <row r="98" spans="2:8">
      <c r="B98" s="100" t="s">
        <v>121</v>
      </c>
      <c r="C98" s="116">
        <f>C60/(1+C96)^C76</f>
        <v>22.94852565888463</v>
      </c>
      <c r="D98" s="116"/>
      <c r="G98" s="2"/>
      <c r="H98" s="281"/>
    </row>
    <row r="99" spans="2:8" ht="13.15">
      <c r="B99" s="110" t="s">
        <v>395</v>
      </c>
      <c r="C99" s="111">
        <f>C97+C98</f>
        <v>26.2251880911233</v>
      </c>
      <c r="D99" t="s">
        <v>393</v>
      </c>
      <c r="E99" s="146" t="s">
        <v>125</v>
      </c>
      <c r="F99" s="291">
        <f>(1-C99/C60)</f>
        <v>8.0104636998580281E-2</v>
      </c>
    </row>
    <row r="100" spans="2:8">
      <c r="B100" s="100"/>
    </row>
    <row r="101" spans="2:8" ht="13.15">
      <c r="B101" s="109" t="s">
        <v>419</v>
      </c>
    </row>
    <row r="102" spans="2:8">
      <c r="B102" s="148" t="s">
        <v>418</v>
      </c>
      <c r="C102" s="134">
        <f>Thesis!F32</f>
        <v>0.1174</v>
      </c>
    </row>
    <row r="103" spans="2:8">
      <c r="B103" s="100" t="s">
        <v>120</v>
      </c>
      <c r="C103" s="116">
        <f>PV(C102, C76, -C77, 0)</f>
        <v>3.0398799386826978</v>
      </c>
      <c r="D103" s="116"/>
    </row>
    <row r="104" spans="2:8">
      <c r="B104" s="100" t="s">
        <v>121</v>
      </c>
      <c r="C104" s="116">
        <f>C60/(1+C102)^C76</f>
        <v>20.434037260226571</v>
      </c>
      <c r="D104" s="116"/>
    </row>
    <row r="105" spans="2:8" ht="13.15">
      <c r="B105" s="110" t="s">
        <v>395</v>
      </c>
      <c r="C105" s="111">
        <f>C103+C104</f>
        <v>23.47391719890927</v>
      </c>
      <c r="D105" t="s">
        <v>393</v>
      </c>
      <c r="E105" s="146" t="s">
        <v>125</v>
      </c>
      <c r="F105" s="291">
        <f>(1-C105/C66)</f>
        <v>0.20997452028255981</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2025-07-03T09:23:59Z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