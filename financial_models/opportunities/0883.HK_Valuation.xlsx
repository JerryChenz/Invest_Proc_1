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EB65F40-BB5D-4265-81FD-471C3364B7DF}"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L94" i="2"/>
  <c r="K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E26" i="6"/>
  <c r="C93" i="9"/>
  <c r="C157" i="12" s="1"/>
  <c r="C30" i="12" s="1"/>
  <c r="H16" i="2"/>
  <c r="H19" i="2" s="1"/>
  <c r="H92" i="2" s="1"/>
  <c r="H81" i="2"/>
  <c r="H118" i="2" s="1"/>
  <c r="C165" i="6" l="1"/>
  <c r="C31" i="6" s="1"/>
  <c r="C165" i="12"/>
  <c r="C31" i="12" s="1"/>
  <c r="F83" i="9"/>
  <c r="C149" i="12"/>
  <c r="C29" i="12" s="1"/>
  <c r="C149" i="6"/>
  <c r="C29" i="6" s="1"/>
  <c r="C173" i="6"/>
  <c r="C173" i="12"/>
  <c r="C32" i="12" s="1"/>
  <c r="F99" i="9"/>
  <c r="D165" i="6"/>
  <c r="D31" i="6" s="1"/>
  <c r="H115" i="2"/>
  <c r="F93" i="9"/>
  <c r="C157" i="6"/>
  <c r="H125" i="2"/>
  <c r="H126" i="2" s="1"/>
  <c r="H84" i="2"/>
  <c r="G76" i="2"/>
  <c r="D54" i="3"/>
  <c r="D50" i="3"/>
  <c r="G13" i="2"/>
  <c r="C32" i="6" l="1"/>
  <c r="D173" i="6"/>
  <c r="D32" i="6" s="1"/>
  <c r="D149" i="6"/>
  <c r="D29" i="6" s="1"/>
  <c r="C167" i="6"/>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<sst xmlns="http://schemas.openxmlformats.org/spreadsheetml/2006/main" count="837" uniqueCount="561">
  <si>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</si>
  <si>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</si>
  <si>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</si>
  <si>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</si>
  <si>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</si>
  <si>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</si>
  <si>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</si>
  <si>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</si>
  <si>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</si>
  <si>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</si>
  <si>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</si>
  <si>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</si>
  <si>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</si>
  <si>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</si>
  <si>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</si>
  <si>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</si>
  <si>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</si>
  <si>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</si>
  <si>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</si>
  <si>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</si>
  <si>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</si>
  <si>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</si>
  <si>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</si>
  <si>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</si>
  <si>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</si>
  <si>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</si>
  <si>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</si>
  <si>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</si>
  <si>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</si>
  <si>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</si>
  <si>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</si>
  <si>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</si>
  <si>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</si>
  <si>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</si>
  <si>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</si>
  <si>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</si>
  <si>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</si>
  <si>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</si>
  <si>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</si>
  <si>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</si>
  <si>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</si>
  <si>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</si>
  <si>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</si>
  <si>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</si>
  <si>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</si>
  <si>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</si>
  <si>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</si>
  <si>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</si>
  <si>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</si>
  <si>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</si>
  <si>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</si>
  <si>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</si>
  <si>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</si>
  <si>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</si>
  <si>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</si>
  <si>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</si>
  <si>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</si>
  <si>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</si>
  <si>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</si>
  <si>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</si>
  <si>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</si>
  <si>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</si>
  <si>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</si>
  <si>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</si>
  <si>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</si>
  <si>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</si>
  <si>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</si>
  <si>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</si>
  <si>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</si>
  <si>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</si>
  <si>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</si>
  <si>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</si>
  <si>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</si>
  <si>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</si>
  <si>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</si>
  <si>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</si>
  <si>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</si>
  <si>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</si>
  <si>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</si>
  <si>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</si>
  <si>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</si>
  <si>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</si>
  <si>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</si>
  <si>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</si>
  <si>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</si>
  <si>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</si>
  <si>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</si>
  <si>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</si>
  <si>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</si>
  <si>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</si>
  <si>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</si>
  <si>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</si>
  <si>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</si>
  <si>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</si>
  <si>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</si>
  <si>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</si>
  <si>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</si>
  <si>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</si>
  <si>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</si>
  <si>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</si>
  <si>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</si>
  <si>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</si>
  <si>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</si>
  <si>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</si>
  <si>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</si>
  <si>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</si>
  <si>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</si>
  <si>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</si>
  <si>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</si>
  <si>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</si>
  <si>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</si>
  <si>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</si>
  <si>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</si>
  <si>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</si>
  <si>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</si>
  <si>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</si>
  <si>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</si>
  <si>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</si>
  <si>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</si>
  <si>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</si>
  <si>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</si>
  <si>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</si>
  <si>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</si>
  <si>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</si>
  <si>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</si>
  <si>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</si>
  <si>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</si>
  <si>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</si>
  <si>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</si>
  <si>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</si>
  <si>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</si>
  <si>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</si>
  <si>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</si>
  <si>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</si>
  <si>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</si>
  <si>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</si>
  <si>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</si>
  <si>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</si>
  <si>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</si>
  <si>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</si>
  <si>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</si>
  <si>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</si>
  <si>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</si>
  <si>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</si>
  <si>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</si>
  <si>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</si>
  <si>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</si>
  <si>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</si>
  <si>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</si>
  <si>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</si>
  <si>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</si>
  <si>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</si>
  <si>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</si>
  <si>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</si>
  <si>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</si>
  <si>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</si>
  <si>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</si>
  <si>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</si>
  <si>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</si>
  <si>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</si>
  <si>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</si>
  <si>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</si>
  <si>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</si>
  <si>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</si>
  <si>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</si>
  <si>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</si>
  <si>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</si>
  <si>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</si>
  <si>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</si>
  <si>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</si>
  <si>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</si>
  <si>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</si>
  <si>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</si>
  <si>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</si>
  <si>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</si>
  <si>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</si>
  <si>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</si>
  <si>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</si>
  <si>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</si>
  <si>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</si>
  <si>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</si>
  <si>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</si>
  <si>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</si>
  <si>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</si>
  <si>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</si>
  <si>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</si>
  <si>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</si>
  <si>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</si>
  <si>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</si>
  <si>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</si>
  <si>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</si>
  <si>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</si>
  <si>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</si>
  <si>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</si>
  <si>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</si>
  <si>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</si>
  <si>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</si>
  <si>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</si>
  <si>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</si>
  <si>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</si>
  <si>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</si>
  <si>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</si>
  <si>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</si>
  <si>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</si>
  <si>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</si>
  <si>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</si>
  <si>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</si>
  <si>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</si>
  <si>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</si>
  <si>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</si>
  <si>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</si>
  <si>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</si>
  <si>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</si>
  <si>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</si>
  <si>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</si>
  <si>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</si>
  <si>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</si>
  <si>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</si>
  <si>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</si>
  <si>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</si>
  <si>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</si>
  <si>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</si>
  <si>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</si>
  <si>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</si>
  <si>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</si>
  <si>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</si>
  <si>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</si>
  <si>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</si>
  <si>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</si>
  <si>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</si>
  <si>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</si>
  <si>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</si>
  <si>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</si>
  <si>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</si>
  <si>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</si>
  <si>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</si>
  <si>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</si>
  <si>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</si>
  <si>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</si>
  <si>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</si>
  <si>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</si>
  <si>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</si>
  <si>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</si>
  <si>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</si>
  <si>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</si>
  <si>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</si>
  <si>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</si>
  <si>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</si>
  <si>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</si>
  <si>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</si>
  <si>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</si>
  <si>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</si>
  <si>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</si>
  <si>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</si>
  <si>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</si>
  <si>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</si>
  <si>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</si>
  <si>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</si>
  <si>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</si>
  <si>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</si>
  <si>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</si>
  <si>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</si>
  <si>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</si>
  <si>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</si>
  <si>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</si>
  <si>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</si>
  <si>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</si>
  <si>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</si>
  <si>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</si>
  <si>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</si>
  <si>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</si>
  <si>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</si>
  <si>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</si>
  <si>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</si>
  <si>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</si>
  <si>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</si>
  <si>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</si>
  <si>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</si>
  <si>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</si>
  <si>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</si>
  <si>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</si>
  <si>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</si>
  <si>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</si>
  <si>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</si>
  <si>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</si>
  <si>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</si>
  <si>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</si>
  <si>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</si>
  <si>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</si>
  <si>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</si>
  <si>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</si>
  <si>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</si>
  <si>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</si>
  <si>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</si>
  <si>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</si>
  <si>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</si>
  <si>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</si>
  <si>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</si>
  <si>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</si>
  <si>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</si>
  <si>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</si>
  <si>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</si>
  <si>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</si>
  <si>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</si>
  <si>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</si>
  <si>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</si>
  <si>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</si>
  <si>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</si>
  <si>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</si>
  <si>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</si>
  <si>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</si>
  <si>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</si>
  <si>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</si>
  <si>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</si>
  <si>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</si>
  <si>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</si>
  <si>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</si>
  <si>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</si>
  <si>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</si>
  <si>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</si>
  <si>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</si>
  <si>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</si>
  <si>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</si>
  <si>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</si>
  <si>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</si>
  <si>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</si>
  <si>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</si>
  <si>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</si>
  <si>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</si>
  <si>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</si>
  <si>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</si>
  <si>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</si>
  <si>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</si>
  <si>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</si>
  <si>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</si>
  <si>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</si>
  <si>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</si>
  <si>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</si>
  <si>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</si>
  <si>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</si>
  <si>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</si>
  <si>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</si>
  <si>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</si>
  <si>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</si>
  <si>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</si>
  <si>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</si>
  <si>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</si>
  <si>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</si>
  <si>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</si>
  <si>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</si>
  <si>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</si>
  <si>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</si>
  <si>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</si>
  <si>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</si>
  <si>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</si>
  <si>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</si>
  <si>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</si>
  <si>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</si>
  <si>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</si>
  <si>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</si>
  <si>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</si>
  <si>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</si>
  <si>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</si>
  <si>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</si>
  <si>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</si>
  <si>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</si>
  <si>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</si>
  <si>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</si>
  <si>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</si>
  <si>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</si>
  <si>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</si>
  <si>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</si>
  <si>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</si>
  <si>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</si>
  <si>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</si>
  <si>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</si>
  <si>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</si>
  <si>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</si>
  <si>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</si>
  <si>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</si>
  <si>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</si>
  <si>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</si>
  <si>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</si>
  <si>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</si>
  <si>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</si>
  <si>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</si>
  <si>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</si>
  <si>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</si>
  <si>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</si>
  <si>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</si>
  <si>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</si>
  <si>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</si>
  <si>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</si>
  <si>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</si>
  <si>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</si>
  <si>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</si>
  <si>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</si>
  <si>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</si>
  <si>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</si>
  <si>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</si>
  <si>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</si>
  <si>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</si>
  <si>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</si>
  <si>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</si>
  <si>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</si>
  <si>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</si>
  <si>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</si>
  <si>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</si>
  <si>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</si>
  <si>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</si>
  <si>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</si>
  <si>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</si>
  <si>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</si>
  <si>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</si>
  <si>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</si>
  <si>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</si>
  <si>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</si>
  <si>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</si>
  <si>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</si>
  <si>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</si>
  <si>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</si>
  <si>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</si>
  <si>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</si>
  <si>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</si>
  <si>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</si>
  <si>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</si>
  <si>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</si>
  <si>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</si>
  <si>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</si>
  <si>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</si>
  <si>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</si>
  <si>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</si>
  <si>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</si>
  <si>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</si>
  <si>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</si>
  <si>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</si>
  <si>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</si>
  <si>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</si>
  <si>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</si>
  <si>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</si>
  <si>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</si>
  <si>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</si>
  <si>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</si>
  <si>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</si>
  <si>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</si>
  <si>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</si>
  <si>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</si>
  <si>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</si>
  <si>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</si>
  <si>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</si>
  <si>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</si>
  <si>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</si>
  <si>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</si>
  <si>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</si>
  <si>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</si>
  <si>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</si>
  <si>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</si>
  <si>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</si>
  <si>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</si>
  <si>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</si>
  <si>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</si>
  <si>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</si>
  <si>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</si>
  <si>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</si>
  <si>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</si>
  <si>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</si>
  <si>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</si>
  <si>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</si>
  <si>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</si>
  <si>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</si>
  <si>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</si>
  <si>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</si>
  <si>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</si>
  <si>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</si>
  <si>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</si>
  <si>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</si>
  <si>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</si>
  <si>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</si>
  <si>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</si>
  <si>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</si>
  <si>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</si>
  <si>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</si>
  <si>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</si>
  <si>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</si>
  <si>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</si>
  <si>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</si>
  <si>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</si>
  <si>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</si>
  <si>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</si>
  <si>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</si>
  <si>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</si>
  <si>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</si>
  <si>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</si>
  <si>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</si>
  <si>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</si>
  <si>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</si>
  <si>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</si>
  <si>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</si>
  <si>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</si>
  <si>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</si>
  <si>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</si>
  <si>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</si>
  <si>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</si>
  <si>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</si>
  <si>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</si>
  <si>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</si>
  <si>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</si>
  <si>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</si>
  <si>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</si>
  <si>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</si>
  <si>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</si>
  <si>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</si>
  <si>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</si>
  <si>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</si>
  <si>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</si>
  <si>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</si>
  <si>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</si>
  <si>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</si>
  <si>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</si>
  <si>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</si>
  <si>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</si>
  <si>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</si>
  <si>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</si>
  <si>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</si>
  <si>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</si>
  <si>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</si>
  <si>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</si>
  <si>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</si>
  <si>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</si>
  <si>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</si>
  <si>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</si>
  <si>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</si>
  <si>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</si>
  <si>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</si>
  <si>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</si>
  <si>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</si>
  <si>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</si>
  <si>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</si>
  <si>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</si>
  <si>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</si>
  <si>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</si>
  <si>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</si>
  <si>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</si>
  <si>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</si>
  <si>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</si>
  <si>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</si>
  <si>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</si>
  <si>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</si>
  <si>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</si>
  <si>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</si>
  <si>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</si>
  <si>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</si>
  <si>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</si>
  <si>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中国海油</t>
  </si>
  <si>
    <t>0883.HK</t>
  </si>
  <si>
    <t>600938.SS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</si>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</sst>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6FC30B8-D5FE-4555-9687-5E123DBEDD6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83.HK_Valuation_backup.xlsx" TargetMode="External"/><Relationship Id="rId1" Type="http://schemas.openxmlformats.org/officeDocument/2006/relationships/externalLinkPath" Target="08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47529953984</v>
          </cell>
        </row>
        <row r="12">
          <cell r="C12">
            <v>18.34</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45792</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中国海油</v>
      </c>
    </row>
    <row r="6" spans="1:10">
      <c r="B6" s="4" t="s">
        <v>481</v>
      </c>
      <c r="C6" s="34">
        <f>Common_Shares</f>
        <v>47529953984</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0883.HK</v>
      </c>
      <c r="D11" s="49"/>
      <c r="E11" s="34"/>
    </row>
    <row r="12" spans="1:10">
      <c r="B12" s="4" t="s">
        <v>485</v>
      </c>
      <c r="C12" s="366">
        <f>Market_Price</f>
        <v>18.899999999999999</v>
      </c>
      <c r="D12" s="50"/>
      <c r="E12" s="48"/>
    </row>
    <row r="13" spans="1:10">
      <c r="B13" s="1" t="s">
        <v>486</v>
      </c>
      <c r="C13" s="32" t="str">
        <f>Market_currency</f>
        <v>HKD</v>
      </c>
      <c r="D13" s="48"/>
      <c r="E13" s="5"/>
    </row>
    <row r="14" spans="1:10">
      <c r="B14" s="4" t="s">
        <v>487</v>
      </c>
      <c r="C14" s="35">
        <f>投资主题!C12*Common_Shares/1000000</f>
        <v>898316.13029759994</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1.0942481800000001</v>
      </c>
      <c r="D16" s="50"/>
      <c r="E16" s="5"/>
    </row>
    <row r="17" spans="2:6">
      <c r="D17" s="5"/>
      <c r="E17" s="5"/>
    </row>
    <row r="18" spans="2:6" ht="24.6" customHeight="1">
      <c r="B18" s="374" t="s">
        <v>490</v>
      </c>
      <c r="C18" s="374"/>
      <c r="D18" s="374"/>
      <c r="E18" s="374"/>
      <c r="F18" s="374"/>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ENG_01</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28.446935271447302</v>
      </c>
      <c r="D26" s="1" t="s">
        <v>447</v>
      </c>
      <c r="E26" s="301">
        <f ca="1">Scenarios!C87</f>
        <v>0.20481599039312282</v>
      </c>
    </row>
    <row r="27" spans="2:6">
      <c r="D27" s="5"/>
      <c r="E27" s="5"/>
    </row>
    <row r="28" spans="2:6">
      <c r="B28" s="45" t="s">
        <v>449</v>
      </c>
      <c r="C28" s="309" t="str">
        <f>C145&amp;" ("&amp;Market_currency&amp;")"</f>
        <v>0883.HK (HKD)</v>
      </c>
      <c r="D28" s="309" t="str">
        <f>IF(D11="","",D145&amp;" ("&amp;D13&amp;")")</f>
        <v/>
      </c>
      <c r="E28" s="305" t="s">
        <v>454</v>
      </c>
      <c r="F28" s="361">
        <f>Thesis!F28</f>
        <v>3</v>
      </c>
    </row>
    <row r="29" spans="2:6">
      <c r="B29" s="1" t="s">
        <v>450</v>
      </c>
      <c r="C29" s="310">
        <f>C149</f>
        <v>13.698840734216246</v>
      </c>
      <c r="D29" s="310" t="str">
        <f>D149</f>
        <v/>
      </c>
      <c r="E29" s="306" t="s">
        <v>456</v>
      </c>
      <c r="F29" s="362">
        <f>Thesis!F29</f>
        <v>0.35</v>
      </c>
    </row>
    <row r="30" spans="2:6">
      <c r="B30" s="1" t="s">
        <v>451</v>
      </c>
      <c r="C30" s="311">
        <f>C157</f>
        <v>17.02435085898102</v>
      </c>
      <c r="D30" s="311" t="str">
        <f>D157</f>
        <v/>
      </c>
      <c r="E30" s="307" t="s">
        <v>455</v>
      </c>
      <c r="F30" s="224">
        <f>Thesis!F30</f>
        <v>0.25</v>
      </c>
    </row>
    <row r="31" spans="2:6">
      <c r="B31" s="1" t="s">
        <v>452</v>
      </c>
      <c r="C31" s="311">
        <f>C165</f>
        <v>26.175323649145703</v>
      </c>
      <c r="D31" s="311" t="str">
        <f>D165</f>
        <v/>
      </c>
      <c r="E31" s="307" t="s">
        <v>492</v>
      </c>
      <c r="F31" s="224">
        <f>Thesis!F31</f>
        <v>7.4999999999999997E-2</v>
      </c>
    </row>
    <row r="32" spans="2:6">
      <c r="B32" s="1" t="s">
        <v>453</v>
      </c>
      <c r="C32" s="311">
        <f>C173</f>
        <v>23.429516443911918</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4" t="s">
        <v>493</v>
      </c>
      <c r="C36" s="374"/>
      <c r="D36" s="374"/>
      <c r="E36" s="374"/>
      <c r="F36" s="374"/>
    </row>
    <row r="37" spans="1:6" ht="24.6" customHeight="1">
      <c r="B37" s="377" t="s">
        <v>330</v>
      </c>
      <c r="C37" s="377"/>
      <c r="D37" s="377"/>
      <c r="E37" s="377"/>
      <c r="F37" s="377"/>
    </row>
    <row r="39" spans="1:6">
      <c r="B39" s="210" t="s">
        <v>494</v>
      </c>
      <c r="C39" s="108">
        <f>scaling_factor</f>
        <v>1000000</v>
      </c>
    </row>
    <row r="40" spans="1:6">
      <c r="B40" s="370" t="s">
        <v>495</v>
      </c>
      <c r="C40" s="370"/>
      <c r="D40" s="370"/>
      <c r="E40" s="370"/>
      <c r="F40" s="370"/>
    </row>
    <row r="41" spans="1:6">
      <c r="B41" s="47" t="s">
        <v>228</v>
      </c>
      <c r="C41" s="349">
        <f>Normalized_FCF!C8</f>
        <v>122178.06382484984</v>
      </c>
      <c r="D41" s="1" t="str">
        <f>Reporting_currency</f>
        <v>CNY</v>
      </c>
    </row>
    <row r="42" spans="1:6">
      <c r="B42" s="47"/>
      <c r="C42" s="76"/>
    </row>
    <row r="43" spans="1:6" ht="24.6" customHeight="1">
      <c r="B43" s="370" t="s">
        <v>496</v>
      </c>
      <c r="C43" s="370"/>
      <c r="D43" s="370"/>
      <c r="E43" s="370"/>
      <c r="F43" s="370"/>
    </row>
    <row r="44" spans="1:6">
      <c r="B44" s="47" t="s">
        <v>230</v>
      </c>
      <c r="C44" s="349">
        <f>Normalized_FCF!C9</f>
        <v>74606</v>
      </c>
      <c r="D44" s="1" t="str">
        <f>Reporting_currency</f>
        <v>CNY</v>
      </c>
    </row>
    <row r="45" spans="1:6">
      <c r="B45" s="52" t="s">
        <v>231</v>
      </c>
      <c r="C45" s="349">
        <f>Normalized_FCF!C10</f>
        <v>-74606</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801.81967938187529</v>
      </c>
      <c r="D51" s="1" t="str">
        <f>Reporting_currency</f>
        <v>CNY</v>
      </c>
      <c r="E51" s="286"/>
      <c r="F51" s="286"/>
    </row>
    <row r="52" spans="2:6">
      <c r="B52" s="47" t="s">
        <v>332</v>
      </c>
      <c r="C52" s="350">
        <f>Normalized_FCF!C47</f>
        <v>-2807</v>
      </c>
      <c r="D52" s="1" t="str">
        <f>Reporting_currency</f>
        <v>CNY</v>
      </c>
      <c r="E52" s="286"/>
      <c r="F52" s="286"/>
    </row>
    <row r="53" spans="2:6">
      <c r="B53" s="47" t="s">
        <v>234</v>
      </c>
      <c r="C53" s="349">
        <f>Normalized_FCF!C12</f>
        <v>-2005.1803206181248</v>
      </c>
      <c r="D53" s="1" t="str">
        <f>Reporting_currency</f>
        <v>CNY</v>
      </c>
    </row>
    <row r="55" spans="2:6">
      <c r="B55" s="1" t="s">
        <v>499</v>
      </c>
    </row>
    <row r="56" spans="2:6">
      <c r="B56" s="47" t="s">
        <v>261</v>
      </c>
      <c r="C56" s="349">
        <f>Normalized_FCF!C15</f>
        <v>-223.13946170149947</v>
      </c>
      <c r="D56" s="1" t="str">
        <f>Reporting_currency</f>
        <v>CNY</v>
      </c>
    </row>
    <row r="58" spans="2:6">
      <c r="B58" s="370" t="s">
        <v>237</v>
      </c>
      <c r="C58" s="370"/>
      <c r="D58" s="370"/>
      <c r="E58" s="370"/>
      <c r="F58" s="370"/>
    </row>
    <row r="59" spans="2:6">
      <c r="B59" s="47" t="s">
        <v>235</v>
      </c>
      <c r="C59" s="349">
        <f>Normalized_FCF!C14</f>
        <v>-30043.220876057931</v>
      </c>
      <c r="D59" s="1" t="str">
        <f>Reporting_currency</f>
        <v>CNY</v>
      </c>
    </row>
    <row r="61" spans="2:6">
      <c r="B61" s="370" t="s">
        <v>500</v>
      </c>
      <c r="C61" s="376"/>
      <c r="D61" s="376"/>
      <c r="E61" s="376"/>
      <c r="F61" s="376"/>
    </row>
    <row r="62" spans="2:6">
      <c r="B62" s="47" t="s">
        <v>238</v>
      </c>
      <c r="C62" s="349">
        <f>Normalized_FCF!C17</f>
        <v>0</v>
      </c>
      <c r="D62" s="1" t="str">
        <f>Reporting_currency</f>
        <v>CNY</v>
      </c>
    </row>
    <row r="64" spans="2:6">
      <c r="B64" s="374" t="s">
        <v>501</v>
      </c>
      <c r="C64" s="374"/>
      <c r="D64" s="374"/>
      <c r="E64" s="374"/>
      <c r="F64" s="374"/>
    </row>
    <row r="65" spans="1:6">
      <c r="B65" s="374" t="s">
        <v>502</v>
      </c>
      <c r="C65" s="374"/>
      <c r="D65" s="374"/>
      <c r="E65" s="374"/>
      <c r="F65" s="374"/>
    </row>
    <row r="67" spans="1:6">
      <c r="B67" s="47" t="s">
        <v>503</v>
      </c>
      <c r="C67" s="349">
        <f>Normalized_FCF!G19</f>
        <v>141358.4276163358</v>
      </c>
      <c r="D67" s="1" t="str">
        <f>Reporting_currency</f>
        <v>CNY</v>
      </c>
    </row>
    <row r="68" spans="1:6">
      <c r="B68" s="47" t="s">
        <v>244</v>
      </c>
      <c r="C68" s="349">
        <f>Normalized_FCF!C19</f>
        <v>89906.523166472296</v>
      </c>
      <c r="D68" s="1" t="str">
        <f>Reporting_currency</f>
        <v>CNY</v>
      </c>
    </row>
    <row r="69" spans="1:6">
      <c r="B69" s="227" t="s">
        <v>371</v>
      </c>
      <c r="C69" s="92">
        <f>Normalized_FCF!C126</f>
        <v>0.10951606681319212</v>
      </c>
      <c r="F69" s="314"/>
    </row>
    <row r="70" spans="1:6">
      <c r="B70" s="227" t="s">
        <v>435</v>
      </c>
      <c r="C70" s="92">
        <f>Normalized_FCF!C94</f>
        <v>6.6666666666666666E-2</v>
      </c>
      <c r="E70" s="47" t="s">
        <v>504</v>
      </c>
      <c r="F70" s="315">
        <f>Normalized_FCF!C92</f>
        <v>0.74012355537751062</v>
      </c>
    </row>
    <row r="72" spans="1:6">
      <c r="B72" s="210" t="s">
        <v>514</v>
      </c>
      <c r="C72" s="323" t="s">
        <v>430</v>
      </c>
      <c r="D72" s="323" t="s">
        <v>505</v>
      </c>
    </row>
    <row r="73" spans="1:6">
      <c r="B73" s="47" t="s">
        <v>429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506</v>
      </c>
      <c r="B78" s="36"/>
      <c r="C78" s="36"/>
      <c r="D78" s="36"/>
      <c r="E78" s="36"/>
      <c r="F78" s="36"/>
    </row>
    <row r="79" spans="1:6">
      <c r="A79" s="209"/>
    </row>
    <row r="80" spans="1:6">
      <c r="A80" s="17"/>
      <c r="B80" s="374" t="s">
        <v>507</v>
      </c>
      <c r="C80" s="374"/>
      <c r="D80" s="374"/>
      <c r="E80" s="374"/>
      <c r="F80" s="374"/>
    </row>
    <row r="81" spans="1:6">
      <c r="B81" s="377" t="s">
        <v>248</v>
      </c>
      <c r="C81" s="377"/>
      <c r="D81" s="377"/>
      <c r="E81" s="377"/>
      <c r="F81" s="377"/>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4" t="s">
        <v>508</v>
      </c>
      <c r="C89" s="374"/>
      <c r="D89" s="374"/>
      <c r="E89" s="374"/>
      <c r="F89" s="374"/>
    </row>
    <row r="90" spans="1:6">
      <c r="B90" s="374" t="s">
        <v>509</v>
      </c>
      <c r="C90" s="374"/>
      <c r="D90" s="374"/>
      <c r="E90" s="374"/>
      <c r="F90" s="374"/>
    </row>
    <row r="92" spans="1:6">
      <c r="B92" s="47" t="s">
        <v>247</v>
      </c>
      <c r="C92" s="236">
        <v>0</v>
      </c>
    </row>
    <row r="93" spans="1:6">
      <c r="B93" s="47" t="s">
        <v>275</v>
      </c>
      <c r="C93" s="223">
        <f>DCF!C6*scaling_factor*Exchange_Rate/Common_Shares</f>
        <v>27.59804883692442</v>
      </c>
      <c r="D93" s="1" t="str">
        <f>Market_currency</f>
        <v>HKD</v>
      </c>
    </row>
    <row r="95" spans="1:6" ht="13.9">
      <c r="A95" s="222" t="s">
        <v>510</v>
      </c>
      <c r="B95" s="36"/>
      <c r="C95" s="36"/>
      <c r="D95" s="36"/>
      <c r="E95" s="36"/>
      <c r="F95" s="36"/>
    </row>
    <row r="96" spans="1:6">
      <c r="A96" s="209"/>
    </row>
    <row r="97" spans="2:6">
      <c r="B97" s="374" t="s">
        <v>511</v>
      </c>
      <c r="C97" s="374"/>
      <c r="D97" s="374"/>
      <c r="E97" s="374"/>
      <c r="F97" s="374"/>
    </row>
    <row r="98" spans="2:6">
      <c r="B98" s="1" t="s">
        <v>249</v>
      </c>
    </row>
    <row r="100" spans="2:6">
      <c r="B100" s="210" t="s">
        <v>494</v>
      </c>
    </row>
    <row r="101" spans="2:6">
      <c r="B101" s="374" t="s">
        <v>512</v>
      </c>
      <c r="C101" s="374"/>
      <c r="D101" s="374"/>
      <c r="E101" s="374"/>
      <c r="F101" s="374"/>
    </row>
    <row r="102" spans="2:6">
      <c r="B102" s="47" t="s">
        <v>251</v>
      </c>
      <c r="C102" s="349">
        <f>DCF!C7</f>
        <v>91887</v>
      </c>
      <c r="D102" s="1" t="str">
        <f>Reporting_currency</f>
        <v>CNY</v>
      </c>
    </row>
    <row r="103" spans="2:6">
      <c r="B103" s="47" t="s">
        <v>276</v>
      </c>
      <c r="C103" s="223">
        <f>C102*scaling_factor*Exchange_Rate/Common_Shares</f>
        <v>2.1154487662560584</v>
      </c>
      <c r="D103" s="1" t="str">
        <f>Market_currency</f>
        <v>HKD</v>
      </c>
    </row>
    <row r="104" spans="2:6">
      <c r="B104" s="296" t="s">
        <v>384</v>
      </c>
      <c r="C104" s="325">
        <f>IF(BS!G31/BS!G27&gt;300%,"nm",BS!G31/BS!G27)</f>
        <v>0.12260820136742831</v>
      </c>
    </row>
    <row r="105" spans="2:6">
      <c r="B105" s="296" t="s">
        <v>386</v>
      </c>
      <c r="C105" s="326">
        <f>IF(BS!C50&gt;30,"nm",BS!C50)</f>
        <v>0.75207444874659302</v>
      </c>
    </row>
    <row r="107" spans="2:6">
      <c r="B107" s="1" t="s">
        <v>515</v>
      </c>
    </row>
    <row r="108" spans="2:6">
      <c r="B108" s="47" t="s">
        <v>260</v>
      </c>
      <c r="C108" s="349">
        <f>BS!C66</f>
        <v>154196</v>
      </c>
      <c r="D108" s="1" t="str">
        <f>Reporting_currency</f>
        <v>CNY</v>
      </c>
    </row>
    <row r="109" spans="2:6">
      <c r="B109" s="47" t="s">
        <v>262</v>
      </c>
      <c r="C109" s="349">
        <f>DCF!C8</f>
        <v>100741.35470787497</v>
      </c>
      <c r="D109" s="1" t="str">
        <f>Reporting_currency</f>
        <v>CNY</v>
      </c>
    </row>
    <row r="110" spans="2:6">
      <c r="B110" s="47" t="s">
        <v>277</v>
      </c>
      <c r="C110" s="223">
        <f>C109*scaling_factor*Exchange_Rate/Common_Shares</f>
        <v>2.3192962500434016</v>
      </c>
      <c r="D110" s="1" t="str">
        <f>Market_currency</f>
        <v>HKD</v>
      </c>
    </row>
    <row r="112" spans="2:6">
      <c r="B112" s="1" t="s">
        <v>516</v>
      </c>
    </row>
    <row r="113" spans="1:6">
      <c r="B113" s="47" t="s">
        <v>253</v>
      </c>
      <c r="C113" s="349">
        <f>DCF!C9</f>
        <v>5113.2</v>
      </c>
      <c r="D113" s="1" t="str">
        <f>Reporting_currency</f>
        <v>CNY</v>
      </c>
    </row>
    <row r="114" spans="1:6">
      <c r="B114" s="47" t="s">
        <v>278</v>
      </c>
      <c r="C114" s="223">
        <f>C113*scaling_factor*Exchange_Rate/Common_Shares</f>
        <v>0.11771755124903932</v>
      </c>
      <c r="D114" s="1" t="str">
        <f>Market_currency</f>
        <v>HKD</v>
      </c>
    </row>
    <row r="116" spans="1:6">
      <c r="B116" s="374" t="s">
        <v>517</v>
      </c>
      <c r="C116" s="374"/>
      <c r="D116" s="374"/>
      <c r="E116" s="374"/>
      <c r="F116" s="374"/>
    </row>
    <row r="118" spans="1:6">
      <c r="B118" s="47" t="s">
        <v>518</v>
      </c>
      <c r="C118" s="223">
        <f>IF(valuation_method="DCF",DCF!C12,DDM!C7)</f>
        <v>27.919613871960802</v>
      </c>
      <c r="D118" s="1" t="str">
        <f>Market_currency</f>
        <v>HKD</v>
      </c>
    </row>
    <row r="119" spans="1:6">
      <c r="B119" s="296" t="s">
        <v>551</v>
      </c>
      <c r="C119" s="223">
        <f>BS!D47</f>
        <v>-0.45863616237436727</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0.06</v>
      </c>
      <c r="D126" s="230">
        <f>DCF!D74</f>
        <v>15</v>
      </c>
      <c r="E126" s="231" t="str">
        <f>ROUND(IF(valuation_method="DCF",DCF!E74,DDM!E69),2)&amp;" "&amp;Market_currency</f>
        <v>38.01 HKD</v>
      </c>
      <c r="F126" s="232">
        <f>DCF!F74</f>
        <v>0.05</v>
      </c>
    </row>
    <row r="127" spans="1:6">
      <c r="B127" s="218" t="str">
        <f>DCF!B75</f>
        <v>Optimistic</v>
      </c>
      <c r="C127" s="219">
        <f>DCF!C75</f>
        <v>0.02</v>
      </c>
      <c r="D127" s="220">
        <f>DCF!D75</f>
        <v>10</v>
      </c>
      <c r="E127" s="231" t="str">
        <f>ROUND(IF(valuation_method="DCF",DCF!E75,DDM!E70),2)&amp;" "&amp;Market_currency</f>
        <v>29.66 HKD</v>
      </c>
      <c r="F127" s="221">
        <f>DCF!F75</f>
        <v>0.18</v>
      </c>
    </row>
    <row r="128" spans="1:6">
      <c r="B128" s="218" t="str">
        <f>DCF!B76</f>
        <v>Base</v>
      </c>
      <c r="C128" s="219">
        <f>DCF!C76</f>
        <v>0.01</v>
      </c>
      <c r="D128" s="220">
        <f>DCF!D76</f>
        <v>10</v>
      </c>
      <c r="E128" s="231" t="str">
        <f>ROUND(IF(valuation_method="DCF",DCF!E76,DDM!E71),2)&amp;" "&amp;Market_currency</f>
        <v>28.77 HKD</v>
      </c>
      <c r="F128" s="221">
        <f>DCF!F76</f>
        <v>0.53999999999999992</v>
      </c>
    </row>
    <row r="129" spans="1:6">
      <c r="B129" s="218" t="str">
        <f>DCF!B77</f>
        <v>Pessimistic</v>
      </c>
      <c r="C129" s="219">
        <f>DCF!C77</f>
        <v>-0.01</v>
      </c>
      <c r="D129" s="220">
        <f>DCF!D77</f>
        <v>10</v>
      </c>
      <c r="E129" s="231" t="str">
        <f>ROUND(IF(valuation_method="DCF",DCF!E77,DDM!E72),2)&amp;" "&amp;Market_currency</f>
        <v>27.11 HKD</v>
      </c>
      <c r="F129" s="221">
        <f>DCF!F77</f>
        <v>0.18</v>
      </c>
    </row>
    <row r="130" spans="1:6">
      <c r="B130" s="218" t="str">
        <f>DCF!B78</f>
        <v>Devil's advocate</v>
      </c>
      <c r="C130" s="219">
        <f>DCF!C78</f>
        <v>-0.15</v>
      </c>
      <c r="D130" s="220">
        <f>DCF!D78</f>
        <v>15</v>
      </c>
      <c r="E130" s="231" t="str">
        <f>ROUND(IF(valuation_method="DCF",DCF!E78,DDM!E73),2)&amp;" "&amp;Market_currency</f>
        <v>15.84 HKD</v>
      </c>
      <c r="F130" s="221">
        <f>DCF!F78</f>
        <v>0.05</v>
      </c>
    </row>
    <row r="132" spans="1:6">
      <c r="B132" s="211" t="s">
        <v>254</v>
      </c>
      <c r="C132" s="217">
        <f>Scenarios!C60</f>
        <v>28.446935271447302</v>
      </c>
      <c r="D132" s="212" t="str">
        <f>Market_currency</f>
        <v>HKD</v>
      </c>
    </row>
    <row r="134" spans="1:6">
      <c r="B134" s="372" t="s">
        <v>525</v>
      </c>
      <c r="C134" s="372"/>
      <c r="D134" s="372"/>
      <c r="E134" s="372"/>
      <c r="F134" s="372"/>
    </row>
    <row r="136" spans="1:6" ht="13.9">
      <c r="A136" s="222" t="s">
        <v>526</v>
      </c>
      <c r="B136" s="36"/>
      <c r="C136" s="36"/>
      <c r="D136" s="36"/>
      <c r="E136" s="36"/>
      <c r="F136" s="36"/>
    </row>
    <row r="138" spans="1:6">
      <c r="B138" s="373" t="s">
        <v>527</v>
      </c>
      <c r="C138" s="373"/>
      <c r="D138" s="373"/>
      <c r="E138" s="373"/>
      <c r="F138" s="373"/>
    </row>
    <row r="139" spans="1:6" ht="24.6" customHeight="1">
      <c r="B139" s="374" t="s">
        <v>528</v>
      </c>
      <c r="C139" s="374"/>
      <c r="D139" s="374"/>
      <c r="E139" s="374"/>
      <c r="F139" s="374"/>
    </row>
    <row r="140" spans="1:6">
      <c r="B140" s="210" t="s">
        <v>494</v>
      </c>
    </row>
    <row r="141" spans="1:6">
      <c r="B141" s="1" t="s">
        <v>529</v>
      </c>
      <c r="C141" s="225">
        <f>F28</f>
        <v>3</v>
      </c>
    </row>
    <row r="142" spans="1:6">
      <c r="B142" s="1" t="s">
        <v>530</v>
      </c>
      <c r="C142" s="224">
        <f>F29</f>
        <v>0.35</v>
      </c>
    </row>
    <row r="143" spans="1:6">
      <c r="B143" s="212" t="s">
        <v>531</v>
      </c>
      <c r="C143" s="213">
        <f>Scenarios!C77</f>
        <v>1.26</v>
      </c>
      <c r="D143" s="212" t="str">
        <f>Market_currency</f>
        <v>HKD</v>
      </c>
    </row>
    <row r="145" spans="2:4">
      <c r="B145" s="210" t="s">
        <v>532</v>
      </c>
      <c r="C145" s="241" t="str">
        <f>C11</f>
        <v>0883.HK</v>
      </c>
      <c r="D145" s="241" t="str">
        <f>IF(D11="","",D11)</f>
        <v/>
      </c>
    </row>
    <row r="146" spans="2:4">
      <c r="B146" s="1" t="s">
        <v>387</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11.562032320864622</v>
      </c>
    </row>
    <row r="149" spans="2:4">
      <c r="B149" s="80" t="s">
        <v>256</v>
      </c>
      <c r="C149" s="215">
        <f>Scenarios!C83</f>
        <v>13.698840734216246</v>
      </c>
      <c r="D149" s="300" t="str">
        <f>IF($D$11="","",C149*$E$25)</f>
        <v/>
      </c>
    </row>
    <row r="150" spans="2:4">
      <c r="B150" s="259" t="s">
        <v>533</v>
      </c>
      <c r="C150" s="298" t="str">
        <f>Market_currency</f>
        <v>HKD</v>
      </c>
      <c r="D150" s="298" t="str">
        <f>IF($D$11="","",D$13)</f>
        <v/>
      </c>
    </row>
    <row r="151" spans="2:4">
      <c r="B151" s="214" t="s">
        <v>534</v>
      </c>
      <c r="C151" s="92">
        <f>Scenarios!F83</f>
        <v>0.51844229954830956</v>
      </c>
    </row>
    <row r="153" spans="2:4">
      <c r="B153" s="210" t="s">
        <v>391</v>
      </c>
    </row>
    <row r="154" spans="2:4">
      <c r="B154" s="1" t="s">
        <v>390</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14.564830858981018</v>
      </c>
    </row>
    <row r="157" spans="2:4">
      <c r="B157" s="80" t="s">
        <v>256</v>
      </c>
      <c r="C157" s="215">
        <f>Scenarios!C93</f>
        <v>17.02435085898102</v>
      </c>
      <c r="D157" s="300" t="str">
        <f>IF($D$11="","",C157*$E$25)</f>
        <v/>
      </c>
    </row>
    <row r="158" spans="2:4">
      <c r="B158" s="259" t="s">
        <v>533</v>
      </c>
      <c r="C158" s="298" t="str">
        <f>Market_currency</f>
        <v>HKD</v>
      </c>
      <c r="D158" s="298" t="str">
        <f>IF($D$11="","",D$13)</f>
        <v/>
      </c>
    </row>
    <row r="159" spans="2:4">
      <c r="B159" s="214" t="s">
        <v>534</v>
      </c>
      <c r="C159" s="92">
        <f>Scenarios!F93</f>
        <v>0.40154007113488022</v>
      </c>
    </row>
    <row r="161" spans="2:4">
      <c r="B161" s="210" t="s">
        <v>381</v>
      </c>
    </row>
    <row r="162" spans="2:4">
      <c r="B162" s="1" t="s">
        <v>389</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22.898661216907033</v>
      </c>
    </row>
    <row r="165" spans="2:4">
      <c r="B165" s="80" t="s">
        <v>382</v>
      </c>
      <c r="C165" s="215">
        <f>Scenarios!C99</f>
        <v>26.175323649145703</v>
      </c>
      <c r="D165" s="300" t="str">
        <f>IF($D$11="","",C165*$E$25)</f>
        <v/>
      </c>
    </row>
    <row r="166" spans="2:4">
      <c r="B166" s="259" t="s">
        <v>533</v>
      </c>
      <c r="C166" s="298" t="str">
        <f>Market_currency</f>
        <v>HKD</v>
      </c>
      <c r="D166" s="298" t="str">
        <f>IF($D$11="","",D$13)</f>
        <v/>
      </c>
    </row>
    <row r="167" spans="2:4">
      <c r="B167" s="214" t="s">
        <v>534</v>
      </c>
      <c r="C167" s="92">
        <f>Scenarios!F99</f>
        <v>7.9854353399596456E-2</v>
      </c>
    </row>
    <row r="169" spans="2:4">
      <c r="B169" s="210" t="s">
        <v>409</v>
      </c>
    </row>
    <row r="170" spans="2:4">
      <c r="B170" s="1" t="s">
        <v>400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20.38963650522922</v>
      </c>
    </row>
    <row r="173" spans="2:4">
      <c r="B173" s="80" t="s">
        <v>382</v>
      </c>
      <c r="C173" s="215">
        <f>Scenarios!C105</f>
        <v>23.429516443911918</v>
      </c>
      <c r="D173" s="300" t="str">
        <f>IF($D$11="","",C173*$E$25)</f>
        <v/>
      </c>
    </row>
    <row r="174" spans="2:4">
      <c r="B174" s="259" t="s">
        <v>533</v>
      </c>
      <c r="C174" s="298" t="str">
        <f>Market_currency</f>
        <v>HKD</v>
      </c>
      <c r="D174" s="298" t="str">
        <f>IF($D$11="","",D$13)</f>
        <v/>
      </c>
    </row>
    <row r="175" spans="2:4">
      <c r="B175" s="214" t="s">
        <v>534</v>
      </c>
      <c r="C175" s="92">
        <f>Scenarios!F105</f>
        <v>0.20975173175009654</v>
      </c>
    </row>
    <row r="177" spans="1:6" ht="13.9">
      <c r="A177" s="222" t="s">
        <v>357</v>
      </c>
      <c r="B177" s="36"/>
      <c r="C177" s="36"/>
      <c r="D177" s="36"/>
      <c r="E177" s="36"/>
      <c r="F177" s="36"/>
    </row>
    <row r="179" spans="1:6">
      <c r="B179" s="375" t="s">
        <v>535</v>
      </c>
      <c r="C179" s="374"/>
      <c r="D179" s="374"/>
      <c r="E179" s="374"/>
      <c r="F179" s="374"/>
    </row>
    <row r="181" spans="1:6">
      <c r="B181" s="210" t="s">
        <v>536</v>
      </c>
    </row>
    <row r="182" spans="1:6">
      <c r="B182" s="376" t="s">
        <v>537</v>
      </c>
      <c r="C182" s="376"/>
      <c r="D182" s="376"/>
      <c r="E182" s="376"/>
      <c r="F182" s="376"/>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1" t="s">
        <v>544</v>
      </c>
      <c r="C191" s="371"/>
      <c r="D191" s="371"/>
      <c r="E191" s="371"/>
      <c r="F191" s="371"/>
    </row>
    <row r="192" spans="1:6">
      <c r="B192" s="371" t="s">
        <v>545</v>
      </c>
      <c r="C192" s="371"/>
      <c r="D192" s="371"/>
      <c r="E192" s="371"/>
      <c r="F192" s="371"/>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45792</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47529953984</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18.899999999999999</v>
      </c>
      <c r="D12" s="50">
        <v>25.72</v>
      </c>
      <c r="E12" s="48"/>
    </row>
    <row r="13" spans="1:10">
      <c r="B13" s="1" t="s">
        <v>465</v>
      </c>
      <c r="C13" s="48" t="s">
        <v>377</v>
      </c>
      <c r="D13" s="48" t="s">
        <v>394</v>
      </c>
      <c r="E13" s="5"/>
    </row>
    <row r="14" spans="1:10">
      <c r="B14" s="4" t="s">
        <v>466</v>
      </c>
      <c r="C14" s="35">
        <f>Thesis!C12*Common_Shares/1000000</f>
        <v>898316.13029759994</v>
      </c>
      <c r="D14" s="35">
        <f>IF(D11="","",Thesis!D12*Common_Shares/1000000)</f>
        <v>1222470.4164684799</v>
      </c>
      <c r="E14" s="5"/>
    </row>
    <row r="15" spans="1:10">
      <c r="B15" s="4" t="s">
        <v>467</v>
      </c>
      <c r="C15" s="32" t="str">
        <f>IF(C25=C13,C13,C25&amp;"/"&amp;C13)</f>
        <v>CNY/HKD</v>
      </c>
      <c r="D15" s="32" t="str">
        <f>IF(D11="","",IF(C25=D13,D13,C25&amp;"/"&amp;D13))</f>
        <v>CNY</v>
      </c>
      <c r="E15" s="5"/>
    </row>
    <row r="16" spans="1:10">
      <c r="B16" s="4" t="s">
        <v>468</v>
      </c>
      <c r="C16" s="50">
        <v>1.0942481800000001</v>
      </c>
      <c r="D16" s="50">
        <v>1</v>
      </c>
      <c r="E16" s="5"/>
    </row>
    <row r="17" spans="2:6">
      <c r="D17" s="5"/>
      <c r="E17" s="5"/>
    </row>
    <row r="18" spans="2:6" ht="24.6" customHeight="1">
      <c r="B18" s="374" t="s">
        <v>469</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HKD/CNY:</v>
      </c>
      <c r="E25" s="299">
        <f>IF(D11="","",1/Exchange_Rate*D16)</f>
        <v>0.91386946606573283</v>
      </c>
    </row>
    <row r="26" spans="2:6">
      <c r="B26" s="1" t="str">
        <f>"Expected Equity Value ("&amp;C13&amp;") :"</f>
        <v>Expected Equity Value (HKD) :</v>
      </c>
      <c r="C26" s="304">
        <f>C132</f>
        <v>28.446935271447302</v>
      </c>
      <c r="D26" s="1" t="s">
        <v>380</v>
      </c>
      <c r="E26" s="301">
        <f ca="1">Scenarios!C87</f>
        <v>0.20481599039312282</v>
      </c>
    </row>
    <row r="27" spans="2:6">
      <c r="D27" s="5"/>
      <c r="E27" s="5"/>
    </row>
    <row r="28" spans="2:6">
      <c r="B28" s="45" t="s">
        <v>410</v>
      </c>
      <c r="C28" s="309" t="str">
        <f>C145&amp;" ("&amp;Market_currency&amp;")"</f>
        <v>0883.HK (HKD)</v>
      </c>
      <c r="D28" s="309" t="str">
        <f>IF(D11="","",D145&amp;" ("&amp;D13&amp;")")</f>
        <v>600938.SS (CNY)</v>
      </c>
      <c r="E28" s="305" t="s">
        <v>406</v>
      </c>
      <c r="F28" s="303">
        <v>3</v>
      </c>
    </row>
    <row r="29" spans="2:6">
      <c r="B29" s="1" t="s">
        <v>402</v>
      </c>
      <c r="C29" s="310">
        <f>C149</f>
        <v>13.698840734216246</v>
      </c>
      <c r="D29" s="310">
        <f>D149</f>
        <v>12.518952267497712</v>
      </c>
      <c r="E29" s="306" t="s">
        <v>401</v>
      </c>
      <c r="F29" s="302">
        <v>0.35</v>
      </c>
    </row>
    <row r="30" spans="2:6">
      <c r="B30" s="1" t="s">
        <v>403</v>
      </c>
      <c r="C30" s="311">
        <f>C157</f>
        <v>17.02435085898102</v>
      </c>
      <c r="D30" s="311">
        <f>D157</f>
        <v>15.558034429612684</v>
      </c>
      <c r="E30" s="307" t="s">
        <v>414</v>
      </c>
      <c r="F30" s="312">
        <v>0.25</v>
      </c>
    </row>
    <row r="31" spans="2:6">
      <c r="B31" s="1" t="s">
        <v>404</v>
      </c>
      <c r="C31" s="311">
        <f>C165</f>
        <v>26.175323649145703</v>
      </c>
      <c r="D31" s="311">
        <f>D165</f>
        <v>23.920829047342533</v>
      </c>
      <c r="E31" s="307" t="s">
        <v>413</v>
      </c>
      <c r="F31" s="312">
        <v>7.4999999999999997E-2</v>
      </c>
    </row>
    <row r="32" spans="2:6">
      <c r="B32" s="1" t="s">
        <v>405</v>
      </c>
      <c r="C32" s="311">
        <f>C173</f>
        <v>23.429516443911918</v>
      </c>
      <c r="D32" s="311">
        <f>D173</f>
        <v>21.411519682776092</v>
      </c>
      <c r="E32" s="307" t="s">
        <v>415</v>
      </c>
      <c r="F32" s="312">
        <v>0.1174</v>
      </c>
    </row>
    <row r="33" spans="1:6">
      <c r="D33" s="5"/>
      <c r="E33" s="5"/>
    </row>
    <row r="34" spans="1:6" ht="13.9">
      <c r="A34" s="222" t="s">
        <v>345</v>
      </c>
      <c r="B34" s="36"/>
      <c r="C34" s="36"/>
      <c r="D34" s="36"/>
      <c r="E34" s="36"/>
      <c r="F34" s="36"/>
    </row>
    <row r="36" spans="1:6">
      <c r="B36" s="374" t="s">
        <v>470</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122178.06382484984</v>
      </c>
      <c r="D41" s="1" t="str">
        <f>Reporting_currency</f>
        <v>CNY</v>
      </c>
    </row>
    <row r="42" spans="1:6">
      <c r="B42" s="47"/>
      <c r="C42" s="76"/>
    </row>
    <row r="43" spans="1:6" ht="24.6" customHeight="1">
      <c r="B43" s="370" t="s">
        <v>229</v>
      </c>
      <c r="C43" s="370"/>
      <c r="D43" s="370"/>
      <c r="E43" s="370"/>
      <c r="F43" s="370"/>
    </row>
    <row r="44" spans="1:6">
      <c r="B44" s="47" t="s">
        <v>230</v>
      </c>
      <c r="C44" s="349">
        <f>Normalized_FCF!C9</f>
        <v>74606</v>
      </c>
      <c r="D44" s="1" t="str">
        <f>Reporting_currency</f>
        <v>CNY</v>
      </c>
    </row>
    <row r="45" spans="1:6">
      <c r="B45" s="52" t="s">
        <v>231</v>
      </c>
      <c r="C45" s="349">
        <f>Normalized_FCF!C10</f>
        <v>-74606</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801.81967938187529</v>
      </c>
      <c r="D51" s="1" t="str">
        <f>Reporting_currency</f>
        <v>CNY</v>
      </c>
      <c r="E51" s="286"/>
      <c r="F51" s="286"/>
    </row>
    <row r="52" spans="2:6">
      <c r="B52" s="47" t="s">
        <v>332</v>
      </c>
      <c r="C52" s="350">
        <f>Normalized_FCF!C47</f>
        <v>-2807</v>
      </c>
      <c r="D52" s="1" t="str">
        <f>Reporting_currency</f>
        <v>CNY</v>
      </c>
      <c r="E52" s="286"/>
      <c r="F52" s="286"/>
    </row>
    <row r="53" spans="2:6">
      <c r="B53" s="47" t="s">
        <v>234</v>
      </c>
      <c r="C53" s="349">
        <f>Normalized_FCF!C12</f>
        <v>-2005.1803206181248</v>
      </c>
      <c r="D53" s="1" t="str">
        <f>Reporting_currency</f>
        <v>CNY</v>
      </c>
    </row>
    <row r="55" spans="2:6">
      <c r="B55" s="1" t="s">
        <v>242</v>
      </c>
    </row>
    <row r="56" spans="2:6">
      <c r="B56" s="47" t="s">
        <v>261</v>
      </c>
      <c r="C56" s="349">
        <f>Normalized_FCF!C15</f>
        <v>-223.13946170149947</v>
      </c>
      <c r="D56" s="1" t="str">
        <f>Reporting_currency</f>
        <v>CNY</v>
      </c>
    </row>
    <row r="58" spans="2:6">
      <c r="B58" s="370" t="s">
        <v>237</v>
      </c>
      <c r="C58" s="370"/>
      <c r="D58" s="370"/>
      <c r="E58" s="370"/>
      <c r="F58" s="370"/>
    </row>
    <row r="59" spans="2:6">
      <c r="B59" s="47" t="s">
        <v>235</v>
      </c>
      <c r="C59" s="349">
        <f>Normalized_FCF!C14</f>
        <v>-30043.220876057931</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141358.4276163358</v>
      </c>
      <c r="D67" s="1" t="str">
        <f>Reporting_currency</f>
        <v>CNY</v>
      </c>
    </row>
    <row r="68" spans="1:6">
      <c r="B68" s="47" t="s">
        <v>244</v>
      </c>
      <c r="C68" s="349">
        <f>Normalized_FCF!C19</f>
        <v>89906.523166472296</v>
      </c>
      <c r="D68" s="1" t="str">
        <f>Reporting_currency</f>
        <v>CNY</v>
      </c>
    </row>
    <row r="69" spans="1:6">
      <c r="B69" s="227" t="s">
        <v>371</v>
      </c>
      <c r="C69" s="92">
        <f>Normalized_FCF!C126</f>
        <v>0.10951606681319212</v>
      </c>
      <c r="F69" s="314"/>
    </row>
    <row r="70" spans="1:6">
      <c r="B70" s="227" t="s">
        <v>435</v>
      </c>
      <c r="C70" s="92">
        <f>Normalized_FCF!C94</f>
        <v>6.6666666666666666E-2</v>
      </c>
      <c r="E70" s="47" t="s">
        <v>425</v>
      </c>
      <c r="F70" s="315">
        <f>Normalized_FCF!C92</f>
        <v>0.74012355537751062</v>
      </c>
    </row>
    <row r="72" spans="1:6">
      <c r="B72" s="210" t="s">
        <v>428</v>
      </c>
      <c r="C72" s="323" t="s">
        <v>430</v>
      </c>
      <c r="D72" s="323" t="s">
        <v>431</v>
      </c>
    </row>
    <row r="73" spans="1:6">
      <c r="B73" s="47" t="s">
        <v>429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471</v>
      </c>
      <c r="B78" s="36"/>
      <c r="C78" s="36"/>
      <c r="D78" s="36"/>
      <c r="E78" s="36"/>
      <c r="F78" s="36"/>
    </row>
    <row r="79" spans="1:6">
      <c r="A79" s="209"/>
    </row>
    <row r="80" spans="1:6">
      <c r="A80" s="17"/>
      <c r="B80" s="374" t="s">
        <v>472</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27.59804883692442</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91887</v>
      </c>
      <c r="D102" s="1" t="str">
        <f>Reporting_currency</f>
        <v>CNY</v>
      </c>
    </row>
    <row r="103" spans="2:6">
      <c r="B103" s="47" t="s">
        <v>276</v>
      </c>
      <c r="C103" s="223">
        <f>C102*scaling_factor*Exchange_Rate/Common_Shares</f>
        <v>2.1154487662560584</v>
      </c>
      <c r="D103" s="1" t="str">
        <f>Market_currency</f>
        <v>HKD</v>
      </c>
    </row>
    <row r="104" spans="2:6">
      <c r="B104" s="296" t="s">
        <v>384</v>
      </c>
      <c r="C104" s="325">
        <f>IF(BS!G31/BS!G27&gt;300%,"nm",BS!G31/BS!G27)</f>
        <v>0.12260820136742831</v>
      </c>
    </row>
    <row r="105" spans="2:6">
      <c r="B105" s="296" t="s">
        <v>386</v>
      </c>
      <c r="C105" s="326">
        <f>IF(BS!C50&gt;30,"nm",BS!C50)</f>
        <v>0.75207444874659302</v>
      </c>
    </row>
    <row r="107" spans="2:6">
      <c r="B107" s="1" t="s">
        <v>250</v>
      </c>
    </row>
    <row r="108" spans="2:6">
      <c r="B108" s="47" t="s">
        <v>260</v>
      </c>
      <c r="C108" s="349">
        <f>BS!C66</f>
        <v>154196</v>
      </c>
      <c r="D108" s="1" t="str">
        <f>Reporting_currency</f>
        <v>CNY</v>
      </c>
    </row>
    <row r="109" spans="2:6">
      <c r="B109" s="47" t="s">
        <v>262</v>
      </c>
      <c r="C109" s="349">
        <f>DCF!C8</f>
        <v>100741.35470787497</v>
      </c>
      <c r="D109" s="1" t="str">
        <f>Reporting_currency</f>
        <v>CNY</v>
      </c>
    </row>
    <row r="110" spans="2:6">
      <c r="B110" s="47" t="s">
        <v>277</v>
      </c>
      <c r="C110" s="223">
        <f>C109*scaling_factor*Exchange_Rate/Common_Shares</f>
        <v>2.3192962500434016</v>
      </c>
      <c r="D110" s="1" t="str">
        <f>Market_currency</f>
        <v>HKD</v>
      </c>
    </row>
    <row r="112" spans="2:6">
      <c r="B112" s="1" t="s">
        <v>252</v>
      </c>
    </row>
    <row r="113" spans="1:6">
      <c r="B113" s="47" t="s">
        <v>253</v>
      </c>
      <c r="C113" s="349">
        <f>DCF!C9</f>
        <v>5113.2</v>
      </c>
      <c r="D113" s="1" t="str">
        <f>Reporting_currency</f>
        <v>CNY</v>
      </c>
    </row>
    <row r="114" spans="1:6">
      <c r="B114" s="47" t="s">
        <v>278</v>
      </c>
      <c r="C114" s="223">
        <f>C113*scaling_factor*Exchange_Rate/Common_Shares</f>
        <v>0.11771755124903932</v>
      </c>
      <c r="D114" s="1" t="str">
        <f>Market_currency</f>
        <v>HKD</v>
      </c>
    </row>
    <row r="116" spans="1:6" ht="24.6" customHeight="1">
      <c r="B116" s="374" t="s">
        <v>352</v>
      </c>
      <c r="C116" s="374"/>
      <c r="D116" s="374"/>
      <c r="E116" s="374"/>
      <c r="F116" s="374"/>
    </row>
    <row r="118" spans="1:6">
      <c r="B118" s="47" t="s">
        <v>426</v>
      </c>
      <c r="C118" s="223">
        <f>IF(valuation_method="DCF",DCF!C12,DDM!C7)</f>
        <v>27.919613871960802</v>
      </c>
      <c r="D118" s="1" t="str">
        <f>Market_currency</f>
        <v>HKD</v>
      </c>
    </row>
    <row r="119" spans="1:6">
      <c r="B119" s="296" t="s">
        <v>550</v>
      </c>
      <c r="C119" s="223">
        <f>BS!D47</f>
        <v>-0.45863616237436727</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15</v>
      </c>
      <c r="E126" s="231" t="str">
        <f>ROUND(IF(valuation_method="DCF",DCF!E74,DDM!E69),2)&amp;" "&amp;Market_currency</f>
        <v>38.01 HKD</v>
      </c>
      <c r="F126" s="232">
        <f>DCF!F74</f>
        <v>0.05</v>
      </c>
    </row>
    <row r="127" spans="1:6">
      <c r="B127" s="218" t="str">
        <f>DCF!B75</f>
        <v>Optimistic</v>
      </c>
      <c r="C127" s="219">
        <f>DCF!C75</f>
        <v>0.02</v>
      </c>
      <c r="D127" s="220">
        <f>DCF!D75</f>
        <v>10</v>
      </c>
      <c r="E127" s="231" t="str">
        <f>ROUND(IF(valuation_method="DCF",DCF!E75,DDM!E70),2)&amp;" "&amp;Market_currency</f>
        <v>29.66 HKD</v>
      </c>
      <c r="F127" s="221">
        <f>DCF!F75</f>
        <v>0.18</v>
      </c>
    </row>
    <row r="128" spans="1:6">
      <c r="B128" s="218" t="str">
        <f>DCF!B76</f>
        <v>Base</v>
      </c>
      <c r="C128" s="219">
        <f>DCF!C76</f>
        <v>0.01</v>
      </c>
      <c r="D128" s="220">
        <f>DCF!D76</f>
        <v>10</v>
      </c>
      <c r="E128" s="231" t="str">
        <f>ROUND(IF(valuation_method="DCF",DCF!E76,DDM!E71),2)&amp;" "&amp;Market_currency</f>
        <v>28.77 HKD</v>
      </c>
      <c r="F128" s="221">
        <f>DCF!F76</f>
        <v>0.53999999999999992</v>
      </c>
    </row>
    <row r="129" spans="1:6">
      <c r="B129" s="218" t="str">
        <f>DCF!B77</f>
        <v>Pessimistic</v>
      </c>
      <c r="C129" s="219">
        <f>DCF!C77</f>
        <v>-0.01</v>
      </c>
      <c r="D129" s="220">
        <f>DCF!D77</f>
        <v>10</v>
      </c>
      <c r="E129" s="231" t="str">
        <f>ROUND(IF(valuation_method="DCF",DCF!E77,DDM!E72),2)&amp;" "&amp;Market_currency</f>
        <v>27.11 HKD</v>
      </c>
      <c r="F129" s="221">
        <f>DCF!F77</f>
        <v>0.18</v>
      </c>
    </row>
    <row r="130" spans="1:6">
      <c r="B130" s="218" t="str">
        <f>DCF!B78</f>
        <v>Devil's advocate</v>
      </c>
      <c r="C130" s="219">
        <f>DCF!C78</f>
        <v>-0.15</v>
      </c>
      <c r="D130" s="220">
        <f>DCF!D78</f>
        <v>15</v>
      </c>
      <c r="E130" s="231" t="str">
        <f>ROUND(IF(valuation_method="DCF",DCF!E78,DDM!E73),2)&amp;" "&amp;Market_currency</f>
        <v>15.84 HKD</v>
      </c>
      <c r="F130" s="221">
        <f>DCF!F78</f>
        <v>0.05</v>
      </c>
    </row>
    <row r="132" spans="1:6">
      <c r="B132" s="211" t="s">
        <v>254</v>
      </c>
      <c r="C132" s="217">
        <f>Scenarios!C60</f>
        <v>28.446935271447302</v>
      </c>
      <c r="D132" s="212" t="str">
        <f>Market_currency</f>
        <v>HKD</v>
      </c>
    </row>
    <row r="134" spans="1:6" ht="24.6" customHeight="1">
      <c r="B134" s="372" t="s">
        <v>475</v>
      </c>
      <c r="C134" s="372"/>
      <c r="D134" s="372"/>
      <c r="E134" s="372"/>
      <c r="F134" s="372"/>
    </row>
    <row r="136" spans="1:6" ht="13.9">
      <c r="A136" s="222" t="s">
        <v>476</v>
      </c>
      <c r="B136" s="36"/>
      <c r="C136" s="36"/>
      <c r="D136" s="36"/>
      <c r="E136" s="36"/>
      <c r="F136" s="36"/>
    </row>
    <row r="138" spans="1:6">
      <c r="B138" s="373" t="s">
        <v>353</v>
      </c>
      <c r="C138" s="373"/>
      <c r="D138" s="373"/>
      <c r="E138" s="373"/>
      <c r="F138" s="373"/>
    </row>
    <row r="139" spans="1:6">
      <c r="B139" s="374" t="s">
        <v>477</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1.26</v>
      </c>
      <c r="D143" s="212" t="str">
        <f>Market_currency</f>
        <v>HKD</v>
      </c>
    </row>
    <row r="145" spans="2:4">
      <c r="B145" s="210" t="s">
        <v>388</v>
      </c>
      <c r="C145" s="241" t="str">
        <f>C11</f>
        <v>0883.HK</v>
      </c>
      <c r="D145" s="241" t="str">
        <f>IF(D11="","",D11)</f>
        <v>600938.SS</v>
      </c>
    </row>
    <row r="146" spans="2:4">
      <c r="B146" s="1" t="s">
        <v>387</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11.562032320864622</v>
      </c>
    </row>
    <row r="149" spans="2:4">
      <c r="B149" s="80" t="s">
        <v>256</v>
      </c>
      <c r="C149" s="215">
        <f>Scenarios!C83</f>
        <v>13.698840734216246</v>
      </c>
      <c r="D149" s="300">
        <f>IF($D$11="","",C149*$E$25)</f>
        <v>12.518952267497712</v>
      </c>
    </row>
    <row r="150" spans="2:4">
      <c r="B150" s="259" t="s">
        <v>396</v>
      </c>
      <c r="C150" s="298" t="str">
        <f>Market_currency</f>
        <v>HKD</v>
      </c>
      <c r="D150" s="298" t="str">
        <f>IF($D$11="","",D$13)</f>
        <v>CNY</v>
      </c>
    </row>
    <row r="151" spans="2:4">
      <c r="B151" s="214" t="s">
        <v>258</v>
      </c>
      <c r="C151" s="92">
        <f>Scenarios!F83</f>
        <v>0.51844229954830956</v>
      </c>
    </row>
    <row r="153" spans="2:4">
      <c r="B153" s="210" t="s">
        <v>391</v>
      </c>
    </row>
    <row r="154" spans="2:4">
      <c r="B154" s="1" t="s">
        <v>390</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14.564830858981018</v>
      </c>
    </row>
    <row r="157" spans="2:4">
      <c r="B157" s="80" t="s">
        <v>256</v>
      </c>
      <c r="C157" s="215">
        <f>Scenarios!C93</f>
        <v>17.02435085898102</v>
      </c>
      <c r="D157" s="300">
        <f>IF($D$11="","",C157*$E$25)</f>
        <v>15.558034429612684</v>
      </c>
    </row>
    <row r="158" spans="2:4">
      <c r="B158" s="259" t="s">
        <v>396</v>
      </c>
      <c r="C158" s="298" t="str">
        <f>Market_currency</f>
        <v>HKD</v>
      </c>
      <c r="D158" s="298" t="str">
        <f>IF($D$11="","",D$13)</f>
        <v>CNY</v>
      </c>
    </row>
    <row r="159" spans="2:4">
      <c r="B159" s="214" t="s">
        <v>258</v>
      </c>
      <c r="C159" s="92">
        <f>Scenarios!F93</f>
        <v>0.40154007113488022</v>
      </c>
    </row>
    <row r="161" spans="2:4">
      <c r="B161" s="210" t="s">
        <v>381</v>
      </c>
    </row>
    <row r="162" spans="2:4">
      <c r="B162" s="1" t="s">
        <v>389</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22.898661216907033</v>
      </c>
    </row>
    <row r="165" spans="2:4">
      <c r="B165" s="80" t="s">
        <v>382</v>
      </c>
      <c r="C165" s="215">
        <f>Scenarios!C99</f>
        <v>26.175323649145703</v>
      </c>
      <c r="D165" s="300">
        <f>IF($D$11="","",C165*$E$25)</f>
        <v>23.920829047342533</v>
      </c>
    </row>
    <row r="166" spans="2:4">
      <c r="B166" s="259" t="s">
        <v>396</v>
      </c>
      <c r="C166" s="298" t="str">
        <f>Market_currency</f>
        <v>HKD</v>
      </c>
      <c r="D166" s="298" t="str">
        <f>IF($D$11="","",D$13)</f>
        <v>CNY</v>
      </c>
    </row>
    <row r="167" spans="2:4">
      <c r="B167" s="214" t="s">
        <v>258</v>
      </c>
      <c r="C167" s="92">
        <f>Scenarios!F99</f>
        <v>7.9854353399596456E-2</v>
      </c>
    </row>
    <row r="169" spans="2:4">
      <c r="B169" s="210" t="s">
        <v>409</v>
      </c>
    </row>
    <row r="170" spans="2:4">
      <c r="B170" s="1" t="s">
        <v>400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20.38963650522922</v>
      </c>
    </row>
    <row r="173" spans="2:4">
      <c r="B173" s="80" t="s">
        <v>382</v>
      </c>
      <c r="C173" s="215">
        <f>Scenarios!C105</f>
        <v>23.429516443911918</v>
      </c>
      <c r="D173" s="300">
        <f>IF($D$11="","",C173*$E$25)</f>
        <v>21.411519682776092</v>
      </c>
    </row>
    <row r="174" spans="2:4">
      <c r="B174" s="259" t="s">
        <v>396</v>
      </c>
      <c r="C174" s="298" t="str">
        <f>Market_currency</f>
        <v>HKD</v>
      </c>
      <c r="D174" s="298" t="str">
        <f>IF($D$11="","",D$13)</f>
        <v>CNY</v>
      </c>
    </row>
    <row r="175" spans="2:4">
      <c r="B175" s="214" t="s">
        <v>258</v>
      </c>
      <c r="C175" s="92">
        <f>Scenarios!F105</f>
        <v>0.20975173175009654</v>
      </c>
    </row>
    <row r="177" spans="1:6" ht="13.9">
      <c r="A177" s="222" t="s">
        <v>357</v>
      </c>
      <c r="B177" s="36"/>
      <c r="C177" s="36"/>
      <c r="D177" s="36"/>
      <c r="E177" s="36"/>
      <c r="F177" s="36"/>
    </row>
    <row r="179" spans="1:6">
      <c r="B179" s="375" t="s">
        <v>478</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c r="B5" s="40" t="s">
        <v>41</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c r="B6" s="40" t="s">
        <v>52</v>
      </c>
      <c r="C6" s="351">
        <v>10745</v>
      </c>
      <c r="D6" s="351">
        <v>10513</v>
      </c>
      <c r="E6" s="351">
        <v>9711</v>
      </c>
      <c r="F6" s="351">
        <v>7912</v>
      </c>
      <c r="G6" s="351">
        <v>7881.8548000000001</v>
      </c>
      <c r="H6" s="351">
        <v>7386.8598000000002</v>
      </c>
      <c r="I6" s="351">
        <v>6980.6142</v>
      </c>
      <c r="J6" s="351">
        <v>134983</v>
      </c>
      <c r="K6" s="351">
        <v>123705</v>
      </c>
      <c r="L6" s="351">
        <v>118753</v>
      </c>
      <c r="M6" s="351"/>
    </row>
    <row r="7" spans="2:13">
      <c r="B7" s="69" t="s">
        <v>59</v>
      </c>
      <c r="C7" s="352">
        <v>3532</v>
      </c>
      <c r="D7" s="352">
        <v>3501</v>
      </c>
      <c r="E7" s="352">
        <v>3355</v>
      </c>
      <c r="F7" s="352">
        <v>2694</v>
      </c>
      <c r="G7" s="352">
        <v>3048.0317</v>
      </c>
      <c r="H7" s="352">
        <v>2798.4634999999998</v>
      </c>
      <c r="I7" s="352">
        <v>2444.741</v>
      </c>
      <c r="J7" s="352">
        <v>56055</v>
      </c>
      <c r="K7" s="352">
        <v>49550</v>
      </c>
      <c r="L7" s="352">
        <v>46872</v>
      </c>
      <c r="M7" s="352"/>
    </row>
    <row r="8" spans="2:13">
      <c r="B8" s="40" t="s">
        <v>47</v>
      </c>
      <c r="C8" s="351">
        <v>1711</v>
      </c>
      <c r="D8" s="351">
        <v>1605</v>
      </c>
      <c r="E8" s="351">
        <v>1527</v>
      </c>
      <c r="F8" s="351">
        <v>1506</v>
      </c>
      <c r="G8" s="351">
        <v>1321.0753999999999</v>
      </c>
      <c r="H8" s="351">
        <v>984.92179999999996</v>
      </c>
      <c r="I8" s="351">
        <v>715.09730000000002</v>
      </c>
      <c r="J8" s="351">
        <v>0</v>
      </c>
      <c r="K8" s="351">
        <v>0</v>
      </c>
      <c r="L8" s="351">
        <v>0</v>
      </c>
      <c r="M8" s="351"/>
    </row>
    <row r="9" spans="2:13">
      <c r="B9" s="40" t="s">
        <v>155</v>
      </c>
      <c r="C9" s="351">
        <v>1836</v>
      </c>
      <c r="D9" s="351">
        <v>1931</v>
      </c>
      <c r="E9" s="351">
        <v>1911</v>
      </c>
      <c r="F9" s="351">
        <v>346</v>
      </c>
      <c r="G9" s="351">
        <v>-632.40350000000001</v>
      </c>
      <c r="H9" s="351">
        <v>1002.7065</v>
      </c>
      <c r="I9" s="351">
        <v>-5186.9755999999998</v>
      </c>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2807</v>
      </c>
      <c r="D12" s="351">
        <v>2423</v>
      </c>
      <c r="E12" s="351">
        <v>3129</v>
      </c>
      <c r="F12" s="351">
        <v>3199</v>
      </c>
      <c r="G12" s="351">
        <v>3553.9661000000001</v>
      </c>
      <c r="H12" s="351">
        <v>3069.9225999999999</v>
      </c>
      <c r="I12" s="351">
        <v>2601.9825999999998</v>
      </c>
      <c r="J12" s="351">
        <v>0</v>
      </c>
      <c r="K12" s="351">
        <v>0</v>
      </c>
      <c r="L12" s="351">
        <v>0</v>
      </c>
      <c r="M12" s="351"/>
    </row>
    <row r="13" spans="2:13">
      <c r="B13" s="40" t="s">
        <v>65</v>
      </c>
      <c r="C13" s="351">
        <v>4582</v>
      </c>
      <c r="D13" s="351">
        <v>4805</v>
      </c>
      <c r="E13" s="351">
        <v>2980</v>
      </c>
      <c r="F13" s="351">
        <v>1341</v>
      </c>
      <c r="G13" s="351">
        <v>1472.9675999999999</v>
      </c>
      <c r="H13" s="351">
        <v>1066.8196</v>
      </c>
      <c r="I13" s="351">
        <v>798.00549999999998</v>
      </c>
      <c r="J13" s="351">
        <v>0</v>
      </c>
      <c r="K13" s="351">
        <v>0</v>
      </c>
      <c r="L13" s="351">
        <v>0</v>
      </c>
      <c r="M13" s="351"/>
    </row>
    <row r="14" spans="2:13">
      <c r="B14" s="40" t="s">
        <v>48</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c r="B15" s="43" t="s">
        <v>40</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c r="B16" s="28" t="s">
        <v>42</v>
      </c>
      <c r="C16" s="351">
        <v>46</v>
      </c>
      <c r="D16" s="351">
        <v>247</v>
      </c>
      <c r="E16" s="351">
        <v>-23</v>
      </c>
      <c r="F16" s="351">
        <v>-13</v>
      </c>
      <c r="G16" s="351">
        <v>-1.1203000000000001</v>
      </c>
      <c r="H16" s="351">
        <v>6.4699999999999994E-2</v>
      </c>
      <c r="I16" s="351">
        <v>-1E-4</v>
      </c>
      <c r="J16" s="351">
        <v>19175</v>
      </c>
      <c r="K16" s="351">
        <v>12754</v>
      </c>
      <c r="L16" s="351">
        <v>11139</v>
      </c>
      <c r="M16" s="351"/>
    </row>
    <row r="18" spans="2:13">
      <c r="B18" s="16" t="s">
        <v>49</v>
      </c>
      <c r="C18" s="9"/>
    </row>
    <row r="19" spans="2:13">
      <c r="B19" s="27" t="s">
        <v>45</v>
      </c>
      <c r="C19" s="351">
        <v>74606</v>
      </c>
      <c r="D19" s="351">
        <v>68947</v>
      </c>
      <c r="E19" s="351">
        <v>62852</v>
      </c>
      <c r="F19" s="351">
        <v>55963</v>
      </c>
      <c r="G19" s="351">
        <v>51078.741900000001</v>
      </c>
      <c r="H19" s="351">
        <v>56363.515599999999</v>
      </c>
      <c r="I19" s="351">
        <v>50838.249000000003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c r="B23" s="27" t="s">
        <v>356</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c r="B24" s="27" t="s">
        <v>355</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26</v>
      </c>
      <c r="C27" s="97" t="s">
        <v>559</v>
      </c>
    </row>
    <row r="28" spans="2:13">
      <c r="B28" s="26" t="s">
        <v>22</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c r="B29" s="26" t="s">
        <v>30</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c r="B30" s="29" t="s">
        <v>38</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c r="B31" s="29" t="s">
        <v>28</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c r="B32" s="26" t="s">
        <v>168</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c r="B37" s="40" t="s">
        <v>41</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c r="B38" s="31" t="s">
        <v>56</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c r="B39" s="40" t="s">
        <v>52</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c r="B40" s="69" t="s">
        <v>59</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c r="B41" s="69" t="s">
        <v>62</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c r="B42" s="40" t="s">
        <v>47</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c r="B43" s="43" t="s">
        <v>148</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c r="B44" s="43" t="s">
        <v>164</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c r="B45" s="40" t="s">
        <v>66</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c r="B46" s="40" t="s">
        <v>48</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c r="B47" s="43" t="s">
        <v>40</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c r="B48" s="28" t="s">
        <v>42</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c r="B50" s="16" t="s">
        <v>66</v>
      </c>
    </row>
    <row r="51" spans="2:13">
      <c r="B51" s="40" t="s">
        <v>37</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c r="B52" s="40" t="s">
        <v>65</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c r="B54" s="174" t="s">
        <v>164</v>
      </c>
    </row>
    <row r="55" spans="2:13">
      <c r="B55" s="40" t="s">
        <v>155</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c r="B60" s="16" t="s">
        <v>49</v>
      </c>
      <c r="C60" s="9"/>
    </row>
    <row r="61" spans="2:13">
      <c r="B61" s="27" t="s">
        <v>45</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c r="B62" s="27" t="s">
        <v>51</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c r="B65" s="24" t="s">
        <v>34</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56</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164</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c r="B77" s="93" t="s">
        <v>83</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c r="B78" s="93" t="s">
        <v>84</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c r="B79" s="26" t="s">
        <v>38</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c r="B80" s="26" t="s">
        <v>28</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33661</v>
      </c>
      <c r="D4" s="261">
        <v>0.6</v>
      </c>
      <c r="E4" s="25"/>
      <c r="F4" s="4" t="s">
        <v>75</v>
      </c>
      <c r="G4" s="19">
        <f>72912+81284</f>
        <v>154196</v>
      </c>
      <c r="H4" s="261">
        <v>0.9</v>
      </c>
    </row>
    <row r="5" spans="2:8" ht="15" customHeight="1">
      <c r="B5" s="1" t="s">
        <v>31</v>
      </c>
      <c r="C5" s="19">
        <f>45771+4</f>
        <v>45775</v>
      </c>
      <c r="D5" s="261">
        <v>0.6</v>
      </c>
      <c r="E5" s="25"/>
      <c r="F5" s="1" t="s">
        <v>27</v>
      </c>
      <c r="G5" s="19">
        <v>0</v>
      </c>
      <c r="H5" s="261">
        <v>0.7</v>
      </c>
    </row>
    <row r="6" spans="2:8" ht="15" customHeight="1">
      <c r="B6" s="4" t="s">
        <v>8</v>
      </c>
      <c r="C6" s="19">
        <v>5732</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f>12837+12408</f>
        <v>25245</v>
      </c>
      <c r="D11" s="261">
        <v>0.05</v>
      </c>
      <c r="H11" s="262"/>
    </row>
    <row r="12" spans="2:8" ht="15" customHeight="1">
      <c r="B12" s="80" t="s">
        <v>70</v>
      </c>
      <c r="C12" s="81">
        <f>SUM(C4:C11)</f>
        <v>110413</v>
      </c>
      <c r="D12" s="20">
        <f>C4*D4+C5*D5+C9*D9+C6*D6+C8*D8+C7*D7+C10*D10+C11*D11</f>
        <v>51789.85</v>
      </c>
      <c r="F12" s="80" t="s">
        <v>68</v>
      </c>
      <c r="G12" s="81">
        <f>SUM(G4:G9)</f>
        <v>154196</v>
      </c>
      <c r="H12" s="20">
        <f>G4*H4+G5*H5+G6*H6+G7*H7+G8*H8+G9*H9</f>
        <v>138776.4</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8504+18</f>
        <v>8522</v>
      </c>
      <c r="H17" s="261">
        <v>0.6</v>
      </c>
    </row>
    <row r="18" spans="2:8" ht="15" customHeight="1">
      <c r="B18" s="4" t="s">
        <v>169</v>
      </c>
      <c r="C18" s="19">
        <v>0</v>
      </c>
      <c r="D18" s="261">
        <v>0.6</v>
      </c>
      <c r="F18" s="4" t="s">
        <v>177</v>
      </c>
      <c r="G18" s="19">
        <f>25047+23444</f>
        <v>48491</v>
      </c>
      <c r="H18" s="261">
        <v>0.1</v>
      </c>
    </row>
    <row r="19" spans="2:8" ht="15" customHeight="1">
      <c r="B19" s="4" t="s">
        <v>24</v>
      </c>
      <c r="C19" s="19">
        <f>632410+12755</f>
        <v>645165</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16961</v>
      </c>
      <c r="D21" s="261">
        <v>0.05</v>
      </c>
      <c r="F21" s="1" t="s">
        <v>176</v>
      </c>
      <c r="G21" s="19">
        <v>0</v>
      </c>
      <c r="H21" s="261">
        <v>0.1</v>
      </c>
    </row>
    <row r="22" spans="2:8" ht="15" customHeight="1">
      <c r="B22" s="4" t="s">
        <v>18</v>
      </c>
      <c r="C22" s="19">
        <v>25465</v>
      </c>
      <c r="D22" s="261">
        <v>0.9</v>
      </c>
      <c r="H22" s="262"/>
    </row>
    <row r="23" spans="2:8" ht="15" customHeight="1">
      <c r="B23" s="4" t="s">
        <v>19</v>
      </c>
      <c r="C23" s="19">
        <v>47068</v>
      </c>
      <c r="D23" s="261">
        <v>0</v>
      </c>
      <c r="H23" s="262"/>
    </row>
    <row r="24" spans="2:8" ht="15" customHeight="1">
      <c r="B24" s="80" t="s">
        <v>71</v>
      </c>
      <c r="C24" s="81">
        <f>SUM(C15:C23)</f>
        <v>734659</v>
      </c>
      <c r="D24" s="20">
        <f>C15*D15+C16*D16+C18*D18+C17*D17+C19*D19+C20*D20+C21*D21+C22*D22+C23*D23</f>
        <v>88283.05</v>
      </c>
      <c r="F24" s="80" t="s">
        <v>69</v>
      </c>
      <c r="G24" s="81">
        <f>SUM(G15:G21)</f>
        <v>57013</v>
      </c>
      <c r="H24" s="20">
        <f>G15*H15+G16*H16+G17*H17+G18*H18+G19*H19+G20*H20+G21*H21</f>
        <v>9962.2999999999993</v>
      </c>
    </row>
    <row r="26" spans="2:8" ht="15" customHeight="1">
      <c r="B26" s="16" t="s">
        <v>196</v>
      </c>
      <c r="C26" s="182" t="s">
        <v>132</v>
      </c>
      <c r="F26" s="184" t="s">
        <v>192</v>
      </c>
      <c r="G26" s="185" t="s">
        <v>132</v>
      </c>
      <c r="H26" s="186" t="s">
        <v>33</v>
      </c>
    </row>
    <row r="27" spans="2:8" ht="15" customHeight="1">
      <c r="B27" s="4" t="s">
        <v>3</v>
      </c>
      <c r="C27" s="19">
        <v>20084</v>
      </c>
      <c r="F27" s="187" t="s">
        <v>28</v>
      </c>
      <c r="G27" s="85">
        <f>G32-G30</f>
        <v>749436</v>
      </c>
      <c r="H27" s="188">
        <f>H32-G30</f>
        <v>-18033.400000000023</v>
      </c>
    </row>
    <row r="28" spans="2:8" ht="15" customHeight="1">
      <c r="B28" s="4" t="s">
        <v>4</v>
      </c>
      <c r="C28" s="19">
        <v>2264</v>
      </c>
      <c r="F28" s="189" t="s">
        <v>240</v>
      </c>
      <c r="G28" s="12">
        <v>1888</v>
      </c>
      <c r="H28" s="188"/>
    </row>
    <row r="29" spans="2:8" ht="15" customHeight="1">
      <c r="B29" s="4" t="s">
        <v>5</v>
      </c>
      <c r="C29" s="19">
        <v>0</v>
      </c>
      <c r="F29" s="190" t="s">
        <v>73</v>
      </c>
      <c r="G29" s="14">
        <f>G27-G28</f>
        <v>747548</v>
      </c>
      <c r="H29" s="188">
        <f>H27-G28</f>
        <v>-19921.400000000023</v>
      </c>
    </row>
    <row r="30" spans="2:8" ht="15" customHeight="1">
      <c r="B30" s="2" t="s">
        <v>6</v>
      </c>
      <c r="C30" s="19">
        <v>0</v>
      </c>
      <c r="F30" s="187" t="s">
        <v>21</v>
      </c>
      <c r="G30" s="85">
        <f>C33+C42</f>
        <v>306845</v>
      </c>
      <c r="H30" s="188"/>
    </row>
    <row r="31" spans="2:8" ht="15" customHeight="1">
      <c r="B31" s="80" t="s">
        <v>199</v>
      </c>
      <c r="C31" s="81">
        <f>SUM(C27:C30)</f>
        <v>22348</v>
      </c>
      <c r="F31" s="190" t="s">
        <v>74</v>
      </c>
      <c r="G31" s="191">
        <f>C31+C40</f>
        <v>91887</v>
      </c>
      <c r="H31" s="188"/>
    </row>
    <row r="32" spans="2:8" ht="15" customHeight="1">
      <c r="B32" s="4" t="s">
        <v>7</v>
      </c>
      <c r="C32" s="21">
        <f>C33-C31</f>
        <v>96527</v>
      </c>
      <c r="F32" s="192" t="s">
        <v>72</v>
      </c>
      <c r="G32" s="193">
        <f>G35+G40</f>
        <v>1056281</v>
      </c>
      <c r="H32" s="188">
        <f>H35+H40</f>
        <v>288811.59999999998</v>
      </c>
    </row>
    <row r="33" spans="2:8" ht="15" customHeight="1">
      <c r="B33" s="83" t="s">
        <v>2</v>
      </c>
      <c r="C33" s="84">
        <v>118875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845072</v>
      </c>
      <c r="H35" s="200">
        <f>D12+D24</f>
        <v>140072.9</v>
      </c>
    </row>
    <row r="36" spans="2:8" ht="15" customHeight="1">
      <c r="B36" s="4" t="s">
        <v>11</v>
      </c>
      <c r="C36" s="19">
        <v>61243</v>
      </c>
      <c r="F36" s="190" t="s">
        <v>193</v>
      </c>
      <c r="G36" s="191">
        <f>C4+C15</f>
        <v>33661</v>
      </c>
      <c r="H36" s="195"/>
    </row>
    <row r="37" spans="2:8" ht="15" customHeight="1">
      <c r="B37" s="4" t="s">
        <v>12</v>
      </c>
      <c r="C37" s="19">
        <v>8296</v>
      </c>
      <c r="F37" s="190" t="s">
        <v>194</v>
      </c>
      <c r="G37" s="191">
        <f>C6</f>
        <v>5732</v>
      </c>
      <c r="H37" s="195"/>
    </row>
    <row r="38" spans="2:8" ht="15" customHeight="1">
      <c r="B38" s="4" t="s">
        <v>13</v>
      </c>
      <c r="C38" s="19">
        <v>0</v>
      </c>
      <c r="F38" s="190" t="s">
        <v>195</v>
      </c>
      <c r="G38" s="191">
        <f>C7+C17</f>
        <v>0</v>
      </c>
      <c r="H38" s="195"/>
    </row>
    <row r="39" spans="2:8" ht="15" customHeight="1">
      <c r="B39" s="2" t="s">
        <v>14</v>
      </c>
      <c r="C39" s="19">
        <v>0</v>
      </c>
      <c r="F39" s="190" t="s">
        <v>77</v>
      </c>
      <c r="G39" s="191">
        <f>C7+C17+C19+C20</f>
        <v>645165</v>
      </c>
      <c r="H39" s="188">
        <f>C7*D7+C17*D17+C19*D19+C20*D20</f>
        <v>64516.5</v>
      </c>
    </row>
    <row r="40" spans="2:8" ht="15" customHeight="1">
      <c r="B40" s="80" t="s">
        <v>200</v>
      </c>
      <c r="C40" s="81">
        <f>SUM(C36:C39)</f>
        <v>69539</v>
      </c>
      <c r="F40" s="199" t="s">
        <v>134</v>
      </c>
      <c r="G40" s="193">
        <f>G12+G24</f>
        <v>211209</v>
      </c>
      <c r="H40" s="200">
        <f>H12+H24</f>
        <v>148738.69999999998</v>
      </c>
    </row>
    <row r="41" spans="2:8" ht="15" customHeight="1">
      <c r="B41" s="4" t="s">
        <v>15</v>
      </c>
      <c r="C41" s="21">
        <f>C42-C40</f>
        <v>118431</v>
      </c>
      <c r="F41" s="190" t="s">
        <v>187</v>
      </c>
      <c r="G41" s="191">
        <f>C70</f>
        <v>202687</v>
      </c>
      <c r="H41" s="200">
        <f>H40-H42</f>
        <v>143625.49999999997</v>
      </c>
    </row>
    <row r="42" spans="2:8" ht="15" customHeight="1">
      <c r="B42" s="83" t="s">
        <v>20</v>
      </c>
      <c r="C42" s="84">
        <v>187970</v>
      </c>
      <c r="F42" s="201" t="s">
        <v>188</v>
      </c>
      <c r="G42" s="202">
        <f>C82</f>
        <v>8522</v>
      </c>
      <c r="H42" s="203">
        <f>D82</f>
        <v>5113.2</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747548</v>
      </c>
      <c r="D46" s="76">
        <f>H29</f>
        <v>-19921.400000000023</v>
      </c>
      <c r="F46" s="253"/>
    </row>
    <row r="47" spans="2:8" ht="15" customHeight="1">
      <c r="B47" s="1" t="str">
        <f>"Equity per share ("&amp;Market_currency&amp;")"</f>
        <v>Equity per share (HKD)</v>
      </c>
      <c r="C47" s="147">
        <f>C46*H1/Common_Shares*Exchange_Rate</f>
        <v>17.210263631603858</v>
      </c>
      <c r="D47" s="147">
        <f>D46*H1/Common_Shares*Exchange_Rate</f>
        <v>-0.45863616237436727</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0.75207444874659302</v>
      </c>
      <c r="D50" s="95">
        <f>G31/Normalized_FCF!G8</f>
        <v>0.47663929536624461</v>
      </c>
      <c r="F50" s="253"/>
    </row>
    <row r="51" spans="2:8" ht="15" customHeight="1">
      <c r="B51" s="1" t="s">
        <v>172</v>
      </c>
      <c r="C51" s="181"/>
      <c r="D51" s="92">
        <f>G29/G32</f>
        <v>0.70771698061406008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0.14457710564880843</v>
      </c>
      <c r="D54" s="92">
        <f>Normalized_FCF!G8/G35</f>
        <v>0.22812375750231934</v>
      </c>
      <c r="F54" s="253"/>
    </row>
    <row r="55" spans="2:8" ht="15" customHeight="1">
      <c r="B55" s="1" t="s">
        <v>137</v>
      </c>
      <c r="C55" s="92">
        <f>Normalized_FCF!C11/G40</f>
        <v>0</v>
      </c>
      <c r="D55" s="92">
        <f>Normalized_FCF!G11/G40</f>
        <v>8.692811385878442E-3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0.1156386350778483</v>
      </c>
      <c r="F58" s="5"/>
    </row>
    <row r="59" spans="2:8" ht="15" customHeight="1">
      <c r="B59" s="1" t="s">
        <v>90</v>
      </c>
      <c r="C59" s="98"/>
      <c r="D59" s="92">
        <f>G39/G32</f>
        <v>0.61078917447156578</v>
      </c>
      <c r="F59" s="253"/>
    </row>
    <row r="60" spans="2:8" ht="15" customHeight="1">
      <c r="F60" s="253"/>
    </row>
    <row r="61" spans="2:8" ht="15" customHeight="1">
      <c r="B61" s="157" t="s">
        <v>269</v>
      </c>
      <c r="C61" s="235" t="s">
        <v>133</v>
      </c>
      <c r="D61" s="197" t="s">
        <v>92</v>
      </c>
      <c r="F61" s="253"/>
    </row>
    <row r="62" spans="2:8" ht="15" customHeight="1">
      <c r="B62" s="1" t="s">
        <v>241</v>
      </c>
      <c r="C62" s="92">
        <f>IF(G28&lt;=0,0,G28/G29)</f>
        <v>2.5255903299854993E-3</v>
      </c>
      <c r="D62" s="92">
        <f>G28/G29</f>
        <v>2.5255903299854993E-3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154196</v>
      </c>
      <c r="D66" s="76">
        <f>C66-D75</f>
        <v>100741.35470787497</v>
      </c>
      <c r="F66" s="5" t="s">
        <v>222</v>
      </c>
    </row>
    <row r="67" spans="2:6" ht="15" customHeight="1">
      <c r="B67" s="105" t="s">
        <v>173</v>
      </c>
      <c r="C67" s="20">
        <f>G6+G16</f>
        <v>0</v>
      </c>
      <c r="F67" s="253"/>
    </row>
    <row r="68" spans="2:6" ht="15" customHeight="1">
      <c r="B68" s="105" t="s">
        <v>177</v>
      </c>
      <c r="C68" s="20">
        <f>G18</f>
        <v>48491</v>
      </c>
      <c r="F68" s="253"/>
    </row>
    <row r="69" spans="2:6" ht="15" customHeight="1">
      <c r="B69" s="105" t="s">
        <v>175</v>
      </c>
      <c r="C69" s="20">
        <f>G8+G20</f>
        <v>0</v>
      </c>
      <c r="F69" s="253"/>
    </row>
    <row r="70" spans="2:6" ht="15" customHeight="1">
      <c r="B70" s="80" t="s">
        <v>184</v>
      </c>
      <c r="C70" s="81">
        <f>SUM(C66:C69)</f>
        <v>202687</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-24522.24463146667</v>
      </c>
      <c r="D73" s="349">
        <f>(Normalized_FCF!C25+Normalized_FCF!C35-Normalized_FCF!C91)/12</f>
        <v>-26727.322646062512</v>
      </c>
      <c r="F73" s="1" t="s">
        <v>342</v>
      </c>
    </row>
    <row r="74" spans="2:6" ht="15" customHeight="1">
      <c r="B74" s="257" t="s">
        <v>312</v>
      </c>
      <c r="C74" s="258">
        <f>-$C$66/C73</f>
        <v>6.2880051282963478</v>
      </c>
      <c r="D74" s="258">
        <f>-$C$66/D73</f>
        <v>5.769227319995565</v>
      </c>
      <c r="F74" s="253" t="s">
        <v>310</v>
      </c>
    </row>
    <row r="75" spans="2:6" ht="15" customHeight="1">
      <c r="B75" s="80" t="s">
        <v>311</v>
      </c>
      <c r="C75" s="320"/>
      <c r="D75" s="321">
        <f>MAX(-D73*D76,G5)</f>
        <v>53454.645292125024</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8522</v>
      </c>
      <c r="D79" s="76">
        <f>G7*H7+G17*H17</f>
        <v>5113.2</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8522</v>
      </c>
      <c r="D82" s="81">
        <f>SUM(D79:D81)</f>
        <v>5113.2</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-100547.18251566001</v>
      </c>
      <c r="D86" s="223">
        <f>C86*scaling_factor/Common_Shares</f>
        <v>-2.1154487662560579</v>
      </c>
      <c r="E86" s="240" t="str">
        <f>Market_currency</f>
        <v>HKD</v>
      </c>
    </row>
    <row r="87" spans="2:8" ht="15" customHeight="1">
      <c r="B87" s="238" t="s">
        <v>282</v>
      </c>
      <c r="C87" s="76">
        <f>DCF!C8*Exchange_Rate</f>
        <v>110236.04403982662</v>
      </c>
      <c r="D87" s="223">
        <f>C87*scaling_factor/Common_Shares</f>
        <v>2.3192962500434011</v>
      </c>
      <c r="E87" s="240" t="str">
        <f>Market_currency</f>
        <v>HKD</v>
      </c>
    </row>
    <row r="88" spans="2:8" ht="15" customHeight="1">
      <c r="B88" s="239" t="s">
        <v>185</v>
      </c>
      <c r="C88" s="76">
        <f>DCF!C9*Exchange_Rate</f>
        <v>5595.1097939760002</v>
      </c>
      <c r="D88" s="223">
        <f>C88*scaling_factor/Common_Shares</f>
        <v>0.11771755124903931</v>
      </c>
      <c r="E88" s="240" t="str">
        <f>Market_currency</f>
        <v>HKD</v>
      </c>
    </row>
    <row r="89" spans="2:8" ht="15" customHeight="1">
      <c r="B89" s="80" t="s">
        <v>286</v>
      </c>
      <c r="C89" s="180">
        <f>SUM(C86:C88)</f>
        <v>15283.971318142612</v>
      </c>
      <c r="D89" s="242">
        <f>SUM(D86:D88)</f>
        <v>0.32156503503638251</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c r="A5" s="10"/>
      <c r="B5" s="2" t="s">
        <v>44</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c r="A6" s="10"/>
      <c r="B6" s="31" t="s">
        <v>46</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c r="A7" s="10"/>
      <c r="B7" s="8" t="s">
        <v>43</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c r="A8" s="10"/>
      <c r="B8" s="29" t="s">
        <v>148</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c r="A9" s="10"/>
      <c r="B9" s="2" t="s">
        <v>63</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c r="A10" s="10"/>
      <c r="B10" s="2" t="s">
        <v>78</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c r="A11" s="10"/>
      <c r="B11" s="31" t="s">
        <v>190</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c r="A12" s="10"/>
      <c r="B12" s="2" t="s">
        <v>66</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c r="A13" s="10"/>
      <c r="B13" s="70" t="s">
        <v>160</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c r="A14" s="10"/>
      <c r="B14" s="2" t="s">
        <v>61</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c r="A15" s="10"/>
      <c r="B15" s="40" t="s">
        <v>239</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c r="A16" s="10"/>
      <c r="B16" s="41" t="s">
        <v>150</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c r="A24" s="10"/>
      <c r="B24" s="68" t="s">
        <v>60</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c r="A25" s="10"/>
      <c r="B25" s="70" t="s">
        <v>44</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AVERAGE(G28:P28)</f>
        <v>0.6365937510854347</v>
      </c>
      <c r="D28" s="26"/>
      <c r="E28" s="266" t="s">
        <v>324</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324</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44</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-7213</v>
      </c>
      <c r="E33" s="266" t="s">
        <v>324</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c r="A34" s="10"/>
      <c r="B34" s="27" t="s">
        <v>47</v>
      </c>
      <c r="C34" s="340">
        <f>G34</f>
        <v>-1711</v>
      </c>
      <c r="D34" s="58"/>
      <c r="E34" s="266" t="s">
        <v>324</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c r="A35" s="10"/>
      <c r="B35" s="70" t="s">
        <v>43</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43</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c r="A48" s="10"/>
      <c r="B48" s="2" t="s">
        <v>336</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c r="A49" s="10"/>
      <c r="B49" s="287" t="s">
        <v>333</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c r="A50" s="10"/>
      <c r="B50" s="70" t="s">
        <v>66</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2.9715427118732003E-2</v>
      </c>
      <c r="H53" s="169"/>
      <c r="I53" s="169"/>
      <c r="J53" s="169"/>
      <c r="K53" s="169"/>
      <c r="L53" s="169"/>
      <c r="M53" s="169"/>
      <c r="N53" s="169"/>
      <c r="O53" s="169"/>
      <c r="P53" s="169"/>
      <c r="Q53" s="169"/>
    </row>
    <row r="54" spans="1:17" ht="15.75" customHeight="1">
      <c r="A54" s="10"/>
      <c r="B54" s="8" t="s">
        <v>85</v>
      </c>
      <c r="C54" s="82">
        <f>G54</f>
        <v>3.0548390958459848E-2</v>
      </c>
      <c r="E54" s="265" t="s">
        <v>327</v>
      </c>
      <c r="G54" s="23">
        <f>IFERROR(ABS(Normalized_FCF!G47/BS!$G$31),0)</f>
        <v>3.0548390958459848E-2</v>
      </c>
      <c r="H54" s="169"/>
      <c r="I54" s="169"/>
      <c r="J54" s="169"/>
      <c r="K54" s="169"/>
      <c r="L54" s="169"/>
      <c r="M54" s="169"/>
      <c r="N54" s="169"/>
      <c r="O54" s="169"/>
      <c r="P54" s="169"/>
      <c r="Q54" s="169"/>
    </row>
    <row r="55" spans="1:17" ht="15.75" customHeight="1">
      <c r="A55" s="10"/>
      <c r="B55" s="26" t="s">
        <v>88</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c r="A62" s="10"/>
      <c r="B62" s="40" t="s">
        <v>156</v>
      </c>
      <c r="C62" s="343">
        <v>0</v>
      </c>
      <c r="E62" s="266" t="s">
        <v>328</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c r="A63" s="10"/>
      <c r="B63" s="31" t="s">
        <v>191</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v>0</v>
      </c>
      <c r="E67" s="268"/>
      <c r="G67" s="23">
        <f>IFERROR(G59/BS!$C$68,0)</f>
        <v>3.7862696170423378E-2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46</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43</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148</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63</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78</v>
      </c>
      <c r="C78" s="88">
        <f>MAX(AVERAGE(G78:J78),C77)</f>
        <v>0.19822831089052087</v>
      </c>
      <c r="D78" s="27"/>
      <c r="E78" s="266" t="s">
        <v>560</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66</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160</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61</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150</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6.6666666666666666E-2</v>
      </c>
      <c r="E94" s="268"/>
      <c r="G94" s="23">
        <f t="shared" ref="G94:Q94" si="39">IF(G$4="","",(G90*(1-dividend_tax_rate))/Market_Price)</f>
        <v>6.6666666666666666E-2</v>
      </c>
      <c r="H94" s="23">
        <f t="shared" si="39"/>
        <v>5.9523809523809527E-2</v>
      </c>
      <c r="I94" s="23">
        <f t="shared" si="39"/>
        <v>6.9047619047619052E-2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-0.10497353188777325</v>
      </c>
      <c r="D97" s="27"/>
      <c r="E97" s="265"/>
      <c r="F97" s="27"/>
      <c r="G97" s="6">
        <f t="shared" ref="G97:Q97" si="40">IF(H4="","",G4/H4-1)</f>
        <v>9.3540946066936748E-3</v>
      </c>
      <c r="H97" s="6">
        <f t="shared" si="40"/>
        <v>-1.3312649503824936E-2</v>
      </c>
      <c r="I97" s="6">
        <f t="shared" si="40"/>
        <v>0.7156079980171548</v>
      </c>
      <c r="J97" s="6">
        <f t="shared" si="40"/>
        <v>0.58400443129666124</v>
      </c>
      <c r="K97" s="6">
        <f t="shared" si="40"/>
        <v>-0.3337322754831018</v>
      </c>
      <c r="L97" s="6">
        <f t="shared" si="40"/>
        <v>2.4102306542640006E-2</v>
      </c>
      <c r="M97" s="6">
        <f t="shared" si="40"/>
        <v>-0.90352051090737073</v>
      </c>
      <c r="N97" s="6">
        <f t="shared" si="40"/>
        <v>0.22232096663181267</v>
      </c>
      <c r="O97" s="6">
        <f t="shared" si="40"/>
        <v>-4.3574590503758781E-2</v>
      </c>
      <c r="P97" s="6" t="str">
        <f t="shared" si="40"/>
        <v/>
      </c>
      <c r="Q97" s="6" t="str">
        <f t="shared" si="40"/>
        <v/>
      </c>
    </row>
    <row r="98" spans="1:17" ht="15.75" customHeight="1">
      <c r="A98" s="10"/>
      <c r="B98" s="70" t="s">
        <v>160</v>
      </c>
      <c r="C98" s="77">
        <f>C13/G13-1</f>
        <v>-0.37862533328021186</v>
      </c>
      <c r="D98" s="27"/>
      <c r="E98" s="265"/>
      <c r="F98" s="27"/>
      <c r="G98" s="6">
        <f t="shared" ref="G98:Q98" si="41">IF(H5="","",G13/H13-1)</f>
        <v>0.12089211431909264</v>
      </c>
      <c r="H98" s="6">
        <f t="shared" si="41"/>
        <v>-0.10972996487197495</v>
      </c>
      <c r="I98" s="6">
        <f t="shared" si="41"/>
        <v>0.90851908236642953</v>
      </c>
      <c r="J98" s="6">
        <f t="shared" si="41"/>
        <v>1.6784795721427708</v>
      </c>
      <c r="K98" s="6">
        <f t="shared" si="41"/>
        <v>-0.55180923329749443</v>
      </c>
      <c r="L98" s="6">
        <f t="shared" si="41"/>
        <v>0.15370467728733694</v>
      </c>
      <c r="M98" s="6">
        <f t="shared" si="41"/>
        <v>-0.78101016817777769</v>
      </c>
      <c r="N98" s="6">
        <f t="shared" si="41"/>
        <v>6.2756911005234173E-2</v>
      </c>
      <c r="O98" s="6">
        <f t="shared" si="41"/>
        <v>2.4993574289349008E-2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1056281</v>
      </c>
      <c r="D102" s="26"/>
      <c r="E102" s="269"/>
      <c r="F102" s="26"/>
      <c r="G102" s="333">
        <f t="shared" ref="G102:Q102" si="42">IF(G$4="","",G106+G105)</f>
        <v>1056281</v>
      </c>
      <c r="H102" s="333">
        <f t="shared" si="42"/>
        <v>1005598</v>
      </c>
      <c r="I102" s="333">
        <f t="shared" si="42"/>
        <v>929031</v>
      </c>
      <c r="J102" s="333">
        <f t="shared" si="42"/>
        <v>786569</v>
      </c>
      <c r="K102" s="333">
        <f t="shared" si="42"/>
        <v>721276.40899999999</v>
      </c>
      <c r="L102" s="333">
        <f t="shared" si="42"/>
        <v>757730.42299999995</v>
      </c>
      <c r="M102" s="333">
        <f t="shared" si="42"/>
        <v>686380.00399999996</v>
      </c>
      <c r="N102" s="333">
        <f t="shared" si="42"/>
        <v>1595504</v>
      </c>
      <c r="O102" s="333">
        <f t="shared" si="42"/>
        <v>1498609</v>
      </c>
      <c r="P102" s="333">
        <f t="shared" si="42"/>
        <v>1443129</v>
      </c>
      <c r="Q102" s="333" t="str">
        <f t="shared" si="42"/>
        <v/>
      </c>
    </row>
    <row r="103" spans="1:17" ht="15.75" customHeight="1">
      <c r="A103" s="10"/>
      <c r="B103" s="93" t="s">
        <v>206</v>
      </c>
      <c r="C103" s="345">
        <f>BS!C4</f>
        <v>33661</v>
      </c>
      <c r="D103" s="89"/>
      <c r="E103" s="270"/>
      <c r="F103" s="89"/>
      <c r="G103" s="346">
        <f>IF(G$4="","",Data!D77)</f>
        <v>41642</v>
      </c>
      <c r="H103" s="346">
        <f>IF(H$4="","",Data!E77)</f>
        <v>41488</v>
      </c>
      <c r="I103" s="346">
        <f>IF(I$4="","",Data!F77)</f>
        <v>33105</v>
      </c>
      <c r="J103" s="346">
        <f>IF(J$4="","",Data!G77)</f>
        <v>25613.371299999999</v>
      </c>
      <c r="K103" s="346">
        <f>IF(K$4="","",Data!H77)</f>
        <v>31381.7863</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5732</v>
      </c>
      <c r="D104" s="89"/>
      <c r="E104" s="270"/>
      <c r="F104" s="89"/>
      <c r="G104" s="346">
        <f>IF(G$4="","",Data!D78)</f>
        <v>6451</v>
      </c>
      <c r="H104" s="346">
        <f>IF(H$4="","",Data!E78)</f>
        <v>6239</v>
      </c>
      <c r="I104" s="346">
        <f>IF(I$4="","",Data!F78)</f>
        <v>5703</v>
      </c>
      <c r="J104" s="346">
        <f>IF(J$4="","",Data!G78)</f>
        <v>5644.0001000000002</v>
      </c>
      <c r="K104" s="346">
        <f>IF(K$4="","",Data!H78)</f>
        <v>6313.6594999999998</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306845</v>
      </c>
      <c r="D105" s="26"/>
      <c r="E105" s="269"/>
      <c r="F105" s="26"/>
      <c r="G105" s="333">
        <f>Data!C79</f>
        <v>306845</v>
      </c>
      <c r="H105" s="333">
        <f>Data!D79</f>
        <v>337722</v>
      </c>
      <c r="I105" s="333">
        <f>Data!E79</f>
        <v>330648</v>
      </c>
      <c r="J105" s="333">
        <f>Data!F79</f>
        <v>304593</v>
      </c>
      <c r="K105" s="333">
        <f>Data!G79</f>
        <v>287345.75290000002</v>
      </c>
      <c r="L105" s="333">
        <f>Data!H79</f>
        <v>309503.74410000001</v>
      </c>
      <c r="M105" s="333">
        <f>Data!I79</f>
        <v>266468.9056</v>
      </c>
      <c r="N105" s="333">
        <f>Data!J79</f>
        <v>741434</v>
      </c>
      <c r="O105" s="333">
        <f>Data!K79</f>
        <v>666084</v>
      </c>
      <c r="P105" s="333">
        <f>Data!L79</f>
        <v>657506</v>
      </c>
      <c r="Q105" s="333" t="str">
        <f>Data!M79</f>
        <v/>
      </c>
    </row>
    <row r="106" spans="1:17" ht="15.75" customHeight="1">
      <c r="A106" s="10"/>
      <c r="B106" s="26" t="s">
        <v>28</v>
      </c>
      <c r="C106" s="344">
        <f>BS!G27</f>
        <v>749436</v>
      </c>
      <c r="D106" s="26"/>
      <c r="E106" s="269"/>
      <c r="F106" s="26"/>
      <c r="G106" s="333">
        <f>Data!C80</f>
        <v>749436</v>
      </c>
      <c r="H106" s="333">
        <f>Data!D80</f>
        <v>667876</v>
      </c>
      <c r="I106" s="333">
        <f>Data!E80</f>
        <v>598383</v>
      </c>
      <c r="J106" s="333">
        <f>Data!F80</f>
        <v>481976</v>
      </c>
      <c r="K106" s="333">
        <f>Data!G80</f>
        <v>433930.65610000002</v>
      </c>
      <c r="L106" s="333">
        <f>Data!H80</f>
        <v>448226.6789</v>
      </c>
      <c r="M106" s="333">
        <f>Data!I80</f>
        <v>419911.09840000002</v>
      </c>
      <c r="N106" s="333">
        <f>Data!J80</f>
        <v>854070</v>
      </c>
      <c r="O106" s="333">
        <f>Data!K80</f>
        <v>832525</v>
      </c>
      <c r="P106" s="333">
        <f>Data!L80</f>
        <v>785623</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8.9437353200624931E-2</v>
      </c>
      <c r="D109" s="26"/>
      <c r="E109" s="269"/>
      <c r="F109" s="26"/>
      <c r="G109" s="94">
        <f t="shared" ref="G109:Q109" si="43">IF(G$4="","",G103/G$4)</f>
        <v>9.9028313508011778E-2</v>
      </c>
      <c r="H109" s="94">
        <f t="shared" si="43"/>
        <v>9.958498256158653E-2</v>
      </c>
      <c r="I109" s="94">
        <f t="shared" si="43"/>
        <v>7.8405134642256596E-2</v>
      </c>
      <c r="J109" s="94">
        <f t="shared" si="43"/>
        <v>0.10407243601464379</v>
      </c>
      <c r="K109" s="94">
        <f t="shared" si="43"/>
        <v>0.20197751649135898</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1.5229936975906303E-2</v>
      </c>
      <c r="D110" s="26"/>
      <c r="E110" s="269"/>
      <c r="F110" s="26"/>
      <c r="G110" s="94">
        <f t="shared" ref="G110:Q110" si="44">IF(G$4="","",G104/G$4)</f>
        <v>1.534104150713664E-2</v>
      </c>
      <c r="H110" s="94">
        <f t="shared" si="44"/>
        <v>1.4975672633092419E-2</v>
      </c>
      <c r="I110" s="94">
        <f t="shared" si="44"/>
        <v>1.3506856452644293E-2</v>
      </c>
      <c r="J110" s="94">
        <f t="shared" si="44"/>
        <v>2.2932742136678168E-2</v>
      </c>
      <c r="K110" s="94">
        <f t="shared" si="44"/>
        <v>4.063558567353049E-2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1.6008682291893146</v>
      </c>
      <c r="H114" s="295">
        <f>IF(H$4="","",Data!D$22/Data!D15)</f>
        <v>1.6902490128132808</v>
      </c>
      <c r="I114" s="295">
        <f>IF(I$4="","",Data!E$22/Data!E15)</f>
        <v>1.4510047502417471</v>
      </c>
      <c r="J114" s="295">
        <f>IF(J$4="","",Data!F$22/Data!F15)</f>
        <v>2.1035316540316042</v>
      </c>
      <c r="K114" s="295">
        <f>IF(K$4="","",Data!G$22/Data!G15)</f>
        <v>3.2993724703992493</v>
      </c>
      <c r="L114" s="295">
        <f>IF(L$4="","",Data!H$22/Data!H15)</f>
        <v>2.023384343788782</v>
      </c>
      <c r="M114" s="295">
        <f>IF(M$4="","",Data!I$22/Data!I15)</f>
        <v>2.361580198596569</v>
      </c>
      <c r="N114" s="295">
        <f>IF(N$4="","",Data!J$22/Data!J15)</f>
        <v>2.716234671522463</v>
      </c>
      <c r="O114" s="295">
        <f>IF(O$4="","",Data!K$22/Data!K15)</f>
        <v>3.6258745986141627</v>
      </c>
      <c r="P114" s="295">
        <f>IF(P$4="","",Data!L$22/Data!L15)</f>
        <v>3.8254510220089513</v>
      </c>
      <c r="Q114" s="295" t="str">
        <f>IF(Q$4="","",Data!M$22/Data!M15)</f>
        <v/>
      </c>
    </row>
    <row r="115" spans="1:17" ht="15.75" customHeight="1">
      <c r="A115" s="10"/>
      <c r="B115" s="2" t="s">
        <v>373</v>
      </c>
      <c r="C115" s="169"/>
      <c r="E115" s="268"/>
      <c r="G115" s="295">
        <f>IF(G$4="","",Data!C$22/G19)</f>
        <v>1.5626305677332901</v>
      </c>
      <c r="H115" s="295">
        <f>IF(H$4="","",Data!D$22/H19)</f>
        <v>1.6995798647481588</v>
      </c>
      <c r="I115" s="295">
        <f>IF(I$4="","",Data!E$22/I19)</f>
        <v>1.4609446298590569</v>
      </c>
      <c r="J115" s="295">
        <f>IF(J$4="","",Data!F$22/J19)</f>
        <v>1.9450934170318153</v>
      </c>
      <c r="K115" s="295">
        <f>IF(K$4="","",Data!G$22/K19)</f>
        <v>2.9447404307897362</v>
      </c>
      <c r="L115" s="295">
        <f>IF(L$4="","",Data!H$22/L19)</f>
        <v>2.059112762372902</v>
      </c>
      <c r="M115" s="295">
        <f>IF(M$4="","",Data!I$22/M19)</f>
        <v>2.4469482333251551</v>
      </c>
      <c r="N115" s="295">
        <f>IF(N$4="","",Data!J$22/N19)</f>
        <v>0.63781492393722561</v>
      </c>
      <c r="O115" s="295">
        <f>IF(O$4="","",Data!K$22/O19)</f>
        <v>0.76192556289509195</v>
      </c>
      <c r="P115" s="295">
        <f>IF(P$4="","",Data!L$22/P19)</f>
        <v>0.58467527247211815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0.31929962351402291</v>
      </c>
      <c r="E118" s="268"/>
      <c r="G118" s="23">
        <f t="shared" ref="G118:Q118" si="45">IF(G4="","",IF(valuation_method="DDM",G13/(G4+G12),G81))</f>
        <v>0.4599183545926474</v>
      </c>
      <c r="H118" s="23">
        <f t="shared" si="45"/>
        <v>0.41415268112119913</v>
      </c>
      <c r="I118" s="23">
        <f t="shared" si="45"/>
        <v>0.45900591451176836</v>
      </c>
      <c r="J118" s="23">
        <f t="shared" si="45"/>
        <v>0.41261008357178991</v>
      </c>
      <c r="K118" s="23">
        <f t="shared" si="45"/>
        <v>0.24401014947914765</v>
      </c>
      <c r="L118" s="23">
        <f t="shared" si="45"/>
        <v>0.36273859064216862</v>
      </c>
      <c r="M118" s="23">
        <f t="shared" si="45"/>
        <v>0.32199005054059576</v>
      </c>
      <c r="N118" s="23">
        <f t="shared" si="45"/>
        <v>0.14185789043523137</v>
      </c>
      <c r="O118" s="23">
        <f t="shared" si="45"/>
        <v>0.16315666542890894</v>
      </c>
      <c r="P118" s="23">
        <f t="shared" si="45"/>
        <v>0.15224210615474001</v>
      </c>
      <c r="Q118" s="23" t="str">
        <f t="shared" si="45"/>
        <v/>
      </c>
    </row>
    <row r="119" spans="1:17" ht="15.75" customHeight="1">
      <c r="B119" s="7" t="s">
        <v>81</v>
      </c>
      <c r="C119" s="42">
        <f>IF(valuation_method="DDM",(C4+C12)/C102,C4/C102)</f>
        <v>0.35631048934895165</v>
      </c>
      <c r="E119" s="268"/>
      <c r="G119" s="42">
        <f t="shared" ref="G119:Q119" si="46">IF(G4="","",IF(valuation_method="DDM",(G4+G12)/G102,G4/G102))</f>
        <v>0.39810050545262105</v>
      </c>
      <c r="H119" s="42">
        <f t="shared" si="46"/>
        <v>0.41428980566787127</v>
      </c>
      <c r="I119" s="42">
        <f t="shared" si="46"/>
        <v>0.45448429600303974</v>
      </c>
      <c r="J119" s="42">
        <f t="shared" si="46"/>
        <v>0.31289181241569397</v>
      </c>
      <c r="K119" s="42">
        <f t="shared" si="46"/>
        <v>0.21541349399658516</v>
      </c>
      <c r="L119" s="42">
        <f t="shared" si="46"/>
        <v>0.30775926255768143</v>
      </c>
      <c r="M119" s="42">
        <f t="shared" si="46"/>
        <v>0.33175531552926768</v>
      </c>
      <c r="N119" s="42">
        <f t="shared" si="46"/>
        <v>1.4792773944784845</v>
      </c>
      <c r="O119" s="42">
        <f t="shared" si="46"/>
        <v>1.2884688401043902</v>
      </c>
      <c r="P119" s="42">
        <f t="shared" si="46"/>
        <v>1.3989622549335505</v>
      </c>
      <c r="Q119" s="42" t="str">
        <f t="shared" si="46"/>
        <v/>
      </c>
    </row>
    <row r="120" spans="1:17" ht="15.75" customHeight="1">
      <c r="B120" s="7" t="s">
        <v>89</v>
      </c>
      <c r="C120" s="15">
        <f>C102/C106</f>
        <v>1.4094345614568822</v>
      </c>
      <c r="D120" s="11"/>
      <c r="E120" s="272"/>
      <c r="F120" s="11"/>
      <c r="G120" s="15">
        <f t="shared" ref="G120:Q120" si="47">IF(G$4="","",G102/G106)</f>
        <v>1.4094345614568822</v>
      </c>
      <c r="H120" s="15">
        <f t="shared" si="47"/>
        <v>1.5056657223796035</v>
      </c>
      <c r="I120" s="15">
        <f t="shared" si="47"/>
        <v>1.5525691739237244</v>
      </c>
      <c r="J120" s="15">
        <f t="shared" si="47"/>
        <v>1.6319671518913805</v>
      </c>
      <c r="K120" s="15">
        <f t="shared" si="47"/>
        <v>1.6621927924672386</v>
      </c>
      <c r="L120" s="15">
        <f t="shared" si="47"/>
        <v>1.6905071890400587</v>
      </c>
      <c r="M120" s="15">
        <f t="shared" si="47"/>
        <v>1.6345840979562924</v>
      </c>
      <c r="N120" s="15">
        <f t="shared" si="47"/>
        <v>1.8681185382931143</v>
      </c>
      <c r="O120" s="15">
        <f t="shared" si="47"/>
        <v>1.8000768745683313</v>
      </c>
      <c r="P120" s="15">
        <f t="shared" si="47"/>
        <v>1.8369230534238432</v>
      </c>
      <c r="Q120" s="15" t="str">
        <f t="shared" si="47"/>
        <v/>
      </c>
    </row>
    <row r="121" spans="1:17" ht="15.75" customHeight="1">
      <c r="A121" s="10"/>
      <c r="B121" s="70" t="s">
        <v>218</v>
      </c>
      <c r="C121" s="102">
        <f>C13/C106</f>
        <v>0.16035109536268838</v>
      </c>
      <c r="D121" s="103"/>
      <c r="E121" s="271"/>
      <c r="F121" s="103"/>
      <c r="G121" s="102">
        <f t="shared" ref="G121:Q121" si="48">IF(G$4="","",G13/G106)</f>
        <v>0.25805863024505871</v>
      </c>
      <c r="H121" s="102">
        <f t="shared" si="48"/>
        <v>0.25834097097248837</v>
      </c>
      <c r="I121" s="102">
        <f t="shared" si="48"/>
        <v>0.32388297676288258</v>
      </c>
      <c r="J121" s="102">
        <f t="shared" si="48"/>
        <v>0.21069074036453431</v>
      </c>
      <c r="K121" s="102">
        <f t="shared" si="48"/>
        <v>8.7369970847488335E-2</v>
      </c>
      <c r="L121" s="102">
        <f t="shared" si="48"/>
        <v>0.18872173299315975</v>
      </c>
      <c r="M121" s="102">
        <f t="shared" si="48"/>
        <v>0.17460939673049117</v>
      </c>
      <c r="N121" s="102">
        <f t="shared" si="48"/>
        <v>0.39201938951139836</v>
      </c>
      <c r="O121" s="102">
        <f t="shared" si="48"/>
        <v>0.37841626377586257</v>
      </c>
      <c r="P121" s="102">
        <f t="shared" si="48"/>
        <v>0.3912296355885711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2.0698536627693311</v>
      </c>
      <c r="D125" s="27"/>
      <c r="E125" s="265"/>
      <c r="F125" s="27"/>
      <c r="G125" s="177">
        <f t="shared" ref="G125:Q125" si="49">IF(G$4="","",G16*$C$3/Common_Shares*Exchange_Rate)</f>
        <v>3.2543941069016715</v>
      </c>
      <c r="H125" s="177">
        <f t="shared" si="49"/>
        <v>2.8411511397909779</v>
      </c>
      <c r="I125" s="177">
        <f t="shared" si="49"/>
        <v>3.2395364369572026</v>
      </c>
      <c r="J125" s="177">
        <f t="shared" si="49"/>
        <v>1.7504737147542329</v>
      </c>
      <c r="K125" s="177">
        <f t="shared" si="49"/>
        <v>0.64372734085761751</v>
      </c>
      <c r="L125" s="177">
        <f t="shared" si="49"/>
        <v>1.3810202844343933</v>
      </c>
      <c r="M125" s="177">
        <f t="shared" si="49"/>
        <v>1.1703988306818649</v>
      </c>
      <c r="N125" s="177">
        <f t="shared" si="49"/>
        <v>6.89190540303722</v>
      </c>
      <c r="O125" s="177">
        <f t="shared" si="49"/>
        <v>6.4826152078355026</v>
      </c>
      <c r="P125" s="177">
        <f t="shared" si="49"/>
        <v>6.5292813809524946</v>
      </c>
      <c r="Q125" s="177" t="str">
        <f t="shared" si="49"/>
        <v/>
      </c>
    </row>
    <row r="126" spans="1:17" ht="15.75" customHeight="1">
      <c r="A126" s="10"/>
      <c r="B126" s="27" t="s">
        <v>264</v>
      </c>
      <c r="C126" s="77">
        <f>C19*Exchange_Rate*$C$3/(Market_Price*Common_Shares)</f>
        <v>0.10951606681319212</v>
      </c>
      <c r="D126" s="27"/>
      <c r="E126" s="265"/>
      <c r="F126" s="27"/>
      <c r="G126" s="77">
        <f t="shared" ref="G126" si="50">IF(G$4="","",G125/Market_Price)</f>
        <v>0.17219016438633183</v>
      </c>
      <c r="H126" s="77">
        <f t="shared" ref="H126" si="51">IF(H$4="","",H125/Market_Price)</f>
        <v>0.15032545713179779</v>
      </c>
      <c r="I126" s="77">
        <f t="shared" ref="I126" si="52">IF(I$4="","",I125/Market_Price)</f>
        <v>0.17140404428344988</v>
      </c>
      <c r="J126" s="77">
        <f t="shared" ref="J126" si="53">IF(J$4="","",J125/Market_Price)</f>
        <v>9.2617656865303336E-2</v>
      </c>
      <c r="K126" s="77">
        <f t="shared" ref="K126" si="54">IF(K$4="","",K125/Market_Price)</f>
        <v>3.4059647664424209E-2</v>
      </c>
      <c r="L126" s="77">
        <f t="shared" ref="L126" si="55">IF(L$4="","",L125/Market_Price)</f>
        <v>7.3069856319280077E-2</v>
      </c>
      <c r="M126" s="77">
        <f t="shared" ref="M126" si="56">IF(M$4="","",M125/Market_Price)</f>
        <v>6.1925864057241535E-2</v>
      </c>
      <c r="N126" s="77">
        <f t="shared" ref="N126" si="57">IF(N$4="","",N125/Market_Price)</f>
        <v>0.36465107952577885</v>
      </c>
      <c r="O126" s="77">
        <f t="shared" ref="O126" si="58">IF(O$4="","",O125/Market_Price)</f>
        <v>0.34299551364209013</v>
      </c>
      <c r="P126" s="77">
        <f t="shared" ref="P126" si="59">IF(P$4="","",P125/Market_Price)</f>
        <v>0.34546462333081984</v>
      </c>
      <c r="Q126" s="77" t="str">
        <f t="shared" ref="Q126" si="60">IF(Q$4="","",Q125/Market_Price)</f>
        <v/>
      </c>
    </row>
    <row r="127" spans="1:17" ht="15.75" customHeight="1">
      <c r="B127" s="2" t="s">
        <v>375</v>
      </c>
      <c r="C127" s="169"/>
      <c r="G127" s="23">
        <f>IF(G$4="","",(Data!C47*$C$3)/(Market_Price*Common_Shares))</f>
        <v>0.15360071510047185</v>
      </c>
      <c r="H127" s="23">
        <f>IF(H$4="","",(Data!D47*$C$3)/(Market_Price*Common_Shares))</f>
        <v>0.13813622600641787</v>
      </c>
      <c r="I127" s="23">
        <f>IF(I$4="","",(Data!E47*$C$3)/(Market_Price*Common_Shares))</f>
        <v>0.15771396641076046</v>
      </c>
      <c r="J127" s="23">
        <f>IF(J$4="","",(Data!F47*$C$3)/(Market_Price*Common_Shares))</f>
        <v>7.8265320669137092E-2</v>
      </c>
      <c r="K127" s="23">
        <f>IF(K$4="","",(Data!G47*$C$3)/(Market_Price*Common_Shares))</f>
        <v>2.7780495705595896E-2</v>
      </c>
      <c r="L127" s="23">
        <f>IF(L$4="","",(Data!H47*$C$3)/(Market_Price*Common_Shares))</f>
        <v>6.7955430099842992E-2</v>
      </c>
      <c r="M127" s="23">
        <f>IF(M$4="","",(Data!I47*$C$3)/(Market_Price*Common_Shares))</f>
        <v>5.8637888738065261E-2</v>
      </c>
      <c r="N127" s="23">
        <f>IF(N$4="","",(Data!J47*$C$3)/(Market_Price*Common_Shares))</f>
        <v>7.8250849148965573E-2</v>
      </c>
      <c r="O127" s="23">
        <f>IF(O$4="","",(Data!K47*$C$3)/(Market_Price*Common_Shares))</f>
        <v>6.5867680657585193E-2</v>
      </c>
      <c r="P127" s="23">
        <f>IF(P$4="","",(Data!L47*$C$3)/(Market_Price*Common_Shares))</f>
        <v>4.8252501027272056E-2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89906.523166472296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1198753.6422196308</v>
      </c>
      <c r="D6" t="str">
        <f>Reporting_currency</f>
        <v>CNY</v>
      </c>
      <c r="E6" s="378" t="s">
        <v>245</v>
      </c>
      <c r="F6" s="378"/>
      <c r="H6" s="120"/>
    </row>
    <row r="7" spans="2:8">
      <c r="B7" s="148" t="s">
        <v>220</v>
      </c>
      <c r="C7" s="338">
        <f>BS!G31</f>
        <v>91887</v>
      </c>
      <c r="D7" t="str">
        <f>Reporting_currency</f>
        <v>CNY</v>
      </c>
      <c r="E7" s="378"/>
      <c r="F7" s="378"/>
      <c r="H7" s="120"/>
    </row>
    <row r="8" spans="2:8">
      <c r="B8" s="148" t="s">
        <v>221</v>
      </c>
      <c r="C8" s="338">
        <f>BS!D66</f>
        <v>100741.35470787497</v>
      </c>
      <c r="D8" t="str">
        <f>Reporting_currency</f>
        <v>CNY</v>
      </c>
      <c r="E8" s="378"/>
      <c r="F8" s="378"/>
      <c r="H8" s="120"/>
    </row>
    <row r="9" spans="2:8">
      <c r="B9" s="205" t="s">
        <v>186</v>
      </c>
      <c r="C9" s="348">
        <f>BS!H42</f>
        <v>5113.2</v>
      </c>
      <c r="D9" t="str">
        <f>Reporting_currency</f>
        <v>CNY</v>
      </c>
      <c r="E9" s="378"/>
      <c r="F9" s="378"/>
      <c r="H9" s="120"/>
    </row>
    <row r="10" spans="2:8" ht="13.15">
      <c r="B10" s="149" t="s">
        <v>223</v>
      </c>
      <c r="C10" s="347">
        <f>C6-C7+C8+C9</f>
        <v>1212721.1969275058</v>
      </c>
      <c r="D10" t="str">
        <f>Reporting_currency</f>
        <v>CNY</v>
      </c>
      <c r="H10" s="120"/>
    </row>
    <row r="11" spans="2:8" ht="13.15" thickBot="1">
      <c r="B11" s="207" t="s">
        <v>162</v>
      </c>
      <c r="C11" s="208">
        <f>Exchange_Rate</f>
        <v>1.0942481800000001</v>
      </c>
      <c r="D11" t="str">
        <f>Thesis!C15</f>
        <v>CNY/HKD</v>
      </c>
      <c r="H11" s="120"/>
    </row>
    <row r="12" spans="2:8" ht="13.5" thickTop="1">
      <c r="B12" s="149" t="s">
        <v>99</v>
      </c>
      <c r="C12" s="111">
        <f>(C10*scaling_factor)/Common_Shares*Exchange_Rate</f>
        <v>27.919613871960802</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1.98435191985455E-2</v>
      </c>
      <c r="H16" s="120"/>
    </row>
    <row r="17" spans="2:17" ht="13.35" customHeight="1">
      <c r="B17" s="118" t="s">
        <v>130</v>
      </c>
      <c r="C17" s="162">
        <f>Scenarios!C64</f>
        <v>10</v>
      </c>
      <c r="H17" s="120"/>
    </row>
    <row r="18" spans="2:17" ht="13.35" customHeight="1">
      <c r="B18" s="153" t="s">
        <v>103</v>
      </c>
      <c r="C18" s="140">
        <f>(F52-C7+C8+C9)*Exchange_Rate/Common_Shares*scaling_factor</f>
        <v>29.64829837058587</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1222541.1331333423</v>
      </c>
      <c r="D51" s="139">
        <f>Terminal_Growth</f>
        <v>0</v>
      </c>
      <c r="E51" s="124">
        <f>1/(1+Equity_Cost)^C17</f>
        <v>0.48519392830146441</v>
      </c>
      <c r="F51" s="125">
        <f t="shared" si="1"/>
        <v>593169.53489508992</v>
      </c>
      <c r="H51" s="120"/>
    </row>
    <row r="52" spans="1:17">
      <c r="C52" s="114"/>
      <c r="E52" s="127" t="s">
        <v>97</v>
      </c>
      <c r="F52" s="137">
        <f>SUM(F21:F51)</f>
        <v>1273841.0823216592</v>
      </c>
      <c r="H52" s="120"/>
    </row>
    <row r="53" spans="1:17">
      <c r="C53" s="114"/>
      <c r="H53" s="120"/>
    </row>
    <row r="54" spans="1:17" ht="13.15">
      <c r="B54" s="119" t="s">
        <v>125</v>
      </c>
      <c r="C54" s="136"/>
      <c r="D54" s="136"/>
      <c r="E54" s="117"/>
      <c r="F54" s="117"/>
      <c r="H54" s="120"/>
    </row>
    <row r="55" spans="1:17" ht="13.15">
      <c r="A55" s="133">
        <f>F52</f>
        <v>1273841.0823216592</v>
      </c>
      <c r="B55" s="131">
        <f>C78</f>
        <v>-0.15</v>
      </c>
      <c r="C55" s="131">
        <f>C77</f>
        <v>-0.01</v>
      </c>
      <c r="D55" s="131">
        <f>C76</f>
        <v>0.01</v>
      </c>
      <c r="E55" s="131">
        <f>C75</f>
        <v>0.02</v>
      </c>
      <c r="F55" s="131">
        <f>C74</f>
        <v>0.06</v>
      </c>
      <c r="H55" s="120"/>
    </row>
    <row r="56" spans="1:17" ht="13.15">
      <c r="A56" s="143">
        <v>5</v>
      </c>
      <c r="B56" s="123">
        <f t="dataTable" ref="B56:F61" dt2D="1" dtr="1" r1="C16" r2="C17"/>
        <v>944425.17509523733</v>
      </c>
      <c r="C56" s="123">
        <v>1180147.5686019331</v>
      </c>
      <c r="D56" s="123">
        <v>1217624.7427714951</v>
      </c>
      <c r="E56" s="123">
        <v>1236766.7235655249</v>
      </c>
      <c r="F56" s="123">
        <v>1316163.7531695343</v>
      </c>
      <c r="H56" s="120"/>
    </row>
    <row r="57" spans="1:17" ht="13.15">
      <c r="A57" s="143">
        <v>10</v>
      </c>
      <c r="B57" s="123">
        <v>801586.81763450732</v>
      </c>
      <c r="C57" s="123">
        <v>1163469.6362611121</v>
      </c>
      <c r="D57" s="123">
        <v>1235718.0094789974</v>
      </c>
      <c r="E57" s="123">
        <v>1274461.5714570428</v>
      </c>
      <c r="F57" s="123">
        <v>1449402.1093137146</v>
      </c>
      <c r="H57" s="120"/>
    </row>
    <row r="58" spans="1:17" ht="13.15">
      <c r="A58" s="143">
        <v>15</v>
      </c>
      <c r="B58" s="123">
        <v>673986.85010746331</v>
      </c>
      <c r="C58" s="341">
        <v>1143858.5667788221</v>
      </c>
      <c r="D58" s="123">
        <v>1258056.7023160949</v>
      </c>
      <c r="E58" s="123">
        <v>1322187.6631956201</v>
      </c>
      <c r="F58" s="123">
        <v>1636875.6218812736</v>
      </c>
      <c r="G58" s="338"/>
      <c r="H58" s="339"/>
      <c r="I58" s="338"/>
      <c r="J58" s="338"/>
      <c r="K58" s="338"/>
      <c r="L58" s="338"/>
      <c r="M58" s="338"/>
      <c r="N58" s="338"/>
      <c r="O58" s="338"/>
      <c r="P58" s="338"/>
      <c r="Q58" s="338"/>
    </row>
    <row r="59" spans="1:17" ht="13.15">
      <c r="A59" s="144">
        <v>20</v>
      </c>
      <c r="B59" s="123">
        <v>576419.76974056242</v>
      </c>
      <c r="C59" s="341">
        <v>1124902.9773998517</v>
      </c>
      <c r="D59" s="123">
        <v>1280744.3007583404</v>
      </c>
      <c r="E59" s="123">
        <v>1371942.8924623169</v>
      </c>
      <c r="F59" s="123">
        <v>1855704.3120577843</v>
      </c>
      <c r="G59" s="338"/>
      <c r="H59" s="339"/>
      <c r="I59" s="338"/>
      <c r="J59" s="338"/>
      <c r="K59" s="338"/>
      <c r="L59" s="338"/>
      <c r="M59" s="338"/>
      <c r="N59" s="338"/>
      <c r="O59" s="338"/>
      <c r="P59" s="338"/>
      <c r="Q59" s="338"/>
    </row>
    <row r="60" spans="1:17" ht="13.15">
      <c r="A60" s="144">
        <v>25</v>
      </c>
      <c r="B60" s="123">
        <v>505773.95529366145</v>
      </c>
      <c r="C60" s="341">
        <v>1108191.563985836</v>
      </c>
      <c r="D60" s="123">
        <v>1301765.4344722258</v>
      </c>
      <c r="E60" s="123">
        <v>1419298.3872991232</v>
      </c>
      <c r="F60" s="123">
        <v>2090386.7027517785</v>
      </c>
      <c r="G60" s="338"/>
      <c r="H60" s="339"/>
      <c r="I60" s="338"/>
      <c r="J60" s="338"/>
      <c r="K60" s="338"/>
      <c r="L60" s="338"/>
      <c r="M60" s="338"/>
      <c r="N60" s="338"/>
      <c r="O60" s="338"/>
      <c r="P60" s="338"/>
      <c r="Q60" s="338"/>
    </row>
    <row r="61" spans="1:17" ht="13.15">
      <c r="A61" s="144">
        <v>30</v>
      </c>
      <c r="B61" s="123">
        <v>455735.27584403346</v>
      </c>
      <c r="C61" s="341">
        <v>1094227.4904042955</v>
      </c>
      <c r="D61" s="123">
        <v>1320227.8532125079</v>
      </c>
      <c r="E61" s="123">
        <v>1462049.7984249359</v>
      </c>
      <c r="F61" s="123">
        <v>2330531.3100927742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27.919613871960802</v>
      </c>
      <c r="C65" s="124">
        <f>C12</f>
        <v>27.919613871960802</v>
      </c>
      <c r="D65" s="124">
        <f>C12</f>
        <v>27.919613871960802</v>
      </c>
      <c r="E65" s="141">
        <f>C12</f>
        <v>27.919613871960802</v>
      </c>
      <c r="F65" s="124">
        <f>C12</f>
        <v>27.919613871960802</v>
      </c>
      <c r="H65" s="120"/>
    </row>
    <row r="66" spans="1:8" ht="13.15">
      <c r="A66" s="143">
        <f t="shared" ref="A66:A71" si="3">A56</f>
        <v>5</v>
      </c>
      <c r="B66" s="124">
        <f t="shared" ref="B66:F71" si="4">(B56-$C$7+$C$8+$C$9)/Common_Shares*$C$3*Exchange_Rate</f>
        <v>22.06439123979202</v>
      </c>
      <c r="C66" s="124">
        <f t="shared" si="4"/>
        <v>27.491259529350554</v>
      </c>
      <c r="D66" s="124">
        <f t="shared" si="4"/>
        <v>28.354069740368033</v>
      </c>
      <c r="E66" s="124">
        <f t="shared" si="4"/>
        <v>28.794761891101299</v>
      </c>
      <c r="F66" s="124">
        <f t="shared" si="4"/>
        <v>30.622662990497268</v>
      </c>
      <c r="H66" s="120"/>
    </row>
    <row r="67" spans="1:8" ht="13.15">
      <c r="A67" s="143">
        <f t="shared" si="3"/>
        <v>10</v>
      </c>
      <c r="B67" s="124">
        <f t="shared" si="4"/>
        <v>18.775925765194494</v>
      </c>
      <c r="C67" s="124">
        <f t="shared" si="4"/>
        <v>27.10729540608946</v>
      </c>
      <c r="D67" s="124">
        <f t="shared" si="4"/>
        <v>28.770618095782051</v>
      </c>
      <c r="E67" s="124">
        <f t="shared" si="4"/>
        <v>29.662583448735369</v>
      </c>
      <c r="F67" s="124">
        <f t="shared" si="4"/>
        <v>33.690114492050171</v>
      </c>
      <c r="H67" s="120"/>
    </row>
    <row r="68" spans="1:8" ht="13.15">
      <c r="A68" s="143">
        <f t="shared" si="3"/>
        <v>15</v>
      </c>
      <c r="B68" s="124">
        <f t="shared" si="4"/>
        <v>15.838282857281529</v>
      </c>
      <c r="C68" s="124">
        <f t="shared" si="4"/>
        <v>26.655803761555717</v>
      </c>
      <c r="D68" s="124">
        <f t="shared" si="4"/>
        <v>29.284905864476325</v>
      </c>
      <c r="E68" s="124">
        <f t="shared" si="4"/>
        <v>30.761347168158096</v>
      </c>
      <c r="F68" s="124">
        <f t="shared" si="4"/>
        <v>38.006183259849003</v>
      </c>
      <c r="H68" s="120"/>
    </row>
    <row r="69" spans="1:8" ht="13.15">
      <c r="A69" s="144">
        <f t="shared" si="3"/>
        <v>20</v>
      </c>
      <c r="B69" s="124">
        <f t="shared" si="4"/>
        <v>13.592065658011053</v>
      </c>
      <c r="C69" s="124">
        <f t="shared" si="4"/>
        <v>26.219402767232264</v>
      </c>
      <c r="D69" s="124">
        <f t="shared" si="4"/>
        <v>29.807226237695186</v>
      </c>
      <c r="E69" s="124">
        <f t="shared" si="4"/>
        <v>31.906826271480888</v>
      </c>
      <c r="F69" s="124">
        <f t="shared" si="4"/>
        <v>43.044119884783207</v>
      </c>
      <c r="H69" s="120"/>
    </row>
    <row r="70" spans="1:8" ht="13.15">
      <c r="A70" s="144">
        <f t="shared" si="3"/>
        <v>25</v>
      </c>
      <c r="B70" s="124">
        <f t="shared" si="4"/>
        <v>11.965637534197555</v>
      </c>
      <c r="C70" s="124">
        <f t="shared" si="4"/>
        <v>25.834667833138493</v>
      </c>
      <c r="D70" s="124">
        <f t="shared" si="4"/>
        <v>30.291180783826217</v>
      </c>
      <c r="E70" s="124">
        <f t="shared" si="4"/>
        <v>32.997058003150954</v>
      </c>
      <c r="F70" s="124">
        <f t="shared" si="4"/>
        <v>48.447044932457338</v>
      </c>
    </row>
    <row r="71" spans="1:8" ht="13.15">
      <c r="A71" s="144">
        <f t="shared" si="3"/>
        <v>30</v>
      </c>
      <c r="B71" s="124">
        <f t="shared" si="4"/>
        <v>10.813632759781177</v>
      </c>
      <c r="C71" s="124">
        <f t="shared" si="4"/>
        <v>25.513182941587139</v>
      </c>
      <c r="D71" s="124">
        <f t="shared" si="4"/>
        <v>30.716227862806186</v>
      </c>
      <c r="E71" s="124">
        <f t="shared" si="4"/>
        <v>33.981293204232777</v>
      </c>
      <c r="F71" s="124">
        <f t="shared" si="4"/>
        <v>53.975722692342359</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15</v>
      </c>
      <c r="E74" s="135">
        <f>INDEX(B$65:F$71, MATCH(D74, A$65:A$71, 0), MATCH(C74, B$64:F$64, 0))</f>
        <v>38.006183259849003</v>
      </c>
      <c r="F74" s="142">
        <f>Scenarios!C58</f>
        <v>0.05</v>
      </c>
    </row>
    <row r="75" spans="1:8">
      <c r="B75" s="127" t="str">
        <f>Scenarios!B36</f>
        <v>Optimistic</v>
      </c>
      <c r="C75" s="142">
        <f>Scenarios!C38</f>
        <v>0.02</v>
      </c>
      <c r="D75" s="145">
        <f>Scenarios!C37</f>
        <v>10</v>
      </c>
      <c r="E75" s="135">
        <f>INDEX(B$65:F$71, MATCH(D75, A$65:A$71, 0), MATCH(C75, B$64:F$64, 0))</f>
        <v>29.662583448735369</v>
      </c>
      <c r="F75" s="142">
        <f>Scenarios!C40*(1-F$74-F$78)</f>
        <v>0.18</v>
      </c>
      <c r="H75" s="120"/>
    </row>
    <row r="76" spans="1:8">
      <c r="B76" s="127" t="str">
        <f>Scenarios!B24</f>
        <v>Base</v>
      </c>
      <c r="C76" s="142">
        <f>Scenarios!C26</f>
        <v>0.01</v>
      </c>
      <c r="D76" s="145">
        <f>Scenarios!C25</f>
        <v>10</v>
      </c>
      <c r="E76" s="135">
        <f>INDEX(B$65:F$71, MATCH(D76, A$65:A$71, 0), MATCH(C76, B$64:F$64, 0))</f>
        <v>28.770618095782051</v>
      </c>
      <c r="F76" s="142">
        <f>Scenarios!C28*(1-F$74-F$78)</f>
        <v>0.53999999999999992</v>
      </c>
      <c r="H76" s="120"/>
    </row>
    <row r="77" spans="1:8">
      <c r="B77" s="127" t="str">
        <f>Scenarios!B30</f>
        <v>Pessimistic</v>
      </c>
      <c r="C77" s="142">
        <f>Scenarios!C32</f>
        <v>-0.01</v>
      </c>
      <c r="D77" s="145">
        <f>Scenarios!C31</f>
        <v>10</v>
      </c>
      <c r="E77" s="135">
        <f>INDEX(B$65:F$71, MATCH(D77, A$65:A$71, 0), MATCH(C77, B$64:F$64, 0))</f>
        <v>27.10729540608946</v>
      </c>
      <c r="F77" s="142">
        <f>Scenarios!C34*(1-F$74-F$78)</f>
        <v>0.18</v>
      </c>
      <c r="H77" s="120"/>
    </row>
    <row r="78" spans="1:8">
      <c r="B78" s="127" t="str">
        <f>Scenarios!B48</f>
        <v>Devil's advocate</v>
      </c>
      <c r="C78" s="142">
        <f>Scenarios!C50</f>
        <v>-0.15</v>
      </c>
      <c r="D78" s="145">
        <f>Scenarios!C49</f>
        <v>15</v>
      </c>
      <c r="E78" s="135">
        <f>INDEX(B$65:F$71, MATCH(D78, A$65:A$71, 0), MATCH(C78, B$64:F$64, 0))</f>
        <v>15.838282857281529</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59887.74201984</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798503.22693120001</v>
      </c>
      <c r="D6" t="str">
        <f>Reporting_currency</f>
        <v>CNY</v>
      </c>
      <c r="E6" s="378"/>
      <c r="F6" s="378"/>
      <c r="H6" s="120"/>
    </row>
    <row r="7" spans="2:8" ht="13.15">
      <c r="B7" s="149" t="s">
        <v>421</v>
      </c>
      <c r="C7" s="111">
        <f>(C6*scaling_factor)/Common_Shares*Exchange_Rate</f>
        <v>18.383369424000001</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1.98435191985455E-2</v>
      </c>
      <c r="H11" s="120"/>
    </row>
    <row r="12" spans="2:8" ht="13.35" customHeight="1">
      <c r="B12" s="118" t="s">
        <v>130</v>
      </c>
      <c r="C12" s="162">
        <f>Scenarios!C64</f>
        <v>10</v>
      </c>
      <c r="H12" s="120"/>
    </row>
    <row r="13" spans="2:8" ht="13.35" customHeight="1">
      <c r="B13" s="153" t="s">
        <v>103</v>
      </c>
      <c r="C13" s="140">
        <f>F47/Common_Shares*scaling_factor</f>
        <v>17.852317131131564</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61076.125578368235</v>
      </c>
      <c r="D16" s="138">
        <f>IF($C$12&lt;B16,0,DDM!$C$11)</f>
        <v>1.98435191985455E-2</v>
      </c>
      <c r="E16" s="124">
        <f t="shared" ref="E16:E45" si="0">IF($C$12&lt;B16,0,1/(1+Equity_Cost)^B16)</f>
        <v>0.93023255813953487</v>
      </c>
      <c r="F16" s="125">
        <f t="shared" ref="F16:F46" si="1">C16*E16</f>
        <v>56815.00053801696</v>
      </c>
      <c r="H16" s="120"/>
    </row>
    <row r="17" spans="2:8">
      <c r="B17" s="122">
        <v>2</v>
      </c>
      <c r="C17" s="123">
        <f t="shared" ref="C17:C45" si="2">IF(ROW()-ROW($C$16)&lt;$C$12, $C$16*(1+D17)^(ROW()-ROW($C$16)), 0)</f>
        <v>62288.090848855361</v>
      </c>
      <c r="D17" s="138">
        <f>IF($C$12&lt;B17,0,DDM!$C$11)</f>
        <v>1.98435191985455E-2</v>
      </c>
      <c r="E17" s="124">
        <f t="shared" si="0"/>
        <v>0.86533261222282321</v>
      </c>
      <c r="F17" s="125">
        <f t="shared" si="1"/>
        <v>53899.916364612538</v>
      </c>
      <c r="H17" s="120"/>
    </row>
    <row r="18" spans="2:8">
      <c r="B18" s="122">
        <v>3</v>
      </c>
      <c r="C18" s="123">
        <f t="shared" si="2"/>
        <v>63524.105775455369</v>
      </c>
      <c r="D18" s="138">
        <f>IF($C$12&lt;B18,0,DDM!$C$11)</f>
        <v>1.98435191985455E-2</v>
      </c>
      <c r="E18" s="124">
        <f t="shared" si="0"/>
        <v>0.80496056950960304</v>
      </c>
      <c r="F18" s="125">
        <f t="shared" si="1"/>
        <v>51134.400362598819</v>
      </c>
      <c r="H18" s="120"/>
    </row>
    <row r="19" spans="2:8">
      <c r="B19" s="122">
        <v>4</v>
      </c>
      <c r="C19" s="123">
        <f t="shared" si="2"/>
        <v>64784.64758798106</v>
      </c>
      <c r="D19" s="138">
        <f>IF($C$12&lt;B19,0,DDM!$C$11)</f>
        <v>1.98435191985455E-2</v>
      </c>
      <c r="E19" s="124">
        <f t="shared" si="0"/>
        <v>0.7488005297763749</v>
      </c>
      <c r="F19" s="125">
        <f t="shared" si="1"/>
        <v>48510.778435255968</v>
      </c>
      <c r="H19" s="120"/>
    </row>
    <row r="20" spans="2:8">
      <c r="B20" s="122">
        <v>5</v>
      </c>
      <c r="C20" s="123">
        <f t="shared" si="2"/>
        <v>66070.202986164164</v>
      </c>
      <c r="D20" s="138">
        <f>IF($C$12&lt;B20,0,DDM!$C$11)</f>
        <v>1.98435191985455E-2</v>
      </c>
      <c r="E20" s="124">
        <f t="shared" si="0"/>
        <v>0.69655863235011617</v>
      </c>
      <c r="F20" s="125">
        <f t="shared" si="1"/>
        <v>46021.770231137074</v>
      </c>
      <c r="H20" s="120"/>
    </row>
    <row r="21" spans="2:8">
      <c r="B21" s="122">
        <v>6</v>
      </c>
      <c r="C21" s="123">
        <f t="shared" si="2"/>
        <v>67381.268327571903</v>
      </c>
      <c r="D21" s="138">
        <f>IF($C$12&lt;B21,0,DDM!$C$11)</f>
        <v>1.98435191985455E-2</v>
      </c>
      <c r="E21" s="124">
        <f t="shared" si="0"/>
        <v>0.64796151846522443</v>
      </c>
      <c r="F21" s="125">
        <f t="shared" si="1"/>
        <v>43660.468941646221</v>
      </c>
      <c r="H21" s="120"/>
    </row>
    <row r="22" spans="2:8">
      <c r="B22" s="122">
        <v>7</v>
      </c>
      <c r="C22" s="123">
        <f t="shared" si="2"/>
        <v>68718.349819252428</v>
      </c>
      <c r="D22" s="138">
        <f>IF($C$12&lt;B22,0,DDM!$C$11)</f>
        <v>1.98435191985455E-2</v>
      </c>
      <c r="E22" s="124">
        <f t="shared" si="0"/>
        <v>0.60275490089788319</v>
      </c>
      <c r="F22" s="125">
        <f t="shared" si="1"/>
        <v>41420.322135169568</v>
      </c>
      <c r="H22" s="120"/>
    </row>
    <row r="23" spans="2:8">
      <c r="B23" s="122">
        <v>8</v>
      </c>
      <c r="C23" s="123">
        <f t="shared" si="2"/>
        <v>70081.963713183126</v>
      </c>
      <c r="D23" s="138">
        <f>IF($C$12&lt;B23,0,DDM!$C$11)</f>
        <v>1.98435191985455E-2</v>
      </c>
      <c r="E23" s="124">
        <f t="shared" si="0"/>
        <v>0.56070223339337966</v>
      </c>
      <c r="F23" s="125">
        <f t="shared" si="1"/>
        <v>39295.113574575567</v>
      </c>
      <c r="H23" s="120"/>
    </row>
    <row r="24" spans="2:8">
      <c r="B24" s="122">
        <v>9</v>
      </c>
      <c r="C24" s="123">
        <f t="shared" si="2"/>
        <v>71472.636505597446</v>
      </c>
      <c r="D24" s="138">
        <f>IF($C$12&lt;B24,0,DDM!$C$11)</f>
        <v>1.98435191985455E-2</v>
      </c>
      <c r="E24" s="124">
        <f t="shared" si="0"/>
        <v>0.52158347292407414</v>
      </c>
      <c r="F24" s="125">
        <f t="shared" si="1"/>
        <v>37278.945967629479</v>
      </c>
      <c r="H24" s="120"/>
    </row>
    <row r="25" spans="2:8">
      <c r="B25" s="122">
        <v>10</v>
      </c>
      <c r="C25" s="123">
        <f t="shared" si="2"/>
        <v>72890.905140266943</v>
      </c>
      <c r="D25" s="138">
        <f>IF($C$12&lt;B25,0,DDM!$C$11)</f>
        <v>1.98435191985455E-2</v>
      </c>
      <c r="E25" s="124">
        <f t="shared" si="0"/>
        <v>0.48519392830146441</v>
      </c>
      <c r="F25" s="125">
        <f t="shared" si="1"/>
        <v>35366.224602455521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814348.34104490979</v>
      </c>
      <c r="D46" s="139">
        <f>Terminal_Growth</f>
        <v>0</v>
      </c>
      <c r="E46" s="124">
        <f>1/(1+Equity_Cost)^C12</f>
        <v>0.48519392830146441</v>
      </c>
      <c r="F46" s="125">
        <f t="shared" si="1"/>
        <v>395116.87059736042</v>
      </c>
      <c r="H46" s="120"/>
    </row>
    <row r="47" spans="2:8">
      <c r="C47" s="114"/>
      <c r="E47" s="127" t="s">
        <v>97</v>
      </c>
      <c r="F47" s="137">
        <f>SUM(F16:F46)</f>
        <v>848519.81175045809</v>
      </c>
      <c r="H47" s="120"/>
    </row>
    <row r="48" spans="2:8">
      <c r="C48" s="114"/>
      <c r="H48" s="120"/>
    </row>
    <row r="49" spans="1:8" ht="13.15">
      <c r="B49" s="119" t="s">
        <v>125</v>
      </c>
      <c r="C49" s="136"/>
      <c r="D49" s="136"/>
      <c r="E49" s="117"/>
      <c r="F49" s="117"/>
      <c r="H49" s="120"/>
    </row>
    <row r="50" spans="1:8" ht="13.15">
      <c r="A50" s="133">
        <f>F47</f>
        <v>848519.81175045809</v>
      </c>
      <c r="B50" s="131">
        <f>C73</f>
        <v>-0.15</v>
      </c>
      <c r="C50" s="131">
        <f>C72</f>
        <v>-0.01</v>
      </c>
      <c r="D50" s="131">
        <f>C71</f>
        <v>0.01</v>
      </c>
      <c r="E50" s="131">
        <f>C70</f>
        <v>0.02</v>
      </c>
      <c r="F50" s="131">
        <f>C69</f>
        <v>0.06</v>
      </c>
      <c r="H50" s="120"/>
    </row>
    <row r="51" spans="1:8" ht="13.15">
      <c r="A51" s="143">
        <v>5</v>
      </c>
      <c r="B51" s="123">
        <f t="dataTable" ref="B51:F56" dt2D="1" dtr="1" r1="C11" r2="C12"/>
        <v>629092.18654156348</v>
      </c>
      <c r="C51" s="123">
        <v>786109.51290940866</v>
      </c>
      <c r="D51" s="123">
        <v>811073.47836209927</v>
      </c>
      <c r="E51" s="123">
        <v>823824.16615612002</v>
      </c>
      <c r="F51" s="123">
        <v>876711.41680935957</v>
      </c>
      <c r="H51" s="120"/>
    </row>
    <row r="52" spans="1:8" ht="13.15">
      <c r="A52" s="143">
        <v>10</v>
      </c>
      <c r="B52" s="123">
        <v>533945.95687025611</v>
      </c>
      <c r="C52" s="123">
        <v>775000.15538701799</v>
      </c>
      <c r="D52" s="123">
        <v>823125.60595765442</v>
      </c>
      <c r="E52" s="123">
        <v>848933.12651291629</v>
      </c>
      <c r="F52" s="123">
        <v>965462.97808523674</v>
      </c>
      <c r="H52" s="120"/>
    </row>
    <row r="53" spans="1:8" ht="13.15">
      <c r="A53" s="143">
        <v>15</v>
      </c>
      <c r="B53" s="123">
        <v>448950.18940130249</v>
      </c>
      <c r="C53" s="123">
        <v>761937.00236402894</v>
      </c>
      <c r="D53" s="123">
        <v>838005.65944622527</v>
      </c>
      <c r="E53" s="123">
        <v>880724.01074456249</v>
      </c>
      <c r="F53" s="123">
        <v>1090341.1844797875</v>
      </c>
      <c r="H53" s="120"/>
    </row>
    <row r="54" spans="1:8" ht="13.15">
      <c r="A54" s="144">
        <v>20</v>
      </c>
      <c r="B54" s="123">
        <v>383959.66443324392</v>
      </c>
      <c r="C54" s="123">
        <v>749310.47197913309</v>
      </c>
      <c r="D54" s="123">
        <v>853118.12286607188</v>
      </c>
      <c r="E54" s="123">
        <v>913866.52620970435</v>
      </c>
      <c r="F54" s="123">
        <v>1236105.4258526259</v>
      </c>
      <c r="H54" s="120"/>
    </row>
    <row r="55" spans="1:8" ht="13.15">
      <c r="A55" s="144">
        <v>25</v>
      </c>
      <c r="B55" s="123">
        <v>336901.69620836159</v>
      </c>
      <c r="C55" s="123">
        <v>738178.81233890483</v>
      </c>
      <c r="D55" s="123">
        <v>867120.53546622023</v>
      </c>
      <c r="E55" s="123">
        <v>945410.55169445474</v>
      </c>
      <c r="F55" s="123">
        <v>1392429.9946990656</v>
      </c>
      <c r="H55" s="120"/>
    </row>
    <row r="56" spans="1:8" ht="13.15">
      <c r="A56" s="144">
        <v>30</v>
      </c>
      <c r="B56" s="123">
        <v>303570.37140177283</v>
      </c>
      <c r="C56" s="123">
        <v>728877.1865308542</v>
      </c>
      <c r="D56" s="123">
        <v>879418.55936525366</v>
      </c>
      <c r="E56" s="123">
        <v>973887.745454313</v>
      </c>
      <c r="F56" s="123">
        <v>1552393.0072300243</v>
      </c>
      <c r="H56" s="120"/>
    </row>
    <row r="57" spans="1:8">
      <c r="C57" s="114"/>
      <c r="D57" s="114"/>
      <c r="E57" s="114"/>
      <c r="F57" s="114"/>
      <c r="H57" s="120"/>
    </row>
    <row r="58" spans="1:8" ht="13.15">
      <c r="B58" s="119" t="s">
        <v>126</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18.383369424000001</v>
      </c>
      <c r="C60" s="124">
        <f>C7</f>
        <v>18.383369424000001</v>
      </c>
      <c r="D60" s="124">
        <f>C7</f>
        <v>18.383369424000001</v>
      </c>
      <c r="E60" s="141">
        <f>C7</f>
        <v>18.383369424000001</v>
      </c>
      <c r="F60" s="124">
        <f>C7</f>
        <v>18.383369424000001</v>
      </c>
      <c r="H60" s="120"/>
    </row>
    <row r="61" spans="1:8" ht="13.15">
      <c r="A61" s="143">
        <f t="shared" ref="A61:A66" si="3">A51</f>
        <v>5</v>
      </c>
      <c r="B61" s="124">
        <f t="shared" ref="B61:F66" si="4">B51/Common_Shares*$C$3*Exchange_Rate</f>
        <v>14.483140051157145</v>
      </c>
      <c r="C61" s="124">
        <f t="shared" si="4"/>
        <v>18.098037798887322</v>
      </c>
      <c r="D61" s="124">
        <f t="shared" si="4"/>
        <v>18.672765343782171</v>
      </c>
      <c r="E61" s="124">
        <f t="shared" si="4"/>
        <v>18.966315321067071</v>
      </c>
      <c r="F61" s="124">
        <f t="shared" si="4"/>
        <v>20.183900715574129</v>
      </c>
      <c r="H61" s="120"/>
    </row>
    <row r="62" spans="1:8" ht="13.15">
      <c r="A62" s="143">
        <f t="shared" si="3"/>
        <v>10</v>
      </c>
      <c r="B62" s="124">
        <f t="shared" si="4"/>
        <v>12.292656368241358</v>
      </c>
      <c r="C62" s="124">
        <f t="shared" si="4"/>
        <v>17.842274996046456</v>
      </c>
      <c r="D62" s="124">
        <f t="shared" si="4"/>
        <v>18.950232868598277</v>
      </c>
      <c r="E62" s="124">
        <f t="shared" si="4"/>
        <v>19.544380980069505</v>
      </c>
      <c r="F62" s="124">
        <f t="shared" si="4"/>
        <v>22.22716451572381</v>
      </c>
      <c r="H62" s="120"/>
    </row>
    <row r="63" spans="1:8" ht="13.15">
      <c r="A63" s="143">
        <f t="shared" si="3"/>
        <v>15</v>
      </c>
      <c r="B63" s="124">
        <f t="shared" si="4"/>
        <v>10.335859526150696</v>
      </c>
      <c r="C63" s="124">
        <f t="shared" si="4"/>
        <v>17.541531354988454</v>
      </c>
      <c r="D63" s="124">
        <f t="shared" si="4"/>
        <v>19.292805711266137</v>
      </c>
      <c r="E63" s="124">
        <f t="shared" si="4"/>
        <v>20.27627979955458</v>
      </c>
      <c r="F63" s="124">
        <f t="shared" si="4"/>
        <v>25.102146261233205</v>
      </c>
      <c r="H63" s="120"/>
    </row>
    <row r="64" spans="1:8" ht="13.15">
      <c r="A64" s="144">
        <f t="shared" si="3"/>
        <v>20</v>
      </c>
      <c r="B64" s="124">
        <f t="shared" si="4"/>
        <v>8.8396290924439356</v>
      </c>
      <c r="C64" s="124">
        <f t="shared" si="4"/>
        <v>17.250839765048394</v>
      </c>
      <c r="D64" s="124">
        <f t="shared" si="4"/>
        <v>19.640729161771699</v>
      </c>
      <c r="E64" s="124">
        <f t="shared" si="4"/>
        <v>21.039296259460301</v>
      </c>
      <c r="F64" s="124">
        <f t="shared" si="4"/>
        <v>28.45797227118479</v>
      </c>
      <c r="H64" s="120"/>
    </row>
    <row r="65" spans="1:8" ht="13.15">
      <c r="A65" s="144">
        <f t="shared" si="3"/>
        <v>25</v>
      </c>
      <c r="B65" s="124">
        <f t="shared" si="4"/>
        <v>7.7562471034373939</v>
      </c>
      <c r="C65" s="124">
        <f t="shared" si="4"/>
        <v>16.994563516478919</v>
      </c>
      <c r="D65" s="124">
        <f t="shared" si="4"/>
        <v>19.96309670516295</v>
      </c>
      <c r="E65" s="124">
        <f t="shared" si="4"/>
        <v>21.765511826346422</v>
      </c>
      <c r="F65" s="124">
        <f t="shared" si="4"/>
        <v>32.056921157335289</v>
      </c>
    </row>
    <row r="66" spans="1:8" ht="13.15">
      <c r="A66" s="144">
        <f t="shared" si="3"/>
        <v>30</v>
      </c>
      <c r="B66" s="124">
        <f t="shared" si="4"/>
        <v>6.988883820929769</v>
      </c>
      <c r="C66" s="124">
        <f t="shared" si="4"/>
        <v>16.780418829637295</v>
      </c>
      <c r="D66" s="124">
        <f t="shared" si="4"/>
        <v>20.246225324930684</v>
      </c>
      <c r="E66" s="124">
        <f t="shared" si="4"/>
        <v>22.421121917063573</v>
      </c>
      <c r="F66" s="124">
        <f t="shared" si="4"/>
        <v>35.739635333499699</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15</v>
      </c>
      <c r="E69" s="135">
        <f>INDEX(B$60:F$66, MATCH(D69, A$60:A$66, 0), MATCH(C69, B$59:F$59, 0))</f>
        <v>25.102146261233205</v>
      </c>
      <c r="F69" s="142">
        <f>Scenarios!C58</f>
        <v>0.05</v>
      </c>
    </row>
    <row r="70" spans="1:8">
      <c r="B70" s="127" t="str">
        <f>Scenarios!B36</f>
        <v>Optimistic</v>
      </c>
      <c r="C70" s="142">
        <f>Scenarios!C38</f>
        <v>0.02</v>
      </c>
      <c r="D70" s="145">
        <f>Scenarios!C37</f>
        <v>10</v>
      </c>
      <c r="E70" s="135">
        <f>INDEX(B$60:F$66, MATCH(D70, A$60:A$66, 0), MATCH(C70, B$59:F$59, 0))</f>
        <v>19.544380980069505</v>
      </c>
      <c r="F70" s="142">
        <f>Scenarios!C40*(1-F$69-F$73)</f>
        <v>0.18</v>
      </c>
      <c r="H70" s="120"/>
    </row>
    <row r="71" spans="1:8">
      <c r="B71" s="127" t="str">
        <f>Scenarios!B24</f>
        <v>Base</v>
      </c>
      <c r="C71" s="142">
        <f>Scenarios!C26</f>
        <v>0.01</v>
      </c>
      <c r="D71" s="145">
        <f>Scenarios!C25</f>
        <v>10</v>
      </c>
      <c r="E71" s="135">
        <f>INDEX(B$60:F$66, MATCH(D71, A$60:A$66, 0), MATCH(C71, B$59:F$59, 0))</f>
        <v>18.950232868598277</v>
      </c>
      <c r="F71" s="142">
        <f>Scenarios!C28*(1-F$69-F$73)</f>
        <v>0.53999999999999992</v>
      </c>
      <c r="H71" s="120"/>
    </row>
    <row r="72" spans="1:8">
      <c r="B72" s="127" t="str">
        <f>Scenarios!B30</f>
        <v>Pessimistic</v>
      </c>
      <c r="C72" s="142">
        <f>Scenarios!C32</f>
        <v>-0.01</v>
      </c>
      <c r="D72" s="145">
        <f>Scenarios!C31</f>
        <v>10</v>
      </c>
      <c r="E72" s="135">
        <f>INDEX(B$60:F$66, MATCH(D72, A$60:A$66, 0), MATCH(C72, B$59:F$59, 0))</f>
        <v>17.842274996046456</v>
      </c>
      <c r="F72" s="142">
        <f>Scenarios!C34*(1-F$69-F$73)</f>
        <v>0.18</v>
      </c>
      <c r="H72" s="120"/>
    </row>
    <row r="73" spans="1:8">
      <c r="B73" s="127" t="str">
        <f>Scenarios!B48</f>
        <v>Devil's advocate</v>
      </c>
      <c r="C73" s="142">
        <f>Scenarios!C50</f>
        <v>-0.15</v>
      </c>
      <c r="D73" s="145">
        <f>Scenarios!C49</f>
        <v>15</v>
      </c>
      <c r="E73" s="135">
        <f>INDEX(B$60:F$66, MATCH(D73, A$60:A$66, 0), MATCH(C73, B$59:F$59, 0))</f>
        <v>10.335859526150696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-18.899999999999999</v>
      </c>
    </row>
    <row r="4" spans="2:9">
      <c r="B4" s="152" t="s">
        <v>142</v>
      </c>
      <c r="C4" s="120">
        <v>3</v>
      </c>
      <c r="D4" s="120"/>
      <c r="E4" s="155" t="s">
        <v>146</v>
      </c>
      <c r="F4" s="155"/>
      <c r="H4" s="247">
        <v>1</v>
      </c>
      <c r="I4" s="124">
        <f t="shared" ref="I4:I13" si="0">IF(ROW()-3 &lt; $C$76, $C$77, IF(ROW()-3 = $C$76, $C$77 + $C$60, ""))</f>
        <v>1.26</v>
      </c>
    </row>
    <row r="5" spans="2:9">
      <c r="H5" s="247">
        <v>2</v>
      </c>
      <c r="I5" s="124">
        <f t="shared" si="0"/>
        <v>1.26</v>
      </c>
    </row>
    <row r="6" spans="2:9" ht="13.15">
      <c r="B6" s="159" t="s">
        <v>92</v>
      </c>
      <c r="C6" s="107">
        <f>DCF!C3</f>
        <v>1000000</v>
      </c>
      <c r="E6" s="100" t="s">
        <v>274</v>
      </c>
      <c r="F6" s="100"/>
      <c r="H6" s="247">
        <v>3</v>
      </c>
      <c r="I6" s="124">
        <f t="shared" si="0"/>
        <v>29.706935271447303</v>
      </c>
    </row>
    <row r="7" spans="2:9" ht="12.75" customHeight="1">
      <c r="B7" s="100" t="s">
        <v>270</v>
      </c>
      <c r="C7" s="338">
        <f>Normalized_FCF!G8</f>
        <v>192781</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80"/>
      <c r="H7" s="247">
        <v>4</v>
      </c>
      <c r="I7" s="124" t="str">
        <f t="shared" si="0"/>
        <v/>
      </c>
    </row>
    <row r="8" spans="2:9">
      <c r="B8" s="100" t="s">
        <v>64</v>
      </c>
      <c r="C8" s="338">
        <f>Normalized_FCF!G19</f>
        <v>141358.4276163358</v>
      </c>
      <c r="D8" t="str">
        <f>Reporting_currency</f>
        <v>CNY</v>
      </c>
      <c r="E8" s="380"/>
      <c r="F8" s="380"/>
      <c r="H8" s="247">
        <v>5</v>
      </c>
      <c r="I8" s="124" t="str">
        <f t="shared" si="0"/>
        <v/>
      </c>
    </row>
    <row r="9" spans="2:9">
      <c r="B9" s="100" t="s">
        <v>55</v>
      </c>
      <c r="C9" s="338">
        <f>Normalized_FCF!C19</f>
        <v>89906.523166472296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0.19549305441006948</v>
      </c>
      <c r="D12" s="158"/>
      <c r="E12" s="380"/>
      <c r="F12" s="380"/>
      <c r="H12" s="247">
        <v>9</v>
      </c>
      <c r="I12" s="124" t="str">
        <f t="shared" si="0"/>
        <v/>
      </c>
    </row>
    <row r="13" spans="2:9">
      <c r="B13" s="148" t="s">
        <v>148</v>
      </c>
      <c r="C13" s="158">
        <f ca="1">(Normalized_FCF!G8/OFFSET(Normalized_FCF!G8, 0, $C$4))^(1/$C$4) - 1</f>
        <v>0.22866289579809873</v>
      </c>
      <c r="E13" s="380"/>
      <c r="F13" s="380"/>
      <c r="H13" s="247">
        <v>10</v>
      </c>
      <c r="I13" s="124" t="str">
        <f t="shared" si="0"/>
        <v/>
      </c>
    </row>
    <row r="14" spans="2:9">
      <c r="B14" s="100" t="s">
        <v>64</v>
      </c>
      <c r="C14" s="158">
        <f ca="1">(Normalized_FCF!G19/OFFSET(Normalized_FCF!G19, 0, $C$4))^(1/$C$4) - 1</f>
        <v>0.22962169479662209</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18.899999999999999</v>
      </c>
      <c r="D21" t="str">
        <f>Market_currency</f>
        <v>HKD</v>
      </c>
      <c r="E21" s="381"/>
      <c r="F21" s="381"/>
    </row>
    <row r="22" spans="2:6">
      <c r="B22" s="100" t="s">
        <v>273</v>
      </c>
      <c r="C22" s="160">
        <f>IF(valuation_method="DCF",DCF!C12,DDM!C7)</f>
        <v>27.919613871960802</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0.01</v>
      </c>
      <c r="D26" s="164"/>
      <c r="E26" s="379"/>
      <c r="F26" s="379"/>
    </row>
    <row r="27" spans="2:6">
      <c r="B27" s="100" t="s">
        <v>109</v>
      </c>
      <c r="C27" s="160">
        <f>IF(valuation_method="DCF",DCF!E76,DDM!E71)</f>
        <v>28.770618095782051</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27.10729540608946</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0.02</v>
      </c>
      <c r="D38" s="164"/>
      <c r="E38" s="379"/>
      <c r="F38" s="379"/>
    </row>
    <row r="39" spans="2:6">
      <c r="B39" s="100" t="s">
        <v>109</v>
      </c>
      <c r="C39" s="160">
        <f>IF(valuation_method="DCF",DCF!E75,DDM!E70)</f>
        <v>29.662583448735369</v>
      </c>
      <c r="D39" t="str">
        <f>Market_currency</f>
        <v>HKD</v>
      </c>
      <c r="E39" s="379"/>
      <c r="F39" s="379"/>
    </row>
    <row r="40" spans="2:6">
      <c r="B40" s="100" t="s">
        <v>143</v>
      </c>
      <c r="C40" s="167">
        <f>1-C28-C34</f>
        <v>0.2</v>
      </c>
      <c r="D40" s="165"/>
      <c r="E40" s="379"/>
      <c r="F40" s="379"/>
    </row>
    <row r="42" spans="2:6" ht="13.15">
      <c r="B42" s="100" t="s">
        <v>116</v>
      </c>
      <c r="C42" s="154">
        <f>C27*C28+C33*C34+C39*C40</f>
        <v>28.616346628434197</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-0.15</v>
      </c>
      <c r="D50" s="164"/>
      <c r="E50" s="379"/>
      <c r="F50" s="379"/>
    </row>
    <row r="51" spans="2:6">
      <c r="B51" s="100" t="s">
        <v>109</v>
      </c>
      <c r="C51" s="160">
        <f>IF(valuation_method="DCF",DCF!E78,DDM!E73)</f>
        <v>15.838282857281529</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0.06</v>
      </c>
      <c r="D56" s="164"/>
      <c r="E56" s="379"/>
      <c r="F56" s="379"/>
    </row>
    <row r="57" spans="2:6">
      <c r="B57" s="100" t="s">
        <v>109</v>
      </c>
      <c r="C57" s="160">
        <f>IF(valuation_method="DCF",DCF!E74,DDM!E69)</f>
        <v>38.006183259849003</v>
      </c>
      <c r="D57" t="str">
        <f>Market_currency</f>
        <v>HKD</v>
      </c>
      <c r="E57" s="379"/>
      <c r="F57" s="379"/>
    </row>
    <row r="58" spans="2:6">
      <c r="B58" s="100" t="s">
        <v>143</v>
      </c>
      <c r="C58" s="165">
        <v>0.05</v>
      </c>
      <c r="D58" s="165"/>
      <c r="E58" s="379"/>
      <c r="F58" s="379"/>
    </row>
    <row r="60" spans="2:6" ht="13.15">
      <c r="B60" s="100" t="s">
        <v>116</v>
      </c>
      <c r="C60" s="154">
        <f>C51*C52+C57*C58+C42*(1-C52-C58)</f>
        <v>28.446935271447302</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1.98435191985455E-2</v>
      </c>
      <c r="D65" s="151"/>
      <c r="E65" s="251" t="s">
        <v>304</v>
      </c>
    </row>
    <row r="66" spans="2:6">
      <c r="B66" s="100" t="s">
        <v>99</v>
      </c>
      <c r="C66" s="160">
        <f>IF(valuation_method="DCF",DCF!C18,DDM!C13)</f>
        <v>29.64829837058587</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1.1304030890074233E-2</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1.26</v>
      </c>
      <c r="D77" t="str">
        <f>Market_currency</f>
        <v>HKD</v>
      </c>
    </row>
    <row r="79" spans="2:6" ht="13.15">
      <c r="B79" s="109" t="s">
        <v>296</v>
      </c>
    </row>
    <row r="80" spans="2:6">
      <c r="B80" s="148" t="s">
        <v>294</v>
      </c>
      <c r="C80" s="167">
        <f>Thesis!F29</f>
        <v>0.35</v>
      </c>
    </row>
    <row r="81" spans="2:8">
      <c r="B81" s="100" t="s">
        <v>117</v>
      </c>
      <c r="C81" s="116">
        <f>PV(C80, C76, -C77, 0)</f>
        <v>2.1368084133516234</v>
      </c>
      <c r="D81" s="116"/>
      <c r="E81" s="100"/>
      <c r="F81" s="100"/>
    </row>
    <row r="82" spans="2:8">
      <c r="B82" s="100" t="s">
        <v>118</v>
      </c>
      <c r="C82" s="116">
        <f>C60/(1+C80)^C76</f>
        <v>11.562032320864622</v>
      </c>
      <c r="D82" s="116"/>
    </row>
    <row r="83" spans="2:8" ht="13.15">
      <c r="B83" s="110" t="s">
        <v>98</v>
      </c>
      <c r="C83" s="111">
        <f>C81+C82</f>
        <v>13.698840734216246</v>
      </c>
      <c r="D83" t="str">
        <f>Market_currency</f>
        <v>HKD</v>
      </c>
      <c r="E83" s="146" t="s">
        <v>122</v>
      </c>
      <c r="F83" s="291">
        <f>(1-C83/C60)</f>
        <v>0.51844229954830956</v>
      </c>
    </row>
    <row r="84" spans="2:8">
      <c r="E84" s="120"/>
    </row>
    <row r="85" spans="2:8" ht="13.15">
      <c r="B85" s="109" t="s">
        <v>297</v>
      </c>
    </row>
    <row r="86" spans="2:8">
      <c r="B86" s="148" t="s">
        <v>295</v>
      </c>
      <c r="C86" s="116">
        <f>Market_Price</f>
        <v>18.899999999999999</v>
      </c>
      <c r="D86" t="str">
        <f>Market_currency</f>
        <v>HKD</v>
      </c>
    </row>
    <row r="87" spans="2:8" ht="13.15">
      <c r="B87" s="100" t="s">
        <v>293</v>
      </c>
      <c r="C87" s="237">
        <f ca="1">IRR(OFFSET($I$3, 0, 0, $C$76 + 1, 1))</f>
        <v>0.20481599039312282</v>
      </c>
    </row>
    <row r="88" spans="2:8">
      <c r="B88" s="100"/>
    </row>
    <row r="89" spans="2:8" ht="13.15">
      <c r="B89" s="109" t="s">
        <v>392</v>
      </c>
    </row>
    <row r="90" spans="2:8">
      <c r="B90" s="148" t="s">
        <v>393</v>
      </c>
      <c r="C90" s="167">
        <f>Thesis!F30</f>
        <v>0.25</v>
      </c>
    </row>
    <row r="91" spans="2:8">
      <c r="B91" s="100" t="s">
        <v>117</v>
      </c>
      <c r="C91" s="116">
        <f>PV(C90, C76, -C77, 0)</f>
        <v>2.4595199999999999</v>
      </c>
      <c r="D91" s="116"/>
      <c r="E91" s="100"/>
      <c r="F91" s="100"/>
    </row>
    <row r="92" spans="2:8">
      <c r="B92" s="100" t="s">
        <v>118</v>
      </c>
      <c r="C92" s="116">
        <f>C60/(1+C90)^C76</f>
        <v>14.564830858981018</v>
      </c>
      <c r="D92" s="116"/>
    </row>
    <row r="93" spans="2:8" ht="13.15">
      <c r="B93" s="110" t="s">
        <v>98</v>
      </c>
      <c r="C93" s="111">
        <f>C91+C92</f>
        <v>17.02435085898102</v>
      </c>
      <c r="D93" t="str">
        <f>Market_currency</f>
        <v>HKD</v>
      </c>
      <c r="E93" s="146" t="s">
        <v>122</v>
      </c>
      <c r="F93" s="291">
        <f>(1-C93/C60)</f>
        <v>0.40154007113488022</v>
      </c>
    </row>
    <row r="95" spans="2:8" ht="13.15">
      <c r="B95" s="109" t="s">
        <v>378</v>
      </c>
      <c r="G95" s="2"/>
      <c r="H95" s="281"/>
    </row>
    <row r="96" spans="2:8">
      <c r="B96" s="148" t="s">
        <v>383</v>
      </c>
      <c r="C96" s="134">
        <f>Thesis!F31</f>
        <v>7.4999999999999997E-2</v>
      </c>
      <c r="G96" s="2"/>
      <c r="H96" s="281"/>
    </row>
    <row r="97" spans="2:8">
      <c r="B97" s="100" t="s">
        <v>117</v>
      </c>
      <c r="C97" s="116">
        <f>PV(C96, C76, -C77, 0)</f>
        <v>3.2766624322386693</v>
      </c>
      <c r="D97" s="116"/>
      <c r="G97" s="2"/>
      <c r="H97" s="281"/>
    </row>
    <row r="98" spans="2:8">
      <c r="B98" s="100" t="s">
        <v>118</v>
      </c>
      <c r="C98" s="116">
        <f>C60/(1+C96)^C76</f>
        <v>22.898661216907033</v>
      </c>
      <c r="D98" s="116"/>
      <c r="G98" s="2"/>
      <c r="H98" s="281"/>
    </row>
    <row r="99" spans="2:8" ht="13.15">
      <c r="B99" s="110" t="s">
        <v>379</v>
      </c>
      <c r="C99" s="111">
        <f>C97+C98</f>
        <v>26.175323649145703</v>
      </c>
      <c r="D99" t="s">
        <v>377</v>
      </c>
      <c r="E99" s="146" t="s">
        <v>122</v>
      </c>
      <c r="F99" s="291">
        <f>(1-C99/C60)</f>
        <v>7.9854353399596456E-2</v>
      </c>
    </row>
    <row r="100" spans="2:8">
      <c r="B100" s="100"/>
    </row>
    <row r="101" spans="2:8" ht="13.15">
      <c r="B101" s="109" t="s">
        <v>399</v>
      </c>
    </row>
    <row r="102" spans="2:8">
      <c r="B102" s="148" t="s">
        <v>398</v>
      </c>
      <c r="C102" s="134">
        <f>Thesis!F32</f>
        <v>0.1174</v>
      </c>
    </row>
    <row r="103" spans="2:8">
      <c r="B103" s="100" t="s">
        <v>117</v>
      </c>
      <c r="C103" s="116">
        <f>PV(C102, C76, -C77, 0)</f>
        <v>3.0398799386826978</v>
      </c>
      <c r="D103" s="116"/>
    </row>
    <row r="104" spans="2:8">
      <c r="B104" s="100" t="s">
        <v>118</v>
      </c>
      <c r="C104" s="116">
        <f>C60/(1+C102)^C76</f>
        <v>20.38963650522922</v>
      </c>
      <c r="D104" s="116"/>
    </row>
    <row r="105" spans="2:8" ht="13.15">
      <c r="B105" s="110" t="s">
        <v>379</v>
      </c>
      <c r="C105" s="111">
        <f>C103+C104</f>
        <v>23.429516443911918</v>
      </c>
      <c r="D105" t="s">
        <v>377</v>
      </c>
      <c r="E105" s="146" t="s">
        <v>122</v>
      </c>
      <c r="F105" s="291">
        <f>(1-C105/C66)</f>
        <v>0.20975173175009654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3F260-35A0-4C4F-A8DD-E5F63FD751C8}">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2025-07-29T11:03:23Z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