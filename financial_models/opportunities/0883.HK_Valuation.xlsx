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1C2C4F-8736-4ECD-8BCE-88A8B023240E}" xr6:coauthVersionLast="47" xr6:coauthVersionMax="47" xr10:uidLastSave="{00000000-0000-0000-0000-000000000000}"/>
  <bookViews>
    <workbookView xWindow="2205" yWindow="2205"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<sst xmlns="http://schemas.openxmlformats.org/spreadsheetml/2006/main" count="767" uniqueCount="557">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</sst>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18.52</v>
      </c>
      <c r="E8" s="32"/>
    </row>
    <row r="9" spans="1:9">
      <c r="B9" s="4" t="s">
        <v>346</v>
      </c>
      <c r="C9" s="48">
        <f>44539953984+2990000000</f>
        <v>47529953984</v>
      </c>
    </row>
    <row r="10" spans="1:9">
      <c r="B10" s="4" t="s">
        <v>352</v>
      </c>
      <c r="C10" s="33">
        <f>Thesis!C8*Common_Shares/1000000</f>
        <v>880254.74778367998</v>
      </c>
      <c r="D10" s="1" t="s">
        <v>531</v>
      </c>
      <c r="E10" s="310">
        <f>Scenarios!F34</f>
        <v>0.16396088766438474</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1.0928174399999999</v>
      </c>
    </row>
    <row r="17" spans="1:6">
      <c r="B17" s="1" t="s">
        <v>535</v>
      </c>
      <c r="C17" s="423">
        <v>0</v>
      </c>
      <c r="D17" s="4" t="s">
        <v>274</v>
      </c>
      <c r="E17" s="227" t="s">
        <v>546</v>
      </c>
    </row>
    <row r="18" spans="1:6">
      <c r="B18" s="1" t="str">
        <f>"Expected Equity Value ("&amp;C7&amp;") :"</f>
        <v>Expected Equity Value (HKD) :</v>
      </c>
      <c r="C18" s="258">
        <f>C125</f>
        <v>24.771283289607897</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13.720950907377047</v>
      </c>
      <c r="D22" s="38" t="s">
        <v>408</v>
      </c>
      <c r="E22" s="79">
        <v>0.29465259038036606</v>
      </c>
    </row>
    <row r="23" spans="1:6">
      <c r="B23" s="1" t="s">
        <v>313</v>
      </c>
      <c r="C23" s="262">
        <f>E141</f>
        <v>16.9593674513109</v>
      </c>
      <c r="D23" s="38" t="s">
        <v>409</v>
      </c>
      <c r="E23" s="451">
        <v>0.20075184365903009</v>
      </c>
    </row>
    <row r="24" spans="1:6">
      <c r="B24" s="1" t="s">
        <v>315</v>
      </c>
      <c r="C24" s="262">
        <f>E144</f>
        <v>20.794954684823068</v>
      </c>
      <c r="D24" s="38" t="s">
        <v>410</v>
      </c>
      <c r="E24" s="451">
        <v>0.1174</v>
      </c>
    </row>
    <row r="25" spans="1:6">
      <c r="B25" s="1" t="s">
        <v>314</v>
      </c>
      <c r="C25" s="262">
        <f>E145</f>
        <v>23.371264282044294</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137124.09035259794</v>
      </c>
      <c r="D34" s="1" t="str">
        <f>Reporting_currency</f>
        <v>CNY</v>
      </c>
    </row>
    <row r="35" spans="2:6">
      <c r="B35" s="44"/>
      <c r="C35" s="73"/>
    </row>
    <row r="36" spans="2:6" ht="24.5" customHeight="1">
      <c r="B36" s="460" t="s">
        <v>198</v>
      </c>
      <c r="C36" s="460"/>
      <c r="D36" s="460"/>
      <c r="E36" s="460"/>
      <c r="F36" s="460"/>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0" t="s">
        <v>201</v>
      </c>
      <c r="C40" s="460"/>
      <c r="D40" s="460"/>
      <c r="E40" s="460"/>
      <c r="F40" s="460"/>
    </row>
    <row r="41" spans="2:6">
      <c r="B41" s="44" t="s">
        <v>202</v>
      </c>
      <c r="C41" s="292">
        <f>Normalized_FCF!C9</f>
        <v>1836</v>
      </c>
      <c r="D41" s="1" t="str">
        <f>Reporting_currency</f>
        <v>CNY</v>
      </c>
    </row>
    <row r="43" spans="2:6">
      <c r="B43" s="460" t="s">
        <v>205</v>
      </c>
      <c r="C43" s="460"/>
      <c r="D43" s="460"/>
      <c r="E43" s="460"/>
      <c r="F43" s="460"/>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0" t="s">
        <v>206</v>
      </c>
      <c r="C51" s="460"/>
      <c r="D51" s="460"/>
      <c r="E51" s="460"/>
      <c r="F51" s="460"/>
    </row>
    <row r="52" spans="2:6">
      <c r="B52" s="44" t="s">
        <v>204</v>
      </c>
      <c r="C52" s="292">
        <f>Normalized_FCF!C12</f>
        <v>-33987.291088149483</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0.12627450415043609</v>
      </c>
      <c r="F62" s="263"/>
    </row>
    <row r="63" spans="2:6">
      <c r="B63" s="206" t="s">
        <v>332</v>
      </c>
      <c r="C63" s="89">
        <f>Normalized_FCF!C92</f>
        <v>6.8034557235421164E-2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-72545</v>
      </c>
      <c r="D78" s="1" t="str">
        <f>Reporting_currency</f>
        <v>CNY</v>
      </c>
    </row>
    <row r="79" spans="1:6">
      <c r="A79" s="191"/>
      <c r="B79" s="44" t="s">
        <v>234</v>
      </c>
      <c r="C79" s="203">
        <f>C78*scaling_factor*Exchange_Rate/Common_Shares</f>
        <v>-1.6679679768149465</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0.12857229204423712</v>
      </c>
      <c r="D90" s="1" t="str">
        <f>Market_currency</f>
        <v>HKD</v>
      </c>
    </row>
    <row r="91" spans="1:6">
      <c r="A91" s="191"/>
    </row>
    <row r="92" spans="1:6">
      <c r="A92" s="191"/>
      <c r="B92" s="44" t="s">
        <v>472</v>
      </c>
      <c r="C92" s="219">
        <f>DCF!F8</f>
        <v>-1.5393956847707095</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0.44953053277687788</v>
      </c>
      <c r="D111" s="1" t="str">
        <f>Market_currency</f>
        <v>HKD</v>
      </c>
    </row>
    <row r="112" spans="2:6">
      <c r="B112" s="44" t="s">
        <v>323</v>
      </c>
      <c r="C112" s="219">
        <f>DCF!C11</f>
        <v>30.717208685795864</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33.32 HKD</v>
      </c>
      <c r="F118" s="211">
        <f>DCF!F82</f>
        <v>0.05</v>
      </c>
    </row>
    <row r="119" spans="2:6">
      <c r="B119" s="198" t="str">
        <f>DCF!B83</f>
        <v>Optimistic</v>
      </c>
      <c r="C119" s="199">
        <f>DCF!C83</f>
        <v>0.02</v>
      </c>
      <c r="D119" s="200">
        <f>DCF!D83</f>
        <v>5</v>
      </c>
      <c r="E119" s="210" t="str">
        <f>ROUND(DCF!E83,2)&amp;" "&amp;Market_currency</f>
        <v>30.43 HKD</v>
      </c>
      <c r="F119" s="201">
        <f>DCF!F83</f>
        <v>0.24000000000000002</v>
      </c>
    </row>
    <row r="120" spans="2:6">
      <c r="B120" s="198" t="str">
        <f>DCF!B84</f>
        <v>Base</v>
      </c>
      <c r="C120" s="199">
        <f>DCF!C84</f>
        <v>0.01</v>
      </c>
      <c r="D120" s="200">
        <f>DCF!D84</f>
        <v>5</v>
      </c>
      <c r="E120" s="210" t="str">
        <f>ROUND(DCF!E84,2)&amp;" "&amp;Market_currency</f>
        <v>29.07 HKD</v>
      </c>
      <c r="F120" s="201">
        <f>DCF!F84</f>
        <v>0.47999999999999993</v>
      </c>
    </row>
    <row r="121" spans="2:6">
      <c r="B121" s="198" t="str">
        <f>DCF!B85</f>
        <v>Pessimistic</v>
      </c>
      <c r="C121" s="199">
        <f>DCF!C85</f>
        <v>-0.05</v>
      </c>
      <c r="D121" s="200">
        <f>DCF!D85</f>
        <v>5</v>
      </c>
      <c r="E121" s="210" t="str">
        <f>ROUND(DCF!E85,2)&amp;" "&amp;Market_currency</f>
        <v>21.87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0" t="s">
        <v>357</v>
      </c>
      <c r="C124" s="460"/>
      <c r="D124" s="460"/>
      <c r="E124" s="460"/>
      <c r="F124" s="460"/>
    </row>
    <row r="125" spans="2:6">
      <c r="B125" s="193" t="s">
        <v>218</v>
      </c>
      <c r="C125" s="197">
        <f>Scenarios!C36</f>
        <v>24.771283289607897</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2.3056129858987506</v>
      </c>
      <c r="D140" s="340">
        <f>Scenarios!D62</f>
        <v>11.415337921478296</v>
      </c>
      <c r="E140" s="341">
        <f>Scenarios!E62</f>
        <v>13.720950907377047</v>
      </c>
      <c r="F140" s="342">
        <f>E22</f>
        <v>0.29465259038036606</v>
      </c>
    </row>
    <row r="141" spans="1:6">
      <c r="B141" s="343" t="s">
        <v>313</v>
      </c>
      <c r="C141" s="340">
        <f>Scenarios!C63</f>
        <v>2.6510449735590389</v>
      </c>
      <c r="D141" s="340">
        <f>Scenarios!D63</f>
        <v>14.30832247775186</v>
      </c>
      <c r="E141" s="341">
        <f>Scenarios!E63</f>
        <v>16.9593674513109</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3.0398799386826978</v>
      </c>
      <c r="D144" s="340">
        <f>Scenarios!D66</f>
        <v>17.75507474614037</v>
      </c>
      <c r="E144" s="341">
        <f>Scenarios!E66</f>
        <v>20.794954684823068</v>
      </c>
      <c r="F144" s="342">
        <f>E24</f>
        <v>0.1174</v>
      </c>
    </row>
    <row r="145" spans="1:6">
      <c r="B145" s="343" t="s">
        <v>314</v>
      </c>
      <c r="C145" s="340">
        <f>Scenarios!C67</f>
        <v>3.2915927862380006</v>
      </c>
      <c r="D145" s="340">
        <f>Scenarios!D67</f>
        <v>20.079671495806295</v>
      </c>
      <c r="E145" s="341">
        <f>Scenarios!E67</f>
        <v>23.371264282044294</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18.082616841818147</v>
      </c>
      <c r="D47" s="134">
        <f>D46*H1/Common_Shares*Exchange_Rate</f>
        <v>0.44953053277687788</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79278.441184799987</v>
      </c>
      <c r="D86" s="203">
        <f>C86*scaling_factor/Common_Shares</f>
        <v>1.6679679768149465</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6111.0351244799995</v>
      </c>
      <c r="D88" s="203">
        <f>C88*scaling_factor/Common_Shares</f>
        <v>0.12857229204423712</v>
      </c>
      <c r="E88" s="217" t="str">
        <f>Market_currency</f>
        <v>HKD</v>
      </c>
    </row>
    <row r="89" spans="2:8" ht="15" customHeight="1">
      <c r="B89" s="77" t="s">
        <v>244</v>
      </c>
      <c r="C89" s="162">
        <f>SUM(C86:C88)</f>
        <v>85389.476309279984</v>
      </c>
      <c r="D89" s="219">
        <f>SUM(D86:D88)</f>
        <v>1.7965402688591836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6.8034557235421164E-2</v>
      </c>
      <c r="E92" s="241"/>
      <c r="G92" s="22">
        <f t="shared" ref="G92:Q92" si="38">IF(G$4="","",(G88*(1-dividend_tax_rate))/Market_Price)</f>
        <v>6.8034557235421164E-2</v>
      </c>
      <c r="H92" s="22">
        <f t="shared" si="38"/>
        <v>6.0745140388768902E-2</v>
      </c>
      <c r="I92" s="22">
        <f t="shared" si="38"/>
        <v>7.0464362850971921E-2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2.3386038168660761</v>
      </c>
      <c r="D123" s="26"/>
      <c r="E123" s="238"/>
      <c r="F123" s="26"/>
      <c r="G123" s="159">
        <f t="shared" ref="G123:Q123" si="48">IF(G$4="","",G14*$C$3/Common_Shares*Exchange_Rate)</f>
        <v>3.3189677219545275</v>
      </c>
      <c r="H123" s="159">
        <f t="shared" si="48"/>
        <v>2.9096148808322817</v>
      </c>
      <c r="I123" s="159">
        <f t="shared" si="48"/>
        <v>3.280064946893932</v>
      </c>
      <c r="J123" s="159">
        <f t="shared" si="48"/>
        <v>1.7683288592850994</v>
      </c>
      <c r="K123" s="159">
        <f t="shared" si="48"/>
        <v>0.66501192550409272</v>
      </c>
      <c r="L123" s="159">
        <f t="shared" si="48"/>
        <v>1.3952398768190797</v>
      </c>
      <c r="M123" s="159">
        <f t="shared" si="48"/>
        <v>1.180855806758687</v>
      </c>
      <c r="N123" s="159">
        <f t="shared" si="48"/>
        <v>6.8828941705612907</v>
      </c>
      <c r="O123" s="159">
        <f t="shared" si="48"/>
        <v>6.4741391262189358</v>
      </c>
      <c r="P123" s="159">
        <f t="shared" si="48"/>
        <v>6.5207442828665867</v>
      </c>
      <c r="Q123" s="159" t="str">
        <f t="shared" si="48"/>
        <v/>
      </c>
    </row>
    <row r="124" spans="1:17" ht="15.75" customHeight="1">
      <c r="A124" s="10"/>
      <c r="B124" s="26" t="s">
        <v>226</v>
      </c>
      <c r="C124" s="74">
        <f>C19*Exchange_Rate*$C$3/(Market_Price*Common_Shares)</f>
        <v>0.12627450415043609</v>
      </c>
      <c r="D124" s="26"/>
      <c r="E124" s="238"/>
      <c r="F124" s="26"/>
      <c r="G124" s="74">
        <f t="shared" ref="G124" si="49">IF(G$4="","",G123/Market_Price)</f>
        <v>0.17920992019192913</v>
      </c>
      <c r="H124" s="74">
        <f t="shared" ref="H124" si="50">IF(H$4="","",H123/Market_Price)</f>
        <v>0.15710663503414049</v>
      </c>
      <c r="I124" s="74">
        <f t="shared" ref="I124" si="51">IF(I$4="","",I123/Market_Price)</f>
        <v>0.17710933838520151</v>
      </c>
      <c r="J124" s="74">
        <f t="shared" ref="J124" si="52">IF(J$4="","",J123/Market_Price)</f>
        <v>9.548211983180882E-2</v>
      </c>
      <c r="K124" s="74">
        <f t="shared" ref="K124" si="53">IF(K$4="","",K123/Market_Price)</f>
        <v>3.5907771355512569E-2</v>
      </c>
      <c r="L124" s="74">
        <f t="shared" ref="L124" si="54">IF(L$4="","",L123/Market_Price)</f>
        <v>7.5336926394118778E-2</v>
      </c>
      <c r="M124" s="74">
        <f t="shared" ref="M124" si="55">IF(M$4="","",M123/Market_Price)</f>
        <v>6.3761112675955023E-2</v>
      </c>
      <c r="N124" s="74">
        <f t="shared" ref="N124" si="56">IF(N$4="","",N123/Market_Price)</f>
        <v>0.37164655348603082</v>
      </c>
      <c r="O124" s="74">
        <f t="shared" ref="O124" si="57">IF(O$4="","",O123/Market_Price)</f>
        <v>0.3495755467720808</v>
      </c>
      <c r="P124" s="74">
        <f t="shared" ref="P124" si="58">IF(P$4="","",P123/Market_Price)</f>
        <v>0.35209202391288263</v>
      </c>
      <c r="Q124" s="74" t="str">
        <f t="shared" ref="Q124" si="59">IF(Q$4="","",Q123/Market_Price)</f>
        <v/>
      </c>
    </row>
    <row r="125" spans="1:17" ht="15.75" customHeight="1">
      <c r="B125" s="2" t="s">
        <v>306</v>
      </c>
      <c r="C125" s="151"/>
      <c r="G125" s="22">
        <f>IF(G$4="","",(Data!C47*$C$3)/(Market_Price*Common_Shares))</f>
        <v>0.1567523496435701</v>
      </c>
      <c r="H125" s="22">
        <f>IF(H$4="","",(Data!D47*$C$3)/(Market_Price*Common_Shares))</f>
        <v>0.14097055461778066</v>
      </c>
      <c r="I125" s="22">
        <f>IF(I$4="","",(Data!E47*$C$3)/(Market_Price*Common_Shares))</f>
        <v>0.16094999811897262</v>
      </c>
      <c r="J125" s="22">
        <f>IF(J$4="","",(Data!F47*$C$3)/(Market_Price*Common_Shares))</f>
        <v>7.9871196579194989E-2</v>
      </c>
      <c r="K125" s="22">
        <f>IF(K$4="","",(Data!G47*$C$3)/(Market_Price*Common_Shares))</f>
        <v>2.835050587666104E-2</v>
      </c>
      <c r="L125" s="22">
        <f>IF(L$4="","",(Data!H47*$C$3)/(Market_Price*Common_Shares))</f>
        <v>6.9349763978781453E-2</v>
      </c>
      <c r="M125" s="22">
        <f>IF(M$4="","",(Data!I47*$C$3)/(Market_Price*Common_Shares))</f>
        <v>5.9841041962712387E-2</v>
      </c>
      <c r="N125" s="22">
        <f>IF(N$4="","",(Data!J47*$C$3)/(Market_Price*Common_Shares))</f>
        <v>7.985642812718409E-2</v>
      </c>
      <c r="O125" s="22">
        <f>IF(O$4="","",(Data!K47*$C$3)/(Market_Price*Common_Shares))</f>
        <v>6.7219177344943842E-2</v>
      </c>
      <c r="P125" s="22">
        <f>IF(P$4="","",(Data!L47*$C$3)/(Market_Price*Common_Shares))</f>
        <v>4.9242563143382392E-2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-1.5393956847707095</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1.0928174399999999</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1459987.5153528026</v>
      </c>
      <c r="D10" t="str">
        <f>Market_currency</f>
        <v>HKD</v>
      </c>
      <c r="H10" s="315" t="s">
        <v>398</v>
      </c>
      <c r="I10" s="313">
        <f>Normalized_FCF!C41</f>
        <v>0.25</v>
      </c>
      <c r="N10" s="311"/>
      <c r="O10" s="311"/>
    </row>
    <row r="11" spans="2:15" ht="13.15">
      <c r="B11" s="136" t="s">
        <v>428</v>
      </c>
      <c r="C11" s="108">
        <f>(C10*scaling_factor)/Common_Shares</f>
        <v>30.717208685795864</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24.75817301372701</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30.717208685795864</v>
      </c>
      <c r="C69" s="119">
        <f>C11</f>
        <v>30.717208685795864</v>
      </c>
      <c r="D69" s="119">
        <f>C11</f>
        <v>30.717208685795864</v>
      </c>
      <c r="E69" s="119">
        <f>C11</f>
        <v>30.717208685795864</v>
      </c>
      <c r="F69" s="119">
        <f>C11</f>
        <v>30.717208685795864</v>
      </c>
      <c r="G69" s="303"/>
      <c r="H69" s="303"/>
      <c r="I69" s="303"/>
      <c r="J69" s="303"/>
      <c r="K69" s="303"/>
      <c r="L69" s="303"/>
    </row>
    <row r="70" spans="1:21" ht="13.15">
      <c r="A70" s="131">
        <f>A56</f>
        <v>5</v>
      </c>
      <c r="B70" s="119">
        <f t="shared" ref="B70:F74" si="11">(B56+FV_adjustments)/Common_Shares*scaling_factor*Exchange_Rate</f>
        <v>0.66351512130369972</v>
      </c>
      <c r="C70" s="119">
        <f t="shared" si="11"/>
        <v>21.865861938973449</v>
      </c>
      <c r="D70" s="119">
        <f t="shared" si="11"/>
        <v>29.067871128868227</v>
      </c>
      <c r="E70" s="119">
        <f t="shared" si="11"/>
        <v>30.433303860541116</v>
      </c>
      <c r="F70" s="119">
        <f t="shared" si="11"/>
        <v>33.318319958157048</v>
      </c>
      <c r="G70" s="303"/>
      <c r="H70" s="303"/>
      <c r="I70" s="303"/>
      <c r="J70" s="303"/>
      <c r="K70" s="303"/>
      <c r="L70" s="303"/>
    </row>
    <row r="71" spans="1:21" ht="13.15">
      <c r="A71" s="131">
        <v>6</v>
      </c>
      <c r="B71" s="119">
        <f t="shared" si="11"/>
        <v>0.33790645795976282</v>
      </c>
      <c r="C71" s="119">
        <f t="shared" si="11"/>
        <v>21.05962265327619</v>
      </c>
      <c r="D71" s="119">
        <f t="shared" si="11"/>
        <v>29.286890634515654</v>
      </c>
      <c r="E71" s="119">
        <f t="shared" si="11"/>
        <v>30.893461651969798</v>
      </c>
      <c r="F71" s="119">
        <f t="shared" si="11"/>
        <v>34.332470934935252</v>
      </c>
      <c r="G71" s="303"/>
      <c r="H71" s="303"/>
      <c r="I71" s="303"/>
      <c r="J71" s="303"/>
      <c r="K71" s="303"/>
      <c r="L71" s="303"/>
    </row>
    <row r="72" spans="1:21" ht="13.15">
      <c r="A72" s="131">
        <f t="shared" ref="A72" si="12">A58</f>
        <v>7</v>
      </c>
      <c r="B72" s="119">
        <f t="shared" si="11"/>
        <v>0.18610754730990853</v>
      </c>
      <c r="C72" s="119">
        <f t="shared" si="11"/>
        <v>20.345471304639926</v>
      </c>
      <c r="D72" s="119">
        <f t="shared" si="11"/>
        <v>29.493146765708101</v>
      </c>
      <c r="E72" s="119">
        <f t="shared" si="11"/>
        <v>31.331094236825042</v>
      </c>
      <c r="F72" s="119">
        <f t="shared" si="11"/>
        <v>35.315890063932308</v>
      </c>
      <c r="G72" s="303"/>
      <c r="H72" s="303"/>
      <c r="I72" s="303"/>
      <c r="J72" s="303"/>
      <c r="K72" s="303"/>
      <c r="L72" s="303"/>
    </row>
    <row r="73" spans="1:21" ht="13.15">
      <c r="A73" s="131">
        <v>8</v>
      </c>
      <c r="B73" s="119">
        <f t="shared" si="11"/>
        <v>0.11533882439622353</v>
      </c>
      <c r="C73" s="119">
        <f t="shared" si="11"/>
        <v>19.712889690463278</v>
      </c>
      <c r="D73" s="119">
        <f t="shared" si="11"/>
        <v>29.687383308835724</v>
      </c>
      <c r="E73" s="119">
        <f t="shared" si="11"/>
        <v>31.747304247596457</v>
      </c>
      <c r="F73" s="119">
        <f t="shared" si="11"/>
        <v>36.269508613262765</v>
      </c>
      <c r="G73" s="303"/>
      <c r="H73" s="303"/>
      <c r="I73" s="303"/>
      <c r="J73" s="303"/>
      <c r="K73" s="303"/>
      <c r="L73" s="303"/>
    </row>
    <row r="74" spans="1:21" ht="13.15">
      <c r="A74" s="131">
        <f t="shared" ref="A74" si="13">A60</f>
        <v>9</v>
      </c>
      <c r="B74" s="119">
        <f t="shared" si="11"/>
        <v>8.2346412781452064E-2</v>
      </c>
      <c r="C74" s="119">
        <f t="shared" si="11"/>
        <v>19.152560987929185</v>
      </c>
      <c r="D74" s="119">
        <f t="shared" si="11"/>
        <v>29.870300706093435</v>
      </c>
      <c r="E74" s="119">
        <f t="shared" si="11"/>
        <v>32.143140341756684</v>
      </c>
      <c r="F74" s="119">
        <f t="shared" si="11"/>
        <v>37.194229630795334</v>
      </c>
      <c r="G74" s="303"/>
      <c r="H74" s="303"/>
      <c r="I74" s="303"/>
      <c r="J74" s="303"/>
      <c r="K74" s="303"/>
      <c r="L74" s="303"/>
    </row>
    <row r="75" spans="1:21" ht="13.15">
      <c r="A75" s="131">
        <f t="shared" ref="A75:A79" si="14">A61</f>
        <v>10</v>
      </c>
      <c r="B75" s="119">
        <f t="shared" ref="B75:F79" si="15">(B61+FV_adjustments)/Common_Shares*scaling_factor*Exchange_Rate</f>
        <v>6.6965335105567722E-2</v>
      </c>
      <c r="C75" s="119">
        <f t="shared" si="15"/>
        <v>18.656232533470082</v>
      </c>
      <c r="D75" s="119">
        <f t="shared" si="15"/>
        <v>30.042558581366439</v>
      </c>
      <c r="E75" s="119">
        <f t="shared" si="15"/>
        <v>32.519599843895094</v>
      </c>
      <c r="F75" s="119">
        <f t="shared" si="15"/>
        <v>38.090928799311783</v>
      </c>
      <c r="G75" s="303"/>
      <c r="H75" s="303"/>
      <c r="I75" s="303"/>
      <c r="J75" s="303"/>
      <c r="K75" s="303"/>
      <c r="L75" s="303"/>
    </row>
    <row r="76" spans="1:21" ht="13.15">
      <c r="A76" s="131">
        <f t="shared" si="14"/>
        <v>15</v>
      </c>
      <c r="B76" s="119">
        <f t="shared" si="15"/>
        <v>5.382791125264124E-2</v>
      </c>
      <c r="C76" s="119">
        <f t="shared" si="15"/>
        <v>16.906037639985133</v>
      </c>
      <c r="D76" s="119">
        <f t="shared" si="15"/>
        <v>30.764473039787415</v>
      </c>
      <c r="E76" s="119">
        <f t="shared" si="15"/>
        <v>34.142868027444685</v>
      </c>
      <c r="F76" s="119">
        <f t="shared" si="15"/>
        <v>42.182932649206037</v>
      </c>
      <c r="G76" s="303"/>
      <c r="H76" s="303"/>
      <c r="I76" s="303"/>
      <c r="J76" s="303"/>
      <c r="K76" s="303"/>
      <c r="L76" s="303"/>
    </row>
    <row r="77" spans="1:21" ht="13.15">
      <c r="A77" s="132">
        <f t="shared" si="14"/>
        <v>20</v>
      </c>
      <c r="B77" s="119">
        <f t="shared" si="15"/>
        <v>5.3538594401836233E-2</v>
      </c>
      <c r="C77" s="119">
        <f t="shared" si="15"/>
        <v>15.951665100922369</v>
      </c>
      <c r="D77" s="119">
        <f t="shared" si="15"/>
        <v>31.299168017076266</v>
      </c>
      <c r="E77" s="119">
        <f t="shared" si="15"/>
        <v>35.405871751148531</v>
      </c>
      <c r="F77" s="119">
        <f t="shared" si="15"/>
        <v>45.691390196189552</v>
      </c>
      <c r="G77" s="303"/>
      <c r="H77" s="303"/>
      <c r="I77" s="303"/>
      <c r="J77" s="303"/>
      <c r="K77" s="303"/>
      <c r="L77" s="303"/>
    </row>
    <row r="78" spans="1:21" ht="13.15">
      <c r="A78" s="132">
        <f t="shared" si="14"/>
        <v>25</v>
      </c>
      <c r="B78" s="119">
        <f t="shared" si="15"/>
        <v>5.3532222966987744E-2</v>
      </c>
      <c r="C78" s="119">
        <f t="shared" si="15"/>
        <v>15.43125051926198</v>
      </c>
      <c r="D78" s="119">
        <f t="shared" si="15"/>
        <v>31.695196542898096</v>
      </c>
      <c r="E78" s="119">
        <f t="shared" si="15"/>
        <v>36.388567292313866</v>
      </c>
      <c r="F78" s="119">
        <f t="shared" si="15"/>
        <v>48.699518929818083</v>
      </c>
      <c r="G78" s="303"/>
      <c r="H78" s="303"/>
      <c r="I78" s="303"/>
      <c r="J78" s="303"/>
      <c r="K78" s="303"/>
      <c r="L78" s="303"/>
    </row>
    <row r="79" spans="1:21" ht="13.15">
      <c r="A79" s="132">
        <f t="shared" si="14"/>
        <v>30</v>
      </c>
      <c r="B79" s="119">
        <f t="shared" si="15"/>
        <v>5.3532082653065423E-2</v>
      </c>
      <c r="C79" s="119">
        <f t="shared" si="15"/>
        <v>15.147471045608297</v>
      </c>
      <c r="D79" s="119">
        <f t="shared" si="15"/>
        <v>31.988520026241545</v>
      </c>
      <c r="E79" s="119">
        <f t="shared" si="15"/>
        <v>37.153165613365758</v>
      </c>
      <c r="F79" s="119">
        <f t="shared" si="15"/>
        <v>51.278668985620129</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33.318319958157048</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30.433303860541116</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29.067871128868227</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21.865861938973449</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0.66351512130369972</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30.433303860541116</v>
      </c>
      <c r="F22" s="335">
        <f>1-F23-F24</f>
        <v>0.30000000000000004</v>
      </c>
      <c r="G22" s="335">
        <f>F22*(1-F$29-F$30)</f>
        <v>0.24000000000000002</v>
      </c>
    </row>
    <row r="23" spans="2:7">
      <c r="B23" s="309" t="s">
        <v>440</v>
      </c>
      <c r="C23" s="331">
        <v>0.01</v>
      </c>
      <c r="D23" s="332">
        <f>C18</f>
        <v>5</v>
      </c>
      <c r="E23" s="333">
        <f>DCF!E84</f>
        <v>29.067871128868227</v>
      </c>
      <c r="F23" s="334">
        <v>0.6</v>
      </c>
      <c r="G23" s="335">
        <f t="shared" ref="G23:G24" si="0">F23*(1-F$29-F$30)</f>
        <v>0.47999999999999993</v>
      </c>
    </row>
    <row r="24" spans="2:7">
      <c r="B24" s="309" t="s">
        <v>449</v>
      </c>
      <c r="C24" s="331">
        <v>-0.05</v>
      </c>
      <c r="D24" s="332">
        <f>C18</f>
        <v>5</v>
      </c>
      <c r="E24" s="333">
        <f>DCF!E85</f>
        <v>21.865861938973449</v>
      </c>
      <c r="F24" s="334">
        <v>0.1</v>
      </c>
      <c r="G24" s="335">
        <f t="shared" si="0"/>
        <v>0.08</v>
      </c>
    </row>
    <row r="25" spans="2:7">
      <c r="B25" s="141" t="s">
        <v>454</v>
      </c>
      <c r="C25" s="449">
        <f>E23*F23+E24*F24+E22*F22</f>
        <v>28.757300029380616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33.318319958157048</v>
      </c>
      <c r="F29" s="334">
        <v>0.05</v>
      </c>
      <c r="G29" s="335">
        <f>F29</f>
        <v>0.05</v>
      </c>
    </row>
    <row r="30" spans="2:7">
      <c r="B30" s="322" t="s">
        <v>450</v>
      </c>
      <c r="C30" s="331">
        <v>-0.5</v>
      </c>
      <c r="D30" s="332">
        <f>C18</f>
        <v>5</v>
      </c>
      <c r="E30" s="333">
        <f>DCF!E86</f>
        <v>0.66351512130369972</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3</v>
      </c>
    </row>
    <row r="34" spans="2:7">
      <c r="B34" s="97" t="s">
        <v>233</v>
      </c>
      <c r="C34" s="146">
        <f>Market_Price</f>
        <v>18.52</v>
      </c>
      <c r="D34" t="str">
        <f>Market_currency</f>
        <v>HKD</v>
      </c>
      <c r="E34" s="97" t="s">
        <v>457</v>
      </c>
      <c r="F34" s="337">
        <f>RATE(Holding_Period,$C$33,-C34,$C$36)</f>
        <v>0.16396088766438474</v>
      </c>
    </row>
    <row r="35" spans="2:7">
      <c r="B35" s="97" t="s">
        <v>437</v>
      </c>
      <c r="C35" s="327">
        <f>DCF!C11</f>
        <v>30.717208685795864</v>
      </c>
      <c r="D35" s="97" t="str">
        <f>Market_currency</f>
        <v>HKD</v>
      </c>
      <c r="E35" s="97" t="s">
        <v>457</v>
      </c>
      <c r="F35" s="337">
        <f>RATE(Holding_Period,$C$33,-C35,$C$36)</f>
        <v>-2.5154547607635969E-2</v>
      </c>
    </row>
    <row r="36" spans="2:7">
      <c r="B36" s="97" t="s">
        <v>438</v>
      </c>
      <c r="C36" s="328">
        <f>E22*G22+E23*G23+E24*G24+E30*G30+E29*G29</f>
        <v>24.771283289607897</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24.75817301372701</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2.3056129858987506</v>
      </c>
      <c r="D62" s="119">
        <f>C36/(1+F62)^Holding_Period</f>
        <v>11.415337921478296</v>
      </c>
      <c r="E62" s="339">
        <f>C62+D62</f>
        <v>13.720950907377047</v>
      </c>
      <c r="F62" s="308">
        <f>Thesis!E22</f>
        <v>0.29465259038036606</v>
      </c>
      <c r="G62" s="448">
        <f>(1-E62/C36)</f>
        <v>0.44609446563742261</v>
      </c>
    </row>
    <row r="63" spans="2:7" ht="13.15">
      <c r="B63" s="309" t="s">
        <v>313</v>
      </c>
      <c r="C63" s="119">
        <f>PV(F63, Holding_Period, -C58, 0)</f>
        <v>2.6510449735590389</v>
      </c>
      <c r="D63" s="119">
        <f>C36/(1+F63)^Holding_Period</f>
        <v>14.30832247775186</v>
      </c>
      <c r="E63" s="339">
        <f>C63+D63</f>
        <v>16.9593674513109</v>
      </c>
      <c r="F63" s="308">
        <f>Thesis!E23</f>
        <v>0.20075184365903009</v>
      </c>
      <c r="G63" s="448">
        <f>(1-E63/C36)</f>
        <v>0.31536177383164754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3.0398799386826978</v>
      </c>
      <c r="D66" s="119">
        <f>C36/(1+F66)^Holding_Period</f>
        <v>17.75507474614037</v>
      </c>
      <c r="E66" s="339">
        <f>C66+D66</f>
        <v>20.794954684823068</v>
      </c>
      <c r="F66" s="308">
        <f>Thesis!E24</f>
        <v>0.1174</v>
      </c>
      <c r="G66" s="448">
        <f>(1-E66/C47)</f>
        <v>0.16007717236270058</v>
      </c>
    </row>
    <row r="67" spans="2:7" ht="13.15">
      <c r="B67" s="309" t="s">
        <v>314</v>
      </c>
      <c r="C67" s="119">
        <f>PV(F67, Holding_Period, -C58, 0)</f>
        <v>3.2915927862380006</v>
      </c>
      <c r="D67" s="119">
        <f>C36/(1+F67)^Holding_Period</f>
        <v>20.079671495806295</v>
      </c>
      <c r="E67" s="339">
        <f>C67+D67</f>
        <v>23.371264282044294</v>
      </c>
      <c r="F67" s="308">
        <f>Thesis!E25</f>
        <v>7.2499999999999995E-2</v>
      </c>
      <c r="G67" s="448">
        <f>(1-E67/C36)</f>
        <v>5.6517823125899258E-2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18.52</v>
      </c>
    </row>
    <row r="9" spans="1:10">
      <c r="B9" s="358" t="s">
        <v>361</v>
      </c>
      <c r="C9" s="360">
        <f>Common_Shares</f>
        <v>47529953984</v>
      </c>
    </row>
    <row r="10" spans="1:10">
      <c r="B10" s="358" t="s">
        <v>367</v>
      </c>
      <c r="C10" s="364">
        <f>投资主题!C8*Common_Shares/1000000</f>
        <v>880254.74778367998</v>
      </c>
      <c r="D10" s="350" t="s">
        <v>532</v>
      </c>
      <c r="E10" s="367">
        <f>Scenarios!F34</f>
        <v>0.16396088766438474</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1.0928174399999999</v>
      </c>
    </row>
    <row r="17" spans="1:6">
      <c r="B17" s="350" t="s">
        <v>538</v>
      </c>
      <c r="C17" s="432">
        <f>Terminal_Growth</f>
        <v>0</v>
      </c>
      <c r="D17" s="358" t="s">
        <v>339</v>
      </c>
      <c r="E17" s="351" t="str">
        <f>Reporting_currency</f>
        <v>CNY</v>
      </c>
    </row>
    <row r="18" spans="1:6">
      <c r="B18" s="350" t="str">
        <f>"预期股权价值 ("&amp;C7&amp;") :"</f>
        <v>预期股权价值 (HKD) :</v>
      </c>
      <c r="C18" s="366">
        <f>C125</f>
        <v>24.771283289607897</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13.720950907377047</v>
      </c>
      <c r="D22" s="372" t="s">
        <v>443</v>
      </c>
      <c r="E22" s="373">
        <f>Thesis!E22</f>
        <v>0.29465259038036606</v>
      </c>
    </row>
    <row r="23" spans="1:6">
      <c r="B23" s="350" t="s">
        <v>341</v>
      </c>
      <c r="C23" s="374">
        <f>E141</f>
        <v>16.9593674513109</v>
      </c>
      <c r="D23" s="372" t="s">
        <v>444</v>
      </c>
      <c r="E23" s="375">
        <f>Thesis!E23</f>
        <v>0.20075184365903009</v>
      </c>
    </row>
    <row r="24" spans="1:6">
      <c r="B24" s="350" t="s">
        <v>343</v>
      </c>
      <c r="C24" s="374">
        <f>E144</f>
        <v>20.794954684823068</v>
      </c>
      <c r="D24" s="372" t="s">
        <v>446</v>
      </c>
      <c r="E24" s="375">
        <f>Thesis!E24</f>
        <v>0.1174</v>
      </c>
    </row>
    <row r="25" spans="1:6">
      <c r="B25" s="350" t="s">
        <v>342</v>
      </c>
      <c r="C25" s="374">
        <f>E145</f>
        <v>23.371264282044294</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0.12627450415043609</v>
      </c>
      <c r="F62" s="386"/>
    </row>
    <row r="63" spans="2:6">
      <c r="B63" s="384" t="s">
        <v>332</v>
      </c>
      <c r="C63" s="385">
        <f>Normalized_FCF!C92</f>
        <v>6.8034557235421164E-2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-72545</v>
      </c>
      <c r="D78" s="350" t="str">
        <f>Reporting_currency</f>
        <v>CNY</v>
      </c>
    </row>
    <row r="79" spans="1:6">
      <c r="B79" s="379" t="s">
        <v>234</v>
      </c>
      <c r="C79" s="394">
        <f>C78*scaling_factor*Exchange_Rate/Common_Shares</f>
        <v>-1.6679679768149465</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0.12857229204423712</v>
      </c>
      <c r="D90" s="350" t="str">
        <f>Market_currency</f>
        <v>HKD</v>
      </c>
    </row>
    <row r="92" spans="1:6">
      <c r="B92" s="379" t="s">
        <v>483</v>
      </c>
      <c r="C92" s="394">
        <f>DCF!F8</f>
        <v>-1.5393956847707095</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0.44953053277687788</v>
      </c>
      <c r="D111" s="350" t="str">
        <f>Market_currency</f>
        <v>HKD</v>
      </c>
    </row>
    <row r="112" spans="1:6">
      <c r="A112" s="392"/>
      <c r="B112" s="379" t="s">
        <v>377</v>
      </c>
      <c r="C112" s="401">
        <f>DCF!C11</f>
        <v>30.717208685795864</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33.32 HKD</v>
      </c>
      <c r="F118" s="406">
        <f>DCF!F82</f>
        <v>0.05</v>
      </c>
    </row>
    <row r="119" spans="1:6">
      <c r="A119" s="392"/>
      <c r="B119" s="407" t="str">
        <f>DCF!B83</f>
        <v>Optimistic</v>
      </c>
      <c r="C119" s="408">
        <f>DCF!C83</f>
        <v>0.02</v>
      </c>
      <c r="D119" s="409">
        <f>DCF!D83</f>
        <v>5</v>
      </c>
      <c r="E119" s="405" t="str">
        <f>ROUND(DCF!E83,2)&amp;" "&amp;Market_currency</f>
        <v>30.43 HKD</v>
      </c>
      <c r="F119" s="410">
        <f>DCF!F83</f>
        <v>0.24000000000000002</v>
      </c>
    </row>
    <row r="120" spans="1:6">
      <c r="B120" s="407" t="str">
        <f>DCF!B84</f>
        <v>Base</v>
      </c>
      <c r="C120" s="408">
        <f>DCF!C84</f>
        <v>0.01</v>
      </c>
      <c r="D120" s="409">
        <f>DCF!D84</f>
        <v>5</v>
      </c>
      <c r="E120" s="405" t="str">
        <f>ROUND(DCF!E84,2)&amp;" "&amp;Market_currency</f>
        <v>29.07 HKD</v>
      </c>
      <c r="F120" s="410">
        <f>DCF!F84</f>
        <v>0.47999999999999993</v>
      </c>
    </row>
    <row r="121" spans="1:6">
      <c r="B121" s="407" t="str">
        <f>DCF!B85</f>
        <v>Pessimistic</v>
      </c>
      <c r="C121" s="408">
        <f>DCF!C85</f>
        <v>-0.05</v>
      </c>
      <c r="D121" s="409">
        <f>DCF!D85</f>
        <v>5</v>
      </c>
      <c r="E121" s="405" t="str">
        <f>ROUND(DCF!E85,2)&amp;" "&amp;Market_currency</f>
        <v>21.87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24.771283289607897</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2.3056129858987506</v>
      </c>
      <c r="D140" s="416">
        <f>Scenarios!D62</f>
        <v>11.415337921478296</v>
      </c>
      <c r="E140" s="417">
        <f>Scenarios!E62</f>
        <v>13.720950907377047</v>
      </c>
      <c r="F140" s="418">
        <f>E22</f>
        <v>0.29465259038036606</v>
      </c>
    </row>
    <row r="141" spans="1:6">
      <c r="B141" s="415" t="s">
        <v>313</v>
      </c>
      <c r="C141" s="416">
        <f>Scenarios!C63</f>
        <v>2.6510449735590389</v>
      </c>
      <c r="D141" s="416">
        <f>Scenarios!D63</f>
        <v>14.30832247775186</v>
      </c>
      <c r="E141" s="417">
        <f>Scenarios!E63</f>
        <v>16.9593674513109</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3.0398799386826978</v>
      </c>
      <c r="D144" s="416">
        <f>Scenarios!D66</f>
        <v>17.75507474614037</v>
      </c>
      <c r="E144" s="417">
        <f>Scenarios!E66</f>
        <v>20.794954684823068</v>
      </c>
      <c r="F144" s="418">
        <f>E24</f>
        <v>0.1174</v>
      </c>
    </row>
    <row r="145" spans="1:6">
      <c r="B145" s="415" t="s">
        <v>314</v>
      </c>
      <c r="C145" s="416">
        <f>Scenarios!C67</f>
        <v>3.2915927862380006</v>
      </c>
      <c r="D145" s="416">
        <f>Scenarios!D67</f>
        <v>20.079671495806295</v>
      </c>
      <c r="E145" s="417">
        <f>Scenarios!E67</f>
        <v>23.371264282044294</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