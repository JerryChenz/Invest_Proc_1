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37A91CF-1226-44BE-B176-B606E0A96E48}" xr6:coauthVersionLast="47" xr6:coauthVersionMax="47" xr10:uidLastSave="{00000000-0000-0000-0000-000000000000}"/>
  <bookViews>
    <workbookView xWindow="2205" yWindow="2205"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<sst xmlns="http://schemas.openxmlformats.org/spreadsheetml/2006/main" count="769" uniqueCount="560">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</sst>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28.88</v>
      </c>
      <c r="E8" s="32"/>
    </row>
    <row r="9" spans="1:9">
      <c r="B9" s="4" t="s">
        <v>346</v>
      </c>
      <c r="C9" s="48">
        <f>44539953984+2990000000</f>
        <v>47529953984</v>
      </c>
    </row>
    <row r="10" spans="1:9">
      <c r="B10" s="4" t="s">
        <v>352</v>
      </c>
      <c r="C10" s="33">
        <f>Thesis!C8*Common_Shares/1000000</f>
        <v>1372665.0710579199</v>
      </c>
      <c r="D10" s="1" t="s">
        <v>528</v>
      </c>
      <c r="E10" s="303">
        <f>Scenarios!F34</f>
        <v>1.1101246888204793E-2</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1.138018667316437</v>
      </c>
    </row>
    <row r="17" spans="1:6">
      <c r="B17" s="1" t="s">
        <v>532</v>
      </c>
      <c r="C17" s="456">
        <v>0.01</v>
      </c>
      <c r="D17" s="4" t="s">
        <v>274</v>
      </c>
      <c r="E17" s="224" t="s">
        <v>559</v>
      </c>
    </row>
    <row r="18" spans="1:6">
      <c r="B18" s="1" t="str">
        <f>"Expected Equity Value ("&amp;C7&amp;") :"</f>
        <v>Expected Equity Value (HKD) :</v>
      </c>
      <c r="C18" s="252">
        <f>C125</f>
        <v>26.030410860980254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14.136463751015135</v>
      </c>
      <c r="D22" s="38" t="s">
        <v>406</v>
      </c>
      <c r="E22" s="79">
        <v>0.3</v>
      </c>
    </row>
    <row r="23" spans="1:6">
      <c r="B23" s="1" t="s">
        <v>313</v>
      </c>
      <c r="C23" s="256">
        <f>E141</f>
        <v>17.718061840845053</v>
      </c>
      <c r="D23" s="38" t="s">
        <v>407</v>
      </c>
      <c r="E23" s="443">
        <v>0.2</v>
      </c>
    </row>
    <row r="24" spans="1:6">
      <c r="B24" s="1" t="s">
        <v>315</v>
      </c>
      <c r="C24" s="256">
        <f>E144</f>
        <v>21.697447457735692</v>
      </c>
      <c r="D24" s="38" t="s">
        <v>408</v>
      </c>
      <c r="E24" s="443">
        <v>0.1174</v>
      </c>
    </row>
    <row r="25" spans="1:6">
      <c r="B25" s="1" t="s">
        <v>314</v>
      </c>
      <c r="C25" s="256">
        <f>E145</f>
        <v>24.391916611957136</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137373.14402521047</v>
      </c>
      <c r="D34" s="1" t="str">
        <f>Reporting_currency</f>
        <v>CNY</v>
      </c>
    </row>
    <row r="35" spans="2:6">
      <c r="B35" s="44"/>
      <c r="C35" s="73"/>
    </row>
    <row r="36" spans="2:6" ht="24.5" customHeight="1">
      <c r="B36" s="462" t="s">
        <v>198</v>
      </c>
      <c r="C36" s="462"/>
      <c r="D36" s="462"/>
      <c r="E36" s="462"/>
      <c r="F36" s="462"/>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2" t="s">
        <v>201</v>
      </c>
      <c r="C40" s="462"/>
      <c r="D40" s="462"/>
      <c r="E40" s="462"/>
      <c r="F40" s="462"/>
    </row>
    <row r="41" spans="2:6">
      <c r="B41" s="44" t="s">
        <v>202</v>
      </c>
      <c r="C41" s="285">
        <f>Normalized_FCF!C9</f>
        <v>1836</v>
      </c>
      <c r="D41" s="1" t="str">
        <f>Reporting_currency</f>
        <v>CNY</v>
      </c>
    </row>
    <row r="43" spans="2:6">
      <c r="B43" s="462" t="s">
        <v>205</v>
      </c>
      <c r="C43" s="462"/>
      <c r="D43" s="462"/>
      <c r="E43" s="462"/>
      <c r="F43" s="462"/>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2" t="s">
        <v>206</v>
      </c>
      <c r="C51" s="462"/>
      <c r="D51" s="462"/>
      <c r="E51" s="462"/>
      <c r="F51" s="462"/>
    </row>
    <row r="52" spans="2:6">
      <c r="B52" s="44" t="s">
        <v>204</v>
      </c>
      <c r="C52" s="285">
        <f>Normalized_FCF!C12</f>
        <v>-34049.554506302615</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8.4480452232659486E-2</v>
      </c>
      <c r="F62" s="257"/>
    </row>
    <row r="63" spans="2:6">
      <c r="B63" s="204" t="s">
        <v>332</v>
      </c>
      <c r="C63" s="89">
        <f>Normalized_FCF!C92</f>
        <v>4.3628808864265928E-2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-72545</v>
      </c>
      <c r="D78" s="1" t="str">
        <f>Reporting_currency</f>
        <v>CNY</v>
      </c>
    </row>
    <row r="79" spans="1:6">
      <c r="A79" s="191"/>
      <c r="B79" s="44" t="s">
        <v>234</v>
      </c>
      <c r="C79" s="201">
        <f>C78*scaling_factor*Exchange_Rate/Common_Shares</f>
        <v>-1.7369586397719268</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0.13389031240753485</v>
      </c>
      <c r="D90" s="1" t="str">
        <f>Market_currency</f>
        <v>HKD</v>
      </c>
    </row>
    <row r="91" spans="1:6">
      <c r="A91" s="191"/>
    </row>
    <row r="92" spans="1:6">
      <c r="A92" s="191"/>
      <c r="B92" s="44" t="s">
        <v>469</v>
      </c>
      <c r="C92" s="216">
        <f>DCF!F8</f>
        <v>-1.603068327364392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0.4681240608941879</v>
      </c>
      <c r="D111" s="1" t="str">
        <f>Market_currency</f>
        <v>HKD</v>
      </c>
    </row>
    <row r="112" spans="2:6">
      <c r="B112" s="44" t="s">
        <v>323</v>
      </c>
      <c r="C112" s="216">
        <f>DCF!C11</f>
        <v>37.824026313979587</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34.92 HKD</v>
      </c>
      <c r="E118" s="208">
        <f>DCF!F90</f>
        <v>0.05</v>
      </c>
      <c r="F118" s="208">
        <f>RATE(Holding_Period,Scenarios!C$58,-DCF!E90,C$18)</f>
        <v>-5.3474532548585599E-2</v>
      </c>
    </row>
    <row r="119" spans="2:6">
      <c r="B119" s="205" t="str">
        <f>DCF!B91&amp;" ("&amp;DCF!D91&amp;"yrs)"</f>
        <v>Optimistic (5yrs)</v>
      </c>
      <c r="C119" s="198">
        <f>DCF!C91</f>
        <v>0.02</v>
      </c>
      <c r="D119" s="207" t="str">
        <f>ROUND(DCF!E91,2)&amp;" "&amp;Market_currency</f>
        <v>31.92 HKD</v>
      </c>
      <c r="E119" s="199">
        <f>DCF!F91</f>
        <v>0.24000000000000002</v>
      </c>
      <c r="F119" s="208">
        <f>RATE(Holding_Period,Scenarios!C$58,-DCF!E91,C$18)</f>
        <v>-2.3477725747648538E-2</v>
      </c>
    </row>
    <row r="120" spans="2:6">
      <c r="B120" s="205" t="str">
        <f>DCF!B92&amp;" ("&amp;DCF!D92&amp;"yrs)"</f>
        <v>Base (5yrs)</v>
      </c>
      <c r="C120" s="198">
        <f>DCF!C92</f>
        <v>0.01</v>
      </c>
      <c r="D120" s="207" t="str">
        <f>ROUND(DCF!E92,2)&amp;" "&amp;Market_currency</f>
        <v>30.5 HKD</v>
      </c>
      <c r="E120" s="199">
        <f>DCF!F92</f>
        <v>0.47999999999999993</v>
      </c>
      <c r="F120" s="208">
        <f>RATE(Holding_Period,Scenarios!C$58,-DCF!E92,C$18)</f>
        <v>-7.8981659214832772E-3</v>
      </c>
    </row>
    <row r="121" spans="2:6">
      <c r="B121" s="205" t="str">
        <f>DCF!B93&amp;" ("&amp;DCF!D93&amp;"yrs)"</f>
        <v>Pessimistic (5yrs)</v>
      </c>
      <c r="C121" s="198">
        <f>DCF!C93</f>
        <v>-0.05</v>
      </c>
      <c r="D121" s="207" t="str">
        <f>ROUND(DCF!E93,2)&amp;" "&amp;Market_currency</f>
        <v>23.01 HKD</v>
      </c>
      <c r="E121" s="199">
        <f>DCF!F93</f>
        <v>0.08</v>
      </c>
      <c r="F121" s="208">
        <f>RATE(Holding_Period,Scenarios!C$58,-DCF!E93,C$18)</f>
        <v>9.4696379983730969E-2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2" t="s">
        <v>357</v>
      </c>
      <c r="C124" s="462"/>
      <c r="D124" s="462"/>
      <c r="E124" s="462"/>
      <c r="F124" s="462"/>
    </row>
    <row r="125" spans="2:6">
      <c r="B125" s="193" t="s">
        <v>218</v>
      </c>
      <c r="C125" s="197">
        <f>Scenarios!C36</f>
        <v>26.030410860980254</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2.2883022303140654</v>
      </c>
      <c r="D140" s="333">
        <f>Scenarios!D62</f>
        <v>11.848161520701069</v>
      </c>
      <c r="E140" s="334">
        <f>Scenarios!E62</f>
        <v>14.136463751015135</v>
      </c>
      <c r="F140" s="335">
        <f>E22</f>
        <v>0.3</v>
      </c>
    </row>
    <row r="141" spans="1:6">
      <c r="B141" s="336" t="s">
        <v>313</v>
      </c>
      <c r="C141" s="333">
        <f>Scenarios!C63</f>
        <v>2.6541666666666663</v>
      </c>
      <c r="D141" s="333">
        <f>Scenarios!D63</f>
        <v>15.063895174178388</v>
      </c>
      <c r="E141" s="334">
        <f>Scenarios!E63</f>
        <v>17.718061840845053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18.657567519052993</v>
      </c>
      <c r="E144" s="334">
        <f>Scenarios!E66</f>
        <v>21.697447457735692</v>
      </c>
      <c r="F144" s="335">
        <f>E24</f>
        <v>0.1174</v>
      </c>
    </row>
    <row r="145" spans="1:6">
      <c r="B145" s="336" t="s">
        <v>314</v>
      </c>
      <c r="C145" s="333">
        <f>Scenarios!C67</f>
        <v>3.2915927862380006</v>
      </c>
      <c r="D145" s="333">
        <f>Scenarios!D67</f>
        <v>21.100323825719137</v>
      </c>
      <c r="E145" s="334">
        <f>Scenarios!E67</f>
        <v>24.391916611957136</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18.8305518988786</v>
      </c>
      <c r="D47" s="134">
        <f>D46*H1/Common_Shares*Exchange_Rate</f>
        <v>0.4681240608941879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-82557.564220470915</v>
      </c>
      <c r="D86" s="201">
        <f>C86*scaling_factor/Common_Shares</f>
        <v>-1.7369586397719268</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6363.8003876335151</v>
      </c>
      <c r="D88" s="201">
        <f>C88*scaling_factor/Common_Shares</f>
        <v>0.13389031240753485</v>
      </c>
      <c r="E88" s="214" t="str">
        <f>Market_currency</f>
        <v>HKD</v>
      </c>
    </row>
    <row r="89" spans="2:8" ht="15" customHeight="1">
      <c r="B89" s="77" t="s">
        <v>244</v>
      </c>
      <c r="C89" s="162">
        <f>SUM(C86:C88)</f>
        <v>-76193.763832837401</v>
      </c>
      <c r="D89" s="216">
        <f>SUM(D86:D88)</f>
        <v>-1.603068327364392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4.3628808864265928E-2</v>
      </c>
      <c r="E92" s="237"/>
      <c r="G92" s="22">
        <f t="shared" ref="G92:Q92" si="38">IF(G$4="","",(G88*(1-dividend_tax_rate))/Market_Price)</f>
        <v>4.3628808864265928E-2</v>
      </c>
      <c r="H92" s="22">
        <f t="shared" si="38"/>
        <v>3.8954293628808867E-2</v>
      </c>
      <c r="I92" s="22">
        <f t="shared" si="38"/>
        <v>4.5186980609418281E-2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2.4397954604792065</v>
      </c>
      <c r="D123" s="26"/>
      <c r="E123" s="234"/>
      <c r="F123" s="26"/>
      <c r="G123" s="159">
        <f t="shared" ref="G123:Q123" si="48">IF(G$4="","",G14*$C$3/Common_Shares*Exchange_Rate)</f>
        <v>3.4562472061252629</v>
      </c>
      <c r="H123" s="159">
        <f t="shared" si="48"/>
        <v>3.0299626706989846</v>
      </c>
      <c r="I123" s="159">
        <f t="shared" si="48"/>
        <v>3.4157353304826397</v>
      </c>
      <c r="J123" s="159">
        <f t="shared" si="48"/>
        <v>1.8414706593818857</v>
      </c>
      <c r="K123" s="159">
        <f t="shared" si="48"/>
        <v>0.69251821714311712</v>
      </c>
      <c r="L123" s="159">
        <f t="shared" si="48"/>
        <v>1.4529499320622106</v>
      </c>
      <c r="M123" s="159">
        <f t="shared" si="48"/>
        <v>1.2296984860530749</v>
      </c>
      <c r="N123" s="159">
        <f t="shared" si="48"/>
        <v>7.1675851469411338</v>
      </c>
      <c r="O123" s="159">
        <f t="shared" si="48"/>
        <v>6.7419231344266208</v>
      </c>
      <c r="P123" s="159">
        <f t="shared" si="48"/>
        <v>6.7904559783554603</v>
      </c>
      <c r="Q123" s="159" t="str">
        <f t="shared" si="48"/>
        <v/>
      </c>
    </row>
    <row r="124" spans="1:17" ht="15.75" customHeight="1">
      <c r="A124" s="10"/>
      <c r="B124" s="26" t="s">
        <v>226</v>
      </c>
      <c r="C124" s="74">
        <f>C19*Exchange_Rate*$C$3/(Market_Price*Common_Shares)</f>
        <v>8.4480452232659486E-2</v>
      </c>
      <c r="D124" s="26"/>
      <c r="E124" s="234"/>
      <c r="F124" s="26"/>
      <c r="G124" s="74">
        <f t="shared" ref="G124" si="49">IF(G$4="","",G123/Market_Price)</f>
        <v>0.11967614979658113</v>
      </c>
      <c r="H124" s="74">
        <f t="shared" ref="H124" si="50">IF(H$4="","",H123/Market_Price)</f>
        <v>0.10491560494110058</v>
      </c>
      <c r="I124" s="74">
        <f t="shared" ref="I124" si="51">IF(I$4="","",I123/Market_Price)</f>
        <v>0.11827338401948198</v>
      </c>
      <c r="J124" s="74">
        <f t="shared" ref="J124" si="52">IF(J$4="","",J123/Market_Price)</f>
        <v>6.3762834466131776E-2</v>
      </c>
      <c r="K124" s="74">
        <f t="shared" ref="K124" si="53">IF(K$4="","",K123/Market_Price)</f>
        <v>2.3979162643459735E-2</v>
      </c>
      <c r="L124" s="74">
        <f t="shared" ref="L124" si="54">IF(L$4="","",L123/Market_Price)</f>
        <v>5.0309900694674885E-2</v>
      </c>
      <c r="M124" s="74">
        <f t="shared" ref="M124" si="55">IF(M$4="","",M123/Market_Price)</f>
        <v>4.2579587467211737E-2</v>
      </c>
      <c r="N124" s="74">
        <f t="shared" ref="N124" si="56">IF(N$4="","",N123/Market_Price)</f>
        <v>0.24818508126527472</v>
      </c>
      <c r="O124" s="74">
        <f t="shared" ref="O124" si="57">IF(O$4="","",O123/Market_Price)</f>
        <v>0.23344609191227914</v>
      </c>
      <c r="P124" s="74">
        <f t="shared" ref="P124" si="58">IF(P$4="","",P123/Market_Price)</f>
        <v>0.23512659204831926</v>
      </c>
      <c r="Q124" s="74" t="str">
        <f t="shared" ref="Q124" si="59">IF(Q$4="","",Q123/Market_Price)</f>
        <v/>
      </c>
    </row>
    <row r="125" spans="1:17" ht="15.75" customHeight="1">
      <c r="B125" s="2" t="s">
        <v>306</v>
      </c>
      <c r="C125" s="151"/>
      <c r="G125" s="22">
        <f>IF(G$4="","",(Data!C47*$C$3)/(Market_Price*Common_Shares))</f>
        <v>0.10052124360799577</v>
      </c>
      <c r="H125" s="22">
        <f>IF(H$4="","",(Data!D47*$C$3)/(Market_Price*Common_Shares))</f>
        <v>9.0400785024975686E-2</v>
      </c>
      <c r="I125" s="22">
        <f>IF(I$4="","",(Data!E47*$C$3)/(Market_Price*Common_Shares))</f>
        <v>0.10321308743640488</v>
      </c>
      <c r="J125" s="22">
        <f>IF(J$4="","",(Data!F47*$C$3)/(Market_Price*Common_Shares))</f>
        <v>5.1219340742613959E-2</v>
      </c>
      <c r="K125" s="22">
        <f>IF(K$4="","",(Data!G47*$C$3)/(Market_Price*Common_Shares))</f>
        <v>1.8180449059410058E-2</v>
      </c>
      <c r="L125" s="22">
        <f>IF(L$4="","",(Data!H47*$C$3)/(Market_Price*Common_Shares))</f>
        <v>4.4472217066725502E-2</v>
      </c>
      <c r="M125" s="22">
        <f>IF(M$4="","",(Data!I47*$C$3)/(Market_Price*Common_Shares))</f>
        <v>3.8374518599357109E-2</v>
      </c>
      <c r="N125" s="22">
        <f>IF(N$4="","",(Data!J47*$C$3)/(Market_Price*Common_Shares))</f>
        <v>5.1209870114800882E-2</v>
      </c>
      <c r="O125" s="22">
        <f>IF(O$4="","",(Data!K47*$C$3)/(Market_Price*Common_Shares))</f>
        <v>4.3105926746134351E-2</v>
      </c>
      <c r="P125" s="22">
        <f>IF(P$4="","",(Data!L47*$C$3)/(Market_Price*Common_Shares))</f>
        <v>3.1577987168124717E-2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-1.603068327364392</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1.138018667316437</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1797774.230193055</v>
      </c>
      <c r="D10" t="str">
        <f>Market_currency</f>
        <v>HKD</v>
      </c>
      <c r="H10" s="308" t="s">
        <v>397</v>
      </c>
      <c r="I10" s="306">
        <f>Normalized_FCF!C41</f>
        <v>0.25</v>
      </c>
      <c r="N10" s="304"/>
      <c r="O10" s="304"/>
    </row>
    <row r="11" spans="2:15" ht="13.15">
      <c r="B11" s="136" t="s">
        <v>425</v>
      </c>
      <c r="C11" s="108">
        <f>(C10*scaling_factor)/Common_Shares</f>
        <v>37.824026313979587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26.014220233424414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0" t="s">
        <v>420</v>
      </c>
      <c r="K52" s="460"/>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37.824026313979587</v>
      </c>
      <c r="C73" s="119">
        <f>C11</f>
        <v>37.824026313979587</v>
      </c>
      <c r="D73" s="119">
        <f>C11</f>
        <v>37.824026313979587</v>
      </c>
      <c r="E73" s="119">
        <f>C11</f>
        <v>37.824026313979587</v>
      </c>
      <c r="F73" s="119">
        <f>C11</f>
        <v>37.824026313979587</v>
      </c>
      <c r="G73" s="296"/>
      <c r="H73" s="296"/>
      <c r="I73" s="296"/>
      <c r="J73" s="296"/>
      <c r="K73" s="296"/>
      <c r="L73" s="296"/>
    </row>
    <row r="74" spans="1:21" ht="13.15">
      <c r="A74" s="131">
        <v>1</v>
      </c>
      <c r="B74" s="119">
        <f t="shared" ref="B74:F87" si="11">(B56+FV_adjustments)/Common_Shares*scaling_factor*Exchange_Rate</f>
        <v>13.797476489181989</v>
      </c>
      <c r="C74" s="119">
        <f t="shared" si="11"/>
        <v>27.657966824073736</v>
      </c>
      <c r="D74" s="119">
        <f t="shared" si="11"/>
        <v>29.506032202059306</v>
      </c>
      <c r="E74" s="119">
        <f t="shared" si="11"/>
        <v>29.814043098390233</v>
      </c>
      <c r="F74" s="119">
        <f t="shared" si="11"/>
        <v>30.430064891052083</v>
      </c>
      <c r="G74" s="296"/>
      <c r="H74" s="296"/>
      <c r="I74" s="296"/>
      <c r="J74" s="296"/>
      <c r="K74" s="296"/>
      <c r="L74" s="296"/>
    </row>
    <row r="75" spans="1:21" ht="13.15">
      <c r="A75" s="131">
        <v>2</v>
      </c>
      <c r="B75" s="119">
        <f t="shared" si="11"/>
        <v>6.6081181107002314</v>
      </c>
      <c r="C75" s="119">
        <f t="shared" si="11"/>
        <v>26.275543311156202</v>
      </c>
      <c r="D75" s="119">
        <f t="shared" si="11"/>
        <v>29.776666990818541</v>
      </c>
      <c r="E75" s="119">
        <f t="shared" si="11"/>
        <v>30.380290879380585</v>
      </c>
      <c r="F75" s="119">
        <f t="shared" si="11"/>
        <v>31.604770035320424</v>
      </c>
      <c r="G75" s="296"/>
      <c r="H75" s="296"/>
      <c r="I75" s="296"/>
      <c r="J75" s="296"/>
      <c r="K75" s="296"/>
      <c r="L75" s="296"/>
    </row>
    <row r="76" spans="1:21" ht="13.15">
      <c r="A76" s="131">
        <v>3</v>
      </c>
      <c r="B76" s="119">
        <f t="shared" si="11"/>
        <v>3.2564358829698072</v>
      </c>
      <c r="C76" s="119">
        <f t="shared" si="11"/>
        <v>25.051018987359786</v>
      </c>
      <c r="D76" s="119">
        <f t="shared" si="11"/>
        <v>30.031530521491565</v>
      </c>
      <c r="E76" s="119">
        <f t="shared" si="11"/>
        <v>30.918820237525278</v>
      </c>
      <c r="F76" s="119">
        <f t="shared" si="11"/>
        <v>32.743878054004867</v>
      </c>
      <c r="G76" s="296"/>
      <c r="H76" s="296"/>
      <c r="I76" s="296"/>
      <c r="J76" s="296"/>
      <c r="K76" s="296"/>
      <c r="L76" s="296"/>
    </row>
    <row r="77" spans="1:21" ht="13.15">
      <c r="A77" s="131">
        <v>4</v>
      </c>
      <c r="B77" s="119">
        <f t="shared" si="11"/>
        <v>1.6938800658460669</v>
      </c>
      <c r="C77" s="119">
        <f t="shared" si="11"/>
        <v>23.96635874716716</v>
      </c>
      <c r="D77" s="119">
        <f t="shared" si="11"/>
        <v>30.271541865062435</v>
      </c>
      <c r="E77" s="119">
        <f t="shared" si="11"/>
        <v>31.430988018697832</v>
      </c>
      <c r="F77" s="119">
        <f t="shared" si="11"/>
        <v>33.848467647880689</v>
      </c>
      <c r="G77" s="296"/>
      <c r="H77" s="296"/>
      <c r="I77" s="296"/>
      <c r="J77" s="296"/>
      <c r="K77" s="296"/>
      <c r="L77" s="296"/>
    </row>
    <row r="78" spans="1:21" ht="13.15">
      <c r="A78" s="131">
        <v>5</v>
      </c>
      <c r="B78" s="119">
        <f t="shared" si="11"/>
        <v>0.96541581543872834</v>
      </c>
      <c r="C78" s="119">
        <f t="shared" si="11"/>
        <v>23.005587438838038</v>
      </c>
      <c r="D78" s="119">
        <f t="shared" si="11"/>
        <v>30.497566533600043</v>
      </c>
      <c r="E78" s="119">
        <f t="shared" si="11"/>
        <v>31.918084649743065</v>
      </c>
      <c r="F78" s="119">
        <f t="shared" si="11"/>
        <v>34.919584829820884</v>
      </c>
      <c r="G78" s="296"/>
      <c r="H78" s="296"/>
      <c r="I78" s="296"/>
      <c r="J78" s="296"/>
      <c r="K78" s="296"/>
      <c r="L78" s="296"/>
    </row>
    <row r="79" spans="1:21" ht="13.15">
      <c r="A79" s="131">
        <v>6</v>
      </c>
      <c r="B79" s="119">
        <f t="shared" si="11"/>
        <v>0.62580544228845369</v>
      </c>
      <c r="C79" s="119">
        <f t="shared" si="11"/>
        <v>22.154554578313391</v>
      </c>
      <c r="D79" s="119">
        <f t="shared" si="11"/>
        <v>30.710419601407015</v>
      </c>
      <c r="E79" s="119">
        <f t="shared" si="11"/>
        <v>32.381337389758116</v>
      </c>
      <c r="F79" s="119">
        <f t="shared" si="11"/>
        <v>35.958243915338656</v>
      </c>
      <c r="G79" s="296"/>
      <c r="H79" s="296"/>
      <c r="I79" s="296"/>
      <c r="J79" s="296"/>
      <c r="K79" s="296"/>
      <c r="L79" s="296"/>
    </row>
    <row r="80" spans="1:21" ht="13.15">
      <c r="A80" s="131">
        <f t="shared" ref="A80" si="12">A62</f>
        <v>7</v>
      </c>
      <c r="B80" s="119">
        <f t="shared" si="11"/>
        <v>0.46747892799928192</v>
      </c>
      <c r="C80" s="119">
        <f t="shared" si="11"/>
        <v>21.400725937289238</v>
      </c>
      <c r="D80" s="119">
        <f t="shared" si="11"/>
        <v>30.910868644283514</v>
      </c>
      <c r="E80" s="119">
        <f t="shared" si="11"/>
        <v>32.821913422219978</v>
      </c>
      <c r="F80" s="119">
        <f t="shared" si="11"/>
        <v>36.965428483113463</v>
      </c>
      <c r="G80" s="296"/>
      <c r="H80" s="296"/>
      <c r="I80" s="296"/>
      <c r="J80" s="296"/>
      <c r="K80" s="296"/>
      <c r="L80" s="296"/>
    </row>
    <row r="81" spans="1:12" ht="13.15">
      <c r="A81" s="131">
        <v>8</v>
      </c>
      <c r="B81" s="119">
        <f t="shared" si="11"/>
        <v>0.39366703322577506</v>
      </c>
      <c r="C81" s="119">
        <f t="shared" si="11"/>
        <v>20.732998935915859</v>
      </c>
      <c r="D81" s="119">
        <f t="shared" si="11"/>
        <v>31.099636507505203</v>
      </c>
      <c r="E81" s="119">
        <f t="shared" si="11"/>
        <v>33.240922795750137</v>
      </c>
      <c r="F81" s="119">
        <f t="shared" si="11"/>
        <v>37.942092306410231</v>
      </c>
      <c r="G81" s="296"/>
      <c r="H81" s="296"/>
      <c r="I81" s="296"/>
      <c r="J81" s="296"/>
      <c r="K81" s="296"/>
      <c r="L81" s="296"/>
    </row>
    <row r="82" spans="1:12" ht="13.15">
      <c r="A82" s="131">
        <f t="shared" ref="A82" si="13">A64</f>
        <v>9</v>
      </c>
      <c r="B82" s="119">
        <f t="shared" si="11"/>
        <v>0.35925589347122644</v>
      </c>
      <c r="C82" s="119">
        <f t="shared" si="11"/>
        <v>20.14153912117953</v>
      </c>
      <c r="D82" s="119">
        <f t="shared" si="11"/>
        <v>31.277403912497185</v>
      </c>
      <c r="E82" s="119">
        <f t="shared" si="11"/>
        <v>33.639421220925684</v>
      </c>
      <c r="F82" s="119">
        <f t="shared" si="11"/>
        <v>38.889160256273776</v>
      </c>
      <c r="G82" s="296"/>
      <c r="H82" s="296"/>
      <c r="I82" s="296"/>
      <c r="J82" s="296"/>
      <c r="K82" s="296"/>
      <c r="L82" s="296"/>
    </row>
    <row r="83" spans="1:12" ht="13.15">
      <c r="A83" s="131">
        <f t="shared" ref="A83:A87" si="14">A65</f>
        <v>10</v>
      </c>
      <c r="B83" s="119">
        <f t="shared" si="11"/>
        <v>0.34321340407516654</v>
      </c>
      <c r="C83" s="119">
        <f t="shared" si="11"/>
        <v>19.61763532257859</v>
      </c>
      <c r="D83" s="119">
        <f t="shared" si="11"/>
        <v>31.444811911603868</v>
      </c>
      <c r="E83" s="119">
        <f t="shared" si="11"/>
        <v>34.018412730183542</v>
      </c>
      <c r="F83" s="119">
        <f t="shared" si="11"/>
        <v>39.807529177353572</v>
      </c>
      <c r="G83" s="296"/>
      <c r="H83" s="296"/>
      <c r="I83" s="296"/>
      <c r="J83" s="296"/>
      <c r="K83" s="296"/>
      <c r="L83" s="296"/>
    </row>
    <row r="84" spans="1:12" ht="13.15">
      <c r="A84" s="131">
        <f t="shared" si="14"/>
        <v>15</v>
      </c>
      <c r="B84" s="119">
        <f t="shared" si="11"/>
        <v>0.32951104931867503</v>
      </c>
      <c r="C84" s="119">
        <f t="shared" si="11"/>
        <v>17.770201945042334</v>
      </c>
      <c r="D84" s="119">
        <f t="shared" si="11"/>
        <v>32.146401054154836</v>
      </c>
      <c r="E84" s="119">
        <f t="shared" si="11"/>
        <v>35.652598759010473</v>
      </c>
      <c r="F84" s="119">
        <f t="shared" si="11"/>
        <v>43.99842094197875</v>
      </c>
      <c r="G84" s="296"/>
      <c r="H84" s="296"/>
      <c r="I84" s="296"/>
      <c r="J84" s="296"/>
      <c r="K84" s="296"/>
      <c r="L84" s="296"/>
    </row>
    <row r="85" spans="1:12" ht="13.15">
      <c r="A85" s="132">
        <f t="shared" si="14"/>
        <v>20</v>
      </c>
      <c r="B85" s="119">
        <f t="shared" si="11"/>
        <v>0.32920929136588728</v>
      </c>
      <c r="C85" s="119">
        <f t="shared" si="11"/>
        <v>16.762805746006538</v>
      </c>
      <c r="D85" s="119">
        <f t="shared" si="11"/>
        <v>32.666041831904209</v>
      </c>
      <c r="E85" s="119">
        <f t="shared" si="11"/>
        <v>36.924097246167349</v>
      </c>
      <c r="F85" s="119">
        <f t="shared" si="11"/>
        <v>47.591664345347048</v>
      </c>
      <c r="G85" s="296"/>
      <c r="H85" s="296"/>
      <c r="I85" s="296"/>
      <c r="J85" s="296"/>
      <c r="K85" s="296"/>
      <c r="L85" s="296"/>
    </row>
    <row r="86" spans="1:12" ht="13.15">
      <c r="A86" s="132">
        <f t="shared" si="14"/>
        <v>25</v>
      </c>
      <c r="B86" s="119">
        <f t="shared" si="11"/>
        <v>0.32920264594882631</v>
      </c>
      <c r="C86" s="119">
        <f t="shared" si="11"/>
        <v>16.213477627238245</v>
      </c>
      <c r="D86" s="119">
        <f t="shared" si="11"/>
        <v>33.050920276456758</v>
      </c>
      <c r="E86" s="119">
        <f t="shared" si="11"/>
        <v>37.913402242247109</v>
      </c>
      <c r="F86" s="119">
        <f t="shared" si="11"/>
        <v>50.672487922045761</v>
      </c>
      <c r="G86" s="296"/>
      <c r="H86" s="296"/>
      <c r="I86" s="296"/>
      <c r="J86" s="296"/>
      <c r="K86" s="296"/>
      <c r="L86" s="296"/>
    </row>
    <row r="87" spans="1:12" ht="13.15">
      <c r="A87" s="132">
        <f t="shared" si="14"/>
        <v>30</v>
      </c>
      <c r="B87" s="119">
        <f t="shared" si="11"/>
        <v>0.32920249960117431</v>
      </c>
      <c r="C87" s="119">
        <f t="shared" si="11"/>
        <v>15.913931746125785</v>
      </c>
      <c r="D87" s="119">
        <f t="shared" si="11"/>
        <v>33.33598531258184</v>
      </c>
      <c r="E87" s="119">
        <f t="shared" si="11"/>
        <v>38.683143130776848</v>
      </c>
      <c r="F87" s="119">
        <f t="shared" si="11"/>
        <v>53.313966064563296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34.919584829820884</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31.918084649743065</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30.497566533600043</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23.005587438838038</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0.96541581543872834</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31.918084649743065</v>
      </c>
      <c r="F22" s="328">
        <f>1-F23-F24</f>
        <v>0.30000000000000004</v>
      </c>
      <c r="G22" s="328">
        <f>F22*(1-F$29-F$30)</f>
        <v>0.24000000000000002</v>
      </c>
    </row>
    <row r="23" spans="2:7">
      <c r="B23" s="302" t="s">
        <v>437</v>
      </c>
      <c r="C23" s="324">
        <v>0.01</v>
      </c>
      <c r="D23" s="325">
        <f>C18</f>
        <v>5</v>
      </c>
      <c r="E23" s="326">
        <f>DCF!E92</f>
        <v>30.497566533600043</v>
      </c>
      <c r="F23" s="327">
        <v>0.6</v>
      </c>
      <c r="G23" s="328">
        <f t="shared" ref="G23:G24" si="0">F23*(1-F$29-F$30)</f>
        <v>0.47999999999999993</v>
      </c>
    </row>
    <row r="24" spans="2:7">
      <c r="B24" s="302" t="s">
        <v>446</v>
      </c>
      <c r="C24" s="324">
        <v>-0.05</v>
      </c>
      <c r="D24" s="325">
        <f>C18</f>
        <v>5</v>
      </c>
      <c r="E24" s="326">
        <f>DCF!E93</f>
        <v>23.005587438838038</v>
      </c>
      <c r="F24" s="327">
        <v>0.1</v>
      </c>
      <c r="G24" s="328">
        <f t="shared" si="0"/>
        <v>0.08</v>
      </c>
    </row>
    <row r="25" spans="2:7">
      <c r="B25" s="141" t="s">
        <v>451</v>
      </c>
      <c r="C25" s="441">
        <f>E23*F23+E24*F24+E22*F22</f>
        <v>30.17452405896675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34.919584829820884</v>
      </c>
      <c r="F29" s="327">
        <v>0.05</v>
      </c>
      <c r="G29" s="328">
        <f>F29</f>
        <v>0.05</v>
      </c>
    </row>
    <row r="30" spans="2:7">
      <c r="B30" s="315" t="s">
        <v>447</v>
      </c>
      <c r="C30" s="324">
        <v>-0.5</v>
      </c>
      <c r="D30" s="325">
        <f>C18</f>
        <v>5</v>
      </c>
      <c r="E30" s="326">
        <f>DCF!E94</f>
        <v>0.96541581543872834</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28.88</v>
      </c>
      <c r="D34" t="str">
        <f>Market_currency</f>
        <v>HKD</v>
      </c>
      <c r="E34" s="97" t="s">
        <v>454</v>
      </c>
      <c r="F34" s="330">
        <f>RATE(Holding_Period,$C$33,-C34,$C$36)</f>
        <v>1.1101246888204793E-2</v>
      </c>
    </row>
    <row r="35" spans="2:7">
      <c r="B35" s="97" t="s">
        <v>434</v>
      </c>
      <c r="C35" s="320">
        <f>DCF!C11</f>
        <v>37.824026313979587</v>
      </c>
      <c r="D35" s="97" t="str">
        <f>Market_currency</f>
        <v>HKD</v>
      </c>
      <c r="E35" s="97" t="s">
        <v>454</v>
      </c>
      <c r="F35" s="330">
        <f>RATE(Holding_Period,$C$33,-C35,$C$36)</f>
        <v>-7.9319611386756667E-2</v>
      </c>
    </row>
    <row r="36" spans="2:7">
      <c r="B36" s="97" t="s">
        <v>435</v>
      </c>
      <c r="C36" s="321">
        <f>E22*G22+E23*G23+E24*G24+E30*G30+E29*G29</f>
        <v>26.030410860980254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26.014220233424414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-6.1584441979262085E-2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2.2883022303140654</v>
      </c>
      <c r="D62" s="119">
        <f>C36/(1+F62)^Holding_Period</f>
        <v>11.848161520701069</v>
      </c>
      <c r="E62" s="332">
        <f>C62+D62</f>
        <v>14.136463751015135</v>
      </c>
      <c r="F62" s="301">
        <f>Thesis!E22</f>
        <v>0.3</v>
      </c>
      <c r="G62" s="440">
        <f>(1-E62/C36)</f>
        <v>0.45692506251579068</v>
      </c>
    </row>
    <row r="63" spans="2:7" ht="13.15">
      <c r="B63" s="302" t="s">
        <v>313</v>
      </c>
      <c r="C63" s="119">
        <f>PV(F63, Holding_Period, -C58, 0)</f>
        <v>2.6541666666666663</v>
      </c>
      <c r="D63" s="119">
        <f>C36/(1+F63)^Holding_Period</f>
        <v>15.063895174178388</v>
      </c>
      <c r="E63" s="332">
        <f>C63+D63</f>
        <v>17.718061840845053</v>
      </c>
      <c r="F63" s="301">
        <f>Thesis!E23</f>
        <v>0.2</v>
      </c>
      <c r="G63" s="440">
        <f>(1-E63/C36)</f>
        <v>0.31933222508583081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18.657567519052993</v>
      </c>
      <c r="E66" s="332">
        <f>C66+D66</f>
        <v>21.697447457735692</v>
      </c>
      <c r="F66" s="301">
        <f>Thesis!E24</f>
        <v>0.1174</v>
      </c>
      <c r="G66" s="440">
        <f>(1-E66/C36)</f>
        <v>0.16645774153875159</v>
      </c>
    </row>
    <row r="67" spans="2:7" ht="13.15">
      <c r="B67" s="302" t="s">
        <v>314</v>
      </c>
      <c r="C67" s="119">
        <f>PV(F67, Holding_Period, -C58, 0)</f>
        <v>3.2915927862380006</v>
      </c>
      <c r="D67" s="119">
        <f>C36/(1+F67)^Holding_Period</f>
        <v>21.100323825719137</v>
      </c>
      <c r="E67" s="332">
        <f>C67+D67</f>
        <v>24.391916611957136</v>
      </c>
      <c r="F67" s="301">
        <f>Thesis!E25</f>
        <v>7.2499999999999995E-2</v>
      </c>
      <c r="G67" s="440">
        <f>(1-E67/C36)</f>
        <v>6.2945385602008685E-2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28.88</v>
      </c>
    </row>
    <row r="9" spans="1:10">
      <c r="B9" s="351" t="s">
        <v>361</v>
      </c>
      <c r="C9" s="353">
        <f>Common_Shares</f>
        <v>47529953984</v>
      </c>
    </row>
    <row r="10" spans="1:10">
      <c r="B10" s="351" t="s">
        <v>367</v>
      </c>
      <c r="C10" s="357">
        <f>投资主题!C8*Common_Shares/1000000</f>
        <v>1372665.0710579199</v>
      </c>
      <c r="D10" s="343" t="s">
        <v>529</v>
      </c>
      <c r="E10" s="360">
        <f>Scenarios!F34</f>
        <v>1.1101246888204793E-2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1.138018667316437</v>
      </c>
    </row>
    <row r="17" spans="1:6">
      <c r="B17" s="343" t="s">
        <v>535</v>
      </c>
      <c r="C17" s="424">
        <f>Terminal_Growth</f>
        <v>0.01</v>
      </c>
      <c r="D17" s="351" t="s">
        <v>339</v>
      </c>
      <c r="E17" s="344" t="str">
        <f>Reporting_currency</f>
        <v>CNY</v>
      </c>
    </row>
    <row r="18" spans="1:6">
      <c r="B18" s="343" t="str">
        <f>"预期股权价值 ("&amp;C7&amp;") :"</f>
        <v>预期股权价值 (HKD) :</v>
      </c>
      <c r="C18" s="359">
        <f>C125</f>
        <v>26.030410860980254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14.136463751015135</v>
      </c>
      <c r="D22" s="365" t="s">
        <v>440</v>
      </c>
      <c r="E22" s="366">
        <f>Thesis!E22</f>
        <v>0.3</v>
      </c>
    </row>
    <row r="23" spans="1:6">
      <c r="B23" s="343" t="s">
        <v>341</v>
      </c>
      <c r="C23" s="367">
        <f>E141</f>
        <v>17.718061840845053</v>
      </c>
      <c r="D23" s="365" t="s">
        <v>441</v>
      </c>
      <c r="E23" s="368">
        <f>Thesis!E23</f>
        <v>0.2</v>
      </c>
    </row>
    <row r="24" spans="1:6">
      <c r="B24" s="343" t="s">
        <v>343</v>
      </c>
      <c r="C24" s="367">
        <f>E144</f>
        <v>21.697447457735692</v>
      </c>
      <c r="D24" s="365" t="s">
        <v>443</v>
      </c>
      <c r="E24" s="368">
        <f>Thesis!E24</f>
        <v>0.1174</v>
      </c>
    </row>
    <row r="25" spans="1:6">
      <c r="B25" s="343" t="s">
        <v>342</v>
      </c>
      <c r="C25" s="367">
        <f>E145</f>
        <v>24.391916611957136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8.4480452232659486E-2</v>
      </c>
      <c r="F62" s="379"/>
    </row>
    <row r="63" spans="2:6">
      <c r="B63" s="377" t="s">
        <v>332</v>
      </c>
      <c r="C63" s="378">
        <f>Normalized_FCF!C92</f>
        <v>4.3628808864265928E-2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-1.7369586397719268</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0.13389031240753485</v>
      </c>
      <c r="D90" s="343" t="str">
        <f>Market_currency</f>
        <v>HKD</v>
      </c>
    </row>
    <row r="92" spans="1:6">
      <c r="B92" s="372" t="s">
        <v>480</v>
      </c>
      <c r="C92" s="387">
        <f>DCF!F8</f>
        <v>-1.603068327364392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0.4681240608941879</v>
      </c>
      <c r="D111" s="343" t="str">
        <f>Market_currency</f>
        <v>HKD</v>
      </c>
    </row>
    <row r="112" spans="1:6">
      <c r="A112" s="385"/>
      <c r="B112" s="372" t="s">
        <v>377</v>
      </c>
      <c r="C112" s="394">
        <f>DCF!C11</f>
        <v>37.824026313979587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34.92 HKD</v>
      </c>
      <c r="F118" s="399">
        <f>DCF!F90</f>
        <v>0.05</v>
      </c>
    </row>
    <row r="119" spans="1:6">
      <c r="A119" s="385"/>
      <c r="B119" s="400" t="str">
        <f>DCF!B91</f>
        <v>Optimistic</v>
      </c>
      <c r="C119" s="401">
        <f>DCF!C91</f>
        <v>0.02</v>
      </c>
      <c r="D119" s="402">
        <f>DCF!D91</f>
        <v>5</v>
      </c>
      <c r="E119" s="398" t="str">
        <f>ROUND(DCF!E91,2)&amp;" "&amp;Market_currency</f>
        <v>31.92 HKD</v>
      </c>
      <c r="F119" s="403">
        <f>DCF!F91</f>
        <v>0.24000000000000002</v>
      </c>
    </row>
    <row r="120" spans="1:6">
      <c r="B120" s="400" t="str">
        <f>DCF!B92</f>
        <v>Base</v>
      </c>
      <c r="C120" s="401">
        <f>DCF!C92</f>
        <v>0.01</v>
      </c>
      <c r="D120" s="402">
        <f>DCF!D92</f>
        <v>5</v>
      </c>
      <c r="E120" s="398" t="str">
        <f>ROUND(DCF!E92,2)&amp;" "&amp;Market_currency</f>
        <v>30.5 HKD</v>
      </c>
      <c r="F120" s="403">
        <f>DCF!F92</f>
        <v>0.47999999999999993</v>
      </c>
    </row>
    <row r="121" spans="1:6">
      <c r="B121" s="400" t="str">
        <f>DCF!B93</f>
        <v>Pessimistic</v>
      </c>
      <c r="C121" s="401">
        <f>DCF!C93</f>
        <v>-0.05</v>
      </c>
      <c r="D121" s="402">
        <f>DCF!D93</f>
        <v>5</v>
      </c>
      <c r="E121" s="398" t="str">
        <f>ROUND(DCF!E93,2)&amp;" "&amp;Market_currency</f>
        <v>23.01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519</v>
      </c>
      <c r="C124" s="470"/>
      <c r="D124" s="470"/>
      <c r="E124" s="470"/>
      <c r="F124" s="470"/>
    </row>
    <row r="125" spans="1:6">
      <c r="B125" s="372" t="s">
        <v>218</v>
      </c>
      <c r="C125" s="404">
        <f>Scenarios!C36</f>
        <v>26.030410860980254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2.2883022303140654</v>
      </c>
      <c r="D140" s="409">
        <f>Scenarios!D62</f>
        <v>11.848161520701069</v>
      </c>
      <c r="E140" s="410">
        <f>Scenarios!E62</f>
        <v>14.136463751015135</v>
      </c>
      <c r="F140" s="411">
        <f>E22</f>
        <v>0.3</v>
      </c>
    </row>
    <row r="141" spans="1:6">
      <c r="B141" s="408" t="s">
        <v>313</v>
      </c>
      <c r="C141" s="409">
        <f>Scenarios!C63</f>
        <v>2.6541666666666663</v>
      </c>
      <c r="D141" s="409">
        <f>Scenarios!D63</f>
        <v>15.063895174178388</v>
      </c>
      <c r="E141" s="410">
        <f>Scenarios!E63</f>
        <v>17.718061840845053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18.657567519052993</v>
      </c>
      <c r="E144" s="410">
        <f>Scenarios!E66</f>
        <v>21.697447457735692</v>
      </c>
      <c r="F144" s="411">
        <f>E24</f>
        <v>0.1174</v>
      </c>
    </row>
    <row r="145" spans="1:6">
      <c r="B145" s="408" t="s">
        <v>314</v>
      </c>
      <c r="C145" s="409">
        <f>Scenarios!C67</f>
        <v>3.2915927862380006</v>
      </c>
      <c r="D145" s="409">
        <f>Scenarios!D67</f>
        <v>21.100323825719137</v>
      </c>
      <c r="E145" s="410">
        <f>Scenarios!E67</f>
        <v>24.391916611957136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