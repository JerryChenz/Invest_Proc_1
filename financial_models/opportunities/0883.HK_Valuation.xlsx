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7AD15C-8BF2-4BAE-A776-433A583A223E}" xr6:coauthVersionLast="47" xr6:coauthVersionMax="47" xr10:uidLastSave="{00000000-0000-0000-0000-000000000000}"/>
  <bookViews>
    <workbookView xWindow="1103" yWindow="1103"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B73" i="8"/>
  <c r="E71" i="8"/>
  <c r="C73" i="8"/>
  <c r="F74" i="8"/>
  <c r="F71" i="8"/>
  <c r="D73" i="8"/>
  <c r="B72" i="8"/>
  <c r="E73" i="8"/>
  <c r="F73" i="8"/>
  <c r="B74" i="8"/>
  <c r="E72" i="8"/>
  <c r="F72" i="8"/>
  <c r="D74" i="8"/>
  <c r="D72" i="8"/>
  <c r="D71" i="8"/>
  <c r="C72" i="8"/>
  <c r="C74" i="8"/>
  <c r="C71"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<sst xmlns="http://schemas.openxmlformats.org/spreadsheetml/2006/main" count="767" uniqueCount="557">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</sst>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550</v>
      </c>
      <c r="E4" s="438" t="s">
        <v>540</v>
      </c>
      <c r="F4" s="439" t="s">
        <v>324</v>
      </c>
    </row>
    <row r="5" spans="1:9">
      <c r="B5" s="1" t="s">
        <v>349</v>
      </c>
      <c r="C5" s="46" t="s">
        <v>551</v>
      </c>
      <c r="D5" s="1" t="s">
        <v>552</v>
      </c>
      <c r="E5" s="441" t="s">
        <v>542</v>
      </c>
      <c r="F5" s="440" t="s">
        <v>500</v>
      </c>
    </row>
    <row r="6" spans="1:9">
      <c r="B6" s="2" t="s">
        <v>53</v>
      </c>
      <c r="C6" s="45" t="s">
        <v>553</v>
      </c>
      <c r="D6" s="45"/>
      <c r="E6" s="45"/>
    </row>
    <row r="7" spans="1:9">
      <c r="B7" s="1" t="s">
        <v>351</v>
      </c>
      <c r="C7" s="45" t="s">
        <v>308</v>
      </c>
      <c r="D7" s="45"/>
      <c r="E7" s="45"/>
    </row>
    <row r="8" spans="1:9">
      <c r="B8" s="4" t="s">
        <v>350</v>
      </c>
      <c r="C8" s="47">
        <v>18.5</v>
      </c>
      <c r="E8" s="32"/>
    </row>
    <row r="9" spans="1:9">
      <c r="B9" s="4" t="s">
        <v>346</v>
      </c>
      <c r="C9" s="48">
        <f>44539953984+2990000000</f>
        <v>47529953984</v>
      </c>
    </row>
    <row r="10" spans="1:9">
      <c r="B10" s="4" t="s">
        <v>352</v>
      </c>
      <c r="C10" s="33">
        <f>Thesis!C8*Common_Shares/1000000</f>
        <v>879304.14870400005</v>
      </c>
      <c r="D10" s="1" t="s">
        <v>531</v>
      </c>
      <c r="E10" s="310">
        <f>Scenarios!F34</f>
        <v>0.16463974064983045</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554</v>
      </c>
      <c r="D15" s="4" t="s">
        <v>353</v>
      </c>
      <c r="E15" s="259" t="str">
        <f>IF(E17=C7,C7,E17&amp;"/"&amp;C7)</f>
        <v>CNY/HKD</v>
      </c>
    </row>
    <row r="16" spans="1:9">
      <c r="B16" s="1" t="s">
        <v>320</v>
      </c>
      <c r="C16" s="425" t="s">
        <v>554</v>
      </c>
      <c r="D16" s="4" t="s">
        <v>354</v>
      </c>
      <c r="E16" s="424">
        <v>1.09355365</v>
      </c>
    </row>
    <row r="17" spans="1:6">
      <c r="B17" s="1" t="s">
        <v>535</v>
      </c>
      <c r="C17" s="423">
        <v>0</v>
      </c>
      <c r="D17" s="4" t="s">
        <v>274</v>
      </c>
      <c r="E17" s="227" t="s">
        <v>546</v>
      </c>
    </row>
    <row r="18" spans="1:6">
      <c r="B18" s="1" t="str">
        <f>"Expected Equity Value ("&amp;C7&amp;") :"</f>
        <v>Expected Equity Value (HKD) :</v>
      </c>
      <c r="C18" s="258">
        <f>C125</f>
        <v>24.78797122466743</v>
      </c>
      <c r="D18" s="2" t="s">
        <v>347</v>
      </c>
      <c r="E18" s="426">
        <v>6</v>
      </c>
    </row>
    <row r="19" spans="1:6">
      <c r="B19" s="2" t="s">
        <v>275</v>
      </c>
      <c r="C19" s="31" t="str">
        <f>IF(Scenarios!C50="Y",Scenarios!B50,"")&amp;IF(Scenarios!C51="Y",Scenarios!B51,"")&amp;IF(Scenarios!C52="Y",Scenarios!B52,"")&amp;" "&amp;IF(Scenarios!C53="Y",Scenarios!B53,"")</f>
        <v xml:space="preserve">Negative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13.728641200031211</v>
      </c>
      <c r="D22" s="38" t="s">
        <v>408</v>
      </c>
      <c r="E22" s="79">
        <v>0.29465259038036606</v>
      </c>
    </row>
    <row r="23" spans="1:6">
      <c r="B23" s="1" t="s">
        <v>313</v>
      </c>
      <c r="C23" s="262">
        <f>E141</f>
        <v>16.9690066917785</v>
      </c>
      <c r="D23" s="38" t="s">
        <v>409</v>
      </c>
      <c r="E23" s="451">
        <v>0.20075184365903009</v>
      </c>
    </row>
    <row r="24" spans="1:6">
      <c r="B24" s="1" t="s">
        <v>315</v>
      </c>
      <c r="C24" s="262">
        <f>E144</f>
        <v>20.806915935714944</v>
      </c>
      <c r="D24" s="38" t="s">
        <v>410</v>
      </c>
      <c r="E24" s="451">
        <v>0.1174</v>
      </c>
    </row>
    <row r="25" spans="1:6">
      <c r="B25" s="1" t="s">
        <v>314</v>
      </c>
      <c r="C25" s="262">
        <f>E145</f>
        <v>23.38479156886352</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137124.09035259794</v>
      </c>
      <c r="D34" s="1" t="str">
        <f>Reporting_currency</f>
        <v>CNY</v>
      </c>
    </row>
    <row r="35" spans="2:6">
      <c r="B35" s="44"/>
      <c r="C35" s="73"/>
    </row>
    <row r="36" spans="2:6" ht="24.5" customHeight="1">
      <c r="B36" s="462" t="s">
        <v>198</v>
      </c>
      <c r="C36" s="462"/>
      <c r="D36" s="462"/>
      <c r="E36" s="462"/>
      <c r="F36" s="462"/>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2" t="s">
        <v>201</v>
      </c>
      <c r="C40" s="462"/>
      <c r="D40" s="462"/>
      <c r="E40" s="462"/>
      <c r="F40" s="462"/>
    </row>
    <row r="41" spans="2:6">
      <c r="B41" s="44" t="s">
        <v>202</v>
      </c>
      <c r="C41" s="292">
        <f>Normalized_FCF!C9</f>
        <v>1836</v>
      </c>
      <c r="D41" s="1" t="str">
        <f>Reporting_currency</f>
        <v>CNY</v>
      </c>
    </row>
    <row r="43" spans="2:6">
      <c r="B43" s="462" t="s">
        <v>205</v>
      </c>
      <c r="C43" s="462"/>
      <c r="D43" s="462"/>
      <c r="E43" s="462"/>
      <c r="F43" s="462"/>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2" t="s">
        <v>206</v>
      </c>
      <c r="C51" s="462"/>
      <c r="D51" s="462"/>
      <c r="E51" s="462"/>
      <c r="F51" s="462"/>
    </row>
    <row r="52" spans="2:6">
      <c r="B52" s="44" t="s">
        <v>204</v>
      </c>
      <c r="C52" s="292">
        <f>Normalized_FCF!C12</f>
        <v>-33987.291088149483</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0.12649617778832595</v>
      </c>
      <c r="F62" s="263"/>
    </row>
    <row r="63" spans="2:6">
      <c r="B63" s="206" t="s">
        <v>332</v>
      </c>
      <c r="C63" s="89">
        <f>Normalized_FCF!C92</f>
        <v>6.8108108108108106E-2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-72545</v>
      </c>
      <c r="D78" s="1" t="str">
        <f>Reporting_currency</f>
        <v>CNY</v>
      </c>
    </row>
    <row r="79" spans="1:6">
      <c r="A79" s="191"/>
      <c r="B79" s="44" t="s">
        <v>234</v>
      </c>
      <c r="C79" s="203">
        <f>C78*scaling_factor*Exchange_Rate/Common_Shares</f>
        <v>-1.6690916546217458</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469</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0.12865890871383007</v>
      </c>
      <c r="D90" s="1" t="str">
        <f>Market_currency</f>
        <v>HKD</v>
      </c>
    </row>
    <row r="91" spans="1:6">
      <c r="A91" s="191"/>
    </row>
    <row r="92" spans="1:6">
      <c r="A92" s="191"/>
      <c r="B92" s="44" t="s">
        <v>472</v>
      </c>
      <c r="C92" s="219">
        <f>DCF!F8</f>
        <v>-1.5404327459079157</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0.44983337281348612</v>
      </c>
      <c r="D111" s="1" t="str">
        <f>Market_currency</f>
        <v>HKD</v>
      </c>
    </row>
    <row r="112" spans="2:6">
      <c r="B112" s="44" t="s">
        <v>323</v>
      </c>
      <c r="C112" s="219">
        <f>DCF!C11</f>
        <v>30.73790227594078</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33.34 HKD</v>
      </c>
      <c r="F118" s="211">
        <f>DCF!F82</f>
        <v>0.05</v>
      </c>
    </row>
    <row r="119" spans="2:6">
      <c r="B119" s="198" t="str">
        <f>DCF!B83</f>
        <v>Optimistic</v>
      </c>
      <c r="C119" s="199">
        <f>DCF!C83</f>
        <v>0.02</v>
      </c>
      <c r="D119" s="200">
        <f>DCF!D83</f>
        <v>5</v>
      </c>
      <c r="E119" s="210" t="str">
        <f>ROUND(DCF!E83,2)&amp;" "&amp;Market_currency</f>
        <v>30.45 HKD</v>
      </c>
      <c r="F119" s="201">
        <f>DCF!F83</f>
        <v>0.24000000000000002</v>
      </c>
    </row>
    <row r="120" spans="2:6">
      <c r="B120" s="198" t="str">
        <f>DCF!B84</f>
        <v>Base</v>
      </c>
      <c r="C120" s="199">
        <f>DCF!C84</f>
        <v>0.01</v>
      </c>
      <c r="D120" s="200">
        <f>DCF!D84</f>
        <v>5</v>
      </c>
      <c r="E120" s="210" t="str">
        <f>ROUND(DCF!E84,2)&amp;" "&amp;Market_currency</f>
        <v>29.09 HKD</v>
      </c>
      <c r="F120" s="201">
        <f>DCF!F84</f>
        <v>0.47999999999999993</v>
      </c>
    </row>
    <row r="121" spans="2:6">
      <c r="B121" s="198" t="str">
        <f>DCF!B85</f>
        <v>Pessimistic</v>
      </c>
      <c r="C121" s="199">
        <f>DCF!C85</f>
        <v>-0.05</v>
      </c>
      <c r="D121" s="200">
        <f>DCF!D85</f>
        <v>5</v>
      </c>
      <c r="E121" s="210" t="str">
        <f>ROUND(DCF!E85,2)&amp;" "&amp;Market_currency</f>
        <v>21.88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2" t="s">
        <v>357</v>
      </c>
      <c r="C124" s="462"/>
      <c r="D124" s="462"/>
      <c r="E124" s="462"/>
      <c r="F124" s="462"/>
    </row>
    <row r="125" spans="2:6">
      <c r="B125" s="193" t="s">
        <v>218</v>
      </c>
      <c r="C125" s="197">
        <f>Scenarios!C36</f>
        <v>24.78797122466743</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1.26</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2.3056129858987506</v>
      </c>
      <c r="D140" s="340">
        <f>Scenarios!D62</f>
        <v>11.42302821413246</v>
      </c>
      <c r="E140" s="341">
        <f>Scenarios!E62</f>
        <v>13.728641200031211</v>
      </c>
      <c r="F140" s="342">
        <f>E22</f>
        <v>0.29465259038036606</v>
      </c>
    </row>
    <row r="141" spans="1:6">
      <c r="B141" s="343" t="s">
        <v>313</v>
      </c>
      <c r="C141" s="340">
        <f>Scenarios!C63</f>
        <v>2.6510449735590389</v>
      </c>
      <c r="D141" s="340">
        <f>Scenarios!D63</f>
        <v>14.317961718219459</v>
      </c>
      <c r="E141" s="341">
        <f>Scenarios!E63</f>
        <v>16.9690066917785</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3.0398799386826978</v>
      </c>
      <c r="D144" s="340">
        <f>Scenarios!D66</f>
        <v>17.767035997032245</v>
      </c>
      <c r="E144" s="341">
        <f>Scenarios!E66</f>
        <v>20.806915935714944</v>
      </c>
      <c r="F144" s="342">
        <f>E24</f>
        <v>0.1174</v>
      </c>
    </row>
    <row r="145" spans="1:6">
      <c r="B145" s="343" t="s">
        <v>314</v>
      </c>
      <c r="C145" s="340">
        <f>Scenarios!C67</f>
        <v>3.2915927862380006</v>
      </c>
      <c r="D145" s="340">
        <f>Scenarios!D67</f>
        <v>20.093198782625521</v>
      </c>
      <c r="E145" s="341">
        <f>Scenarios!E67</f>
        <v>23.38479156886352</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555</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18.094798751492942</v>
      </c>
      <c r="D47" s="134">
        <f>D46*H1/Common_Shares*Exchange_Rate</f>
        <v>0.44983337281348612</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79331.849539250004</v>
      </c>
      <c r="D86" s="203">
        <f>C86*scaling_factor/Common_Shares</f>
        <v>1.6690916546217458</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6115.1520108000004</v>
      </c>
      <c r="D88" s="203">
        <f>C88*scaling_factor/Common_Shares</f>
        <v>0.12865890871383007</v>
      </c>
      <c r="E88" s="217" t="str">
        <f>Market_currency</f>
        <v>HKD</v>
      </c>
    </row>
    <row r="89" spans="2:8" ht="15" customHeight="1">
      <c r="B89" s="77" t="s">
        <v>244</v>
      </c>
      <c r="C89" s="162">
        <f>SUM(C86:C88)</f>
        <v>85447.001550050001</v>
      </c>
      <c r="D89" s="219">
        <f>SUM(D86:D88)</f>
        <v>1.7977505633355759</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417</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399</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556</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6.8108108108108106E-2</v>
      </c>
      <c r="E92" s="241"/>
      <c r="G92" s="22">
        <f t="shared" ref="G92:Q92" si="38">IF(G$4="","",(G88*(1-dividend_tax_rate))/Market_Price)</f>
        <v>6.8108108108108106E-2</v>
      </c>
      <c r="H92" s="22">
        <f t="shared" si="38"/>
        <v>6.0810810810810814E-2</v>
      </c>
      <c r="I92" s="22">
        <f t="shared" si="38"/>
        <v>7.0540540540540542E-2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2.3401792890840301</v>
      </c>
      <c r="D123" s="26"/>
      <c r="E123" s="238"/>
      <c r="F123" s="26"/>
      <c r="G123" s="159">
        <f t="shared" ref="G123:Q123" si="48">IF(G$4="","",G14*$C$3/Common_Shares*Exchange_Rate)</f>
        <v>3.3212036463982115</v>
      </c>
      <c r="H123" s="159">
        <f t="shared" si="48"/>
        <v>2.9115750321741363</v>
      </c>
      <c r="I123" s="159">
        <f t="shared" si="48"/>
        <v>3.2822746632895208</v>
      </c>
      <c r="J123" s="159">
        <f t="shared" si="48"/>
        <v>1.7695201482798053</v>
      </c>
      <c r="K123" s="159">
        <f t="shared" si="48"/>
        <v>0.66545993119265079</v>
      </c>
      <c r="L123" s="159">
        <f t="shared" si="48"/>
        <v>1.396179822973044</v>
      </c>
      <c r="M123" s="159">
        <f t="shared" si="48"/>
        <v>1.1816513265057857</v>
      </c>
      <c r="N123" s="159">
        <f t="shared" si="48"/>
        <v>6.8875310434110775</v>
      </c>
      <c r="O123" s="159">
        <f t="shared" si="48"/>
        <v>6.4785006286910365</v>
      </c>
      <c r="P123" s="159">
        <f t="shared" si="48"/>
        <v>6.5251371823324762</v>
      </c>
      <c r="Q123" s="159" t="str">
        <f t="shared" si="48"/>
        <v/>
      </c>
    </row>
    <row r="124" spans="1:17" ht="15.75" customHeight="1">
      <c r="A124" s="10"/>
      <c r="B124" s="26" t="s">
        <v>226</v>
      </c>
      <c r="C124" s="74">
        <f>C19*Exchange_Rate*$C$3/(Market_Price*Common_Shares)</f>
        <v>0.12649617778832595</v>
      </c>
      <c r="D124" s="26"/>
      <c r="E124" s="238"/>
      <c r="F124" s="26"/>
      <c r="G124" s="74">
        <f t="shared" ref="G124" si="49">IF(G$4="","",G123/Market_Price)</f>
        <v>0.17952452142693034</v>
      </c>
      <c r="H124" s="74">
        <f t="shared" ref="H124" si="50">IF(H$4="","",H123/Market_Price)</f>
        <v>0.15738243417157494</v>
      </c>
      <c r="I124" s="74">
        <f t="shared" ref="I124" si="51">IF(I$4="","",I123/Market_Price)</f>
        <v>0.17742025206970383</v>
      </c>
      <c r="J124" s="74">
        <f t="shared" ref="J124" si="52">IF(J$4="","",J123/Market_Price)</f>
        <v>9.5649737744854343E-2</v>
      </c>
      <c r="K124" s="74">
        <f t="shared" ref="K124" si="53">IF(K$4="","",K123/Market_Price)</f>
        <v>3.5970807091494639E-2</v>
      </c>
      <c r="L124" s="74">
        <f t="shared" ref="L124" si="54">IF(L$4="","",L123/Market_Price)</f>
        <v>7.5469179620164542E-2</v>
      </c>
      <c r="M124" s="74">
        <f t="shared" ref="M124" si="55">IF(M$4="","",M123/Market_Price)</f>
        <v>6.3873044675988422E-2</v>
      </c>
      <c r="N124" s="74">
        <f t="shared" ref="N124" si="56">IF(N$4="","",N123/Market_Price)</f>
        <v>0.37229897531951772</v>
      </c>
      <c r="O124" s="74">
        <f t="shared" ref="O124" si="57">IF(O$4="","",O123/Market_Price)</f>
        <v>0.35018922317248846</v>
      </c>
      <c r="P124" s="74">
        <f t="shared" ref="P124" si="58">IF(P$4="","",P123/Market_Price)</f>
        <v>0.35271011796391766</v>
      </c>
      <c r="Q124" s="74" t="str">
        <f t="shared" ref="Q124" si="59">IF(Q$4="","",Q123/Market_Price)</f>
        <v/>
      </c>
    </row>
    <row r="125" spans="1:17" ht="15.75" customHeight="1">
      <c r="B125" s="2" t="s">
        <v>306</v>
      </c>
      <c r="C125" s="151"/>
      <c r="G125" s="22">
        <f>IF(G$4="","",(Data!C47*$C$3)/(Market_Price*Common_Shares))</f>
        <v>0.15692181164318475</v>
      </c>
      <c r="H125" s="22">
        <f>IF(H$4="","",(Data!D47*$C$3)/(Market_Price*Common_Shares))</f>
        <v>0.14112295521736745</v>
      </c>
      <c r="I125" s="22">
        <f>IF(I$4="","",(Data!E47*$C$3)/(Market_Price*Common_Shares))</f>
        <v>0.16112399811693906</v>
      </c>
      <c r="J125" s="22">
        <f>IF(J$4="","",(Data!F47*$C$3)/(Market_Price*Common_Shares))</f>
        <v>7.9957543818740054E-2</v>
      </c>
      <c r="K125" s="22">
        <f>IF(K$4="","",(Data!G47*$C$3)/(Market_Price*Common_Shares))</f>
        <v>2.8381155072203373E-2</v>
      </c>
      <c r="L125" s="22">
        <f>IF(L$4="","",(Data!H47*$C$3)/(Market_Price*Common_Shares))</f>
        <v>6.9424736696596351E-2</v>
      </c>
      <c r="M125" s="22">
        <f>IF(M$4="","",(Data!I47*$C$3)/(Market_Price*Common_Shares))</f>
        <v>5.9905734981050451E-2</v>
      </c>
      <c r="N125" s="22">
        <f>IF(N$4="","",(Data!J47*$C$3)/(Market_Price*Common_Shares))</f>
        <v>7.9942759400835103E-2</v>
      </c>
      <c r="O125" s="22">
        <f>IF(O$4="","",(Data!K47*$C$3)/(Market_Price*Common_Shares))</f>
        <v>6.7291846725857293E-2</v>
      </c>
      <c r="P125" s="22">
        <f>IF(P$4="","",(Data!L47*$C$3)/(Market_Price*Common_Shares))</f>
        <v>4.9295798346780641E-2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101712.99224731569</v>
      </c>
      <c r="D4" t="str">
        <f>Reporting_currency</f>
        <v>CNY</v>
      </c>
      <c r="E4" s="135" t="s">
        <v>434</v>
      </c>
      <c r="F4" s="282">
        <f>-BS!G31</f>
        <v>-72545</v>
      </c>
      <c r="G4" t="str">
        <f>Reporting_currency</f>
        <v>CNY</v>
      </c>
      <c r="H4" s="315" t="s">
        <v>394</v>
      </c>
      <c r="I4" s="312">
        <f>Normalized_FCF!C4</f>
        <v>419781.66666666669</v>
      </c>
      <c r="J4" s="312"/>
    </row>
    <row r="5" spans="2:15">
      <c r="B5" s="187" t="s">
        <v>105</v>
      </c>
      <c r="C5" s="188">
        <f>Equity_Cost</f>
        <v>7.2499999999999995E-2</v>
      </c>
      <c r="E5" s="135" t="s">
        <v>435</v>
      </c>
      <c r="F5" s="282">
        <f>BS!D66</f>
        <v>0</v>
      </c>
      <c r="G5" t="str">
        <f>Reporting_currency</f>
        <v>CNY</v>
      </c>
      <c r="H5" s="315" t="s">
        <v>396</v>
      </c>
      <c r="I5" s="312">
        <f>Normalized_FCF!C7</f>
        <v>-7213</v>
      </c>
      <c r="J5" s="312"/>
    </row>
    <row r="6" spans="2:15" ht="13.25" customHeight="1">
      <c r="B6" s="136" t="s">
        <v>194</v>
      </c>
      <c r="C6" s="290">
        <f>(C4*(1+Terminal_Growth))/(Equity_Cost-Terminal_Growth)</f>
        <v>1402937.8241009063</v>
      </c>
      <c r="D6" t="str">
        <f>Reporting_currency</f>
        <v>CNY</v>
      </c>
      <c r="E6" s="187" t="s">
        <v>436</v>
      </c>
      <c r="F6" s="291">
        <f>BS!H42</f>
        <v>5592</v>
      </c>
      <c r="G6" t="str">
        <f>Reporting_currency</f>
        <v>CNY</v>
      </c>
      <c r="H6" s="315" t="s">
        <v>418</v>
      </c>
      <c r="I6" s="312">
        <f>I7+I8</f>
        <v>-1174.9259999999995</v>
      </c>
      <c r="J6" s="312"/>
      <c r="N6" s="135"/>
    </row>
    <row r="7" spans="2:15" ht="12.75" customHeight="1">
      <c r="B7" s="325" t="s">
        <v>433</v>
      </c>
      <c r="C7" s="282">
        <f>F7</f>
        <v>-66953</v>
      </c>
      <c r="E7" s="140" t="s">
        <v>427</v>
      </c>
      <c r="F7" s="290">
        <f>SUM(F4:F6)</f>
        <v>-66953</v>
      </c>
      <c r="G7" t="str">
        <f>Reporting_currency</f>
        <v>CNY</v>
      </c>
      <c r="H7" s="319" t="s">
        <v>419</v>
      </c>
      <c r="I7" s="320">
        <f>Normalized_FCF!C9</f>
        <v>1836</v>
      </c>
      <c r="J7" s="320"/>
      <c r="N7" s="311"/>
      <c r="O7" s="311"/>
    </row>
    <row r="8" spans="2:15" ht="13.15">
      <c r="B8" s="136" t="s">
        <v>429</v>
      </c>
      <c r="C8" s="290">
        <f>C6+C7</f>
        <v>1335984.8241009063</v>
      </c>
      <c r="D8" t="str">
        <f>Reporting_currency</f>
        <v>CNY</v>
      </c>
      <c r="E8" s="140" t="s">
        <v>467</v>
      </c>
      <c r="F8" s="108">
        <f>FV_adjustments*scaling_factor/Common_Shares*Exchange_Rate</f>
        <v>-1.5404327459079157</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1.09355365</v>
      </c>
      <c r="D9" t="str">
        <f>Thesis!E15</f>
        <v>CNY/HKD</v>
      </c>
      <c r="F9" s="329"/>
      <c r="H9" s="315" t="str">
        <f>Normalized_FCF!B79</f>
        <v>NCI’s Share of Profits</v>
      </c>
      <c r="I9" s="144">
        <f>Normalized_FCF!C79</f>
        <v>5.9288205487639486E-4</v>
      </c>
      <c r="J9" s="313"/>
      <c r="N9" s="311"/>
      <c r="O9" s="311"/>
    </row>
    <row r="10" spans="2:15" ht="13.5" thickTop="1">
      <c r="B10" s="107" t="s">
        <v>430</v>
      </c>
      <c r="C10" s="290">
        <f>C8*Exchange_Rate</f>
        <v>1460971.080740154</v>
      </c>
      <c r="D10" t="str">
        <f>Market_currency</f>
        <v>HKD</v>
      </c>
      <c r="H10" s="315" t="s">
        <v>398</v>
      </c>
      <c r="I10" s="313">
        <f>Normalized_FCF!C41</f>
        <v>0.25</v>
      </c>
      <c r="N10" s="311"/>
      <c r="O10" s="311"/>
    </row>
    <row r="11" spans="2:15" ht="13.15">
      <c r="B11" s="136" t="s">
        <v>428</v>
      </c>
      <c r="C11" s="108">
        <f>(C10*scaling_factor)/Common_Shares</f>
        <v>30.73790227594078</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-2.4244845658407801E-2</v>
      </c>
      <c r="E16" s="315" t="s">
        <v>401</v>
      </c>
      <c r="F16" s="318">
        <f>Scenarios!C41</f>
        <v>-2.4244845658407801E-2</v>
      </c>
    </row>
    <row r="17" spans="1:21" ht="13.25" customHeight="1">
      <c r="B17" s="315" t="s">
        <v>395</v>
      </c>
      <c r="C17" s="313">
        <f>Normalized_FCF!C32</f>
        <v>0.65616151963298874</v>
      </c>
      <c r="E17" s="315" t="s">
        <v>402</v>
      </c>
      <c r="F17" s="318">
        <f>Scenarios!C40</f>
        <v>0.65616151963298874</v>
      </c>
      <c r="H17" s="106" t="s">
        <v>414</v>
      </c>
    </row>
    <row r="18" spans="1:21" ht="13.25" customHeight="1">
      <c r="B18" s="315" t="s">
        <v>426</v>
      </c>
      <c r="C18" s="313">
        <f>Normalized_FCF!C81-Normalized_FCF!C82</f>
        <v>-2.227427750139957E-2</v>
      </c>
      <c r="E18" s="315" t="s">
        <v>426</v>
      </c>
      <c r="F18" s="144">
        <f>IF(F14="II",C18/2,C18)</f>
        <v>-2.227427750139957E-2</v>
      </c>
      <c r="H18" s="140" t="s">
        <v>97</v>
      </c>
      <c r="I18" s="129">
        <f>(L52+FV_adjustments)*Exchange_Rate/Common_Shares*scaling_factor</f>
        <v>24.77485211664693</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421</v>
      </c>
      <c r="J20" s="121" t="s">
        <v>533</v>
      </c>
      <c r="K20" s="121" t="s">
        <v>534</v>
      </c>
      <c r="L20" s="122" t="s">
        <v>422</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423</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30.73790227594078</v>
      </c>
      <c r="C69" s="119">
        <f>C11</f>
        <v>30.73790227594078</v>
      </c>
      <c r="D69" s="119">
        <f>C11</f>
        <v>30.73790227594078</v>
      </c>
      <c r="E69" s="119">
        <f>C11</f>
        <v>30.73790227594078</v>
      </c>
      <c r="F69" s="119">
        <f>C11</f>
        <v>30.73790227594078</v>
      </c>
      <c r="G69" s="303"/>
      <c r="H69" s="303"/>
      <c r="I69" s="303"/>
      <c r="J69" s="303"/>
      <c r="K69" s="303"/>
      <c r="L69" s="303"/>
    </row>
    <row r="70" spans="1:21" ht="13.15">
      <c r="A70" s="131">
        <f>A56</f>
        <v>5</v>
      </c>
      <c r="B70" s="119">
        <f t="shared" ref="B70:F74" si="11">(B56+FV_adjustments)/Common_Shares*scaling_factor*Exchange_Rate</f>
        <v>0.66396211862418097</v>
      </c>
      <c r="C70" s="119">
        <f t="shared" si="11"/>
        <v>21.880592547791419</v>
      </c>
      <c r="D70" s="119">
        <f t="shared" si="11"/>
        <v>29.087453592160347</v>
      </c>
      <c r="E70" s="119">
        <f t="shared" si="11"/>
        <v>30.453806189489281</v>
      </c>
      <c r="F70" s="119">
        <f t="shared" si="11"/>
        <v>33.340765866721974</v>
      </c>
      <c r="G70" s="303"/>
      <c r="H70" s="303"/>
      <c r="I70" s="303"/>
      <c r="J70" s="303"/>
      <c r="K70" s="303"/>
      <c r="L70" s="303"/>
    </row>
    <row r="71" spans="1:21" ht="13.15">
      <c r="A71" s="131">
        <v>6</v>
      </c>
      <c r="B71" s="119">
        <f t="shared" si="11"/>
        <v>0.33813409901334501</v>
      </c>
      <c r="C71" s="119">
        <f t="shared" si="11"/>
        <v>21.073810114261047</v>
      </c>
      <c r="D71" s="119">
        <f t="shared" si="11"/>
        <v>29.306620647018054</v>
      </c>
      <c r="E71" s="119">
        <f t="shared" si="11"/>
        <v>30.914273980333444</v>
      </c>
      <c r="F71" s="119">
        <f t="shared" si="11"/>
        <v>34.355600057423466</v>
      </c>
      <c r="G71" s="303"/>
      <c r="H71" s="303"/>
      <c r="I71" s="303"/>
      <c r="J71" s="303"/>
      <c r="K71" s="303"/>
      <c r="L71" s="303"/>
    </row>
    <row r="72" spans="1:21" ht="13.15">
      <c r="A72" s="131">
        <f t="shared" ref="A72" si="12">A58</f>
        <v>7</v>
      </c>
      <c r="B72" s="119">
        <f t="shared" si="11"/>
        <v>0.18623292436959843</v>
      </c>
      <c r="C72" s="119">
        <f t="shared" si="11"/>
        <v>20.359177655656058</v>
      </c>
      <c r="D72" s="119">
        <f t="shared" si="11"/>
        <v>29.513015728981955</v>
      </c>
      <c r="E72" s="119">
        <f t="shared" si="11"/>
        <v>31.352201389807608</v>
      </c>
      <c r="F72" s="119">
        <f t="shared" si="11"/>
        <v>35.339681696891581</v>
      </c>
      <c r="G72" s="303"/>
      <c r="H72" s="303"/>
      <c r="I72" s="303"/>
      <c r="J72" s="303"/>
      <c r="K72" s="303"/>
      <c r="L72" s="303"/>
    </row>
    <row r="73" spans="1:21" ht="13.15">
      <c r="A73" s="131">
        <v>8</v>
      </c>
      <c r="B73" s="119">
        <f t="shared" si="11"/>
        <v>0.11541652593428534</v>
      </c>
      <c r="C73" s="119">
        <f t="shared" si="11"/>
        <v>19.726169883465158</v>
      </c>
      <c r="D73" s="119">
        <f t="shared" si="11"/>
        <v>29.707383125516728</v>
      </c>
      <c r="E73" s="119">
        <f t="shared" si="11"/>
        <v>31.768691793223589</v>
      </c>
      <c r="F73" s="119">
        <f t="shared" si="11"/>
        <v>36.293942680618223</v>
      </c>
      <c r="G73" s="303"/>
      <c r="H73" s="303"/>
      <c r="I73" s="303"/>
      <c r="J73" s="303"/>
      <c r="K73" s="303"/>
      <c r="L73" s="303"/>
    </row>
    <row r="74" spans="1:21" ht="13.15">
      <c r="A74" s="131">
        <f t="shared" ref="A74" si="13">A60</f>
        <v>9</v>
      </c>
      <c r="B74" s="119">
        <f t="shared" si="11"/>
        <v>8.2401887969104498E-2</v>
      </c>
      <c r="C74" s="119">
        <f t="shared" si="11"/>
        <v>19.165463698307715</v>
      </c>
      <c r="D74" s="119">
        <f t="shared" si="11"/>
        <v>29.89042375069166</v>
      </c>
      <c r="E74" s="119">
        <f t="shared" si="11"/>
        <v>32.164794554514316</v>
      </c>
      <c r="F74" s="119">
        <f t="shared" si="11"/>
        <v>37.219286664837995</v>
      </c>
      <c r="G74" s="303"/>
      <c r="H74" s="303"/>
      <c r="I74" s="303"/>
      <c r="J74" s="303"/>
      <c r="K74" s="303"/>
      <c r="L74" s="303"/>
    </row>
    <row r="75" spans="1:21" ht="13.15">
      <c r="A75" s="131">
        <f t="shared" ref="A75:A79" si="14">A61</f>
        <v>10</v>
      </c>
      <c r="B75" s="119">
        <f t="shared" ref="B75:F79" si="15">(B61+FV_adjustments)/Common_Shares*scaling_factor*Exchange_Rate</f>
        <v>6.701044835829735E-2</v>
      </c>
      <c r="C75" s="119">
        <f t="shared" si="15"/>
        <v>18.668800876956134</v>
      </c>
      <c r="D75" s="119">
        <f t="shared" si="15"/>
        <v>30.062797672767825</v>
      </c>
      <c r="E75" s="119">
        <f t="shared" si="15"/>
        <v>32.54150767014746</v>
      </c>
      <c r="F75" s="119">
        <f t="shared" si="15"/>
        <v>38.116589922263252</v>
      </c>
      <c r="G75" s="303"/>
      <c r="H75" s="303"/>
      <c r="I75" s="303"/>
      <c r="J75" s="303"/>
      <c r="K75" s="303"/>
      <c r="L75" s="303"/>
    </row>
    <row r="76" spans="1:21" ht="13.15">
      <c r="A76" s="131">
        <f t="shared" si="14"/>
        <v>15</v>
      </c>
      <c r="B76" s="119">
        <f t="shared" si="15"/>
        <v>5.3864174076689246E-2</v>
      </c>
      <c r="C76" s="119">
        <f t="shared" si="15"/>
        <v>16.917426910978953</v>
      </c>
      <c r="D76" s="119">
        <f t="shared" si="15"/>
        <v>30.785198471014631</v>
      </c>
      <c r="E76" s="119">
        <f t="shared" si="15"/>
        <v>34.165869418116571</v>
      </c>
      <c r="F76" s="119">
        <f t="shared" si="15"/>
        <v>42.211350476108287</v>
      </c>
      <c r="G76" s="303"/>
      <c r="H76" s="303"/>
      <c r="I76" s="303"/>
      <c r="J76" s="303"/>
      <c r="K76" s="303"/>
      <c r="L76" s="303"/>
    </row>
    <row r="77" spans="1:21" ht="13.15">
      <c r="A77" s="132">
        <f t="shared" si="14"/>
        <v>20</v>
      </c>
      <c r="B77" s="119">
        <f t="shared" si="15"/>
        <v>5.3574662318710421E-2</v>
      </c>
      <c r="C77" s="119">
        <f t="shared" si="15"/>
        <v>15.962411429571691</v>
      </c>
      <c r="D77" s="119">
        <f t="shared" si="15"/>
        <v>31.320253661981287</v>
      </c>
      <c r="E77" s="119">
        <f t="shared" si="15"/>
        <v>35.429724003032362</v>
      </c>
      <c r="F77" s="119">
        <f t="shared" si="15"/>
        <v>45.722171603170338</v>
      </c>
      <c r="G77" s="303"/>
      <c r="H77" s="303"/>
      <c r="I77" s="303"/>
      <c r="J77" s="303"/>
      <c r="K77" s="303"/>
      <c r="L77" s="303"/>
    </row>
    <row r="78" spans="1:21" ht="13.15">
      <c r="A78" s="132">
        <f t="shared" si="14"/>
        <v>25</v>
      </c>
      <c r="B78" s="119">
        <f t="shared" si="15"/>
        <v>5.3568286591549351E-2</v>
      </c>
      <c r="C78" s="119">
        <f t="shared" si="15"/>
        <v>15.441646254660188</v>
      </c>
      <c r="D78" s="119">
        <f t="shared" si="15"/>
        <v>31.716548984571109</v>
      </c>
      <c r="E78" s="119">
        <f t="shared" si="15"/>
        <v>36.413081567201608</v>
      </c>
      <c r="F78" s="119">
        <f t="shared" si="15"/>
        <v>48.732326855020418</v>
      </c>
      <c r="G78" s="303"/>
      <c r="H78" s="303"/>
      <c r="I78" s="303"/>
      <c r="J78" s="303"/>
      <c r="K78" s="303"/>
      <c r="L78" s="303"/>
    </row>
    <row r="79" spans="1:21" ht="13.15">
      <c r="A79" s="132">
        <f t="shared" si="14"/>
        <v>30</v>
      </c>
      <c r="B79" s="119">
        <f t="shared" si="15"/>
        <v>5.3568146183100247E-2</v>
      </c>
      <c r="C79" s="119">
        <f t="shared" si="15"/>
        <v>15.157675604256712</v>
      </c>
      <c r="D79" s="119">
        <f t="shared" si="15"/>
        <v>32.010070074279326</v>
      </c>
      <c r="E79" s="119">
        <f t="shared" si="15"/>
        <v>37.178194983373089</v>
      </c>
      <c r="F79" s="119">
        <f t="shared" si="15"/>
        <v>51.313214434395093</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33.340765866721974</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30.453806189489281</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29.087453592160347</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21.880592547791419</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0.66396211862418097</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30.453806189489281</v>
      </c>
      <c r="F22" s="335">
        <f>1-F23-F24</f>
        <v>0.30000000000000004</v>
      </c>
      <c r="G22" s="335">
        <f>F22*(1-F$29-F$30)</f>
        <v>0.24000000000000002</v>
      </c>
    </row>
    <row r="23" spans="2:7">
      <c r="B23" s="309" t="s">
        <v>440</v>
      </c>
      <c r="C23" s="331">
        <v>0.01</v>
      </c>
      <c r="D23" s="332">
        <f>C18</f>
        <v>5</v>
      </c>
      <c r="E23" s="333">
        <f>DCF!E84</f>
        <v>29.087453592160347</v>
      </c>
      <c r="F23" s="334">
        <v>0.6</v>
      </c>
      <c r="G23" s="335">
        <f t="shared" ref="G23:G24" si="0">F23*(1-F$29-F$30)</f>
        <v>0.47999999999999993</v>
      </c>
    </row>
    <row r="24" spans="2:7">
      <c r="B24" s="309" t="s">
        <v>449</v>
      </c>
      <c r="C24" s="331">
        <v>-0.05</v>
      </c>
      <c r="D24" s="332">
        <f>C18</f>
        <v>5</v>
      </c>
      <c r="E24" s="333">
        <f>DCF!E85</f>
        <v>21.880592547791419</v>
      </c>
      <c r="F24" s="334">
        <v>0.1</v>
      </c>
      <c r="G24" s="335">
        <f t="shared" si="0"/>
        <v>0.08</v>
      </c>
    </row>
    <row r="25" spans="2:7">
      <c r="B25" s="141" t="s">
        <v>454</v>
      </c>
      <c r="C25" s="449">
        <f>E23*F23+E24*F24+E22*F22</f>
        <v>28.776673266922131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33.340765866721974</v>
      </c>
      <c r="F29" s="334">
        <v>0.05</v>
      </c>
      <c r="G29" s="335">
        <f>F29</f>
        <v>0.05</v>
      </c>
    </row>
    <row r="30" spans="2:7">
      <c r="B30" s="322" t="s">
        <v>450</v>
      </c>
      <c r="C30" s="331">
        <v>-0.5</v>
      </c>
      <c r="D30" s="332">
        <f>C18</f>
        <v>5</v>
      </c>
      <c r="E30" s="333">
        <f>DCF!E86</f>
        <v>0.66396211862418097</v>
      </c>
      <c r="F30" s="334">
        <v>0.15</v>
      </c>
      <c r="G30" s="335">
        <f>F30</f>
        <v>0.15</v>
      </c>
    </row>
    <row r="31" spans="2:7">
      <c r="E31" s="336"/>
      <c r="F31" s="336"/>
    </row>
    <row r="32" spans="2:7" ht="13.15">
      <c r="B32" s="145" t="s">
        <v>459</v>
      </c>
    </row>
    <row r="33" spans="2:7">
      <c r="B33" s="97" t="s">
        <v>461</v>
      </c>
      <c r="C33" s="155">
        <f>Normalized_FCF!C88*(1-dividend_tax_rate)</f>
        <v>1.26</v>
      </c>
      <c r="D33" t="str">
        <f>Market_currency</f>
        <v>HKD</v>
      </c>
      <c r="E33" s="97" t="s">
        <v>458</v>
      </c>
      <c r="F33" s="222">
        <f>Holding_Period</f>
        <v>3</v>
      </c>
    </row>
    <row r="34" spans="2:7">
      <c r="B34" s="97" t="s">
        <v>233</v>
      </c>
      <c r="C34" s="146">
        <f>Market_Price</f>
        <v>18.5</v>
      </c>
      <c r="D34" t="str">
        <f>Market_currency</f>
        <v>HKD</v>
      </c>
      <c r="E34" s="97" t="s">
        <v>457</v>
      </c>
      <c r="F34" s="337">
        <f>RATE(Holding_Period,$C$33,-C34,$C$36)</f>
        <v>0.16463974064983045</v>
      </c>
    </row>
    <row r="35" spans="2:7">
      <c r="B35" s="97" t="s">
        <v>437</v>
      </c>
      <c r="C35" s="327">
        <f>DCF!C11</f>
        <v>30.73790227594078</v>
      </c>
      <c r="D35" s="97" t="str">
        <f>Market_currency</f>
        <v>HKD</v>
      </c>
      <c r="E35" s="97" t="s">
        <v>457</v>
      </c>
      <c r="F35" s="337">
        <f>RATE(Holding_Period,$C$33,-C35,$C$36)</f>
        <v>-2.5184137479882494E-2</v>
      </c>
    </row>
    <row r="36" spans="2:7">
      <c r="B36" s="97" t="s">
        <v>438</v>
      </c>
      <c r="C36" s="328">
        <f>E22*G22+E23*G23+E24*G24+E30*G30+E29*G29</f>
        <v>24.78797122466743</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24.77485211664693</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1.26</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2.3056129858987506</v>
      </c>
      <c r="D62" s="119">
        <f>C36/(1+F62)^Holding_Period</f>
        <v>11.42302821413246</v>
      </c>
      <c r="E62" s="339">
        <f>C62+D62</f>
        <v>13.728641200031211</v>
      </c>
      <c r="F62" s="308">
        <f>Thesis!E22</f>
        <v>0.29465259038036606</v>
      </c>
      <c r="G62" s="448">
        <f>(1-E62/C36)</f>
        <v>0.44615712695481391</v>
      </c>
    </row>
    <row r="63" spans="2:7" ht="13.15">
      <c r="B63" s="309" t="s">
        <v>313</v>
      </c>
      <c r="C63" s="119">
        <f>PV(F63, Holding_Period, -C58, 0)</f>
        <v>2.6510449735590389</v>
      </c>
      <c r="D63" s="119">
        <f>C36/(1+F63)^Holding_Period</f>
        <v>14.317961718219459</v>
      </c>
      <c r="E63" s="339">
        <f>C63+D63</f>
        <v>16.9690066917785</v>
      </c>
      <c r="F63" s="308">
        <f>Thesis!E23</f>
        <v>0.20075184365903009</v>
      </c>
      <c r="G63" s="448">
        <f>(1-E63/C36)</f>
        <v>0.31543382320486113</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3.0398799386826978</v>
      </c>
      <c r="D66" s="119">
        <f>C36/(1+F66)^Holding_Period</f>
        <v>17.767035997032245</v>
      </c>
      <c r="E66" s="339">
        <f>C66+D66</f>
        <v>20.806915935714944</v>
      </c>
      <c r="F66" s="308">
        <f>Thesis!E24</f>
        <v>0.1174</v>
      </c>
      <c r="G66" s="448">
        <f>(1-E66/C47)</f>
        <v>0.16015983313441517</v>
      </c>
    </row>
    <row r="67" spans="2:7" ht="13.15">
      <c r="B67" s="309" t="s">
        <v>314</v>
      </c>
      <c r="C67" s="119">
        <f>PV(F67, Holding_Period, -C58, 0)</f>
        <v>3.2915927862380006</v>
      </c>
      <c r="D67" s="119">
        <f>C36/(1+F67)^Holding_Period</f>
        <v>20.093198782625521</v>
      </c>
      <c r="E67" s="339">
        <f>C67+D67</f>
        <v>23.38479156886352</v>
      </c>
      <c r="F67" s="308">
        <f>Thesis!E25</f>
        <v>7.2499999999999995E-2</v>
      </c>
      <c r="G67" s="448">
        <f>(1-E67/C36)</f>
        <v>5.6607281131888398E-2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45932</v>
      </c>
    </row>
    <row r="4" spans="1:10">
      <c r="B4" s="430" t="s">
        <v>537</v>
      </c>
      <c r="C4" s="431" t="str">
        <f>Thesis!C4</f>
        <v>中国海油</v>
      </c>
      <c r="D4" s="356"/>
      <c r="E4" s="442" t="s">
        <v>543</v>
      </c>
      <c r="F4" s="445" t="str">
        <f>Thesis!F4</f>
        <v>INT</v>
      </c>
    </row>
    <row r="5" spans="1:10">
      <c r="B5" s="350" t="s">
        <v>364</v>
      </c>
      <c r="C5" s="362" t="str">
        <f>Thesis!C5</f>
        <v>0883.HK</v>
      </c>
      <c r="E5" s="446" t="s">
        <v>544</v>
      </c>
      <c r="F5" s="447" t="str">
        <f>Thesis!F5</f>
        <v>Y</v>
      </c>
    </row>
    <row r="6" spans="1:10">
      <c r="B6" s="357" t="s">
        <v>336</v>
      </c>
      <c r="C6" s="359" t="str">
        <f>Thesis!C6</f>
        <v>ENG_01</v>
      </c>
      <c r="E6" s="361"/>
    </row>
    <row r="7" spans="1:10">
      <c r="B7" s="350" t="s">
        <v>366</v>
      </c>
      <c r="C7" s="359" t="str">
        <f>Market_currency</f>
        <v>HKD</v>
      </c>
      <c r="D7" s="361"/>
      <c r="E7" s="361"/>
    </row>
    <row r="8" spans="1:10">
      <c r="B8" s="358" t="s">
        <v>365</v>
      </c>
      <c r="C8" s="363">
        <f>Market_Price</f>
        <v>18.5</v>
      </c>
    </row>
    <row r="9" spans="1:10">
      <c r="B9" s="358" t="s">
        <v>361</v>
      </c>
      <c r="C9" s="360">
        <f>Common_Shares</f>
        <v>47529953984</v>
      </c>
    </row>
    <row r="10" spans="1:10">
      <c r="B10" s="358" t="s">
        <v>367</v>
      </c>
      <c r="C10" s="364">
        <f>投资主题!C8*Common_Shares/1000000</f>
        <v>879304.14870400005</v>
      </c>
      <c r="D10" s="350" t="s">
        <v>532</v>
      </c>
      <c r="E10" s="367">
        <f>Scenarios!F34</f>
        <v>0.16463974064983045</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1.09355365</v>
      </c>
    </row>
    <row r="17" spans="1:6">
      <c r="B17" s="350" t="s">
        <v>538</v>
      </c>
      <c r="C17" s="432">
        <f>Terminal_Growth</f>
        <v>0</v>
      </c>
      <c r="D17" s="358" t="s">
        <v>339</v>
      </c>
      <c r="E17" s="351" t="str">
        <f>Reporting_currency</f>
        <v>CNY</v>
      </c>
    </row>
    <row r="18" spans="1:6">
      <c r="B18" s="350" t="str">
        <f>"预期股权价值 ("&amp;C7&amp;") :"</f>
        <v>预期股权价值 (HKD) :</v>
      </c>
      <c r="C18" s="366">
        <f>C125</f>
        <v>24.78797122466743</v>
      </c>
      <c r="D18" s="357" t="s">
        <v>362</v>
      </c>
      <c r="E18" s="434">
        <f>Thesis!E18</f>
        <v>6</v>
      </c>
    </row>
    <row r="19" spans="1:6">
      <c r="B19" s="357" t="s">
        <v>335</v>
      </c>
      <c r="C19" s="359" t="str">
        <f>IF(Scenarios!C50="Y",Scenarios!B50,"")&amp;IF(Scenarios!C51="Y",Scenarios!B51,"")&amp;IF(Scenarios!C52="Y",Scenarios!B52,"")&amp;" "&amp;IF(Scenarios!C53="Y",Scenarios!B53,"")</f>
        <v xml:space="preserve">Negative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13.728641200031211</v>
      </c>
      <c r="D22" s="372" t="s">
        <v>443</v>
      </c>
      <c r="E22" s="373">
        <f>Thesis!E22</f>
        <v>0.29465259038036606</v>
      </c>
    </row>
    <row r="23" spans="1:6">
      <c r="B23" s="350" t="s">
        <v>341</v>
      </c>
      <c r="C23" s="374">
        <f>E141</f>
        <v>16.9690066917785</v>
      </c>
      <c r="D23" s="372" t="s">
        <v>444</v>
      </c>
      <c r="E23" s="375">
        <f>Thesis!E23</f>
        <v>0.20075184365903009</v>
      </c>
    </row>
    <row r="24" spans="1:6">
      <c r="B24" s="350" t="s">
        <v>343</v>
      </c>
      <c r="C24" s="374">
        <f>E144</f>
        <v>20.806915935714944</v>
      </c>
      <c r="D24" s="372" t="s">
        <v>446</v>
      </c>
      <c r="E24" s="375">
        <f>Thesis!E24</f>
        <v>0.1174</v>
      </c>
    </row>
    <row r="25" spans="1:6">
      <c r="B25" s="350" t="s">
        <v>342</v>
      </c>
      <c r="C25" s="374">
        <f>E145</f>
        <v>23.38479156886352</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1000000</v>
      </c>
    </row>
    <row r="33" spans="2:6">
      <c r="B33" s="469" t="s">
        <v>504</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506</v>
      </c>
      <c r="C40" s="469"/>
      <c r="D40" s="469"/>
      <c r="E40" s="469"/>
      <c r="F40" s="469"/>
    </row>
    <row r="41" spans="2:6">
      <c r="B41" s="379" t="s">
        <v>202</v>
      </c>
      <c r="C41" s="380">
        <f>Normalized_FCF!C9</f>
        <v>1836</v>
      </c>
      <c r="D41" s="350" t="str">
        <f>Reporting_currency</f>
        <v>CNY</v>
      </c>
    </row>
    <row r="43" spans="2:6">
      <c r="B43" s="469" t="s">
        <v>507</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508</v>
      </c>
    </row>
    <row r="49" spans="2:6">
      <c r="B49" s="379" t="s">
        <v>223</v>
      </c>
      <c r="C49" s="380">
        <f>Normalized_FCF!C13</f>
        <v>-248.88101713277118</v>
      </c>
      <c r="D49" s="350" t="str">
        <f>Reporting_currency</f>
        <v>CNY</v>
      </c>
    </row>
    <row r="51" spans="2:6">
      <c r="B51" s="469" t="s">
        <v>509</v>
      </c>
      <c r="C51" s="469"/>
      <c r="D51" s="469"/>
      <c r="E51" s="469"/>
      <c r="F51" s="469"/>
    </row>
    <row r="52" spans="2:6">
      <c r="B52" s="379" t="s">
        <v>499</v>
      </c>
      <c r="C52" s="380">
        <f>Normalized_FCF!C12</f>
        <v>-33987.291088149483</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0.12649617778832595</v>
      </c>
      <c r="F62" s="386"/>
    </row>
    <row r="63" spans="2:6">
      <c r="B63" s="384" t="s">
        <v>332</v>
      </c>
      <c r="C63" s="385">
        <f>Normalized_FCF!C92</f>
        <v>6.8108108108108106E-2</v>
      </c>
      <c r="E63" s="379" t="s">
        <v>373</v>
      </c>
      <c r="F63" s="387">
        <f>Normalized_FCF!C90</f>
        <v>0.65421274222080616</v>
      </c>
    </row>
    <row r="65" spans="1:6">
      <c r="B65" s="376" t="s">
        <v>376</v>
      </c>
      <c r="C65" s="388" t="s">
        <v>327</v>
      </c>
      <c r="D65" s="388" t="s">
        <v>374</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-72545</v>
      </c>
      <c r="D78" s="350" t="str">
        <f>Reporting_currency</f>
        <v>CNY</v>
      </c>
    </row>
    <row r="79" spans="1:6">
      <c r="B79" s="379" t="s">
        <v>234</v>
      </c>
      <c r="C79" s="394">
        <f>C78*scaling_factor*Exchange_Rate/Common_Shares</f>
        <v>-1.6690916546217458</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515</v>
      </c>
    </row>
    <row r="84" spans="1:6">
      <c r="B84" s="350" t="s">
        <v>224</v>
      </c>
      <c r="C84" s="380">
        <f>DCF!F5</f>
        <v>0</v>
      </c>
      <c r="D84" s="350" t="str">
        <f>Reporting_currency</f>
        <v>CNY</v>
      </c>
    </row>
    <row r="85" spans="1:6">
      <c r="B85" s="389" t="s">
        <v>484</v>
      </c>
      <c r="C85" s="397">
        <f>BS!C66</f>
        <v>223629</v>
      </c>
      <c r="D85" s="398" t="str">
        <f>Reporting_currency</f>
        <v>CNY</v>
      </c>
    </row>
    <row r="86" spans="1:6">
      <c r="B86" s="379" t="s">
        <v>235</v>
      </c>
      <c r="C86" s="394">
        <f>C84*scaling_factor*Exchange_Rate/Common_Shares</f>
        <v>0</v>
      </c>
      <c r="D86" s="350" t="str">
        <f>Market_currency</f>
        <v>HKD</v>
      </c>
    </row>
    <row r="88" spans="1:6">
      <c r="B88" s="350" t="s">
        <v>516</v>
      </c>
    </row>
    <row r="89" spans="1:6">
      <c r="B89" s="350" t="s">
        <v>217</v>
      </c>
      <c r="C89" s="380">
        <f>DCF!F6</f>
        <v>5592</v>
      </c>
      <c r="D89" s="350" t="str">
        <f>Reporting_currency</f>
        <v>CNY</v>
      </c>
    </row>
    <row r="90" spans="1:6">
      <c r="B90" s="379" t="s">
        <v>236</v>
      </c>
      <c r="C90" s="394">
        <f>C89*scaling_factor*Exchange_Rate/Common_Shares</f>
        <v>0.12865890871383007</v>
      </c>
      <c r="D90" s="350" t="str">
        <f>Market_currency</f>
        <v>HKD</v>
      </c>
    </row>
    <row r="92" spans="1:6">
      <c r="B92" s="379" t="s">
        <v>483</v>
      </c>
      <c r="C92" s="394">
        <f>DCF!F8</f>
        <v>-1.5404327459079157</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0.44983337281348612</v>
      </c>
      <c r="D111" s="350" t="str">
        <f>Market_currency</f>
        <v>HKD</v>
      </c>
    </row>
    <row r="112" spans="1:6">
      <c r="A112" s="392"/>
      <c r="B112" s="379" t="s">
        <v>377</v>
      </c>
      <c r="C112" s="401">
        <f>DCF!C11</f>
        <v>30.73790227594078</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33.34 HKD</v>
      </c>
      <c r="F118" s="406">
        <f>DCF!F82</f>
        <v>0.05</v>
      </c>
    </row>
    <row r="119" spans="1:6">
      <c r="A119" s="392"/>
      <c r="B119" s="407" t="str">
        <f>DCF!B83</f>
        <v>Optimistic</v>
      </c>
      <c r="C119" s="408">
        <f>DCF!C83</f>
        <v>0.02</v>
      </c>
      <c r="D119" s="409">
        <f>DCF!D83</f>
        <v>5</v>
      </c>
      <c r="E119" s="405" t="str">
        <f>ROUND(DCF!E83,2)&amp;" "&amp;Market_currency</f>
        <v>30.45 HKD</v>
      </c>
      <c r="F119" s="410">
        <f>DCF!F83</f>
        <v>0.24000000000000002</v>
      </c>
    </row>
    <row r="120" spans="1:6">
      <c r="B120" s="407" t="str">
        <f>DCF!B84</f>
        <v>Base</v>
      </c>
      <c r="C120" s="408">
        <f>DCF!C84</f>
        <v>0.01</v>
      </c>
      <c r="D120" s="409">
        <f>DCF!D84</f>
        <v>5</v>
      </c>
      <c r="E120" s="405" t="str">
        <f>ROUND(DCF!E84,2)&amp;" "&amp;Market_currency</f>
        <v>29.09 HKD</v>
      </c>
      <c r="F120" s="410">
        <f>DCF!F84</f>
        <v>0.47999999999999993</v>
      </c>
    </row>
    <row r="121" spans="1:6">
      <c r="B121" s="407" t="str">
        <f>DCF!B85</f>
        <v>Pessimistic</v>
      </c>
      <c r="C121" s="408">
        <f>DCF!C85</f>
        <v>-0.05</v>
      </c>
      <c r="D121" s="409">
        <f>DCF!D85</f>
        <v>5</v>
      </c>
      <c r="E121" s="405" t="str">
        <f>ROUND(DCF!E85,2)&amp;" "&amp;Market_currency</f>
        <v>21.88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522</v>
      </c>
      <c r="C124" s="469"/>
      <c r="D124" s="469"/>
      <c r="E124" s="469"/>
      <c r="F124" s="469"/>
    </row>
    <row r="125" spans="1:6">
      <c r="B125" s="379" t="s">
        <v>218</v>
      </c>
      <c r="C125" s="411">
        <f>Scenarios!C36</f>
        <v>24.78797122466743</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1.26</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2.3056129858987506</v>
      </c>
      <c r="D140" s="416">
        <f>Scenarios!D62</f>
        <v>11.42302821413246</v>
      </c>
      <c r="E140" s="417">
        <f>Scenarios!E62</f>
        <v>13.728641200031211</v>
      </c>
      <c r="F140" s="418">
        <f>E22</f>
        <v>0.29465259038036606</v>
      </c>
    </row>
    <row r="141" spans="1:6">
      <c r="B141" s="415" t="s">
        <v>313</v>
      </c>
      <c r="C141" s="416">
        <f>Scenarios!C63</f>
        <v>2.6510449735590389</v>
      </c>
      <c r="D141" s="416">
        <f>Scenarios!D63</f>
        <v>14.317961718219459</v>
      </c>
      <c r="E141" s="417">
        <f>Scenarios!E63</f>
        <v>16.9690066917785</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3.0398799386826978</v>
      </c>
      <c r="D144" s="416">
        <f>Scenarios!D66</f>
        <v>17.767035997032245</v>
      </c>
      <c r="E144" s="417">
        <f>Scenarios!E66</f>
        <v>20.806915935714944</v>
      </c>
      <c r="F144" s="418">
        <f>E24</f>
        <v>0.1174</v>
      </c>
    </row>
    <row r="145" spans="1:6">
      <c r="B145" s="415" t="s">
        <v>314</v>
      </c>
      <c r="C145" s="416">
        <f>Scenarios!C67</f>
        <v>3.2915927862380006</v>
      </c>
      <c r="D145" s="416">
        <f>Scenarios!D67</f>
        <v>20.093198782625521</v>
      </c>
      <c r="E145" s="417">
        <f>Scenarios!E67</f>
        <v>23.38479156886352</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