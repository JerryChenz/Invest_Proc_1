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588181-FBA3-4557-B50A-CAF5941465D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<sst xmlns="http://schemas.openxmlformats.org/spreadsheetml/2006/main" count="837" uniqueCount="561">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</sst>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18.559999999999999</v>
      </c>
      <c r="D12" s="50"/>
      <c r="E12" s="48"/>
    </row>
    <row r="13" spans="1:10">
      <c r="B13" s="1" t="s">
        <v>486</v>
      </c>
      <c r="C13" s="32" t="str">
        <f>Market_currency</f>
        <v>HKD</v>
      </c>
      <c r="D13" s="48"/>
      <c r="E13" s="5"/>
    </row>
    <row r="14" spans="1:10">
      <c r="B14" s="4" t="s">
        <v>487</v>
      </c>
      <c r="C14" s="35">
        <f>投资主题!C12*Common_Shares/1000000</f>
        <v>882155.94594303996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28.425442169027864</v>
      </c>
      <c r="D26" s="1" t="s">
        <v>447</v>
      </c>
      <c r="E26" s="301">
        <f ca="1">Scenarios!C87</f>
        <v>0.212257410041504</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13.690105032374277</v>
      </c>
      <c r="D29" s="310" t="str">
        <f>D149</f>
        <v/>
      </c>
      <c r="E29" s="306" t="s">
        <v>456</v>
      </c>
      <c r="F29" s="362">
        <f>Thesis!F29</f>
        <v>0.35</v>
      </c>
    </row>
    <row r="30" spans="2:6">
      <c r="B30" s="1" t="s">
        <v>451</v>
      </c>
      <c r="C30" s="311">
        <f>C157</f>
        <v>17.013346390542267</v>
      </c>
      <c r="D30" s="311" t="str">
        <f>D157</f>
        <v/>
      </c>
      <c r="E30" s="307" t="s">
        <v>455</v>
      </c>
      <c r="F30" s="224">
        <f>Thesis!F30</f>
        <v>0.25</v>
      </c>
    </row>
    <row r="31" spans="2:6">
      <c r="B31" s="1" t="s">
        <v>452</v>
      </c>
      <c r="C31" s="311">
        <f>C165</f>
        <v>26.158022549181624</v>
      </c>
      <c r="D31" s="311" t="str">
        <f>D165</f>
        <v/>
      </c>
      <c r="E31" s="307" t="s">
        <v>492</v>
      </c>
      <c r="F31" s="224">
        <f>Thesis!F31</f>
        <v>7.4999999999999997E-2</v>
      </c>
    </row>
    <row r="32" spans="2:6">
      <c r="B32" s="1" t="s">
        <v>453</v>
      </c>
      <c r="C32" s="311">
        <f>C173</f>
        <v>23.414111039374653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0.11143802711986091</v>
      </c>
      <c r="F69" s="314"/>
    </row>
    <row r="70" spans="1:6">
      <c r="B70" s="227" t="s">
        <v>435</v>
      </c>
      <c r="C70" s="92">
        <f>Normalized_FCF!C94</f>
        <v>6.7887931034482762E-2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27.577197111261587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2.1138504374180882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2.317543904092334</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0.1176286096684642</v>
      </c>
      <c r="D114" s="1" t="str">
        <f>Market_currency</f>
        <v>HKD</v>
      </c>
    </row>
    <row r="116" spans="1:6">
      <c r="B116" s="371" t="s">
        <v>517</v>
      </c>
      <c r="C116" s="371"/>
      <c r="D116" s="371"/>
      <c r="E116" s="371"/>
      <c r="F116" s="371"/>
    </row>
    <row r="118" spans="1:6">
      <c r="B118" s="47" t="s">
        <v>518</v>
      </c>
      <c r="C118" s="223">
        <f>IF(valuation_method="DCF",DCF!C12,DDM!C7)</f>
        <v>27.898519187604293</v>
      </c>
      <c r="D118" s="1" t="str">
        <f>Market_currency</f>
        <v>HKD</v>
      </c>
    </row>
    <row r="119" spans="1:6">
      <c r="B119" s="296" t="s">
        <v>551</v>
      </c>
      <c r="C119" s="223">
        <f>BS!D47</f>
        <v>-0.45828963949177526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28.425442169027864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11.553296619022653</v>
      </c>
    </row>
    <row r="149" spans="2:4">
      <c r="B149" s="80" t="s">
        <v>256</v>
      </c>
      <c r="C149" s="215">
        <f>Scenarios!C83</f>
        <v>13.690105032374277</v>
      </c>
      <c r="D149" s="300" t="str">
        <f>IF($D$11="","",C149*$E$25)</f>
        <v/>
      </c>
    </row>
    <row r="150" spans="2:4">
      <c r="B150" s="259" t="s">
        <v>533</v>
      </c>
      <c r="C150" s="298" t="str">
        <f>Market_currency</f>
        <v>HKD</v>
      </c>
      <c r="D150" s="298" t="str">
        <f>IF($D$11="","",D$13)</f>
        <v/>
      </c>
    </row>
    <row r="151" spans="2:4">
      <c r="B151" s="214" t="s">
        <v>534</v>
      </c>
      <c r="C151" s="92">
        <f>Scenarios!F83</f>
        <v>0.518385502995239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14.553826390542266</v>
      </c>
    </row>
    <row r="157" spans="2:4">
      <c r="B157" s="80" t="s">
        <v>256</v>
      </c>
      <c r="C157" s="215">
        <f>Scenarios!C93</f>
        <v>17.013346390542267</v>
      </c>
      <c r="D157" s="300" t="str">
        <f>IF($D$11="","",C157*$E$25)</f>
        <v/>
      </c>
    </row>
    <row r="158" spans="2:4">
      <c r="B158" s="259" t="s">
        <v>533</v>
      </c>
      <c r="C158" s="298" t="str">
        <f>Market_currency</f>
        <v>HKD</v>
      </c>
      <c r="D158" s="298" t="str">
        <f>IF($D$11="","",D$13)</f>
        <v/>
      </c>
    </row>
    <row r="159" spans="2:4">
      <c r="B159" s="214" t="s">
        <v>534</v>
      </c>
      <c r="C159" s="92">
        <f>Scenarios!F93</f>
        <v>0.40147469687982995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22.881360116942954</v>
      </c>
    </row>
    <row r="165" spans="2:4">
      <c r="B165" s="80" t="s">
        <v>382</v>
      </c>
      <c r="C165" s="215">
        <f>Scenarios!C99</f>
        <v>26.158022549181624</v>
      </c>
      <c r="D165" s="300" t="str">
        <f>IF($D$11="","",C165*$E$25)</f>
        <v/>
      </c>
    </row>
    <row r="166" spans="2:4">
      <c r="B166" s="259" t="s">
        <v>533</v>
      </c>
      <c r="C166" s="298" t="str">
        <f>Market_currency</f>
        <v>HKD</v>
      </c>
      <c r="D166" s="298" t="str">
        <f>IF($D$11="","",D$13)</f>
        <v/>
      </c>
    </row>
    <row r="167" spans="2:4">
      <c r="B167" s="214" t="s">
        <v>534</v>
      </c>
      <c r="C167" s="92">
        <f>Scenarios!F99</f>
        <v>7.976725942778129E-2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20.374231100691954</v>
      </c>
    </row>
    <row r="173" spans="2:4">
      <c r="B173" s="80" t="s">
        <v>382</v>
      </c>
      <c r="C173" s="215">
        <f>Scenarios!C105</f>
        <v>23.414111039374653</v>
      </c>
      <c r="D173" s="300" t="str">
        <f>IF($D$11="","",C173*$E$25)</f>
        <v/>
      </c>
    </row>
    <row r="174" spans="2:4">
      <c r="B174" s="259" t="s">
        <v>533</v>
      </c>
      <c r="C174" s="298" t="str">
        <f>Market_currency</f>
        <v>HKD</v>
      </c>
      <c r="D174" s="298" t="str">
        <f>IF($D$11="","",D$13)</f>
        <v/>
      </c>
    </row>
    <row r="175" spans="2:4">
      <c r="B175" s="214" t="s">
        <v>534</v>
      </c>
      <c r="C175" s="92">
        <f>Scenarios!F105</f>
        <v>0.20967420554284277</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18.559999999999999</v>
      </c>
      <c r="D12" s="50">
        <v>25.72</v>
      </c>
      <c r="E12" s="48"/>
    </row>
    <row r="13" spans="1:10">
      <c r="B13" s="1" t="s">
        <v>465</v>
      </c>
      <c r="C13" s="48" t="s">
        <v>377</v>
      </c>
      <c r="D13" s="48" t="s">
        <v>394</v>
      </c>
      <c r="E13" s="5"/>
    </row>
    <row r="14" spans="1:10">
      <c r="B14" s="4" t="s">
        <v>466</v>
      </c>
      <c r="C14" s="35">
        <f>Thesis!C12*Common_Shares/1000000</f>
        <v>882155.94594303996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1.0934214200000001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0.91456046288173132</v>
      </c>
    </row>
    <row r="26" spans="2:6">
      <c r="B26" s="1" t="str">
        <f>"Expected Equity Value ("&amp;C13&amp;") :"</f>
        <v>Expected Equity Value (HKD) :</v>
      </c>
      <c r="C26" s="304">
        <f>C132</f>
        <v>28.425442169027864</v>
      </c>
      <c r="D26" s="1" t="s">
        <v>380</v>
      </c>
      <c r="E26" s="301">
        <f ca="1">Scenarios!C87</f>
        <v>0.212257410041504</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13.690105032374277</v>
      </c>
      <c r="D29" s="310">
        <f>D149</f>
        <v>12.520428795307737</v>
      </c>
      <c r="E29" s="306" t="s">
        <v>401</v>
      </c>
      <c r="F29" s="302">
        <v>0.35</v>
      </c>
    </row>
    <row r="30" spans="2:6">
      <c r="B30" s="1" t="s">
        <v>403</v>
      </c>
      <c r="C30" s="311">
        <f>C157</f>
        <v>17.013346390542267</v>
      </c>
      <c r="D30" s="311">
        <f>D157</f>
        <v>15.559733950101569</v>
      </c>
      <c r="E30" s="307" t="s">
        <v>414</v>
      </c>
      <c r="F30" s="312">
        <v>0.25</v>
      </c>
    </row>
    <row r="31" spans="2:6">
      <c r="B31" s="1" t="s">
        <v>404</v>
      </c>
      <c r="C31" s="311">
        <f>C165</f>
        <v>26.158022549181624</v>
      </c>
      <c r="D31" s="311">
        <f>D165</f>
        <v>23.923093210650311</v>
      </c>
      <c r="E31" s="307" t="s">
        <v>413</v>
      </c>
      <c r="F31" s="312">
        <v>7.4999999999999997E-2</v>
      </c>
    </row>
    <row r="32" spans="2:6">
      <c r="B32" s="1" t="s">
        <v>405</v>
      </c>
      <c r="C32" s="311">
        <f>C173</f>
        <v>23.414111039374653</v>
      </c>
      <c r="D32" s="311">
        <f>D173</f>
        <v>21.413620230134736</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0.11143802711986091</v>
      </c>
      <c r="F69" s="314"/>
    </row>
    <row r="70" spans="1:6">
      <c r="B70" s="227" t="s">
        <v>435</v>
      </c>
      <c r="C70" s="92">
        <f>Normalized_FCF!C94</f>
        <v>6.7887931034482762E-2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27.577197111261587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2.1138504374180882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2.317543904092334</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0.1176286096684642</v>
      </c>
      <c r="D114" s="1" t="str">
        <f>Market_currency</f>
        <v>HKD</v>
      </c>
    </row>
    <row r="116" spans="1:6" ht="24.6" customHeight="1">
      <c r="B116" s="371" t="s">
        <v>352</v>
      </c>
      <c r="C116" s="371"/>
      <c r="D116" s="371"/>
      <c r="E116" s="371"/>
      <c r="F116" s="371"/>
    </row>
    <row r="118" spans="1:6">
      <c r="B118" s="47" t="s">
        <v>426</v>
      </c>
      <c r="C118" s="223">
        <f>IF(valuation_method="DCF",DCF!C12,DDM!C7)</f>
        <v>27.898519187604293</v>
      </c>
      <c r="D118" s="1" t="str">
        <f>Market_currency</f>
        <v>HKD</v>
      </c>
    </row>
    <row r="119" spans="1:6">
      <c r="B119" s="296" t="s">
        <v>550</v>
      </c>
      <c r="C119" s="223">
        <f>BS!D47</f>
        <v>-0.45828963949177526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28.425442169027864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11.553296619022653</v>
      </c>
    </row>
    <row r="149" spans="2:4">
      <c r="B149" s="80" t="s">
        <v>256</v>
      </c>
      <c r="C149" s="215">
        <f>Scenarios!C83</f>
        <v>13.690105032374277</v>
      </c>
      <c r="D149" s="300">
        <f>IF($D$11="","",C149*$E$25)</f>
        <v>12.520428795307737</v>
      </c>
    </row>
    <row r="150" spans="2:4">
      <c r="B150" s="259" t="s">
        <v>396</v>
      </c>
      <c r="C150" s="298" t="str">
        <f>Market_currency</f>
        <v>HKD</v>
      </c>
      <c r="D150" s="298" t="str">
        <f>IF($D$11="","",D$13)</f>
        <v>CNY</v>
      </c>
    </row>
    <row r="151" spans="2:4">
      <c r="B151" s="214" t="s">
        <v>258</v>
      </c>
      <c r="C151" s="92">
        <f>Scenarios!F83</f>
        <v>0.518385502995239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14.553826390542266</v>
      </c>
    </row>
    <row r="157" spans="2:4">
      <c r="B157" s="80" t="s">
        <v>256</v>
      </c>
      <c r="C157" s="215">
        <f>Scenarios!C93</f>
        <v>17.013346390542267</v>
      </c>
      <c r="D157" s="300">
        <f>IF($D$11="","",C157*$E$25)</f>
        <v>15.559733950101569</v>
      </c>
    </row>
    <row r="158" spans="2:4">
      <c r="B158" s="259" t="s">
        <v>396</v>
      </c>
      <c r="C158" s="298" t="str">
        <f>Market_currency</f>
        <v>HKD</v>
      </c>
      <c r="D158" s="298" t="str">
        <f>IF($D$11="","",D$13)</f>
        <v>CNY</v>
      </c>
    </row>
    <row r="159" spans="2:4">
      <c r="B159" s="214" t="s">
        <v>258</v>
      </c>
      <c r="C159" s="92">
        <f>Scenarios!F93</f>
        <v>0.40147469687982995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22.881360116942954</v>
      </c>
    </row>
    <row r="165" spans="2:4">
      <c r="B165" s="80" t="s">
        <v>382</v>
      </c>
      <c r="C165" s="215">
        <f>Scenarios!C99</f>
        <v>26.158022549181624</v>
      </c>
      <c r="D165" s="300">
        <f>IF($D$11="","",C165*$E$25)</f>
        <v>23.923093210650311</v>
      </c>
    </row>
    <row r="166" spans="2:4">
      <c r="B166" s="259" t="s">
        <v>396</v>
      </c>
      <c r="C166" s="298" t="str">
        <f>Market_currency</f>
        <v>HKD</v>
      </c>
      <c r="D166" s="298" t="str">
        <f>IF($D$11="","",D$13)</f>
        <v>CNY</v>
      </c>
    </row>
    <row r="167" spans="2:4">
      <c r="B167" s="214" t="s">
        <v>258</v>
      </c>
      <c r="C167" s="92">
        <f>Scenarios!F99</f>
        <v>7.976725942778129E-2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20.374231100691954</v>
      </c>
    </row>
    <row r="173" spans="2:4">
      <c r="B173" s="80" t="s">
        <v>382</v>
      </c>
      <c r="C173" s="215">
        <f>Scenarios!C105</f>
        <v>23.414111039374653</v>
      </c>
      <c r="D173" s="300">
        <f>IF($D$11="","",C173*$E$25)</f>
        <v>21.413620230134736</v>
      </c>
    </row>
    <row r="174" spans="2:4">
      <c r="B174" s="259" t="s">
        <v>396</v>
      </c>
      <c r="C174" s="298" t="str">
        <f>Market_currency</f>
        <v>HKD</v>
      </c>
      <c r="D174" s="298" t="str">
        <f>IF($D$11="","",D$13)</f>
        <v>CNY</v>
      </c>
    </row>
    <row r="175" spans="2:4">
      <c r="B175" s="214" t="s">
        <v>258</v>
      </c>
      <c r="C175" s="92">
        <f>Scenarios!F105</f>
        <v>0.20967420554284277</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17.197260404529661</v>
      </c>
      <c r="D47" s="147">
        <f>D46*H1/Common_Shares*Exchange_Rate</f>
        <v>-0.45828963949177526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-100471.21401954001</v>
      </c>
      <c r="D86" s="223">
        <f>C86*scaling_factor/Common_Shares</f>
        <v>-2.1138504374180882</v>
      </c>
      <c r="E86" s="240" t="str">
        <f>Market_currency</f>
        <v>HKD</v>
      </c>
    </row>
    <row r="87" spans="2:8" ht="15" customHeight="1">
      <c r="B87" s="238" t="s">
        <v>282</v>
      </c>
      <c r="C87" s="76">
        <f>DCF!C8*Exchange_Rate</f>
        <v>110152.75511740835</v>
      </c>
      <c r="D87" s="223">
        <f>C87*scaling_factor/Common_Shares</f>
        <v>2.3175439040923345</v>
      </c>
      <c r="E87" s="240" t="str">
        <f>Market_currency</f>
        <v>HKD</v>
      </c>
    </row>
    <row r="88" spans="2:8" ht="15" customHeight="1">
      <c r="B88" s="239" t="s">
        <v>185</v>
      </c>
      <c r="C88" s="76">
        <f>DCF!C9*Exchange_Rate</f>
        <v>5590.8824047440003</v>
      </c>
      <c r="D88" s="223">
        <f>C88*scaling_factor/Common_Shares</f>
        <v>0.1176286096684642</v>
      </c>
      <c r="E88" s="240" t="str">
        <f>Market_currency</f>
        <v>HKD</v>
      </c>
    </row>
    <row r="89" spans="2:8" ht="15" customHeight="1">
      <c r="B89" s="80" t="s">
        <v>286</v>
      </c>
      <c r="C89" s="180">
        <f>SUM(C86:C88)</f>
        <v>15272.423502612335</v>
      </c>
      <c r="D89" s="242">
        <f>SUM(D86:D88)</f>
        <v>0.32132207634271048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6.7887931034482762E-2</v>
      </c>
      <c r="E94" s="268"/>
      <c r="G94" s="23">
        <f t="shared" ref="G94:Q94" si="39">IF(G$4="","",(G90*(1-dividend_tax_rate))/Market_Price)</f>
        <v>6.7887931034482762E-2</v>
      </c>
      <c r="H94" s="23">
        <f t="shared" si="39"/>
        <v>6.0614224137931036E-2</v>
      </c>
      <c r="I94" s="23">
        <f t="shared" si="39"/>
        <v>7.03125E-2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2.0682897833446185</v>
      </c>
      <c r="D125" s="27"/>
      <c r="E125" s="265"/>
      <c r="F125" s="27"/>
      <c r="G125" s="177">
        <f t="shared" ref="G125:Q125" si="49">IF(G$4="","",G16*$C$3/Common_Shares*Exchange_Rate)</f>
        <v>3.2519352470918044</v>
      </c>
      <c r="H125" s="177">
        <f t="shared" si="49"/>
        <v>2.8390045060023485</v>
      </c>
      <c r="I125" s="177">
        <f t="shared" si="49"/>
        <v>3.2370888028705562</v>
      </c>
      <c r="J125" s="177">
        <f t="shared" si="49"/>
        <v>1.7491511430791213</v>
      </c>
      <c r="K125" s="177">
        <f t="shared" si="49"/>
        <v>0.64324097220190046</v>
      </c>
      <c r="L125" s="177">
        <f t="shared" si="49"/>
        <v>1.3799768535644794</v>
      </c>
      <c r="M125" s="177">
        <f t="shared" si="49"/>
        <v>1.1695145350029317</v>
      </c>
      <c r="N125" s="177">
        <f t="shared" si="49"/>
        <v>6.8866982189494061</v>
      </c>
      <c r="O125" s="177">
        <f t="shared" si="49"/>
        <v>6.4777172632492661</v>
      </c>
      <c r="P125" s="177">
        <f t="shared" si="49"/>
        <v>6.5243481777055701</v>
      </c>
      <c r="Q125" s="177" t="str">
        <f t="shared" si="49"/>
        <v/>
      </c>
    </row>
    <row r="126" spans="1:17" ht="15.75" customHeight="1">
      <c r="A126" s="10"/>
      <c r="B126" s="27" t="s">
        <v>264</v>
      </c>
      <c r="C126" s="77">
        <f>C19*Exchange_Rate*$C$3/(Market_Price*Common_Shares)</f>
        <v>0.11143802711986091</v>
      </c>
      <c r="D126" s="27"/>
      <c r="E126" s="265"/>
      <c r="F126" s="27"/>
      <c r="G126" s="77">
        <f t="shared" ref="G126" si="50">IF(G$4="","",G125/Market_Price)</f>
        <v>0.17521202839934291</v>
      </c>
      <c r="H126" s="77">
        <f t="shared" ref="H126" si="51">IF(H$4="","",H125/Market_Price)</f>
        <v>0.15296360484926447</v>
      </c>
      <c r="I126" s="77">
        <f t="shared" ref="I126" si="52">IF(I$4="","",I125/Market_Price)</f>
        <v>0.17441211222362912</v>
      </c>
      <c r="J126" s="77">
        <f t="shared" ref="J126" si="53">IF(J$4="","",J125/Market_Price)</f>
        <v>9.4243057277969902E-2</v>
      </c>
      <c r="K126" s="77">
        <f t="shared" ref="K126" si="54">IF(K$4="","",K125/Market_Price)</f>
        <v>3.4657379967774814E-2</v>
      </c>
      <c r="L126" s="77">
        <f t="shared" ref="L126" si="55">IF(L$4="","",L125/Market_Price)</f>
        <v>7.4352201161879281E-2</v>
      </c>
      <c r="M126" s="77">
        <f t="shared" ref="M126" si="56">IF(M$4="","",M125/Market_Price)</f>
        <v>6.3012636584209691E-2</v>
      </c>
      <c r="N126" s="77">
        <f t="shared" ref="N126" si="57">IF(N$4="","",N125/Market_Price)</f>
        <v>0.37105055058994646</v>
      </c>
      <c r="O126" s="77">
        <f t="shared" ref="O126" si="58">IF(O$4="","",O125/Market_Price)</f>
        <v>0.34901493875265444</v>
      </c>
      <c r="P126" s="77">
        <f t="shared" ref="P126" si="59">IF(P$4="","",P125/Market_Price)</f>
        <v>0.35152738026430874</v>
      </c>
      <c r="Q126" s="77" t="str">
        <f t="shared" ref="Q126" si="60">IF(Q$4="","",Q125/Market_Price)</f>
        <v/>
      </c>
    </row>
    <row r="127" spans="1:17" ht="15.75" customHeight="1">
      <c r="B127" s="2" t="s">
        <v>375</v>
      </c>
      <c r="C127" s="169"/>
      <c r="G127" s="23">
        <f>IF(G$4="","",(Data!C47*$C$3)/(Market_Price*Common_Shares))</f>
        <v>0.15641452130382102</v>
      </c>
      <c r="H127" s="23">
        <f>IF(H$4="","",(Data!D47*$C$3)/(Market_Price*Common_Shares))</f>
        <v>0.14066673876731131</v>
      </c>
      <c r="I127" s="23">
        <f>IF(I$4="","",(Data!E47*$C$3)/(Market_Price*Common_Shares))</f>
        <v>0.16060312312302655</v>
      </c>
      <c r="J127" s="23">
        <f>IF(J$4="","",(Data!F47*$C$3)/(Market_Price*Common_Shares))</f>
        <v>7.9699060379670852E-2</v>
      </c>
      <c r="K127" s="23">
        <f>IF(K$4="","",(Data!G47*$C$3)/(Market_Price*Common_Shares))</f>
        <v>2.8289405648478583E-2</v>
      </c>
      <c r="L127" s="23">
        <f>IF(L$4="","",(Data!H47*$C$3)/(Market_Price*Common_Shares))</f>
        <v>6.9200303280551323E-2</v>
      </c>
      <c r="M127" s="23">
        <f>IF(M$4="","",(Data!I47*$C$3)/(Market_Price*Common_Shares))</f>
        <v>5.9712074199861714E-2</v>
      </c>
      <c r="N127" s="23">
        <f>IF(N$4="","",(Data!J47*$C$3)/(Market_Price*Common_Shares))</f>
        <v>7.9684323756220338E-2</v>
      </c>
      <c r="O127" s="23">
        <f>IF(O$4="","",(Data!K47*$C$3)/(Market_Price*Common_Shares))</f>
        <v>6.7074308428252155E-2</v>
      </c>
      <c r="P127" s="23">
        <f>IF(P$4="","",(Data!L47*$C$3)/(Market_Price*Common_Shares))</f>
        <v>4.9136436929711307E-2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27.898519187604293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29.625897577412182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27.898519187604293</v>
      </c>
      <c r="C65" s="124">
        <f>C12</f>
        <v>27.898519187604293</v>
      </c>
      <c r="D65" s="124">
        <f>C12</f>
        <v>27.898519187604293</v>
      </c>
      <c r="E65" s="141">
        <f>C12</f>
        <v>27.898519187604293</v>
      </c>
      <c r="F65" s="124">
        <f>C12</f>
        <v>27.898519187604293</v>
      </c>
      <c r="H65" s="120"/>
    </row>
    <row r="66" spans="1:8" ht="13.15">
      <c r="A66" s="143">
        <f t="shared" ref="A66:A71" si="3">A56</f>
        <v>5</v>
      </c>
      <c r="B66" s="124">
        <f t="shared" ref="B66:F71" si="4">(B56-$C$7+$C$8+$C$9)/Common_Shares*$C$3*Exchange_Rate</f>
        <v>22.047720473109628</v>
      </c>
      <c r="C66" s="124">
        <f t="shared" si="4"/>
        <v>27.470488488425918</v>
      </c>
      <c r="D66" s="124">
        <f t="shared" si="4"/>
        <v>28.332646802567442</v>
      </c>
      <c r="E66" s="124">
        <f t="shared" si="4"/>
        <v>28.773005988029031</v>
      </c>
      <c r="F66" s="124">
        <f t="shared" si="4"/>
        <v>30.599526015433689</v>
      </c>
      <c r="H66" s="120"/>
    </row>
    <row r="67" spans="1:8" ht="13.15">
      <c r="A67" s="143">
        <f t="shared" si="3"/>
        <v>10</v>
      </c>
      <c r="B67" s="124">
        <f t="shared" si="4"/>
        <v>18.761739600968355</v>
      </c>
      <c r="C67" s="124">
        <f t="shared" si="4"/>
        <v>27.08681446953452</v>
      </c>
      <c r="D67" s="124">
        <f t="shared" si="4"/>
        <v>28.748880434571713</v>
      </c>
      <c r="E67" s="124">
        <f t="shared" si="4"/>
        <v>29.640171862460598</v>
      </c>
      <c r="F67" s="124">
        <f t="shared" si="4"/>
        <v>33.664659901796753</v>
      </c>
      <c r="H67" s="120"/>
    </row>
    <row r="68" spans="1:8" ht="13.15">
      <c r="A68" s="143">
        <f t="shared" si="3"/>
        <v>15</v>
      </c>
      <c r="B68" s="124">
        <f t="shared" si="4"/>
        <v>15.826316231268876</v>
      </c>
      <c r="C68" s="124">
        <f t="shared" si="4"/>
        <v>26.63566394983777</v>
      </c>
      <c r="D68" s="124">
        <f t="shared" si="4"/>
        <v>29.262779632772183</v>
      </c>
      <c r="E68" s="124">
        <f t="shared" si="4"/>
        <v>30.738105410164266</v>
      </c>
      <c r="F68" s="124">
        <f t="shared" si="4"/>
        <v>37.97746766073152</v>
      </c>
      <c r="H68" s="120"/>
    </row>
    <row r="69" spans="1:8" ht="13.15">
      <c r="A69" s="144">
        <f t="shared" si="3"/>
        <v>20</v>
      </c>
      <c r="B69" s="124">
        <f t="shared" si="4"/>
        <v>13.581796163020057</v>
      </c>
      <c r="C69" s="124">
        <f t="shared" si="4"/>
        <v>26.199592678599686</v>
      </c>
      <c r="D69" s="124">
        <f t="shared" si="4"/>
        <v>29.784705366457111</v>
      </c>
      <c r="E69" s="124">
        <f t="shared" si="4"/>
        <v>31.88271904592607</v>
      </c>
      <c r="F69" s="124">
        <f t="shared" si="4"/>
        <v>43.01159786902263</v>
      </c>
      <c r="H69" s="120"/>
    </row>
    <row r="70" spans="1:8" ht="13.15">
      <c r="A70" s="144">
        <f t="shared" si="3"/>
        <v>25</v>
      </c>
      <c r="B70" s="124">
        <f t="shared" si="4"/>
        <v>11.95659688814615</v>
      </c>
      <c r="C70" s="124">
        <f t="shared" si="4"/>
        <v>25.815148431262287</v>
      </c>
      <c r="D70" s="124">
        <f t="shared" si="4"/>
        <v>30.268294260382483</v>
      </c>
      <c r="E70" s="124">
        <f t="shared" si="4"/>
        <v>32.972127052226554</v>
      </c>
      <c r="F70" s="124">
        <f t="shared" si="4"/>
        <v>48.41044073278816</v>
      </c>
    </row>
    <row r="71" spans="1:8" ht="13.15">
      <c r="A71" s="144">
        <f t="shared" si="3"/>
        <v>30</v>
      </c>
      <c r="B71" s="124">
        <f t="shared" si="4"/>
        <v>10.805462511766255</v>
      </c>
      <c r="C71" s="124">
        <f t="shared" si="4"/>
        <v>25.493906437852139</v>
      </c>
      <c r="D71" s="124">
        <f t="shared" si="4"/>
        <v>30.693020194735993</v>
      </c>
      <c r="E71" s="124">
        <f t="shared" si="4"/>
        <v>33.955618613693794</v>
      </c>
      <c r="F71" s="124">
        <f t="shared" si="4"/>
        <v>53.934941296212351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37.97746766073152</v>
      </c>
      <c r="F74" s="142">
        <f>Scenarios!C58</f>
        <v>0.05</v>
      </c>
    </row>
    <row r="75" spans="1:8">
      <c r="B75" s="127" t="str">
        <f>Scenarios!B36</f>
        <v>Optimistic</v>
      </c>
      <c r="C75" s="142">
        <f>Scenarios!C38</f>
        <v>0.02</v>
      </c>
      <c r="D75" s="145">
        <f>Scenarios!C37</f>
        <v>10</v>
      </c>
      <c r="E75" s="135">
        <f>INDEX(B$65:F$71, MATCH(D75, A$65:A$71, 0), MATCH(C75, B$64:F$64, 0))</f>
        <v>29.640171862460598</v>
      </c>
      <c r="F75" s="142">
        <f>Scenarios!C40*(1-F$74-F$78)</f>
        <v>0.18</v>
      </c>
      <c r="H75" s="120"/>
    </row>
    <row r="76" spans="1:8">
      <c r="B76" s="127" t="str">
        <f>Scenarios!B24</f>
        <v>Base</v>
      </c>
      <c r="C76" s="142">
        <f>Scenarios!C26</f>
        <v>0.01</v>
      </c>
      <c r="D76" s="145">
        <f>Scenarios!C25</f>
        <v>10</v>
      </c>
      <c r="E76" s="135">
        <f>INDEX(B$65:F$71, MATCH(D76, A$65:A$71, 0), MATCH(C76, B$64:F$64, 0))</f>
        <v>28.748880434571713</v>
      </c>
      <c r="F76" s="142">
        <f>Scenarios!C28*(1-F$74-F$78)</f>
        <v>0.53999999999999992</v>
      </c>
      <c r="H76" s="120"/>
    </row>
    <row r="77" spans="1:8">
      <c r="B77" s="127" t="str">
        <f>Scenarios!B30</f>
        <v>Pessimistic</v>
      </c>
      <c r="C77" s="142">
        <f>Scenarios!C32</f>
        <v>-0.01</v>
      </c>
      <c r="D77" s="145">
        <f>Scenarios!C31</f>
        <v>10</v>
      </c>
      <c r="E77" s="135">
        <f>INDEX(B$65:F$71, MATCH(D77, A$65:A$71, 0), MATCH(C77, B$64:F$64, 0))</f>
        <v>27.08681446953452</v>
      </c>
      <c r="F77" s="142">
        <f>Scenarios!C34*(1-F$74-F$78)</f>
        <v>0.18</v>
      </c>
      <c r="H77" s="120"/>
    </row>
    <row r="78" spans="1:8">
      <c r="B78" s="127" t="str">
        <f>Scenarios!B48</f>
        <v>Devil's advocate</v>
      </c>
      <c r="C78" s="142">
        <f>Scenarios!C50</f>
        <v>-0.15</v>
      </c>
      <c r="D78" s="145">
        <f>Scenarios!C49</f>
        <v>15</v>
      </c>
      <c r="E78" s="135">
        <f>INDEX(B$65:F$71, MATCH(D78, A$65:A$71, 0), MATCH(C78, B$64:F$64, 0))</f>
        <v>15.826316231268876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18.369479856000002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18.369479856000002</v>
      </c>
      <c r="C60" s="124">
        <f>C7</f>
        <v>18.369479856000002</v>
      </c>
      <c r="D60" s="124">
        <f>C7</f>
        <v>18.369479856000002</v>
      </c>
      <c r="E60" s="141">
        <f>C7</f>
        <v>18.369479856000002</v>
      </c>
      <c r="F60" s="124">
        <f>C7</f>
        <v>18.369479856000002</v>
      </c>
      <c r="H60" s="120"/>
    </row>
    <row r="61" spans="1:8" ht="13.15">
      <c r="A61" s="143">
        <f t="shared" ref="A61:A66" si="3">A51</f>
        <v>5</v>
      </c>
      <c r="B61" s="124">
        <f t="shared" ref="B61:F66" si="4">B51/Common_Shares*$C$3*Exchange_Rate</f>
        <v>14.472197304267043</v>
      </c>
      <c r="C61" s="124">
        <f t="shared" si="4"/>
        <v>18.084363813402046</v>
      </c>
      <c r="D61" s="124">
        <f t="shared" si="4"/>
        <v>18.658657122486684</v>
      </c>
      <c r="E61" s="124">
        <f t="shared" si="4"/>
        <v>18.951985307874956</v>
      </c>
      <c r="F61" s="124">
        <f t="shared" si="4"/>
        <v>20.16865075486082</v>
      </c>
      <c r="H61" s="120"/>
    </row>
    <row r="62" spans="1:8" ht="13.15">
      <c r="A62" s="143">
        <f t="shared" si="3"/>
        <v>10</v>
      </c>
      <c r="B62" s="124">
        <f t="shared" si="4"/>
        <v>12.283368642874516</v>
      </c>
      <c r="C62" s="124">
        <f t="shared" si="4"/>
        <v>17.828794252330955</v>
      </c>
      <c r="D62" s="124">
        <f t="shared" si="4"/>
        <v>18.935915006514705</v>
      </c>
      <c r="E62" s="124">
        <f t="shared" si="4"/>
        <v>19.529614208952662</v>
      </c>
      <c r="F62" s="124">
        <f t="shared" si="4"/>
        <v>22.210370765575629</v>
      </c>
      <c r="H62" s="120"/>
    </row>
    <row r="63" spans="1:8" ht="13.15">
      <c r="A63" s="143">
        <f t="shared" si="3"/>
        <v>15</v>
      </c>
      <c r="B63" s="124">
        <f t="shared" si="4"/>
        <v>10.328050260046329</v>
      </c>
      <c r="C63" s="124">
        <f t="shared" si="4"/>
        <v>17.528277838347421</v>
      </c>
      <c r="D63" s="124">
        <f t="shared" si="4"/>
        <v>19.278229018024714</v>
      </c>
      <c r="E63" s="124">
        <f t="shared" si="4"/>
        <v>20.26096004175788</v>
      </c>
      <c r="F63" s="124">
        <f t="shared" si="4"/>
        <v>25.083180316557897</v>
      </c>
      <c r="H63" s="120"/>
    </row>
    <row r="64" spans="1:8" ht="13.15">
      <c r="A64" s="144">
        <f t="shared" si="3"/>
        <v>20</v>
      </c>
      <c r="B64" s="124">
        <f t="shared" si="4"/>
        <v>8.8329503043206881</v>
      </c>
      <c r="C64" s="124">
        <f t="shared" si="4"/>
        <v>17.237805880647368</v>
      </c>
      <c r="D64" s="124">
        <f t="shared" si="4"/>
        <v>19.625889594716821</v>
      </c>
      <c r="E64" s="124">
        <f t="shared" si="4"/>
        <v>21.023400004028126</v>
      </c>
      <c r="F64" s="124">
        <f t="shared" si="4"/>
        <v>28.436470829752256</v>
      </c>
      <c r="H64" s="120"/>
    </row>
    <row r="65" spans="1:8" ht="13.15">
      <c r="A65" s="144">
        <f t="shared" si="3"/>
        <v>25</v>
      </c>
      <c r="B65" s="124">
        <f t="shared" si="4"/>
        <v>7.7503868653557202</v>
      </c>
      <c r="C65" s="124">
        <f t="shared" si="4"/>
        <v>16.981723261781958</v>
      </c>
      <c r="D65" s="124">
        <f t="shared" si="4"/>
        <v>19.948013573078637</v>
      </c>
      <c r="E65" s="124">
        <f t="shared" si="4"/>
        <v>21.749066878219985</v>
      </c>
      <c r="F65" s="124">
        <f t="shared" si="4"/>
        <v>32.032700527481431</v>
      </c>
    </row>
    <row r="66" spans="1:8" ht="13.15">
      <c r="A66" s="144">
        <f t="shared" si="3"/>
        <v>30</v>
      </c>
      <c r="B66" s="124">
        <f t="shared" si="4"/>
        <v>6.9836033647285145</v>
      </c>
      <c r="C66" s="124">
        <f t="shared" si="4"/>
        <v>16.767740372112613</v>
      </c>
      <c r="D66" s="124">
        <f t="shared" si="4"/>
        <v>20.23092827481392</v>
      </c>
      <c r="E66" s="124">
        <f t="shared" si="4"/>
        <v>22.404181622261206</v>
      </c>
      <c r="F66" s="124">
        <f t="shared" si="4"/>
        <v>35.712632226299348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25.083180316557897</v>
      </c>
      <c r="F69" s="142">
        <f>Scenarios!C58</f>
        <v>0.05</v>
      </c>
    </row>
    <row r="70" spans="1:8">
      <c r="B70" s="127" t="str">
        <f>Scenarios!B36</f>
        <v>Optimistic</v>
      </c>
      <c r="C70" s="142">
        <f>Scenarios!C38</f>
        <v>0.02</v>
      </c>
      <c r="D70" s="145">
        <f>Scenarios!C37</f>
        <v>10</v>
      </c>
      <c r="E70" s="135">
        <f>INDEX(B$60:F$66, MATCH(D70, A$60:A$66, 0), MATCH(C70, B$59:F$59, 0))</f>
        <v>19.529614208952662</v>
      </c>
      <c r="F70" s="142">
        <f>Scenarios!C40*(1-F$69-F$73)</f>
        <v>0.18</v>
      </c>
      <c r="H70" s="120"/>
    </row>
    <row r="71" spans="1:8">
      <c r="B71" s="127" t="str">
        <f>Scenarios!B24</f>
        <v>Base</v>
      </c>
      <c r="C71" s="142">
        <f>Scenarios!C26</f>
        <v>0.01</v>
      </c>
      <c r="D71" s="145">
        <f>Scenarios!C25</f>
        <v>10</v>
      </c>
      <c r="E71" s="135">
        <f>INDEX(B$60:F$66, MATCH(D71, A$60:A$66, 0), MATCH(C71, B$59:F$59, 0))</f>
        <v>18.935915006514705</v>
      </c>
      <c r="F71" s="142">
        <f>Scenarios!C28*(1-F$69-F$73)</f>
        <v>0.53999999999999992</v>
      </c>
      <c r="H71" s="120"/>
    </row>
    <row r="72" spans="1:8">
      <c r="B72" s="127" t="str">
        <f>Scenarios!B30</f>
        <v>Pessimistic</v>
      </c>
      <c r="C72" s="142">
        <f>Scenarios!C32</f>
        <v>-0.01</v>
      </c>
      <c r="D72" s="145">
        <f>Scenarios!C31</f>
        <v>10</v>
      </c>
      <c r="E72" s="135">
        <f>INDEX(B$60:F$66, MATCH(D72, A$60:A$66, 0), MATCH(C72, B$59:F$59, 0))</f>
        <v>17.828794252330955</v>
      </c>
      <c r="F72" s="142">
        <f>Scenarios!C34*(1-F$69-F$73)</f>
        <v>0.18</v>
      </c>
      <c r="H72" s="120"/>
    </row>
    <row r="73" spans="1:8">
      <c r="B73" s="127" t="str">
        <f>Scenarios!B48</f>
        <v>Devil's advocate</v>
      </c>
      <c r="C73" s="142">
        <f>Scenarios!C50</f>
        <v>-0.15</v>
      </c>
      <c r="D73" s="145">
        <f>Scenarios!C49</f>
        <v>15</v>
      </c>
      <c r="E73" s="135">
        <f>INDEX(B$60:F$66, MATCH(D73, A$60:A$66, 0), MATCH(C73, B$59:F$59, 0))</f>
        <v>10.328050260046329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-18.559999999999999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29.685442169027866</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18.559999999999999</v>
      </c>
      <c r="D21" t="str">
        <f>Market_currency</f>
        <v>HKD</v>
      </c>
      <c r="E21" s="381"/>
      <c r="F21" s="381"/>
    </row>
    <row r="22" spans="2:6">
      <c r="B22" s="100" t="s">
        <v>273</v>
      </c>
      <c r="C22" s="160">
        <f>IF(valuation_method="DCF",DCF!C12,DDM!C7)</f>
        <v>27.898519187604293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28.748880434571713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27.08681446953452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29.640171862460598</v>
      </c>
      <c r="D39" t="str">
        <f>Market_currency</f>
        <v>HKD</v>
      </c>
      <c r="E39" s="379"/>
      <c r="F39" s="379"/>
    </row>
    <row r="40" spans="2:6">
      <c r="B40" s="100" t="s">
        <v>143</v>
      </c>
      <c r="C40" s="167">
        <f>1-C28-C34</f>
        <v>0.2</v>
      </c>
      <c r="D40" s="165"/>
      <c r="E40" s="379"/>
      <c r="F40" s="379"/>
    </row>
    <row r="42" spans="2:6" ht="13.15">
      <c r="B42" s="100" t="s">
        <v>116</v>
      </c>
      <c r="C42" s="154">
        <f>C27*C28+C33*C34+C39*C40</f>
        <v>28.594725527142053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15.826316231268876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37.97746766073152</v>
      </c>
      <c r="D57" t="str">
        <f>Market_currency</f>
        <v>HKD</v>
      </c>
      <c r="E57" s="379"/>
      <c r="F57" s="379"/>
    </row>
    <row r="58" spans="2:6">
      <c r="B58" s="100" t="s">
        <v>143</v>
      </c>
      <c r="C58" s="165">
        <v>0.05</v>
      </c>
      <c r="D58" s="165"/>
      <c r="E58" s="379"/>
      <c r="F58" s="379"/>
    </row>
    <row r="60" spans="2:6" ht="13.15">
      <c r="B60" s="100" t="s">
        <v>116</v>
      </c>
      <c r="C60" s="154">
        <f>C51*C52+C57*C58+C42*(1-C52-C58)</f>
        <v>28.425442169027864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29.625897577412182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1.130403089007426E-2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11.553296619022653</v>
      </c>
      <c r="D82" s="116"/>
    </row>
    <row r="83" spans="2:8" ht="13.15">
      <c r="B83" s="110" t="s">
        <v>98</v>
      </c>
      <c r="C83" s="111">
        <f>C81+C82</f>
        <v>13.690105032374277</v>
      </c>
      <c r="D83" t="str">
        <f>Market_currency</f>
        <v>HKD</v>
      </c>
      <c r="E83" s="146" t="s">
        <v>122</v>
      </c>
      <c r="F83" s="291">
        <f>(1-C83/C60)</f>
        <v>0.518385502995239</v>
      </c>
    </row>
    <row r="84" spans="2:8">
      <c r="E84" s="120"/>
    </row>
    <row r="85" spans="2:8" ht="13.15">
      <c r="B85" s="109" t="s">
        <v>297</v>
      </c>
    </row>
    <row r="86" spans="2:8">
      <c r="B86" s="148" t="s">
        <v>295</v>
      </c>
      <c r="C86" s="116">
        <f>Market_Price</f>
        <v>18.559999999999999</v>
      </c>
      <c r="D86" t="str">
        <f>Market_currency</f>
        <v>HKD</v>
      </c>
    </row>
    <row r="87" spans="2:8" ht="13.15">
      <c r="B87" s="100" t="s">
        <v>293</v>
      </c>
      <c r="C87" s="237">
        <f ca="1">IRR(OFFSET($I$3, 0, 0, $C$76 + 1, 1))</f>
        <v>0.212257410041504</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14.553826390542266</v>
      </c>
      <c r="D92" s="116"/>
    </row>
    <row r="93" spans="2:8" ht="13.15">
      <c r="B93" s="110" t="s">
        <v>98</v>
      </c>
      <c r="C93" s="111">
        <f>C91+C92</f>
        <v>17.013346390542267</v>
      </c>
      <c r="D93" t="str">
        <f>Market_currency</f>
        <v>HKD</v>
      </c>
      <c r="E93" s="146" t="s">
        <v>122</v>
      </c>
      <c r="F93" s="291">
        <f>(1-C93/C60)</f>
        <v>0.40147469687982995</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22.881360116942954</v>
      </c>
      <c r="D98" s="116"/>
      <c r="G98" s="2"/>
      <c r="H98" s="281"/>
    </row>
    <row r="99" spans="2:8" ht="13.15">
      <c r="B99" s="110" t="s">
        <v>379</v>
      </c>
      <c r="C99" s="111">
        <f>C97+C98</f>
        <v>26.158022549181624</v>
      </c>
      <c r="D99" t="s">
        <v>377</v>
      </c>
      <c r="E99" s="146" t="s">
        <v>122</v>
      </c>
      <c r="F99" s="291">
        <f>(1-C99/C60)</f>
        <v>7.976725942778129E-2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20.374231100691954</v>
      </c>
      <c r="D104" s="116"/>
    </row>
    <row r="105" spans="2:8" ht="13.15">
      <c r="B105" s="110" t="s">
        <v>379</v>
      </c>
      <c r="C105" s="111">
        <f>C103+C104</f>
        <v>23.414111039374653</v>
      </c>
      <c r="D105" t="s">
        <v>377</v>
      </c>
      <c r="E105" s="146" t="s">
        <v>122</v>
      </c>
      <c r="F105" s="291">
        <f>(1-C105/C66)</f>
        <v>0.20967420554284277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