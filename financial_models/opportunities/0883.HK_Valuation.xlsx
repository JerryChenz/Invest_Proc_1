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3C2B2B4-69E0-4219-B7AE-AB6838874827}"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<sst xmlns="http://schemas.openxmlformats.org/spreadsheetml/2006/main" count="769" uniqueCount="560">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</sst>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D5" s="1" t="s">
        <v>557</v>
      </c>
      <c r="E5" s="433" t="s">
        <v>539</v>
      </c>
      <c r="F5" s="432" t="s">
        <v>497</v>
      </c>
    </row>
    <row r="6" spans="1:9">
      <c r="B6" s="2" t="s">
        <v>53</v>
      </c>
      <c r="C6" s="45" t="s">
        <v>558</v>
      </c>
      <c r="D6" s="45"/>
      <c r="E6" s="45"/>
    </row>
    <row r="7" spans="1:9">
      <c r="B7" s="1" t="s">
        <v>351</v>
      </c>
      <c r="C7" s="45" t="s">
        <v>308</v>
      </c>
      <c r="D7" s="45"/>
      <c r="E7" s="45"/>
    </row>
    <row r="8" spans="1:9">
      <c r="B8" s="4" t="s">
        <v>350</v>
      </c>
      <c r="C8" s="47">
        <v>24.82</v>
      </c>
      <c r="E8" s="32"/>
    </row>
    <row r="9" spans="1:9">
      <c r="B9" s="4" t="s">
        <v>346</v>
      </c>
      <c r="C9" s="48">
        <f>44539953984+2990000000</f>
        <v>47529953984</v>
      </c>
    </row>
    <row r="10" spans="1:9">
      <c r="B10" s="4" t="s">
        <v>352</v>
      </c>
      <c r="C10" s="33">
        <f>Thesis!C8*Common_Shares/1000000</f>
        <v>1179693.4578828802</v>
      </c>
      <c r="D10" s="1" t="s">
        <v>528</v>
      </c>
      <c r="E10" s="303">
        <f>Scenarios!F34</f>
        <v>6.3964306606605764E-2</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1.1308739082336425</v>
      </c>
    </row>
    <row r="17" spans="1:6">
      <c r="B17" s="1" t="s">
        <v>532</v>
      </c>
      <c r="C17" s="456">
        <v>0.01</v>
      </c>
      <c r="D17" s="4" t="s">
        <v>274</v>
      </c>
      <c r="E17" s="224" t="s">
        <v>559</v>
      </c>
    </row>
    <row r="18" spans="1:6">
      <c r="B18" s="1" t="str">
        <f>"Expected Equity Value ("&amp;C7&amp;") :"</f>
        <v>Expected Equity Value (HKD) :</v>
      </c>
      <c r="C18" s="252">
        <f>C125</f>
        <v>25.866985585306679</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14.225882840878791</v>
      </c>
      <c r="D22" s="38" t="s">
        <v>406</v>
      </c>
      <c r="E22" s="79">
        <v>0.29465259038036606</v>
      </c>
    </row>
    <row r="23" spans="1:6">
      <c r="B23" s="1" t="s">
        <v>313</v>
      </c>
      <c r="C23" s="256">
        <f>E141</f>
        <v>17.592264084205503</v>
      </c>
      <c r="D23" s="38" t="s">
        <v>407</v>
      </c>
      <c r="E23" s="443">
        <v>0.20075184365903009</v>
      </c>
    </row>
    <row r="24" spans="1:6">
      <c r="B24" s="1" t="s">
        <v>315</v>
      </c>
      <c r="C24" s="256">
        <f>E144</f>
        <v>21.580310692915347</v>
      </c>
      <c r="D24" s="38" t="s">
        <v>408</v>
      </c>
      <c r="E24" s="443">
        <v>0.1174</v>
      </c>
    </row>
    <row r="25" spans="1:6">
      <c r="B25" s="1" t="s">
        <v>314</v>
      </c>
      <c r="C25" s="256">
        <f>E145</f>
        <v>24.259443626554173</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1000000</v>
      </c>
    </row>
    <row r="33" spans="2:6" ht="24.5" customHeight="1">
      <c r="B33" s="463" t="s">
        <v>196</v>
      </c>
      <c r="C33" s="463"/>
      <c r="D33" s="463"/>
      <c r="E33" s="463"/>
      <c r="F33" s="463"/>
    </row>
    <row r="34" spans="2:6">
      <c r="B34" s="44" t="s">
        <v>197</v>
      </c>
      <c r="C34" s="285">
        <f>Normalized_FCF!C8</f>
        <v>137373.14402521047</v>
      </c>
      <c r="D34" s="1" t="str">
        <f>Reporting_currency</f>
        <v>CNY</v>
      </c>
    </row>
    <row r="35" spans="2:6">
      <c r="B35" s="44"/>
      <c r="C35" s="73"/>
    </row>
    <row r="36" spans="2:6" ht="24.5" customHeight="1">
      <c r="B36" s="463" t="s">
        <v>198</v>
      </c>
      <c r="C36" s="463"/>
      <c r="D36" s="463"/>
      <c r="E36" s="463"/>
      <c r="F36" s="463"/>
    </row>
    <row r="37" spans="2:6">
      <c r="B37" s="44" t="s">
        <v>199</v>
      </c>
      <c r="C37" s="285">
        <f>Normalized_FCF!C15</f>
        <v>74606</v>
      </c>
      <c r="D37" s="1" t="str">
        <f>Reporting_currency</f>
        <v>CNY</v>
      </c>
    </row>
    <row r="38" spans="2:6">
      <c r="B38" s="49" t="s">
        <v>200</v>
      </c>
      <c r="C38" s="285">
        <f>Normalized_FCF!C16</f>
        <v>-84101.200000000012</v>
      </c>
      <c r="D38" s="1" t="str">
        <f>Reporting_currency</f>
        <v>CNY</v>
      </c>
    </row>
    <row r="40" spans="2:6">
      <c r="B40" s="463" t="s">
        <v>201</v>
      </c>
      <c r="C40" s="463"/>
      <c r="D40" s="463"/>
      <c r="E40" s="463"/>
      <c r="F40" s="463"/>
    </row>
    <row r="41" spans="2:6">
      <c r="B41" s="44" t="s">
        <v>202</v>
      </c>
      <c r="C41" s="285">
        <f>Normalized_FCF!C9</f>
        <v>1836</v>
      </c>
      <c r="D41" s="1" t="str">
        <f>Reporting_currency</f>
        <v>CNY</v>
      </c>
    </row>
    <row r="43" spans="2:6">
      <c r="B43" s="463" t="s">
        <v>205</v>
      </c>
      <c r="C43" s="463"/>
      <c r="D43" s="463"/>
      <c r="E43" s="463"/>
      <c r="F43" s="463"/>
    </row>
    <row r="44" spans="2:6">
      <c r="B44" s="44" t="s">
        <v>267</v>
      </c>
      <c r="C44" s="286">
        <f>Normalized_FCF!C46</f>
        <v>1341.7740000000001</v>
      </c>
      <c r="D44" s="1" t="str">
        <f>Reporting_currency</f>
        <v>CNY</v>
      </c>
      <c r="E44" s="244"/>
      <c r="F44" s="244"/>
    </row>
    <row r="45" spans="2:6">
      <c r="B45" s="44" t="s">
        <v>268</v>
      </c>
      <c r="C45" s="286">
        <f>Normalized_FCF!C45</f>
        <v>-4352.7</v>
      </c>
      <c r="D45" s="1" t="str">
        <f>Reporting_currency</f>
        <v>CNY</v>
      </c>
      <c r="E45" s="244"/>
      <c r="F45" s="244"/>
    </row>
    <row r="46" spans="2:6">
      <c r="B46" s="44" t="s">
        <v>203</v>
      </c>
      <c r="C46" s="285">
        <f>Normalized_FCF!C10</f>
        <v>-3010.9259999999995</v>
      </c>
      <c r="D46" s="1" t="str">
        <f>Reporting_currency</f>
        <v>CNY</v>
      </c>
    </row>
    <row r="48" spans="2:6">
      <c r="B48" s="1" t="s">
        <v>211</v>
      </c>
    </row>
    <row r="49" spans="2:6">
      <c r="B49" s="44" t="s">
        <v>223</v>
      </c>
      <c r="C49" s="285">
        <f>Normalized_FCF!C13</f>
        <v>-249.31046136785329</v>
      </c>
      <c r="D49" s="1" t="str">
        <f>Reporting_currency</f>
        <v>CNY</v>
      </c>
    </row>
    <row r="51" spans="2:6">
      <c r="B51" s="463" t="s">
        <v>206</v>
      </c>
      <c r="C51" s="463"/>
      <c r="D51" s="463"/>
      <c r="E51" s="463"/>
      <c r="F51" s="463"/>
    </row>
    <row r="52" spans="2:6">
      <c r="B52" s="44" t="s">
        <v>204</v>
      </c>
      <c r="C52" s="285">
        <f>Normalized_FCF!C12</f>
        <v>-34049.554506302615</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144352</v>
      </c>
      <c r="D60" s="1" t="str">
        <f>Reporting_currency</f>
        <v>CNY</v>
      </c>
    </row>
    <row r="61" spans="2:6">
      <c r="B61" s="44" t="s">
        <v>213</v>
      </c>
      <c r="C61" s="285">
        <f>Normalized_FCF!C19</f>
        <v>101899.35305753999</v>
      </c>
      <c r="D61" s="1" t="str">
        <f>Reporting_currency</f>
        <v>CNY</v>
      </c>
    </row>
    <row r="62" spans="2:6">
      <c r="B62" s="204" t="s">
        <v>302</v>
      </c>
      <c r="C62" s="89">
        <f>Normalized_FCF!C124</f>
        <v>9.768242662417187E-2</v>
      </c>
      <c r="F62" s="257"/>
    </row>
    <row r="63" spans="2:6">
      <c r="B63" s="204" t="s">
        <v>332</v>
      </c>
      <c r="C63" s="89">
        <f>Normalized_FCF!C92</f>
        <v>5.0765511684125707E-2</v>
      </c>
      <c r="E63" s="44" t="s">
        <v>322</v>
      </c>
      <c r="F63" s="258">
        <f>Normalized_FCF!C90</f>
        <v>0.65301627126155981</v>
      </c>
    </row>
    <row r="65" spans="1:6">
      <c r="B65" s="192" t="s">
        <v>325</v>
      </c>
      <c r="C65" s="264" t="s">
        <v>327</v>
      </c>
      <c r="D65" s="264" t="s">
        <v>328</v>
      </c>
    </row>
    <row r="66" spans="1:6">
      <c r="B66" s="44" t="s">
        <v>326</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-72545</v>
      </c>
      <c r="D78" s="1" t="str">
        <f>Reporting_currency</f>
        <v>CNY</v>
      </c>
    </row>
    <row r="79" spans="1:6">
      <c r="A79" s="191"/>
      <c r="B79" s="44" t="s">
        <v>234</v>
      </c>
      <c r="C79" s="201">
        <f>C78*scaling_factor*Exchange_Rate/Common_Shares</f>
        <v>-1.7260535892886928</v>
      </c>
      <c r="D79" s="1" t="str">
        <f>Market_currency</f>
        <v>HKD</v>
      </c>
    </row>
    <row r="80" spans="1:6">
      <c r="A80" s="191"/>
      <c r="B80" s="229" t="s">
        <v>309</v>
      </c>
      <c r="C80" s="337">
        <f>IF(BS!G31/BS!G27&gt;300%,"nm",BS!G31/BS!G27)</f>
        <v>9.2018392262565404E-2</v>
      </c>
    </row>
    <row r="81" spans="1:6">
      <c r="A81" s="191"/>
      <c r="B81" s="229" t="s">
        <v>311</v>
      </c>
      <c r="C81" s="338">
        <f>IF(BS!C50&gt;30,"nm",BS!C50)</f>
        <v>0.52808720739977155</v>
      </c>
    </row>
    <row r="82" spans="1:6">
      <c r="A82" s="191"/>
    </row>
    <row r="83" spans="1:6">
      <c r="A83" s="191"/>
      <c r="B83" s="1" t="s">
        <v>466</v>
      </c>
    </row>
    <row r="84" spans="1:6">
      <c r="A84" s="191"/>
      <c r="B84" s="1" t="s">
        <v>224</v>
      </c>
      <c r="C84" s="285">
        <f>DCF!F5</f>
        <v>0</v>
      </c>
      <c r="D84" s="1" t="str">
        <f>Reporting_currency</f>
        <v>CNY</v>
      </c>
    </row>
    <row r="85" spans="1:6">
      <c r="A85" s="191"/>
      <c r="B85" s="229" t="s">
        <v>222</v>
      </c>
      <c r="C85" s="291">
        <f>BS!C66</f>
        <v>223629</v>
      </c>
      <c r="D85" s="339"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5">
        <f>DCF!F6</f>
        <v>5592</v>
      </c>
      <c r="D89" s="1" t="str">
        <f>Reporting_currency</f>
        <v>CNY</v>
      </c>
    </row>
    <row r="90" spans="1:6">
      <c r="A90" s="191"/>
      <c r="B90" s="44" t="s">
        <v>236</v>
      </c>
      <c r="C90" s="201">
        <f>C89*scaling_factor*Exchange_Rate/Common_Shares</f>
        <v>0.13304971633196458</v>
      </c>
      <c r="D90" s="1" t="str">
        <f>Market_currency</f>
        <v>HKD</v>
      </c>
    </row>
    <row r="91" spans="1:6">
      <c r="A91" s="191"/>
    </row>
    <row r="92" spans="1:6">
      <c r="A92" s="191"/>
      <c r="B92" s="44" t="s">
        <v>469</v>
      </c>
      <c r="C92" s="216">
        <f>DCF!F8</f>
        <v>-1.593003872956728</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0.4651850637300769</v>
      </c>
      <c r="D111" s="1" t="str">
        <f>Market_currency</f>
        <v>HKD</v>
      </c>
    </row>
    <row r="112" spans="2:6">
      <c r="B112" s="44" t="s">
        <v>323</v>
      </c>
      <c r="C112" s="216">
        <f>DCF!C11</f>
        <v>37.586557840644325</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0.04</v>
      </c>
      <c r="D118" s="207" t="str">
        <f>ROUND(DCF!E90,2)&amp;" "&amp;Market_currency</f>
        <v>34.7 HKD</v>
      </c>
      <c r="E118" s="208">
        <f>DCF!F90</f>
        <v>0.05</v>
      </c>
      <c r="F118" s="208">
        <f>RATE(Holding_Period,Scenarios!C$58,-DCF!E90,C$18)</f>
        <v>-5.3223704346628008E-2</v>
      </c>
    </row>
    <row r="119" spans="2:6">
      <c r="B119" s="205" t="str">
        <f>DCF!B91&amp;" ("&amp;DCF!D91&amp;"yrs)"</f>
        <v>Optimistic (5yrs)</v>
      </c>
      <c r="C119" s="198">
        <f>DCF!C91</f>
        <v>0.02</v>
      </c>
      <c r="D119" s="207" t="str">
        <f>ROUND(DCF!E91,2)&amp;" "&amp;Market_currency</f>
        <v>31.72 HKD</v>
      </c>
      <c r="E119" s="199">
        <f>DCF!F91</f>
        <v>0.24000000000000002</v>
      </c>
      <c r="F119" s="208">
        <f>RATE(Holding_Period,Scenarios!C$58,-DCF!E91,C$18)</f>
        <v>-2.3211426936205981E-2</v>
      </c>
    </row>
    <row r="120" spans="2:6">
      <c r="B120" s="205" t="str">
        <f>DCF!B92&amp;" ("&amp;DCF!D92&amp;"yrs)"</f>
        <v>Base (5yrs)</v>
      </c>
      <c r="C120" s="198">
        <f>DCF!C92</f>
        <v>0.01</v>
      </c>
      <c r="D120" s="207" t="str">
        <f>ROUND(DCF!E92,2)&amp;" "&amp;Market_currency</f>
        <v>30.31 HKD</v>
      </c>
      <c r="E120" s="199">
        <f>DCF!F92</f>
        <v>0.47999999999999993</v>
      </c>
      <c r="F120" s="208">
        <f>RATE(Holding_Period,Scenarios!C$58,-DCF!E92,C$18)</f>
        <v>-7.6235975216840564E-3</v>
      </c>
    </row>
    <row r="121" spans="2:6">
      <c r="B121" s="205" t="str">
        <f>DCF!B93&amp;" ("&amp;DCF!D93&amp;"yrs)"</f>
        <v>Pessimistic (5yrs)</v>
      </c>
      <c r="C121" s="198">
        <f>DCF!C93</f>
        <v>-0.05</v>
      </c>
      <c r="D121" s="207" t="str">
        <f>ROUND(DCF!E93,2)&amp;" "&amp;Market_currency</f>
        <v>22.86 HKD</v>
      </c>
      <c r="E121" s="199">
        <f>DCF!F93</f>
        <v>0.08</v>
      </c>
      <c r="F121" s="208">
        <f>RATE(Holding_Period,Scenarios!C$58,-DCF!E93,C$18)</f>
        <v>9.502952742518618E-2</v>
      </c>
    </row>
    <row r="122" spans="2:6">
      <c r="B122" s="205" t="str">
        <f>DCF!B94&amp;" ("&amp;DCF!D94&amp;"yrs)"</f>
        <v>Devil's advocate (5yrs)</v>
      </c>
      <c r="C122" s="198">
        <f>DCF!C94</f>
        <v>-0.5</v>
      </c>
      <c r="D122" s="207" t="str">
        <f>ROUND(DCF!E94,2)&amp;" "&amp;Market_currency</f>
        <v>0.96 HKD</v>
      </c>
      <c r="E122" s="199">
        <f>DCF!F94</f>
        <v>0.15</v>
      </c>
      <c r="F122" s="208" t="e">
        <f>RATE(Holding_Period,Scenarios!C$58,-DCF!E94,C$18)</f>
        <v>#NUM!</v>
      </c>
    </row>
    <row r="124" spans="2:6">
      <c r="B124" s="463" t="s">
        <v>357</v>
      </c>
      <c r="C124" s="463"/>
      <c r="D124" s="463"/>
      <c r="E124" s="463"/>
      <c r="F124" s="463"/>
    </row>
    <row r="125" spans="2:6">
      <c r="B125" s="193" t="s">
        <v>218</v>
      </c>
      <c r="C125" s="197">
        <f>Scenarios!C36</f>
        <v>25.866985585306679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1.26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2.3056129858987506</v>
      </c>
      <c r="D140" s="333">
        <f>Scenarios!D62</f>
        <v>11.92026985498004</v>
      </c>
      <c r="E140" s="334">
        <f>Scenarios!E62</f>
        <v>14.225882840878791</v>
      </c>
      <c r="F140" s="335">
        <f>E22</f>
        <v>0.29465259038036606</v>
      </c>
    </row>
    <row r="141" spans="1:6">
      <c r="B141" s="336" t="s">
        <v>313</v>
      </c>
      <c r="C141" s="333">
        <f>Scenarios!C63</f>
        <v>2.6510449735590389</v>
      </c>
      <c r="D141" s="333">
        <f>Scenarios!D63</f>
        <v>14.941219110646463</v>
      </c>
      <c r="E141" s="334">
        <f>Scenarios!E63</f>
        <v>17.592264084205503</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3.0398799386826978</v>
      </c>
      <c r="D144" s="333">
        <f>Scenarios!D66</f>
        <v>18.540430754232649</v>
      </c>
      <c r="E144" s="334">
        <f>Scenarios!E66</f>
        <v>21.580310692915347</v>
      </c>
      <c r="F144" s="335">
        <f>E24</f>
        <v>0.1174</v>
      </c>
    </row>
    <row r="145" spans="1:6">
      <c r="B145" s="336" t="s">
        <v>314</v>
      </c>
      <c r="C145" s="333">
        <f>Scenarios!C67</f>
        <v>3.2915927862380006</v>
      </c>
      <c r="D145" s="333">
        <f>Scenarios!D67</f>
        <v>20.967850840316171</v>
      </c>
      <c r="E145" s="334">
        <f>Scenarios!E67</f>
        <v>24.259443626554173</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40</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51</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58</v>
      </c>
      <c r="C7" s="288">
        <v>3532</v>
      </c>
      <c r="D7" s="288">
        <v>3501</v>
      </c>
      <c r="E7" s="288">
        <v>3355</v>
      </c>
      <c r="F7" s="288">
        <v>2694</v>
      </c>
      <c r="G7" s="288">
        <v>3048.0317</v>
      </c>
      <c r="H7" s="288">
        <v>2798.4634999999998</v>
      </c>
      <c r="I7" s="288">
        <v>2444.741</v>
      </c>
      <c r="J7" s="288">
        <v>56055</v>
      </c>
      <c r="K7" s="288">
        <v>49550</v>
      </c>
      <c r="L7" s="288">
        <v>46872</v>
      </c>
      <c r="M7" s="288"/>
    </row>
    <row r="8" spans="2:13">
      <c r="B8" s="38" t="s">
        <v>46</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134</v>
      </c>
      <c r="C9" s="287">
        <v>1836</v>
      </c>
      <c r="D9" s="287">
        <v>1931</v>
      </c>
      <c r="E9" s="287">
        <v>1911</v>
      </c>
      <c r="F9" s="287">
        <v>346</v>
      </c>
      <c r="G9" s="287">
        <v>-632.40350000000001</v>
      </c>
      <c r="H9" s="287">
        <v>1002.7065</v>
      </c>
      <c r="I9" s="287">
        <v>-5186.9755999999998</v>
      </c>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64</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47</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39</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41</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48</v>
      </c>
      <c r="C18" s="9"/>
    </row>
    <row r="19" spans="2:13">
      <c r="B19" s="26" t="s">
        <v>44</v>
      </c>
      <c r="C19" s="287">
        <v>74606</v>
      </c>
      <c r="D19" s="287">
        <v>68947</v>
      </c>
      <c r="E19" s="287">
        <v>62852</v>
      </c>
      <c r="F19" s="287">
        <v>55963</v>
      </c>
      <c r="G19" s="287">
        <v>51078.741900000001</v>
      </c>
      <c r="H19" s="287">
        <v>56363.515599999999</v>
      </c>
      <c r="I19" s="287">
        <v>50838.249000000003</v>
      </c>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288</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287</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547</v>
      </c>
    </row>
    <row r="28" spans="2:13">
      <c r="B28" s="25" t="s">
        <v>22</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30</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38</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28</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143</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40</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55</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51</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58</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61</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46</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127</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139</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65</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47</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39</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41</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65</v>
      </c>
    </row>
    <row r="51" spans="2:13">
      <c r="B51" s="38" t="s">
        <v>37</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64</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139</v>
      </c>
    </row>
    <row r="55" spans="2:13">
      <c r="B55" s="38" t="s">
        <v>134</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48</v>
      </c>
      <c r="C60" s="9"/>
    </row>
    <row r="61" spans="2:13">
      <c r="B61" s="26" t="s">
        <v>44</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50</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82</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83</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38</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28</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87">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18.712329095881174</v>
      </c>
      <c r="D47" s="134">
        <f>D46*H1/Common_Shares*Exchange_Rate</f>
        <v>0.4651850637300769</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0.52808720739977155</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0.16387657469796255</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-24522.24463146667</v>
      </c>
      <c r="D73" s="285">
        <f>(Normalized_FCF!C26+Normalized_FCF!C35-Normalized_FCF!C89)/12</f>
        <v>-29139.565962699126</v>
      </c>
      <c r="F73" s="1" t="s">
        <v>278</v>
      </c>
    </row>
    <row r="74" spans="2:6" ht="15" customHeight="1">
      <c r="B74" s="227" t="s">
        <v>259</v>
      </c>
      <c r="C74" s="228">
        <f>-$C$66/C73</f>
        <v>9.1194343487235976</v>
      </c>
      <c r="D74" s="228">
        <f>-$C$66/D73</f>
        <v>7.6744108092159724</v>
      </c>
      <c r="F74" s="223" t="s">
        <v>257</v>
      </c>
    </row>
    <row r="75" spans="2:6" ht="15" customHeight="1">
      <c r="B75" s="77" t="s">
        <v>258</v>
      </c>
      <c r="C75" s="261"/>
      <c r="D75" s="262">
        <f>MAX(-D73*D76,G5)</f>
        <v>223629</v>
      </c>
      <c r="F75" s="223" t="s">
        <v>279</v>
      </c>
    </row>
    <row r="76" spans="2:6" ht="15" customHeight="1">
      <c r="B76" s="229" t="s">
        <v>260</v>
      </c>
      <c r="C76" s="230"/>
      <c r="D76" s="248">
        <f>D74</f>
        <v>7.6744108092159724</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-82039.247672809593</v>
      </c>
      <c r="D86" s="201">
        <f>C86*scaling_factor/Common_Shares</f>
        <v>-1.7260535892886928</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6323.8468948425289</v>
      </c>
      <c r="D88" s="201">
        <f>C88*scaling_factor/Common_Shares</f>
        <v>0.13304971633196458</v>
      </c>
      <c r="E88" s="214" t="str">
        <f>Market_currency</f>
        <v>HKD</v>
      </c>
    </row>
    <row r="89" spans="2:8" ht="15" customHeight="1">
      <c r="B89" s="77" t="s">
        <v>244</v>
      </c>
      <c r="C89" s="162">
        <f>SUM(C86:C88)</f>
        <v>-75715.400777967065</v>
      </c>
      <c r="D89" s="216">
        <f>SUM(D86:D88)</f>
        <v>-1.5930038729567282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43</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45</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42</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127</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415</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65</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137</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60</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208</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129</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62</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398</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59</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46</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43</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272</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269</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65</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135</v>
      </c>
      <c r="C60" s="279">
        <v>0</v>
      </c>
      <c r="E60" s="235" t="s">
        <v>264</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164</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5" t="s">
        <v>548</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5.0765511684125707E-2</v>
      </c>
      <c r="E92" s="237"/>
      <c r="G92" s="22">
        <f t="shared" ref="G92:Q92" si="38">IF(G$4="","",(G88*(1-dividend_tax_rate))/Market_Price)</f>
        <v>5.0765511684125707E-2</v>
      </c>
      <c r="H92" s="22">
        <f t="shared" si="38"/>
        <v>4.532634971796938E-2</v>
      </c>
      <c r="I92" s="22">
        <f t="shared" si="38"/>
        <v>5.2578565672844475E-2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179</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28</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304</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2.4244778288119462</v>
      </c>
      <c r="D123" s="26"/>
      <c r="E123" s="234"/>
      <c r="F123" s="26"/>
      <c r="G123" s="159">
        <f t="shared" ref="G123:Q123" si="48">IF(G$4="","",G14*$C$3/Common_Shares*Exchange_Rate)</f>
        <v>3.4345480421945189</v>
      </c>
      <c r="H123" s="159">
        <f t="shared" si="48"/>
        <v>3.0109398251747947</v>
      </c>
      <c r="I123" s="159">
        <f t="shared" si="48"/>
        <v>3.3942905099996539</v>
      </c>
      <c r="J123" s="159">
        <f t="shared" si="48"/>
        <v>1.8299094569190619</v>
      </c>
      <c r="K123" s="159">
        <f t="shared" si="48"/>
        <v>0.68817041867193607</v>
      </c>
      <c r="L123" s="159">
        <f t="shared" si="48"/>
        <v>1.4438279575972166</v>
      </c>
      <c r="M123" s="159">
        <f t="shared" si="48"/>
        <v>1.2219781386812305</v>
      </c>
      <c r="N123" s="159">
        <f t="shared" si="48"/>
        <v>7.1225852971574124</v>
      </c>
      <c r="O123" s="159">
        <f t="shared" si="48"/>
        <v>6.6995956946986022</v>
      </c>
      <c r="P123" s="159">
        <f t="shared" si="48"/>
        <v>6.7478238375821658</v>
      </c>
      <c r="Q123" s="159" t="str">
        <f t="shared" si="48"/>
        <v/>
      </c>
    </row>
    <row r="124" spans="1:17" ht="15.75" customHeight="1">
      <c r="A124" s="10"/>
      <c r="B124" s="26" t="s">
        <v>226</v>
      </c>
      <c r="C124" s="74">
        <f>C19*Exchange_Rate*$C$3/(Market_Price*Common_Shares)</f>
        <v>9.768242662417187E-2</v>
      </c>
      <c r="D124" s="26"/>
      <c r="E124" s="234"/>
      <c r="F124" s="26"/>
      <c r="G124" s="74">
        <f t="shared" ref="G124" si="49">IF(G$4="","",G123/Market_Price)</f>
        <v>0.13837824505215629</v>
      </c>
      <c r="H124" s="74">
        <f t="shared" ref="H124" si="50">IF(H$4="","",H123/Market_Price)</f>
        <v>0.12131103244056385</v>
      </c>
      <c r="I124" s="74">
        <f t="shared" ref="I124" si="51">IF(I$4="","",I123/Market_Price)</f>
        <v>0.13675626551167017</v>
      </c>
      <c r="J124" s="74">
        <f t="shared" ref="J124" si="52">IF(J$4="","",J123/Market_Price)</f>
        <v>7.3727214219140288E-2</v>
      </c>
      <c r="K124" s="74">
        <f t="shared" ref="K124" si="53">IF(K$4="","",K123/Market_Price)</f>
        <v>2.772644716647607E-2</v>
      </c>
      <c r="L124" s="74">
        <f t="shared" ref="L124" si="54">IF(L$4="","",L123/Market_Price)</f>
        <v>5.8171956389895911E-2</v>
      </c>
      <c r="M124" s="74">
        <f t="shared" ref="M124" si="55">IF(M$4="","",M123/Market_Price)</f>
        <v>4.9233607521403322E-2</v>
      </c>
      <c r="N124" s="74">
        <f t="shared" ref="N124" si="56">IF(N$4="","",N123/Market_Price)</f>
        <v>0.28696959295557667</v>
      </c>
      <c r="O124" s="74">
        <f t="shared" ref="O124" si="57">IF(O$4="","",O123/Market_Price)</f>
        <v>0.26992730437947632</v>
      </c>
      <c r="P124" s="74">
        <f t="shared" ref="P124" si="58">IF(P$4="","",P123/Market_Price)</f>
        <v>0.2718704205311106</v>
      </c>
      <c r="Q124" s="74" t="str">
        <f t="shared" ref="Q124" si="59">IF(Q$4="","",Q123/Market_Price)</f>
        <v/>
      </c>
    </row>
    <row r="125" spans="1:17" ht="15.75" customHeight="1">
      <c r="B125" s="2" t="s">
        <v>306</v>
      </c>
      <c r="C125" s="151"/>
      <c r="G125" s="22">
        <f>IF(G$4="","",(Data!C47*$C$3)/(Market_Price*Common_Shares))</f>
        <v>0.11696428345684599</v>
      </c>
      <c r="H125" s="22">
        <f>IF(H$4="","",(Data!D47*$C$3)/(Market_Price*Common_Shares))</f>
        <v>0.10518834292994753</v>
      </c>
      <c r="I125" s="22">
        <f>IF(I$4="","",(Data!E47*$C$3)/(Market_Price*Common_Shares))</f>
        <v>0.12009645306862902</v>
      </c>
      <c r="J125" s="22">
        <f>IF(J$4="","",(Data!F47*$C$3)/(Market_Price*Common_Shares))</f>
        <v>5.9597685763363856E-2</v>
      </c>
      <c r="K125" s="22">
        <f>IF(K$4="","",(Data!G47*$C$3)/(Market_Price*Common_Shares))</f>
        <v>2.1154366189998483E-2</v>
      </c>
      <c r="L125" s="22">
        <f>IF(L$4="","",(Data!H47*$C$3)/(Market_Price*Common_Shares))</f>
        <v>5.1746882711000496E-2</v>
      </c>
      <c r="M125" s="22">
        <f>IF(M$4="","",(Data!I47*$C$3)/(Market_Price*Common_Shares))</f>
        <v>4.4651736387970715E-2</v>
      </c>
      <c r="N125" s="22">
        <f>IF(N$4="","",(Data!J47*$C$3)/(Market_Price*Common_Shares))</f>
        <v>5.958666595146854E-2</v>
      </c>
      <c r="O125" s="22">
        <f>IF(O$4="","",(Data!K47*$C$3)/(Market_Price*Common_Shares))</f>
        <v>5.0157097680433513E-2</v>
      </c>
      <c r="P125" s="22">
        <f>IF(P$4="","",(Data!L47*$C$3)/(Market_Price*Common_Shares))</f>
        <v>3.6743443570324004E-2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101899.35305753999</v>
      </c>
      <c r="D4" t="str">
        <f>Reporting_currency</f>
        <v>CNY</v>
      </c>
      <c r="E4" s="135" t="s">
        <v>431</v>
      </c>
      <c r="F4" s="275">
        <f>-BS!G31</f>
        <v>-72545</v>
      </c>
      <c r="G4" t="str">
        <f>Reporting_currency</f>
        <v>CNY</v>
      </c>
      <c r="H4" s="308" t="s">
        <v>394</v>
      </c>
      <c r="I4" s="305">
        <f>Normalized_FCF!C4</f>
        <v>420506</v>
      </c>
      <c r="J4" s="305"/>
    </row>
    <row r="5" spans="2:15">
      <c r="B5" s="187" t="s">
        <v>105</v>
      </c>
      <c r="C5" s="188">
        <f>Equity_Cost</f>
        <v>7.2499999999999995E-2</v>
      </c>
      <c r="E5" s="135" t="s">
        <v>432</v>
      </c>
      <c r="F5" s="275">
        <f>BS!D66</f>
        <v>0</v>
      </c>
      <c r="G5" t="str">
        <f>Reporting_currency</f>
        <v>CNY</v>
      </c>
      <c r="H5" s="308" t="s">
        <v>395</v>
      </c>
      <c r="I5" s="305">
        <f>Normalized_FCF!C7</f>
        <v>-7213</v>
      </c>
      <c r="J5" s="305"/>
    </row>
    <row r="6" spans="2:15" ht="13.25" customHeight="1">
      <c r="B6" s="136" t="s">
        <v>194</v>
      </c>
      <c r="C6" s="283">
        <f>(C4*(1+Terminal_Growth))/(Equity_Cost-Terminal_Growth)</f>
        <v>1646693.5454098466</v>
      </c>
      <c r="D6" t="str">
        <f>Reporting_currency</f>
        <v>CNY</v>
      </c>
      <c r="E6" s="187" t="s">
        <v>433</v>
      </c>
      <c r="F6" s="284">
        <f>BS!H42</f>
        <v>5592</v>
      </c>
      <c r="G6" t="str">
        <f>Reporting_currency</f>
        <v>CNY</v>
      </c>
      <c r="H6" s="308" t="s">
        <v>416</v>
      </c>
      <c r="I6" s="305">
        <f>I7+I8</f>
        <v>-1174.9259999999995</v>
      </c>
      <c r="J6" s="305"/>
      <c r="N6" s="135"/>
    </row>
    <row r="7" spans="2:15" ht="12.75" customHeight="1">
      <c r="B7" s="318" t="s">
        <v>430</v>
      </c>
      <c r="C7" s="275">
        <f>F7</f>
        <v>-66953</v>
      </c>
      <c r="E7" s="140" t="s">
        <v>424</v>
      </c>
      <c r="F7" s="283">
        <f>SUM(F4:F6)</f>
        <v>-66953</v>
      </c>
      <c r="G7" t="str">
        <f>Reporting_currency</f>
        <v>CNY</v>
      </c>
      <c r="H7" s="312" t="s">
        <v>417</v>
      </c>
      <c r="I7" s="313">
        <f>Normalized_FCF!C9</f>
        <v>1836</v>
      </c>
      <c r="J7" s="313"/>
      <c r="N7" s="304"/>
      <c r="O7" s="304"/>
    </row>
    <row r="8" spans="2:15" ht="13.15">
      <c r="B8" s="136" t="s">
        <v>426</v>
      </c>
      <c r="C8" s="283">
        <f>C6+C7</f>
        <v>1579740.5454098466</v>
      </c>
      <c r="D8" t="str">
        <f>Reporting_currency</f>
        <v>CNY</v>
      </c>
      <c r="E8" s="140" t="s">
        <v>464</v>
      </c>
      <c r="F8" s="108">
        <f>FV_adjustments*scaling_factor/Common_Shares*Exchange_Rate</f>
        <v>-1.593003872956728</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1.1308739082336425</v>
      </c>
      <c r="D9" t="str">
        <f>Thesis!E15</f>
        <v>CNY/HKD</v>
      </c>
      <c r="F9" s="322"/>
      <c r="H9" s="308" t="str">
        <f>Normalized_FCF!B79</f>
        <v>NCI’s Share of Profits</v>
      </c>
      <c r="I9" s="144">
        <f>Normalized_FCF!C79</f>
        <v>5.9288205487639486E-4</v>
      </c>
      <c r="J9" s="306"/>
      <c r="N9" s="304"/>
      <c r="O9" s="304"/>
    </row>
    <row r="10" spans="2:15" ht="13.5" thickTop="1">
      <c r="B10" s="107" t="s">
        <v>427</v>
      </c>
      <c r="C10" s="283">
        <f>C8*Exchange_Rate</f>
        <v>1786487.3645827794</v>
      </c>
      <c r="D10" t="str">
        <f>Market_currency</f>
        <v>HKD</v>
      </c>
      <c r="H10" s="308" t="s">
        <v>397</v>
      </c>
      <c r="I10" s="306">
        <f>Normalized_FCF!C41</f>
        <v>0.25</v>
      </c>
      <c r="N10" s="304"/>
      <c r="O10" s="304"/>
    </row>
    <row r="11" spans="2:15" ht="13.15">
      <c r="B11" s="136" t="s">
        <v>425</v>
      </c>
      <c r="C11" s="108">
        <f>(C10*scaling_factor)/Common_Shares</f>
        <v>37.586557840644325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0.01</v>
      </c>
      <c r="J15" s="126"/>
    </row>
    <row r="16" spans="2:15" ht="13.25" customHeight="1">
      <c r="B16" s="114" t="s">
        <v>422</v>
      </c>
      <c r="C16" s="147">
        <f>Scenarios!C46</f>
        <v>-2.4244845658407801E-2</v>
      </c>
      <c r="E16" s="308" t="s">
        <v>400</v>
      </c>
      <c r="F16" s="311">
        <f>Scenarios!C41</f>
        <v>-2.4244845658407801E-2</v>
      </c>
    </row>
    <row r="17" spans="1:21" ht="13.25" customHeight="1">
      <c r="B17" s="308" t="s">
        <v>549</v>
      </c>
      <c r="C17" s="306">
        <f>Normalized_FCF!C77</f>
        <v>0.32389125963769949</v>
      </c>
      <c r="E17" s="308" t="s">
        <v>550</v>
      </c>
      <c r="F17" s="311">
        <f>Scenarios!C40</f>
        <v>0.32389125963769955</v>
      </c>
      <c r="H17" s="106" t="s">
        <v>412</v>
      </c>
    </row>
    <row r="18" spans="1:21" ht="13.25" customHeight="1">
      <c r="B18" s="308" t="s">
        <v>423</v>
      </c>
      <c r="C18" s="306">
        <f>Normalized_FCF!C81-Normalized_FCF!C82</f>
        <v>-2.2580415023804673E-2</v>
      </c>
      <c r="E18" s="308" t="s">
        <v>423</v>
      </c>
      <c r="F18" s="144">
        <f>IF(F14="II",C18/2,C18)</f>
        <v>-2.2580415023804673E-2</v>
      </c>
      <c r="H18" s="140" t="s">
        <v>97</v>
      </c>
      <c r="I18" s="129">
        <f>(L52+FV_adjustments)*Exchange_Rate/Common_Shares*scaling_factor</f>
        <v>25.850896606464179</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8" t="s">
        <v>420</v>
      </c>
      <c r="K52" s="468"/>
      <c r="L52" s="317">
        <f>SUM(L21:L51)</f>
        <v>1153450.7228712682</v>
      </c>
    </row>
    <row r="53" spans="1:21">
      <c r="C53" s="111"/>
    </row>
    <row r="54" spans="1:21" ht="13.15">
      <c r="B54" s="115" t="s">
        <v>108</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37.586557840644325</v>
      </c>
      <c r="C73" s="119">
        <f>C11</f>
        <v>37.586557840644325</v>
      </c>
      <c r="D73" s="119">
        <f>C11</f>
        <v>37.586557840644325</v>
      </c>
      <c r="E73" s="119">
        <f>C11</f>
        <v>37.586557840644325</v>
      </c>
      <c r="F73" s="119">
        <f>C11</f>
        <v>37.586557840644325</v>
      </c>
      <c r="G73" s="296"/>
      <c r="H73" s="296"/>
      <c r="I73" s="296"/>
      <c r="J73" s="296"/>
      <c r="K73" s="296"/>
      <c r="L73" s="296"/>
    </row>
    <row r="74" spans="1:21" ht="13.15">
      <c r="A74" s="131">
        <v>1</v>
      </c>
      <c r="B74" s="119">
        <f t="shared" ref="B74:F87" si="11">(B56+FV_adjustments)/Common_Shares*scaling_factor*Exchange_Rate</f>
        <v>13.710852562618301</v>
      </c>
      <c r="C74" s="119">
        <f t="shared" si="11"/>
        <v>27.48432335463583</v>
      </c>
      <c r="D74" s="119">
        <f t="shared" si="11"/>
        <v>29.320786126904839</v>
      </c>
      <c r="E74" s="119">
        <f t="shared" si="11"/>
        <v>29.626863255616339</v>
      </c>
      <c r="F74" s="119">
        <f t="shared" si="11"/>
        <v>30.239017513039332</v>
      </c>
      <c r="G74" s="296"/>
      <c r="H74" s="296"/>
      <c r="I74" s="296"/>
      <c r="J74" s="296"/>
      <c r="K74" s="296"/>
      <c r="L74" s="296"/>
    </row>
    <row r="75" spans="1:21" ht="13.15">
      <c r="A75" s="131">
        <v>2</v>
      </c>
      <c r="B75" s="119">
        <f t="shared" si="11"/>
        <v>6.5666307315846169</v>
      </c>
      <c r="C75" s="119">
        <f t="shared" si="11"/>
        <v>26.110579034102262</v>
      </c>
      <c r="D75" s="119">
        <f t="shared" si="11"/>
        <v>29.58972180437474</v>
      </c>
      <c r="E75" s="119">
        <f t="shared" si="11"/>
        <v>30.189555994767279</v>
      </c>
      <c r="F75" s="119">
        <f t="shared" si="11"/>
        <v>31.406347571564215</v>
      </c>
      <c r="G75" s="296"/>
      <c r="H75" s="296"/>
      <c r="I75" s="296"/>
      <c r="J75" s="296"/>
      <c r="K75" s="296"/>
      <c r="L75" s="296"/>
    </row>
    <row r="76" spans="1:21" ht="13.15">
      <c r="A76" s="131">
        <v>3</v>
      </c>
      <c r="B76" s="119">
        <f t="shared" si="11"/>
        <v>3.235991183317164</v>
      </c>
      <c r="C76" s="119">
        <f t="shared" si="11"/>
        <v>24.893742573023584</v>
      </c>
      <c r="D76" s="119">
        <f t="shared" si="11"/>
        <v>29.842985239567835</v>
      </c>
      <c r="E76" s="119">
        <f t="shared" si="11"/>
        <v>30.724704334099663</v>
      </c>
      <c r="F76" s="119">
        <f t="shared" si="11"/>
        <v>32.53830399195197</v>
      </c>
      <c r="G76" s="296"/>
      <c r="H76" s="296"/>
      <c r="I76" s="296"/>
      <c r="J76" s="296"/>
      <c r="K76" s="296"/>
      <c r="L76" s="296"/>
    </row>
    <row r="77" spans="1:21" ht="13.15">
      <c r="A77" s="131">
        <v>4</v>
      </c>
      <c r="B77" s="119">
        <f t="shared" si="11"/>
        <v>1.6832454731691675</v>
      </c>
      <c r="C77" s="119">
        <f t="shared" si="11"/>
        <v>23.815892094678834</v>
      </c>
      <c r="D77" s="119">
        <f t="shared" si="11"/>
        <v>30.081489733316115</v>
      </c>
      <c r="E77" s="119">
        <f t="shared" si="11"/>
        <v>31.233656600877289</v>
      </c>
      <c r="F77" s="119">
        <f t="shared" si="11"/>
        <v>33.635958702631008</v>
      </c>
      <c r="G77" s="296"/>
      <c r="H77" s="296"/>
      <c r="I77" s="296"/>
      <c r="J77" s="296"/>
      <c r="K77" s="296"/>
      <c r="L77" s="296"/>
    </row>
    <row r="78" spans="1:21" ht="13.15">
      <c r="A78" s="131">
        <v>5</v>
      </c>
      <c r="B78" s="119">
        <f t="shared" si="11"/>
        <v>0.95935469920739735</v>
      </c>
      <c r="C78" s="119">
        <f t="shared" si="11"/>
        <v>22.861152743231276</v>
      </c>
      <c r="D78" s="119">
        <f t="shared" si="11"/>
        <v>30.306095363792352</v>
      </c>
      <c r="E78" s="119">
        <f t="shared" si="11"/>
        <v>31.717695120330148</v>
      </c>
      <c r="F78" s="119">
        <f t="shared" si="11"/>
        <v>34.70035114935007</v>
      </c>
      <c r="G78" s="296"/>
      <c r="H78" s="296"/>
      <c r="I78" s="296"/>
      <c r="J78" s="296"/>
      <c r="K78" s="296"/>
      <c r="L78" s="296"/>
    </row>
    <row r="79" spans="1:21" ht="13.15">
      <c r="A79" s="131">
        <v>6</v>
      </c>
      <c r="B79" s="119">
        <f t="shared" si="11"/>
        <v>0.62187648290820363</v>
      </c>
      <c r="C79" s="119">
        <f t="shared" si="11"/>
        <v>22.01546287481618</v>
      </c>
      <c r="D79" s="119">
        <f t="shared" si="11"/>
        <v>30.517612088063675</v>
      </c>
      <c r="E79" s="119">
        <f t="shared" si="11"/>
        <v>32.17803944652308</v>
      </c>
      <c r="F79" s="119">
        <f t="shared" si="11"/>
        <v>35.732489279501898</v>
      </c>
      <c r="G79" s="296"/>
      <c r="H79" s="296"/>
      <c r="I79" s="296"/>
      <c r="J79" s="296"/>
      <c r="K79" s="296"/>
      <c r="L79" s="296"/>
    </row>
    <row r="80" spans="1:21" ht="13.15">
      <c r="A80" s="131">
        <f t="shared" ref="A80" si="12">A62</f>
        <v>7</v>
      </c>
      <c r="B80" s="119">
        <f t="shared" si="11"/>
        <v>0.46454398113701822</v>
      </c>
      <c r="C80" s="119">
        <f t="shared" si="11"/>
        <v>21.266366954075544</v>
      </c>
      <c r="D80" s="119">
        <f t="shared" si="11"/>
        <v>30.716802662901944</v>
      </c>
      <c r="E80" s="119">
        <f t="shared" si="11"/>
        <v>32.615849435070203</v>
      </c>
      <c r="F80" s="119">
        <f t="shared" si="11"/>
        <v>36.733350496618819</v>
      </c>
      <c r="G80" s="296"/>
      <c r="H80" s="296"/>
      <c r="I80" s="296"/>
      <c r="J80" s="296"/>
      <c r="K80" s="296"/>
      <c r="L80" s="296"/>
    </row>
    <row r="81" spans="1:12" ht="13.15">
      <c r="A81" s="131">
        <v>8</v>
      </c>
      <c r="B81" s="119">
        <f t="shared" si="11"/>
        <v>0.39119549546280574</v>
      </c>
      <c r="C81" s="119">
        <f t="shared" si="11"/>
        <v>20.602832105867048</v>
      </c>
      <c r="D81" s="119">
        <f t="shared" si="11"/>
        <v>30.904385395383667</v>
      </c>
      <c r="E81" s="119">
        <f t="shared" si="11"/>
        <v>33.032228165436692</v>
      </c>
      <c r="F81" s="119">
        <f t="shared" si="11"/>
        <v>37.703882585944307</v>
      </c>
      <c r="G81" s="296"/>
      <c r="H81" s="296"/>
      <c r="I81" s="296"/>
      <c r="J81" s="296"/>
      <c r="K81" s="296"/>
      <c r="L81" s="296"/>
    </row>
    <row r="82" spans="1:12" ht="13.15">
      <c r="A82" s="131">
        <f t="shared" ref="A82" si="13">A64</f>
        <v>9</v>
      </c>
      <c r="B82" s="119">
        <f t="shared" si="11"/>
        <v>0.35700039724638966</v>
      </c>
      <c r="C82" s="119">
        <f t="shared" si="11"/>
        <v>20.015085620274441</v>
      </c>
      <c r="D82" s="119">
        <f t="shared" si="11"/>
        <v>31.081036733198616</v>
      </c>
      <c r="E82" s="119">
        <f t="shared" si="11"/>
        <v>33.428224720190848</v>
      </c>
      <c r="F82" s="119">
        <f t="shared" si="11"/>
        <v>38.645004611956914</v>
      </c>
      <c r="G82" s="296"/>
      <c r="H82" s="296"/>
      <c r="I82" s="296"/>
      <c r="J82" s="296"/>
      <c r="K82" s="296"/>
      <c r="L82" s="296"/>
    </row>
    <row r="83" spans="1:12" ht="13.15">
      <c r="A83" s="131">
        <f t="shared" ref="A83:A87" si="14">A65</f>
        <v>10</v>
      </c>
      <c r="B83" s="119">
        <f t="shared" si="11"/>
        <v>0.34105862651612584</v>
      </c>
      <c r="C83" s="119">
        <f t="shared" si="11"/>
        <v>19.494471017651623</v>
      </c>
      <c r="D83" s="119">
        <f t="shared" si="11"/>
        <v>31.247393704008047</v>
      </c>
      <c r="E83" s="119">
        <f t="shared" si="11"/>
        <v>33.804836828208778</v>
      </c>
      <c r="F83" s="119">
        <f t="shared" si="11"/>
        <v>39.557607788696409</v>
      </c>
      <c r="G83" s="296"/>
      <c r="H83" s="296"/>
      <c r="I83" s="296"/>
      <c r="J83" s="296"/>
      <c r="K83" s="296"/>
      <c r="L83" s="296"/>
    </row>
    <row r="84" spans="1:12" ht="13.15">
      <c r="A84" s="131">
        <f t="shared" si="14"/>
        <v>15</v>
      </c>
      <c r="B84" s="119">
        <f t="shared" si="11"/>
        <v>0.32744229848873274</v>
      </c>
      <c r="C84" s="119">
        <f t="shared" si="11"/>
        <v>17.658636277978783</v>
      </c>
      <c r="D84" s="119">
        <f t="shared" si="11"/>
        <v>31.94457809860312</v>
      </c>
      <c r="E84" s="119">
        <f t="shared" si="11"/>
        <v>35.428763038099717</v>
      </c>
      <c r="F84" s="119">
        <f t="shared" si="11"/>
        <v>43.722188111461918</v>
      </c>
      <c r="G84" s="296"/>
      <c r="H84" s="296"/>
      <c r="I84" s="296"/>
      <c r="J84" s="296"/>
      <c r="K84" s="296"/>
      <c r="L84" s="296"/>
    </row>
    <row r="85" spans="1:12" ht="13.15">
      <c r="A85" s="132">
        <f t="shared" si="14"/>
        <v>20</v>
      </c>
      <c r="B85" s="119">
        <f t="shared" si="11"/>
        <v>0.32714243504605794</v>
      </c>
      <c r="C85" s="119">
        <f t="shared" si="11"/>
        <v>16.657564758273605</v>
      </c>
      <c r="D85" s="119">
        <f t="shared" si="11"/>
        <v>32.460956444660255</v>
      </c>
      <c r="E85" s="119">
        <f t="shared" si="11"/>
        <v>36.692278747270805</v>
      </c>
      <c r="F85" s="119">
        <f t="shared" si="11"/>
        <v>47.292872255320482</v>
      </c>
      <c r="G85" s="296"/>
      <c r="H85" s="296"/>
      <c r="I85" s="296"/>
      <c r="J85" s="296"/>
      <c r="K85" s="296"/>
      <c r="L85" s="296"/>
    </row>
    <row r="86" spans="1:12" ht="13.15">
      <c r="A86" s="132">
        <f t="shared" si="14"/>
        <v>25</v>
      </c>
      <c r="B86" s="119">
        <f t="shared" si="11"/>
        <v>0.32713583135054797</v>
      </c>
      <c r="C86" s="119">
        <f t="shared" si="11"/>
        <v>16.111685455573731</v>
      </c>
      <c r="D86" s="119">
        <f t="shared" si="11"/>
        <v>32.843418528355578</v>
      </c>
      <c r="E86" s="119">
        <f t="shared" si="11"/>
        <v>37.675372645009745</v>
      </c>
      <c r="F86" s="119">
        <f t="shared" si="11"/>
        <v>50.354353669307571</v>
      </c>
      <c r="G86" s="296"/>
      <c r="H86" s="296"/>
      <c r="I86" s="296"/>
      <c r="J86" s="296"/>
      <c r="K86" s="296"/>
      <c r="L86" s="296"/>
    </row>
    <row r="87" spans="1:12" ht="13.15">
      <c r="A87" s="132">
        <f t="shared" si="14"/>
        <v>30</v>
      </c>
      <c r="B87" s="119">
        <f t="shared" si="11"/>
        <v>0.32713568592170228</v>
      </c>
      <c r="C87" s="119">
        <f t="shared" si="11"/>
        <v>15.81402019664811</v>
      </c>
      <c r="D87" s="119">
        <f t="shared" si="11"/>
        <v>33.12669385657469</v>
      </c>
      <c r="E87" s="119">
        <f t="shared" si="11"/>
        <v>38.440280912280564</v>
      </c>
      <c r="F87" s="119">
        <f t="shared" si="11"/>
        <v>52.979247967031718</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34.70035114935007</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31.717695120330148</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30.306095363792352</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22.861152743231276</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0.95935469920739735</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192781</v>
      </c>
      <c r="D7" s="469"/>
      <c r="E7" s="469"/>
      <c r="F7" s="469"/>
      <c r="G7" s="469"/>
    </row>
    <row r="8" spans="2:7">
      <c r="B8" s="97" t="s">
        <v>63</v>
      </c>
      <c r="C8" s="447">
        <f>Normalized_FCF!G19</f>
        <v>144352</v>
      </c>
      <c r="D8" s="469"/>
      <c r="E8" s="469"/>
      <c r="F8" s="469"/>
      <c r="G8" s="469"/>
    </row>
    <row r="9" spans="2:7">
      <c r="B9" s="97" t="s">
        <v>54</v>
      </c>
      <c r="C9" s="447">
        <f>Normalized_FCF!C19</f>
        <v>101899.35305753999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-2.0436295508985403E-3</v>
      </c>
      <c r="D12" s="469"/>
      <c r="E12" s="469"/>
      <c r="F12" s="469"/>
      <c r="G12" s="469"/>
    </row>
    <row r="13" spans="2:7">
      <c r="B13" s="135" t="s">
        <v>127</v>
      </c>
      <c r="C13" s="249">
        <f ca="1">(Normalized_FCF!G8/OFFSET(Normalized_FCF!G8, 0, $C$4))^(1/$C$4) - 1</f>
        <v>-3.1235797583071268E-3</v>
      </c>
      <c r="D13" s="469"/>
      <c r="E13" s="469"/>
      <c r="F13" s="469"/>
      <c r="G13" s="469"/>
    </row>
    <row r="14" spans="2:7">
      <c r="B14" s="97" t="s">
        <v>63</v>
      </c>
      <c r="C14" s="249">
        <f ca="1">(Normalized_FCF!G19/OFFSET(Normalized_FCF!G19, 0, $C$4))^(1/$C$4) - 1</f>
        <v>5.9127036213846296E-3</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31.717695120330148</v>
      </c>
      <c r="F22" s="328">
        <f>1-F23-F24</f>
        <v>0.30000000000000004</v>
      </c>
      <c r="G22" s="328">
        <f>F22*(1-F$29-F$30)</f>
        <v>0.24000000000000002</v>
      </c>
    </row>
    <row r="23" spans="2:7">
      <c r="B23" s="302" t="s">
        <v>437</v>
      </c>
      <c r="C23" s="324">
        <v>0.01</v>
      </c>
      <c r="D23" s="325">
        <f>C18</f>
        <v>5</v>
      </c>
      <c r="E23" s="326">
        <f>DCF!E92</f>
        <v>30.306095363792352</v>
      </c>
      <c r="F23" s="327">
        <v>0.6</v>
      </c>
      <c r="G23" s="328">
        <f t="shared" ref="G23:G24" si="0">F23*(1-F$29-F$30)</f>
        <v>0.47999999999999993</v>
      </c>
    </row>
    <row r="24" spans="2:7">
      <c r="B24" s="302" t="s">
        <v>446</v>
      </c>
      <c r="C24" s="324">
        <v>-0.05</v>
      </c>
      <c r="D24" s="325">
        <f>C18</f>
        <v>5</v>
      </c>
      <c r="E24" s="326">
        <f>DCF!E93</f>
        <v>22.861152743231276</v>
      </c>
      <c r="F24" s="327">
        <v>0.1</v>
      </c>
      <c r="G24" s="328">
        <f t="shared" si="0"/>
        <v>0.08</v>
      </c>
    </row>
    <row r="25" spans="2:7">
      <c r="B25" s="141" t="s">
        <v>451</v>
      </c>
      <c r="C25" s="441">
        <f>E23*F23+E24*F24+E22*F22</f>
        <v>29.985081028697582</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5</v>
      </c>
      <c r="E29" s="326">
        <f>DCF!E90</f>
        <v>34.70035114935007</v>
      </c>
      <c r="F29" s="327">
        <v>0.05</v>
      </c>
      <c r="G29" s="328">
        <f>F29</f>
        <v>0.05</v>
      </c>
    </row>
    <row r="30" spans="2:7">
      <c r="B30" s="315" t="s">
        <v>447</v>
      </c>
      <c r="C30" s="324">
        <v>-0.5</v>
      </c>
      <c r="D30" s="325">
        <f>C18</f>
        <v>5</v>
      </c>
      <c r="E30" s="326">
        <f>DCF!E94</f>
        <v>0.95935469920739735</v>
      </c>
      <c r="F30" s="327">
        <v>0.15</v>
      </c>
      <c r="G30" s="328">
        <f>F30</f>
        <v>0.15</v>
      </c>
    </row>
    <row r="31" spans="2:7">
      <c r="E31" s="329"/>
      <c r="F31" s="329"/>
    </row>
    <row r="32" spans="2:7" ht="13.15">
      <c r="B32" s="145" t="s">
        <v>456</v>
      </c>
    </row>
    <row r="33" spans="2:7">
      <c r="B33" s="97" t="s">
        <v>458</v>
      </c>
      <c r="C33" s="155">
        <f>Normalized_FCF!C88*(1-dividend_tax_rate)</f>
        <v>1.26</v>
      </c>
      <c r="D33" t="str">
        <f>Market_currency</f>
        <v>HKD</v>
      </c>
      <c r="E33" s="97" t="s">
        <v>455</v>
      </c>
      <c r="F33" s="219">
        <f>Holding_Period</f>
        <v>3</v>
      </c>
    </row>
    <row r="34" spans="2:7">
      <c r="B34" s="97" t="s">
        <v>233</v>
      </c>
      <c r="C34" s="146">
        <f>Market_Price</f>
        <v>24.82</v>
      </c>
      <c r="D34" t="str">
        <f>Market_currency</f>
        <v>HKD</v>
      </c>
      <c r="E34" s="97" t="s">
        <v>454</v>
      </c>
      <c r="F34" s="330">
        <f>RATE(Holding_Period,$C$33,-C34,$C$36)</f>
        <v>6.3964306606605764E-2</v>
      </c>
    </row>
    <row r="35" spans="2:7">
      <c r="B35" s="97" t="s">
        <v>434</v>
      </c>
      <c r="C35" s="320">
        <f>DCF!C11</f>
        <v>37.586557840644325</v>
      </c>
      <c r="D35" s="97" t="str">
        <f>Market_currency</f>
        <v>HKD</v>
      </c>
      <c r="E35" s="97" t="s">
        <v>454</v>
      </c>
      <c r="F35" s="330">
        <f>RATE(Holding_Period,$C$33,-C35,$C$36)</f>
        <v>-7.9081642702632668E-2</v>
      </c>
    </row>
    <row r="36" spans="2:7">
      <c r="B36" s="97" t="s">
        <v>435</v>
      </c>
      <c r="C36" s="321">
        <f>E22*G22+E23*G23+E24*G24+E30*G30+E29*G29</f>
        <v>25.866985585306679</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0.32389125963769955</v>
      </c>
      <c r="E40" s="97" t="s">
        <v>401</v>
      </c>
    </row>
    <row r="41" spans="2:7">
      <c r="B41" s="97" t="s">
        <v>400</v>
      </c>
      <c r="C41" s="455">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25.850896606464179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-6.1584441979262099E-2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2.3056129858987506</v>
      </c>
      <c r="D62" s="119">
        <f>C36/(1+F62)^Holding_Period</f>
        <v>11.92026985498004</v>
      </c>
      <c r="E62" s="332">
        <f>C62+D62</f>
        <v>14.225882840878791</v>
      </c>
      <c r="F62" s="301">
        <f>Thesis!E22</f>
        <v>0.29465259038036606</v>
      </c>
      <c r="G62" s="440">
        <f>(1-E62/C36)</f>
        <v>0.45003708321701108</v>
      </c>
    </row>
    <row r="63" spans="2:7" ht="13.15">
      <c r="B63" s="302" t="s">
        <v>313</v>
      </c>
      <c r="C63" s="119">
        <f>PV(F63, Holding_Period, -C58, 0)</f>
        <v>2.6510449735590389</v>
      </c>
      <c r="D63" s="119">
        <f>C36/(1+F63)^Holding_Period</f>
        <v>14.941219110646463</v>
      </c>
      <c r="E63" s="332">
        <f>C63+D63</f>
        <v>17.592264084205503</v>
      </c>
      <c r="F63" s="301">
        <f>Thesis!E23</f>
        <v>0.20075184365903009</v>
      </c>
      <c r="G63" s="440">
        <f>(1-E63/C36)</f>
        <v>0.31989508301274572</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3.0398799386826978</v>
      </c>
      <c r="D66" s="119">
        <f>C36/(1+F66)^Holding_Period</f>
        <v>18.540430754232649</v>
      </c>
      <c r="E66" s="332">
        <f>C66+D66</f>
        <v>21.580310692915347</v>
      </c>
      <c r="F66" s="301">
        <f>Thesis!E24</f>
        <v>0.1174</v>
      </c>
      <c r="G66" s="440">
        <f>(1-E66/C36)</f>
        <v>0.16571992427390947</v>
      </c>
    </row>
    <row r="67" spans="2:7" ht="13.15">
      <c r="B67" s="302" t="s">
        <v>314</v>
      </c>
      <c r="C67" s="119">
        <f>PV(F67, Holding_Period, -C58, 0)</f>
        <v>3.2915927862380006</v>
      </c>
      <c r="D67" s="119">
        <f>C36/(1+F67)^Holding_Period</f>
        <v>20.967850840316171</v>
      </c>
      <c r="E67" s="332">
        <f>C67+D67</f>
        <v>24.259443626554173</v>
      </c>
      <c r="F67" s="301">
        <f>Thesis!E25</f>
        <v>7.2499999999999995E-2</v>
      </c>
      <c r="G67" s="440">
        <f>(1-E67/C36)</f>
        <v>6.2146474449100264E-2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中国海油</v>
      </c>
      <c r="D4" s="349"/>
      <c r="E4" s="434" t="s">
        <v>540</v>
      </c>
      <c r="F4" s="437" t="str">
        <f>Thesis!F4</f>
        <v>INT</v>
      </c>
    </row>
    <row r="5" spans="1:10">
      <c r="B5" s="343" t="s">
        <v>364</v>
      </c>
      <c r="C5" s="355" t="str">
        <f>Thesis!C5</f>
        <v>0883.HK</v>
      </c>
      <c r="E5" s="438" t="s">
        <v>541</v>
      </c>
      <c r="F5" s="439" t="str">
        <f>Thesis!F5</f>
        <v>Y</v>
      </c>
    </row>
    <row r="6" spans="1:10">
      <c r="B6" s="350" t="s">
        <v>336</v>
      </c>
      <c r="C6" s="352" t="str">
        <f>Thesis!C6</f>
        <v>ENG_01</v>
      </c>
      <c r="E6" s="354"/>
    </row>
    <row r="7" spans="1:10">
      <c r="B7" s="343" t="s">
        <v>366</v>
      </c>
      <c r="C7" s="352" t="str">
        <f>Market_currency</f>
        <v>HKD</v>
      </c>
      <c r="D7" s="354"/>
      <c r="E7" s="354"/>
    </row>
    <row r="8" spans="1:10">
      <c r="B8" s="351" t="s">
        <v>365</v>
      </c>
      <c r="C8" s="356">
        <f>Market_Price</f>
        <v>24.82</v>
      </c>
    </row>
    <row r="9" spans="1:10">
      <c r="B9" s="351" t="s">
        <v>361</v>
      </c>
      <c r="C9" s="353">
        <f>Common_Shares</f>
        <v>47529953984</v>
      </c>
    </row>
    <row r="10" spans="1:10">
      <c r="B10" s="351" t="s">
        <v>367</v>
      </c>
      <c r="C10" s="357">
        <f>投资主题!C8*Common_Shares/1000000</f>
        <v>1179693.4578828802</v>
      </c>
      <c r="D10" s="343" t="s">
        <v>529</v>
      </c>
      <c r="E10" s="360">
        <f>Scenarios!F34</f>
        <v>6.3964306606605764E-2</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1.1308739082336425</v>
      </c>
    </row>
    <row r="17" spans="1:6">
      <c r="B17" s="343" t="s">
        <v>535</v>
      </c>
      <c r="C17" s="424">
        <f>Terminal_Growth</f>
        <v>0.01</v>
      </c>
      <c r="D17" s="351" t="s">
        <v>339</v>
      </c>
      <c r="E17" s="344" t="str">
        <f>Reporting_currency</f>
        <v>CNY</v>
      </c>
    </row>
    <row r="18" spans="1:6">
      <c r="B18" s="343" t="str">
        <f>"预期股权价值 ("&amp;C7&amp;") :"</f>
        <v>预期股权价值 (HKD) :</v>
      </c>
      <c r="C18" s="359">
        <f>C125</f>
        <v>25.866985585306679</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14.225882840878791</v>
      </c>
      <c r="D22" s="365" t="s">
        <v>440</v>
      </c>
      <c r="E22" s="366">
        <f>Thesis!E22</f>
        <v>0.29465259038036606</v>
      </c>
    </row>
    <row r="23" spans="1:6">
      <c r="B23" s="343" t="s">
        <v>341</v>
      </c>
      <c r="C23" s="367">
        <f>E141</f>
        <v>17.592264084205503</v>
      </c>
      <c r="D23" s="365" t="s">
        <v>441</v>
      </c>
      <c r="E23" s="368">
        <f>Thesis!E23</f>
        <v>0.20075184365903009</v>
      </c>
    </row>
    <row r="24" spans="1:6">
      <c r="B24" s="343" t="s">
        <v>343</v>
      </c>
      <c r="C24" s="367">
        <f>E144</f>
        <v>21.580310692915347</v>
      </c>
      <c r="D24" s="365" t="s">
        <v>443</v>
      </c>
      <c r="E24" s="368">
        <f>Thesis!E24</f>
        <v>0.1174</v>
      </c>
    </row>
    <row r="25" spans="1:6">
      <c r="B25" s="343" t="s">
        <v>342</v>
      </c>
      <c r="C25" s="367">
        <f>E145</f>
        <v>24.259443626554173</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1000000</v>
      </c>
    </row>
    <row r="33" spans="2:6">
      <c r="B33" s="470" t="s">
        <v>501</v>
      </c>
      <c r="C33" s="470"/>
      <c r="D33" s="470"/>
      <c r="E33" s="470"/>
      <c r="F33" s="470"/>
    </row>
    <row r="34" spans="2:6">
      <c r="B34" s="372" t="s">
        <v>197</v>
      </c>
      <c r="C34" s="373">
        <f>Normalized_FCF!C8</f>
        <v>137373.14402521047</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74606</v>
      </c>
      <c r="D37" s="343" t="str">
        <f>Reporting_currency</f>
        <v>CNY</v>
      </c>
    </row>
    <row r="38" spans="2:6">
      <c r="B38" s="375" t="s">
        <v>200</v>
      </c>
      <c r="C38" s="373">
        <f>Normalized_FCF!C16</f>
        <v>-84101.200000000012</v>
      </c>
      <c r="D38" s="343" t="str">
        <f>Reporting_currency</f>
        <v>CNY</v>
      </c>
    </row>
    <row r="40" spans="2:6">
      <c r="B40" s="470" t="s">
        <v>503</v>
      </c>
      <c r="C40" s="470"/>
      <c r="D40" s="470"/>
      <c r="E40" s="470"/>
      <c r="F40" s="470"/>
    </row>
    <row r="41" spans="2:6">
      <c r="B41" s="372" t="s">
        <v>202</v>
      </c>
      <c r="C41" s="373">
        <f>Normalized_FCF!C9</f>
        <v>1836</v>
      </c>
      <c r="D41" s="343" t="str">
        <f>Reporting_currency</f>
        <v>CNY</v>
      </c>
    </row>
    <row r="43" spans="2:6">
      <c r="B43" s="470" t="s">
        <v>504</v>
      </c>
      <c r="C43" s="470"/>
      <c r="D43" s="470"/>
      <c r="E43" s="470"/>
      <c r="F43" s="470"/>
    </row>
    <row r="44" spans="2:6">
      <c r="B44" s="372" t="s">
        <v>267</v>
      </c>
      <c r="C44" s="376">
        <f>Normalized_FCF!C46</f>
        <v>1341.7740000000001</v>
      </c>
      <c r="D44" s="343" t="str">
        <f>Reporting_currency</f>
        <v>CNY</v>
      </c>
      <c r="E44" s="371"/>
      <c r="F44" s="371"/>
    </row>
    <row r="45" spans="2:6">
      <c r="B45" s="372" t="s">
        <v>268</v>
      </c>
      <c r="C45" s="376">
        <f>Normalized_FCF!C45</f>
        <v>-4352.7</v>
      </c>
      <c r="D45" s="343" t="str">
        <f>Reporting_currency</f>
        <v>CNY</v>
      </c>
      <c r="E45" s="371"/>
      <c r="F45" s="371"/>
    </row>
    <row r="46" spans="2:6">
      <c r="B46" s="372" t="s">
        <v>203</v>
      </c>
      <c r="C46" s="373">
        <f>Normalized_FCF!C10</f>
        <v>-3010.9259999999995</v>
      </c>
      <c r="D46" s="343" t="str">
        <f>Reporting_currency</f>
        <v>CNY</v>
      </c>
    </row>
    <row r="48" spans="2:6">
      <c r="B48" s="343" t="s">
        <v>505</v>
      </c>
    </row>
    <row r="49" spans="2:6">
      <c r="B49" s="372" t="s">
        <v>223</v>
      </c>
      <c r="C49" s="373">
        <f>Normalized_FCF!C13</f>
        <v>-249.31046136785329</v>
      </c>
      <c r="D49" s="343" t="str">
        <f>Reporting_currency</f>
        <v>CNY</v>
      </c>
    </row>
    <row r="51" spans="2:6">
      <c r="B51" s="470" t="s">
        <v>506</v>
      </c>
      <c r="C51" s="470"/>
      <c r="D51" s="470"/>
      <c r="E51" s="470"/>
      <c r="F51" s="470"/>
    </row>
    <row r="52" spans="2:6">
      <c r="B52" s="372" t="s">
        <v>496</v>
      </c>
      <c r="C52" s="373">
        <f>Normalized_FCF!C12</f>
        <v>-34049.554506302615</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144352</v>
      </c>
      <c r="D60" s="343" t="str">
        <f>Reporting_currency</f>
        <v>CNY</v>
      </c>
    </row>
    <row r="61" spans="2:6">
      <c r="B61" s="372" t="s">
        <v>213</v>
      </c>
      <c r="C61" s="373">
        <f>Normalized_FCF!C19</f>
        <v>101899.35305753999</v>
      </c>
      <c r="D61" s="343" t="str">
        <f>Reporting_currency</f>
        <v>CNY</v>
      </c>
    </row>
    <row r="62" spans="2:6">
      <c r="B62" s="377" t="s">
        <v>302</v>
      </c>
      <c r="C62" s="378">
        <f>Normalized_FCF!C124</f>
        <v>9.768242662417187E-2</v>
      </c>
      <c r="F62" s="379"/>
    </row>
    <row r="63" spans="2:6">
      <c r="B63" s="377" t="s">
        <v>332</v>
      </c>
      <c r="C63" s="378">
        <f>Normalized_FCF!C92</f>
        <v>5.0765511684125707E-2</v>
      </c>
      <c r="E63" s="372" t="s">
        <v>373</v>
      </c>
      <c r="F63" s="380">
        <f>Normalized_FCF!C90</f>
        <v>0.65301627126155981</v>
      </c>
    </row>
    <row r="65" spans="1:6">
      <c r="B65" s="369" t="s">
        <v>376</v>
      </c>
      <c r="C65" s="381" t="s">
        <v>327</v>
      </c>
      <c r="D65" s="381" t="s">
        <v>374</v>
      </c>
    </row>
    <row r="66" spans="1:6">
      <c r="B66" s="372" t="s">
        <v>326</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-72545</v>
      </c>
      <c r="D78" s="343" t="str">
        <f>Reporting_currency</f>
        <v>CNY</v>
      </c>
    </row>
    <row r="79" spans="1:6">
      <c r="B79" s="372" t="s">
        <v>234</v>
      </c>
      <c r="C79" s="387">
        <f>C78*scaling_factor*Exchange_Rate/Common_Shares</f>
        <v>-1.7260535892886928</v>
      </c>
      <c r="D79" s="343" t="str">
        <f>Market_currency</f>
        <v>HKD</v>
      </c>
    </row>
    <row r="80" spans="1:6">
      <c r="B80" s="382" t="s">
        <v>309</v>
      </c>
      <c r="C80" s="388">
        <f>IF(BS!G31/BS!G27&gt;300%,"nm",BS!G31/BS!G27)</f>
        <v>9.2018392262565404E-2</v>
      </c>
    </row>
    <row r="81" spans="1:6">
      <c r="B81" s="382" t="s">
        <v>311</v>
      </c>
      <c r="C81" s="389">
        <f>IF(BS!C50&gt;30,"nm",BS!C50)</f>
        <v>0.52808720739977155</v>
      </c>
    </row>
    <row r="83" spans="1:6">
      <c r="B83" s="343" t="s">
        <v>512</v>
      </c>
    </row>
    <row r="84" spans="1:6">
      <c r="B84" s="343" t="s">
        <v>224</v>
      </c>
      <c r="C84" s="373">
        <f>DCF!F5</f>
        <v>0</v>
      </c>
      <c r="D84" s="343" t="str">
        <f>Reporting_currency</f>
        <v>CNY</v>
      </c>
    </row>
    <row r="85" spans="1:6">
      <c r="B85" s="382" t="s">
        <v>481</v>
      </c>
      <c r="C85" s="390">
        <f>BS!C66</f>
        <v>223629</v>
      </c>
      <c r="D85" s="391" t="str">
        <f>Reporting_currency</f>
        <v>CNY</v>
      </c>
    </row>
    <row r="86" spans="1:6">
      <c r="B86" s="372" t="s">
        <v>235</v>
      </c>
      <c r="C86" s="387">
        <f>C84*scaling_factor*Exchange_Rate/Common_Shares</f>
        <v>0</v>
      </c>
      <c r="D86" s="343" t="str">
        <f>Market_currency</f>
        <v>HKD</v>
      </c>
    </row>
    <row r="88" spans="1:6">
      <c r="B88" s="343" t="s">
        <v>513</v>
      </c>
    </row>
    <row r="89" spans="1:6">
      <c r="B89" s="343" t="s">
        <v>217</v>
      </c>
      <c r="C89" s="373">
        <f>DCF!F6</f>
        <v>5592</v>
      </c>
      <c r="D89" s="343" t="str">
        <f>Reporting_currency</f>
        <v>CNY</v>
      </c>
    </row>
    <row r="90" spans="1:6">
      <c r="B90" s="372" t="s">
        <v>236</v>
      </c>
      <c r="C90" s="387">
        <f>C89*scaling_factor*Exchange_Rate/Common_Shares</f>
        <v>0.13304971633196458</v>
      </c>
      <c r="D90" s="343" t="str">
        <f>Market_currency</f>
        <v>HKD</v>
      </c>
    </row>
    <row r="92" spans="1:6">
      <c r="B92" s="372" t="s">
        <v>480</v>
      </c>
      <c r="C92" s="387">
        <f>DCF!F8</f>
        <v>-1.593003872956728</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0.4651850637300769</v>
      </c>
      <c r="D111" s="343" t="str">
        <f>Market_currency</f>
        <v>HKD</v>
      </c>
    </row>
    <row r="112" spans="1:6">
      <c r="A112" s="385"/>
      <c r="B112" s="372" t="s">
        <v>377</v>
      </c>
      <c r="C112" s="394">
        <f>DCF!C11</f>
        <v>37.586557840644325</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5</v>
      </c>
      <c r="E118" s="398" t="str">
        <f>ROUND(DCF!E90,2)&amp;" "&amp;Market_currency</f>
        <v>34.7 HKD</v>
      </c>
      <c r="F118" s="399">
        <f>DCF!F90</f>
        <v>0.05</v>
      </c>
    </row>
    <row r="119" spans="1:6">
      <c r="A119" s="385"/>
      <c r="B119" s="400" t="str">
        <f>DCF!B91</f>
        <v>Optimistic</v>
      </c>
      <c r="C119" s="401">
        <f>DCF!C91</f>
        <v>0.02</v>
      </c>
      <c r="D119" s="402">
        <f>DCF!D91</f>
        <v>5</v>
      </c>
      <c r="E119" s="398" t="str">
        <f>ROUND(DCF!E91,2)&amp;" "&amp;Market_currency</f>
        <v>31.72 HKD</v>
      </c>
      <c r="F119" s="403">
        <f>DCF!F91</f>
        <v>0.24000000000000002</v>
      </c>
    </row>
    <row r="120" spans="1:6">
      <c r="B120" s="400" t="str">
        <f>DCF!B92</f>
        <v>Base</v>
      </c>
      <c r="C120" s="401">
        <f>DCF!C92</f>
        <v>0.01</v>
      </c>
      <c r="D120" s="402">
        <f>DCF!D92</f>
        <v>5</v>
      </c>
      <c r="E120" s="398" t="str">
        <f>ROUND(DCF!E92,2)&amp;" "&amp;Market_currency</f>
        <v>30.31 HKD</v>
      </c>
      <c r="F120" s="403">
        <f>DCF!F92</f>
        <v>0.47999999999999993</v>
      </c>
    </row>
    <row r="121" spans="1:6">
      <c r="B121" s="400" t="str">
        <f>DCF!B93</f>
        <v>Pessimistic</v>
      </c>
      <c r="C121" s="401">
        <f>DCF!C93</f>
        <v>-0.05</v>
      </c>
      <c r="D121" s="402">
        <f>DCF!D93</f>
        <v>5</v>
      </c>
      <c r="E121" s="398" t="str">
        <f>ROUND(DCF!E93,2)&amp;" "&amp;Market_currency</f>
        <v>22.86 HKD</v>
      </c>
      <c r="F121" s="403">
        <f>DCF!F93</f>
        <v>0.08</v>
      </c>
    </row>
    <row r="122" spans="1:6">
      <c r="B122" s="400" t="str">
        <f>DCF!B94</f>
        <v>Devil's advocate</v>
      </c>
      <c r="C122" s="401">
        <f>DCF!C94</f>
        <v>-0.5</v>
      </c>
      <c r="D122" s="402">
        <f>DCF!D94</f>
        <v>5</v>
      </c>
      <c r="E122" s="398" t="str">
        <f>ROUND(DCF!E94,2)&amp;" "&amp;Market_currency</f>
        <v>0.96 HKD</v>
      </c>
      <c r="F122" s="403">
        <f>DCF!F94</f>
        <v>0.15</v>
      </c>
    </row>
    <row r="124" spans="1:6">
      <c r="B124" s="470" t="s">
        <v>519</v>
      </c>
      <c r="C124" s="470"/>
      <c r="D124" s="470"/>
      <c r="E124" s="470"/>
      <c r="F124" s="470"/>
    </row>
    <row r="125" spans="1:6">
      <c r="B125" s="372" t="s">
        <v>218</v>
      </c>
      <c r="C125" s="404">
        <f>Scenarios!C36</f>
        <v>25.866985585306679</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1.26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2.3056129858987506</v>
      </c>
      <c r="D140" s="409">
        <f>Scenarios!D62</f>
        <v>11.92026985498004</v>
      </c>
      <c r="E140" s="410">
        <f>Scenarios!E62</f>
        <v>14.225882840878791</v>
      </c>
      <c r="F140" s="411">
        <f>E22</f>
        <v>0.29465259038036606</v>
      </c>
    </row>
    <row r="141" spans="1:6">
      <c r="B141" s="408" t="s">
        <v>313</v>
      </c>
      <c r="C141" s="409">
        <f>Scenarios!C63</f>
        <v>2.6510449735590389</v>
      </c>
      <c r="D141" s="409">
        <f>Scenarios!D63</f>
        <v>14.941219110646463</v>
      </c>
      <c r="E141" s="410">
        <f>Scenarios!E63</f>
        <v>17.592264084205503</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3.0398799386826978</v>
      </c>
      <c r="D144" s="409">
        <f>Scenarios!D66</f>
        <v>18.540430754232649</v>
      </c>
      <c r="E144" s="410">
        <f>Scenarios!E66</f>
        <v>21.580310692915347</v>
      </c>
      <c r="F144" s="411">
        <f>E24</f>
        <v>0.1174</v>
      </c>
    </row>
    <row r="145" spans="1:6">
      <c r="B145" s="408" t="s">
        <v>314</v>
      </c>
      <c r="C145" s="409">
        <f>Scenarios!C67</f>
        <v>3.2915927862380006</v>
      </c>
      <c r="D145" s="409">
        <f>Scenarios!D67</f>
        <v>20.967850840316171</v>
      </c>
      <c r="E145" s="410">
        <f>Scenarios!E67</f>
        <v>24.259443626554173</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2026-02-11T06:56:57Z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