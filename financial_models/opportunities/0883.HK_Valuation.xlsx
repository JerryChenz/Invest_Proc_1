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589FD2A-8C8E-AB47-AEF4-D4AB7E75A005}" xr6:coauthVersionLast="47" xr6:coauthVersionMax="47" xr10:uidLastSave="{00000000-0000-0000-0000-000000000000}"/>
  <bookViews>
    <workbookView xWindow="-100" yWindow="-10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<sst xmlns="http://schemas.openxmlformats.org/spreadsheetml/2006/main" count="769" uniqueCount="560">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</sst>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45932</v>
      </c>
    </row>
    <row r="4" spans="1:9" ht="14" x14ac:dyDescent="0.2">
      <c r="B4" s="421" t="s">
        <v>533</v>
      </c>
      <c r="C4" s="420" t="s">
        <v>555</v>
      </c>
      <c r="E4" s="430" t="s">
        <v>537</v>
      </c>
      <c r="F4" s="431" t="s">
        <v>324</v>
      </c>
    </row>
    <row r="5" spans="1:9" x14ac:dyDescent="0.15">
      <c r="B5" s="1" t="s">
        <v>349</v>
      </c>
      <c r="C5" s="46" t="s">
        <v>556</v>
      </c>
      <c r="D5" s="1" t="s">
        <v>557</v>
      </c>
      <c r="E5" s="433" t="s">
        <v>539</v>
      </c>
      <c r="F5" s="432" t="s">
        <v>497</v>
      </c>
    </row>
    <row r="6" spans="1:9" x14ac:dyDescent="0.15">
      <c r="B6" s="2" t="s">
        <v>53</v>
      </c>
      <c r="C6" s="45" t="s">
        <v>558</v>
      </c>
      <c r="D6" s="45"/>
      <c r="E6" s="45"/>
    </row>
    <row r="7" spans="1:9" x14ac:dyDescent="0.15">
      <c r="B7" s="1" t="s">
        <v>351</v>
      </c>
      <c r="C7" s="45" t="s">
        <v>308</v>
      </c>
      <c r="D7" s="45"/>
      <c r="E7" s="45"/>
    </row>
    <row r="8" spans="1:9" x14ac:dyDescent="0.15">
      <c r="B8" s="4" t="s">
        <v>350</v>
      </c>
      <c r="C8" s="47">
        <v>25.7</v>
      </c>
      <c r="E8" s="32"/>
    </row>
    <row r="9" spans="1:9" x14ac:dyDescent="0.15">
      <c r="B9" s="4" t="s">
        <v>346</v>
      </c>
      <c r="C9" s="48">
        <f>44539953984+2990000000</f>
        <v>47529953984</v>
      </c>
    </row>
    <row r="10" spans="1:9" x14ac:dyDescent="0.15">
      <c r="B10" s="4" t="s">
        <v>352</v>
      </c>
      <c r="C10" s="33">
        <f>Thesis!C8*Common_Shares/1000000</f>
        <v>1221519.8173888</v>
      </c>
      <c r="D10" s="1" t="s">
        <v>528</v>
      </c>
      <c r="E10" s="303">
        <f>Scenarios!F34</f>
        <v>5.1285635794498345E-2</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1-stage DCF Valuation Conclusion</v>
      </c>
      <c r="C14" s="43"/>
    </row>
    <row r="15" spans="1:9" x14ac:dyDescent="0.15">
      <c r="B15" s="1" t="s">
        <v>319</v>
      </c>
      <c r="C15" s="417" t="s">
        <v>546</v>
      </c>
      <c r="D15" s="4" t="s">
        <v>353</v>
      </c>
      <c r="E15" s="253" t="str">
        <f>IF(E17=C7,C7,E17&amp;"/"&amp;C7)</f>
        <v>CNY/HKD</v>
      </c>
    </row>
    <row r="16" spans="1:9" x14ac:dyDescent="0.15">
      <c r="B16" s="1" t="s">
        <v>320</v>
      </c>
      <c r="C16" s="417" t="s">
        <v>546</v>
      </c>
      <c r="D16" s="4" t="s">
        <v>354</v>
      </c>
      <c r="E16" s="416">
        <v>1.1315830089569092</v>
      </c>
    </row>
    <row r="17" spans="1:6" x14ac:dyDescent="0.15">
      <c r="B17" s="1" t="s">
        <v>532</v>
      </c>
      <c r="C17" s="456">
        <v>0.01</v>
      </c>
      <c r="D17" s="4" t="s">
        <v>274</v>
      </c>
      <c r="E17" s="224" t="s">
        <v>559</v>
      </c>
    </row>
    <row r="18" spans="1:6" x14ac:dyDescent="0.15">
      <c r="B18" s="1" t="str">
        <f>"Expected Equity Value ("&amp;C7&amp;") :"</f>
        <v>Expected Equity Value (HKD) :</v>
      </c>
      <c r="C18" s="252">
        <f>C125</f>
        <v>25.883205163858914</v>
      </c>
      <c r="D18" s="2" t="s">
        <v>347</v>
      </c>
      <c r="E18" s="418">
        <v>6</v>
      </c>
    </row>
    <row r="19" spans="1:6" x14ac:dyDescent="0.15">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14.23335730104111</v>
      </c>
      <c r="D22" s="38" t="s">
        <v>406</v>
      </c>
      <c r="E22" s="79">
        <v>0.29465259038036606</v>
      </c>
    </row>
    <row r="23" spans="1:6" x14ac:dyDescent="0.15">
      <c r="B23" s="1" t="s">
        <v>313</v>
      </c>
      <c r="C23" s="256">
        <f>E141</f>
        <v>17.601632793838561</v>
      </c>
      <c r="D23" s="38" t="s">
        <v>407</v>
      </c>
      <c r="E23" s="443">
        <v>0.20075184365903009</v>
      </c>
    </row>
    <row r="24" spans="1:6" x14ac:dyDescent="0.15">
      <c r="B24" s="1" t="s">
        <v>315</v>
      </c>
      <c r="C24" s="256">
        <f>E144</f>
        <v>21.591936244412981</v>
      </c>
      <c r="D24" s="38" t="s">
        <v>408</v>
      </c>
      <c r="E24" s="443">
        <v>0.1174</v>
      </c>
    </row>
    <row r="25" spans="1:6" x14ac:dyDescent="0.15">
      <c r="B25" s="1" t="s">
        <v>314</v>
      </c>
      <c r="C25" s="256">
        <f>E145</f>
        <v>24.272591262279043</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1000000</v>
      </c>
    </row>
    <row r="33" spans="2:6" ht="24.5" customHeight="1" x14ac:dyDescent="0.15">
      <c r="B33" s="461" t="s">
        <v>196</v>
      </c>
      <c r="C33" s="461"/>
      <c r="D33" s="461"/>
      <c r="E33" s="461"/>
      <c r="F33" s="461"/>
    </row>
    <row r="34" spans="2:6" x14ac:dyDescent="0.15">
      <c r="B34" s="44" t="s">
        <v>197</v>
      </c>
      <c r="C34" s="285">
        <f>Normalized_FCF!C8</f>
        <v>137373.14402521047</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74606</v>
      </c>
      <c r="D37" s="1" t="str">
        <f>Reporting_currency</f>
        <v>CNY</v>
      </c>
    </row>
    <row r="38" spans="2:6" x14ac:dyDescent="0.15">
      <c r="B38" s="49" t="s">
        <v>200</v>
      </c>
      <c r="C38" s="285">
        <f>Normalized_FCF!C16</f>
        <v>-84101.200000000012</v>
      </c>
      <c r="D38" s="1" t="str">
        <f>Reporting_currency</f>
        <v>CNY</v>
      </c>
    </row>
    <row r="40" spans="2:6" x14ac:dyDescent="0.15">
      <c r="B40" s="461" t="s">
        <v>201</v>
      </c>
      <c r="C40" s="461"/>
      <c r="D40" s="461"/>
      <c r="E40" s="461"/>
      <c r="F40" s="461"/>
    </row>
    <row r="41" spans="2:6" x14ac:dyDescent="0.15">
      <c r="B41" s="44" t="s">
        <v>202</v>
      </c>
      <c r="C41" s="285">
        <f>Normalized_FCF!C9</f>
        <v>1836</v>
      </c>
      <c r="D41" s="1" t="str">
        <f>Reporting_currency</f>
        <v>CNY</v>
      </c>
    </row>
    <row r="43" spans="2:6" x14ac:dyDescent="0.15">
      <c r="B43" s="461" t="s">
        <v>205</v>
      </c>
      <c r="C43" s="461"/>
      <c r="D43" s="461"/>
      <c r="E43" s="461"/>
      <c r="F43" s="461"/>
    </row>
    <row r="44" spans="2:6" x14ac:dyDescent="0.15">
      <c r="B44" s="44" t="s">
        <v>267</v>
      </c>
      <c r="C44" s="286">
        <f>Normalized_FCF!C46</f>
        <v>1341.7740000000001</v>
      </c>
      <c r="D44" s="1" t="str">
        <f>Reporting_currency</f>
        <v>CNY</v>
      </c>
      <c r="E44" s="244"/>
      <c r="F44" s="244"/>
    </row>
    <row r="45" spans="2:6" x14ac:dyDescent="0.15">
      <c r="B45" s="44" t="s">
        <v>268</v>
      </c>
      <c r="C45" s="286">
        <f>Normalized_FCF!C45</f>
        <v>-4352.7</v>
      </c>
      <c r="D45" s="1" t="str">
        <f>Reporting_currency</f>
        <v>CNY</v>
      </c>
      <c r="E45" s="244"/>
      <c r="F45" s="244"/>
    </row>
    <row r="46" spans="2:6" x14ac:dyDescent="0.15">
      <c r="B46" s="44" t="s">
        <v>203</v>
      </c>
      <c r="C46" s="285">
        <f>Normalized_FCF!C10</f>
        <v>-3010.9259999999995</v>
      </c>
      <c r="D46" s="1" t="str">
        <f>Reporting_currency</f>
        <v>CNY</v>
      </c>
    </row>
    <row r="48" spans="2:6" x14ac:dyDescent="0.15">
      <c r="B48" s="1" t="s">
        <v>211</v>
      </c>
    </row>
    <row r="49" spans="2:6" x14ac:dyDescent="0.15">
      <c r="B49" s="44" t="s">
        <v>223</v>
      </c>
      <c r="C49" s="285">
        <f>Normalized_FCF!C13</f>
        <v>-249.31046136785329</v>
      </c>
      <c r="D49" s="1" t="str">
        <f>Reporting_currency</f>
        <v>CNY</v>
      </c>
    </row>
    <row r="51" spans="2:6" x14ac:dyDescent="0.15">
      <c r="B51" s="461" t="s">
        <v>206</v>
      </c>
      <c r="C51" s="461"/>
      <c r="D51" s="461"/>
      <c r="E51" s="461"/>
      <c r="F51" s="461"/>
    </row>
    <row r="52" spans="2:6" x14ac:dyDescent="0.15">
      <c r="B52" s="44" t="s">
        <v>204</v>
      </c>
      <c r="C52" s="285">
        <f>Normalized_FCF!C12</f>
        <v>-34049.554506302615</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144352</v>
      </c>
      <c r="D60" s="1" t="str">
        <f>Reporting_currency</f>
        <v>CNY</v>
      </c>
    </row>
    <row r="61" spans="2:6" x14ac:dyDescent="0.15">
      <c r="B61" s="44" t="s">
        <v>213</v>
      </c>
      <c r="C61" s="285">
        <f>Normalized_FCF!C19</f>
        <v>101899.35305753999</v>
      </c>
      <c r="D61" s="1" t="str">
        <f>Reporting_currency</f>
        <v>CNY</v>
      </c>
    </row>
    <row r="62" spans="2:6" x14ac:dyDescent="0.15">
      <c r="B62" s="204" t="s">
        <v>302</v>
      </c>
      <c r="C62" s="89">
        <f>Normalized_FCF!C124</f>
        <v>9.4396811989593807E-2</v>
      </c>
      <c r="F62" s="257"/>
    </row>
    <row r="63" spans="2:6" x14ac:dyDescent="0.15">
      <c r="B63" s="204" t="s">
        <v>332</v>
      </c>
      <c r="C63" s="89">
        <f>Normalized_FCF!C92</f>
        <v>4.9027237354085602E-2</v>
      </c>
      <c r="E63" s="44" t="s">
        <v>322</v>
      </c>
      <c r="F63" s="258">
        <f>Normalized_FCF!C90</f>
        <v>0.65301627126155981</v>
      </c>
    </row>
    <row r="65" spans="1:6" x14ac:dyDescent="0.15">
      <c r="B65" s="192" t="s">
        <v>325</v>
      </c>
      <c r="C65" s="264" t="s">
        <v>327</v>
      </c>
      <c r="D65" s="264" t="s">
        <v>328</v>
      </c>
    </row>
    <row r="66" spans="1:6" x14ac:dyDescent="0.15">
      <c r="B66" s="44" t="s">
        <v>326</v>
      </c>
      <c r="C66" s="89">
        <f>Normalized_FCF!E119</f>
        <v>0.17275816461101692</v>
      </c>
      <c r="D66" s="89">
        <f>Normalized_FCF!G119</f>
        <v>0.24910987791342953</v>
      </c>
    </row>
    <row r="67" spans="1:6" x14ac:dyDescent="0.15">
      <c r="B67" s="229" t="str">
        <f>Normalized_FCF!B116</f>
        <v>Pre-tax Profit/Sales</v>
      </c>
      <c r="C67" s="263">
        <f>Normalized_FCF!E116</f>
        <v>0.32389125963769955</v>
      </c>
      <c r="D67" s="263">
        <f>Normalized_FCF!G116</f>
        <v>0.46703733121525021</v>
      </c>
    </row>
    <row r="68" spans="1:6" x14ac:dyDescent="0.15">
      <c r="B68" s="229" t="str">
        <f>Normalized_FCF!B117</f>
        <v>Sales/Total Assets</v>
      </c>
      <c r="C68" s="265">
        <f>Normalized_FCF!E117</f>
        <v>0.37580175109499292</v>
      </c>
      <c r="D68" s="265">
        <f>Normalized_FCF!G117</f>
        <v>0.37580175109499292</v>
      </c>
    </row>
    <row r="69" spans="1:6" x14ac:dyDescent="0.15">
      <c r="B69" s="229" t="str">
        <f>Normalized_FCF!B118</f>
        <v>Total Assets/Equity</v>
      </c>
      <c r="C69" s="265">
        <f>Normalized_FCF!E118</f>
        <v>1.419320754716981</v>
      </c>
      <c r="D69" s="265">
        <f>Normalized_FCF!G118</f>
        <v>1.419320754716981</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-72545</v>
      </c>
      <c r="D78" s="1" t="str">
        <f>Reporting_currency</f>
        <v>CNY</v>
      </c>
    </row>
    <row r="79" spans="1:6" x14ac:dyDescent="0.15">
      <c r="A79" s="191"/>
      <c r="B79" s="44" t="s">
        <v>234</v>
      </c>
      <c r="C79" s="201">
        <f>C78*scaling_factor*Exchange_Rate/Common_Shares</f>
        <v>-1.7271358901885987</v>
      </c>
      <c r="D79" s="1" t="str">
        <f>Market_currency</f>
        <v>HKD</v>
      </c>
    </row>
    <row r="80" spans="1:6" x14ac:dyDescent="0.15">
      <c r="A80" s="191"/>
      <c r="B80" s="229" t="s">
        <v>309</v>
      </c>
      <c r="C80" s="337">
        <f>IF(BS!G31/BS!G27&gt;300%,"nm",BS!G31/BS!G27)</f>
        <v>9.2018392262565404E-2</v>
      </c>
    </row>
    <row r="81" spans="1:6" x14ac:dyDescent="0.15">
      <c r="A81" s="191"/>
      <c r="B81" s="229" t="s">
        <v>311</v>
      </c>
      <c r="C81" s="338">
        <f>IF(BS!C50&gt;30,"nm",BS!C50)</f>
        <v>0.52808720739977155</v>
      </c>
    </row>
    <row r="82" spans="1:6" x14ac:dyDescent="0.15">
      <c r="A82" s="191"/>
    </row>
    <row r="83" spans="1:6" x14ac:dyDescent="0.15">
      <c r="A83" s="191"/>
      <c r="B83" s="1" t="s">
        <v>466</v>
      </c>
    </row>
    <row r="84" spans="1:6" x14ac:dyDescent="0.15">
      <c r="A84" s="191"/>
      <c r="B84" s="1" t="s">
        <v>224</v>
      </c>
      <c r="C84" s="285">
        <f>DCF!F5</f>
        <v>0</v>
      </c>
      <c r="D84" s="1" t="str">
        <f>Reporting_currency</f>
        <v>CNY</v>
      </c>
    </row>
    <row r="85" spans="1:6" x14ac:dyDescent="0.15">
      <c r="A85" s="191"/>
      <c r="B85" s="229" t="s">
        <v>222</v>
      </c>
      <c r="C85" s="291">
        <f>BS!C66</f>
        <v>223629</v>
      </c>
      <c r="D85" s="339" t="str">
        <f>Reporting_currency</f>
        <v>CNY</v>
      </c>
    </row>
    <row r="86" spans="1:6" x14ac:dyDescent="0.15">
      <c r="A86" s="191"/>
      <c r="B86" s="44" t="s">
        <v>235</v>
      </c>
      <c r="C86" s="201">
        <f>C84*scaling_factor*Exchange_Rate/Common_Shares</f>
        <v>0</v>
      </c>
      <c r="D86" s="1" t="str">
        <f>Market_currency</f>
        <v>HKD</v>
      </c>
    </row>
    <row r="87" spans="1:6" x14ac:dyDescent="0.15">
      <c r="A87" s="191"/>
    </row>
    <row r="88" spans="1:6" x14ac:dyDescent="0.15">
      <c r="A88" s="191"/>
      <c r="B88" s="1" t="s">
        <v>216</v>
      </c>
    </row>
    <row r="89" spans="1:6" x14ac:dyDescent="0.15">
      <c r="A89" s="191"/>
      <c r="B89" s="1" t="s">
        <v>217</v>
      </c>
      <c r="C89" s="285">
        <f>DCF!F6</f>
        <v>5592</v>
      </c>
      <c r="D89" s="1" t="str">
        <f>Reporting_currency</f>
        <v>CNY</v>
      </c>
    </row>
    <row r="90" spans="1:6" x14ac:dyDescent="0.15">
      <c r="A90" s="191"/>
      <c r="B90" s="44" t="s">
        <v>236</v>
      </c>
      <c r="C90" s="201">
        <f>C89*scaling_factor*Exchange_Rate/Common_Shares</f>
        <v>0.13313314353759245</v>
      </c>
      <c r="D90" s="1" t="str">
        <f>Market_currency</f>
        <v>HKD</v>
      </c>
    </row>
    <row r="91" spans="1:6" x14ac:dyDescent="0.15">
      <c r="A91" s="191"/>
    </row>
    <row r="92" spans="1:6" x14ac:dyDescent="0.15">
      <c r="A92" s="191"/>
      <c r="B92" s="44" t="s">
        <v>469</v>
      </c>
      <c r="C92" s="216">
        <f>DCF!F8</f>
        <v>-1.5940027466510063</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0.01</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0.46547675236374525</v>
      </c>
      <c r="D111" s="1" t="str">
        <f>Market_currency</f>
        <v>HKD</v>
      </c>
    </row>
    <row r="112" spans="2:6" x14ac:dyDescent="0.15">
      <c r="B112" s="44" t="s">
        <v>323</v>
      </c>
      <c r="C112" s="216">
        <f>DCF!C11</f>
        <v>37.610126034371191</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(5yrs)</v>
      </c>
      <c r="C118" s="206">
        <f>DCF!C90</f>
        <v>0.04</v>
      </c>
      <c r="D118" s="207" t="str">
        <f>ROUND(DCF!E90,2)&amp;" "&amp;Market_currency</f>
        <v>34.72 HKD</v>
      </c>
      <c r="E118" s="208">
        <f>DCF!F90</f>
        <v>0.05</v>
      </c>
      <c r="F118" s="208">
        <f>RATE(Holding_Period,Scenarios!C$58,-DCF!E90,C$18)</f>
        <v>-5.3248739661819797E-2</v>
      </c>
    </row>
    <row r="119" spans="2:6" x14ac:dyDescent="0.15">
      <c r="B119" s="205" t="str">
        <f>DCF!B91&amp;" ("&amp;DCF!D91&amp;"yrs)"</f>
        <v>Optimistic (5yrs)</v>
      </c>
      <c r="C119" s="198">
        <f>DCF!C91</f>
        <v>0.02</v>
      </c>
      <c r="D119" s="207" t="str">
        <f>ROUND(DCF!E91,2)&amp;" "&amp;Market_currency</f>
        <v>31.74 HKD</v>
      </c>
      <c r="E119" s="199">
        <f>DCF!F91</f>
        <v>0.24000000000000002</v>
      </c>
      <c r="F119" s="208">
        <f>RATE(Holding_Period,Scenarios!C$58,-DCF!E91,C$18)</f>
        <v>-2.3238006498024662E-2</v>
      </c>
    </row>
    <row r="120" spans="2:6" x14ac:dyDescent="0.15">
      <c r="B120" s="205" t="str">
        <f>DCF!B92&amp;" ("&amp;DCF!D92&amp;"yrs)"</f>
        <v>Base (5yrs)</v>
      </c>
      <c r="C120" s="198">
        <f>DCF!C92</f>
        <v>0.01</v>
      </c>
      <c r="D120" s="207" t="str">
        <f>ROUND(DCF!E92,2)&amp;" "&amp;Market_currency</f>
        <v>30.33 HKD</v>
      </c>
      <c r="E120" s="199">
        <f>DCF!F92</f>
        <v>0.47999999999999993</v>
      </c>
      <c r="F120" s="208">
        <f>RATE(Holding_Period,Scenarios!C$58,-DCF!E92,C$18)</f>
        <v>-7.6510025428537425E-3</v>
      </c>
    </row>
    <row r="121" spans="2:6" x14ac:dyDescent="0.15">
      <c r="B121" s="205" t="str">
        <f>DCF!B93&amp;" ("&amp;DCF!D93&amp;"yrs)"</f>
        <v>Pessimistic (5yrs)</v>
      </c>
      <c r="C121" s="198">
        <f>DCF!C93</f>
        <v>-0.05</v>
      </c>
      <c r="D121" s="207" t="str">
        <f>ROUND(DCF!E93,2)&amp;" "&amp;Market_currency</f>
        <v>22.88 HKD</v>
      </c>
      <c r="E121" s="199">
        <f>DCF!F93</f>
        <v>0.08</v>
      </c>
      <c r="F121" s="208">
        <f>RATE(Holding_Period,Scenarios!C$58,-DCF!E93,C$18)</f>
        <v>9.4996275027592239E-2</v>
      </c>
    </row>
    <row r="122" spans="2:6" x14ac:dyDescent="0.15">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x14ac:dyDescent="0.15">
      <c r="B124" s="461" t="s">
        <v>357</v>
      </c>
      <c r="C124" s="461"/>
      <c r="D124" s="461"/>
      <c r="E124" s="461"/>
      <c r="F124" s="461"/>
    </row>
    <row r="125" spans="2:6" x14ac:dyDescent="0.15">
      <c r="B125" s="193" t="s">
        <v>218</v>
      </c>
      <c r="C125" s="197">
        <f>Scenarios!C36</f>
        <v>25.883205163858914</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1.26</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2.3056129858987506</v>
      </c>
      <c r="D140" s="333">
        <f>Scenarios!D62</f>
        <v>11.927744315142359</v>
      </c>
      <c r="E140" s="334">
        <f>Scenarios!E62</f>
        <v>14.23335730104111</v>
      </c>
      <c r="F140" s="335">
        <f>E22</f>
        <v>0.29465259038036606</v>
      </c>
    </row>
    <row r="141" spans="1:6" x14ac:dyDescent="0.15">
      <c r="B141" s="336" t="s">
        <v>313</v>
      </c>
      <c r="C141" s="333">
        <f>Scenarios!C63</f>
        <v>2.6510449735590389</v>
      </c>
      <c r="D141" s="333">
        <f>Scenarios!D63</f>
        <v>14.950587820279523</v>
      </c>
      <c r="E141" s="334">
        <f>Scenarios!E63</f>
        <v>17.601632793838561</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3.0398799386826978</v>
      </c>
      <c r="D144" s="333">
        <f>Scenarios!D66</f>
        <v>18.552056305730282</v>
      </c>
      <c r="E144" s="334">
        <f>Scenarios!E66</f>
        <v>21.591936244412981</v>
      </c>
      <c r="F144" s="335">
        <f>E24</f>
        <v>0.1174</v>
      </c>
    </row>
    <row r="145" spans="1:6" x14ac:dyDescent="0.15">
      <c r="B145" s="336" t="s">
        <v>314</v>
      </c>
      <c r="C145" s="333">
        <f>Scenarios!C67</f>
        <v>3.2915927862380006</v>
      </c>
      <c r="D145" s="333">
        <f>Scenarios!D67</f>
        <v>20.980998476041041</v>
      </c>
      <c r="E145" s="334">
        <f>Scenarios!E67</f>
        <v>24.272591262279043</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1000000</v>
      </c>
    </row>
    <row r="4" spans="2:13" x14ac:dyDescent="0.15">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x14ac:dyDescent="0.15">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x14ac:dyDescent="0.15">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x14ac:dyDescent="0.15">
      <c r="B7" s="66" t="s">
        <v>58</v>
      </c>
      <c r="C7" s="288">
        <v>3532</v>
      </c>
      <c r="D7" s="288">
        <v>3501</v>
      </c>
      <c r="E7" s="288">
        <v>3355</v>
      </c>
      <c r="F7" s="288">
        <v>2694</v>
      </c>
      <c r="G7" s="288">
        <v>3048.0317</v>
      </c>
      <c r="H7" s="288">
        <v>2798.4634999999998</v>
      </c>
      <c r="I7" s="288">
        <v>2444.741</v>
      </c>
      <c r="J7" s="288">
        <v>56055</v>
      </c>
      <c r="K7" s="288">
        <v>49550</v>
      </c>
      <c r="L7" s="288">
        <v>46872</v>
      </c>
      <c r="M7" s="288"/>
    </row>
    <row r="8" spans="2:13" x14ac:dyDescent="0.15">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x14ac:dyDescent="0.15">
      <c r="B9" s="38" t="s">
        <v>134</v>
      </c>
      <c r="C9" s="287">
        <v>1836</v>
      </c>
      <c r="D9" s="287">
        <v>1931</v>
      </c>
      <c r="E9" s="287">
        <v>1911</v>
      </c>
      <c r="F9" s="287">
        <v>346</v>
      </c>
      <c r="G9" s="287">
        <v>-632.40350000000001</v>
      </c>
      <c r="H9" s="287">
        <v>1002.7065</v>
      </c>
      <c r="I9" s="287">
        <v>-5186.9755999999998</v>
      </c>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x14ac:dyDescent="0.15">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x14ac:dyDescent="0.15">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x14ac:dyDescent="0.15">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x14ac:dyDescent="0.15">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x14ac:dyDescent="0.15">
      <c r="B18" s="16" t="s">
        <v>48</v>
      </c>
      <c r="C18" s="9"/>
    </row>
    <row r="19" spans="2:13" ht="13" x14ac:dyDescent="0.15">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ht="13" x14ac:dyDescent="0.15">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ht="13" x14ac:dyDescent="0.15">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x14ac:dyDescent="0.15">
      <c r="B25" s="23" t="str">
        <f>"Dividend per share ("&amp;Market_currency&amp;")"</f>
        <v>Dividend per share (HKD)</v>
      </c>
      <c r="C25" s="37">
        <f>0.66+0.74</f>
        <v>1.4</v>
      </c>
      <c r="D25" s="37">
        <f>0.66+0.59</f>
        <v>1.25</v>
      </c>
      <c r="E25" s="37">
        <f>0.75+0.7</f>
        <v>1.45</v>
      </c>
      <c r="F25" s="37"/>
      <c r="G25" s="37"/>
      <c r="H25" s="37"/>
      <c r="I25" s="37"/>
      <c r="J25" s="37"/>
      <c r="K25" s="37"/>
      <c r="L25" s="37"/>
      <c r="M25" s="37"/>
    </row>
    <row r="27" spans="2:13" x14ac:dyDescent="0.15">
      <c r="B27" s="16" t="s">
        <v>26</v>
      </c>
      <c r="C27" s="94" t="s">
        <v>547</v>
      </c>
    </row>
    <row r="28" spans="2:13" ht="13" x14ac:dyDescent="0.15">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ht="13" x14ac:dyDescent="0.15">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ht="13" x14ac:dyDescent="0.15">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ht="13" x14ac:dyDescent="0.15">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ht="13" x14ac:dyDescent="0.15">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x14ac:dyDescent="0.15">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ht="13" x14ac:dyDescent="0.15">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x14ac:dyDescent="0.15">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x14ac:dyDescent="0.15">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x14ac:dyDescent="0.15">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x14ac:dyDescent="0.15">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x14ac:dyDescent="0.15">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x14ac:dyDescent="0.15">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x14ac:dyDescent="0.15">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x14ac:dyDescent="0.15">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x14ac:dyDescent="0.15">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x14ac:dyDescent="0.15">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x14ac:dyDescent="0.15">
      <c r="B50" s="16" t="s">
        <v>65</v>
      </c>
    </row>
    <row r="51" spans="2:13" x14ac:dyDescent="0.15">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x14ac:dyDescent="0.15">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x14ac:dyDescent="0.15">
      <c r="B60" s="16" t="s">
        <v>48</v>
      </c>
      <c r="C60" s="9"/>
    </row>
    <row r="61" spans="2:13" ht="13" x14ac:dyDescent="0.15">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ht="13" x14ac:dyDescent="0.15">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x14ac:dyDescent="0.15">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ht="13" x14ac:dyDescent="0.15">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x14ac:dyDescent="0.15">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x14ac:dyDescent="0.15">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x14ac:dyDescent="0.15">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ht="13" x14ac:dyDescent="0.15">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ht="13" x14ac:dyDescent="0.15">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ht="13" x14ac:dyDescent="0.15">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ht="13" x14ac:dyDescent="0.15">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45008</v>
      </c>
      <c r="D4" s="231">
        <v>0.6</v>
      </c>
      <c r="E4" s="24"/>
      <c r="F4" s="4" t="s">
        <v>74</v>
      </c>
      <c r="G4" s="18">
        <f>129492+94137</f>
        <v>223629</v>
      </c>
      <c r="H4" s="231">
        <v>0.9</v>
      </c>
    </row>
    <row r="5" spans="2:8" ht="15" customHeight="1" x14ac:dyDescent="0.15">
      <c r="B5" s="1" t="s">
        <v>31</v>
      </c>
      <c r="C5" s="18">
        <f>33075+72</f>
        <v>33147</v>
      </c>
      <c r="D5" s="231">
        <v>0.6</v>
      </c>
      <c r="E5" s="24"/>
      <c r="F5" s="1" t="s">
        <v>27</v>
      </c>
      <c r="G5" s="18">
        <v>0</v>
      </c>
      <c r="H5" s="231">
        <v>0.7</v>
      </c>
    </row>
    <row r="6" spans="2:8" ht="15" customHeight="1" x14ac:dyDescent="0.15">
      <c r="B6" s="4" t="s">
        <v>8</v>
      </c>
      <c r="C6" s="18">
        <v>6242</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0</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f>13463</f>
        <v>13463</v>
      </c>
      <c r="D11" s="231">
        <v>0.05</v>
      </c>
      <c r="H11" s="232"/>
    </row>
    <row r="12" spans="2:8" ht="15" customHeight="1" x14ac:dyDescent="0.15">
      <c r="B12" s="77" t="s">
        <v>69</v>
      </c>
      <c r="C12" s="78">
        <f>SUM(C4:C11)</f>
        <v>97860</v>
      </c>
      <c r="D12" s="19">
        <f>C4*D4+C5*D5+C9*D9+C6*D6+C8*D8+C7*D7+C10*D10+C11*D11</f>
        <v>50687.15</v>
      </c>
      <c r="F12" s="77" t="s">
        <v>67</v>
      </c>
      <c r="G12" s="78">
        <f>SUM(G4:G10)</f>
        <v>223629</v>
      </c>
      <c r="H12" s="19">
        <f>G4*H4+G5*H5+G6*H6+G7*H7+G8*H8+G9*H9+G10*H10</f>
        <v>201266.1</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9302+18</f>
        <v>9320</v>
      </c>
      <c r="H17" s="231">
        <v>0.6</v>
      </c>
    </row>
    <row r="18" spans="2:8" ht="15" customHeight="1" x14ac:dyDescent="0.15">
      <c r="B18" s="4" t="s">
        <v>144</v>
      </c>
      <c r="C18" s="18">
        <v>0</v>
      </c>
      <c r="D18" s="231">
        <v>0.6</v>
      </c>
      <c r="F18" s="4" t="s">
        <v>151</v>
      </c>
      <c r="G18" s="18">
        <f>25528+22208</f>
        <v>47736</v>
      </c>
      <c r="H18" s="231">
        <v>0.1</v>
      </c>
    </row>
    <row r="19" spans="2:8" ht="15" customHeight="1" x14ac:dyDescent="0.15">
      <c r="B19" s="4" t="s">
        <v>24</v>
      </c>
      <c r="C19" s="18">
        <f>649690+12683</f>
        <v>662373</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16734</v>
      </c>
      <c r="D21" s="231">
        <v>0.05</v>
      </c>
      <c r="F21" s="1" t="s">
        <v>150</v>
      </c>
      <c r="G21" s="18">
        <v>0</v>
      </c>
      <c r="H21" s="231">
        <v>0.1</v>
      </c>
    </row>
    <row r="22" spans="2:8" ht="15" customHeight="1" x14ac:dyDescent="0.15">
      <c r="B22" s="4" t="s">
        <v>18</v>
      </c>
      <c r="C22" s="18">
        <v>25164</v>
      </c>
      <c r="D22" s="231">
        <v>0.9</v>
      </c>
      <c r="H22" s="232"/>
    </row>
    <row r="23" spans="2:8" ht="15" customHeight="1" x14ac:dyDescent="0.15">
      <c r="B23" s="4" t="s">
        <v>19</v>
      </c>
      <c r="C23" s="18">
        <v>36141</v>
      </c>
      <c r="D23" s="231">
        <v>0</v>
      </c>
      <c r="H23" s="232"/>
    </row>
    <row r="24" spans="2:8" ht="15" customHeight="1" x14ac:dyDescent="0.15">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x14ac:dyDescent="0.15">
      <c r="B26" s="16" t="s">
        <v>169</v>
      </c>
      <c r="C26" s="164" t="s">
        <v>113</v>
      </c>
      <c r="F26" s="166" t="s">
        <v>165</v>
      </c>
      <c r="G26" s="167" t="s">
        <v>113</v>
      </c>
      <c r="H26" s="168" t="s">
        <v>33</v>
      </c>
    </row>
    <row r="27" spans="2:8" ht="15" customHeight="1" x14ac:dyDescent="0.15">
      <c r="B27" s="4" t="s">
        <v>3</v>
      </c>
      <c r="C27" s="18">
        <f>1328</f>
        <v>1328</v>
      </c>
      <c r="F27" s="169" t="s">
        <v>28</v>
      </c>
      <c r="G27" s="82">
        <f>G32-G30</f>
        <v>788375</v>
      </c>
      <c r="H27" s="170">
        <f>H32-G30</f>
        <v>21458.450000000012</v>
      </c>
    </row>
    <row r="28" spans="2:8" ht="15" customHeight="1" x14ac:dyDescent="0.15">
      <c r="B28" s="4" t="s">
        <v>4</v>
      </c>
      <c r="C28" s="18">
        <v>2151</v>
      </c>
      <c r="F28" s="171" t="s">
        <v>209</v>
      </c>
      <c r="G28" s="287">
        <v>1907</v>
      </c>
      <c r="H28" s="170"/>
    </row>
    <row r="29" spans="2:8" ht="15" customHeight="1" x14ac:dyDescent="0.15">
      <c r="B29" s="4" t="s">
        <v>5</v>
      </c>
      <c r="C29" s="18">
        <v>0</v>
      </c>
      <c r="F29" s="172" t="s">
        <v>72</v>
      </c>
      <c r="G29" s="14">
        <f>G27-G28</f>
        <v>786468</v>
      </c>
      <c r="H29" s="170">
        <f>H27-G28</f>
        <v>19551.450000000012</v>
      </c>
    </row>
    <row r="30" spans="2:8" ht="15" customHeight="1" x14ac:dyDescent="0.15">
      <c r="B30" s="2" t="s">
        <v>6</v>
      </c>
      <c r="C30" s="18">
        <v>108</v>
      </c>
      <c r="F30" s="169" t="s">
        <v>21</v>
      </c>
      <c r="G30" s="82">
        <f>C33+C42</f>
        <v>330582</v>
      </c>
      <c r="H30" s="170"/>
    </row>
    <row r="31" spans="2:8" ht="15" customHeight="1" x14ac:dyDescent="0.15">
      <c r="B31" s="77" t="s">
        <v>172</v>
      </c>
      <c r="C31" s="78">
        <f>SUM(C27:C30)</f>
        <v>3587</v>
      </c>
      <c r="F31" s="172" t="s">
        <v>73</v>
      </c>
      <c r="G31" s="173">
        <f>C31+C40</f>
        <v>72545</v>
      </c>
      <c r="H31" s="170"/>
    </row>
    <row r="32" spans="2:8" ht="15" customHeight="1" x14ac:dyDescent="0.15">
      <c r="B32" s="4" t="s">
        <v>7</v>
      </c>
      <c r="C32" s="20">
        <f>C33-C31</f>
        <v>132559</v>
      </c>
      <c r="F32" s="174" t="s">
        <v>71</v>
      </c>
      <c r="G32" s="175">
        <f>G35+G40</f>
        <v>1118957</v>
      </c>
      <c r="H32" s="170">
        <f>H35+H40</f>
        <v>352040.45</v>
      </c>
    </row>
    <row r="33" spans="2:8" ht="15" customHeight="1" x14ac:dyDescent="0.15">
      <c r="B33" s="80" t="s">
        <v>2</v>
      </c>
      <c r="C33" s="81">
        <v>136146</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838272</v>
      </c>
      <c r="H35" s="182">
        <f>D12+D24</f>
        <v>140408.75</v>
      </c>
    </row>
    <row r="36" spans="2:8" ht="15" customHeight="1" x14ac:dyDescent="0.15">
      <c r="B36" s="4" t="s">
        <v>11</v>
      </c>
      <c r="C36" s="18">
        <v>60568</v>
      </c>
      <c r="F36" s="172" t="s">
        <v>166</v>
      </c>
      <c r="G36" s="173">
        <f>C4+C15</f>
        <v>45008</v>
      </c>
      <c r="H36" s="177"/>
    </row>
    <row r="37" spans="2:8" ht="15" customHeight="1" x14ac:dyDescent="0.15">
      <c r="B37" s="4" t="s">
        <v>12</v>
      </c>
      <c r="C37" s="18">
        <v>8390</v>
      </c>
      <c r="F37" s="172" t="s">
        <v>167</v>
      </c>
      <c r="G37" s="173">
        <f>C6</f>
        <v>6242</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662373</v>
      </c>
      <c r="H39" s="170">
        <f>C7*D7+C17*D17+C19*D19+C20*D20</f>
        <v>66237.3</v>
      </c>
    </row>
    <row r="40" spans="2:8" ht="15" customHeight="1" x14ac:dyDescent="0.15">
      <c r="B40" s="77" t="s">
        <v>173</v>
      </c>
      <c r="C40" s="78">
        <f>SUM(C36:C39)</f>
        <v>68958</v>
      </c>
      <c r="F40" s="181" t="s">
        <v>115</v>
      </c>
      <c r="G40" s="175">
        <f>G12+G24</f>
        <v>280685</v>
      </c>
      <c r="H40" s="182">
        <f>H12+H24</f>
        <v>211631.7</v>
      </c>
    </row>
    <row r="41" spans="2:8" ht="15" customHeight="1" x14ac:dyDescent="0.15">
      <c r="B41" s="4" t="s">
        <v>15</v>
      </c>
      <c r="C41" s="20">
        <f>C42-C40</f>
        <v>125478</v>
      </c>
      <c r="F41" s="172" t="s">
        <v>160</v>
      </c>
      <c r="G41" s="173">
        <f>C70</f>
        <v>271365</v>
      </c>
      <c r="H41" s="182">
        <f>H40-H42</f>
        <v>206039.7</v>
      </c>
    </row>
    <row r="42" spans="2:8" ht="15" customHeight="1" x14ac:dyDescent="0.15">
      <c r="B42" s="80" t="s">
        <v>20</v>
      </c>
      <c r="C42" s="81">
        <v>194436</v>
      </c>
      <c r="F42" s="183" t="s">
        <v>161</v>
      </c>
      <c r="G42" s="184">
        <f>C82</f>
        <v>9320</v>
      </c>
      <c r="H42" s="185">
        <f>D82</f>
        <v>5592</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786468</v>
      </c>
      <c r="D46" s="73">
        <f>H29</f>
        <v>19551.450000000012</v>
      </c>
      <c r="F46" s="223"/>
    </row>
    <row r="47" spans="2:8" ht="15" customHeight="1" x14ac:dyDescent="0.15">
      <c r="B47" s="1" t="str">
        <f>"Equity per share ("&amp;Market_currency&amp;")"</f>
        <v>Equity per share (HKD)</v>
      </c>
      <c r="C47" s="134">
        <f>C46*H1/Common_Shares*Exchange_Rate</f>
        <v>18.724062434142215</v>
      </c>
      <c r="D47" s="134">
        <f>D46*H1/Common_Shares*Exchange_Rate</f>
        <v>0.46547675236374525</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0.52808720739977155</v>
      </c>
      <c r="D50" s="92">
        <f>G31/Normalized_FCF!G8</f>
        <v>0.37630783116593441</v>
      </c>
      <c r="F50" s="223"/>
    </row>
    <row r="51" spans="2:8" ht="15" customHeight="1" x14ac:dyDescent="0.15">
      <c r="B51" s="1" t="s">
        <v>146</v>
      </c>
      <c r="C51" s="163"/>
      <c r="D51" s="89">
        <f>G29/G32</f>
        <v>0.70285810804168525</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0.16387657469796255</v>
      </c>
      <c r="D54" s="89">
        <f>Normalized_FCF!G8/G35</f>
        <v>0.22997428042449228</v>
      </c>
      <c r="F54" s="223"/>
    </row>
    <row r="55" spans="2:8" ht="15" customHeight="1" x14ac:dyDescent="0.15">
      <c r="B55" s="1" t="s">
        <v>118</v>
      </c>
      <c r="C55" s="89">
        <f>Normalized_FCF!C9/G40</f>
        <v>6.5411404243190764E-3</v>
      </c>
      <c r="D55" s="89">
        <f>Normalized_FCF!G9/G40</f>
        <v>6.5411404243190764E-3</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0.11263442199485789</v>
      </c>
      <c r="F58" s="5"/>
    </row>
    <row r="59" spans="2:8" ht="15" customHeight="1" x14ac:dyDescent="0.15">
      <c r="B59" s="1" t="s">
        <v>89</v>
      </c>
      <c r="C59" s="95"/>
      <c r="D59" s="89">
        <f>G39/G32</f>
        <v>0.59195572305280719</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2.4247648982539658E-3</v>
      </c>
      <c r="D62" s="89">
        <f>G28/G29</f>
        <v>2.4247648982539658E-3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223629</v>
      </c>
      <c r="D66" s="73">
        <f>C66-D75</f>
        <v>0</v>
      </c>
      <c r="F66" s="5" t="s">
        <v>193</v>
      </c>
    </row>
    <row r="67" spans="2:6" ht="15" customHeight="1" x14ac:dyDescent="0.15">
      <c r="B67" s="102" t="s">
        <v>147</v>
      </c>
      <c r="C67" s="19">
        <f>G6+G16</f>
        <v>0</v>
      </c>
      <c r="F67" s="223"/>
    </row>
    <row r="68" spans="2:6" ht="15" customHeight="1" x14ac:dyDescent="0.15">
      <c r="B68" s="102" t="s">
        <v>151</v>
      </c>
      <c r="C68" s="19">
        <f>G18</f>
        <v>47736</v>
      </c>
      <c r="F68" s="223"/>
    </row>
    <row r="69" spans="2:6" ht="15" customHeight="1" x14ac:dyDescent="0.15">
      <c r="B69" s="102" t="s">
        <v>149</v>
      </c>
      <c r="C69" s="19">
        <f>G8+G20</f>
        <v>0</v>
      </c>
      <c r="F69" s="223"/>
    </row>
    <row r="70" spans="2:6" ht="15" customHeight="1" x14ac:dyDescent="0.15">
      <c r="B70" s="77" t="s">
        <v>158</v>
      </c>
      <c r="C70" s="78">
        <f>SUM(C66:C69)</f>
        <v>271365</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-24522.24463146667</v>
      </c>
      <c r="D73" s="285">
        <f>(Normalized_FCF!C26+Normalized_FCF!C35-Normalized_FCF!C89)/12</f>
        <v>-29139.565962699126</v>
      </c>
      <c r="F73" s="1" t="s">
        <v>278</v>
      </c>
    </row>
    <row r="74" spans="2:6" ht="15" customHeight="1" x14ac:dyDescent="0.15">
      <c r="B74" s="227" t="s">
        <v>259</v>
      </c>
      <c r="C74" s="228">
        <f>-$C$66/C73</f>
        <v>9.1194343487235976</v>
      </c>
      <c r="D74" s="228">
        <f>-$C$66/D73</f>
        <v>7.6744108092159724</v>
      </c>
      <c r="F74" s="223" t="s">
        <v>257</v>
      </c>
    </row>
    <row r="75" spans="2:6" ht="15" customHeight="1" x14ac:dyDescent="0.15">
      <c r="B75" s="77" t="s">
        <v>258</v>
      </c>
      <c r="C75" s="261"/>
      <c r="D75" s="262">
        <f>MAX(-D73*D76,G5)</f>
        <v>223629</v>
      </c>
      <c r="F75" s="223" t="s">
        <v>279</v>
      </c>
    </row>
    <row r="76" spans="2:6" ht="15" customHeight="1" x14ac:dyDescent="0.15">
      <c r="B76" s="229" t="s">
        <v>260</v>
      </c>
      <c r="C76" s="230"/>
      <c r="D76" s="248">
        <f>D74</f>
        <v>7.6744108092159724</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9320</v>
      </c>
      <c r="D79" s="73">
        <f>G7*H7+G17*H17</f>
        <v>5592</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9320</v>
      </c>
      <c r="D82" s="78">
        <f>SUM(D79:D81)</f>
        <v>5592</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-82090.689384778976</v>
      </c>
      <c r="D86" s="201">
        <f>C86*scaling_factor/Common_Shares</f>
        <v>-1.7271358901885987</v>
      </c>
      <c r="E86" s="214" t="str">
        <f>Market_currency</f>
        <v>HKD</v>
      </c>
    </row>
    <row r="87" spans="2:8" ht="15" customHeight="1" x14ac:dyDescent="0.15">
      <c r="B87" s="212" t="s">
        <v>240</v>
      </c>
      <c r="C87" s="73">
        <f>DCF!F5*Exchange_Rate</f>
        <v>0</v>
      </c>
      <c r="D87" s="201">
        <f>C87*scaling_factor/Common_Shares</f>
        <v>0</v>
      </c>
      <c r="E87" s="214" t="str">
        <f>Market_currency</f>
        <v>HKD</v>
      </c>
    </row>
    <row r="88" spans="2:8" ht="15" customHeight="1" x14ac:dyDescent="0.15">
      <c r="B88" s="213" t="s">
        <v>159</v>
      </c>
      <c r="C88" s="73">
        <f>DCF!F6*Exchange_Rate</f>
        <v>6327.812186087036</v>
      </c>
      <c r="D88" s="201">
        <f>C88*scaling_factor/Common_Shares</f>
        <v>0.13313314353759245</v>
      </c>
      <c r="E88" s="214" t="str">
        <f>Market_currency</f>
        <v>HKD</v>
      </c>
    </row>
    <row r="89" spans="2:8" ht="15" customHeight="1" x14ac:dyDescent="0.15">
      <c r="B89" s="77" t="s">
        <v>244</v>
      </c>
      <c r="C89" s="162">
        <f>SUM(C86:C88)</f>
        <v>-75762.877198691946</v>
      </c>
      <c r="D89" s="216">
        <f>SUM(D86:D88)</f>
        <v>-1.5940027466510063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1000000</v>
      </c>
      <c r="D3" s="9"/>
      <c r="E3" s="237"/>
      <c r="F3" s="9"/>
      <c r="G3" s="16" t="s">
        <v>410</v>
      </c>
      <c r="H3" s="104">
        <f>scaling_factor</f>
        <v>1000000</v>
      </c>
    </row>
    <row r="4" spans="1:17" ht="15.75" customHeight="1" x14ac:dyDescent="0.15">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x14ac:dyDescent="0.15">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x14ac:dyDescent="0.15">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x14ac:dyDescent="0.15">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x14ac:dyDescent="0.15">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x14ac:dyDescent="0.15">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x14ac:dyDescent="0.15">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x14ac:dyDescent="0.15">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x14ac:dyDescent="0.15">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x14ac:dyDescent="0.15">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x14ac:dyDescent="0.15">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x14ac:dyDescent="0.15">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x14ac:dyDescent="0.15">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x14ac:dyDescent="0.2">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x14ac:dyDescent="0.15">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x14ac:dyDescent="0.15">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x14ac:dyDescent="0.2">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x14ac:dyDescent="0.15">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x14ac:dyDescent="0.15">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x14ac:dyDescent="0.15">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x14ac:dyDescent="0.15">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x14ac:dyDescent="0.15">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x14ac:dyDescent="0.15">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x14ac:dyDescent="0.15">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x14ac:dyDescent="0.15">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x14ac:dyDescent="0.15">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x14ac:dyDescent="0.15">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x14ac:dyDescent="0.15">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x14ac:dyDescent="0.15">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x14ac:dyDescent="0.15">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x14ac:dyDescent="0.15">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x14ac:dyDescent="0.15">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x14ac:dyDescent="0.15">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x14ac:dyDescent="0.15">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x14ac:dyDescent="0.15">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4.9027237354085602E-2</v>
      </c>
      <c r="E92" s="237"/>
      <c r="G92" s="22">
        <f t="shared" ref="G92:Q92" si="38">IF(G$4="","",(G88*(1-dividend_tax_rate))/Market_Price)</f>
        <v>4.9027237354085602E-2</v>
      </c>
      <c r="H92" s="22">
        <f t="shared" si="38"/>
        <v>4.3774319066147864E-2</v>
      </c>
      <c r="I92" s="22">
        <f t="shared" si="38"/>
        <v>5.0778210116731518E-2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x14ac:dyDescent="0.15">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x14ac:dyDescent="0.15">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x14ac:dyDescent="0.15">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x14ac:dyDescent="0.15">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x14ac:dyDescent="0.15">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x14ac:dyDescent="0.15">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x14ac:dyDescent="0.15">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2.4259980681325617</v>
      </c>
      <c r="D123" s="26"/>
      <c r="E123" s="234"/>
      <c r="F123" s="26"/>
      <c r="G123" s="159">
        <f t="shared" ref="G123:Q123" si="48">IF(G$4="","",G14*$C$3/Common_Shares*Exchange_Rate)</f>
        <v>3.4367016337515284</v>
      </c>
      <c r="H123" s="159">
        <f t="shared" si="48"/>
        <v>3.0128277983539435</v>
      </c>
      <c r="I123" s="159">
        <f t="shared" si="48"/>
        <v>3.3964188585609691</v>
      </c>
      <c r="J123" s="159">
        <f t="shared" si="48"/>
        <v>1.8310568793770092</v>
      </c>
      <c r="K123" s="159">
        <f t="shared" si="48"/>
        <v>0.68860192755905258</v>
      </c>
      <c r="L123" s="159">
        <f t="shared" si="48"/>
        <v>1.4447332923489962</v>
      </c>
      <c r="M123" s="159">
        <f t="shared" si="48"/>
        <v>1.2227443652036094</v>
      </c>
      <c r="N123" s="159">
        <f t="shared" si="48"/>
        <v>7.1270514275977472</v>
      </c>
      <c r="O123" s="159">
        <f t="shared" si="48"/>
        <v>6.7037965946558096</v>
      </c>
      <c r="P123" s="159">
        <f t="shared" si="48"/>
        <v>6.7520549784095101</v>
      </c>
      <c r="Q123" s="159" t="str">
        <f t="shared" si="48"/>
        <v/>
      </c>
    </row>
    <row r="124" spans="1:17" ht="15.75" customHeight="1" x14ac:dyDescent="0.15">
      <c r="A124" s="10"/>
      <c r="B124" s="26" t="s">
        <v>226</v>
      </c>
      <c r="C124" s="74">
        <f>C19*Exchange_Rate*$C$3/(Market_Price*Common_Shares)</f>
        <v>9.4396811989593807E-2</v>
      </c>
      <c r="D124" s="26"/>
      <c r="E124" s="234"/>
      <c r="F124" s="26"/>
      <c r="G124" s="74">
        <f t="shared" ref="G124" si="49">IF(G$4="","",G123/Market_Price)</f>
        <v>0.13372379897865869</v>
      </c>
      <c r="H124" s="74">
        <f t="shared" ref="H124" si="50">IF(H$4="","",H123/Market_Price)</f>
        <v>0.11723065363244917</v>
      </c>
      <c r="I124" s="74">
        <f t="shared" ref="I124" si="51">IF(I$4="","",I123/Market_Price)</f>
        <v>0.13215637581949297</v>
      </c>
      <c r="J124" s="74">
        <f t="shared" ref="J124" si="52">IF(J$4="","",J123/Market_Price)</f>
        <v>7.1247349392101533E-2</v>
      </c>
      <c r="K124" s="74">
        <f t="shared" ref="K124" si="53">IF(K$4="","",K123/Market_Price)</f>
        <v>2.6793849321363916E-2</v>
      </c>
      <c r="L124" s="74">
        <f t="shared" ref="L124" si="54">IF(L$4="","",L123/Market_Price)</f>
        <v>5.6215303204241097E-2</v>
      </c>
      <c r="M124" s="74">
        <f t="shared" ref="M124" si="55">IF(M$4="","",M123/Market_Price)</f>
        <v>4.7577601758895312E-2</v>
      </c>
      <c r="N124" s="74">
        <f t="shared" ref="N124" si="56">IF(N$4="","",N123/Market_Price)</f>
        <v>0.27731717617111856</v>
      </c>
      <c r="O124" s="74">
        <f t="shared" ref="O124" si="57">IF(O$4="","",O123/Market_Price)</f>
        <v>0.26084811652357237</v>
      </c>
      <c r="P124" s="74">
        <f t="shared" ref="P124" si="58">IF(P$4="","",P123/Market_Price)</f>
        <v>0.26272587464628444</v>
      </c>
      <c r="Q124" s="74" t="str">
        <f t="shared" ref="Q124" si="59">IF(Q$4="","",Q123/Market_Price)</f>
        <v/>
      </c>
    </row>
    <row r="125" spans="1:17" ht="15.75" customHeight="1" x14ac:dyDescent="0.15">
      <c r="B125" s="2" t="s">
        <v>306</v>
      </c>
      <c r="C125" s="151"/>
      <c r="G125" s="22">
        <f>IF(G$4="","",(Data!C47*$C$3)/(Market_Price*Common_Shares))</f>
        <v>0.1129592807548217</v>
      </c>
      <c r="H125" s="22">
        <f>IF(H$4="","",(Data!D47*$C$3)/(Market_Price*Common_Shares))</f>
        <v>0.10158656309421392</v>
      </c>
      <c r="I125" s="22">
        <f>IF(I$4="","",(Data!E47*$C$3)/(Market_Price*Common_Shares))</f>
        <v>0.11598420097911956</v>
      </c>
      <c r="J125" s="22">
        <f>IF(J$4="","",(Data!F47*$C$3)/(Market_Price*Common_Shares))</f>
        <v>5.7556986795591084E-2</v>
      </c>
      <c r="K125" s="22">
        <f>IF(K$4="","",(Data!G47*$C$3)/(Market_Price*Common_Shares))</f>
        <v>2.0430014351586086E-2</v>
      </c>
      <c r="L125" s="22">
        <f>IF(L$4="","",(Data!H47*$C$3)/(Market_Price*Common_Shares))</f>
        <v>4.9975005015059623E-2</v>
      </c>
      <c r="M125" s="22">
        <f>IF(M$4="","",(Data!I47*$C$3)/(Market_Price*Common_Shares))</f>
        <v>4.3122805336553827E-2</v>
      </c>
      <c r="N125" s="22">
        <f>IF(N$4="","",(Data!J47*$C$3)/(Market_Price*Common_Shares))</f>
        <v>5.7546344315776238E-2</v>
      </c>
      <c r="O125" s="22">
        <f>IF(O$4="","",(Data!K47*$C$3)/(Market_Price*Common_Shares))</f>
        <v>4.8439656203438132E-2</v>
      </c>
      <c r="P125" s="22">
        <f>IF(P$4="","",(Data!L47*$C$3)/(Market_Price*Common_Shares))</f>
        <v>3.5485302311884896E-2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1000000</v>
      </c>
      <c r="E3" s="106" t="s">
        <v>424</v>
      </c>
      <c r="H3" s="106" t="s">
        <v>414</v>
      </c>
    </row>
    <row r="4" spans="2:15" x14ac:dyDescent="0.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x14ac:dyDescent="0.15">
      <c r="B5" s="187" t="s">
        <v>105</v>
      </c>
      <c r="C5" s="188">
        <f>Equity_Cost</f>
        <v>7.2499999999999995E-2</v>
      </c>
      <c r="E5" s="135" t="s">
        <v>432</v>
      </c>
      <c r="F5" s="275">
        <f>BS!D66</f>
        <v>0</v>
      </c>
      <c r="G5" t="str">
        <f>Reporting_currency</f>
        <v>CNY</v>
      </c>
      <c r="H5" s="308" t="s">
        <v>395</v>
      </c>
      <c r="I5" s="305">
        <f>Normalized_FCF!C7</f>
        <v>-7213</v>
      </c>
      <c r="J5" s="305"/>
    </row>
    <row r="6" spans="2:15" ht="13.25" customHeight="1" x14ac:dyDescent="0.15">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x14ac:dyDescent="0.15">
      <c r="B7" s="318" t="s">
        <v>430</v>
      </c>
      <c r="C7" s="275">
        <f>F7</f>
        <v>-66953</v>
      </c>
      <c r="E7" s="140" t="s">
        <v>424</v>
      </c>
      <c r="F7" s="283">
        <f>SUM(F4:F6)</f>
        <v>-66953</v>
      </c>
      <c r="G7" t="str">
        <f>Reporting_currency</f>
        <v>CNY</v>
      </c>
      <c r="H7" s="312" t="s">
        <v>417</v>
      </c>
      <c r="I7" s="313">
        <f>Normalized_FCF!C9</f>
        <v>1836</v>
      </c>
      <c r="J7" s="313"/>
      <c r="N7" s="304"/>
      <c r="O7" s="304"/>
    </row>
    <row r="8" spans="2:15" ht="14" x14ac:dyDescent="0.15">
      <c r="B8" s="136" t="s">
        <v>426</v>
      </c>
      <c r="C8" s="283">
        <f>C6+C7</f>
        <v>1579740.5454098466</v>
      </c>
      <c r="D8" t="str">
        <f>Reporting_currency</f>
        <v>CNY</v>
      </c>
      <c r="E8" s="140" t="s">
        <v>464</v>
      </c>
      <c r="F8" s="108">
        <f>FV_adjustments*scaling_factor/Common_Shares*Exchange_Rate</f>
        <v>-1.5940027466510063</v>
      </c>
      <c r="G8" s="294" t="str">
        <f>Market_currency</f>
        <v>HKD</v>
      </c>
      <c r="H8" s="314" t="str">
        <f>Normalized_FCF!B10</f>
        <v>Net Interest Income</v>
      </c>
      <c r="I8" s="313">
        <f>Normalized_FCF!C10</f>
        <v>-3010.9259999999995</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5.9288205487639486E-4</v>
      </c>
      <c r="J9" s="306"/>
      <c r="N9" s="304"/>
      <c r="O9" s="304"/>
    </row>
    <row r="10" spans="2:15" ht="14" thickTop="1" x14ac:dyDescent="0.15">
      <c r="B10" s="107" t="s">
        <v>427</v>
      </c>
      <c r="C10" s="283">
        <f>C8*Exchange_Rate</f>
        <v>1787607.5597461031</v>
      </c>
      <c r="D10" t="str">
        <f>Market_currency</f>
        <v>HKD</v>
      </c>
      <c r="H10" s="308" t="s">
        <v>397</v>
      </c>
      <c r="I10" s="306">
        <f>Normalized_FCF!C41</f>
        <v>0.25</v>
      </c>
      <c r="N10" s="304"/>
      <c r="O10" s="304"/>
    </row>
    <row r="11" spans="2:15" x14ac:dyDescent="0.15">
      <c r="B11" s="136" t="s">
        <v>425</v>
      </c>
      <c r="C11" s="108">
        <f>(C10*scaling_factor)/Common_Shares</f>
        <v>37.610126034371191</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x14ac:dyDescent="0.15">
      <c r="B16" s="114" t="s">
        <v>422</v>
      </c>
      <c r="C16" s="147">
        <f>Scenarios!C46</f>
        <v>-2.4244845658407801E-2</v>
      </c>
      <c r="E16" s="308" t="s">
        <v>400</v>
      </c>
      <c r="F16" s="311">
        <f>Scenarios!C41</f>
        <v>-2.4244845658407801E-2</v>
      </c>
    </row>
    <row r="17" spans="1:21" ht="13.25" customHeight="1" x14ac:dyDescent="0.15">
      <c r="B17" s="308" t="s">
        <v>549</v>
      </c>
      <c r="C17" s="306">
        <f>Normalized_FCF!C77</f>
        <v>0.32389125963769949</v>
      </c>
      <c r="E17" s="308" t="s">
        <v>550</v>
      </c>
      <c r="F17" s="311">
        <f>Scenarios!C40</f>
        <v>0.32389125963769955</v>
      </c>
      <c r="H17" s="106" t="s">
        <v>412</v>
      </c>
    </row>
    <row r="18" spans="1:21" ht="13.25" customHeight="1" x14ac:dyDescent="0.15">
      <c r="B18" s="308" t="s">
        <v>423</v>
      </c>
      <c r="C18" s="306">
        <f>Normalized_FCF!C81-Normalized_FCF!C82</f>
        <v>-2.2580415023804673E-2</v>
      </c>
      <c r="E18" s="308" t="s">
        <v>423</v>
      </c>
      <c r="F18" s="144">
        <f>IF(F14="II",C18/2,C18)</f>
        <v>-2.2580415023804673E-2</v>
      </c>
      <c r="H18" s="140" t="s">
        <v>97</v>
      </c>
      <c r="I18" s="129">
        <f>(L52+FV_adjustments)*Exchange_Rate/Common_Shares*scaling_factor</f>
        <v>25.867106096618006</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x14ac:dyDescent="0.15">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x14ac:dyDescent="0.15">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x14ac:dyDescent="0.15">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x14ac:dyDescent="0.15">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x14ac:dyDescent="0.15">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x14ac:dyDescent="0.15">
      <c r="G52" s="111"/>
      <c r="H52" s="111"/>
      <c r="I52" s="111"/>
      <c r="J52" s="468" t="s">
        <v>420</v>
      </c>
      <c r="K52" s="468"/>
      <c r="L52" s="317">
        <f>SUM(L21:L51)</f>
        <v>1153450.7228712682</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1153450.7228712682</v>
      </c>
      <c r="B55" s="123">
        <f>C94</f>
        <v>-0.5</v>
      </c>
      <c r="C55" s="123">
        <f>C93</f>
        <v>-0.05</v>
      </c>
      <c r="D55" s="123">
        <f>C92</f>
        <v>0.01</v>
      </c>
      <c r="E55" s="123">
        <f>C91</f>
        <v>0.02</v>
      </c>
      <c r="F55" s="123">
        <f>C90</f>
        <v>0.04</v>
      </c>
      <c r="G55" s="123"/>
      <c r="H55" s="123"/>
      <c r="I55" s="123"/>
      <c r="J55" s="123"/>
      <c r="K55" s="123"/>
      <c r="L55" s="123"/>
    </row>
    <row r="56" spans="1:21" x14ac:dyDescent="0.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x14ac:dyDescent="0.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x14ac:dyDescent="0.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x14ac:dyDescent="0.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x14ac:dyDescent="0.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x14ac:dyDescent="0.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x14ac:dyDescent="0.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x14ac:dyDescent="0.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x14ac:dyDescent="0.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x14ac:dyDescent="0.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x14ac:dyDescent="0.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x14ac:dyDescent="0.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x14ac:dyDescent="0.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x14ac:dyDescent="0.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-0.5</v>
      </c>
      <c r="C72" s="124">
        <f>C55</f>
        <v>-0.05</v>
      </c>
      <c r="D72" s="124">
        <f>D55</f>
        <v>0.01</v>
      </c>
      <c r="E72" s="124">
        <f>E55</f>
        <v>0.02</v>
      </c>
      <c r="F72" s="124">
        <f>F55</f>
        <v>0.04</v>
      </c>
      <c r="G72" s="124"/>
      <c r="H72" s="124"/>
      <c r="I72" s="124"/>
      <c r="J72" s="124"/>
      <c r="K72" s="124"/>
      <c r="L72" s="124"/>
    </row>
    <row r="73" spans="1:21" x14ac:dyDescent="0.15">
      <c r="A73" s="131">
        <v>0</v>
      </c>
      <c r="B73" s="119">
        <f>C11</f>
        <v>37.610126034371191</v>
      </c>
      <c r="C73" s="119">
        <f>C11</f>
        <v>37.610126034371191</v>
      </c>
      <c r="D73" s="119">
        <f>C11</f>
        <v>37.610126034371191</v>
      </c>
      <c r="E73" s="119">
        <f>C11</f>
        <v>37.610126034371191</v>
      </c>
      <c r="F73" s="119">
        <f>C11</f>
        <v>37.610126034371191</v>
      </c>
      <c r="G73" s="296"/>
      <c r="H73" s="296"/>
      <c r="I73" s="296"/>
      <c r="J73" s="296"/>
      <c r="K73" s="296"/>
      <c r="L73" s="296"/>
    </row>
    <row r="74" spans="1:21" x14ac:dyDescent="0.15">
      <c r="A74" s="131">
        <v>1</v>
      </c>
      <c r="B74" s="119">
        <f t="shared" ref="B74:F87" si="11">(B56+FV_adjustments)/Common_Shares*scaling_factor*Exchange_Rate</f>
        <v>13.719449785878975</v>
      </c>
      <c r="C74" s="119">
        <f t="shared" si="11"/>
        <v>27.501557065155961</v>
      </c>
      <c r="D74" s="119">
        <f t="shared" si="11"/>
        <v>29.339171369059564</v>
      </c>
      <c r="E74" s="119">
        <f t="shared" si="11"/>
        <v>29.645440419710162</v>
      </c>
      <c r="F74" s="119">
        <f t="shared" si="11"/>
        <v>30.257978521011356</v>
      </c>
      <c r="G74" s="296"/>
      <c r="H74" s="296"/>
      <c r="I74" s="296"/>
      <c r="J74" s="296"/>
      <c r="K74" s="296"/>
      <c r="L74" s="296"/>
    </row>
    <row r="75" spans="1:21" x14ac:dyDescent="0.15">
      <c r="A75" s="131">
        <v>2</v>
      </c>
      <c r="B75" s="119">
        <f t="shared" si="11"/>
        <v>6.5707482574796696</v>
      </c>
      <c r="C75" s="119">
        <f t="shared" si="11"/>
        <v>26.126951354962433</v>
      </c>
      <c r="D75" s="119">
        <f t="shared" si="11"/>
        <v>29.608275679373516</v>
      </c>
      <c r="E75" s="119">
        <f t="shared" si="11"/>
        <v>30.208485988496133</v>
      </c>
      <c r="F75" s="119">
        <f t="shared" si="11"/>
        <v>31.426040539644934</v>
      </c>
      <c r="G75" s="296"/>
      <c r="H75" s="296"/>
      <c r="I75" s="296"/>
      <c r="J75" s="296"/>
      <c r="K75" s="296"/>
      <c r="L75" s="296"/>
    </row>
    <row r="76" spans="1:21" x14ac:dyDescent="0.15">
      <c r="A76" s="131">
        <v>3</v>
      </c>
      <c r="B76" s="119">
        <f t="shared" si="11"/>
        <v>3.2380202722119273</v>
      </c>
      <c r="C76" s="119">
        <f t="shared" si="11"/>
        <v>24.909351891387747</v>
      </c>
      <c r="D76" s="119">
        <f t="shared" si="11"/>
        <v>29.861697920321845</v>
      </c>
      <c r="E76" s="119">
        <f t="shared" si="11"/>
        <v>30.743969886082812</v>
      </c>
      <c r="F76" s="119">
        <f t="shared" si="11"/>
        <v>32.558706739532028</v>
      </c>
      <c r="G76" s="296"/>
      <c r="H76" s="296"/>
      <c r="I76" s="296"/>
      <c r="J76" s="296"/>
      <c r="K76" s="296"/>
      <c r="L76" s="296"/>
    </row>
    <row r="77" spans="1:21" x14ac:dyDescent="0.15">
      <c r="A77" s="131">
        <v>4</v>
      </c>
      <c r="B77" s="119">
        <f t="shared" si="11"/>
        <v>1.684300931760766</v>
      </c>
      <c r="C77" s="119">
        <f t="shared" si="11"/>
        <v>23.830825560016233</v>
      </c>
      <c r="D77" s="119">
        <f t="shared" si="11"/>
        <v>30.100351965410717</v>
      </c>
      <c r="E77" s="119">
        <f t="shared" si="11"/>
        <v>31.253241285186206</v>
      </c>
      <c r="F77" s="119">
        <f t="shared" si="11"/>
        <v>33.657049721240725</v>
      </c>
      <c r="G77" s="296"/>
      <c r="H77" s="296"/>
      <c r="I77" s="296"/>
      <c r="J77" s="296"/>
      <c r="K77" s="296"/>
      <c r="L77" s="296"/>
    </row>
    <row r="78" spans="1:21" x14ac:dyDescent="0.15">
      <c r="A78" s="131">
        <v>5</v>
      </c>
      <c r="B78" s="119">
        <f t="shared" si="11"/>
        <v>0.95995625089775327</v>
      </c>
      <c r="C78" s="119">
        <f t="shared" si="11"/>
        <v>22.875487550875974</v>
      </c>
      <c r="D78" s="119">
        <f t="shared" si="11"/>
        <v>30.325098432114462</v>
      </c>
      <c r="E78" s="119">
        <f t="shared" si="11"/>
        <v>31.737583315102729</v>
      </c>
      <c r="F78" s="119">
        <f t="shared" si="11"/>
        <v>34.72210958229158</v>
      </c>
      <c r="G78" s="296"/>
      <c r="H78" s="296"/>
      <c r="I78" s="296"/>
      <c r="J78" s="296"/>
      <c r="K78" s="296"/>
      <c r="L78" s="296"/>
    </row>
    <row r="79" spans="1:21" x14ac:dyDescent="0.15">
      <c r="A79" s="131">
        <v>6</v>
      </c>
      <c r="B79" s="119">
        <f t="shared" si="11"/>
        <v>0.62226642298958856</v>
      </c>
      <c r="C79" s="119">
        <f t="shared" si="11"/>
        <v>22.029267402919551</v>
      </c>
      <c r="D79" s="119">
        <f t="shared" si="11"/>
        <v>30.536747785373926</v>
      </c>
      <c r="E79" s="119">
        <f t="shared" si="11"/>
        <v>32.19821629460376</v>
      </c>
      <c r="F79" s="119">
        <f t="shared" si="11"/>
        <v>35.754894902098485</v>
      </c>
      <c r="G79" s="296"/>
      <c r="H79" s="296"/>
      <c r="I79" s="296"/>
      <c r="J79" s="296"/>
      <c r="K79" s="296"/>
      <c r="L79" s="296"/>
    </row>
    <row r="80" spans="1:21" x14ac:dyDescent="0.15">
      <c r="A80" s="131">
        <f t="shared" ref="A80" si="12">A62</f>
        <v>7</v>
      </c>
      <c r="B80" s="119">
        <f t="shared" si="11"/>
        <v>0.46483526778764755</v>
      </c>
      <c r="C80" s="119">
        <f t="shared" si="11"/>
        <v>21.279701770697091</v>
      </c>
      <c r="D80" s="119">
        <f t="shared" si="11"/>
        <v>30.736063260238321</v>
      </c>
      <c r="E80" s="119">
        <f t="shared" si="11"/>
        <v>32.636300806576763</v>
      </c>
      <c r="F80" s="119">
        <f t="shared" si="11"/>
        <v>36.756383697062759</v>
      </c>
      <c r="G80" s="296"/>
      <c r="H80" s="296"/>
      <c r="I80" s="296"/>
      <c r="J80" s="296"/>
      <c r="K80" s="296"/>
      <c r="L80" s="296"/>
    </row>
    <row r="81" spans="1:12" x14ac:dyDescent="0.15">
      <c r="A81" s="131">
        <v>8</v>
      </c>
      <c r="B81" s="119">
        <f t="shared" si="11"/>
        <v>0.39144078983802449</v>
      </c>
      <c r="C81" s="119">
        <f t="shared" si="11"/>
        <v>20.615750861036165</v>
      </c>
      <c r="D81" s="119">
        <f t="shared" si="11"/>
        <v>30.92376361418987</v>
      </c>
      <c r="E81" s="119">
        <f t="shared" si="11"/>
        <v>33.052940622159483</v>
      </c>
      <c r="F81" s="119">
        <f t="shared" si="11"/>
        <v>37.727524346725062</v>
      </c>
      <c r="G81" s="296"/>
      <c r="H81" s="296"/>
      <c r="I81" s="296"/>
      <c r="J81" s="296"/>
      <c r="K81" s="296"/>
      <c r="L81" s="296"/>
    </row>
    <row r="82" spans="1:12" x14ac:dyDescent="0.15">
      <c r="A82" s="131">
        <f t="shared" ref="A82" si="13">A64</f>
        <v>9</v>
      </c>
      <c r="B82" s="119">
        <f t="shared" si="11"/>
        <v>0.35722425000137037</v>
      </c>
      <c r="C82" s="119">
        <f t="shared" si="11"/>
        <v>20.027635836161682</v>
      </c>
      <c r="D82" s="119">
        <f t="shared" si="11"/>
        <v>31.100525719076639</v>
      </c>
      <c r="E82" s="119">
        <f t="shared" si="11"/>
        <v>33.449185481734659</v>
      </c>
      <c r="F82" s="119">
        <f t="shared" si="11"/>
        <v>38.66923649185216</v>
      </c>
      <c r="G82" s="296"/>
      <c r="H82" s="296"/>
      <c r="I82" s="296"/>
      <c r="J82" s="296"/>
      <c r="K82" s="296"/>
      <c r="L82" s="296"/>
    </row>
    <row r="83" spans="1:12" x14ac:dyDescent="0.15">
      <c r="A83" s="131">
        <f t="shared" ref="A83:A87" si="14">A65</f>
        <v>10</v>
      </c>
      <c r="B83" s="119">
        <f t="shared" si="11"/>
        <v>0.34127248317775549</v>
      </c>
      <c r="C83" s="119">
        <f t="shared" si="11"/>
        <v>19.506694788487319</v>
      </c>
      <c r="D83" s="119">
        <f t="shared" si="11"/>
        <v>31.266987002000324</v>
      </c>
      <c r="E83" s="119">
        <f t="shared" si="11"/>
        <v>33.826033739792166</v>
      </c>
      <c r="F83" s="119">
        <f t="shared" si="11"/>
        <v>39.582411905308732</v>
      </c>
      <c r="G83" s="296"/>
      <c r="H83" s="296"/>
      <c r="I83" s="296"/>
      <c r="J83" s="296"/>
      <c r="K83" s="296"/>
      <c r="L83" s="296"/>
    </row>
    <row r="84" spans="1:12" x14ac:dyDescent="0.15">
      <c r="A84" s="131">
        <f t="shared" si="14"/>
        <v>15</v>
      </c>
      <c r="B84" s="119">
        <f t="shared" si="11"/>
        <v>0.3276476171975613</v>
      </c>
      <c r="C84" s="119">
        <f t="shared" si="11"/>
        <v>17.669708910980084</v>
      </c>
      <c r="D84" s="119">
        <f t="shared" si="11"/>
        <v>31.96460855758643</v>
      </c>
      <c r="E84" s="119">
        <f t="shared" si="11"/>
        <v>35.45097821285249</v>
      </c>
      <c r="F84" s="119">
        <f t="shared" si="11"/>
        <v>43.749603577489481</v>
      </c>
      <c r="G84" s="296"/>
      <c r="H84" s="296"/>
      <c r="I84" s="296"/>
      <c r="J84" s="296"/>
      <c r="K84" s="296"/>
      <c r="L84" s="296"/>
    </row>
    <row r="85" spans="1:12" x14ac:dyDescent="0.15">
      <c r="A85" s="132">
        <f t="shared" si="14"/>
        <v>20</v>
      </c>
      <c r="B85" s="119">
        <f t="shared" si="11"/>
        <v>0.32734756572916368</v>
      </c>
      <c r="C85" s="119">
        <f t="shared" si="11"/>
        <v>16.668009681559884</v>
      </c>
      <c r="D85" s="119">
        <f t="shared" si="11"/>
        <v>32.481310692401976</v>
      </c>
      <c r="E85" s="119">
        <f t="shared" si="11"/>
        <v>36.715286194174091</v>
      </c>
      <c r="F85" s="119">
        <f t="shared" si="11"/>
        <v>47.322526675391053</v>
      </c>
      <c r="G85" s="296"/>
      <c r="H85" s="296"/>
      <c r="I85" s="296"/>
      <c r="J85" s="296"/>
      <c r="K85" s="296"/>
      <c r="L85" s="296"/>
    </row>
    <row r="86" spans="1:12" x14ac:dyDescent="0.15">
      <c r="A86" s="132">
        <f t="shared" si="14"/>
        <v>25</v>
      </c>
      <c r="B86" s="119">
        <f t="shared" si="11"/>
        <v>0.32734095789288675</v>
      </c>
      <c r="C86" s="119">
        <f t="shared" si="11"/>
        <v>16.121788091885712</v>
      </c>
      <c r="D86" s="119">
        <f t="shared" si="11"/>
        <v>32.864012594292944</v>
      </c>
      <c r="E86" s="119">
        <f t="shared" si="11"/>
        <v>37.698996528978952</v>
      </c>
      <c r="F86" s="119">
        <f t="shared" si="11"/>
        <v>50.385927754045539</v>
      </c>
      <c r="G86" s="296"/>
      <c r="H86" s="296"/>
      <c r="I86" s="296"/>
      <c r="J86" s="296"/>
      <c r="K86" s="296"/>
      <c r="L86" s="296"/>
    </row>
    <row r="87" spans="1:12" x14ac:dyDescent="0.15">
      <c r="A87" s="132">
        <f t="shared" si="14"/>
        <v>30</v>
      </c>
      <c r="B87" s="119">
        <f t="shared" si="11"/>
        <v>0.32734081237285167</v>
      </c>
      <c r="C87" s="119">
        <f t="shared" si="11"/>
        <v>15.823936185581584</v>
      </c>
      <c r="D87" s="119">
        <f t="shared" si="11"/>
        <v>33.147465546859614</v>
      </c>
      <c r="E87" s="119">
        <f t="shared" si="11"/>
        <v>38.464384422671081</v>
      </c>
      <c r="F87" s="119">
        <f t="shared" si="11"/>
        <v>53.012467959798393</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0.04</v>
      </c>
      <c r="D90" s="133">
        <f>Scenarios!D29</f>
        <v>5</v>
      </c>
      <c r="E90" s="127">
        <f>INDEX(B$73:F$87, MATCH(D90, A$73:A$87, 0), MATCH(C90, B$72:F$72, 0))</f>
        <v>34.72210958229158</v>
      </c>
      <c r="F90" s="130">
        <f>Scenarios!F29</f>
        <v>0.05</v>
      </c>
      <c r="G90" s="297"/>
      <c r="H90" s="297"/>
      <c r="I90" s="297"/>
      <c r="J90" s="297"/>
      <c r="K90" s="297"/>
      <c r="L90" s="297"/>
    </row>
    <row r="91" spans="1:12" x14ac:dyDescent="0.15">
      <c r="B91" s="120" t="str">
        <f>Scenarios!B22</f>
        <v>Optimistic</v>
      </c>
      <c r="C91" s="130">
        <f>Scenarios!C22</f>
        <v>0.02</v>
      </c>
      <c r="D91" s="133">
        <f>Scenarios!D22</f>
        <v>5</v>
      </c>
      <c r="E91" s="127">
        <f>INDEX(B$73:F$87, MATCH(D91, A$73:A$87, 0), MATCH(C91, B$72:F$72, 0))</f>
        <v>31.737583315102729</v>
      </c>
      <c r="F91" s="130">
        <f>Scenarios!F22*(1-F$90-F$94)</f>
        <v>0.24000000000000002</v>
      </c>
      <c r="G91" s="297"/>
      <c r="H91" s="297"/>
      <c r="I91" s="297"/>
      <c r="J91" s="297"/>
      <c r="K91" s="297"/>
      <c r="L91" s="297"/>
    </row>
    <row r="92" spans="1:12" x14ac:dyDescent="0.15">
      <c r="B92" s="120" t="str">
        <f>Scenarios!B23</f>
        <v>Base</v>
      </c>
      <c r="C92" s="130">
        <f>Scenarios!C23</f>
        <v>0.01</v>
      </c>
      <c r="D92" s="133">
        <f>Scenarios!D23</f>
        <v>5</v>
      </c>
      <c r="E92" s="127">
        <f>INDEX(B$73:F$87, MATCH(D92, A$73:A$87, 0), MATCH(C92, B$72:F$72, 0))</f>
        <v>30.325098432114462</v>
      </c>
      <c r="F92" s="130">
        <f>Scenarios!F23*(1-F$90-F$94)</f>
        <v>0.47999999999999993</v>
      </c>
      <c r="G92" s="297"/>
      <c r="H92" s="297"/>
      <c r="I92" s="297"/>
      <c r="J92" s="297"/>
      <c r="K92" s="297"/>
      <c r="L92" s="297"/>
    </row>
    <row r="93" spans="1:12" x14ac:dyDescent="0.15">
      <c r="B93" s="120" t="str">
        <f>Scenarios!B24</f>
        <v>Pessimistic</v>
      </c>
      <c r="C93" s="130">
        <f>Scenarios!C24</f>
        <v>-0.05</v>
      </c>
      <c r="D93" s="133">
        <f>Scenarios!D24</f>
        <v>5</v>
      </c>
      <c r="E93" s="127">
        <f>INDEX(B$73:F$87, MATCH(D93, A$73:A$87, 0), MATCH(C93, B$72:F$72, 0))</f>
        <v>22.875487550875974</v>
      </c>
      <c r="F93" s="130">
        <f>Scenarios!F24*(1-F$90-F$94)</f>
        <v>0.08</v>
      </c>
      <c r="G93" s="297"/>
      <c r="H93" s="297"/>
      <c r="I93" s="297"/>
      <c r="J93" s="297"/>
      <c r="K93" s="297"/>
      <c r="L93" s="297"/>
    </row>
    <row r="94" spans="1:12" x14ac:dyDescent="0.15">
      <c r="B94" s="120" t="str">
        <f>Scenarios!B30</f>
        <v>Devil's advocate</v>
      </c>
      <c r="C94" s="130">
        <f>Scenarios!C30</f>
        <v>-0.5</v>
      </c>
      <c r="D94" s="133">
        <f>Scenarios!D30</f>
        <v>5</v>
      </c>
      <c r="E94" s="127">
        <f>INDEX(B$73:F$87, MATCH(D94, A$73:A$87, 0), MATCH(C94, B$72:F$72, 0))</f>
        <v>0.95995625089775327</v>
      </c>
      <c r="F94" s="130">
        <f>Scenarios!F30</f>
        <v>0.15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1000000 CNY</v>
      </c>
      <c r="D6" s="469"/>
      <c r="E6" s="469"/>
      <c r="F6" s="469"/>
      <c r="G6" s="469"/>
    </row>
    <row r="7" spans="2:7" ht="12.75" customHeight="1" x14ac:dyDescent="0.15">
      <c r="B7" s="97" t="s">
        <v>232</v>
      </c>
      <c r="C7" s="447">
        <f>Normalized_FCF!G8</f>
        <v>192781</v>
      </c>
      <c r="D7" s="469"/>
      <c r="E7" s="469"/>
      <c r="F7" s="469"/>
      <c r="G7" s="469"/>
    </row>
    <row r="8" spans="2:7" x14ac:dyDescent="0.15">
      <c r="B8" s="97" t="s">
        <v>63</v>
      </c>
      <c r="C8" s="447">
        <f>Normalized_FCF!G19</f>
        <v>144352</v>
      </c>
      <c r="D8" s="469"/>
      <c r="E8" s="469"/>
      <c r="F8" s="469"/>
      <c r="G8" s="469"/>
    </row>
    <row r="9" spans="2:7" x14ac:dyDescent="0.15">
      <c r="B9" s="97" t="s">
        <v>54</v>
      </c>
      <c r="C9" s="447">
        <f>Normalized_FCF!C19</f>
        <v>101899.35305753999</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-2.0436295508985403E-3</v>
      </c>
      <c r="D12" s="469"/>
      <c r="E12" s="469"/>
      <c r="F12" s="469"/>
      <c r="G12" s="469"/>
    </row>
    <row r="13" spans="2:7" x14ac:dyDescent="0.15">
      <c r="B13" s="135" t="s">
        <v>127</v>
      </c>
      <c r="C13" s="249">
        <f ca="1">(Normalized_FCF!G8/OFFSET(Normalized_FCF!G8, 0, $C$4))^(1/$C$4) - 1</f>
        <v>-3.1235797583071268E-3</v>
      </c>
      <c r="D13" s="469"/>
      <c r="E13" s="469"/>
      <c r="F13" s="469"/>
      <c r="G13" s="469"/>
    </row>
    <row r="14" spans="2:7" x14ac:dyDescent="0.15">
      <c r="B14" s="97" t="s">
        <v>63</v>
      </c>
      <c r="C14" s="249">
        <f ca="1">(Normalized_FCF!G19/OFFSET(Normalized_FCF!G19, 0, $C$4))^(1/$C$4) - 1</f>
        <v>5.9127036213846296E-3</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5</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0.02</v>
      </c>
      <c r="D22" s="325">
        <f>C18</f>
        <v>5</v>
      </c>
      <c r="E22" s="326">
        <f>DCF!E91</f>
        <v>31.737583315102729</v>
      </c>
      <c r="F22" s="328">
        <f>1-F23-F24</f>
        <v>0.30000000000000004</v>
      </c>
      <c r="G22" s="328">
        <f>F22*(1-F$29-F$30)</f>
        <v>0.24000000000000002</v>
      </c>
    </row>
    <row r="23" spans="2:7" x14ac:dyDescent="0.15">
      <c r="B23" s="302" t="s">
        <v>437</v>
      </c>
      <c r="C23" s="324">
        <v>0.01</v>
      </c>
      <c r="D23" s="325">
        <f>C18</f>
        <v>5</v>
      </c>
      <c r="E23" s="326">
        <f>DCF!E92</f>
        <v>30.325098432114462</v>
      </c>
      <c r="F23" s="327">
        <v>0.6</v>
      </c>
      <c r="G23" s="328">
        <f t="shared" ref="G23:G24" si="0">F23*(1-F$29-F$30)</f>
        <v>0.47999999999999993</v>
      </c>
    </row>
    <row r="24" spans="2:7" x14ac:dyDescent="0.15">
      <c r="B24" s="302" t="s">
        <v>446</v>
      </c>
      <c r="C24" s="324">
        <v>-0.05</v>
      </c>
      <c r="D24" s="325">
        <f>C18</f>
        <v>5</v>
      </c>
      <c r="E24" s="326">
        <f>DCF!E93</f>
        <v>22.875487550875974</v>
      </c>
      <c r="F24" s="327">
        <v>0.1</v>
      </c>
      <c r="G24" s="328">
        <f t="shared" si="0"/>
        <v>0.08</v>
      </c>
    </row>
    <row r="25" spans="2:7" x14ac:dyDescent="0.15">
      <c r="B25" s="141" t="s">
        <v>451</v>
      </c>
      <c r="C25" s="441">
        <f>E23*F23+E24*F24+E22*F22</f>
        <v>30.003882808887095</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0.04</v>
      </c>
      <c r="D29" s="325">
        <f>C18</f>
        <v>5</v>
      </c>
      <c r="E29" s="326">
        <f>DCF!E90</f>
        <v>34.72210958229158</v>
      </c>
      <c r="F29" s="327">
        <v>0.05</v>
      </c>
      <c r="G29" s="328">
        <f>F29</f>
        <v>0.05</v>
      </c>
    </row>
    <row r="30" spans="2:7" x14ac:dyDescent="0.15">
      <c r="B30" s="315" t="s">
        <v>447</v>
      </c>
      <c r="C30" s="324">
        <v>-0.5</v>
      </c>
      <c r="D30" s="325">
        <f>C18</f>
        <v>5</v>
      </c>
      <c r="E30" s="326">
        <f>DCF!E94</f>
        <v>0.95995625089775327</v>
      </c>
      <c r="F30" s="327">
        <v>0.15</v>
      </c>
      <c r="G30" s="328">
        <f>F30</f>
        <v>0.15</v>
      </c>
    </row>
    <row r="31" spans="2:7" x14ac:dyDescent="0.15">
      <c r="E31" s="329"/>
      <c r="F31" s="329"/>
    </row>
    <row r="32" spans="2:7" x14ac:dyDescent="0.15">
      <c r="B32" s="145" t="s">
        <v>456</v>
      </c>
    </row>
    <row r="33" spans="2:7" x14ac:dyDescent="0.15">
      <c r="B33" s="97" t="s">
        <v>458</v>
      </c>
      <c r="C33" s="155">
        <f>Normalized_FCF!C88*(1-dividend_tax_rate)</f>
        <v>1.26</v>
      </c>
      <c r="D33" t="str">
        <f>Market_currency</f>
        <v>HKD</v>
      </c>
      <c r="E33" s="97" t="s">
        <v>455</v>
      </c>
      <c r="F33" s="219">
        <f>Holding_Period</f>
        <v>3</v>
      </c>
    </row>
    <row r="34" spans="2:7" x14ac:dyDescent="0.15">
      <c r="B34" s="97" t="s">
        <v>233</v>
      </c>
      <c r="C34" s="146">
        <f>Market_Price</f>
        <v>25.7</v>
      </c>
      <c r="D34" t="str">
        <f>Market_currency</f>
        <v>HKD</v>
      </c>
      <c r="E34" s="97" t="s">
        <v>454</v>
      </c>
      <c r="F34" s="330">
        <f>RATE(Holding_Period,$C$33,-C34,$C$36)</f>
        <v>5.1285635794498345E-2</v>
      </c>
    </row>
    <row r="35" spans="2:7" x14ac:dyDescent="0.15">
      <c r="B35" s="97" t="s">
        <v>434</v>
      </c>
      <c r="C35" s="320">
        <f>DCF!C11</f>
        <v>37.610126034371191</v>
      </c>
      <c r="D35" s="97" t="str">
        <f>Market_currency</f>
        <v>HKD</v>
      </c>
      <c r="E35" s="97" t="s">
        <v>454</v>
      </c>
      <c r="F35" s="330">
        <f>RATE(Holding_Period,$C$33,-C35,$C$36)</f>
        <v>-7.9105394414540259E-2</v>
      </c>
    </row>
    <row r="36" spans="2:7" x14ac:dyDescent="0.15">
      <c r="B36" s="97" t="s">
        <v>435</v>
      </c>
      <c r="C36" s="321">
        <f>E22*G22+E23*G23+E24*G24+E30*G30+E29*G29</f>
        <v>25.883205163858914</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550</v>
      </c>
      <c r="C40" s="126">
        <f>Normalized_FCF!E116</f>
        <v>0.32389125963769955</v>
      </c>
      <c r="E40" s="97" t="s">
        <v>401</v>
      </c>
    </row>
    <row r="41" spans="2:7" x14ac:dyDescent="0.15">
      <c r="B41" s="97" t="s">
        <v>400</v>
      </c>
      <c r="C41" s="455">
        <f>DCF!C16</f>
        <v>-2.4244845658407801E-2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5</v>
      </c>
      <c r="D45" s="137"/>
      <c r="E45" s="221" t="s">
        <v>307</v>
      </c>
    </row>
    <row r="46" spans="2:7" ht="14" x14ac:dyDescent="0.15">
      <c r="B46" s="114" t="s">
        <v>112</v>
      </c>
      <c r="C46" s="138">
        <v>-2.4244845658407801E-2</v>
      </c>
      <c r="D46" s="138"/>
      <c r="E46" s="221" t="s">
        <v>252</v>
      </c>
    </row>
    <row r="47" spans="2:7" x14ac:dyDescent="0.15">
      <c r="B47" s="97" t="s">
        <v>96</v>
      </c>
      <c r="C47" s="146">
        <f>DCF!I18</f>
        <v>25.867106096618006</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-6.1584441979262092E-2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1.26</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2.3056129858987506</v>
      </c>
      <c r="D62" s="119">
        <f>C36/(1+F62)^Holding_Period</f>
        <v>11.927744315142359</v>
      </c>
      <c r="E62" s="332">
        <f>C62+D62</f>
        <v>14.23335730104111</v>
      </c>
      <c r="F62" s="301">
        <f>Thesis!E22</f>
        <v>0.29465259038036606</v>
      </c>
      <c r="G62" s="440">
        <f>(1-E62/C36)</f>
        <v>0.45009293822252938</v>
      </c>
    </row>
    <row r="63" spans="2:7" x14ac:dyDescent="0.15">
      <c r="B63" s="302" t="s">
        <v>313</v>
      </c>
      <c r="C63" s="119">
        <f>PV(F63, Holding_Period, -C58, 0)</f>
        <v>2.6510449735590389</v>
      </c>
      <c r="D63" s="119">
        <f>C36/(1+F63)^Holding_Period</f>
        <v>14.950587820279523</v>
      </c>
      <c r="E63" s="332">
        <f>C63+D63</f>
        <v>17.601632793838561</v>
      </c>
      <c r="F63" s="301">
        <f>Thesis!E23</f>
        <v>0.20075184365903009</v>
      </c>
      <c r="G63" s="440">
        <f>(1-E63/C36)</f>
        <v>0.31995930633753311</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3.0398799386826978</v>
      </c>
      <c r="D66" s="119">
        <f>C36/(1+F66)^Holding_Period</f>
        <v>18.552056305730282</v>
      </c>
      <c r="E66" s="332">
        <f>C66+D66</f>
        <v>21.591936244412981</v>
      </c>
      <c r="F66" s="301">
        <f>Thesis!E24</f>
        <v>0.1174</v>
      </c>
      <c r="G66" s="440">
        <f>(1-E66/C36)</f>
        <v>0.16579356738391471</v>
      </c>
    </row>
    <row r="67" spans="2:7" x14ac:dyDescent="0.15">
      <c r="B67" s="302" t="s">
        <v>314</v>
      </c>
      <c r="C67" s="119">
        <f>PV(F67, Holding_Period, -C58, 0)</f>
        <v>3.2915927862380006</v>
      </c>
      <c r="D67" s="119">
        <f>C36/(1+F67)^Holding_Period</f>
        <v>20.980998476041041</v>
      </c>
      <c r="E67" s="332">
        <f>C67+D67</f>
        <v>24.272591262279043</v>
      </c>
      <c r="F67" s="301">
        <f>Thesis!E25</f>
        <v>7.2499999999999995E-2</v>
      </c>
      <c r="G67" s="440">
        <f>(1-E67/C36)</f>
        <v>6.2226215469975643E-2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45932</v>
      </c>
    </row>
    <row r="4" spans="1:10" x14ac:dyDescent="0.2">
      <c r="B4" s="422" t="s">
        <v>534</v>
      </c>
      <c r="C4" s="423" t="str">
        <f>Thesis!C4</f>
        <v>中国海油</v>
      </c>
      <c r="D4" s="349"/>
      <c r="E4" s="434" t="s">
        <v>540</v>
      </c>
      <c r="F4" s="437" t="str">
        <f>Thesis!F4</f>
        <v>INT</v>
      </c>
    </row>
    <row r="5" spans="1:10" x14ac:dyDescent="0.2">
      <c r="B5" s="343" t="s">
        <v>364</v>
      </c>
      <c r="C5" s="355" t="str">
        <f>Thesis!C5</f>
        <v>0883.HK</v>
      </c>
      <c r="E5" s="438" t="s">
        <v>541</v>
      </c>
      <c r="F5" s="439" t="str">
        <f>Thesis!F5</f>
        <v>Y</v>
      </c>
    </row>
    <row r="6" spans="1:10" x14ac:dyDescent="0.2">
      <c r="B6" s="350" t="s">
        <v>336</v>
      </c>
      <c r="C6" s="352" t="str">
        <f>Thesis!C6</f>
        <v>ENG_01</v>
      </c>
      <c r="E6" s="354"/>
    </row>
    <row r="7" spans="1:10" x14ac:dyDescent="0.2">
      <c r="B7" s="343" t="s">
        <v>366</v>
      </c>
      <c r="C7" s="352" t="str">
        <f>Market_currency</f>
        <v>HKD</v>
      </c>
      <c r="D7" s="354"/>
      <c r="E7" s="354"/>
    </row>
    <row r="8" spans="1:10" x14ac:dyDescent="0.2">
      <c r="B8" s="351" t="s">
        <v>365</v>
      </c>
      <c r="C8" s="356">
        <f>Market_Price</f>
        <v>25.7</v>
      </c>
    </row>
    <row r="9" spans="1:10" x14ac:dyDescent="0.2">
      <c r="B9" s="351" t="s">
        <v>361</v>
      </c>
      <c r="C9" s="353">
        <f>Common_Shares</f>
        <v>47529953984</v>
      </c>
    </row>
    <row r="10" spans="1:10" x14ac:dyDescent="0.2">
      <c r="B10" s="351" t="s">
        <v>367</v>
      </c>
      <c r="C10" s="357">
        <f>投资主题!C8*Common_Shares/1000000</f>
        <v>1221519.8173888</v>
      </c>
      <c r="D10" s="343" t="s">
        <v>529</v>
      </c>
      <c r="E10" s="360">
        <f>Scenarios!F34</f>
        <v>5.1285635794498345E-2</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535</v>
      </c>
      <c r="C17" s="424">
        <f>Terminal_Growth</f>
        <v>0.01</v>
      </c>
      <c r="D17" s="351" t="s">
        <v>339</v>
      </c>
      <c r="E17" s="344" t="str">
        <f>Reporting_currency</f>
        <v>CNY</v>
      </c>
    </row>
    <row r="18" spans="1:6" x14ac:dyDescent="0.2">
      <c r="B18" s="343" t="str">
        <f>"预期股权价值 ("&amp;C7&amp;") :"</f>
        <v>预期股权价值 (HKD) :</v>
      </c>
      <c r="C18" s="359">
        <f>C125</f>
        <v>25.883205163858914</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14.23335730104111</v>
      </c>
      <c r="D22" s="365" t="s">
        <v>440</v>
      </c>
      <c r="E22" s="366">
        <f>Thesis!E22</f>
        <v>0.29465259038036606</v>
      </c>
    </row>
    <row r="23" spans="1:6" x14ac:dyDescent="0.2">
      <c r="B23" s="343" t="s">
        <v>341</v>
      </c>
      <c r="C23" s="367">
        <f>E141</f>
        <v>17.601632793838561</v>
      </c>
      <c r="D23" s="365" t="s">
        <v>441</v>
      </c>
      <c r="E23" s="368">
        <f>Thesis!E23</f>
        <v>0.20075184365903009</v>
      </c>
    </row>
    <row r="24" spans="1:6" x14ac:dyDescent="0.2">
      <c r="B24" s="343" t="s">
        <v>343</v>
      </c>
      <c r="C24" s="367">
        <f>E144</f>
        <v>21.591936244412981</v>
      </c>
      <c r="D24" s="365" t="s">
        <v>443</v>
      </c>
      <c r="E24" s="368">
        <f>Thesis!E24</f>
        <v>0.1174</v>
      </c>
    </row>
    <row r="25" spans="1:6" x14ac:dyDescent="0.2">
      <c r="B25" s="343" t="s">
        <v>342</v>
      </c>
      <c r="C25" s="367">
        <f>E145</f>
        <v>24.272591262279043</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1000000</v>
      </c>
    </row>
    <row r="33" spans="2:6" x14ac:dyDescent="0.2">
      <c r="B33" s="470" t="s">
        <v>501</v>
      </c>
      <c r="C33" s="470"/>
      <c r="D33" s="470"/>
      <c r="E33" s="470"/>
      <c r="F33" s="470"/>
    </row>
    <row r="34" spans="2:6" x14ac:dyDescent="0.2">
      <c r="B34" s="372" t="s">
        <v>197</v>
      </c>
      <c r="C34" s="373">
        <f>Normalized_FCF!C8</f>
        <v>137373.14402521047</v>
      </c>
      <c r="D34" s="343" t="str">
        <f>Reporting_currency</f>
        <v>CNY</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74606</v>
      </c>
      <c r="D37" s="343" t="str">
        <f>Reporting_currency</f>
        <v>CNY</v>
      </c>
    </row>
    <row r="38" spans="2:6" x14ac:dyDescent="0.2">
      <c r="B38" s="375" t="s">
        <v>200</v>
      </c>
      <c r="C38" s="373">
        <f>Normalized_FCF!C16</f>
        <v>-84101.200000000012</v>
      </c>
      <c r="D38" s="343" t="str">
        <f>Reporting_currency</f>
        <v>CNY</v>
      </c>
    </row>
    <row r="40" spans="2:6" x14ac:dyDescent="0.2">
      <c r="B40" s="470" t="s">
        <v>503</v>
      </c>
      <c r="C40" s="470"/>
      <c r="D40" s="470"/>
      <c r="E40" s="470"/>
      <c r="F40" s="470"/>
    </row>
    <row r="41" spans="2:6" x14ac:dyDescent="0.2">
      <c r="B41" s="372" t="s">
        <v>202</v>
      </c>
      <c r="C41" s="373">
        <f>Normalized_FCF!C9</f>
        <v>1836</v>
      </c>
      <c r="D41" s="343" t="str">
        <f>Reporting_currency</f>
        <v>CNY</v>
      </c>
    </row>
    <row r="43" spans="2:6" x14ac:dyDescent="0.2">
      <c r="B43" s="470" t="s">
        <v>504</v>
      </c>
      <c r="C43" s="470"/>
      <c r="D43" s="470"/>
      <c r="E43" s="470"/>
      <c r="F43" s="470"/>
    </row>
    <row r="44" spans="2:6" x14ac:dyDescent="0.2">
      <c r="B44" s="372" t="s">
        <v>267</v>
      </c>
      <c r="C44" s="376">
        <f>Normalized_FCF!C46</f>
        <v>1341.7740000000001</v>
      </c>
      <c r="D44" s="343" t="str">
        <f>Reporting_currency</f>
        <v>CNY</v>
      </c>
      <c r="E44" s="371"/>
      <c r="F44" s="371"/>
    </row>
    <row r="45" spans="2:6" x14ac:dyDescent="0.2">
      <c r="B45" s="372" t="s">
        <v>268</v>
      </c>
      <c r="C45" s="376">
        <f>Normalized_FCF!C45</f>
        <v>-4352.7</v>
      </c>
      <c r="D45" s="343" t="str">
        <f>Reporting_currency</f>
        <v>CNY</v>
      </c>
      <c r="E45" s="371"/>
      <c r="F45" s="371"/>
    </row>
    <row r="46" spans="2:6" x14ac:dyDescent="0.2">
      <c r="B46" s="372" t="s">
        <v>203</v>
      </c>
      <c r="C46" s="373">
        <f>Normalized_FCF!C10</f>
        <v>-3010.9259999999995</v>
      </c>
      <c r="D46" s="343" t="str">
        <f>Reporting_currency</f>
        <v>CNY</v>
      </c>
    </row>
    <row r="48" spans="2:6" x14ac:dyDescent="0.2">
      <c r="B48" s="343" t="s">
        <v>505</v>
      </c>
    </row>
    <row r="49" spans="2:6" x14ac:dyDescent="0.2">
      <c r="B49" s="372" t="s">
        <v>223</v>
      </c>
      <c r="C49" s="373">
        <f>Normalized_FCF!C13</f>
        <v>-249.31046136785329</v>
      </c>
      <c r="D49" s="343" t="str">
        <f>Reporting_currency</f>
        <v>CNY</v>
      </c>
    </row>
    <row r="51" spans="2:6" x14ac:dyDescent="0.2">
      <c r="B51" s="470" t="s">
        <v>506</v>
      </c>
      <c r="C51" s="470"/>
      <c r="D51" s="470"/>
      <c r="E51" s="470"/>
      <c r="F51" s="470"/>
    </row>
    <row r="52" spans="2:6" x14ac:dyDescent="0.2">
      <c r="B52" s="372" t="s">
        <v>496</v>
      </c>
      <c r="C52" s="373">
        <f>Normalized_FCF!C12</f>
        <v>-34049.554506302615</v>
      </c>
      <c r="D52" s="343" t="str">
        <f>Reporting_currency</f>
        <v>CNY</v>
      </c>
    </row>
    <row r="54" spans="2:6" x14ac:dyDescent="0.2">
      <c r="B54" s="470" t="s">
        <v>507</v>
      </c>
      <c r="C54" s="473"/>
      <c r="D54" s="473"/>
      <c r="E54" s="473"/>
      <c r="F54" s="473"/>
    </row>
    <row r="55" spans="2:6" x14ac:dyDescent="0.2">
      <c r="B55" s="372" t="s">
        <v>207</v>
      </c>
      <c r="C55" s="373">
        <f>Normalized_FCF!C17</f>
        <v>0</v>
      </c>
      <c r="D55" s="343" t="str">
        <f>Reporting_currency</f>
        <v>CNY</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144352</v>
      </c>
      <c r="D60" s="343" t="str">
        <f>Reporting_currency</f>
        <v>CNY</v>
      </c>
    </row>
    <row r="61" spans="2:6" x14ac:dyDescent="0.2">
      <c r="B61" s="372" t="s">
        <v>213</v>
      </c>
      <c r="C61" s="373">
        <f>Normalized_FCF!C19</f>
        <v>101899.35305753999</v>
      </c>
      <c r="D61" s="343" t="str">
        <f>Reporting_currency</f>
        <v>CNY</v>
      </c>
    </row>
    <row r="62" spans="2:6" x14ac:dyDescent="0.2">
      <c r="B62" s="377" t="s">
        <v>302</v>
      </c>
      <c r="C62" s="378">
        <f>Normalized_FCF!C124</f>
        <v>9.4396811989593807E-2</v>
      </c>
      <c r="F62" s="379"/>
    </row>
    <row r="63" spans="2:6" x14ac:dyDescent="0.2">
      <c r="B63" s="377" t="s">
        <v>332</v>
      </c>
      <c r="C63" s="378">
        <f>Normalized_FCF!C92</f>
        <v>4.9027237354085602E-2</v>
      </c>
      <c r="E63" s="372" t="s">
        <v>373</v>
      </c>
      <c r="F63" s="380">
        <f>Normalized_FCF!C90</f>
        <v>0.65301627126155981</v>
      </c>
    </row>
    <row r="65" spans="1:6" x14ac:dyDescent="0.2">
      <c r="B65" s="369" t="s">
        <v>376</v>
      </c>
      <c r="C65" s="381" t="s">
        <v>327</v>
      </c>
      <c r="D65" s="381" t="s">
        <v>374</v>
      </c>
    </row>
    <row r="66" spans="1:6" x14ac:dyDescent="0.2">
      <c r="B66" s="372" t="s">
        <v>326</v>
      </c>
      <c r="C66" s="378">
        <f>Normalized_FCF!E119</f>
        <v>0.17275816461101692</v>
      </c>
      <c r="D66" s="378">
        <f>Normalized_FCF!G119</f>
        <v>0.24910987791342953</v>
      </c>
    </row>
    <row r="67" spans="1:6" x14ac:dyDescent="0.2">
      <c r="B67" s="382" t="str">
        <f>Normalized_FCF!B116</f>
        <v>Pre-tax Profit/Sales</v>
      </c>
      <c r="C67" s="383">
        <f>Normalized_FCF!E116</f>
        <v>0.32389125963769955</v>
      </c>
      <c r="D67" s="383">
        <f>Normalized_FCF!G116</f>
        <v>0.46703733121525021</v>
      </c>
    </row>
    <row r="68" spans="1:6" x14ac:dyDescent="0.2">
      <c r="B68" s="382" t="str">
        <f>Normalized_FCF!B117</f>
        <v>Sales/Total Assets</v>
      </c>
      <c r="C68" s="384">
        <f>Normalized_FCF!E117</f>
        <v>0.37580175109499292</v>
      </c>
      <c r="D68" s="384">
        <f>Normalized_FCF!G117</f>
        <v>0.37580175109499292</v>
      </c>
    </row>
    <row r="69" spans="1:6" x14ac:dyDescent="0.2">
      <c r="B69" s="382" t="str">
        <f>Normalized_FCF!B118</f>
        <v>Total Assets/Equity</v>
      </c>
      <c r="C69" s="384">
        <f>Normalized_FCF!E118</f>
        <v>1.419320754716981</v>
      </c>
      <c r="D69" s="384">
        <f>Normalized_FCF!G118</f>
        <v>1.419320754716981</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-72545</v>
      </c>
      <c r="D78" s="343" t="str">
        <f>Reporting_currency</f>
        <v>CNY</v>
      </c>
    </row>
    <row r="79" spans="1:6" x14ac:dyDescent="0.2">
      <c r="B79" s="372" t="s">
        <v>234</v>
      </c>
      <c r="C79" s="387">
        <f>C78*scaling_factor*Exchange_Rate/Common_Shares</f>
        <v>-1.7271358901885987</v>
      </c>
      <c r="D79" s="343" t="str">
        <f>Market_currency</f>
        <v>HKD</v>
      </c>
    </row>
    <row r="80" spans="1:6" x14ac:dyDescent="0.2">
      <c r="B80" s="382" t="s">
        <v>309</v>
      </c>
      <c r="C80" s="388">
        <f>IF(BS!G31/BS!G27&gt;300%,"nm",BS!G31/BS!G27)</f>
        <v>9.2018392262565404E-2</v>
      </c>
    </row>
    <row r="81" spans="1:6" x14ac:dyDescent="0.2">
      <c r="B81" s="382" t="s">
        <v>311</v>
      </c>
      <c r="C81" s="389">
        <f>IF(BS!C50&gt;30,"nm",BS!C50)</f>
        <v>0.52808720739977155</v>
      </c>
    </row>
    <row r="83" spans="1:6" x14ac:dyDescent="0.2">
      <c r="B83" s="343" t="s">
        <v>512</v>
      </c>
    </row>
    <row r="84" spans="1:6" x14ac:dyDescent="0.2">
      <c r="B84" s="343" t="s">
        <v>224</v>
      </c>
      <c r="C84" s="373">
        <f>DCF!F5</f>
        <v>0</v>
      </c>
      <c r="D84" s="343" t="str">
        <f>Reporting_currency</f>
        <v>CNY</v>
      </c>
    </row>
    <row r="85" spans="1:6" x14ac:dyDescent="0.2">
      <c r="B85" s="382" t="s">
        <v>481</v>
      </c>
      <c r="C85" s="390">
        <f>BS!C66</f>
        <v>223629</v>
      </c>
      <c r="D85" s="391" t="str">
        <f>Reporting_currency</f>
        <v>CNY</v>
      </c>
    </row>
    <row r="86" spans="1:6" x14ac:dyDescent="0.2">
      <c r="B86" s="372" t="s">
        <v>235</v>
      </c>
      <c r="C86" s="387">
        <f>C84*scaling_factor*Exchange_Rate/Common_Shares</f>
        <v>0</v>
      </c>
      <c r="D86" s="343" t="str">
        <f>Market_currency</f>
        <v>HKD</v>
      </c>
    </row>
    <row r="88" spans="1:6" x14ac:dyDescent="0.2">
      <c r="B88" s="343" t="s">
        <v>513</v>
      </c>
    </row>
    <row r="89" spans="1:6" x14ac:dyDescent="0.2">
      <c r="B89" s="343" t="s">
        <v>217</v>
      </c>
      <c r="C89" s="373">
        <f>DCF!F6</f>
        <v>5592</v>
      </c>
      <c r="D89" s="343" t="str">
        <f>Reporting_currency</f>
        <v>CNY</v>
      </c>
    </row>
    <row r="90" spans="1:6" x14ac:dyDescent="0.2">
      <c r="B90" s="372" t="s">
        <v>236</v>
      </c>
      <c r="C90" s="387">
        <f>C89*scaling_factor*Exchange_Rate/Common_Shares</f>
        <v>0.13313314353759245</v>
      </c>
      <c r="D90" s="343" t="str">
        <f>Market_currency</f>
        <v>HKD</v>
      </c>
    </row>
    <row r="92" spans="1:6" x14ac:dyDescent="0.2">
      <c r="B92" s="372" t="s">
        <v>480</v>
      </c>
      <c r="C92" s="387">
        <f>DCF!F8</f>
        <v>-1.5940027466510063</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0.46547675236374525</v>
      </c>
      <c r="D111" s="343" t="str">
        <f>Market_currency</f>
        <v>HKD</v>
      </c>
    </row>
    <row r="112" spans="1:6" x14ac:dyDescent="0.2">
      <c r="A112" s="385"/>
      <c r="B112" s="372" t="s">
        <v>377</v>
      </c>
      <c r="C112" s="394">
        <f>DCF!C11</f>
        <v>37.610126034371191</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0.04</v>
      </c>
      <c r="D118" s="397">
        <f>DCF!D90</f>
        <v>5</v>
      </c>
      <c r="E118" s="398" t="str">
        <f>ROUND(DCF!E90,2)&amp;" "&amp;Market_currency</f>
        <v>34.72 HKD</v>
      </c>
      <c r="F118" s="399">
        <f>DCF!F90</f>
        <v>0.05</v>
      </c>
    </row>
    <row r="119" spans="1:6" x14ac:dyDescent="0.2">
      <c r="A119" s="385"/>
      <c r="B119" s="400" t="str">
        <f>DCF!B91</f>
        <v>Optimistic</v>
      </c>
      <c r="C119" s="401">
        <f>DCF!C91</f>
        <v>0.02</v>
      </c>
      <c r="D119" s="402">
        <f>DCF!D91</f>
        <v>5</v>
      </c>
      <c r="E119" s="398" t="str">
        <f>ROUND(DCF!E91,2)&amp;" "&amp;Market_currency</f>
        <v>31.74 HKD</v>
      </c>
      <c r="F119" s="403">
        <f>DCF!F91</f>
        <v>0.24000000000000002</v>
      </c>
    </row>
    <row r="120" spans="1:6" x14ac:dyDescent="0.2">
      <c r="B120" s="400" t="str">
        <f>DCF!B92</f>
        <v>Base</v>
      </c>
      <c r="C120" s="401">
        <f>DCF!C92</f>
        <v>0.01</v>
      </c>
      <c r="D120" s="402">
        <f>DCF!D92</f>
        <v>5</v>
      </c>
      <c r="E120" s="398" t="str">
        <f>ROUND(DCF!E92,2)&amp;" "&amp;Market_currency</f>
        <v>30.33 HKD</v>
      </c>
      <c r="F120" s="403">
        <f>DCF!F92</f>
        <v>0.47999999999999993</v>
      </c>
    </row>
    <row r="121" spans="1:6" x14ac:dyDescent="0.2">
      <c r="B121" s="400" t="str">
        <f>DCF!B93</f>
        <v>Pessimistic</v>
      </c>
      <c r="C121" s="401">
        <f>DCF!C93</f>
        <v>-0.05</v>
      </c>
      <c r="D121" s="402">
        <f>DCF!D93</f>
        <v>5</v>
      </c>
      <c r="E121" s="398" t="str">
        <f>ROUND(DCF!E93,2)&amp;" "&amp;Market_currency</f>
        <v>22.88 HKD</v>
      </c>
      <c r="F121" s="403">
        <f>DCF!F93</f>
        <v>0.08</v>
      </c>
    </row>
    <row r="122" spans="1:6" x14ac:dyDescent="0.2">
      <c r="B122" s="400" t="str">
        <f>DCF!B94</f>
        <v>Devil's advocate</v>
      </c>
      <c r="C122" s="401">
        <f>DCF!C94</f>
        <v>-0.5</v>
      </c>
      <c r="D122" s="402">
        <f>DCF!D94</f>
        <v>5</v>
      </c>
      <c r="E122" s="398" t="str">
        <f>ROUND(DCF!E94,2)&amp;" "&amp;Market_currency</f>
        <v>0.96 HKD</v>
      </c>
      <c r="F122" s="403">
        <f>DCF!F94</f>
        <v>0.15</v>
      </c>
    </row>
    <row r="124" spans="1:6" x14ac:dyDescent="0.2">
      <c r="B124" s="470" t="s">
        <v>519</v>
      </c>
      <c r="C124" s="470"/>
      <c r="D124" s="470"/>
      <c r="E124" s="470"/>
      <c r="F124" s="470"/>
    </row>
    <row r="125" spans="1:6" x14ac:dyDescent="0.2">
      <c r="B125" s="372" t="s">
        <v>218</v>
      </c>
      <c r="C125" s="404">
        <f>Scenarios!C36</f>
        <v>25.883205163858914</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1.26</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2.3056129858987506</v>
      </c>
      <c r="D140" s="409">
        <f>Scenarios!D62</f>
        <v>11.927744315142359</v>
      </c>
      <c r="E140" s="410">
        <f>Scenarios!E62</f>
        <v>14.23335730104111</v>
      </c>
      <c r="F140" s="411">
        <f>E22</f>
        <v>0.29465259038036606</v>
      </c>
    </row>
    <row r="141" spans="1:6" x14ac:dyDescent="0.2">
      <c r="B141" s="408" t="s">
        <v>313</v>
      </c>
      <c r="C141" s="409">
        <f>Scenarios!C63</f>
        <v>2.6510449735590389</v>
      </c>
      <c r="D141" s="409">
        <f>Scenarios!D63</f>
        <v>14.950587820279523</v>
      </c>
      <c r="E141" s="410">
        <f>Scenarios!E63</f>
        <v>17.601632793838561</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3.0398799386826978</v>
      </c>
      <c r="D144" s="409">
        <f>Scenarios!D66</f>
        <v>18.552056305730282</v>
      </c>
      <c r="E144" s="410">
        <f>Scenarios!E66</f>
        <v>21.591936244412981</v>
      </c>
      <c r="F144" s="411">
        <f>E24</f>
        <v>0.1174</v>
      </c>
    </row>
    <row r="145" spans="1:6" x14ac:dyDescent="0.2">
      <c r="B145" s="408" t="s">
        <v>314</v>
      </c>
      <c r="C145" s="409">
        <f>Scenarios!C67</f>
        <v>3.2915927862380006</v>
      </c>
      <c r="D145" s="409">
        <f>Scenarios!D67</f>
        <v>20.980998476041041</v>
      </c>
      <c r="E145" s="410">
        <f>Scenarios!E67</f>
        <v>24.272591262279043</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