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1EE0FD-C41B-4F3C-915B-985289BAE6F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<sst xmlns="http://schemas.openxmlformats.org/spreadsheetml/2006/main" count="769" uniqueCount="560">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</sst>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29.44</v>
      </c>
      <c r="E8" s="32"/>
    </row>
    <row r="9" spans="1:9">
      <c r="B9" s="4" t="s">
        <v>346</v>
      </c>
      <c r="C9" s="48">
        <f>44539953984+2990000000</f>
        <v>47529953984</v>
      </c>
    </row>
    <row r="10" spans="1:9">
      <c r="B10" s="4" t="s">
        <v>352</v>
      </c>
      <c r="C10" s="33">
        <f>Thesis!C8*Common_Shares/1000000</f>
        <v>1399281.84528896</v>
      </c>
      <c r="D10" s="1" t="s">
        <v>528</v>
      </c>
      <c r="E10" s="303">
        <f>Scenarios!F34</f>
        <v>3.7942195625982316E-3</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0.01</v>
      </c>
      <c r="D17" s="4" t="s">
        <v>274</v>
      </c>
      <c r="E17" s="224" t="s">
        <v>559</v>
      </c>
    </row>
    <row r="18" spans="1:6">
      <c r="B18" s="1" t="str">
        <f>"Expected Equity Value ("&amp;C7&amp;") :"</f>
        <v>Expected Equity Value (HKD) :</v>
      </c>
      <c r="C18" s="252">
        <f>C125</f>
        <v>25.982018254537458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14.114437075347045</v>
      </c>
      <c r="D22" s="38" t="s">
        <v>406</v>
      </c>
      <c r="E22" s="79">
        <v>0.3</v>
      </c>
    </row>
    <row r="23" spans="1:6">
      <c r="B23" s="1" t="s">
        <v>313</v>
      </c>
      <c r="C23" s="256">
        <f>E141</f>
        <v>17.690056860264733</v>
      </c>
      <c r="D23" s="38" t="s">
        <v>407</v>
      </c>
      <c r="E23" s="443">
        <v>0.2</v>
      </c>
    </row>
    <row r="24" spans="1:6">
      <c r="B24" s="1" t="s">
        <v>315</v>
      </c>
      <c r="C24" s="256">
        <f>E144</f>
        <v>21.662761554122742</v>
      </c>
      <c r="D24" s="38" t="s">
        <v>408</v>
      </c>
      <c r="E24" s="443">
        <v>0.1174</v>
      </c>
    </row>
    <row r="25" spans="1:6">
      <c r="B25" s="1" t="s">
        <v>314</v>
      </c>
      <c r="C25" s="256">
        <f>E145</f>
        <v>24.352689429867432</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8.2719418697393493E-2</v>
      </c>
      <c r="F62" s="257"/>
    </row>
    <row r="63" spans="2:6">
      <c r="B63" s="204" t="s">
        <v>332</v>
      </c>
      <c r="C63" s="89">
        <f>Normalized_FCF!C92</f>
        <v>4.2798913043478257E-2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-1.7337294953565427</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0.13364139965585203</v>
      </c>
      <c r="D90" s="1" t="str">
        <f>Market_currency</f>
        <v>HKD</v>
      </c>
    </row>
    <row r="91" spans="1:6">
      <c r="A91" s="191"/>
    </row>
    <row r="92" spans="1:6">
      <c r="A92" s="191"/>
      <c r="B92" s="44" t="s">
        <v>469</v>
      </c>
      <c r="C92" s="216">
        <f>DCF!F8</f>
        <v>-1.6000880957006904</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0.4672537809909531</v>
      </c>
      <c r="D111" s="1" t="str">
        <f>Market_currency</f>
        <v>HKD</v>
      </c>
    </row>
    <row r="112" spans="2:6">
      <c r="B112" s="44" t="s">
        <v>323</v>
      </c>
      <c r="C112" s="216">
        <f>DCF!C11</f>
        <v>37.753708437351747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34.85 HKD</v>
      </c>
      <c r="E118" s="208">
        <f>DCF!F90</f>
        <v>0.05</v>
      </c>
      <c r="F118" s="208">
        <f>RATE(Holding_Period,Scenarios!C$58,-DCF!E90,C$18)</f>
        <v>-5.3400586619846299E-2</v>
      </c>
    </row>
    <row r="119" spans="2:6">
      <c r="B119" s="205" t="str">
        <f>DCF!B91&amp;" ("&amp;DCF!D91&amp;"yrs)"</f>
        <v>Optimistic (5yrs)</v>
      </c>
      <c r="C119" s="198">
        <f>DCF!C91</f>
        <v>0.02</v>
      </c>
      <c r="D119" s="207" t="str">
        <f>ROUND(DCF!E91,2)&amp;" "&amp;Market_currency</f>
        <v>31.86 HKD</v>
      </c>
      <c r="E119" s="199">
        <f>DCF!F91</f>
        <v>0.24000000000000002</v>
      </c>
      <c r="F119" s="208">
        <f>RATE(Holding_Period,Scenarios!C$58,-DCF!E91,C$18)</f>
        <v>-2.3399219241493928E-2</v>
      </c>
    </row>
    <row r="120" spans="2:6">
      <c r="B120" s="205" t="str">
        <f>DCF!B92&amp;" ("&amp;DCF!D92&amp;"yrs)"</f>
        <v>Base (5yrs)</v>
      </c>
      <c r="C120" s="198">
        <f>DCF!C92</f>
        <v>0.01</v>
      </c>
      <c r="D120" s="207" t="str">
        <f>ROUND(DCF!E92,2)&amp;" "&amp;Market_currency</f>
        <v>30.44 HKD</v>
      </c>
      <c r="E120" s="199">
        <f>DCF!F92</f>
        <v>0.47999999999999993</v>
      </c>
      <c r="F120" s="208">
        <f>RATE(Holding_Period,Scenarios!C$58,-DCF!E92,C$18)</f>
        <v>-7.8172216365453885E-3</v>
      </c>
    </row>
    <row r="121" spans="2:6">
      <c r="B121" s="205" t="str">
        <f>DCF!B93&amp;" ("&amp;DCF!D93&amp;"yrs)"</f>
        <v>Pessimistic (5yrs)</v>
      </c>
      <c r="C121" s="198">
        <f>DCF!C93</f>
        <v>-0.05</v>
      </c>
      <c r="D121" s="207" t="str">
        <f>ROUND(DCF!E93,2)&amp;" "&amp;Market_currency</f>
        <v>22.96 HKD</v>
      </c>
      <c r="E121" s="199">
        <f>DCF!F93</f>
        <v>0.08</v>
      </c>
      <c r="F121" s="208">
        <f>RATE(Holding_Period,Scenarios!C$58,-DCF!E93,C$18)</f>
        <v>9.4794592473296982E-2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2" t="s">
        <v>357</v>
      </c>
      <c r="C124" s="462"/>
      <c r="D124" s="462"/>
      <c r="E124" s="462"/>
      <c r="F124" s="462"/>
    </row>
    <row r="125" spans="2:6">
      <c r="B125" s="193" t="s">
        <v>218</v>
      </c>
      <c r="C125" s="197">
        <f>Scenarios!C36</f>
        <v>25.982018254537458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11.826134845032978</v>
      </c>
      <c r="E140" s="334">
        <f>Scenarios!E62</f>
        <v>14.114437075347045</v>
      </c>
      <c r="F140" s="335">
        <f>E22</f>
        <v>0.3</v>
      </c>
    </row>
    <row r="141" spans="1:6">
      <c r="B141" s="336" t="s">
        <v>313</v>
      </c>
      <c r="C141" s="333">
        <f>Scenarios!C63</f>
        <v>2.6541666666666663</v>
      </c>
      <c r="D141" s="333">
        <f>Scenarios!D63</f>
        <v>15.035890193598066</v>
      </c>
      <c r="E141" s="334">
        <f>Scenarios!E63</f>
        <v>17.690056860264733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18.622881615440043</v>
      </c>
      <c r="E144" s="334">
        <f>Scenarios!E66</f>
        <v>21.662761554122742</v>
      </c>
      <c r="F144" s="335">
        <f>E24</f>
        <v>0.1174</v>
      </c>
    </row>
    <row r="145" spans="1:6">
      <c r="B145" s="336" t="s">
        <v>314</v>
      </c>
      <c r="C145" s="333">
        <f>Scenarios!C67</f>
        <v>3.2915927862380006</v>
      </c>
      <c r="D145" s="333">
        <f>Scenarios!D67</f>
        <v>21.06109664362943</v>
      </c>
      <c r="E145" s="334">
        <f>Scenarios!E67</f>
        <v>24.352689429867432</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18.795544403529799</v>
      </c>
      <c r="D47" s="134">
        <f>D46*H1/Common_Shares*Exchange_Rate</f>
        <v>0.4672537809909531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-82404.083135000008</v>
      </c>
      <c r="D86" s="201">
        <f>C86*scaling_factor/Common_Shares</f>
        <v>-1.7337294953565427</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6351.9695760000004</v>
      </c>
      <c r="D88" s="201">
        <f>C88*scaling_factor/Common_Shares</f>
        <v>0.13364139965585203</v>
      </c>
      <c r="E88" s="214" t="str">
        <f>Market_currency</f>
        <v>HKD</v>
      </c>
    </row>
    <row r="89" spans="2:8" ht="15" customHeight="1">
      <c r="B89" s="77" t="s">
        <v>244</v>
      </c>
      <c r="C89" s="162">
        <f>SUM(C86:C88)</f>
        <v>-76052.113559000005</v>
      </c>
      <c r="D89" s="216">
        <f>SUM(D86:D88)</f>
        <v>-1.6000880957006907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4.2798913043478257E-2</v>
      </c>
      <c r="E92" s="237"/>
      <c r="G92" s="22">
        <f t="shared" ref="G92:Q92" si="38">IF(G$4="","",(G88*(1-dividend_tax_rate))/Market_Price)</f>
        <v>4.2798913043478257E-2</v>
      </c>
      <c r="H92" s="22">
        <f t="shared" si="38"/>
        <v>3.8213315217391304E-2</v>
      </c>
      <c r="I92" s="22">
        <f t="shared" si="38"/>
        <v>4.4327445652173912E-2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2.4352596864512646</v>
      </c>
      <c r="D123" s="26"/>
      <c r="E123" s="234"/>
      <c r="F123" s="26"/>
      <c r="G123" s="159">
        <f t="shared" ref="G123:Q123" si="48">IF(G$4="","",G14*$C$3/Common_Shares*Exchange_Rate)</f>
        <v>3.4498217673679457</v>
      </c>
      <c r="H123" s="159">
        <f t="shared" si="48"/>
        <v>3.0243297288356161</v>
      </c>
      <c r="I123" s="159">
        <f t="shared" si="48"/>
        <v>3.4093852065278707</v>
      </c>
      <c r="J123" s="159">
        <f t="shared" si="48"/>
        <v>1.838047218800354</v>
      </c>
      <c r="K123" s="159">
        <f t="shared" si="48"/>
        <v>0.69123077063619665</v>
      </c>
      <c r="L123" s="159">
        <f t="shared" si="48"/>
        <v>1.450248782448442</v>
      </c>
      <c r="M123" s="159">
        <f t="shared" si="48"/>
        <v>1.2274123786536688</v>
      </c>
      <c r="N123" s="159">
        <f t="shared" si="48"/>
        <v>7.1542600354392984</v>
      </c>
      <c r="O123" s="159">
        <f t="shared" si="48"/>
        <v>6.7293893624990728</v>
      </c>
      <c r="P123" s="159">
        <f t="shared" si="48"/>
        <v>6.7778319800066571</v>
      </c>
      <c r="Q123" s="159" t="str">
        <f t="shared" si="48"/>
        <v/>
      </c>
    </row>
    <row r="124" spans="1:17" ht="15.75" customHeight="1">
      <c r="A124" s="10"/>
      <c r="B124" s="26" t="s">
        <v>226</v>
      </c>
      <c r="C124" s="74">
        <f>C19*Exchange_Rate*$C$3/(Market_Price*Common_Shares)</f>
        <v>8.2719418697393493E-2</v>
      </c>
      <c r="D124" s="26"/>
      <c r="E124" s="234"/>
      <c r="F124" s="26"/>
      <c r="G124" s="74">
        <f t="shared" ref="G124" si="49">IF(G$4="","",G123/Market_Price)</f>
        <v>0.1171814459024438</v>
      </c>
      <c r="H124" s="74">
        <f t="shared" ref="H124" si="50">IF(H$4="","",H123/Market_Price)</f>
        <v>0.10272859133273152</v>
      </c>
      <c r="I124" s="74">
        <f t="shared" ref="I124" si="51">IF(I$4="","",I123/Market_Price)</f>
        <v>0.11580792141738691</v>
      </c>
      <c r="J124" s="74">
        <f t="shared" ref="J124" si="52">IF(J$4="","",J123/Market_Price)</f>
        <v>6.2433669116859852E-2</v>
      </c>
      <c r="K124" s="74">
        <f t="shared" ref="K124" si="53">IF(K$4="","",K123/Market_Price)</f>
        <v>2.3479306067805593E-2</v>
      </c>
      <c r="L124" s="74">
        <f t="shared" ref="L124" si="54">IF(L$4="","",L123/Market_Price)</f>
        <v>4.926116788208023E-2</v>
      </c>
      <c r="M124" s="74">
        <f t="shared" ref="M124" si="55">IF(M$4="","",M123/Market_Price)</f>
        <v>4.1691996557529511E-2</v>
      </c>
      <c r="N124" s="74">
        <f t="shared" ref="N124" si="56">IF(N$4="","",N123/Market_Price)</f>
        <v>0.24301155011682399</v>
      </c>
      <c r="O124" s="74">
        <f t="shared" ref="O124" si="57">IF(O$4="","",O123/Market_Price)</f>
        <v>0.22857980171532175</v>
      </c>
      <c r="P124" s="74">
        <f t="shared" ref="P124" si="58">IF(P$4="","",P123/Market_Price)</f>
        <v>0.23022527106000873</v>
      </c>
      <c r="Q124" s="74" t="str">
        <f t="shared" ref="Q124" si="59">IF(Q$4="","",Q123/Market_Price)</f>
        <v/>
      </c>
    </row>
    <row r="125" spans="1:17" ht="15.75" customHeight="1">
      <c r="B125" s="2" t="s">
        <v>306</v>
      </c>
      <c r="C125" s="151"/>
      <c r="G125" s="22">
        <f>IF(G$4="","",(Data!C47*$C$3)/(Market_Price*Common_Shares))</f>
        <v>9.8609154735017593E-2</v>
      </c>
      <c r="H125" s="22">
        <f>IF(H$4="","",(Data!D47*$C$3)/(Market_Price*Common_Shares))</f>
        <v>8.8681204875044092E-2</v>
      </c>
      <c r="I125" s="22">
        <f>IF(I$4="","",(Data!E47*$C$3)/(Market_Price*Common_Shares))</f>
        <v>0.10124979501234282</v>
      </c>
      <c r="J125" s="22">
        <f>IF(J$4="","",(Data!F47*$C$3)/(Market_Price*Common_Shares))</f>
        <v>5.0245059804575103E-2</v>
      </c>
      <c r="K125" s="22">
        <f>IF(K$4="","",(Data!G47*$C$3)/(Market_Price*Common_Shares))</f>
        <v>1.7834625300127801E-2</v>
      </c>
      <c r="L125" s="22">
        <f>IF(L$4="","",(Data!H47*$C$3)/(Market_Price*Common_Shares))</f>
        <v>4.3626278155130177E-2</v>
      </c>
      <c r="M125" s="22">
        <f>IF(M$4="","",(Data!I47*$C$3)/(Market_Price*Common_Shares))</f>
        <v>3.7644568517304119E-2</v>
      </c>
      <c r="N125" s="22">
        <f>IF(N$4="","",(Data!J47*$C$3)/(Market_Price*Common_Shares))</f>
        <v>5.0235769324573687E-2</v>
      </c>
      <c r="O125" s="22">
        <f>IF(O$4="","",(Data!K47*$C$3)/(Market_Price*Common_Shares))</f>
        <v>4.2285977052593751E-2</v>
      </c>
      <c r="P125" s="22">
        <f>IF(P$4="","",(Data!L47*$C$3)/(Market_Price*Common_Shares))</f>
        <v>3.0977318933948433E-2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-1.6000880957006904</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1794432.0247526811</v>
      </c>
      <c r="D10" t="str">
        <f>Market_currency</f>
        <v>HKD</v>
      </c>
      <c r="H10" s="308" t="s">
        <v>397</v>
      </c>
      <c r="I10" s="306">
        <f>Normalized_FCF!C41</f>
        <v>0.25</v>
      </c>
      <c r="N10" s="304"/>
      <c r="O10" s="304"/>
    </row>
    <row r="11" spans="2:15" ht="13.15">
      <c r="B11" s="136" t="s">
        <v>425</v>
      </c>
      <c r="C11" s="108">
        <f>(C10*scaling_factor)/Common_Shares</f>
        <v>37.753708437351747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25.965857726647407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37.753708437351747</v>
      </c>
      <c r="C73" s="119">
        <f>C11</f>
        <v>37.753708437351747</v>
      </c>
      <c r="D73" s="119">
        <f>C11</f>
        <v>37.753708437351747</v>
      </c>
      <c r="E73" s="119">
        <f>C11</f>
        <v>37.753708437351747</v>
      </c>
      <c r="F73" s="119">
        <f>C11</f>
        <v>37.753708437351747</v>
      </c>
      <c r="G73" s="296"/>
      <c r="H73" s="296"/>
      <c r="I73" s="296"/>
      <c r="J73" s="296"/>
      <c r="K73" s="296"/>
      <c r="L73" s="296"/>
    </row>
    <row r="74" spans="1:21" ht="13.15">
      <c r="A74" s="131">
        <v>1</v>
      </c>
      <c r="B74" s="119">
        <f t="shared" ref="B74:F87" si="11">(B56+FV_adjustments)/Common_Shares*scaling_factor*Exchange_Rate</f>
        <v>13.771825881774728</v>
      </c>
      <c r="C74" s="119">
        <f t="shared" si="11"/>
        <v>27.606548461502605</v>
      </c>
      <c r="D74" s="119">
        <f t="shared" si="11"/>
        <v>29.451178138799662</v>
      </c>
      <c r="E74" s="119">
        <f t="shared" si="11"/>
        <v>29.75861641834917</v>
      </c>
      <c r="F74" s="119">
        <f t="shared" si="11"/>
        <v>30.373492977448183</v>
      </c>
      <c r="G74" s="296"/>
      <c r="H74" s="296"/>
      <c r="I74" s="296"/>
      <c r="J74" s="296"/>
      <c r="K74" s="296"/>
      <c r="L74" s="296"/>
    </row>
    <row r="75" spans="1:21" ht="13.15">
      <c r="A75" s="131">
        <v>2</v>
      </c>
      <c r="B75" s="119">
        <f t="shared" si="11"/>
        <v>6.5958330929659175</v>
      </c>
      <c r="C75" s="119">
        <f t="shared" si="11"/>
        <v>26.226694983970038</v>
      </c>
      <c r="D75" s="119">
        <f t="shared" si="11"/>
        <v>29.721309795937501</v>
      </c>
      <c r="E75" s="119">
        <f t="shared" si="11"/>
        <v>30.323811499627602</v>
      </c>
      <c r="F75" s="119">
        <f t="shared" si="11"/>
        <v>31.546014251318301</v>
      </c>
      <c r="G75" s="296"/>
      <c r="H75" s="296"/>
      <c r="I75" s="296"/>
      <c r="J75" s="296"/>
      <c r="K75" s="296"/>
      <c r="L75" s="296"/>
    </row>
    <row r="76" spans="1:21" ht="13.15">
      <c r="A76" s="131">
        <v>3</v>
      </c>
      <c r="B76" s="119">
        <f t="shared" si="11"/>
        <v>3.2503819093720652</v>
      </c>
      <c r="C76" s="119">
        <f t="shared" si="11"/>
        <v>25.004447148393407</v>
      </c>
      <c r="D76" s="119">
        <f t="shared" si="11"/>
        <v>29.975699515013684</v>
      </c>
      <c r="E76" s="119">
        <f t="shared" si="11"/>
        <v>30.861339688815502</v>
      </c>
      <c r="F76" s="119">
        <f t="shared" si="11"/>
        <v>32.683004577495375</v>
      </c>
      <c r="G76" s="296"/>
      <c r="H76" s="296"/>
      <c r="I76" s="296"/>
      <c r="J76" s="296"/>
      <c r="K76" s="296"/>
      <c r="L76" s="296"/>
    </row>
    <row r="77" spans="1:21" ht="13.15">
      <c r="A77" s="131">
        <v>4</v>
      </c>
      <c r="B77" s="119">
        <f t="shared" si="11"/>
        <v>1.6907310079297104</v>
      </c>
      <c r="C77" s="119">
        <f t="shared" si="11"/>
        <v>23.921803377952568</v>
      </c>
      <c r="D77" s="119">
        <f t="shared" si="11"/>
        <v>30.215264658386129</v>
      </c>
      <c r="E77" s="119">
        <f t="shared" si="11"/>
        <v>31.372555309301873</v>
      </c>
      <c r="F77" s="119">
        <f t="shared" si="11"/>
        <v>33.785540651364052</v>
      </c>
      <c r="G77" s="296"/>
      <c r="H77" s="296"/>
      <c r="I77" s="296"/>
      <c r="J77" s="296"/>
      <c r="K77" s="296"/>
      <c r="L77" s="296"/>
    </row>
    <row r="78" spans="1:21" ht="13.15">
      <c r="A78" s="131">
        <v>5</v>
      </c>
      <c r="B78" s="119">
        <f t="shared" si="11"/>
        <v>0.96362103056730675</v>
      </c>
      <c r="C78" s="119">
        <f t="shared" si="11"/>
        <v>22.962818219986335</v>
      </c>
      <c r="D78" s="119">
        <f t="shared" si="11"/>
        <v>30.440869129067877</v>
      </c>
      <c r="E78" s="119">
        <f t="shared" si="11"/>
        <v>31.858746388925283</v>
      </c>
      <c r="F78" s="119">
        <f t="shared" si="11"/>
        <v>34.854666541176101</v>
      </c>
      <c r="G78" s="296"/>
      <c r="H78" s="296"/>
      <c r="I78" s="296"/>
      <c r="J78" s="296"/>
      <c r="K78" s="296"/>
      <c r="L78" s="296"/>
    </row>
    <row r="79" spans="1:21" ht="13.15">
      <c r="A79" s="131">
        <v>6</v>
      </c>
      <c r="B79" s="119">
        <f t="shared" si="11"/>
        <v>0.62464202014194348</v>
      </c>
      <c r="C79" s="119">
        <f t="shared" si="11"/>
        <v>22.113367497312264</v>
      </c>
      <c r="D79" s="119">
        <f t="shared" si="11"/>
        <v>30.653326486073528</v>
      </c>
      <c r="E79" s="119">
        <f t="shared" si="11"/>
        <v>32.321137905210485</v>
      </c>
      <c r="F79" s="119">
        <f t="shared" si="11"/>
        <v>35.891394676751432</v>
      </c>
      <c r="G79" s="296"/>
      <c r="H79" s="296"/>
      <c r="I79" s="296"/>
      <c r="J79" s="296"/>
      <c r="K79" s="296"/>
      <c r="L79" s="296"/>
    </row>
    <row r="80" spans="1:21" ht="13.15">
      <c r="A80" s="131">
        <f t="shared" ref="A80" si="12">A62</f>
        <v>7</v>
      </c>
      <c r="B80" s="119">
        <f t="shared" si="11"/>
        <v>0.46660984744946699</v>
      </c>
      <c r="C80" s="119">
        <f t="shared" si="11"/>
        <v>21.360940283754825</v>
      </c>
      <c r="D80" s="119">
        <f t="shared" si="11"/>
        <v>30.853402878218709</v>
      </c>
      <c r="E80" s="119">
        <f t="shared" si="11"/>
        <v>32.76089487174746</v>
      </c>
      <c r="F80" s="119">
        <f t="shared" si="11"/>
        <v>36.896706808218418</v>
      </c>
      <c r="G80" s="296"/>
      <c r="H80" s="296"/>
      <c r="I80" s="296"/>
      <c r="J80" s="296"/>
      <c r="K80" s="296"/>
      <c r="L80" s="296"/>
    </row>
    <row r="81" spans="1:12" ht="13.15">
      <c r="A81" s="131">
        <v>8</v>
      </c>
      <c r="B81" s="119">
        <f t="shared" si="11"/>
        <v>0.39293517486556168</v>
      </c>
      <c r="C81" s="119">
        <f t="shared" si="11"/>
        <v>20.694454640044267</v>
      </c>
      <c r="D81" s="119">
        <f t="shared" si="11"/>
        <v>31.041819806952169</v>
      </c>
      <c r="E81" s="119">
        <f t="shared" si="11"/>
        <v>33.179125273488914</v>
      </c>
      <c r="F81" s="119">
        <f t="shared" si="11"/>
        <v>37.871554935701546</v>
      </c>
      <c r="G81" s="296"/>
      <c r="H81" s="296"/>
      <c r="I81" s="296"/>
      <c r="J81" s="296"/>
      <c r="K81" s="296"/>
      <c r="L81" s="296"/>
    </row>
    <row r="82" spans="1:12" ht="13.15">
      <c r="A82" s="131">
        <f t="shared" ref="A82" si="13">A64</f>
        <v>9</v>
      </c>
      <c r="B82" s="119">
        <f t="shared" si="11"/>
        <v>0.35858800815977832</v>
      </c>
      <c r="C82" s="119">
        <f t="shared" si="11"/>
        <v>20.104094396198086</v>
      </c>
      <c r="D82" s="119">
        <f t="shared" si="11"/>
        <v>31.219256728183673</v>
      </c>
      <c r="E82" s="119">
        <f t="shared" si="11"/>
        <v>33.57688285836192</v>
      </c>
      <c r="F82" s="119">
        <f t="shared" si="11"/>
        <v>38.81686221083671</v>
      </c>
      <c r="G82" s="296"/>
      <c r="H82" s="296"/>
      <c r="I82" s="296"/>
      <c r="J82" s="296"/>
      <c r="K82" s="296"/>
      <c r="L82" s="296"/>
    </row>
    <row r="83" spans="1:12" ht="13.15">
      <c r="A83" s="131">
        <f t="shared" ref="A83:A87" si="14">A65</f>
        <v>10</v>
      </c>
      <c r="B83" s="119">
        <f t="shared" si="11"/>
        <v>0.34257534302887704</v>
      </c>
      <c r="C83" s="119">
        <f t="shared" si="11"/>
        <v>19.581164576474198</v>
      </c>
      <c r="D83" s="119">
        <f t="shared" si="11"/>
        <v>31.38635350249028</v>
      </c>
      <c r="E83" s="119">
        <f t="shared" si="11"/>
        <v>33.955169792227153</v>
      </c>
      <c r="F83" s="119">
        <f t="shared" si="11"/>
        <v>39.733523810967768</v>
      </c>
      <c r="G83" s="296"/>
      <c r="H83" s="296"/>
      <c r="I83" s="296"/>
      <c r="J83" s="296"/>
      <c r="K83" s="296"/>
      <c r="L83" s="296"/>
    </row>
    <row r="84" spans="1:12" ht="13.15">
      <c r="A84" s="131">
        <f t="shared" si="14"/>
        <v>15</v>
      </c>
      <c r="B84" s="119">
        <f t="shared" si="11"/>
        <v>0.32889846204091777</v>
      </c>
      <c r="C84" s="119">
        <f t="shared" si="11"/>
        <v>17.737165724687301</v>
      </c>
      <c r="D84" s="119">
        <f t="shared" si="11"/>
        <v>32.086638334961727</v>
      </c>
      <c r="E84" s="119">
        <f t="shared" si="11"/>
        <v>35.586317739105631</v>
      </c>
      <c r="F84" s="119">
        <f t="shared" si="11"/>
        <v>43.916624374105851</v>
      </c>
      <c r="G84" s="296"/>
      <c r="H84" s="296"/>
      <c r="I84" s="296"/>
      <c r="J84" s="296"/>
      <c r="K84" s="296"/>
      <c r="L84" s="296"/>
    </row>
    <row r="85" spans="1:12" ht="13.15">
      <c r="A85" s="132">
        <f t="shared" si="14"/>
        <v>20</v>
      </c>
      <c r="B85" s="119">
        <f t="shared" si="11"/>
        <v>0.32859726508019149</v>
      </c>
      <c r="C85" s="119">
        <f t="shared" si="11"/>
        <v>16.731642355398691</v>
      </c>
      <c r="D85" s="119">
        <f t="shared" si="11"/>
        <v>32.605313059129251</v>
      </c>
      <c r="E85" s="119">
        <f t="shared" si="11"/>
        <v>36.855452409332756</v>
      </c>
      <c r="F85" s="119">
        <f t="shared" si="11"/>
        <v>47.503187651877937</v>
      </c>
      <c r="G85" s="296"/>
      <c r="H85" s="296"/>
      <c r="I85" s="296"/>
      <c r="J85" s="296"/>
      <c r="K85" s="296"/>
      <c r="L85" s="296"/>
    </row>
    <row r="86" spans="1:12" ht="13.15">
      <c r="A86" s="132">
        <f t="shared" si="14"/>
        <v>25</v>
      </c>
      <c r="B86" s="119">
        <f t="shared" si="11"/>
        <v>0.32859063201748995</v>
      </c>
      <c r="C86" s="119">
        <f t="shared" si="11"/>
        <v>16.183335481343029</v>
      </c>
      <c r="D86" s="119">
        <f t="shared" si="11"/>
        <v>32.989475984007711</v>
      </c>
      <c r="E86" s="119">
        <f t="shared" si="11"/>
        <v>37.842918208652129</v>
      </c>
      <c r="F86" s="119">
        <f t="shared" si="11"/>
        <v>50.578283732239264</v>
      </c>
      <c r="G86" s="296"/>
      <c r="H86" s="296"/>
      <c r="I86" s="296"/>
      <c r="J86" s="296"/>
      <c r="K86" s="296"/>
      <c r="L86" s="296"/>
    </row>
    <row r="87" spans="1:12" ht="13.15">
      <c r="A87" s="132">
        <f t="shared" si="14"/>
        <v>30</v>
      </c>
      <c r="B87" s="119">
        <f t="shared" si="11"/>
        <v>0.32859048594190993</v>
      </c>
      <c r="C87" s="119">
        <f t="shared" si="11"/>
        <v>15.884346479874679</v>
      </c>
      <c r="D87" s="119">
        <f t="shared" si="11"/>
        <v>33.274011061532548</v>
      </c>
      <c r="E87" s="119">
        <f t="shared" si="11"/>
        <v>38.611228087580045</v>
      </c>
      <c r="F87" s="119">
        <f t="shared" si="11"/>
        <v>53.214851156564116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34.854666541176101</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31.858746388925283</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30.440869129067877</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22.962818219986335</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0.96362103056730675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31.858746388925283</v>
      </c>
      <c r="F22" s="328">
        <f>1-F23-F24</f>
        <v>0.30000000000000004</v>
      </c>
      <c r="G22" s="328">
        <f>F22*(1-F$29-F$30)</f>
        <v>0.24000000000000002</v>
      </c>
    </row>
    <row r="23" spans="2:7">
      <c r="B23" s="302" t="s">
        <v>437</v>
      </c>
      <c r="C23" s="324">
        <v>0.01</v>
      </c>
      <c r="D23" s="325">
        <f>C18</f>
        <v>5</v>
      </c>
      <c r="E23" s="326">
        <f>DCF!E92</f>
        <v>30.440869129067877</v>
      </c>
      <c r="F23" s="327">
        <v>0.6</v>
      </c>
      <c r="G23" s="328">
        <f t="shared" ref="G23:G24" si="0">F23*(1-F$29-F$30)</f>
        <v>0.47999999999999993</v>
      </c>
    </row>
    <row r="24" spans="2:7">
      <c r="B24" s="302" t="s">
        <v>446</v>
      </c>
      <c r="C24" s="324">
        <v>-0.05</v>
      </c>
      <c r="D24" s="325">
        <f>C18</f>
        <v>5</v>
      </c>
      <c r="E24" s="326">
        <f>DCF!E93</f>
        <v>22.962818219986335</v>
      </c>
      <c r="F24" s="327">
        <v>0.1</v>
      </c>
      <c r="G24" s="328">
        <f t="shared" si="0"/>
        <v>0.08</v>
      </c>
    </row>
    <row r="25" spans="2:7">
      <c r="B25" s="141" t="s">
        <v>451</v>
      </c>
      <c r="C25" s="441">
        <f>E23*F23+E24*F24+E22*F22</f>
        <v>30.118427216116949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34.854666541176101</v>
      </c>
      <c r="F29" s="327">
        <v>0.05</v>
      </c>
      <c r="G29" s="328">
        <f>F29</f>
        <v>0.05</v>
      </c>
    </row>
    <row r="30" spans="2:7">
      <c r="B30" s="315" t="s">
        <v>447</v>
      </c>
      <c r="C30" s="324">
        <v>-0.5</v>
      </c>
      <c r="D30" s="325">
        <f>C18</f>
        <v>5</v>
      </c>
      <c r="E30" s="326">
        <f>DCF!E94</f>
        <v>0.96362103056730675</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29.44</v>
      </c>
      <c r="D34" t="str">
        <f>Market_currency</f>
        <v>HKD</v>
      </c>
      <c r="E34" s="97" t="s">
        <v>454</v>
      </c>
      <c r="F34" s="330">
        <f>RATE(Holding_Period,$C$33,-C34,$C$36)</f>
        <v>3.7942195625982316E-3</v>
      </c>
    </row>
    <row r="35" spans="2:7">
      <c r="B35" s="97" t="s">
        <v>434</v>
      </c>
      <c r="C35" s="320">
        <f>DCF!C11</f>
        <v>37.753708437351747</v>
      </c>
      <c r="D35" s="97" t="str">
        <f>Market_currency</f>
        <v>HKD</v>
      </c>
      <c r="E35" s="97" t="s">
        <v>454</v>
      </c>
      <c r="F35" s="330">
        <f>RATE(Holding_Period,$C$33,-C35,$C$36)</f>
        <v>-7.9249456333549059E-2</v>
      </c>
    </row>
    <row r="36" spans="2:7">
      <c r="B36" s="97" t="s">
        <v>435</v>
      </c>
      <c r="C36" s="321">
        <f>E22*G22+E23*G23+E24*G24+E30*G30+E29*G29</f>
        <v>25.982018254537458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25.965857726647407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11.826134845032978</v>
      </c>
      <c r="E62" s="332">
        <f>C62+D62</f>
        <v>14.114437075347045</v>
      </c>
      <c r="F62" s="301">
        <f>Thesis!E22</f>
        <v>0.3</v>
      </c>
      <c r="G62" s="440">
        <f>(1-E62/C36)</f>
        <v>0.45676132865921137</v>
      </c>
    </row>
    <row r="63" spans="2:7" ht="13.15">
      <c r="B63" s="302" t="s">
        <v>313</v>
      </c>
      <c r="C63" s="119">
        <f>PV(F63, Holding_Period, -C58, 0)</f>
        <v>2.6541666666666663</v>
      </c>
      <c r="D63" s="119">
        <f>C36/(1+F63)^Holding_Period</f>
        <v>15.035890193598066</v>
      </c>
      <c r="E63" s="332">
        <f>C63+D63</f>
        <v>17.690056860264733</v>
      </c>
      <c r="F63" s="301">
        <f>Thesis!E23</f>
        <v>0.2</v>
      </c>
      <c r="G63" s="440">
        <f>(1-E63/C36)</f>
        <v>0.31914231269638305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18.622881615440043</v>
      </c>
      <c r="E66" s="332">
        <f>C66+D66</f>
        <v>21.662761554122742</v>
      </c>
      <c r="F66" s="301">
        <f>Thesis!E24</f>
        <v>0.1174</v>
      </c>
      <c r="G66" s="440">
        <f>(1-E66/C36)</f>
        <v>0.1662402303816567</v>
      </c>
    </row>
    <row r="67" spans="2:7" ht="13.15">
      <c r="B67" s="302" t="s">
        <v>314</v>
      </c>
      <c r="C67" s="119">
        <f>PV(F67, Holding_Period, -C58, 0)</f>
        <v>3.2915927862380006</v>
      </c>
      <c r="D67" s="119">
        <f>C36/(1+F67)^Holding_Period</f>
        <v>21.06109664362943</v>
      </c>
      <c r="E67" s="332">
        <f>C67+D67</f>
        <v>24.352689429867432</v>
      </c>
      <c r="F67" s="301">
        <f>Thesis!E25</f>
        <v>7.2499999999999995E-2</v>
      </c>
      <c r="G67" s="440">
        <f>(1-E67/C36)</f>
        <v>6.2709863749152106E-2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29.44</v>
      </c>
    </row>
    <row r="9" spans="1:10">
      <c r="B9" s="351" t="s">
        <v>361</v>
      </c>
      <c r="C9" s="353">
        <f>Common_Shares</f>
        <v>47529953984</v>
      </c>
    </row>
    <row r="10" spans="1:10">
      <c r="B10" s="351" t="s">
        <v>367</v>
      </c>
      <c r="C10" s="357">
        <f>投资主题!C8*Common_Shares/1000000</f>
        <v>1399281.84528896</v>
      </c>
      <c r="D10" s="343" t="s">
        <v>529</v>
      </c>
      <c r="E10" s="360">
        <f>Scenarios!F34</f>
        <v>3.7942195625982316E-3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0.01</v>
      </c>
      <c r="D17" s="351" t="s">
        <v>339</v>
      </c>
      <c r="E17" s="344" t="str">
        <f>Reporting_currency</f>
        <v>CNY</v>
      </c>
    </row>
    <row r="18" spans="1:6">
      <c r="B18" s="343" t="str">
        <f>"预期股权价值 ("&amp;C7&amp;") :"</f>
        <v>预期股权价值 (HKD) :</v>
      </c>
      <c r="C18" s="359">
        <f>C125</f>
        <v>25.982018254537458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14.114437075347045</v>
      </c>
      <c r="D22" s="365" t="s">
        <v>440</v>
      </c>
      <c r="E22" s="366">
        <f>Thesis!E22</f>
        <v>0.3</v>
      </c>
    </row>
    <row r="23" spans="1:6">
      <c r="B23" s="343" t="s">
        <v>341</v>
      </c>
      <c r="C23" s="367">
        <f>E141</f>
        <v>17.690056860264733</v>
      </c>
      <c r="D23" s="365" t="s">
        <v>441</v>
      </c>
      <c r="E23" s="368">
        <f>Thesis!E23</f>
        <v>0.2</v>
      </c>
    </row>
    <row r="24" spans="1:6">
      <c r="B24" s="343" t="s">
        <v>343</v>
      </c>
      <c r="C24" s="367">
        <f>E144</f>
        <v>21.662761554122742</v>
      </c>
      <c r="D24" s="365" t="s">
        <v>443</v>
      </c>
      <c r="E24" s="368">
        <f>Thesis!E24</f>
        <v>0.1174</v>
      </c>
    </row>
    <row r="25" spans="1:6">
      <c r="B25" s="343" t="s">
        <v>342</v>
      </c>
      <c r="C25" s="367">
        <f>E145</f>
        <v>24.352689429867432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8.2719418697393493E-2</v>
      </c>
      <c r="F62" s="379"/>
    </row>
    <row r="63" spans="2:6">
      <c r="B63" s="377" t="s">
        <v>332</v>
      </c>
      <c r="C63" s="378">
        <f>Normalized_FCF!C92</f>
        <v>4.2798913043478257E-2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-1.7337294953565427</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0.13364139965585203</v>
      </c>
      <c r="D90" s="343" t="str">
        <f>Market_currency</f>
        <v>HKD</v>
      </c>
    </row>
    <row r="92" spans="1:6">
      <c r="B92" s="372" t="s">
        <v>480</v>
      </c>
      <c r="C92" s="387">
        <f>DCF!F8</f>
        <v>-1.6000880957006904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0.4672537809909531</v>
      </c>
      <c r="D111" s="343" t="str">
        <f>Market_currency</f>
        <v>HKD</v>
      </c>
    </row>
    <row r="112" spans="1:6">
      <c r="A112" s="385"/>
      <c r="B112" s="372" t="s">
        <v>377</v>
      </c>
      <c r="C112" s="394">
        <f>DCF!C11</f>
        <v>37.753708437351747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34.85 HKD</v>
      </c>
      <c r="F118" s="399">
        <f>DCF!F90</f>
        <v>0.05</v>
      </c>
    </row>
    <row r="119" spans="1:6">
      <c r="A119" s="385"/>
      <c r="B119" s="400" t="str">
        <f>DCF!B91</f>
        <v>Optimistic</v>
      </c>
      <c r="C119" s="401">
        <f>DCF!C91</f>
        <v>0.02</v>
      </c>
      <c r="D119" s="402">
        <f>DCF!D91</f>
        <v>5</v>
      </c>
      <c r="E119" s="398" t="str">
        <f>ROUND(DCF!E91,2)&amp;" "&amp;Market_currency</f>
        <v>31.86 HKD</v>
      </c>
      <c r="F119" s="403">
        <f>DCF!F91</f>
        <v>0.24000000000000002</v>
      </c>
    </row>
    <row r="120" spans="1:6">
      <c r="B120" s="400" t="str">
        <f>DCF!B92</f>
        <v>Base</v>
      </c>
      <c r="C120" s="401">
        <f>DCF!C92</f>
        <v>0.01</v>
      </c>
      <c r="D120" s="402">
        <f>DCF!D92</f>
        <v>5</v>
      </c>
      <c r="E120" s="398" t="str">
        <f>ROUND(DCF!E92,2)&amp;" "&amp;Market_currency</f>
        <v>30.44 HKD</v>
      </c>
      <c r="F120" s="403">
        <f>DCF!F92</f>
        <v>0.47999999999999993</v>
      </c>
    </row>
    <row r="121" spans="1:6">
      <c r="B121" s="400" t="str">
        <f>DCF!B93</f>
        <v>Pessimistic</v>
      </c>
      <c r="C121" s="401">
        <f>DCF!C93</f>
        <v>-0.05</v>
      </c>
      <c r="D121" s="402">
        <f>DCF!D93</f>
        <v>5</v>
      </c>
      <c r="E121" s="398" t="str">
        <f>ROUND(DCF!E93,2)&amp;" "&amp;Market_currency</f>
        <v>22.96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25.982018254537458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11.826134845032978</v>
      </c>
      <c r="E140" s="410">
        <f>Scenarios!E62</f>
        <v>14.114437075347045</v>
      </c>
      <c r="F140" s="411">
        <f>E22</f>
        <v>0.3</v>
      </c>
    </row>
    <row r="141" spans="1:6">
      <c r="B141" s="408" t="s">
        <v>313</v>
      </c>
      <c r="C141" s="409">
        <f>Scenarios!C63</f>
        <v>2.6541666666666663</v>
      </c>
      <c r="D141" s="409">
        <f>Scenarios!D63</f>
        <v>15.035890193598066</v>
      </c>
      <c r="E141" s="410">
        <f>Scenarios!E63</f>
        <v>17.690056860264733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18.622881615440043</v>
      </c>
      <c r="E144" s="410">
        <f>Scenarios!E66</f>
        <v>21.662761554122742</v>
      </c>
      <c r="F144" s="411">
        <f>E24</f>
        <v>0.1174</v>
      </c>
    </row>
    <row r="145" spans="1:6">
      <c r="B145" s="408" t="s">
        <v>314</v>
      </c>
      <c r="C145" s="409">
        <f>Scenarios!C67</f>
        <v>3.2915927862380006</v>
      </c>
      <c r="D145" s="409">
        <f>Scenarios!D67</f>
        <v>21.06109664362943</v>
      </c>
      <c r="E145" s="410">
        <f>Scenarios!E67</f>
        <v>24.352689429867432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