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E7294F-9976-433F-BFA9-C49AC080725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<sst xmlns="http://schemas.openxmlformats.org/spreadsheetml/2006/main" count="837" uniqueCount="561">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</sst>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19.059999999999999</v>
      </c>
      <c r="D12" s="50"/>
      <c r="E12" s="48"/>
    </row>
    <row r="13" spans="1:10">
      <c r="B13" s="1" t="s">
        <v>486</v>
      </c>
      <c r="C13" s="32" t="str">
        <f>Market_currency</f>
        <v>HKD</v>
      </c>
      <c r="D13" s="48"/>
      <c r="E13" s="5"/>
    </row>
    <row r="14" spans="1:10">
      <c r="B14" s="4" t="s">
        <v>487</v>
      </c>
      <c r="C14" s="35">
        <f>投资主题!C12*Common_Shares/1000000</f>
        <v>905920.92293503997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28.50815536170149</v>
      </c>
      <c r="D26" s="1" t="s">
        <v>447</v>
      </c>
      <c r="E26" s="301">
        <f ca="1">Scenarios!C87</f>
        <v>0.20203185855642003</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13.72372315671452</v>
      </c>
      <c r="D29" s="310" t="str">
        <f>D149</f>
        <v/>
      </c>
      <c r="E29" s="306" t="s">
        <v>456</v>
      </c>
      <c r="F29" s="362">
        <f>Thesis!F29</f>
        <v>0.35</v>
      </c>
    </row>
    <row r="30" spans="2:6">
      <c r="B30" s="1" t="s">
        <v>451</v>
      </c>
      <c r="C30" s="311">
        <f>C157</f>
        <v>17.055695545191163</v>
      </c>
      <c r="D30" s="311" t="str">
        <f>D157</f>
        <v/>
      </c>
      <c r="E30" s="307" t="s">
        <v>455</v>
      </c>
      <c r="F30" s="224">
        <f>Thesis!F30</f>
        <v>0.25</v>
      </c>
    </row>
    <row r="31" spans="2:6">
      <c r="B31" s="1" t="s">
        <v>452</v>
      </c>
      <c r="C31" s="311">
        <f>C165</f>
        <v>26.224603407862144</v>
      </c>
      <c r="D31" s="311" t="str">
        <f>D165</f>
        <v/>
      </c>
      <c r="E31" s="307" t="s">
        <v>492</v>
      </c>
      <c r="F31" s="224">
        <f>Thesis!F31</f>
        <v>7.4999999999999997E-2</v>
      </c>
    </row>
    <row r="32" spans="2:6">
      <c r="B32" s="1" t="s">
        <v>453</v>
      </c>
      <c r="C32" s="311">
        <f>C173</f>
        <v>23.473396579862911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0.10883043830811238</v>
      </c>
      <c r="F69" s="314"/>
    </row>
    <row r="70" spans="1:6">
      <c r="B70" s="227" t="s">
        <v>435</v>
      </c>
      <c r="C70" s="92">
        <f>Normalized_FCF!C94</f>
        <v>6.6107030430220357E-2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27.657442055368296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2.1200013819653605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2.3242875619158041</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0.11797088887726534</v>
      </c>
      <c r="D114" s="1" t="str">
        <f>Market_currency</f>
        <v>HKD</v>
      </c>
    </row>
    <row r="116" spans="1:6">
      <c r="B116" s="374" t="s">
        <v>517</v>
      </c>
      <c r="C116" s="374"/>
      <c r="D116" s="374"/>
      <c r="E116" s="374"/>
      <c r="F116" s="374"/>
    </row>
    <row r="118" spans="1:6">
      <c r="B118" s="47" t="s">
        <v>518</v>
      </c>
      <c r="C118" s="223">
        <f>IF(valuation_method="DCF",DCF!C12,DDM!C7)</f>
        <v>27.979699124196006</v>
      </c>
      <c r="D118" s="1" t="str">
        <f>Market_currency</f>
        <v>HKD</v>
      </c>
    </row>
    <row r="119" spans="1:6">
      <c r="B119" s="296" t="s">
        <v>551</v>
      </c>
      <c r="C119" s="223">
        <f>BS!D47</f>
        <v>-0.45962318424461329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38.09 HKD</v>
      </c>
      <c r="F126" s="232">
        <f>DCF!F74</f>
        <v>0.05</v>
      </c>
    </row>
    <row r="127" spans="1:6">
      <c r="B127" s="218" t="str">
        <f>DCF!B75</f>
        <v>Optimistic</v>
      </c>
      <c r="C127" s="219">
        <f>DCF!C75</f>
        <v>0.02</v>
      </c>
      <c r="D127" s="220">
        <f>DCF!D75</f>
        <v>10</v>
      </c>
      <c r="E127" s="231" t="str">
        <f>ROUND(IF(valuation_method="DCF",DCF!E75,DDM!E70),2)&amp;" "&amp;Market_currency</f>
        <v>29.73 HKD</v>
      </c>
      <c r="F127" s="221">
        <f>DCF!F75</f>
        <v>0.18</v>
      </c>
    </row>
    <row r="128" spans="1:6">
      <c r="B128" s="218" t="str">
        <f>DCF!B76</f>
        <v>Base</v>
      </c>
      <c r="C128" s="219">
        <f>DCF!C76</f>
        <v>0.01</v>
      </c>
      <c r="D128" s="220">
        <f>DCF!D76</f>
        <v>10</v>
      </c>
      <c r="E128" s="231" t="str">
        <f>ROUND(IF(valuation_method="DCF",DCF!E76,DDM!E71),2)&amp;" "&amp;Market_currency</f>
        <v>28.83 HKD</v>
      </c>
      <c r="F128" s="221">
        <f>DCF!F76</f>
        <v>0.53999999999999992</v>
      </c>
    </row>
    <row r="129" spans="1:6">
      <c r="B129" s="218" t="str">
        <f>DCF!B77</f>
        <v>Pessimistic</v>
      </c>
      <c r="C129" s="219">
        <f>DCF!C77</f>
        <v>-0.01</v>
      </c>
      <c r="D129" s="220">
        <f>DCF!D77</f>
        <v>10</v>
      </c>
      <c r="E129" s="231" t="str">
        <f>ROUND(IF(valuation_method="DCF",DCF!E77,DDM!E72),2)&amp;" "&amp;Market_currency</f>
        <v>27.17 HKD</v>
      </c>
      <c r="F129" s="221">
        <f>DCF!F77</f>
        <v>0.18</v>
      </c>
    </row>
    <row r="130" spans="1:6">
      <c r="B130" s="218" t="str">
        <f>DCF!B78</f>
        <v>Devil's advocate</v>
      </c>
      <c r="C130" s="219">
        <f>DCF!C78</f>
        <v>-0.15</v>
      </c>
      <c r="D130" s="220">
        <f>DCF!D78</f>
        <v>15</v>
      </c>
      <c r="E130" s="231" t="str">
        <f>ROUND(IF(valuation_method="DCF",DCF!E78,DDM!E73),2)&amp;" "&amp;Market_currency</f>
        <v>15.87 HKD</v>
      </c>
      <c r="F130" s="221">
        <f>DCF!F78</f>
        <v>0.05</v>
      </c>
    </row>
    <row r="132" spans="1:6">
      <c r="B132" s="211" t="s">
        <v>254</v>
      </c>
      <c r="C132" s="217">
        <f>Scenarios!C60</f>
        <v>28.50815536170149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11.586914743362897</v>
      </c>
    </row>
    <row r="149" spans="2:4">
      <c r="B149" s="80" t="s">
        <v>256</v>
      </c>
      <c r="C149" s="215">
        <f>Scenarios!C83</f>
        <v>13.72372315671452</v>
      </c>
      <c r="D149" s="300" t="str">
        <f>IF($D$11="","",C149*$E$25)</f>
        <v/>
      </c>
    </row>
    <row r="150" spans="2:4">
      <c r="B150" s="259" t="s">
        <v>533</v>
      </c>
      <c r="C150" s="298" t="str">
        <f>Market_currency</f>
        <v>HKD</v>
      </c>
      <c r="D150" s="298" t="str">
        <f>IF($D$11="","",D$13)</f>
        <v/>
      </c>
    </row>
    <row r="151" spans="2:4">
      <c r="B151" s="214" t="s">
        <v>534</v>
      </c>
      <c r="C151" s="92">
        <f>Scenarios!F83</f>
        <v>0.51860360719265319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14.596175545191164</v>
      </c>
    </row>
    <row r="157" spans="2:4">
      <c r="B157" s="80" t="s">
        <v>256</v>
      </c>
      <c r="C157" s="215">
        <f>Scenarios!C93</f>
        <v>17.055695545191163</v>
      </c>
      <c r="D157" s="300" t="str">
        <f>IF($D$11="","",C157*$E$25)</f>
        <v/>
      </c>
    </row>
    <row r="158" spans="2:4">
      <c r="B158" s="259" t="s">
        <v>533</v>
      </c>
      <c r="C158" s="298" t="str">
        <f>Market_currency</f>
        <v>HKD</v>
      </c>
      <c r="D158" s="298" t="str">
        <f>IF($D$11="","",D$13)</f>
        <v/>
      </c>
    </row>
    <row r="159" spans="2:4">
      <c r="B159" s="214" t="s">
        <v>534</v>
      </c>
      <c r="C159" s="92">
        <f>Scenarios!F93</f>
        <v>0.40172574027345953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22.947940975623474</v>
      </c>
    </row>
    <row r="165" spans="2:4">
      <c r="B165" s="80" t="s">
        <v>382</v>
      </c>
      <c r="C165" s="215">
        <f>Scenarios!C99</f>
        <v>26.224603407862144</v>
      </c>
      <c r="D165" s="300" t="str">
        <f>IF($D$11="","",C165*$E$25)</f>
        <v/>
      </c>
    </row>
    <row r="166" spans="2:4">
      <c r="B166" s="259" t="s">
        <v>533</v>
      </c>
      <c r="C166" s="298" t="str">
        <f>Market_currency</f>
        <v>HKD</v>
      </c>
      <c r="D166" s="298" t="str">
        <f>IF($D$11="","",D$13)</f>
        <v/>
      </c>
    </row>
    <row r="167" spans="2:4">
      <c r="B167" s="214" t="s">
        <v>534</v>
      </c>
      <c r="C167" s="92">
        <f>Scenarios!F99</f>
        <v>8.0101708611674094E-2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20.433516641180212</v>
      </c>
    </row>
    <row r="173" spans="2:4">
      <c r="B173" s="80" t="s">
        <v>382</v>
      </c>
      <c r="C173" s="215">
        <f>Scenarios!C105</f>
        <v>23.473396579862911</v>
      </c>
      <c r="D173" s="300" t="str">
        <f>IF($D$11="","",C173*$E$25)</f>
        <v/>
      </c>
    </row>
    <row r="174" spans="2:4">
      <c r="B174" s="259" t="s">
        <v>533</v>
      </c>
      <c r="C174" s="298" t="str">
        <f>Market_currency</f>
        <v>HKD</v>
      </c>
      <c r="D174" s="298" t="str">
        <f>IF($D$11="","",D$13)</f>
        <v/>
      </c>
    </row>
    <row r="175" spans="2:4">
      <c r="B175" s="214" t="s">
        <v>534</v>
      </c>
      <c r="C175" s="92">
        <f>Scenarios!F105</f>
        <v>0.20997191359548939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19.059999999999999</v>
      </c>
      <c r="D12" s="50">
        <v>25.72</v>
      </c>
      <c r="E12" s="48"/>
    </row>
    <row r="13" spans="1:10">
      <c r="B13" s="1" t="s">
        <v>465</v>
      </c>
      <c r="C13" s="48" t="s">
        <v>377</v>
      </c>
      <c r="D13" s="48" t="s">
        <v>394</v>
      </c>
      <c r="E13" s="5"/>
    </row>
    <row r="14" spans="1:10">
      <c r="B14" s="4" t="s">
        <v>466</v>
      </c>
      <c r="C14" s="35">
        <f>Thesis!C12*Common_Shares/1000000</f>
        <v>905920.92293503997</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1.0966030899999999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0.91190696900188395</v>
      </c>
    </row>
    <row r="26" spans="2:6">
      <c r="B26" s="1" t="str">
        <f>"Expected Equity Value ("&amp;C13&amp;") :"</f>
        <v>Expected Equity Value (HKD) :</v>
      </c>
      <c r="C26" s="304">
        <f>C132</f>
        <v>28.50815536170149</v>
      </c>
      <c r="D26" s="1" t="s">
        <v>380</v>
      </c>
      <c r="E26" s="301">
        <f ca="1">Scenarios!C87</f>
        <v>0.20203185855642003</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13.72372315671452</v>
      </c>
      <c r="D29" s="310">
        <f>D149</f>
        <v>12.514758787260504</v>
      </c>
      <c r="E29" s="306" t="s">
        <v>401</v>
      </c>
      <c r="F29" s="302">
        <v>0.35</v>
      </c>
    </row>
    <row r="30" spans="2:6">
      <c r="B30" s="1" t="s">
        <v>403</v>
      </c>
      <c r="C30" s="311">
        <f>C157</f>
        <v>17.055695545191163</v>
      </c>
      <c r="D30" s="311">
        <f>D157</f>
        <v>15.553207628834208</v>
      </c>
      <c r="E30" s="307" t="s">
        <v>414</v>
      </c>
      <c r="F30" s="312">
        <v>0.25</v>
      </c>
    </row>
    <row r="31" spans="2:6">
      <c r="B31" s="1" t="s">
        <v>404</v>
      </c>
      <c r="C31" s="311">
        <f>C165</f>
        <v>26.224603407862144</v>
      </c>
      <c r="D31" s="311">
        <f>D165</f>
        <v>23.914398606940043</v>
      </c>
      <c r="E31" s="307" t="s">
        <v>413</v>
      </c>
      <c r="F31" s="312">
        <v>7.4999999999999997E-2</v>
      </c>
    </row>
    <row r="32" spans="2:6">
      <c r="B32" s="1" t="s">
        <v>405</v>
      </c>
      <c r="C32" s="311">
        <f>C173</f>
        <v>23.473396579862911</v>
      </c>
      <c r="D32" s="311">
        <f>D173</f>
        <v>21.405553927321975</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0.10883043830811238</v>
      </c>
      <c r="F69" s="314"/>
    </row>
    <row r="70" spans="1:6">
      <c r="B70" s="227" t="s">
        <v>435</v>
      </c>
      <c r="C70" s="92">
        <f>Normalized_FCF!C94</f>
        <v>6.6107030430220357E-2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27.657442055368296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2.1200013819653605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2.3242875619158041</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0.11797088887726534</v>
      </c>
      <c r="D114" s="1" t="str">
        <f>Market_currency</f>
        <v>HKD</v>
      </c>
    </row>
    <row r="116" spans="1:6" ht="24.6" customHeight="1">
      <c r="B116" s="374" t="s">
        <v>352</v>
      </c>
      <c r="C116" s="374"/>
      <c r="D116" s="374"/>
      <c r="E116" s="374"/>
      <c r="F116" s="374"/>
    </row>
    <row r="118" spans="1:6">
      <c r="B118" s="47" t="s">
        <v>426</v>
      </c>
      <c r="C118" s="223">
        <f>IF(valuation_method="DCF",DCF!C12,DDM!C7)</f>
        <v>27.979699124196006</v>
      </c>
      <c r="D118" s="1" t="str">
        <f>Market_currency</f>
        <v>HKD</v>
      </c>
    </row>
    <row r="119" spans="1:6">
      <c r="B119" s="296" t="s">
        <v>550</v>
      </c>
      <c r="C119" s="223">
        <f>BS!D47</f>
        <v>-0.45962318424461329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38.09 HKD</v>
      </c>
      <c r="F126" s="232">
        <f>DCF!F74</f>
        <v>0.05</v>
      </c>
    </row>
    <row r="127" spans="1:6">
      <c r="B127" s="218" t="str">
        <f>DCF!B75</f>
        <v>Optimistic</v>
      </c>
      <c r="C127" s="219">
        <f>DCF!C75</f>
        <v>0.02</v>
      </c>
      <c r="D127" s="220">
        <f>DCF!D75</f>
        <v>10</v>
      </c>
      <c r="E127" s="231" t="str">
        <f>ROUND(IF(valuation_method="DCF",DCF!E75,DDM!E70),2)&amp;" "&amp;Market_currency</f>
        <v>29.73 HKD</v>
      </c>
      <c r="F127" s="221">
        <f>DCF!F75</f>
        <v>0.18</v>
      </c>
    </row>
    <row r="128" spans="1:6">
      <c r="B128" s="218" t="str">
        <f>DCF!B76</f>
        <v>Base</v>
      </c>
      <c r="C128" s="219">
        <f>DCF!C76</f>
        <v>0.01</v>
      </c>
      <c r="D128" s="220">
        <f>DCF!D76</f>
        <v>10</v>
      </c>
      <c r="E128" s="231" t="str">
        <f>ROUND(IF(valuation_method="DCF",DCF!E76,DDM!E71),2)&amp;" "&amp;Market_currency</f>
        <v>28.83 HKD</v>
      </c>
      <c r="F128" s="221">
        <f>DCF!F76</f>
        <v>0.53999999999999992</v>
      </c>
    </row>
    <row r="129" spans="1:6">
      <c r="B129" s="218" t="str">
        <f>DCF!B77</f>
        <v>Pessimistic</v>
      </c>
      <c r="C129" s="219">
        <f>DCF!C77</f>
        <v>-0.01</v>
      </c>
      <c r="D129" s="220">
        <f>DCF!D77</f>
        <v>10</v>
      </c>
      <c r="E129" s="231" t="str">
        <f>ROUND(IF(valuation_method="DCF",DCF!E77,DDM!E72),2)&amp;" "&amp;Market_currency</f>
        <v>27.17 HKD</v>
      </c>
      <c r="F129" s="221">
        <f>DCF!F77</f>
        <v>0.18</v>
      </c>
    </row>
    <row r="130" spans="1:6">
      <c r="B130" s="218" t="str">
        <f>DCF!B78</f>
        <v>Devil's advocate</v>
      </c>
      <c r="C130" s="219">
        <f>DCF!C78</f>
        <v>-0.15</v>
      </c>
      <c r="D130" s="220">
        <f>DCF!D78</f>
        <v>15</v>
      </c>
      <c r="E130" s="231" t="str">
        <f>ROUND(IF(valuation_method="DCF",DCF!E78,DDM!E73),2)&amp;" "&amp;Market_currency</f>
        <v>15.87 HKD</v>
      </c>
      <c r="F130" s="221">
        <f>DCF!F78</f>
        <v>0.05</v>
      </c>
    </row>
    <row r="132" spans="1:6">
      <c r="B132" s="211" t="s">
        <v>254</v>
      </c>
      <c r="C132" s="217">
        <f>Scenarios!C60</f>
        <v>28.50815536170149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11.586914743362897</v>
      </c>
    </row>
    <row r="149" spans="2:4">
      <c r="B149" s="80" t="s">
        <v>256</v>
      </c>
      <c r="C149" s="215">
        <f>Scenarios!C83</f>
        <v>13.72372315671452</v>
      </c>
      <c r="D149" s="300">
        <f>IF($D$11="","",C149*$E$25)</f>
        <v>12.514758787260504</v>
      </c>
    </row>
    <row r="150" spans="2:4">
      <c r="B150" s="259" t="s">
        <v>396</v>
      </c>
      <c r="C150" s="298" t="str">
        <f>Market_currency</f>
        <v>HKD</v>
      </c>
      <c r="D150" s="298" t="str">
        <f>IF($D$11="","",D$13)</f>
        <v>CNY</v>
      </c>
    </row>
    <row r="151" spans="2:4">
      <c r="B151" s="214" t="s">
        <v>258</v>
      </c>
      <c r="C151" s="92">
        <f>Scenarios!F83</f>
        <v>0.51860360719265319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14.596175545191164</v>
      </c>
    </row>
    <row r="157" spans="2:4">
      <c r="B157" s="80" t="s">
        <v>256</v>
      </c>
      <c r="C157" s="215">
        <f>Scenarios!C93</f>
        <v>17.055695545191163</v>
      </c>
      <c r="D157" s="300">
        <f>IF($D$11="","",C157*$E$25)</f>
        <v>15.553207628834208</v>
      </c>
    </row>
    <row r="158" spans="2:4">
      <c r="B158" s="259" t="s">
        <v>396</v>
      </c>
      <c r="C158" s="298" t="str">
        <f>Market_currency</f>
        <v>HKD</v>
      </c>
      <c r="D158" s="298" t="str">
        <f>IF($D$11="","",D$13)</f>
        <v>CNY</v>
      </c>
    </row>
    <row r="159" spans="2:4">
      <c r="B159" s="214" t="s">
        <v>258</v>
      </c>
      <c r="C159" s="92">
        <f>Scenarios!F93</f>
        <v>0.40172574027345953</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22.947940975623474</v>
      </c>
    </row>
    <row r="165" spans="2:4">
      <c r="B165" s="80" t="s">
        <v>382</v>
      </c>
      <c r="C165" s="215">
        <f>Scenarios!C99</f>
        <v>26.224603407862144</v>
      </c>
      <c r="D165" s="300">
        <f>IF($D$11="","",C165*$E$25)</f>
        <v>23.914398606940043</v>
      </c>
    </row>
    <row r="166" spans="2:4">
      <c r="B166" s="259" t="s">
        <v>396</v>
      </c>
      <c r="C166" s="298" t="str">
        <f>Market_currency</f>
        <v>HKD</v>
      </c>
      <c r="D166" s="298" t="str">
        <f>IF($D$11="","",D$13)</f>
        <v>CNY</v>
      </c>
    </row>
    <row r="167" spans="2:4">
      <c r="B167" s="214" t="s">
        <v>258</v>
      </c>
      <c r="C167" s="92">
        <f>Scenarios!F99</f>
        <v>8.0101708611674094E-2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20.433516641180212</v>
      </c>
    </row>
    <row r="173" spans="2:4">
      <c r="B173" s="80" t="s">
        <v>382</v>
      </c>
      <c r="C173" s="215">
        <f>Scenarios!C105</f>
        <v>23.473396579862911</v>
      </c>
      <c r="D173" s="300">
        <f>IF($D$11="","",C173*$E$25)</f>
        <v>21.405553927321975</v>
      </c>
    </row>
    <row r="174" spans="2:4">
      <c r="B174" s="259" t="s">
        <v>396</v>
      </c>
      <c r="C174" s="298" t="str">
        <f>Market_currency</f>
        <v>HKD</v>
      </c>
      <c r="D174" s="298" t="str">
        <f>IF($D$11="","",D$13)</f>
        <v>CNY</v>
      </c>
    </row>
    <row r="175" spans="2:4">
      <c r="B175" s="214" t="s">
        <v>258</v>
      </c>
      <c r="C175" s="92">
        <f>Scenarios!F105</f>
        <v>0.20997191359548939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17.247301501686216</v>
      </c>
      <c r="D47" s="147">
        <f>D46*H1/Common_Shares*Exchange_Rate</f>
        <v>-0.45962318424461329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-100763.56813083</v>
      </c>
      <c r="D86" s="223">
        <f>C86*scaling_factor/Common_Shares</f>
        <v>-2.1200013819653609</v>
      </c>
      <c r="E86" s="240" t="str">
        <f>Market_currency</f>
        <v>HKD</v>
      </c>
    </row>
    <row r="87" spans="2:8" ht="15" customHeight="1">
      <c r="B87" s="238" t="s">
        <v>282</v>
      </c>
      <c r="C87" s="76">
        <f>DCF!C8*Exchange_Rate</f>
        <v>110473.28086344173</v>
      </c>
      <c r="D87" s="223">
        <f>C87*scaling_factor/Common_Shares</f>
        <v>2.3242875619158041</v>
      </c>
      <c r="E87" s="240" t="str">
        <f>Market_currency</f>
        <v>HKD</v>
      </c>
    </row>
    <row r="88" spans="2:8" ht="15" customHeight="1">
      <c r="B88" s="239" t="s">
        <v>185</v>
      </c>
      <c r="C88" s="76">
        <f>DCF!C9*Exchange_Rate</f>
        <v>5607.1509197879996</v>
      </c>
      <c r="D88" s="223">
        <f>C88*scaling_factor/Common_Shares</f>
        <v>0.11797088887726534</v>
      </c>
      <c r="E88" s="240" t="str">
        <f>Market_currency</f>
        <v>HKD</v>
      </c>
    </row>
    <row r="89" spans="2:8" ht="15" customHeight="1">
      <c r="B89" s="80" t="s">
        <v>286</v>
      </c>
      <c r="C89" s="180">
        <f>SUM(C86:C88)</f>
        <v>15316.863652399734</v>
      </c>
      <c r="D89" s="242">
        <f>SUM(D86:D88)</f>
        <v>0.32225706882770855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6.6107030430220357E-2</v>
      </c>
      <c r="E94" s="268"/>
      <c r="G94" s="23">
        <f t="shared" ref="G94:Q94" si="39">IF(G$4="","",(G90*(1-dividend_tax_rate))/Market_Price)</f>
        <v>6.6107030430220357E-2</v>
      </c>
      <c r="H94" s="23">
        <f t="shared" si="39"/>
        <v>5.9024134312696749E-2</v>
      </c>
      <c r="I94" s="23">
        <f t="shared" si="39"/>
        <v>6.8467995802728235E-2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2.0743081541526216</v>
      </c>
      <c r="D125" s="27"/>
      <c r="E125" s="265"/>
      <c r="F125" s="27"/>
      <c r="G125" s="177">
        <f t="shared" ref="G125:Q125" si="49">IF(G$4="","",G16*$C$3/Common_Shares*Exchange_Rate)</f>
        <v>3.2613978244918465</v>
      </c>
      <c r="H125" s="177">
        <f t="shared" si="49"/>
        <v>2.8472655253142003</v>
      </c>
      <c r="I125" s="177">
        <f t="shared" si="49"/>
        <v>3.2465081796479276</v>
      </c>
      <c r="J125" s="177">
        <f t="shared" si="49"/>
        <v>1.7542408748290264</v>
      </c>
      <c r="K125" s="177">
        <f t="shared" si="49"/>
        <v>0.64511269381498682</v>
      </c>
      <c r="L125" s="177">
        <f t="shared" si="49"/>
        <v>1.3839923510436494</v>
      </c>
      <c r="M125" s="177">
        <f t="shared" si="49"/>
        <v>1.1729176230004053</v>
      </c>
      <c r="N125" s="177">
        <f t="shared" si="49"/>
        <v>6.9067373371900969</v>
      </c>
      <c r="O125" s="177">
        <f t="shared" si="49"/>
        <v>6.4965663166041576</v>
      </c>
      <c r="P125" s="177">
        <f t="shared" si="49"/>
        <v>6.5433329190750591</v>
      </c>
      <c r="Q125" s="177" t="str">
        <f t="shared" si="49"/>
        <v/>
      </c>
    </row>
    <row r="126" spans="1:17" ht="15.75" customHeight="1">
      <c r="A126" s="10"/>
      <c r="B126" s="27" t="s">
        <v>264</v>
      </c>
      <c r="C126" s="77">
        <f>C19*Exchange_Rate*$C$3/(Market_Price*Common_Shares)</f>
        <v>0.10883043830811238</v>
      </c>
      <c r="D126" s="27"/>
      <c r="E126" s="265"/>
      <c r="F126" s="27"/>
      <c r="G126" s="77">
        <f t="shared" ref="G126" si="50">IF(G$4="","",G125/Market_Price)</f>
        <v>0.17111216287994999</v>
      </c>
      <c r="H126" s="77">
        <f t="shared" ref="H126" si="51">IF(H$4="","",H125/Market_Price)</f>
        <v>0.14938434025782793</v>
      </c>
      <c r="I126" s="77">
        <f t="shared" ref="I126" si="52">IF(I$4="","",I125/Market_Price)</f>
        <v>0.17033096430471814</v>
      </c>
      <c r="J126" s="77">
        <f t="shared" ref="J126" si="53">IF(J$4="","",J125/Market_Price)</f>
        <v>9.203782134464987E-2</v>
      </c>
      <c r="K126" s="77">
        <f t="shared" ref="K126" si="54">IF(K$4="","",K125/Market_Price)</f>
        <v>3.3846416254721241E-2</v>
      </c>
      <c r="L126" s="77">
        <f t="shared" ref="L126" si="55">IF(L$4="","",L125/Market_Price)</f>
        <v>7.2612400369551383E-2</v>
      </c>
      <c r="M126" s="77">
        <f t="shared" ref="M126" si="56">IF(M$4="","",M125/Market_Price)</f>
        <v>6.1538175393515492E-2</v>
      </c>
      <c r="N126" s="77">
        <f t="shared" ref="N126" si="57">IF(N$4="","",N125/Market_Price)</f>
        <v>0.36236817089140072</v>
      </c>
      <c r="O126" s="77">
        <f t="shared" ref="O126" si="58">IF(O$4="","",O125/Market_Price)</f>
        <v>0.34084818030452035</v>
      </c>
      <c r="P126" s="77">
        <f t="shared" ref="P126" si="59">IF(P$4="","",P125/Market_Price)</f>
        <v>0.34330183206060122</v>
      </c>
      <c r="Q126" s="77" t="str">
        <f t="shared" ref="Q126" si="60">IF(Q$4="","",Q125/Market_Price)</f>
        <v/>
      </c>
    </row>
    <row r="127" spans="1:17" ht="15.75" customHeight="1">
      <c r="B127" s="2" t="s">
        <v>375</v>
      </c>
      <c r="C127" s="169"/>
      <c r="G127" s="23">
        <f>IF(G$4="","",(Data!C47*$C$3)/(Market_Price*Common_Shares))</f>
        <v>0.15231130720875752</v>
      </c>
      <c r="H127" s="23">
        <f>IF(H$4="","",(Data!D47*$C$3)/(Market_Price*Common_Shares))</f>
        <v>0.13697663544183095</v>
      </c>
      <c r="I127" s="23">
        <f>IF(I$4="","",(Data!E47*$C$3)/(Market_Price*Common_Shares))</f>
        <v>0.1563900296518034</v>
      </c>
      <c r="J127" s="23">
        <f>IF(J$4="","",(Data!F47*$C$3)/(Market_Price*Common_Shares))</f>
        <v>7.7608319026584008E-2</v>
      </c>
      <c r="K127" s="23">
        <f>IF(K$4="","",(Data!G47*$C$3)/(Market_Price*Common_Shares))</f>
        <v>2.754729112464651E-2</v>
      </c>
      <c r="L127" s="23">
        <f>IF(L$4="","",(Data!H47*$C$3)/(Market_Price*Common_Shares))</f>
        <v>6.7384975282635498E-2</v>
      </c>
      <c r="M127" s="23">
        <f>IF(M$4="","",(Data!I47*$C$3)/(Market_Price*Common_Shares))</f>
        <v>5.8145650427567336E-2</v>
      </c>
      <c r="N127" s="23">
        <f>IF(N$4="","",(Data!J47*$C$3)/(Market_Price*Common_Shares))</f>
        <v>7.7593968988218756E-2</v>
      </c>
      <c r="O127" s="23">
        <f>IF(O$4="","",(Data!K47*$C$3)/(Market_Price*Common_Shares))</f>
        <v>6.5314751543985319E-2</v>
      </c>
      <c r="P127" s="23">
        <f>IF(P$4="","",(Data!L47*$C$3)/(Market_Price*Common_Shares))</f>
        <v>4.7847443306161697E-2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27.979699124196006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29.712103890752118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27.979699124196006</v>
      </c>
      <c r="C65" s="124">
        <f>C12</f>
        <v>27.979699124196006</v>
      </c>
      <c r="D65" s="124">
        <f>C12</f>
        <v>27.979699124196006</v>
      </c>
      <c r="E65" s="141">
        <f>C12</f>
        <v>27.979699124196006</v>
      </c>
      <c r="F65" s="124">
        <f>C12</f>
        <v>27.979699124196006</v>
      </c>
      <c r="H65" s="120"/>
    </row>
    <row r="66" spans="1:8" ht="13.15">
      <c r="A66" s="143">
        <f t="shared" ref="A66:A71" si="3">A56</f>
        <v>5</v>
      </c>
      <c r="B66" s="124">
        <f t="shared" ref="B66:F71" si="4">(B56-$C$7+$C$8+$C$9)/Common_Shares*$C$3*Exchange_Rate</f>
        <v>22.111875582488839</v>
      </c>
      <c r="C66" s="124">
        <f t="shared" si="4"/>
        <v>27.550422928624617</v>
      </c>
      <c r="D66" s="124">
        <f t="shared" si="4"/>
        <v>28.415089976538116</v>
      </c>
      <c r="E66" s="124">
        <f t="shared" si="4"/>
        <v>28.856730532186877</v>
      </c>
      <c r="F66" s="124">
        <f t="shared" si="4"/>
        <v>30.688565421610239</v>
      </c>
      <c r="H66" s="120"/>
    </row>
    <row r="67" spans="1:8" ht="13.15">
      <c r="A67" s="143">
        <f t="shared" si="3"/>
        <v>10</v>
      </c>
      <c r="B67" s="124">
        <f t="shared" si="4"/>
        <v>18.81633306598042</v>
      </c>
      <c r="C67" s="124">
        <f t="shared" si="4"/>
        <v>27.165632483720923</v>
      </c>
      <c r="D67" s="124">
        <f t="shared" si="4"/>
        <v>28.832534777480287</v>
      </c>
      <c r="E67" s="124">
        <f t="shared" si="4"/>
        <v>29.726419711537517</v>
      </c>
      <c r="F67" s="124">
        <f t="shared" si="4"/>
        <v>33.762618325246834</v>
      </c>
      <c r="H67" s="120"/>
    </row>
    <row r="68" spans="1:8" ht="13.15">
      <c r="A68" s="143">
        <f t="shared" si="3"/>
        <v>15</v>
      </c>
      <c r="B68" s="124">
        <f t="shared" si="4"/>
        <v>15.872368114506665</v>
      </c>
      <c r="C68" s="124">
        <f t="shared" si="4"/>
        <v>26.71316919289335</v>
      </c>
      <c r="D68" s="124">
        <f t="shared" si="4"/>
        <v>29.347929334772896</v>
      </c>
      <c r="E68" s="124">
        <f t="shared" si="4"/>
        <v>30.827548058763881</v>
      </c>
      <c r="F68" s="124">
        <f t="shared" si="4"/>
        <v>38.087975619805633</v>
      </c>
      <c r="H68" s="120"/>
    </row>
    <row r="69" spans="1:8" ht="13.15">
      <c r="A69" s="144">
        <f t="shared" si="3"/>
        <v>20</v>
      </c>
      <c r="B69" s="124">
        <f t="shared" si="4"/>
        <v>13.621316875352537</v>
      </c>
      <c r="C69" s="124">
        <f t="shared" si="4"/>
        <v>26.275829028567763</v>
      </c>
      <c r="D69" s="124">
        <f t="shared" si="4"/>
        <v>29.871373783400404</v>
      </c>
      <c r="E69" s="124">
        <f t="shared" si="4"/>
        <v>31.975492325149776</v>
      </c>
      <c r="F69" s="124">
        <f t="shared" si="4"/>
        <v>43.136754289126351</v>
      </c>
      <c r="H69" s="120"/>
    </row>
    <row r="70" spans="1:8" ht="13.15">
      <c r="A70" s="144">
        <f t="shared" si="3"/>
        <v>25</v>
      </c>
      <c r="B70" s="124">
        <f t="shared" si="4"/>
        <v>11.991388547542311</v>
      </c>
      <c r="C70" s="124">
        <f t="shared" si="4"/>
        <v>25.890266113984552</v>
      </c>
      <c r="D70" s="124">
        <f t="shared" si="4"/>
        <v>30.356369838597718</v>
      </c>
      <c r="E70" s="124">
        <f t="shared" si="4"/>
        <v>33.068070323100336</v>
      </c>
      <c r="F70" s="124">
        <f t="shared" si="4"/>
        <v>48.551306865597482</v>
      </c>
    </row>
    <row r="71" spans="1:8" ht="13.15">
      <c r="A71" s="144">
        <f t="shared" si="3"/>
        <v>30</v>
      </c>
      <c r="B71" s="124">
        <f t="shared" si="4"/>
        <v>10.836904566294333</v>
      </c>
      <c r="C71" s="124">
        <f t="shared" si="4"/>
        <v>25.568089361117092</v>
      </c>
      <c r="D71" s="124">
        <f t="shared" si="4"/>
        <v>30.782331653041773</v>
      </c>
      <c r="E71" s="124">
        <f t="shared" si="4"/>
        <v>34.054423677412615</v>
      </c>
      <c r="F71" s="124">
        <f t="shared" si="4"/>
        <v>54.091882784219699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38.087975619805633</v>
      </c>
      <c r="F74" s="142">
        <f>Scenarios!C58</f>
        <v>0.05</v>
      </c>
    </row>
    <row r="75" spans="1:8">
      <c r="B75" s="127" t="str">
        <f>Scenarios!B36</f>
        <v>Optimistic</v>
      </c>
      <c r="C75" s="142">
        <f>Scenarios!C38</f>
        <v>0.02</v>
      </c>
      <c r="D75" s="145">
        <f>Scenarios!C37</f>
        <v>10</v>
      </c>
      <c r="E75" s="135">
        <f>INDEX(B$65:F$71, MATCH(D75, A$65:A$71, 0), MATCH(C75, B$64:F$64, 0))</f>
        <v>29.726419711537517</v>
      </c>
      <c r="F75" s="142">
        <f>Scenarios!C40*(1-F$74-F$78)</f>
        <v>0.18</v>
      </c>
      <c r="H75" s="120"/>
    </row>
    <row r="76" spans="1:8">
      <c r="B76" s="127" t="str">
        <f>Scenarios!B24</f>
        <v>Base</v>
      </c>
      <c r="C76" s="142">
        <f>Scenarios!C26</f>
        <v>0.01</v>
      </c>
      <c r="D76" s="145">
        <f>Scenarios!C25</f>
        <v>10</v>
      </c>
      <c r="E76" s="135">
        <f>INDEX(B$65:F$71, MATCH(D76, A$65:A$71, 0), MATCH(C76, B$64:F$64, 0))</f>
        <v>28.832534777480287</v>
      </c>
      <c r="F76" s="142">
        <f>Scenarios!C28*(1-F$74-F$78)</f>
        <v>0.53999999999999992</v>
      </c>
      <c r="H76" s="120"/>
    </row>
    <row r="77" spans="1:8">
      <c r="B77" s="127" t="str">
        <f>Scenarios!B30</f>
        <v>Pessimistic</v>
      </c>
      <c r="C77" s="142">
        <f>Scenarios!C32</f>
        <v>-0.01</v>
      </c>
      <c r="D77" s="145">
        <f>Scenarios!C31</f>
        <v>10</v>
      </c>
      <c r="E77" s="135">
        <f>INDEX(B$65:F$71, MATCH(D77, A$65:A$71, 0), MATCH(C77, B$64:F$64, 0))</f>
        <v>27.165632483720923</v>
      </c>
      <c r="F77" s="142">
        <f>Scenarios!C34*(1-F$74-F$78)</f>
        <v>0.18</v>
      </c>
      <c r="H77" s="120"/>
    </row>
    <row r="78" spans="1:8">
      <c r="B78" s="127" t="str">
        <f>Scenarios!B48</f>
        <v>Devil's advocate</v>
      </c>
      <c r="C78" s="142">
        <f>Scenarios!C50</f>
        <v>-0.15</v>
      </c>
      <c r="D78" s="145">
        <f>Scenarios!C49</f>
        <v>15</v>
      </c>
      <c r="E78" s="135">
        <f>INDEX(B$65:F$71, MATCH(D78, A$65:A$71, 0), MATCH(C78, B$64:F$64, 0))</f>
        <v>15.872368114506665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18.422931911999999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18.422931911999999</v>
      </c>
      <c r="C60" s="124">
        <f>C7</f>
        <v>18.422931911999999</v>
      </c>
      <c r="D60" s="124">
        <f>C7</f>
        <v>18.422931911999999</v>
      </c>
      <c r="E60" s="141">
        <f>C7</f>
        <v>18.422931911999999</v>
      </c>
      <c r="F60" s="124">
        <f>C7</f>
        <v>18.422931911999999</v>
      </c>
      <c r="H60" s="120"/>
    </row>
    <row r="61" spans="1:8" ht="13.15">
      <c r="A61" s="143">
        <f t="shared" ref="A61:A66" si="3">A51</f>
        <v>5</v>
      </c>
      <c r="B61" s="124">
        <f t="shared" ref="B61:F66" si="4">B51/Common_Shares*$C$3*Exchange_Rate</f>
        <v>14.514308932185457</v>
      </c>
      <c r="C61" s="124">
        <f t="shared" si="4"/>
        <v>18.136986230305297</v>
      </c>
      <c r="D61" s="124">
        <f t="shared" si="4"/>
        <v>18.712950635052859</v>
      </c>
      <c r="E61" s="124">
        <f t="shared" si="4"/>
        <v>19.007132355473953</v>
      </c>
      <c r="F61" s="124">
        <f t="shared" si="4"/>
        <v>20.22733809157608</v>
      </c>
      <c r="H61" s="120"/>
    </row>
    <row r="62" spans="1:8" ht="13.15">
      <c r="A62" s="143">
        <f t="shared" si="3"/>
        <v>10</v>
      </c>
      <c r="B62" s="124">
        <f t="shared" si="4"/>
        <v>12.319111152391086</v>
      </c>
      <c r="C62" s="124">
        <f t="shared" si="4"/>
        <v>17.880673005363622</v>
      </c>
      <c r="D62" s="124">
        <f t="shared" si="4"/>
        <v>18.991015292275314</v>
      </c>
      <c r="E62" s="124">
        <f t="shared" si="4"/>
        <v>19.586442058218861</v>
      </c>
      <c r="F62" s="124">
        <f t="shared" si="4"/>
        <v>22.274999159588347</v>
      </c>
      <c r="H62" s="120"/>
    </row>
    <row r="63" spans="1:8" ht="13.15">
      <c r="A63" s="143">
        <f t="shared" si="3"/>
        <v>15</v>
      </c>
      <c r="B63" s="124">
        <f t="shared" si="4"/>
        <v>10.358103126278708</v>
      </c>
      <c r="C63" s="124">
        <f t="shared" si="4"/>
        <v>17.579282139827022</v>
      </c>
      <c r="D63" s="124">
        <f t="shared" si="4"/>
        <v>19.334325379224381</v>
      </c>
      <c r="E63" s="124">
        <f t="shared" si="4"/>
        <v>20.319915982767391</v>
      </c>
      <c r="F63" s="124">
        <f t="shared" si="4"/>
        <v>25.156168096802567</v>
      </c>
      <c r="H63" s="120"/>
    </row>
    <row r="64" spans="1:8" ht="13.15">
      <c r="A64" s="144">
        <f t="shared" si="3"/>
        <v>20</v>
      </c>
      <c r="B64" s="124">
        <f t="shared" si="4"/>
        <v>8.8586526844649764</v>
      </c>
      <c r="C64" s="124">
        <f t="shared" si="4"/>
        <v>17.287964958229988</v>
      </c>
      <c r="D64" s="124">
        <f t="shared" si="4"/>
        <v>19.682997588949107</v>
      </c>
      <c r="E64" s="124">
        <f t="shared" si="4"/>
        <v>21.084574515398877</v>
      </c>
      <c r="F64" s="124">
        <f t="shared" si="4"/>
        <v>28.51921611394917</v>
      </c>
      <c r="H64" s="120"/>
    </row>
    <row r="65" spans="1:8" ht="13.15">
      <c r="A65" s="144">
        <f t="shared" si="3"/>
        <v>25</v>
      </c>
      <c r="B65" s="124">
        <f t="shared" si="4"/>
        <v>7.7729391703744888</v>
      </c>
      <c r="C65" s="124">
        <f t="shared" si="4"/>
        <v>17.031137182583247</v>
      </c>
      <c r="D65" s="124">
        <f t="shared" si="4"/>
        <v>20.006058893194144</v>
      </c>
      <c r="E65" s="124">
        <f t="shared" si="4"/>
        <v>21.812352956532244</v>
      </c>
      <c r="F65" s="124">
        <f t="shared" si="4"/>
        <v>32.125910227257812</v>
      </c>
    </row>
    <row r="66" spans="1:8" ht="13.15">
      <c r="A66" s="144">
        <f t="shared" si="3"/>
        <v>30</v>
      </c>
      <c r="B66" s="124">
        <f t="shared" si="4"/>
        <v>7.0039244604296167</v>
      </c>
      <c r="C66" s="124">
        <f t="shared" si="4"/>
        <v>16.816531639170229</v>
      </c>
      <c r="D66" s="124">
        <f t="shared" si="4"/>
        <v>20.289796828499398</v>
      </c>
      <c r="E66" s="124">
        <f t="shared" si="4"/>
        <v>22.469373972839168</v>
      </c>
      <c r="F66" s="124">
        <f t="shared" si="4"/>
        <v>35.81654990021454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25.156168096802567</v>
      </c>
      <c r="F69" s="142">
        <f>Scenarios!C58</f>
        <v>0.05</v>
      </c>
    </row>
    <row r="70" spans="1:8">
      <c r="B70" s="127" t="str">
        <f>Scenarios!B36</f>
        <v>Optimistic</v>
      </c>
      <c r="C70" s="142">
        <f>Scenarios!C38</f>
        <v>0.02</v>
      </c>
      <c r="D70" s="145">
        <f>Scenarios!C37</f>
        <v>10</v>
      </c>
      <c r="E70" s="135">
        <f>INDEX(B$60:F$66, MATCH(D70, A$60:A$66, 0), MATCH(C70, B$59:F$59, 0))</f>
        <v>19.586442058218861</v>
      </c>
      <c r="F70" s="142">
        <f>Scenarios!C40*(1-F$69-F$73)</f>
        <v>0.18</v>
      </c>
      <c r="H70" s="120"/>
    </row>
    <row r="71" spans="1:8">
      <c r="B71" s="127" t="str">
        <f>Scenarios!B24</f>
        <v>Base</v>
      </c>
      <c r="C71" s="142">
        <f>Scenarios!C26</f>
        <v>0.01</v>
      </c>
      <c r="D71" s="145">
        <f>Scenarios!C25</f>
        <v>10</v>
      </c>
      <c r="E71" s="135">
        <f>INDEX(B$60:F$66, MATCH(D71, A$60:A$66, 0), MATCH(C71, B$59:F$59, 0))</f>
        <v>18.991015292275314</v>
      </c>
      <c r="F71" s="142">
        <f>Scenarios!C28*(1-F$69-F$73)</f>
        <v>0.53999999999999992</v>
      </c>
      <c r="H71" s="120"/>
    </row>
    <row r="72" spans="1:8">
      <c r="B72" s="127" t="str">
        <f>Scenarios!B30</f>
        <v>Pessimistic</v>
      </c>
      <c r="C72" s="142">
        <f>Scenarios!C32</f>
        <v>-0.01</v>
      </c>
      <c r="D72" s="145">
        <f>Scenarios!C31</f>
        <v>10</v>
      </c>
      <c r="E72" s="135">
        <f>INDEX(B$60:F$66, MATCH(D72, A$60:A$66, 0), MATCH(C72, B$59:F$59, 0))</f>
        <v>17.880673005363622</v>
      </c>
      <c r="F72" s="142">
        <f>Scenarios!C34*(1-F$69-F$73)</f>
        <v>0.18</v>
      </c>
      <c r="H72" s="120"/>
    </row>
    <row r="73" spans="1:8">
      <c r="B73" s="127" t="str">
        <f>Scenarios!B48</f>
        <v>Devil's advocate</v>
      </c>
      <c r="C73" s="142">
        <f>Scenarios!C50</f>
        <v>-0.15</v>
      </c>
      <c r="D73" s="145">
        <f>Scenarios!C49</f>
        <v>15</v>
      </c>
      <c r="E73" s="135">
        <f>INDEX(B$60:F$66, MATCH(D73, A$60:A$66, 0), MATCH(C73, B$59:F$59, 0))</f>
        <v>10.358103126278708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-19.059999999999999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29.768155361701492</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19.059999999999999</v>
      </c>
      <c r="D21" t="str">
        <f>Market_currency</f>
        <v>HKD</v>
      </c>
      <c r="E21" s="381"/>
      <c r="F21" s="381"/>
    </row>
    <row r="22" spans="2:6">
      <c r="B22" s="100" t="s">
        <v>273</v>
      </c>
      <c r="C22" s="160">
        <f>IF(valuation_method="DCF",DCF!C12,DDM!C7)</f>
        <v>27.979699124196006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28.832534777480287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27.165632483720923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29.726419711537517</v>
      </c>
      <c r="D39" t="str">
        <f>Market_currency</f>
        <v>HKD</v>
      </c>
      <c r="E39" s="379"/>
      <c r="F39" s="379"/>
    </row>
    <row r="40" spans="2:6">
      <c r="B40" s="100" t="s">
        <v>143</v>
      </c>
      <c r="C40" s="167">
        <f>1-C28-C34</f>
        <v>0.2</v>
      </c>
      <c r="D40" s="165"/>
      <c r="E40" s="379"/>
      <c r="F40" s="379"/>
    </row>
    <row r="42" spans="2:6" ht="13.15">
      <c r="B42" s="100" t="s">
        <v>116</v>
      </c>
      <c r="C42" s="154">
        <f>C27*C28+C33*C34+C39*C40</f>
        <v>28.677931305539865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15.872368114506665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38.087975619805633</v>
      </c>
      <c r="D57" t="str">
        <f>Market_currency</f>
        <v>HKD</v>
      </c>
      <c r="E57" s="379"/>
      <c r="F57" s="379"/>
    </row>
    <row r="58" spans="2:6">
      <c r="B58" s="100" t="s">
        <v>143</v>
      </c>
      <c r="C58" s="165">
        <v>0.05</v>
      </c>
      <c r="D58" s="165"/>
      <c r="E58" s="379"/>
      <c r="F58" s="379"/>
    </row>
    <row r="60" spans="2:6" ht="13.15">
      <c r="B60" s="100" t="s">
        <v>116</v>
      </c>
      <c r="C60" s="154">
        <f>C51*C52+C57*C58+C42*(1-C52-C58)</f>
        <v>28.50815536170149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29.712103890752118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1.1304030890074217E-2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11.586914743362897</v>
      </c>
      <c r="D82" s="116"/>
    </row>
    <row r="83" spans="2:8" ht="13.15">
      <c r="B83" s="110" t="s">
        <v>98</v>
      </c>
      <c r="C83" s="111">
        <f>C81+C82</f>
        <v>13.72372315671452</v>
      </c>
      <c r="D83" t="str">
        <f>Market_currency</f>
        <v>HKD</v>
      </c>
      <c r="E83" s="146" t="s">
        <v>122</v>
      </c>
      <c r="F83" s="291">
        <f>(1-C83/C60)</f>
        <v>0.51860360719265319</v>
      </c>
    </row>
    <row r="84" spans="2:8">
      <c r="E84" s="120"/>
    </row>
    <row r="85" spans="2:8" ht="13.15">
      <c r="B85" s="109" t="s">
        <v>297</v>
      </c>
    </row>
    <row r="86" spans="2:8">
      <c r="B86" s="148" t="s">
        <v>295</v>
      </c>
      <c r="C86" s="116">
        <f>Market_Price</f>
        <v>19.059999999999999</v>
      </c>
      <c r="D86" t="str">
        <f>Market_currency</f>
        <v>HKD</v>
      </c>
    </row>
    <row r="87" spans="2:8" ht="13.15">
      <c r="B87" s="100" t="s">
        <v>293</v>
      </c>
      <c r="C87" s="237">
        <f ca="1">IRR(OFFSET($I$3, 0, 0, $C$76 + 1, 1))</f>
        <v>0.20203185855642003</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14.596175545191164</v>
      </c>
      <c r="D92" s="116"/>
    </row>
    <row r="93" spans="2:8" ht="13.15">
      <c r="B93" s="110" t="s">
        <v>98</v>
      </c>
      <c r="C93" s="111">
        <f>C91+C92</f>
        <v>17.055695545191163</v>
      </c>
      <c r="D93" t="str">
        <f>Market_currency</f>
        <v>HKD</v>
      </c>
      <c r="E93" s="146" t="s">
        <v>122</v>
      </c>
      <c r="F93" s="291">
        <f>(1-C93/C60)</f>
        <v>0.40172574027345953</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22.947940975623474</v>
      </c>
      <c r="D98" s="116"/>
      <c r="G98" s="2"/>
      <c r="H98" s="281"/>
    </row>
    <row r="99" spans="2:8" ht="13.15">
      <c r="B99" s="110" t="s">
        <v>379</v>
      </c>
      <c r="C99" s="111">
        <f>C97+C98</f>
        <v>26.224603407862144</v>
      </c>
      <c r="D99" t="s">
        <v>377</v>
      </c>
      <c r="E99" s="146" t="s">
        <v>122</v>
      </c>
      <c r="F99" s="291">
        <f>(1-C99/C60)</f>
        <v>8.0101708611674094E-2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20.433516641180212</v>
      </c>
      <c r="D104" s="116"/>
    </row>
    <row r="105" spans="2:8" ht="13.15">
      <c r="B105" s="110" t="s">
        <v>379</v>
      </c>
      <c r="C105" s="111">
        <f>C103+C104</f>
        <v>23.473396579862911</v>
      </c>
      <c r="D105" t="s">
        <v>377</v>
      </c>
      <c r="E105" s="146" t="s">
        <v>122</v>
      </c>
      <c r="F105" s="291">
        <f>(1-C105/C66)</f>
        <v>0.20997191359548939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