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10B899A-6606-4EBD-80B3-D935FE214075}"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<sst xmlns="http://schemas.openxmlformats.org/spreadsheetml/2006/main" count="686" uniqueCount="466">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</sst>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47529953984</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17.86</v>
      </c>
      <c r="D12" s="50">
        <v>25.72</v>
      </c>
      <c r="E12" s="48"/>
    </row>
    <row r="13" spans="1:10">
      <c r="B13" s="1" t="s">
        <v>417</v>
      </c>
      <c r="C13" s="48" t="s">
        <v>397</v>
      </c>
      <c r="D13" s="48" t="s">
        <v>415</v>
      </c>
      <c r="E13" s="5"/>
    </row>
    <row r="14" spans="1:10">
      <c r="B14" s="4" t="s">
        <v>421</v>
      </c>
      <c r="C14" s="35">
        <f>Thesis!C12*Common_Shares/1000000</f>
        <v>848884.97815423994</v>
      </c>
      <c r="D14" s="35">
        <f>IF(D11="","",Thesis!D12*Common_Shares/1000000)</f>
        <v>1222470.4164684799</v>
      </c>
      <c r="E14" s="5"/>
    </row>
    <row r="15" spans="1:10">
      <c r="B15" s="4" t="s">
        <v>420</v>
      </c>
      <c r="C15" s="32" t="str">
        <f>IF(C25=C13,C13,C25&amp;"/"&amp;C13)</f>
        <v>CNY/HKD</v>
      </c>
      <c r="D15" s="32" t="str">
        <f>IF(D11="","",IF(C25=D13,D13,C25&amp;"/"&amp;D13))</f>
        <v>CNY</v>
      </c>
      <c r="E15" s="5"/>
    </row>
    <row r="16" spans="1:10">
      <c r="B16" s="4" t="s">
        <v>1</v>
      </c>
      <c r="C16" s="50">
        <v>1.0877953499999999</v>
      </c>
      <c r="D16" s="50">
        <v>1</v>
      </c>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HKD/CNY:</v>
      </c>
      <c r="E25" s="299">
        <f>IF(D11="","",1/Exchange_Rate*D16)</f>
        <v>0.91929056324794922</v>
      </c>
    </row>
    <row r="26" spans="2:6">
      <c r="B26" s="1" t="str">
        <f>"Expected Equity Value ("&amp;C13&amp;") :"</f>
        <v>Expected Equity Value (HKD) :</v>
      </c>
      <c r="C26" s="304">
        <f>C132</f>
        <v>29.476627192195373</v>
      </c>
      <c r="D26" s="1" t="s">
        <v>400</v>
      </c>
      <c r="E26" s="301">
        <f ca="1">Scenarios!C87</f>
        <v>0.24912793382512621</v>
      </c>
    </row>
    <row r="27" spans="2:6">
      <c r="D27" s="5"/>
      <c r="E27" s="5"/>
    </row>
    <row r="28" spans="2:6">
      <c r="B28" s="45" t="s">
        <v>434</v>
      </c>
      <c r="C28" s="309" t="str">
        <f>C145&amp;" ("&amp;Market_currency&amp;")"</f>
        <v>0883.HK (HKD)</v>
      </c>
      <c r="D28" s="309" t="str">
        <f>IF(D11="","",D145&amp;" ("&amp;D13&amp;")")</f>
        <v>600938.SS (CNY)</v>
      </c>
      <c r="E28" s="305" t="s">
        <v>430</v>
      </c>
      <c r="F28" s="303">
        <v>3</v>
      </c>
    </row>
    <row r="29" spans="2:6">
      <c r="B29" s="1" t="s">
        <v>426</v>
      </c>
      <c r="C29" s="310">
        <f>C149</f>
        <v>13.849147725059744</v>
      </c>
      <c r="D29" s="310">
        <f>D149</f>
        <v>12.731390812674226</v>
      </c>
      <c r="E29" s="306" t="s">
        <v>425</v>
      </c>
      <c r="F29" s="302">
        <v>0.3674</v>
      </c>
    </row>
    <row r="30" spans="2:6">
      <c r="B30" s="1" t="s">
        <v>427</v>
      </c>
      <c r="C30" s="311">
        <f>C157</f>
        <v>19.207771337853202</v>
      </c>
      <c r="D30" s="311">
        <f>D157</f>
        <v>17.657522931912887</v>
      </c>
      <c r="E30" s="307" t="s">
        <v>438</v>
      </c>
      <c r="F30" s="312">
        <v>0.21740000000000001</v>
      </c>
    </row>
    <row r="31" spans="2:6">
      <c r="B31" s="1" t="s">
        <v>428</v>
      </c>
      <c r="C31" s="311">
        <f>C165</f>
        <v>27.368258647672583</v>
      </c>
      <c r="D31" s="311">
        <f>D165</f>
        <v>25.159381907334485</v>
      </c>
      <c r="E31" s="307" t="s">
        <v>437</v>
      </c>
      <c r="F31" s="312">
        <v>7.4999999999999997E-2</v>
      </c>
    </row>
    <row r="32" spans="2:6">
      <c r="B32" s="1" t="s">
        <v>429</v>
      </c>
      <c r="C32" s="311">
        <f>C173</f>
        <v>24.505323267342881</v>
      </c>
      <c r="D32" s="311">
        <f>D173</f>
        <v>22.527512429008713</v>
      </c>
      <c r="E32" s="307" t="s">
        <v>439</v>
      </c>
      <c r="F32" s="312">
        <v>0.1174</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1000000</v>
      </c>
    </row>
    <row r="40" spans="1:6" ht="24.5" customHeight="1">
      <c r="B40" s="351" t="s">
        <v>232</v>
      </c>
      <c r="C40" s="351"/>
      <c r="D40" s="351"/>
      <c r="E40" s="351"/>
      <c r="F40" s="351"/>
    </row>
    <row r="41" spans="1:6">
      <c r="B41" s="47" t="s">
        <v>233</v>
      </c>
      <c r="C41" s="76">
        <f>Normalized_FCF!C8</f>
        <v>122178.06382484984</v>
      </c>
      <c r="D41" s="1" t="str">
        <f>Reporting_currency</f>
        <v>CNY</v>
      </c>
    </row>
    <row r="42" spans="1:6">
      <c r="B42" s="47"/>
      <c r="C42" s="76"/>
    </row>
    <row r="43" spans="1:6" ht="24.5" customHeight="1">
      <c r="B43" s="351" t="s">
        <v>234</v>
      </c>
      <c r="C43" s="351"/>
      <c r="D43" s="351"/>
      <c r="E43" s="351"/>
      <c r="F43" s="351"/>
    </row>
    <row r="44" spans="1:6">
      <c r="B44" s="47" t="s">
        <v>235</v>
      </c>
      <c r="C44" s="76">
        <f>Normalized_FCF!C9</f>
        <v>74606</v>
      </c>
      <c r="D44" s="1" t="str">
        <f>Reporting_currency</f>
        <v>CNY</v>
      </c>
    </row>
    <row r="45" spans="1:6">
      <c r="B45" s="52" t="s">
        <v>236</v>
      </c>
      <c r="C45" s="76">
        <f>Normalized_FCF!C10</f>
        <v>-74606</v>
      </c>
      <c r="D45" s="1" t="str">
        <f>Reporting_currency</f>
        <v>CNY</v>
      </c>
    </row>
    <row r="47" spans="1:6">
      <c r="B47" s="351" t="s">
        <v>237</v>
      </c>
      <c r="C47" s="351"/>
      <c r="D47" s="351"/>
      <c r="E47" s="351"/>
      <c r="F47" s="351"/>
    </row>
    <row r="48" spans="1:6">
      <c r="B48" s="47" t="s">
        <v>238</v>
      </c>
      <c r="C48" s="76">
        <f>Normalized_FCF!C11</f>
        <v>0</v>
      </c>
      <c r="D48" s="1" t="str">
        <f>Reporting_currency</f>
        <v>CNY</v>
      </c>
    </row>
    <row r="50" spans="2:6">
      <c r="B50" s="351" t="s">
        <v>241</v>
      </c>
      <c r="C50" s="351"/>
      <c r="D50" s="351"/>
      <c r="E50" s="351"/>
      <c r="F50" s="351"/>
    </row>
    <row r="51" spans="2:6">
      <c r="B51" s="47" t="s">
        <v>341</v>
      </c>
      <c r="C51" s="340">
        <f>Normalized_FCF!C48</f>
        <v>801.81967938187529</v>
      </c>
      <c r="D51" s="1" t="str">
        <f>Reporting_currency</f>
        <v>CNY</v>
      </c>
      <c r="E51" s="286"/>
      <c r="F51" s="286"/>
    </row>
    <row r="52" spans="2:6">
      <c r="B52" s="47" t="s">
        <v>342</v>
      </c>
      <c r="C52" s="340">
        <f>Normalized_FCF!C47</f>
        <v>-2807</v>
      </c>
      <c r="D52" s="1" t="str">
        <f>Reporting_currency</f>
        <v>CNY</v>
      </c>
      <c r="E52" s="286"/>
      <c r="F52" s="286"/>
    </row>
    <row r="53" spans="2:6">
      <c r="B53" s="47" t="s">
        <v>239</v>
      </c>
      <c r="C53" s="76">
        <f>Normalized_FCF!C12</f>
        <v>-2005.1803206181248</v>
      </c>
      <c r="D53" s="1" t="str">
        <f>Reporting_currency</f>
        <v>CNY</v>
      </c>
    </row>
    <row r="55" spans="2:6">
      <c r="B55" s="1" t="s">
        <v>247</v>
      </c>
    </row>
    <row r="56" spans="2:6">
      <c r="B56" s="47" t="s">
        <v>266</v>
      </c>
      <c r="C56" s="76">
        <f>Normalized_FCF!C15</f>
        <v>-223.13946170149947</v>
      </c>
      <c r="D56" s="1" t="str">
        <f>Reporting_currency</f>
        <v>CNY</v>
      </c>
    </row>
    <row r="58" spans="2:6">
      <c r="B58" s="351" t="s">
        <v>242</v>
      </c>
      <c r="C58" s="351"/>
      <c r="D58" s="351"/>
      <c r="E58" s="351"/>
      <c r="F58" s="351"/>
    </row>
    <row r="59" spans="2:6">
      <c r="B59" s="47" t="s">
        <v>240</v>
      </c>
      <c r="C59" s="76">
        <f>Normalized_FCF!C14</f>
        <v>-30043.220876057931</v>
      </c>
      <c r="D59" s="1" t="str">
        <f>Reporting_currency</f>
        <v>CNY</v>
      </c>
    </row>
    <row r="61" spans="2:6">
      <c r="B61" s="351" t="s">
        <v>339</v>
      </c>
      <c r="C61" s="352"/>
      <c r="D61" s="352"/>
      <c r="E61" s="352"/>
      <c r="F61" s="352"/>
    </row>
    <row r="62" spans="2:6">
      <c r="B62" s="47" t="s">
        <v>243</v>
      </c>
      <c r="C62" s="76">
        <f>Normalized_FCF!C17</f>
        <v>0</v>
      </c>
      <c r="D62" s="1" t="str">
        <f>Reporting_currency</f>
        <v>CNY</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141358.4276163358</v>
      </c>
      <c r="D67" s="1" t="str">
        <f>Reporting_currency</f>
        <v>CNY</v>
      </c>
    </row>
    <row r="68" spans="1:6">
      <c r="B68" s="47" t="s">
        <v>249</v>
      </c>
      <c r="C68" s="76">
        <f>Normalized_FCF!C19</f>
        <v>89906.523166472296</v>
      </c>
      <c r="D68" s="1" t="str">
        <f>Reporting_currency</f>
        <v>CNY</v>
      </c>
    </row>
    <row r="69" spans="1:6">
      <c r="B69" s="227" t="s">
        <v>391</v>
      </c>
      <c r="C69" s="92">
        <f>Normalized_FCF!C125</f>
        <v>0.11520983449112923</v>
      </c>
      <c r="F69" s="314"/>
    </row>
    <row r="70" spans="1:6">
      <c r="B70" s="227" t="s">
        <v>309</v>
      </c>
      <c r="C70" s="92">
        <f>Normalized_FCF!C93</f>
        <v>7.8387458006718924E-2</v>
      </c>
      <c r="E70" s="47" t="s">
        <v>449</v>
      </c>
      <c r="F70" s="315">
        <f>Normalized_FCF!C92</f>
        <v>0.74012355537751062</v>
      </c>
    </row>
    <row r="72" spans="1:6">
      <c r="B72" s="210" t="s">
        <v>452</v>
      </c>
      <c r="C72" s="344" t="s">
        <v>454</v>
      </c>
      <c r="D72" s="344" t="s">
        <v>455</v>
      </c>
    </row>
    <row r="73" spans="1:6">
      <c r="B73" s="47" t="s">
        <v>453</v>
      </c>
      <c r="C73" s="92">
        <f>Normalized_FCF!C120</f>
        <v>0.16035109536268838</v>
      </c>
      <c r="D73" s="92">
        <f>Normalized_FCF!G120</f>
        <v>0.25805863024505871</v>
      </c>
    </row>
    <row r="74" spans="1:6">
      <c r="B74" s="259" t="str">
        <f>Normalized_FCF!B117</f>
        <v>Pre-tax Profit/Sales</v>
      </c>
      <c r="C74" s="343">
        <f>Normalized_FCF!C117</f>
        <v>0.31929962351402291</v>
      </c>
      <c r="D74" s="343">
        <f>Normalized_FCF!G117</f>
        <v>0.4599183545926474</v>
      </c>
    </row>
    <row r="75" spans="1:6">
      <c r="B75" s="259" t="str">
        <f>Normalized_FCF!B118</f>
        <v>Sales/Total Assets</v>
      </c>
      <c r="C75" s="345">
        <f>Normalized_FCF!C118</f>
        <v>0.35631048934895165</v>
      </c>
      <c r="D75" s="345">
        <f>Normalized_FCF!G118</f>
        <v>0.39810050545262105</v>
      </c>
    </row>
    <row r="76" spans="1:6">
      <c r="B76" s="259" t="str">
        <f>Normalized_FCF!B119</f>
        <v>Total Assets/Equity</v>
      </c>
      <c r="C76" s="345">
        <f>Normalized_FCF!C119</f>
        <v>1.4094345614568822</v>
      </c>
      <c r="D76" s="345">
        <f>Normalized_FCF!G119</f>
        <v>1.4094345614568822</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27.435301920154245</v>
      </c>
      <c r="D93" s="1" t="str">
        <f>Market_currency</f>
        <v>HKD</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91887</v>
      </c>
      <c r="D102" s="1" t="str">
        <f>Reporting_currency</f>
        <v>CNY</v>
      </c>
    </row>
    <row r="103" spans="2:6">
      <c r="B103" s="47" t="s">
        <v>282</v>
      </c>
      <c r="C103" s="223">
        <f>C102*scaling_factor*Exchange_Rate/Common_Shares</f>
        <v>2.1029738711528645</v>
      </c>
      <c r="D103" s="1" t="str">
        <f>Market_currency</f>
        <v>HKD</v>
      </c>
    </row>
    <row r="104" spans="2:6">
      <c r="B104" s="296" t="s">
        <v>405</v>
      </c>
      <c r="C104" s="346">
        <f>IF(BS!G31/BS!G27&gt;300%,"nm",BS!G31/BS!G27)</f>
        <v>0.12260820136742831</v>
      </c>
    </row>
    <row r="105" spans="2:6">
      <c r="B105" s="296" t="s">
        <v>407</v>
      </c>
      <c r="C105" s="347">
        <f>IF(BS!C50&gt;30,"nm",BS!C50)</f>
        <v>0.75207444874659302</v>
      </c>
    </row>
    <row r="107" spans="2:6">
      <c r="B107" s="1" t="s">
        <v>255</v>
      </c>
    </row>
    <row r="108" spans="2:6">
      <c r="B108" s="47" t="s">
        <v>265</v>
      </c>
      <c r="C108" s="76">
        <f>BS!C66</f>
        <v>154196</v>
      </c>
      <c r="D108" s="1" t="str">
        <f>Reporting_currency</f>
        <v>CNY</v>
      </c>
    </row>
    <row r="109" spans="2:6">
      <c r="B109" s="47" t="s">
        <v>267</v>
      </c>
      <c r="C109" s="76">
        <f>DCF!C8</f>
        <v>100741.35470787497</v>
      </c>
      <c r="D109" s="1" t="str">
        <f>Reporting_currency</f>
        <v>CNY</v>
      </c>
    </row>
    <row r="110" spans="2:6">
      <c r="B110" s="47" t="s">
        <v>283</v>
      </c>
      <c r="C110" s="223">
        <f>C109*scaling_factor*Exchange_Rate/Common_Shares</f>
        <v>2.305619257296502</v>
      </c>
      <c r="D110" s="1" t="str">
        <f>Market_currency</f>
        <v>HKD</v>
      </c>
    </row>
    <row r="112" spans="2:6">
      <c r="B112" s="1" t="s">
        <v>257</v>
      </c>
    </row>
    <row r="113" spans="1:6">
      <c r="B113" s="47" t="s">
        <v>258</v>
      </c>
      <c r="C113" s="76">
        <f>DCF!C9</f>
        <v>5113.2</v>
      </c>
      <c r="D113" s="1" t="str">
        <f>Reporting_currency</f>
        <v>CNY</v>
      </c>
    </row>
    <row r="114" spans="1:6">
      <c r="B114" s="47" t="s">
        <v>284</v>
      </c>
      <c r="C114" s="223">
        <f>C113*scaling_factor*Exchange_Rate/Common_Shares</f>
        <v>0.11702336563364597</v>
      </c>
      <c r="D114" s="1" t="str">
        <f>Market_currency</f>
        <v>HKD</v>
      </c>
    </row>
    <row r="116" spans="1:6" ht="24.5" customHeight="1">
      <c r="B116" s="350" t="s">
        <v>367</v>
      </c>
      <c r="C116" s="350"/>
      <c r="D116" s="350"/>
      <c r="E116" s="350"/>
      <c r="F116" s="350"/>
    </row>
    <row r="118" spans="1:6">
      <c r="B118" s="47" t="s">
        <v>450</v>
      </c>
      <c r="C118" s="223">
        <f>IF(valuation_method="DCF",DCF!C12,DDM!C7)</f>
        <v>27.754970671931527</v>
      </c>
      <c r="D118" s="1" t="str">
        <f>Market_currency</f>
        <v>HKD</v>
      </c>
    </row>
    <row r="119" spans="1:6">
      <c r="B119" s="296" t="s">
        <v>406</v>
      </c>
      <c r="C119" s="223">
        <f>BS!D47</f>
        <v>-0.45593156460418477</v>
      </c>
      <c r="D119" s="1" t="str">
        <f>Market_currency</f>
        <v>HKD</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0.04</v>
      </c>
      <c r="D126" s="230">
        <f>DCF!D74</f>
        <v>15</v>
      </c>
      <c r="E126" s="231" t="str">
        <f>ROUND(IF(valuation_method="DCF",DCF!E74,DDM!E69),2)&amp;" "&amp;Market_currency</f>
        <v>33.89 HKD</v>
      </c>
      <c r="F126" s="232">
        <f>DCF!F74</f>
        <v>0.05</v>
      </c>
    </row>
    <row r="127" spans="1:6">
      <c r="B127" s="218" t="str">
        <f>DCF!B75</f>
        <v>Optimistic</v>
      </c>
      <c r="C127" s="219">
        <f>DCF!C75</f>
        <v>0.03</v>
      </c>
      <c r="D127" s="220">
        <f>DCF!D75</f>
        <v>10</v>
      </c>
      <c r="E127" s="231" t="str">
        <f>ROUND(IF(valuation_method="DCF",DCF!E75,DDM!E70),2)&amp;" "&amp;Market_currency</f>
        <v>30.42 HKD</v>
      </c>
      <c r="F127" s="221">
        <f>DCF!F75</f>
        <v>0.18</v>
      </c>
    </row>
    <row r="128" spans="1:6">
      <c r="B128" s="218" t="str">
        <f>DCF!B76</f>
        <v>Base</v>
      </c>
      <c r="C128" s="219">
        <f>DCF!C76</f>
        <v>0.02</v>
      </c>
      <c r="D128" s="220">
        <f>DCF!D76</f>
        <v>10</v>
      </c>
      <c r="E128" s="231" t="str">
        <f>ROUND(IF(valuation_method="DCF",DCF!E76,DDM!E71),2)&amp;" "&amp;Market_currency</f>
        <v>29.49 HKD</v>
      </c>
      <c r="F128" s="221">
        <f>DCF!F76</f>
        <v>0.53999999999999992</v>
      </c>
    </row>
    <row r="129" spans="1:6">
      <c r="B129" s="218" t="str">
        <f>DCF!B77</f>
        <v>Pessimistic</v>
      </c>
      <c r="C129" s="219">
        <f>DCF!C77</f>
        <v>0</v>
      </c>
      <c r="D129" s="220">
        <f>DCF!D77</f>
        <v>10</v>
      </c>
      <c r="E129" s="231" t="str">
        <f>ROUND(IF(valuation_method="DCF",DCF!E77,DDM!E72),2)&amp;" "&amp;Market_currency</f>
        <v>27.75 HKD</v>
      </c>
      <c r="F129" s="221">
        <f>DCF!F77</f>
        <v>0.18</v>
      </c>
    </row>
    <row r="130" spans="1:6">
      <c r="B130" s="218" t="str">
        <f>DCF!B78</f>
        <v>Devil's advocate</v>
      </c>
      <c r="C130" s="219">
        <f>DCF!C78</f>
        <v>0</v>
      </c>
      <c r="D130" s="220">
        <f>DCF!D78</f>
        <v>15</v>
      </c>
      <c r="E130" s="231" t="str">
        <f>ROUND(IF(valuation_method="DCF",DCF!E78,DDM!E73),2)&amp;" "&amp;Market_currency</f>
        <v>27.75 HKD</v>
      </c>
      <c r="F130" s="221">
        <f>DCF!F78</f>
        <v>0.05</v>
      </c>
    </row>
    <row r="132" spans="1:6">
      <c r="B132" s="211" t="s">
        <v>259</v>
      </c>
      <c r="C132" s="217">
        <f>Scenarios!C60</f>
        <v>29.476627192195373</v>
      </c>
      <c r="D132" s="212" t="str">
        <f>Market_currency</f>
        <v>HKD</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0.3674</v>
      </c>
    </row>
    <row r="143" spans="1:6">
      <c r="B143" s="212" t="s">
        <v>262</v>
      </c>
      <c r="C143" s="213">
        <f>Scenarios!C77</f>
        <v>1.4</v>
      </c>
      <c r="D143" s="212" t="str">
        <f>Market_currency</f>
        <v>HKD</v>
      </c>
    </row>
    <row r="145" spans="2:4">
      <c r="B145" s="210" t="s">
        <v>409</v>
      </c>
      <c r="C145" s="241" t="str">
        <f>C11</f>
        <v>0883.HK</v>
      </c>
      <c r="D145" s="241" t="str">
        <f>IF(D11="","",D11)</f>
        <v>600938.SS</v>
      </c>
    </row>
    <row r="146" spans="2:4">
      <c r="B146" s="1" t="s">
        <v>408</v>
      </c>
      <c r="C146" s="297">
        <f>F29</f>
        <v>0.3674</v>
      </c>
    </row>
    <row r="147" spans="2:4">
      <c r="B147" s="212" t="str">
        <f>"PV("&amp;C141&amp;" yrs of Dividends)"</f>
        <v>PV(3 yrs of Dividends)</v>
      </c>
      <c r="C147" s="216">
        <f>Scenarios!C81</f>
        <v>2.3201630471108023</v>
      </c>
    </row>
    <row r="148" spans="2:4">
      <c r="B148" s="212" t="str">
        <f>"+ PV(Equity Value realized at year "&amp;C141&amp;")"</f>
        <v>+ PV(Equity Value realized at year 3)</v>
      </c>
      <c r="C148" s="216">
        <f>Scenarios!C82</f>
        <v>11.528984677948941</v>
      </c>
    </row>
    <row r="149" spans="2:4">
      <c r="B149" s="80" t="s">
        <v>261</v>
      </c>
      <c r="C149" s="215">
        <f>Scenarios!C83</f>
        <v>13.849147725059744</v>
      </c>
      <c r="D149" s="300">
        <f>IF($D$11="","",C149*$E$25)</f>
        <v>12.731390812674226</v>
      </c>
    </row>
    <row r="150" spans="2:4">
      <c r="B150" s="259" t="s">
        <v>417</v>
      </c>
      <c r="C150" s="298" t="str">
        <f>Market_currency</f>
        <v>HKD</v>
      </c>
      <c r="D150" s="298" t="str">
        <f>IF($D$11="","",D$13)</f>
        <v>CNY</v>
      </c>
    </row>
    <row r="151" spans="2:4">
      <c r="B151" s="214" t="s">
        <v>263</v>
      </c>
      <c r="C151" s="92">
        <f>Scenarios!F83</f>
        <v>0.53016511574544634</v>
      </c>
    </row>
    <row r="153" spans="2:4">
      <c r="B153" s="210" t="s">
        <v>412</v>
      </c>
    </row>
    <row r="154" spans="2:4">
      <c r="B154" s="1" t="s">
        <v>411</v>
      </c>
      <c r="C154" s="297">
        <f>Scenarios!C90</f>
        <v>0.21740000000000001</v>
      </c>
    </row>
    <row r="155" spans="2:4">
      <c r="B155" s="212" t="str">
        <f>"PV("&amp;C141&amp;" yrs of Dividends)"</f>
        <v>PV(3 yrs of Dividends)</v>
      </c>
      <c r="C155" s="216">
        <f>Scenarios!C91</f>
        <v>2.870561153410911</v>
      </c>
    </row>
    <row r="156" spans="2:4">
      <c r="B156" s="212" t="str">
        <f>"+ PV(Equity Value realized at year "&amp;C141&amp;")"</f>
        <v>+ PV(Equity Value realized at year 3)</v>
      </c>
      <c r="C156" s="216">
        <f>Scenarios!C92</f>
        <v>16.337210184442291</v>
      </c>
    </row>
    <row r="157" spans="2:4">
      <c r="B157" s="80" t="s">
        <v>261</v>
      </c>
      <c r="C157" s="215">
        <f>Scenarios!C93</f>
        <v>19.207771337853202</v>
      </c>
      <c r="D157" s="300">
        <f>IF($D$11="","",C157*$E$25)</f>
        <v>17.657522931912887</v>
      </c>
    </row>
    <row r="158" spans="2:4">
      <c r="B158" s="259" t="s">
        <v>417</v>
      </c>
      <c r="C158" s="298" t="str">
        <f>Market_currency</f>
        <v>HKD</v>
      </c>
      <c r="D158" s="298" t="str">
        <f>IF($D$11="","",D$13)</f>
        <v>CNY</v>
      </c>
    </row>
    <row r="159" spans="2:4">
      <c r="B159" s="214" t="s">
        <v>263</v>
      </c>
      <c r="C159" s="92">
        <f>Scenarios!F93</f>
        <v>0.3483728239118582</v>
      </c>
    </row>
    <row r="161" spans="2:4">
      <c r="B161" s="210" t="s">
        <v>401</v>
      </c>
    </row>
    <row r="162" spans="2:4">
      <c r="B162" s="1" t="s">
        <v>410</v>
      </c>
      <c r="C162" s="92">
        <f>Scenarios!C96</f>
        <v>7.4999999999999997E-2</v>
      </c>
    </row>
    <row r="163" spans="2:4">
      <c r="B163" s="212" t="str">
        <f>"PV("&amp;C141&amp;" yrs of Dividends)"</f>
        <v>PV(3 yrs of Dividends)</v>
      </c>
      <c r="C163" s="216">
        <f>Scenarios!C97</f>
        <v>3.6407360358207437</v>
      </c>
    </row>
    <row r="164" spans="2:4">
      <c r="B164" s="212" t="str">
        <f>"+ PV(Equity Value realized at year "&amp;C141&amp;")"</f>
        <v>+ PV(Equity Value realized at year 3)</v>
      </c>
      <c r="C164" s="216">
        <f>Scenarios!C98</f>
        <v>23.727522611851839</v>
      </c>
    </row>
    <row r="165" spans="2:4">
      <c r="B165" s="80" t="s">
        <v>402</v>
      </c>
      <c r="C165" s="215">
        <f>Scenarios!C99</f>
        <v>27.368258647672583</v>
      </c>
      <c r="D165" s="300">
        <f>IF($D$11="","",C165*$E$25)</f>
        <v>25.159381907334485</v>
      </c>
    </row>
    <row r="166" spans="2:4">
      <c r="B166" s="259" t="s">
        <v>417</v>
      </c>
      <c r="C166" s="298" t="str">
        <f>Market_currency</f>
        <v>HKD</v>
      </c>
      <c r="D166" s="298" t="str">
        <f>IF($D$11="","",D$13)</f>
        <v>CNY</v>
      </c>
    </row>
    <row r="167" spans="2:4">
      <c r="B167" s="214" t="s">
        <v>263</v>
      </c>
      <c r="C167" s="92">
        <f>Scenarios!F99</f>
        <v>7.1526790727299727E-2</v>
      </c>
    </row>
    <row r="169" spans="2:4">
      <c r="B169" s="210" t="s">
        <v>433</v>
      </c>
    </row>
    <row r="170" spans="2:4">
      <c r="B170" s="1" t="s">
        <v>424</v>
      </c>
      <c r="C170" s="92">
        <f>F32</f>
        <v>0.1174</v>
      </c>
    </row>
    <row r="171" spans="2:4">
      <c r="B171" s="212" t="str">
        <f>"PV("&amp;C141&amp;" yrs of Dividends)"</f>
        <v>PV(3 yrs of Dividends)</v>
      </c>
      <c r="C171" s="216">
        <f>Scenarios!C103</f>
        <v>3.3776443763141084</v>
      </c>
    </row>
    <row r="172" spans="2:4">
      <c r="B172" s="212" t="str">
        <f>"+ PV(Equity Value realized at year "&amp;C141&amp;")"</f>
        <v>+ PV(Equity Value realized at year 3)</v>
      </c>
      <c r="C172" s="216">
        <f>Scenarios!C104</f>
        <v>21.127678891028772</v>
      </c>
    </row>
    <row r="173" spans="2:4">
      <c r="B173" s="80" t="s">
        <v>402</v>
      </c>
      <c r="C173" s="215">
        <f>Scenarios!C105</f>
        <v>24.505323267342881</v>
      </c>
      <c r="D173" s="300">
        <f>IF($D$11="","",C173*$E$25)</f>
        <v>22.527512429008713</v>
      </c>
    </row>
    <row r="174" spans="2:4">
      <c r="B174" s="259" t="s">
        <v>417</v>
      </c>
      <c r="C174" s="298" t="str">
        <f>Market_currency</f>
        <v>HKD</v>
      </c>
      <c r="D174" s="298" t="str">
        <f>IF($D$11="","",D$13)</f>
        <v>CNY</v>
      </c>
    </row>
    <row r="175" spans="2:4">
      <c r="B175" s="214" t="s">
        <v>263</v>
      </c>
      <c r="C175" s="92">
        <f>Scenarios!F105</f>
        <v>0.16856309366387923</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4">
        <v>420506</v>
      </c>
      <c r="D4" s="334">
        <v>416609</v>
      </c>
      <c r="E4" s="334">
        <v>422230</v>
      </c>
      <c r="F4" s="334">
        <v>246111</v>
      </c>
      <c r="G4" s="334">
        <v>155372.67139999999</v>
      </c>
      <c r="H4" s="334">
        <v>233198.55619999999</v>
      </c>
      <c r="I4" s="334">
        <v>227710.21479999999</v>
      </c>
      <c r="J4" s="334">
        <v>2360193</v>
      </c>
      <c r="K4" s="334">
        <v>1930911</v>
      </c>
      <c r="L4" s="334">
        <v>2018883</v>
      </c>
      <c r="M4" s="334"/>
    </row>
    <row r="5" spans="2:13">
      <c r="B5" s="40" t="s">
        <v>43</v>
      </c>
      <c r="C5" s="334">
        <v>215269</v>
      </c>
      <c r="D5" s="334">
        <v>233125</v>
      </c>
      <c r="E5" s="334">
        <v>217001</v>
      </c>
      <c r="F5" s="334">
        <v>132757</v>
      </c>
      <c r="G5" s="334">
        <v>104581.49189999999</v>
      </c>
      <c r="H5" s="334">
        <v>138539.2739</v>
      </c>
      <c r="I5" s="334">
        <v>139181.76360000001</v>
      </c>
      <c r="J5" s="334">
        <v>1890398</v>
      </c>
      <c r="K5" s="334">
        <v>1492165</v>
      </c>
      <c r="L5" s="334">
        <v>1592771</v>
      </c>
      <c r="M5" s="334"/>
    </row>
    <row r="6" spans="2:13">
      <c r="B6" s="40" t="s">
        <v>54</v>
      </c>
      <c r="C6" s="334">
        <v>10745</v>
      </c>
      <c r="D6" s="334">
        <v>10513</v>
      </c>
      <c r="E6" s="334">
        <v>9711</v>
      </c>
      <c r="F6" s="334">
        <v>7912</v>
      </c>
      <c r="G6" s="334">
        <v>7881.8548000000001</v>
      </c>
      <c r="H6" s="334">
        <v>7386.8598000000002</v>
      </c>
      <c r="I6" s="334">
        <v>6980.6142</v>
      </c>
      <c r="J6" s="334">
        <v>134983</v>
      </c>
      <c r="K6" s="334">
        <v>123705</v>
      </c>
      <c r="L6" s="334">
        <v>118753</v>
      </c>
      <c r="M6" s="334"/>
    </row>
    <row r="7" spans="2:13">
      <c r="B7" s="69" t="s">
        <v>61</v>
      </c>
      <c r="C7" s="335">
        <v>3532</v>
      </c>
      <c r="D7" s="335">
        <v>3501</v>
      </c>
      <c r="E7" s="335">
        <v>3355</v>
      </c>
      <c r="F7" s="335">
        <v>2694</v>
      </c>
      <c r="G7" s="335">
        <v>3048.0317</v>
      </c>
      <c r="H7" s="335">
        <v>2798.4634999999998</v>
      </c>
      <c r="I7" s="335">
        <v>2444.741</v>
      </c>
      <c r="J7" s="335">
        <v>56055</v>
      </c>
      <c r="K7" s="335">
        <v>49550</v>
      </c>
      <c r="L7" s="335">
        <v>46872</v>
      </c>
      <c r="M7" s="335"/>
    </row>
    <row r="8" spans="2:13">
      <c r="B8" s="40" t="s">
        <v>49</v>
      </c>
      <c r="C8" s="334">
        <v>1711</v>
      </c>
      <c r="D8" s="334">
        <v>1605</v>
      </c>
      <c r="E8" s="334">
        <v>1527</v>
      </c>
      <c r="F8" s="334">
        <v>1506</v>
      </c>
      <c r="G8" s="334">
        <v>1321.0753999999999</v>
      </c>
      <c r="H8" s="334">
        <v>984.92179999999996</v>
      </c>
      <c r="I8" s="334">
        <v>715.09730000000002</v>
      </c>
      <c r="J8" s="334">
        <v>0</v>
      </c>
      <c r="K8" s="334">
        <v>0</v>
      </c>
      <c r="L8" s="334">
        <v>0</v>
      </c>
      <c r="M8" s="334"/>
    </row>
    <row r="9" spans="2:13">
      <c r="B9" s="40" t="s">
        <v>160</v>
      </c>
      <c r="C9" s="334">
        <v>1836</v>
      </c>
      <c r="D9" s="334">
        <v>1931</v>
      </c>
      <c r="E9" s="334">
        <v>1911</v>
      </c>
      <c r="F9" s="334">
        <v>346</v>
      </c>
      <c r="G9" s="334">
        <v>-632.40350000000001</v>
      </c>
      <c r="H9" s="334">
        <v>1002.7065</v>
      </c>
      <c r="I9" s="334">
        <v>-5186.9755999999998</v>
      </c>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2807</v>
      </c>
      <c r="D12" s="334">
        <v>2423</v>
      </c>
      <c r="E12" s="334">
        <v>3129</v>
      </c>
      <c r="F12" s="334">
        <v>3199</v>
      </c>
      <c r="G12" s="334">
        <v>3553.9661000000001</v>
      </c>
      <c r="H12" s="334">
        <v>3069.9225999999999</v>
      </c>
      <c r="I12" s="334">
        <v>2601.9825999999998</v>
      </c>
      <c r="J12" s="334">
        <v>0</v>
      </c>
      <c r="K12" s="334">
        <v>0</v>
      </c>
      <c r="L12" s="334">
        <v>0</v>
      </c>
      <c r="M12" s="334"/>
    </row>
    <row r="13" spans="2:13">
      <c r="B13" s="40" t="s">
        <v>67</v>
      </c>
      <c r="C13" s="334">
        <v>4582</v>
      </c>
      <c r="D13" s="334">
        <v>4805</v>
      </c>
      <c r="E13" s="334">
        <v>2980</v>
      </c>
      <c r="F13" s="334">
        <v>1341</v>
      </c>
      <c r="G13" s="334">
        <v>1472.9675999999999</v>
      </c>
      <c r="H13" s="334">
        <v>1066.8196</v>
      </c>
      <c r="I13" s="334">
        <v>798.00549999999998</v>
      </c>
      <c r="J13" s="334">
        <v>0</v>
      </c>
      <c r="K13" s="334">
        <v>0</v>
      </c>
      <c r="L13" s="334">
        <v>0</v>
      </c>
      <c r="M13" s="334"/>
    </row>
    <row r="14" spans="2:13">
      <c r="B14" s="40" t="s">
        <v>50</v>
      </c>
      <c r="C14" s="334">
        <v>51994</v>
      </c>
      <c r="D14" s="334">
        <v>48884</v>
      </c>
      <c r="E14" s="334">
        <v>53093</v>
      </c>
      <c r="F14" s="334">
        <v>25514</v>
      </c>
      <c r="G14" s="334">
        <v>9951.4562000000005</v>
      </c>
      <c r="H14" s="334">
        <v>24603.813999999998</v>
      </c>
      <c r="I14" s="334">
        <v>22482.776699999999</v>
      </c>
      <c r="J14" s="334">
        <v>16279</v>
      </c>
      <c r="K14" s="334">
        <v>20707</v>
      </c>
      <c r="L14" s="334">
        <v>12613</v>
      </c>
      <c r="M14" s="334"/>
    </row>
    <row r="15" spans="2:13">
      <c r="B15" s="43" t="s">
        <v>42</v>
      </c>
      <c r="C15" s="336">
        <v>137982</v>
      </c>
      <c r="D15" s="336">
        <v>124090</v>
      </c>
      <c r="E15" s="336">
        <v>141677</v>
      </c>
      <c r="F15" s="336">
        <v>70307</v>
      </c>
      <c r="G15" s="336">
        <v>24955.667399999998</v>
      </c>
      <c r="H15" s="336">
        <v>61045.459000000003</v>
      </c>
      <c r="I15" s="336">
        <v>52675.361299999997</v>
      </c>
      <c r="J15" s="336">
        <v>70294</v>
      </c>
      <c r="K15" s="336">
        <v>59170</v>
      </c>
      <c r="L15" s="336">
        <v>43346</v>
      </c>
      <c r="M15" s="336"/>
    </row>
    <row r="16" spans="2:13">
      <c r="B16" s="28" t="s">
        <v>44</v>
      </c>
      <c r="C16" s="334">
        <v>46</v>
      </c>
      <c r="D16" s="334">
        <v>247</v>
      </c>
      <c r="E16" s="334">
        <v>-23</v>
      </c>
      <c r="F16" s="334">
        <v>-13</v>
      </c>
      <c r="G16" s="334">
        <v>-1.1203000000000001</v>
      </c>
      <c r="H16" s="334">
        <v>6.4699999999999994E-2</v>
      </c>
      <c r="I16" s="334">
        <v>-1E-4</v>
      </c>
      <c r="J16" s="334">
        <v>19175</v>
      </c>
      <c r="K16" s="334">
        <v>12754</v>
      </c>
      <c r="L16" s="334">
        <v>11139</v>
      </c>
      <c r="M16" s="334"/>
    </row>
    <row r="18" spans="2:13">
      <c r="B18" s="16" t="s">
        <v>51</v>
      </c>
      <c r="C18" s="9"/>
    </row>
    <row r="19" spans="2:13">
      <c r="B19" s="27" t="s">
        <v>47</v>
      </c>
      <c r="C19" s="334">
        <v>74606</v>
      </c>
      <c r="D19" s="334">
        <v>68947</v>
      </c>
      <c r="E19" s="334">
        <v>62852</v>
      </c>
      <c r="F19" s="334">
        <v>55963</v>
      </c>
      <c r="G19" s="334">
        <v>51078.741900000001</v>
      </c>
      <c r="H19" s="334">
        <v>56363.515599999999</v>
      </c>
      <c r="I19" s="334">
        <v>50838.249000000003</v>
      </c>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220891</v>
      </c>
      <c r="D22" s="334">
        <v>209743</v>
      </c>
      <c r="E22" s="334">
        <v>205574</v>
      </c>
      <c r="F22" s="334">
        <v>147893</v>
      </c>
      <c r="G22" s="334">
        <v>82338.042000000001</v>
      </c>
      <c r="H22" s="334">
        <v>123518.42600000001</v>
      </c>
      <c r="I22" s="334">
        <v>124397.09020000001</v>
      </c>
      <c r="J22" s="334">
        <v>190935</v>
      </c>
      <c r="K22" s="334">
        <v>214543</v>
      </c>
      <c r="L22" s="334">
        <v>165818</v>
      </c>
      <c r="M22" s="334"/>
    </row>
    <row r="23" spans="2:13">
      <c r="B23" s="27" t="s">
        <v>374</v>
      </c>
      <c r="C23" s="334">
        <v>-175426</v>
      </c>
      <c r="D23" s="334">
        <v>-78095</v>
      </c>
      <c r="E23" s="334">
        <v>-98473</v>
      </c>
      <c r="F23" s="334">
        <v>-96235</v>
      </c>
      <c r="G23" s="334">
        <v>-50849.064100000003</v>
      </c>
      <c r="H23" s="334">
        <v>-67455.145999999993</v>
      </c>
      <c r="I23" s="334">
        <v>-95452.180500000002</v>
      </c>
      <c r="J23" s="334">
        <v>-145323</v>
      </c>
      <c r="K23" s="334">
        <v>-66217</v>
      </c>
      <c r="L23" s="334">
        <v>-116952</v>
      </c>
      <c r="M23" s="334"/>
    </row>
    <row r="24" spans="2:13">
      <c r="B24" s="27" t="s">
        <v>373</v>
      </c>
      <c r="C24" s="334">
        <v>-97935</v>
      </c>
      <c r="D24" s="334">
        <v>-84228</v>
      </c>
      <c r="E24" s="334">
        <v>-64962</v>
      </c>
      <c r="F24" s="334">
        <v>-33332</v>
      </c>
      <c r="G24" s="334">
        <v>-38698.972800000003</v>
      </c>
      <c r="H24" s="334">
        <v>-37690.758699999998</v>
      </c>
      <c r="I24" s="334">
        <v>-27108.465100000001</v>
      </c>
      <c r="J24" s="334">
        <v>-56509</v>
      </c>
      <c r="K24" s="334">
        <v>-93047</v>
      </c>
      <c r="L24" s="334">
        <v>9310</v>
      </c>
      <c r="M24" s="334"/>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463</v>
      </c>
    </row>
    <row r="28" spans="2:13">
      <c r="B28" s="26" t="s">
        <v>24</v>
      </c>
      <c r="C28" s="323">
        <f>BS!C4</f>
        <v>33661</v>
      </c>
      <c r="D28" s="334">
        <v>41642</v>
      </c>
      <c r="E28" s="334">
        <v>41488</v>
      </c>
      <c r="F28" s="334">
        <v>33105</v>
      </c>
      <c r="G28" s="334">
        <v>25613.371299999999</v>
      </c>
      <c r="H28" s="334">
        <v>31381.7863</v>
      </c>
      <c r="I28" s="334">
        <v>27143.492099999999</v>
      </c>
      <c r="J28" s="334">
        <v>84701</v>
      </c>
      <c r="K28" s="334">
        <v>63486</v>
      </c>
      <c r="L28" s="334">
        <v>67075</v>
      </c>
      <c r="M28" s="334"/>
    </row>
    <row r="29" spans="2:13">
      <c r="B29" s="26" t="s">
        <v>32</v>
      </c>
      <c r="C29" s="323">
        <f>BS!C6</f>
        <v>5732</v>
      </c>
      <c r="D29" s="334">
        <v>6451</v>
      </c>
      <c r="E29" s="334">
        <v>6239</v>
      </c>
      <c r="F29" s="334">
        <v>5703</v>
      </c>
      <c r="G29" s="334">
        <v>5644.0001000000002</v>
      </c>
      <c r="H29" s="334">
        <v>6313.6594999999998</v>
      </c>
      <c r="I29" s="334">
        <v>5853.2028</v>
      </c>
      <c r="J29" s="334">
        <v>186693</v>
      </c>
      <c r="K29" s="334">
        <v>156511</v>
      </c>
      <c r="L29" s="334">
        <v>145498</v>
      </c>
      <c r="M29" s="334"/>
    </row>
    <row r="30" spans="2:13">
      <c r="B30" s="29" t="s">
        <v>40</v>
      </c>
      <c r="C30" s="324">
        <f>BS!C33+BS!C42</f>
        <v>306845</v>
      </c>
      <c r="D30" s="336">
        <v>337722</v>
      </c>
      <c r="E30" s="336">
        <v>330648</v>
      </c>
      <c r="F30" s="336">
        <v>304593</v>
      </c>
      <c r="G30" s="336">
        <v>287345.75290000002</v>
      </c>
      <c r="H30" s="336">
        <v>309503.74410000001</v>
      </c>
      <c r="I30" s="336">
        <v>266468.9056</v>
      </c>
      <c r="J30" s="336">
        <v>741434</v>
      </c>
      <c r="K30" s="336">
        <v>666084</v>
      </c>
      <c r="L30" s="336">
        <v>657506</v>
      </c>
      <c r="M30" s="336"/>
    </row>
    <row r="31" spans="2:13">
      <c r="B31" s="29" t="s">
        <v>30</v>
      </c>
      <c r="C31" s="324">
        <f>BS!G27</f>
        <v>749436</v>
      </c>
      <c r="D31" s="336">
        <v>667876</v>
      </c>
      <c r="E31" s="336">
        <v>598383</v>
      </c>
      <c r="F31" s="336">
        <v>481976</v>
      </c>
      <c r="G31" s="336">
        <v>433930.65610000002</v>
      </c>
      <c r="H31" s="336">
        <v>448226.6789</v>
      </c>
      <c r="I31" s="336">
        <v>419911.09840000002</v>
      </c>
      <c r="J31" s="336">
        <v>854070</v>
      </c>
      <c r="K31" s="336">
        <v>832525</v>
      </c>
      <c r="L31" s="336">
        <v>785623</v>
      </c>
      <c r="M31" s="336"/>
    </row>
    <row r="32" spans="2:13">
      <c r="B32" s="26" t="s">
        <v>173</v>
      </c>
      <c r="C32" s="323">
        <f>BS!G28</f>
        <v>1888</v>
      </c>
      <c r="D32" s="334">
        <v>1290</v>
      </c>
      <c r="E32" s="334">
        <v>1201</v>
      </c>
      <c r="F32" s="334">
        <v>1064</v>
      </c>
      <c r="G32" s="334">
        <v>221.14420000000001</v>
      </c>
      <c r="H32" s="334">
        <v>39.264600000000002</v>
      </c>
      <c r="I32" s="334">
        <v>10.0449</v>
      </c>
      <c r="J32" s="334">
        <v>126826</v>
      </c>
      <c r="K32" s="334">
        <v>120293</v>
      </c>
      <c r="L32" s="334">
        <v>110253</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420506</v>
      </c>
      <c r="D36" s="323">
        <f t="shared" si="1"/>
        <v>416609</v>
      </c>
      <c r="E36" s="323">
        <f t="shared" si="1"/>
        <v>422230</v>
      </c>
      <c r="F36" s="323">
        <f t="shared" si="1"/>
        <v>246111</v>
      </c>
      <c r="G36" s="323">
        <f t="shared" si="1"/>
        <v>155372.67139999999</v>
      </c>
      <c r="H36" s="323">
        <f t="shared" si="1"/>
        <v>233198.55619999999</v>
      </c>
      <c r="I36" s="323">
        <f t="shared" si="1"/>
        <v>227710.21479999999</v>
      </c>
      <c r="J36" s="323">
        <f t="shared" si="1"/>
        <v>2360193</v>
      </c>
      <c r="K36" s="323">
        <f t="shared" si="1"/>
        <v>1930911</v>
      </c>
      <c r="L36" s="323">
        <f t="shared" si="1"/>
        <v>2018883</v>
      </c>
      <c r="M36" s="323" t="str">
        <f t="shared" si="1"/>
        <v/>
      </c>
    </row>
    <row r="37" spans="2:13">
      <c r="B37" s="40" t="s">
        <v>43</v>
      </c>
      <c r="C37" s="323">
        <f t="shared" ref="C37:M37" si="2">IF(C$4="","",-C5)</f>
        <v>-215269</v>
      </c>
      <c r="D37" s="323">
        <f t="shared" si="2"/>
        <v>-233125</v>
      </c>
      <c r="E37" s="323">
        <f t="shared" si="2"/>
        <v>-217001</v>
      </c>
      <c r="F37" s="323">
        <f t="shared" si="2"/>
        <v>-132757</v>
      </c>
      <c r="G37" s="323">
        <f t="shared" si="2"/>
        <v>-104581.49189999999</v>
      </c>
      <c r="H37" s="323">
        <f t="shared" si="2"/>
        <v>-138539.2739</v>
      </c>
      <c r="I37" s="323">
        <f t="shared" si="2"/>
        <v>-139181.76360000001</v>
      </c>
      <c r="J37" s="323">
        <f t="shared" si="2"/>
        <v>-1890398</v>
      </c>
      <c r="K37" s="323">
        <f t="shared" si="2"/>
        <v>-1492165</v>
      </c>
      <c r="L37" s="323">
        <f t="shared" si="2"/>
        <v>-1592771</v>
      </c>
      <c r="M37" s="323" t="str">
        <f t="shared" si="2"/>
        <v/>
      </c>
    </row>
    <row r="38" spans="2:13">
      <c r="B38" s="31" t="s">
        <v>58</v>
      </c>
      <c r="C38" s="319">
        <f>IF(C36="","",C36+C37)</f>
        <v>205237</v>
      </c>
      <c r="D38" s="319">
        <f t="shared" ref="D38" si="3">IF(D36="","",D36+D37)</f>
        <v>183484</v>
      </c>
      <c r="E38" s="319">
        <f t="shared" ref="E38" si="4">IF(E36="","",E36+E37)</f>
        <v>205229</v>
      </c>
      <c r="F38" s="319">
        <f t="shared" ref="F38" si="5">IF(F36="","",F36+F37)</f>
        <v>113354</v>
      </c>
      <c r="G38" s="319">
        <f t="shared" ref="G38" si="6">IF(G36="","",G36+G37)</f>
        <v>50791.179499999998</v>
      </c>
      <c r="H38" s="319">
        <f t="shared" ref="H38" si="7">IF(H36="","",H36+H37)</f>
        <v>94659.282299999992</v>
      </c>
      <c r="I38" s="319">
        <f t="shared" ref="I38" si="8">IF(I36="","",I36+I37)</f>
        <v>88528.451199999981</v>
      </c>
      <c r="J38" s="319">
        <f t="shared" ref="J38" si="9">IF(J36="","",J36+J37)</f>
        <v>469795</v>
      </c>
      <c r="K38" s="319">
        <f t="shared" ref="K38" si="10">IF(K36="","",K36+K37)</f>
        <v>438746</v>
      </c>
      <c r="L38" s="319">
        <f t="shared" ref="L38" si="11">IF(L36="","",L36+L37)</f>
        <v>426112</v>
      </c>
      <c r="M38" s="319" t="str">
        <f t="shared" ref="M38" si="12">IF(M36="","",M36+M37)</f>
        <v/>
      </c>
    </row>
    <row r="39" spans="2:13">
      <c r="B39" s="40" t="s">
        <v>54</v>
      </c>
      <c r="C39" s="323">
        <f t="shared" ref="C39:M39" si="13">IF(C$4="","",-C6)</f>
        <v>-10745</v>
      </c>
      <c r="D39" s="323">
        <f t="shared" si="13"/>
        <v>-10513</v>
      </c>
      <c r="E39" s="323">
        <f t="shared" si="13"/>
        <v>-9711</v>
      </c>
      <c r="F39" s="323">
        <f t="shared" si="13"/>
        <v>-7912</v>
      </c>
      <c r="G39" s="323">
        <f t="shared" si="13"/>
        <v>-7881.8548000000001</v>
      </c>
      <c r="H39" s="323">
        <f t="shared" si="13"/>
        <v>-7386.8598000000002</v>
      </c>
      <c r="I39" s="323">
        <f t="shared" si="13"/>
        <v>-6980.6142</v>
      </c>
      <c r="J39" s="323">
        <f t="shared" si="13"/>
        <v>-134983</v>
      </c>
      <c r="K39" s="323">
        <f t="shared" si="13"/>
        <v>-123705</v>
      </c>
      <c r="L39" s="323">
        <f t="shared" si="13"/>
        <v>-118753</v>
      </c>
      <c r="M39" s="323" t="str">
        <f t="shared" si="13"/>
        <v/>
      </c>
    </row>
    <row r="40" spans="2:13">
      <c r="B40" s="69" t="s">
        <v>61</v>
      </c>
      <c r="C40" s="333">
        <f t="shared" ref="C40:M40" si="14">IF(C$4="","",-C7)</f>
        <v>-3532</v>
      </c>
      <c r="D40" s="333">
        <f t="shared" si="14"/>
        <v>-3501</v>
      </c>
      <c r="E40" s="333">
        <f t="shared" si="14"/>
        <v>-3355</v>
      </c>
      <c r="F40" s="333">
        <f t="shared" si="14"/>
        <v>-2694</v>
      </c>
      <c r="G40" s="333">
        <f t="shared" si="14"/>
        <v>-3048.0317</v>
      </c>
      <c r="H40" s="333">
        <f t="shared" si="14"/>
        <v>-2798.4634999999998</v>
      </c>
      <c r="I40" s="333">
        <f t="shared" si="14"/>
        <v>-2444.741</v>
      </c>
      <c r="J40" s="333">
        <f t="shared" si="14"/>
        <v>-56055</v>
      </c>
      <c r="K40" s="333">
        <f t="shared" si="14"/>
        <v>-49550</v>
      </c>
      <c r="L40" s="333">
        <f t="shared" si="14"/>
        <v>-46872</v>
      </c>
      <c r="M40" s="333" t="str">
        <f t="shared" si="14"/>
        <v/>
      </c>
    </row>
    <row r="41" spans="2:13">
      <c r="B41" s="69" t="s">
        <v>64</v>
      </c>
      <c r="C41" s="333">
        <f>IF(C$4="","",C39-C40)</f>
        <v>-7213</v>
      </c>
      <c r="D41" s="333">
        <f t="shared" ref="D41:M41" si="15">IF(D$4="","",D39-D40)</f>
        <v>-7012</v>
      </c>
      <c r="E41" s="333">
        <f t="shared" si="15"/>
        <v>-6356</v>
      </c>
      <c r="F41" s="333">
        <f t="shared" si="15"/>
        <v>-5218</v>
      </c>
      <c r="G41" s="333">
        <f t="shared" si="15"/>
        <v>-4833.8230999999996</v>
      </c>
      <c r="H41" s="333">
        <f t="shared" si="15"/>
        <v>-4588.3963000000003</v>
      </c>
      <c r="I41" s="333">
        <f t="shared" si="15"/>
        <v>-4535.8732</v>
      </c>
      <c r="J41" s="333">
        <f t="shared" si="15"/>
        <v>-78928</v>
      </c>
      <c r="K41" s="333">
        <f t="shared" si="15"/>
        <v>-74155</v>
      </c>
      <c r="L41" s="333">
        <f t="shared" si="15"/>
        <v>-71881</v>
      </c>
      <c r="M41" s="333" t="str">
        <f t="shared" si="15"/>
        <v/>
      </c>
    </row>
    <row r="42" spans="2:13">
      <c r="B42" s="40" t="s">
        <v>49</v>
      </c>
      <c r="C42" s="323">
        <f t="shared" ref="C42:M42" si="16">IF(C$4="","",-C8)</f>
        <v>-1711</v>
      </c>
      <c r="D42" s="323">
        <f t="shared" si="16"/>
        <v>-1605</v>
      </c>
      <c r="E42" s="323">
        <f t="shared" si="16"/>
        <v>-1527</v>
      </c>
      <c r="F42" s="323">
        <f t="shared" si="16"/>
        <v>-1506</v>
      </c>
      <c r="G42" s="323">
        <f t="shared" si="16"/>
        <v>-1321.0753999999999</v>
      </c>
      <c r="H42" s="323">
        <f t="shared" si="16"/>
        <v>-984.92179999999996</v>
      </c>
      <c r="I42" s="323">
        <f t="shared" si="16"/>
        <v>-715.09730000000002</v>
      </c>
      <c r="J42" s="323">
        <f t="shared" si="16"/>
        <v>0</v>
      </c>
      <c r="K42" s="323">
        <f t="shared" si="16"/>
        <v>0</v>
      </c>
      <c r="L42" s="323">
        <f t="shared" si="16"/>
        <v>0</v>
      </c>
      <c r="M42" s="323" t="str">
        <f t="shared" si="16"/>
        <v/>
      </c>
    </row>
    <row r="43" spans="2:13">
      <c r="B43" s="43" t="s">
        <v>153</v>
      </c>
      <c r="C43" s="324">
        <f>IF(C$4="","",C38+C39+C42)</f>
        <v>192781</v>
      </c>
      <c r="D43" s="324">
        <f t="shared" ref="D43:M43" si="17">IF(D$4="","",D38+D39+D42)</f>
        <v>171366</v>
      </c>
      <c r="E43" s="324">
        <f t="shared" si="17"/>
        <v>193991</v>
      </c>
      <c r="F43" s="324">
        <f t="shared" si="17"/>
        <v>103936</v>
      </c>
      <c r="G43" s="324">
        <f t="shared" si="17"/>
        <v>41588.249299999996</v>
      </c>
      <c r="H43" s="324">
        <f t="shared" si="17"/>
        <v>86287.50069999999</v>
      </c>
      <c r="I43" s="324">
        <f t="shared" si="17"/>
        <v>80832.739699999991</v>
      </c>
      <c r="J43" s="324">
        <f t="shared" si="17"/>
        <v>334812</v>
      </c>
      <c r="K43" s="324">
        <f t="shared" si="17"/>
        <v>315041</v>
      </c>
      <c r="L43" s="324">
        <f t="shared" si="17"/>
        <v>307359</v>
      </c>
      <c r="M43" s="324" t="str">
        <f t="shared" si="17"/>
        <v/>
      </c>
    </row>
    <row r="44" spans="2:13">
      <c r="B44" s="43" t="s">
        <v>169</v>
      </c>
      <c r="C44" s="180">
        <f t="shared" ref="C44:M44" si="18">IF(C$4="","",C47-C46-C45-C43)</f>
        <v>-4580</v>
      </c>
      <c r="D44" s="180">
        <f t="shared" si="18"/>
        <v>-774</v>
      </c>
      <c r="E44" s="180">
        <f t="shared" si="18"/>
        <v>928</v>
      </c>
      <c r="F44" s="180">
        <f t="shared" si="18"/>
        <v>-6257</v>
      </c>
      <c r="G44" s="180">
        <f t="shared" si="18"/>
        <v>-4600.1271999999954</v>
      </c>
      <c r="H44" s="180">
        <f t="shared" si="18"/>
        <v>1364.8753000000142</v>
      </c>
      <c r="I44" s="180">
        <f t="shared" si="18"/>
        <v>-3870.6245999999956</v>
      </c>
      <c r="J44" s="180">
        <f t="shared" si="18"/>
        <v>-248239</v>
      </c>
      <c r="K44" s="180">
        <f t="shared" si="18"/>
        <v>-235164</v>
      </c>
      <c r="L44" s="180">
        <f t="shared" si="18"/>
        <v>-251400</v>
      </c>
      <c r="M44" s="180" t="str">
        <f t="shared" si="18"/>
        <v/>
      </c>
    </row>
    <row r="45" spans="2:13">
      <c r="B45" s="40" t="s">
        <v>68</v>
      </c>
      <c r="C45" s="76">
        <f t="shared" ref="C45:M45" si="19">IF(C$4="","",C51+C52)</f>
        <v>1775</v>
      </c>
      <c r="D45" s="76">
        <f t="shared" si="19"/>
        <v>2382</v>
      </c>
      <c r="E45" s="76">
        <f t="shared" si="19"/>
        <v>-149</v>
      </c>
      <c r="F45" s="76">
        <f t="shared" si="19"/>
        <v>-1858</v>
      </c>
      <c r="G45" s="76">
        <f t="shared" si="19"/>
        <v>-2080.9985000000001</v>
      </c>
      <c r="H45" s="76">
        <f t="shared" si="19"/>
        <v>-2003.1029999999998</v>
      </c>
      <c r="I45" s="76">
        <f t="shared" si="19"/>
        <v>-1803.9770999999998</v>
      </c>
      <c r="J45" s="76">
        <f t="shared" si="19"/>
        <v>0</v>
      </c>
      <c r="K45" s="76">
        <f t="shared" si="19"/>
        <v>0</v>
      </c>
      <c r="L45" s="76">
        <f t="shared" si="19"/>
        <v>0</v>
      </c>
      <c r="M45" s="76" t="str">
        <f t="shared" si="19"/>
        <v/>
      </c>
    </row>
    <row r="46" spans="2:13">
      <c r="B46" s="40" t="s">
        <v>50</v>
      </c>
      <c r="C46" s="323">
        <f t="shared" ref="C46:M46" si="20">IF(C$4="","",-C14)</f>
        <v>-51994</v>
      </c>
      <c r="D46" s="323">
        <f t="shared" si="20"/>
        <v>-48884</v>
      </c>
      <c r="E46" s="323">
        <f t="shared" si="20"/>
        <v>-53093</v>
      </c>
      <c r="F46" s="323">
        <f t="shared" si="20"/>
        <v>-25514</v>
      </c>
      <c r="G46" s="323">
        <f t="shared" si="20"/>
        <v>-9951.4562000000005</v>
      </c>
      <c r="H46" s="323">
        <f t="shared" si="20"/>
        <v>-24603.813999999998</v>
      </c>
      <c r="I46" s="323">
        <f t="shared" si="20"/>
        <v>-22482.776699999999</v>
      </c>
      <c r="J46" s="323">
        <f t="shared" si="20"/>
        <v>-16279</v>
      </c>
      <c r="K46" s="323">
        <f t="shared" si="20"/>
        <v>-20707</v>
      </c>
      <c r="L46" s="323">
        <f t="shared" si="20"/>
        <v>-12613</v>
      </c>
      <c r="M46" s="323" t="str">
        <f t="shared" si="20"/>
        <v/>
      </c>
    </row>
    <row r="47" spans="2:13">
      <c r="B47" s="43" t="s">
        <v>42</v>
      </c>
      <c r="C47" s="324">
        <f t="shared" ref="C47:M47" si="21">IF(C$4="","",C15)</f>
        <v>137982</v>
      </c>
      <c r="D47" s="324">
        <f t="shared" si="21"/>
        <v>124090</v>
      </c>
      <c r="E47" s="324">
        <f t="shared" si="21"/>
        <v>141677</v>
      </c>
      <c r="F47" s="324">
        <f t="shared" si="21"/>
        <v>70307</v>
      </c>
      <c r="G47" s="324">
        <f t="shared" si="21"/>
        <v>24955.667399999998</v>
      </c>
      <c r="H47" s="324">
        <f t="shared" si="21"/>
        <v>61045.459000000003</v>
      </c>
      <c r="I47" s="324">
        <f t="shared" si="21"/>
        <v>52675.361299999997</v>
      </c>
      <c r="J47" s="324">
        <f t="shared" si="21"/>
        <v>70294</v>
      </c>
      <c r="K47" s="324">
        <f t="shared" si="21"/>
        <v>59170</v>
      </c>
      <c r="L47" s="324">
        <f t="shared" si="21"/>
        <v>43346</v>
      </c>
      <c r="M47" s="324" t="str">
        <f t="shared" si="21"/>
        <v/>
      </c>
    </row>
    <row r="48" spans="2:13">
      <c r="B48" s="28" t="s">
        <v>44</v>
      </c>
      <c r="C48" s="323">
        <f t="shared" ref="C48:M48" si="22">IF(C$4="","",MIN(-C16,0))</f>
        <v>-46</v>
      </c>
      <c r="D48" s="323">
        <f t="shared" si="22"/>
        <v>-247</v>
      </c>
      <c r="E48" s="323">
        <f t="shared" si="22"/>
        <v>0</v>
      </c>
      <c r="F48" s="323">
        <f t="shared" si="22"/>
        <v>0</v>
      </c>
      <c r="G48" s="323">
        <f t="shared" si="22"/>
        <v>0</v>
      </c>
      <c r="H48" s="323">
        <f t="shared" si="22"/>
        <v>-6.4699999999999994E-2</v>
      </c>
      <c r="I48" s="323">
        <f t="shared" si="22"/>
        <v>0</v>
      </c>
      <c r="J48" s="323">
        <f t="shared" si="22"/>
        <v>-19175</v>
      </c>
      <c r="K48" s="323">
        <f t="shared" si="22"/>
        <v>-12754</v>
      </c>
      <c r="L48" s="323">
        <f t="shared" si="22"/>
        <v>-11139</v>
      </c>
      <c r="M48" s="323" t="str">
        <f t="shared" si="22"/>
        <v/>
      </c>
    </row>
    <row r="50" spans="2:13">
      <c r="B50" s="16" t="s">
        <v>68</v>
      </c>
    </row>
    <row r="51" spans="2:13">
      <c r="B51" s="40" t="s">
        <v>39</v>
      </c>
      <c r="C51" s="323">
        <f t="shared" ref="C51:M51" si="23">IF(C$4="","",-C12)</f>
        <v>-2807</v>
      </c>
      <c r="D51" s="323">
        <f t="shared" si="23"/>
        <v>-2423</v>
      </c>
      <c r="E51" s="323">
        <f t="shared" si="23"/>
        <v>-3129</v>
      </c>
      <c r="F51" s="323">
        <f t="shared" si="23"/>
        <v>-3199</v>
      </c>
      <c r="G51" s="323">
        <f t="shared" si="23"/>
        <v>-3553.9661000000001</v>
      </c>
      <c r="H51" s="323">
        <f t="shared" si="23"/>
        <v>-3069.9225999999999</v>
      </c>
      <c r="I51" s="323">
        <f t="shared" si="23"/>
        <v>-2601.9825999999998</v>
      </c>
      <c r="J51" s="323">
        <f t="shared" si="23"/>
        <v>0</v>
      </c>
      <c r="K51" s="323">
        <f t="shared" si="23"/>
        <v>0</v>
      </c>
      <c r="L51" s="323">
        <f t="shared" si="23"/>
        <v>0</v>
      </c>
      <c r="M51" s="323" t="str">
        <f t="shared" si="23"/>
        <v/>
      </c>
    </row>
    <row r="52" spans="2:13">
      <c r="B52" s="40" t="s">
        <v>67</v>
      </c>
      <c r="C52" s="323">
        <f t="shared" ref="C52:M52" si="24">IF(C$4="","",C13)</f>
        <v>4582</v>
      </c>
      <c r="D52" s="323">
        <f t="shared" si="24"/>
        <v>4805</v>
      </c>
      <c r="E52" s="323">
        <f t="shared" si="24"/>
        <v>2980</v>
      </c>
      <c r="F52" s="323">
        <f t="shared" si="24"/>
        <v>1341</v>
      </c>
      <c r="G52" s="323">
        <f t="shared" si="24"/>
        <v>1472.9675999999999</v>
      </c>
      <c r="H52" s="323">
        <f t="shared" si="24"/>
        <v>1066.8196</v>
      </c>
      <c r="I52" s="323">
        <f t="shared" si="24"/>
        <v>798.00549999999998</v>
      </c>
      <c r="J52" s="323">
        <f t="shared" si="24"/>
        <v>0</v>
      </c>
      <c r="K52" s="323">
        <f t="shared" si="24"/>
        <v>0</v>
      </c>
      <c r="L52" s="323">
        <f t="shared" si="24"/>
        <v>0</v>
      </c>
      <c r="M52" s="323" t="str">
        <f t="shared" si="24"/>
        <v/>
      </c>
    </row>
    <row r="54" spans="2:13">
      <c r="B54" s="174" t="s">
        <v>169</v>
      </c>
    </row>
    <row r="55" spans="2:13">
      <c r="B55" s="40" t="s">
        <v>160</v>
      </c>
      <c r="C55" s="76">
        <f t="shared" ref="C55:M55" si="25">IF(C$4="","",C9)</f>
        <v>1836</v>
      </c>
      <c r="D55" s="76">
        <f t="shared" si="25"/>
        <v>1931</v>
      </c>
      <c r="E55" s="76">
        <f t="shared" si="25"/>
        <v>1911</v>
      </c>
      <c r="F55" s="76">
        <f t="shared" si="25"/>
        <v>346</v>
      </c>
      <c r="G55" s="76">
        <f t="shared" si="25"/>
        <v>-632.40350000000001</v>
      </c>
      <c r="H55" s="76">
        <f t="shared" si="25"/>
        <v>1002.7065</v>
      </c>
      <c r="I55" s="76">
        <f t="shared" si="25"/>
        <v>-5186.9755999999998</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-6416</v>
      </c>
      <c r="D58" s="76">
        <f t="shared" ref="D58:M58" si="28">IF(D$4="","",D44-D55-D56-D57)</f>
        <v>-2705</v>
      </c>
      <c r="E58" s="76">
        <f t="shared" si="28"/>
        <v>-983</v>
      </c>
      <c r="F58" s="76">
        <f t="shared" si="28"/>
        <v>-6603</v>
      </c>
      <c r="G58" s="76">
        <f t="shared" si="28"/>
        <v>-3967.7236999999955</v>
      </c>
      <c r="H58" s="76">
        <f t="shared" si="28"/>
        <v>362.16880000001424</v>
      </c>
      <c r="I58" s="76">
        <f t="shared" si="28"/>
        <v>1316.3510000000042</v>
      </c>
      <c r="J58" s="76">
        <f t="shared" si="28"/>
        <v>-248239</v>
      </c>
      <c r="K58" s="76">
        <f t="shared" si="28"/>
        <v>-235164</v>
      </c>
      <c r="L58" s="76">
        <f t="shared" si="28"/>
        <v>-251400</v>
      </c>
      <c r="M58" s="76" t="str">
        <f t="shared" si="28"/>
        <v/>
      </c>
    </row>
    <row r="60" spans="2:13">
      <c r="B60" s="16" t="s">
        <v>51</v>
      </c>
      <c r="C60" s="9"/>
    </row>
    <row r="61" spans="2:13">
      <c r="B61" s="27" t="s">
        <v>47</v>
      </c>
      <c r="C61" s="323">
        <f>IF(C$4="","",-C19)</f>
        <v>-74606</v>
      </c>
      <c r="D61" s="323">
        <f t="shared" ref="D61:M61" si="29">IF(D$4="","",-D19)</f>
        <v>-68947</v>
      </c>
      <c r="E61" s="323">
        <f t="shared" si="29"/>
        <v>-62852</v>
      </c>
      <c r="F61" s="323">
        <f t="shared" si="29"/>
        <v>-55963</v>
      </c>
      <c r="G61" s="323">
        <f t="shared" si="29"/>
        <v>-51078.741900000001</v>
      </c>
      <c r="H61" s="323">
        <f t="shared" si="29"/>
        <v>-56363.515599999999</v>
      </c>
      <c r="I61" s="323">
        <f t="shared" si="29"/>
        <v>-50838.249000000003</v>
      </c>
      <c r="J61" s="323">
        <f t="shared" si="29"/>
        <v>0</v>
      </c>
      <c r="K61" s="323">
        <f t="shared" si="29"/>
        <v>0</v>
      </c>
      <c r="L61" s="323">
        <f t="shared" si="29"/>
        <v>0</v>
      </c>
      <c r="M61" s="323" t="str">
        <f t="shared" si="29"/>
        <v/>
      </c>
    </row>
    <row r="62" spans="2:13">
      <c r="B62" s="27" t="s">
        <v>53</v>
      </c>
      <c r="C62" s="323">
        <f>IF(C$4="","",IF(C20=0,C61,-C20))</f>
        <v>-74606</v>
      </c>
      <c r="D62" s="323">
        <f t="shared" ref="D62:M62" si="30">IF(D$4="","",IF(D20=0,D61,-D20))</f>
        <v>-68947</v>
      </c>
      <c r="E62" s="323">
        <f t="shared" si="30"/>
        <v>-62852</v>
      </c>
      <c r="F62" s="323">
        <f t="shared" si="30"/>
        <v>-55963</v>
      </c>
      <c r="G62" s="323">
        <f t="shared" si="30"/>
        <v>-51078.741900000001</v>
      </c>
      <c r="H62" s="323">
        <f t="shared" si="30"/>
        <v>-56363.515599999999</v>
      </c>
      <c r="I62" s="323">
        <f t="shared" si="30"/>
        <v>-50838.249000000003</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-52470</v>
      </c>
      <c r="D64" s="323">
        <f t="shared" ref="D64:M64" si="32">IF(D$4="","",D22+D23+D24)</f>
        <v>47420</v>
      </c>
      <c r="E64" s="323">
        <f t="shared" si="32"/>
        <v>42139</v>
      </c>
      <c r="F64" s="323">
        <f t="shared" si="32"/>
        <v>18326</v>
      </c>
      <c r="G64" s="323">
        <f t="shared" si="32"/>
        <v>-7209.9949000000051</v>
      </c>
      <c r="H64" s="323">
        <f t="shared" si="32"/>
        <v>18372.521300000015</v>
      </c>
      <c r="I64" s="323">
        <f t="shared" si="32"/>
        <v>1836.4446000000025</v>
      </c>
      <c r="J64" s="323">
        <f t="shared" si="32"/>
        <v>-10897</v>
      </c>
      <c r="K64" s="323">
        <f t="shared" si="32"/>
        <v>55279</v>
      </c>
      <c r="L64" s="323">
        <f t="shared" si="32"/>
        <v>58176</v>
      </c>
      <c r="M64" s="32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1056281</v>
      </c>
      <c r="D76" s="76">
        <f t="shared" ref="D76:M76" si="39">IF(D$4="","",D79+D80)</f>
        <v>1005598</v>
      </c>
      <c r="E76" s="76">
        <f t="shared" si="39"/>
        <v>929031</v>
      </c>
      <c r="F76" s="76">
        <f t="shared" si="39"/>
        <v>786569</v>
      </c>
      <c r="G76" s="76">
        <f t="shared" si="39"/>
        <v>721276.40899999999</v>
      </c>
      <c r="H76" s="76">
        <f t="shared" si="39"/>
        <v>757730.42299999995</v>
      </c>
      <c r="I76" s="76">
        <f t="shared" si="39"/>
        <v>686380.00399999996</v>
      </c>
      <c r="J76" s="76">
        <f t="shared" si="39"/>
        <v>1595504</v>
      </c>
      <c r="K76" s="76">
        <f t="shared" si="39"/>
        <v>1498609</v>
      </c>
      <c r="L76" s="76">
        <f t="shared" si="39"/>
        <v>1443129</v>
      </c>
      <c r="M76" s="76" t="str">
        <f t="shared" si="39"/>
        <v/>
      </c>
    </row>
    <row r="77" spans="2:13">
      <c r="B77" s="93" t="s">
        <v>86</v>
      </c>
      <c r="C77" s="333">
        <f t="shared" ref="C77:H78" si="40">IF(C$4="","",C28)</f>
        <v>33661</v>
      </c>
      <c r="D77" s="333">
        <f t="shared" si="40"/>
        <v>41642</v>
      </c>
      <c r="E77" s="333">
        <f t="shared" si="40"/>
        <v>41488</v>
      </c>
      <c r="F77" s="333">
        <f t="shared" si="40"/>
        <v>33105</v>
      </c>
      <c r="G77" s="333">
        <f t="shared" si="40"/>
        <v>25613.371299999999</v>
      </c>
      <c r="H77" s="333">
        <f t="shared" si="40"/>
        <v>31381.7863</v>
      </c>
      <c r="I77" s="337"/>
      <c r="J77" s="337"/>
      <c r="K77" s="337"/>
      <c r="L77" s="337"/>
      <c r="M77" s="337"/>
    </row>
    <row r="78" spans="2:13">
      <c r="B78" s="93" t="s">
        <v>87</v>
      </c>
      <c r="C78" s="333">
        <f t="shared" si="40"/>
        <v>5732</v>
      </c>
      <c r="D78" s="333">
        <f t="shared" si="40"/>
        <v>6451</v>
      </c>
      <c r="E78" s="333">
        <f t="shared" si="40"/>
        <v>6239</v>
      </c>
      <c r="F78" s="333">
        <f t="shared" si="40"/>
        <v>5703</v>
      </c>
      <c r="G78" s="333">
        <f t="shared" si="40"/>
        <v>5644.0001000000002</v>
      </c>
      <c r="H78" s="333">
        <f t="shared" si="40"/>
        <v>6313.6594999999998</v>
      </c>
      <c r="I78" s="337"/>
      <c r="J78" s="337"/>
      <c r="K78" s="337"/>
      <c r="L78" s="337"/>
      <c r="M78" s="337"/>
    </row>
    <row r="79" spans="2:13">
      <c r="B79" s="26" t="s">
        <v>40</v>
      </c>
      <c r="C79" s="323">
        <f t="shared" ref="C79:M79" si="41">IF(C$4="","",C30)</f>
        <v>306845</v>
      </c>
      <c r="D79" s="323">
        <f t="shared" si="41"/>
        <v>337722</v>
      </c>
      <c r="E79" s="323">
        <f t="shared" si="41"/>
        <v>330648</v>
      </c>
      <c r="F79" s="323">
        <f t="shared" si="41"/>
        <v>304593</v>
      </c>
      <c r="G79" s="323">
        <f t="shared" si="41"/>
        <v>287345.75290000002</v>
      </c>
      <c r="H79" s="323">
        <f t="shared" si="41"/>
        <v>309503.74410000001</v>
      </c>
      <c r="I79" s="323">
        <f t="shared" si="41"/>
        <v>266468.9056</v>
      </c>
      <c r="J79" s="323">
        <f t="shared" si="41"/>
        <v>741434</v>
      </c>
      <c r="K79" s="323">
        <f t="shared" si="41"/>
        <v>666084</v>
      </c>
      <c r="L79" s="323">
        <f t="shared" si="41"/>
        <v>657506</v>
      </c>
      <c r="M79" s="323" t="str">
        <f t="shared" si="41"/>
        <v/>
      </c>
    </row>
    <row r="80" spans="2:13">
      <c r="B80" s="26" t="s">
        <v>30</v>
      </c>
      <c r="C80" s="323">
        <f t="shared" ref="C80:M80" si="42">IF(C$4="","",C31)</f>
        <v>749436</v>
      </c>
      <c r="D80" s="323">
        <f t="shared" si="42"/>
        <v>667876</v>
      </c>
      <c r="E80" s="323">
        <f t="shared" si="42"/>
        <v>598383</v>
      </c>
      <c r="F80" s="323">
        <f t="shared" si="42"/>
        <v>481976</v>
      </c>
      <c r="G80" s="323">
        <f t="shared" si="42"/>
        <v>433930.65610000002</v>
      </c>
      <c r="H80" s="323">
        <f t="shared" si="42"/>
        <v>448226.6789</v>
      </c>
      <c r="I80" s="323">
        <f t="shared" si="42"/>
        <v>419911.09840000002</v>
      </c>
      <c r="J80" s="323">
        <f t="shared" si="42"/>
        <v>854070</v>
      </c>
      <c r="K80" s="323">
        <f t="shared" si="42"/>
        <v>832525</v>
      </c>
      <c r="L80" s="323">
        <f t="shared" si="42"/>
        <v>785623</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33661</v>
      </c>
      <c r="D4" s="261">
        <v>0.6</v>
      </c>
      <c r="E4" s="25"/>
      <c r="F4" s="4" t="s">
        <v>78</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f>8504+18</f>
        <v>8522</v>
      </c>
      <c r="H17" s="261">
        <v>0.6</v>
      </c>
    </row>
    <row r="18" spans="2:8" ht="15" customHeight="1">
      <c r="B18" s="4" t="s">
        <v>174</v>
      </c>
      <c r="C18" s="19">
        <v>0</v>
      </c>
      <c r="D18" s="261">
        <v>0.6</v>
      </c>
      <c r="F18" s="4" t="s">
        <v>182</v>
      </c>
      <c r="G18" s="19">
        <f>25047+23444</f>
        <v>48491</v>
      </c>
      <c r="H18" s="261">
        <v>0.1</v>
      </c>
    </row>
    <row r="19" spans="2:8" ht="15" customHeight="1">
      <c r="B19" s="4" t="s">
        <v>26</v>
      </c>
      <c r="C19" s="19">
        <f>632410+12755</f>
        <v>645165</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16961</v>
      </c>
      <c r="D21" s="261">
        <v>0.05</v>
      </c>
      <c r="F21" s="1" t="s">
        <v>181</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182" t="s">
        <v>137</v>
      </c>
      <c r="F26" s="184" t="s">
        <v>197</v>
      </c>
      <c r="G26" s="185" t="s">
        <v>137</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245</v>
      </c>
      <c r="G28" s="12">
        <v>1888</v>
      </c>
      <c r="H28" s="188"/>
    </row>
    <row r="29" spans="2:8" ht="15" customHeight="1">
      <c r="B29" s="4" t="s">
        <v>7</v>
      </c>
      <c r="C29" s="19">
        <v>0</v>
      </c>
      <c r="F29" s="190" t="s">
        <v>76</v>
      </c>
      <c r="G29" s="14">
        <f>G27-G28</f>
        <v>747548</v>
      </c>
      <c r="H29" s="188">
        <f>H27-G28</f>
        <v>-19921.400000000023</v>
      </c>
    </row>
    <row r="30" spans="2:8" ht="15" customHeight="1">
      <c r="B30" s="2" t="s">
        <v>8</v>
      </c>
      <c r="C30" s="19">
        <v>0</v>
      </c>
      <c r="F30" s="187" t="s">
        <v>23</v>
      </c>
      <c r="G30" s="85">
        <f>C33+C42</f>
        <v>306845</v>
      </c>
      <c r="H30" s="188"/>
    </row>
    <row r="31" spans="2:8" ht="15" customHeight="1">
      <c r="B31" s="80" t="s">
        <v>204</v>
      </c>
      <c r="C31" s="81">
        <f>SUM(C27:C30)</f>
        <v>22348</v>
      </c>
      <c r="F31" s="190" t="s">
        <v>77</v>
      </c>
      <c r="G31" s="191">
        <f>C31+C40</f>
        <v>91887</v>
      </c>
      <c r="H31" s="188"/>
    </row>
    <row r="32" spans="2:8" ht="15" customHeight="1">
      <c r="B32" s="4" t="s">
        <v>9</v>
      </c>
      <c r="C32" s="21">
        <f>C33-C31</f>
        <v>96527</v>
      </c>
      <c r="F32" s="192" t="s">
        <v>75</v>
      </c>
      <c r="G32" s="193">
        <f>G35+G40</f>
        <v>1056281</v>
      </c>
      <c r="H32" s="188">
        <f>H35+H40</f>
        <v>288811.59999999998</v>
      </c>
    </row>
    <row r="33" spans="2:8" ht="15" customHeight="1">
      <c r="B33" s="83" t="s">
        <v>4</v>
      </c>
      <c r="C33" s="84">
        <v>118875</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845072</v>
      </c>
      <c r="H35" s="200">
        <f>D12+D24</f>
        <v>140072.9</v>
      </c>
    </row>
    <row r="36" spans="2:8" ht="15" customHeight="1">
      <c r="B36" s="4" t="s">
        <v>13</v>
      </c>
      <c r="C36" s="19">
        <v>61243</v>
      </c>
      <c r="F36" s="190" t="s">
        <v>198</v>
      </c>
      <c r="G36" s="191">
        <f>C4+C15</f>
        <v>33661</v>
      </c>
      <c r="H36" s="195"/>
    </row>
    <row r="37" spans="2:8" ht="15" customHeight="1">
      <c r="B37" s="4" t="s">
        <v>14</v>
      </c>
      <c r="C37" s="19">
        <v>8296</v>
      </c>
      <c r="F37" s="190" t="s">
        <v>199</v>
      </c>
      <c r="G37" s="191">
        <f>C6</f>
        <v>5732</v>
      </c>
      <c r="H37" s="195"/>
    </row>
    <row r="38" spans="2:8" ht="15" customHeight="1">
      <c r="B38" s="4" t="s">
        <v>15</v>
      </c>
      <c r="C38" s="19">
        <v>0</v>
      </c>
      <c r="F38" s="190" t="s">
        <v>200</v>
      </c>
      <c r="G38" s="191">
        <f>C7+C17</f>
        <v>0</v>
      </c>
      <c r="H38" s="195"/>
    </row>
    <row r="39" spans="2:8" ht="15" customHeight="1">
      <c r="B39" s="2" t="s">
        <v>16</v>
      </c>
      <c r="C39" s="19">
        <v>0</v>
      </c>
      <c r="F39" s="190" t="s">
        <v>80</v>
      </c>
      <c r="G39" s="191">
        <f>C7+C17+C19+C20</f>
        <v>645165</v>
      </c>
      <c r="H39" s="188">
        <f>C7*D7+C17*D17+C19*D19+C20*D20</f>
        <v>64516.5</v>
      </c>
    </row>
    <row r="40" spans="2:8" ht="15" customHeight="1">
      <c r="B40" s="80" t="s">
        <v>205</v>
      </c>
      <c r="C40" s="81">
        <f>SUM(C36:C39)</f>
        <v>69539</v>
      </c>
      <c r="F40" s="199" t="s">
        <v>139</v>
      </c>
      <c r="G40" s="193">
        <f>G12+G24</f>
        <v>211209</v>
      </c>
      <c r="H40" s="200">
        <f>H12+H24</f>
        <v>148738.69999999998</v>
      </c>
    </row>
    <row r="41" spans="2:8" ht="15" customHeight="1">
      <c r="B41" s="4" t="s">
        <v>17</v>
      </c>
      <c r="C41" s="21">
        <f>C42-C40</f>
        <v>118431</v>
      </c>
      <c r="F41" s="190" t="s">
        <v>192</v>
      </c>
      <c r="G41" s="191">
        <f>C70</f>
        <v>202687</v>
      </c>
      <c r="H41" s="200">
        <f>H40-H42</f>
        <v>143625.49999999997</v>
      </c>
    </row>
    <row r="42" spans="2:8" ht="15" customHeight="1">
      <c r="B42" s="83" t="s">
        <v>22</v>
      </c>
      <c r="C42" s="84">
        <v>187970</v>
      </c>
      <c r="F42" s="201" t="s">
        <v>193</v>
      </c>
      <c r="G42" s="202">
        <f>C82</f>
        <v>8522</v>
      </c>
      <c r="H42" s="203">
        <f>D82</f>
        <v>5113.2</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747548</v>
      </c>
      <c r="D46" s="76">
        <f>H29</f>
        <v>-19921.400000000023</v>
      </c>
      <c r="F46" s="253"/>
    </row>
    <row r="47" spans="2:8" ht="15" customHeight="1">
      <c r="B47" s="1" t="str">
        <f>"Equity per share ("&amp;Market_currency&amp;")"</f>
        <v>Equity per share (HKD)</v>
      </c>
      <c r="C47" s="147">
        <f>C46*H1/Common_Shares*Exchange_Rate</f>
        <v>17.108773944438077</v>
      </c>
      <c r="D47" s="147">
        <f>D46*H1/Common_Shares*Exchange_Rate</f>
        <v>-0.45593156460418477</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0.75207444874659302</v>
      </c>
      <c r="D50" s="95">
        <f>G31/Normalized_FCF!G8</f>
        <v>0.47663929536624461</v>
      </c>
      <c r="F50" s="253"/>
    </row>
    <row r="51" spans="2:8" ht="15" customHeight="1">
      <c r="B51" s="1" t="s">
        <v>177</v>
      </c>
      <c r="C51" s="181"/>
      <c r="D51" s="92">
        <f>G29/G32</f>
        <v>0.70771698061406008</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0.14457710564880843</v>
      </c>
      <c r="D54" s="92">
        <f>Normalized_FCF!G8/G35</f>
        <v>0.22812375750231934</v>
      </c>
      <c r="F54" s="253"/>
    </row>
    <row r="55" spans="2:8" ht="15" customHeight="1">
      <c r="B55" s="1" t="s">
        <v>142</v>
      </c>
      <c r="C55" s="92">
        <f>Normalized_FCF!C11/G40</f>
        <v>0</v>
      </c>
      <c r="D55" s="92">
        <f>Normalized_FCF!G11/G40</f>
        <v>8.692811385878442E-3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0.1156386350778483</v>
      </c>
      <c r="F58" s="5"/>
    </row>
    <row r="59" spans="2:8" ht="15" customHeight="1">
      <c r="B59" s="1" t="s">
        <v>93</v>
      </c>
      <c r="C59" s="98"/>
      <c r="D59" s="92">
        <f>G39/G32</f>
        <v>0.61078917447156578</v>
      </c>
      <c r="F59" s="253"/>
    </row>
    <row r="60" spans="2:8" ht="15" customHeight="1">
      <c r="F60" s="253"/>
    </row>
    <row r="61" spans="2:8" ht="15" customHeight="1">
      <c r="B61" s="157" t="s">
        <v>275</v>
      </c>
      <c r="C61" s="235" t="s">
        <v>138</v>
      </c>
      <c r="D61" s="197" t="s">
        <v>96</v>
      </c>
      <c r="F61" s="253"/>
    </row>
    <row r="62" spans="2:8" ht="15" customHeight="1">
      <c r="B62" s="1" t="s">
        <v>246</v>
      </c>
      <c r="C62" s="92">
        <f>IF(G28&lt;=0,0,G28/G29)</f>
        <v>2.5255903299854993E-3</v>
      </c>
      <c r="D62" s="92">
        <f>G28/G29</f>
        <v>2.5255903299854993E-3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154196</v>
      </c>
      <c r="D66" s="76">
        <f>C66-D75</f>
        <v>100741.35470787497</v>
      </c>
      <c r="F66" s="5" t="s">
        <v>227</v>
      </c>
    </row>
    <row r="67" spans="2:6" ht="15" customHeight="1">
      <c r="B67" s="105" t="s">
        <v>178</v>
      </c>
      <c r="C67" s="20">
        <f>G6+G16</f>
        <v>0</v>
      </c>
      <c r="F67" s="253"/>
    </row>
    <row r="68" spans="2:6" ht="15" customHeight="1">
      <c r="B68" s="105" t="s">
        <v>182</v>
      </c>
      <c r="C68" s="20">
        <f>G18</f>
        <v>48491</v>
      </c>
      <c r="F68" s="253"/>
    </row>
    <row r="69" spans="2:6" ht="15" customHeight="1">
      <c r="B69" s="105" t="s">
        <v>180</v>
      </c>
      <c r="C69" s="20">
        <f>G8+G20</f>
        <v>0</v>
      </c>
      <c r="F69" s="253"/>
    </row>
    <row r="70" spans="2:6" ht="15" customHeight="1">
      <c r="B70" s="80" t="s">
        <v>189</v>
      </c>
      <c r="C70" s="81">
        <f>SUM(C66:C69)</f>
        <v>202687</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-24522.24463146667</v>
      </c>
      <c r="D73" s="76">
        <f>(Normalized_FCF!C25+Normalized_FCF!C35-Normalized_FCF!C91)/12</f>
        <v>-26727.322646062512</v>
      </c>
      <c r="F73" s="1" t="s">
        <v>352</v>
      </c>
    </row>
    <row r="74" spans="2:6" ht="15" customHeight="1">
      <c r="B74" s="257" t="s">
        <v>322</v>
      </c>
      <c r="C74" s="258">
        <f>-$C$66/C73</f>
        <v>6.2880051282963478</v>
      </c>
      <c r="D74" s="258">
        <f>-$C$66/D73</f>
        <v>5.769227319995565</v>
      </c>
      <c r="F74" s="253" t="s">
        <v>320</v>
      </c>
    </row>
    <row r="75" spans="2:6" ht="15" customHeight="1">
      <c r="B75" s="80" t="s">
        <v>321</v>
      </c>
      <c r="C75" s="341"/>
      <c r="D75" s="342">
        <f>MAX(-D73*D76,G5)</f>
        <v>53454.645292125024</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8522</v>
      </c>
      <c r="D79" s="76">
        <f>G7*H7+G17*H17</f>
        <v>5113.2</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8522</v>
      </c>
      <c r="D82" s="81">
        <f>SUM(D79:D81)</f>
        <v>5113.2</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-99954.251325449994</v>
      </c>
      <c r="D86" s="223">
        <f>C86*scaling_factor/Common_Shares</f>
        <v>-2.1029738711528645</v>
      </c>
      <c r="E86" s="240" t="str">
        <f>Market_currency</f>
        <v>HKD</v>
      </c>
    </row>
    <row r="87" spans="2:8" ht="15" customHeight="1">
      <c r="B87" s="238" t="s">
        <v>288</v>
      </c>
      <c r="C87" s="76">
        <f>DCF!C8*Exchange_Rate</f>
        <v>109585.97720392699</v>
      </c>
      <c r="D87" s="223">
        <f>C87*scaling_factor/Common_Shares</f>
        <v>2.305619257296502</v>
      </c>
      <c r="E87" s="240" t="str">
        <f>Market_currency</f>
        <v>HKD</v>
      </c>
    </row>
    <row r="88" spans="2:8" ht="15" customHeight="1">
      <c r="B88" s="239" t="s">
        <v>190</v>
      </c>
      <c r="C88" s="76">
        <f>DCF!C9*Exchange_Rate</f>
        <v>5562.1151836199997</v>
      </c>
      <c r="D88" s="223">
        <f>C88*scaling_factor/Common_Shares</f>
        <v>0.11702336563364597</v>
      </c>
      <c r="E88" s="240" t="str">
        <f>Market_currency</f>
        <v>HKD</v>
      </c>
    </row>
    <row r="89" spans="2:8" ht="15" customHeight="1">
      <c r="B89" s="80" t="s">
        <v>292</v>
      </c>
      <c r="C89" s="180">
        <f>SUM(C86:C88)</f>
        <v>15193.841062096995</v>
      </c>
      <c r="D89" s="242">
        <f>SUM(D86:D88)</f>
        <v>0.31966875177728343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AVERAGE(G4:J4)</f>
        <v>376364</v>
      </c>
      <c r="D4" s="57"/>
      <c r="E4" s="266"/>
      <c r="F4" s="57"/>
      <c r="G4" s="323">
        <f>Data!C36</f>
        <v>420506</v>
      </c>
      <c r="H4" s="323">
        <f>Data!D36</f>
        <v>416609</v>
      </c>
      <c r="I4" s="323">
        <f>Data!E36</f>
        <v>422230</v>
      </c>
      <c r="J4" s="323">
        <f>Data!F36</f>
        <v>246111</v>
      </c>
      <c r="K4" s="323">
        <f>Data!G36</f>
        <v>155372.67139999999</v>
      </c>
      <c r="L4" s="323">
        <f>Data!H36</f>
        <v>233198.55619999999</v>
      </c>
      <c r="M4" s="323">
        <f>Data!I36</f>
        <v>227710.21479999999</v>
      </c>
      <c r="N4" s="323">
        <f>Data!J36</f>
        <v>2360193</v>
      </c>
      <c r="O4" s="323">
        <f>Data!K36</f>
        <v>1930911</v>
      </c>
      <c r="P4" s="323">
        <f>Data!L36</f>
        <v>2018883</v>
      </c>
      <c r="Q4" s="323" t="str">
        <f>Data!M36</f>
        <v/>
      </c>
    </row>
    <row r="5" spans="1:17" ht="15.75" customHeight="1">
      <c r="A5" s="10"/>
      <c r="B5" s="2" t="s">
        <v>46</v>
      </c>
      <c r="C5" s="318">
        <f>C25</f>
        <v>-245261.93617515016</v>
      </c>
      <c r="E5" s="268"/>
      <c r="G5" s="323">
        <f t="shared" ref="G5:Q5" si="1">G25</f>
        <v>-218801</v>
      </c>
      <c r="H5" s="323">
        <f t="shared" si="1"/>
        <v>-236626</v>
      </c>
      <c r="I5" s="323">
        <f t="shared" si="1"/>
        <v>-220356</v>
      </c>
      <c r="J5" s="323">
        <f t="shared" si="1"/>
        <v>-135451</v>
      </c>
      <c r="K5" s="323">
        <f t="shared" si="1"/>
        <v>-107629.5236</v>
      </c>
      <c r="L5" s="323">
        <f t="shared" si="1"/>
        <v>-141337.73740000001</v>
      </c>
      <c r="M5" s="323">
        <f t="shared" si="1"/>
        <v>-141626.50460000001</v>
      </c>
      <c r="N5" s="323">
        <f t="shared" si="1"/>
        <v>-1946453</v>
      </c>
      <c r="O5" s="323">
        <f t="shared" si="1"/>
        <v>-1541715</v>
      </c>
      <c r="P5" s="323">
        <f t="shared" si="1"/>
        <v>-1639643</v>
      </c>
      <c r="Q5" s="323" t="str">
        <f t="shared" si="1"/>
        <v/>
      </c>
    </row>
    <row r="6" spans="1:17" ht="15.75" customHeight="1">
      <c r="A6" s="10"/>
      <c r="B6" s="31" t="s">
        <v>48</v>
      </c>
      <c r="C6" s="319">
        <f>C4+C5</f>
        <v>131102.06382484984</v>
      </c>
      <c r="E6" s="268"/>
      <c r="G6" s="319">
        <f>IF(G4="","",G4+G5)</f>
        <v>201705</v>
      </c>
      <c r="H6" s="319">
        <f t="shared" ref="H6:Q6" si="2">IF(H4="","",H4+H5)</f>
        <v>179983</v>
      </c>
      <c r="I6" s="319">
        <f t="shared" si="2"/>
        <v>201874</v>
      </c>
      <c r="J6" s="319">
        <f t="shared" si="2"/>
        <v>110660</v>
      </c>
      <c r="K6" s="319">
        <f t="shared" si="2"/>
        <v>47743.147799999992</v>
      </c>
      <c r="L6" s="319">
        <f t="shared" si="2"/>
        <v>91860.818799999979</v>
      </c>
      <c r="M6" s="319">
        <f t="shared" si="2"/>
        <v>86083.710199999972</v>
      </c>
      <c r="N6" s="319">
        <f t="shared" si="2"/>
        <v>413740</v>
      </c>
      <c r="O6" s="319">
        <f t="shared" si="2"/>
        <v>389196</v>
      </c>
      <c r="P6" s="319">
        <f t="shared" si="2"/>
        <v>379240</v>
      </c>
      <c r="Q6" s="319" t="str">
        <f t="shared" si="2"/>
        <v/>
      </c>
    </row>
    <row r="7" spans="1:17" ht="15.75" customHeight="1">
      <c r="A7" s="10"/>
      <c r="B7" s="8" t="s">
        <v>45</v>
      </c>
      <c r="C7" s="318">
        <f>C35</f>
        <v>-8924</v>
      </c>
      <c r="E7" s="268"/>
      <c r="G7" s="318">
        <f t="shared" ref="G7:Q7" si="3">G35</f>
        <v>-8924</v>
      </c>
      <c r="H7" s="318">
        <f t="shared" si="3"/>
        <v>-8617</v>
      </c>
      <c r="I7" s="318">
        <f t="shared" si="3"/>
        <v>-7883</v>
      </c>
      <c r="J7" s="318">
        <f t="shared" si="3"/>
        <v>-6724</v>
      </c>
      <c r="K7" s="318">
        <f t="shared" si="3"/>
        <v>-6154.8984999999993</v>
      </c>
      <c r="L7" s="318">
        <f t="shared" si="3"/>
        <v>-5573.3181000000004</v>
      </c>
      <c r="M7" s="318">
        <f t="shared" si="3"/>
        <v>-5250.9705000000004</v>
      </c>
      <c r="N7" s="318">
        <f t="shared" si="3"/>
        <v>-78928</v>
      </c>
      <c r="O7" s="318">
        <f t="shared" si="3"/>
        <v>-74155</v>
      </c>
      <c r="P7" s="318">
        <f t="shared" si="3"/>
        <v>-71881</v>
      </c>
      <c r="Q7" s="318" t="str">
        <f t="shared" si="3"/>
        <v/>
      </c>
    </row>
    <row r="8" spans="1:17" ht="15.75" customHeight="1">
      <c r="A8" s="10"/>
      <c r="B8" s="29" t="s">
        <v>153</v>
      </c>
      <c r="C8" s="320">
        <f>C6+C7</f>
        <v>122178.06382484984</v>
      </c>
      <c r="D8" s="59"/>
      <c r="E8" s="274"/>
      <c r="F8" s="59"/>
      <c r="G8" s="319">
        <f>IF(G$4="","",G6+G7)</f>
        <v>192781</v>
      </c>
      <c r="H8" s="319">
        <f t="shared" ref="H8:Q8" si="4">IF(H$4="","",H6+H7)</f>
        <v>171366</v>
      </c>
      <c r="I8" s="319">
        <f t="shared" si="4"/>
        <v>193991</v>
      </c>
      <c r="J8" s="319">
        <f t="shared" si="4"/>
        <v>103936</v>
      </c>
      <c r="K8" s="319">
        <f t="shared" si="4"/>
        <v>41588.249299999996</v>
      </c>
      <c r="L8" s="319">
        <f t="shared" si="4"/>
        <v>86287.500699999975</v>
      </c>
      <c r="M8" s="319">
        <f t="shared" si="4"/>
        <v>80832.739699999976</v>
      </c>
      <c r="N8" s="319">
        <f t="shared" si="4"/>
        <v>334812</v>
      </c>
      <c r="O8" s="319">
        <f t="shared" si="4"/>
        <v>315041</v>
      </c>
      <c r="P8" s="319">
        <f t="shared" si="4"/>
        <v>307359</v>
      </c>
      <c r="Q8" s="319" t="str">
        <f t="shared" si="4"/>
        <v/>
      </c>
    </row>
    <row r="9" spans="1:17" ht="15.75" customHeight="1">
      <c r="A9" s="10"/>
      <c r="B9" s="2" t="s">
        <v>65</v>
      </c>
      <c r="C9" s="318">
        <f>BS!$G$39*BS!D58</f>
        <v>74606</v>
      </c>
      <c r="E9" s="268"/>
      <c r="G9" s="318">
        <f>IF(Data!C61="","",-Data!C61)</f>
        <v>74606</v>
      </c>
      <c r="H9" s="318">
        <f>IF(Data!D61="","",-Data!D61)</f>
        <v>68947</v>
      </c>
      <c r="I9" s="318">
        <f>IF(Data!E61="","",-Data!E61)</f>
        <v>62852</v>
      </c>
      <c r="J9" s="318">
        <f>IF(Data!F61="","",-Data!F61)</f>
        <v>55963</v>
      </c>
      <c r="K9" s="318">
        <f>IF(Data!G61="","",-Data!G61)</f>
        <v>51078.741900000001</v>
      </c>
      <c r="L9" s="318">
        <f>IF(Data!H61="","",-Data!H61)</f>
        <v>56363.515599999999</v>
      </c>
      <c r="M9" s="318">
        <f>IF(Data!I61="","",-Data!I61)</f>
        <v>50838.249000000003</v>
      </c>
      <c r="N9" s="318">
        <f>IF(Data!J61="","",-Data!J61)</f>
        <v>0</v>
      </c>
      <c r="O9" s="318">
        <f>IF(Data!K61="","",-Data!K61)</f>
        <v>0</v>
      </c>
      <c r="P9" s="318">
        <f>IF(Data!L61="","",-Data!L61)</f>
        <v>0</v>
      </c>
      <c r="Q9" s="318" t="str">
        <f>IF(Data!M61="","",-Data!M61)</f>
        <v/>
      </c>
    </row>
    <row r="10" spans="1:17" ht="15.75" customHeight="1">
      <c r="A10" s="10"/>
      <c r="B10" s="2" t="s">
        <v>81</v>
      </c>
      <c r="C10" s="318">
        <f>-C4*C78</f>
        <v>-74606</v>
      </c>
      <c r="E10" s="268"/>
      <c r="G10" s="318">
        <f>Data!C62</f>
        <v>-74606</v>
      </c>
      <c r="H10" s="318">
        <f>Data!D62</f>
        <v>-68947</v>
      </c>
      <c r="I10" s="318">
        <f>Data!E62</f>
        <v>-62852</v>
      </c>
      <c r="J10" s="318">
        <f>Data!F62</f>
        <v>-55963</v>
      </c>
      <c r="K10" s="318">
        <f>Data!G62</f>
        <v>-51078.741900000001</v>
      </c>
      <c r="L10" s="318">
        <f>Data!H62</f>
        <v>-56363.515599999999</v>
      </c>
      <c r="M10" s="318">
        <f>Data!I62</f>
        <v>-50838.249000000003</v>
      </c>
      <c r="N10" s="318">
        <f>Data!J62</f>
        <v>0</v>
      </c>
      <c r="O10" s="318">
        <f>Data!K62</f>
        <v>0</v>
      </c>
      <c r="P10" s="318">
        <f>Data!L62</f>
        <v>0</v>
      </c>
      <c r="Q10" s="318" t="str">
        <f>Data!M62</f>
        <v/>
      </c>
    </row>
    <row r="11" spans="1:17" ht="15.75" customHeight="1">
      <c r="A11" s="10"/>
      <c r="B11" s="31" t="s">
        <v>195</v>
      </c>
      <c r="C11" s="321">
        <f>C63</f>
        <v>0</v>
      </c>
      <c r="D11" s="168"/>
      <c r="E11" s="267"/>
      <c r="F11" s="168"/>
      <c r="G11" s="324">
        <f>G61</f>
        <v>1836</v>
      </c>
      <c r="H11" s="324">
        <f t="shared" ref="H11:Q11" si="5">H61</f>
        <v>1931</v>
      </c>
      <c r="I11" s="324">
        <f t="shared" si="5"/>
        <v>1911</v>
      </c>
      <c r="J11" s="324">
        <f t="shared" si="5"/>
        <v>346</v>
      </c>
      <c r="K11" s="324">
        <f t="shared" si="5"/>
        <v>-632.40350000000001</v>
      </c>
      <c r="L11" s="324">
        <f t="shared" si="5"/>
        <v>1002.7065</v>
      </c>
      <c r="M11" s="324">
        <f t="shared" si="5"/>
        <v>-5186.9755999999998</v>
      </c>
      <c r="N11" s="324">
        <f t="shared" si="5"/>
        <v>0</v>
      </c>
      <c r="O11" s="324">
        <f t="shared" si="5"/>
        <v>0</v>
      </c>
      <c r="P11" s="324">
        <f t="shared" si="5"/>
        <v>0</v>
      </c>
      <c r="Q11" s="324" t="str">
        <f t="shared" si="5"/>
        <v/>
      </c>
    </row>
    <row r="12" spans="1:17" ht="15.75" customHeight="1">
      <c r="A12" s="10"/>
      <c r="B12" s="2" t="s">
        <v>68</v>
      </c>
      <c r="C12" s="318">
        <f>C50</f>
        <v>-2005.1803206181248</v>
      </c>
      <c r="E12" s="268"/>
      <c r="G12" s="318">
        <f>G50</f>
        <v>-1218.572383664188</v>
      </c>
      <c r="H12" s="318">
        <f t="shared" ref="H12:Q12" si="6">H50</f>
        <v>-757.26567077835534</v>
      </c>
      <c r="I12" s="318">
        <f t="shared" si="6"/>
        <v>-2095.9327156960453</v>
      </c>
      <c r="J12" s="318">
        <f t="shared" si="6"/>
        <v>-2734.1197220632203</v>
      </c>
      <c r="K12" s="318">
        <f t="shared" si="6"/>
        <v>-3043.3370267115056</v>
      </c>
      <c r="L12" s="318">
        <f t="shared" si="6"/>
        <v>-2700.0915842234122</v>
      </c>
      <c r="M12" s="318">
        <f t="shared" si="6"/>
        <v>-2325.3405279380472</v>
      </c>
      <c r="N12" s="318">
        <f t="shared" si="6"/>
        <v>0</v>
      </c>
      <c r="O12" s="318">
        <f t="shared" si="6"/>
        <v>0</v>
      </c>
      <c r="P12" s="318">
        <f t="shared" si="6"/>
        <v>0</v>
      </c>
      <c r="Q12" s="318" t="str">
        <f t="shared" si="6"/>
        <v/>
      </c>
    </row>
    <row r="13" spans="1:17" ht="15.75" customHeight="1">
      <c r="A13" s="10"/>
      <c r="B13" s="70" t="s">
        <v>165</v>
      </c>
      <c r="C13" s="319">
        <f>SUM(C8:C12)</f>
        <v>120172.88350423172</v>
      </c>
      <c r="E13" s="268"/>
      <c r="G13" s="319">
        <f>IF(G$4="","",SUM(G8:G12))</f>
        <v>193398.4276163358</v>
      </c>
      <c r="H13" s="319">
        <f t="shared" ref="H13:Q13" si="7">IF(H$4="","",SUM(H8:H12))</f>
        <v>172539.73432922165</v>
      </c>
      <c r="I13" s="319">
        <f t="shared" si="7"/>
        <v>193806.06728430395</v>
      </c>
      <c r="J13" s="319">
        <f t="shared" si="7"/>
        <v>101547.88027793678</v>
      </c>
      <c r="K13" s="319">
        <f t="shared" si="7"/>
        <v>37912.508773288486</v>
      </c>
      <c r="L13" s="319">
        <f t="shared" si="7"/>
        <v>84590.115615776551</v>
      </c>
      <c r="M13" s="319">
        <f t="shared" si="7"/>
        <v>73320.423572061918</v>
      </c>
      <c r="N13" s="319">
        <f t="shared" si="7"/>
        <v>334812</v>
      </c>
      <c r="O13" s="319">
        <f t="shared" si="7"/>
        <v>315041</v>
      </c>
      <c r="P13" s="319">
        <f t="shared" si="7"/>
        <v>307359</v>
      </c>
      <c r="Q13" s="319" t="str">
        <f t="shared" si="7"/>
        <v/>
      </c>
    </row>
    <row r="14" spans="1:17" ht="15.75" customHeight="1">
      <c r="A14" s="10"/>
      <c r="B14" s="2" t="s">
        <v>63</v>
      </c>
      <c r="C14" s="318">
        <f>-SUM(C8+C11,C12)*C43</f>
        <v>-30043.220876057931</v>
      </c>
      <c r="E14" s="268"/>
      <c r="G14" s="318">
        <f>Data!C46</f>
        <v>-51994</v>
      </c>
      <c r="H14" s="318">
        <f>Data!D46</f>
        <v>-48884</v>
      </c>
      <c r="I14" s="318">
        <f>Data!E46</f>
        <v>-53093</v>
      </c>
      <c r="J14" s="318">
        <f>Data!F46</f>
        <v>-25514</v>
      </c>
      <c r="K14" s="318">
        <f>Data!G46</f>
        <v>-9951.4562000000005</v>
      </c>
      <c r="L14" s="318">
        <f>Data!H46</f>
        <v>-24603.813999999998</v>
      </c>
      <c r="M14" s="318">
        <f>Data!I46</f>
        <v>-22482.776699999999</v>
      </c>
      <c r="N14" s="318">
        <f>Data!J46</f>
        <v>-16279</v>
      </c>
      <c r="O14" s="318">
        <f>Data!K46</f>
        <v>-20707</v>
      </c>
      <c r="P14" s="318">
        <f>Data!L46</f>
        <v>-12613</v>
      </c>
      <c r="Q14" s="318" t="str">
        <f>Data!M46</f>
        <v/>
      </c>
    </row>
    <row r="15" spans="1:17" ht="15.75" customHeight="1">
      <c r="A15" s="10"/>
      <c r="B15" s="40" t="s">
        <v>244</v>
      </c>
      <c r="C15" s="318">
        <f>-C4*C83</f>
        <v>-223.13946170149947</v>
      </c>
      <c r="D15" s="60"/>
      <c r="E15" s="275"/>
      <c r="F15" s="60"/>
      <c r="G15" s="323">
        <f>Data!C48</f>
        <v>-46</v>
      </c>
      <c r="H15" s="323">
        <f>Data!D48</f>
        <v>-247</v>
      </c>
      <c r="I15" s="323">
        <f>Data!E48</f>
        <v>0</v>
      </c>
      <c r="J15" s="323">
        <f>Data!F48</f>
        <v>0</v>
      </c>
      <c r="K15" s="323">
        <f>Data!G48</f>
        <v>0</v>
      </c>
      <c r="L15" s="323">
        <f>Data!H48</f>
        <v>-6.4699999999999994E-2</v>
      </c>
      <c r="M15" s="323">
        <f>Data!I48</f>
        <v>0</v>
      </c>
      <c r="N15" s="323">
        <f>Data!J48</f>
        <v>-19175</v>
      </c>
      <c r="O15" s="323">
        <f>Data!K48</f>
        <v>-12754</v>
      </c>
      <c r="P15" s="323">
        <f>Data!L48</f>
        <v>-11139</v>
      </c>
      <c r="Q15" s="323" t="str">
        <f>Data!M48</f>
        <v/>
      </c>
    </row>
    <row r="16" spans="1:17" ht="15.75" customHeight="1">
      <c r="A16" s="10"/>
      <c r="B16" s="41" t="s">
        <v>155</v>
      </c>
      <c r="C16" s="322">
        <f>SUM(C13:C15)</f>
        <v>89906.523166472296</v>
      </c>
      <c r="D16" s="61"/>
      <c r="E16" s="276"/>
      <c r="F16" s="61"/>
      <c r="G16" s="319">
        <f>IF(G$4="","",SUM(G13:G15))</f>
        <v>141358.4276163358</v>
      </c>
      <c r="H16" s="319">
        <f t="shared" ref="H16:Q16" si="8">IF(H$4="","",SUM(H13:H15))</f>
        <v>123408.73432922165</v>
      </c>
      <c r="I16" s="319">
        <f t="shared" si="8"/>
        <v>140713.06728430395</v>
      </c>
      <c r="J16" s="319">
        <f t="shared" si="8"/>
        <v>76033.880277936783</v>
      </c>
      <c r="K16" s="319">
        <f t="shared" si="8"/>
        <v>27961.052573288485</v>
      </c>
      <c r="L16" s="319">
        <f t="shared" si="8"/>
        <v>59986.23691577655</v>
      </c>
      <c r="M16" s="319">
        <f t="shared" si="8"/>
        <v>50837.646872061916</v>
      </c>
      <c r="N16" s="319">
        <f t="shared" si="8"/>
        <v>299358</v>
      </c>
      <c r="O16" s="319">
        <f t="shared" si="8"/>
        <v>281580</v>
      </c>
      <c r="P16" s="319">
        <f t="shared" si="8"/>
        <v>283607</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89906.523166472296</v>
      </c>
      <c r="D19" s="27"/>
      <c r="E19" s="265"/>
      <c r="F19" s="27"/>
      <c r="G19" s="324">
        <f>IF(G$4="","",G16+G17)</f>
        <v>141358.4276163358</v>
      </c>
      <c r="H19" s="324">
        <f t="shared" ref="H19:Q19" si="9">IF(H$4="","",H16+H17)</f>
        <v>123408.73432922165</v>
      </c>
      <c r="I19" s="324">
        <f t="shared" si="9"/>
        <v>140713.06728430395</v>
      </c>
      <c r="J19" s="324">
        <f t="shared" si="9"/>
        <v>76033.880277936783</v>
      </c>
      <c r="K19" s="324">
        <f t="shared" si="9"/>
        <v>27961.052573288485</v>
      </c>
      <c r="L19" s="324">
        <f t="shared" si="9"/>
        <v>59986.23691577655</v>
      </c>
      <c r="M19" s="324">
        <f t="shared" si="9"/>
        <v>50837.646872061916</v>
      </c>
      <c r="N19" s="324">
        <f t="shared" si="9"/>
        <v>299358</v>
      </c>
      <c r="O19" s="324">
        <f t="shared" si="9"/>
        <v>281580</v>
      </c>
      <c r="P19" s="324">
        <f t="shared" si="9"/>
        <v>283607</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-239590.97053351856</v>
      </c>
      <c r="D23" s="58"/>
      <c r="E23" s="267"/>
      <c r="F23" s="58"/>
      <c r="G23" s="323">
        <f>Data!C37</f>
        <v>-215269</v>
      </c>
      <c r="H23" s="323">
        <f>Data!D37</f>
        <v>-233125</v>
      </c>
      <c r="I23" s="323">
        <f>Data!E37</f>
        <v>-217001</v>
      </c>
      <c r="J23" s="323">
        <f>Data!F37</f>
        <v>-132757</v>
      </c>
      <c r="K23" s="323">
        <f>Data!G37</f>
        <v>-104581.49189999999</v>
      </c>
      <c r="L23" s="323">
        <f>Data!H37</f>
        <v>-138539.2739</v>
      </c>
      <c r="M23" s="323">
        <f>Data!I37</f>
        <v>-139181.76360000001</v>
      </c>
      <c r="N23" s="323">
        <f>Data!J37</f>
        <v>-1890398</v>
      </c>
      <c r="O23" s="323">
        <f>Data!K37</f>
        <v>-1492165</v>
      </c>
      <c r="P23" s="323">
        <f>Data!L37</f>
        <v>-1592771</v>
      </c>
      <c r="Q23" s="323" t="str">
        <f>Data!M37</f>
        <v/>
      </c>
    </row>
    <row r="24" spans="1:17" ht="15.75" customHeight="1">
      <c r="A24" s="10"/>
      <c r="B24" s="68" t="s">
        <v>62</v>
      </c>
      <c r="C24" s="318">
        <f>-C4*C29</f>
        <v>-5670.965641631592</v>
      </c>
      <c r="D24" s="27"/>
      <c r="E24" s="265"/>
      <c r="F24" s="27"/>
      <c r="G24" s="323">
        <f>Data!C40</f>
        <v>-3532</v>
      </c>
      <c r="H24" s="323">
        <f>Data!D40</f>
        <v>-3501</v>
      </c>
      <c r="I24" s="323">
        <f>Data!E40</f>
        <v>-3355</v>
      </c>
      <c r="J24" s="323">
        <f>Data!F40</f>
        <v>-2694</v>
      </c>
      <c r="K24" s="323">
        <f>Data!G40</f>
        <v>-3048.0317</v>
      </c>
      <c r="L24" s="323">
        <f>Data!H40</f>
        <v>-2798.4634999999998</v>
      </c>
      <c r="M24" s="323">
        <f>Data!I40</f>
        <v>-2444.741</v>
      </c>
      <c r="N24" s="323">
        <f>Data!J40</f>
        <v>-56055</v>
      </c>
      <c r="O24" s="323">
        <f>Data!K40</f>
        <v>-49550</v>
      </c>
      <c r="P24" s="323">
        <f>Data!L40</f>
        <v>-46872</v>
      </c>
      <c r="Q24" s="323" t="str">
        <f>Data!M40</f>
        <v/>
      </c>
    </row>
    <row r="25" spans="1:17" ht="15.75" customHeight="1">
      <c r="A25" s="10"/>
      <c r="B25" s="70" t="s">
        <v>46</v>
      </c>
      <c r="C25" s="319">
        <f>C23+C24</f>
        <v>-245261.93617515016</v>
      </c>
      <c r="D25" s="9"/>
      <c r="E25" s="273"/>
      <c r="F25" s="9"/>
      <c r="G25" s="319">
        <f t="shared" ref="G25:Q25" si="10">IF(G$4="","",G23+G24)</f>
        <v>-218801</v>
      </c>
      <c r="H25" s="319">
        <f t="shared" si="10"/>
        <v>-236626</v>
      </c>
      <c r="I25" s="319">
        <f t="shared" si="10"/>
        <v>-220356</v>
      </c>
      <c r="J25" s="319">
        <f t="shared" si="10"/>
        <v>-135451</v>
      </c>
      <c r="K25" s="319">
        <f t="shared" si="10"/>
        <v>-107629.5236</v>
      </c>
      <c r="L25" s="319">
        <f t="shared" si="10"/>
        <v>-141337.73740000001</v>
      </c>
      <c r="M25" s="319">
        <f t="shared" si="10"/>
        <v>-141626.50460000001</v>
      </c>
      <c r="N25" s="319">
        <f t="shared" si="10"/>
        <v>-1946453</v>
      </c>
      <c r="O25" s="319">
        <f t="shared" si="10"/>
        <v>-1541715</v>
      </c>
      <c r="P25" s="319">
        <f t="shared" si="10"/>
        <v>-1639643</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AVERAGE(G28:P28)</f>
        <v>0.6365937510854347</v>
      </c>
      <c r="D28" s="26"/>
      <c r="E28" s="266" t="s">
        <v>334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175</v>
      </c>
      <c r="C33" s="328">
        <f>G33</f>
        <v>-7213</v>
      </c>
      <c r="E33" s="266" t="s">
        <v>334</v>
      </c>
      <c r="G33" s="318">
        <f>Data!C41</f>
        <v>-7213</v>
      </c>
      <c r="H33" s="318">
        <f>Data!D41</f>
        <v>-7012</v>
      </c>
      <c r="I33" s="318">
        <f>Data!E41</f>
        <v>-6356</v>
      </c>
      <c r="J33" s="318">
        <f>Data!F41</f>
        <v>-5218</v>
      </c>
      <c r="K33" s="318">
        <f>Data!G41</f>
        <v>-4833.8230999999996</v>
      </c>
      <c r="L33" s="318">
        <f>Data!H41</f>
        <v>-4588.3963000000003</v>
      </c>
      <c r="M33" s="318">
        <f>Data!I41</f>
        <v>-4535.8732</v>
      </c>
      <c r="N33" s="318">
        <f>Data!J41</f>
        <v>-78928</v>
      </c>
      <c r="O33" s="318">
        <f>Data!K41</f>
        <v>-74155</v>
      </c>
      <c r="P33" s="318">
        <f>Data!L41</f>
        <v>-71881</v>
      </c>
      <c r="Q33" s="318" t="str">
        <f>Data!M41</f>
        <v/>
      </c>
    </row>
    <row r="34" spans="1:17" ht="15.75" customHeight="1">
      <c r="A34" s="10"/>
      <c r="B34" s="27" t="s">
        <v>49</v>
      </c>
      <c r="C34" s="328">
        <f>G34</f>
        <v>-1711</v>
      </c>
      <c r="D34" s="58"/>
      <c r="E34" s="266" t="s">
        <v>334</v>
      </c>
      <c r="F34" s="58"/>
      <c r="G34" s="323">
        <f>Data!C42</f>
        <v>-1711</v>
      </c>
      <c r="H34" s="323">
        <f>Data!D42</f>
        <v>-1605</v>
      </c>
      <c r="I34" s="323">
        <f>Data!E42</f>
        <v>-1527</v>
      </c>
      <c r="J34" s="323">
        <f>Data!F42</f>
        <v>-1506</v>
      </c>
      <c r="K34" s="323">
        <f>Data!G42</f>
        <v>-1321.0753999999999</v>
      </c>
      <c r="L34" s="323">
        <f>Data!H42</f>
        <v>-984.92179999999996</v>
      </c>
      <c r="M34" s="323">
        <f>Data!I42</f>
        <v>-715.09730000000002</v>
      </c>
      <c r="N34" s="323">
        <f>Data!J42</f>
        <v>0</v>
      </c>
      <c r="O34" s="323">
        <f>Data!K42</f>
        <v>0</v>
      </c>
      <c r="P34" s="323">
        <f>Data!L42</f>
        <v>0</v>
      </c>
      <c r="Q34" s="323" t="str">
        <f>Data!M42</f>
        <v/>
      </c>
    </row>
    <row r="35" spans="1:17" ht="15.75" customHeight="1">
      <c r="A35" s="10"/>
      <c r="B35" s="70" t="s">
        <v>45</v>
      </c>
      <c r="C35" s="319">
        <f>C33+C34</f>
        <v>-8924</v>
      </c>
      <c r="D35" s="58"/>
      <c r="E35" s="267"/>
      <c r="F35" s="58"/>
      <c r="G35" s="319">
        <f t="shared" ref="G35:Q35" si="14">IF(G4="","",G33+G34)</f>
        <v>-8924</v>
      </c>
      <c r="H35" s="319">
        <f t="shared" si="14"/>
        <v>-8617</v>
      </c>
      <c r="I35" s="319">
        <f t="shared" si="14"/>
        <v>-7883</v>
      </c>
      <c r="J35" s="319">
        <f t="shared" si="14"/>
        <v>-6724</v>
      </c>
      <c r="K35" s="319">
        <f t="shared" si="14"/>
        <v>-6154.8984999999993</v>
      </c>
      <c r="L35" s="319">
        <f t="shared" si="14"/>
        <v>-5573.3181000000004</v>
      </c>
      <c r="M35" s="319">
        <f t="shared" si="14"/>
        <v>-5250.9705000000004</v>
      </c>
      <c r="N35" s="319">
        <f t="shared" si="14"/>
        <v>-78928</v>
      </c>
      <c r="O35" s="319">
        <f t="shared" si="14"/>
        <v>-74155</v>
      </c>
      <c r="P35" s="319">
        <f t="shared" si="14"/>
        <v>-71881</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-2807</v>
      </c>
      <c r="E47" s="268"/>
      <c r="G47" s="318">
        <f>Data!C51</f>
        <v>-2807</v>
      </c>
      <c r="H47" s="318">
        <f>Data!D51</f>
        <v>-2423</v>
      </c>
      <c r="I47" s="318">
        <f>Data!E51</f>
        <v>-3129</v>
      </c>
      <c r="J47" s="318">
        <f>Data!F51</f>
        <v>-3199</v>
      </c>
      <c r="K47" s="318">
        <f>Data!G51</f>
        <v>-3553.9661000000001</v>
      </c>
      <c r="L47" s="318">
        <f>Data!H51</f>
        <v>-3069.9225999999999</v>
      </c>
      <c r="M47" s="318">
        <f>Data!I51</f>
        <v>-2601.9825999999998</v>
      </c>
      <c r="N47" s="318">
        <f>Data!J51</f>
        <v>0</v>
      </c>
      <c r="O47" s="318">
        <f>Data!K51</f>
        <v>0</v>
      </c>
      <c r="P47" s="318">
        <f>Data!L51</f>
        <v>0</v>
      </c>
      <c r="Q47" s="318" t="str">
        <f>Data!M51</f>
        <v/>
      </c>
    </row>
    <row r="48" spans="1:17" ht="15.75" customHeight="1">
      <c r="A48" s="10"/>
      <c r="B48" s="2" t="s">
        <v>346</v>
      </c>
      <c r="C48" s="318">
        <f>BS!D75*C53</f>
        <v>801.81967938187529</v>
      </c>
      <c r="E48" s="268"/>
      <c r="G48" s="327">
        <f>IFERROR(IF(G$4="","",($C$48/$C$49)*G49),0)</f>
        <v>1588.427616335812</v>
      </c>
      <c r="H48" s="327">
        <f t="shared" ref="H48:Q48" si="19">IFERROR(IF(H$4="","",($C$48/$C$49)*H49),0)</f>
        <v>1665.7343292216447</v>
      </c>
      <c r="I48" s="327">
        <f t="shared" si="19"/>
        <v>1033.0672843039545</v>
      </c>
      <c r="J48" s="327">
        <f t="shared" si="19"/>
        <v>464.88027793677952</v>
      </c>
      <c r="K48" s="327">
        <f t="shared" si="19"/>
        <v>510.62907328849445</v>
      </c>
      <c r="L48" s="327">
        <f t="shared" si="19"/>
        <v>369.83101577658761</v>
      </c>
      <c r="M48" s="327">
        <f t="shared" si="19"/>
        <v>276.64207206195277</v>
      </c>
      <c r="N48" s="327">
        <f t="shared" si="19"/>
        <v>0</v>
      </c>
      <c r="O48" s="327">
        <f t="shared" si="19"/>
        <v>0</v>
      </c>
      <c r="P48" s="327">
        <f t="shared" si="19"/>
        <v>0</v>
      </c>
      <c r="Q48" s="327" t="str">
        <f t="shared" si="19"/>
        <v/>
      </c>
    </row>
    <row r="49" spans="1:17" ht="15.75" customHeight="1">
      <c r="A49" s="10"/>
      <c r="B49" s="287" t="s">
        <v>343</v>
      </c>
      <c r="C49" s="329">
        <f>BS!$C$66*C53</f>
        <v>2312.94</v>
      </c>
      <c r="D49" s="288"/>
      <c r="E49" s="289"/>
      <c r="F49" s="288"/>
      <c r="G49" s="329">
        <f>Data!C52</f>
        <v>4582</v>
      </c>
      <c r="H49" s="329">
        <f>Data!D52</f>
        <v>4805</v>
      </c>
      <c r="I49" s="329">
        <f>Data!E52</f>
        <v>2980</v>
      </c>
      <c r="J49" s="329">
        <f>Data!F52</f>
        <v>1341</v>
      </c>
      <c r="K49" s="329">
        <f>Data!G52</f>
        <v>1472.9675999999999</v>
      </c>
      <c r="L49" s="329">
        <f>Data!H52</f>
        <v>1066.8196</v>
      </c>
      <c r="M49" s="329">
        <f>Data!I52</f>
        <v>798.00549999999998</v>
      </c>
      <c r="N49" s="329">
        <f>Data!J52</f>
        <v>0</v>
      </c>
      <c r="O49" s="329">
        <f>Data!K52</f>
        <v>0</v>
      </c>
      <c r="P49" s="329">
        <f>Data!L52</f>
        <v>0</v>
      </c>
      <c r="Q49" s="329" t="str">
        <f>Data!M52</f>
        <v/>
      </c>
    </row>
    <row r="50" spans="1:17" ht="15.75" customHeight="1">
      <c r="A50" s="10"/>
      <c r="B50" s="70" t="s">
        <v>68</v>
      </c>
      <c r="C50" s="319">
        <f>C47+C48</f>
        <v>-2005.1803206181248</v>
      </c>
      <c r="E50" s="268"/>
      <c r="G50" s="319">
        <f>IF(G$4="","",(G47+G48))</f>
        <v>-1218.572383664188</v>
      </c>
      <c r="H50" s="319">
        <f t="shared" ref="H50:Q50" si="20">IF(H$4="","",(H47+H48))</f>
        <v>-757.26567077835534</v>
      </c>
      <c r="I50" s="319">
        <f t="shared" si="20"/>
        <v>-2095.9327156960453</v>
      </c>
      <c r="J50" s="319">
        <f t="shared" si="20"/>
        <v>-2734.1197220632203</v>
      </c>
      <c r="K50" s="319">
        <f t="shared" si="20"/>
        <v>-3043.3370267115056</v>
      </c>
      <c r="L50" s="319">
        <f t="shared" si="20"/>
        <v>-2700.0915842234122</v>
      </c>
      <c r="M50" s="319">
        <f t="shared" si="20"/>
        <v>-2325.3405279380472</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336</v>
      </c>
      <c r="G53" s="6">
        <f>IF(Normalized_FCF!G4="","",Normalized_FCF!G49/BS!$C$66)</f>
        <v>2.9715427118732003E-2</v>
      </c>
      <c r="H53" s="169"/>
      <c r="I53" s="169"/>
      <c r="J53" s="169"/>
      <c r="K53" s="169"/>
      <c r="L53" s="169"/>
      <c r="M53" s="169"/>
      <c r="N53" s="169"/>
      <c r="O53" s="169"/>
      <c r="P53" s="169"/>
      <c r="Q53" s="169"/>
    </row>
    <row r="54" spans="1:17" ht="15.75" customHeight="1">
      <c r="A54" s="10"/>
      <c r="B54" s="8" t="s">
        <v>88</v>
      </c>
      <c r="C54" s="82">
        <f>G54</f>
        <v>3.0548390958459848E-2</v>
      </c>
      <c r="E54" s="265" t="s">
        <v>337</v>
      </c>
      <c r="G54" s="23">
        <f>IFERROR(ABS(Normalized_FCF!G47/BS!$G$31),0)</f>
        <v>3.0548390958459848E-2</v>
      </c>
      <c r="H54" s="169"/>
      <c r="I54" s="169"/>
      <c r="J54" s="169"/>
      <c r="K54" s="169"/>
      <c r="L54" s="169"/>
      <c r="M54" s="169"/>
      <c r="N54" s="169"/>
      <c r="O54" s="169"/>
      <c r="P54" s="169"/>
      <c r="Q54" s="169"/>
    </row>
    <row r="55" spans="1:17" ht="15.75" customHeight="1">
      <c r="A55" s="10"/>
      <c r="B55" s="26" t="s">
        <v>91</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1836</v>
      </c>
      <c r="H59" s="318">
        <f>Data!D55</f>
        <v>1931</v>
      </c>
      <c r="I59" s="318">
        <f>Data!E55</f>
        <v>1911</v>
      </c>
      <c r="J59" s="318">
        <f>Data!F55</f>
        <v>346</v>
      </c>
      <c r="K59" s="318">
        <f>Data!G55</f>
        <v>-632.40350000000001</v>
      </c>
      <c r="L59" s="318">
        <f>Data!H55</f>
        <v>1002.7065</v>
      </c>
      <c r="M59" s="318">
        <f>Data!I55</f>
        <v>-5186.9755999999998</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1836</v>
      </c>
      <c r="H61" s="319">
        <f t="shared" si="22"/>
        <v>1931</v>
      </c>
      <c r="I61" s="319">
        <f t="shared" si="22"/>
        <v>1911</v>
      </c>
      <c r="J61" s="319">
        <f t="shared" si="22"/>
        <v>346</v>
      </c>
      <c r="K61" s="319">
        <f t="shared" si="22"/>
        <v>-632.40350000000001</v>
      </c>
      <c r="L61" s="319">
        <f t="shared" si="22"/>
        <v>1002.7065</v>
      </c>
      <c r="M61" s="319">
        <f t="shared" si="22"/>
        <v>-5186.9755999999998</v>
      </c>
      <c r="N61" s="319">
        <f t="shared" si="22"/>
        <v>0</v>
      </c>
      <c r="O61" s="319">
        <f t="shared" si="22"/>
        <v>0</v>
      </c>
      <c r="P61" s="319">
        <f t="shared" si="22"/>
        <v>0</v>
      </c>
      <c r="Q61" s="319" t="str">
        <f t="shared" si="22"/>
        <v/>
      </c>
    </row>
    <row r="62" spans="1:17" ht="15.75" customHeight="1">
      <c r="A62" s="10"/>
      <c r="B62" s="40" t="s">
        <v>161</v>
      </c>
      <c r="C62" s="330">
        <v>0</v>
      </c>
      <c r="E62" s="266" t="s">
        <v>338</v>
      </c>
      <c r="G62" s="318">
        <f>Data!C58</f>
        <v>-6416</v>
      </c>
      <c r="H62" s="318">
        <f>Data!D58</f>
        <v>-2705</v>
      </c>
      <c r="I62" s="318">
        <f>Data!E58</f>
        <v>-983</v>
      </c>
      <c r="J62" s="318">
        <f>Data!F58</f>
        <v>-6603</v>
      </c>
      <c r="K62" s="318">
        <f>Data!G58</f>
        <v>-3967.7236999999955</v>
      </c>
      <c r="L62" s="318">
        <f>Data!H58</f>
        <v>362.16880000001424</v>
      </c>
      <c r="M62" s="318">
        <f>Data!I58</f>
        <v>1316.3510000000042</v>
      </c>
      <c r="N62" s="318">
        <f>Data!J58</f>
        <v>-248239</v>
      </c>
      <c r="O62" s="318">
        <f>Data!K58</f>
        <v>-235164</v>
      </c>
      <c r="P62" s="318">
        <f>Data!L58</f>
        <v>-251400</v>
      </c>
      <c r="Q62" s="318" t="str">
        <f>Data!M58</f>
        <v/>
      </c>
    </row>
    <row r="63" spans="1:17" ht="15.75" customHeight="1">
      <c r="A63" s="10"/>
      <c r="B63" s="31" t="s">
        <v>196</v>
      </c>
      <c r="C63" s="319">
        <f>C61+C62</f>
        <v>0</v>
      </c>
      <c r="E63" s="268"/>
      <c r="G63" s="319">
        <f t="shared" ref="G63:Q63" si="23">IF(G4="","",G61+G62)</f>
        <v>-4580</v>
      </c>
      <c r="H63" s="319">
        <f t="shared" si="23"/>
        <v>-774</v>
      </c>
      <c r="I63" s="319">
        <f t="shared" si="23"/>
        <v>928</v>
      </c>
      <c r="J63" s="319">
        <f t="shared" si="23"/>
        <v>-6257</v>
      </c>
      <c r="K63" s="319">
        <f t="shared" si="23"/>
        <v>-4600.1271999999954</v>
      </c>
      <c r="L63" s="319">
        <f t="shared" si="23"/>
        <v>1364.8753000000142</v>
      </c>
      <c r="M63" s="319">
        <f t="shared" si="23"/>
        <v>-3870.6245999999956</v>
      </c>
      <c r="N63" s="319">
        <f t="shared" si="23"/>
        <v>-248239</v>
      </c>
      <c r="O63" s="319">
        <f t="shared" si="23"/>
        <v>-235164</v>
      </c>
      <c r="P63" s="319">
        <f t="shared" si="23"/>
        <v>-251400</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v>0</v>
      </c>
      <c r="E67" s="268"/>
      <c r="G67" s="23">
        <f>IFERROR(G59/BS!$C$68,0)</f>
        <v>3.7862696170423378E-2</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7.8387458006718924E-2</v>
      </c>
      <c r="E93" s="268"/>
      <c r="G93" s="23">
        <f t="shared" ref="G93:Q93" si="39">IF(G$4="","",G90/Market_Price)</f>
        <v>7.8387458006718924E-2</v>
      </c>
      <c r="H93" s="23">
        <f t="shared" si="39"/>
        <v>6.9988801791713323E-2</v>
      </c>
      <c r="I93" s="23">
        <f t="shared" si="39"/>
        <v>8.1187010078387453E-2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1056281</v>
      </c>
      <c r="D101" s="26"/>
      <c r="E101" s="269"/>
      <c r="F101" s="26"/>
      <c r="G101" s="323">
        <f t="shared" ref="G101:Q101" si="42">IF(G$4="","",G105+G104)</f>
        <v>1056281</v>
      </c>
      <c r="H101" s="323">
        <f t="shared" si="42"/>
        <v>1005598</v>
      </c>
      <c r="I101" s="323">
        <f t="shared" si="42"/>
        <v>929031</v>
      </c>
      <c r="J101" s="323">
        <f t="shared" si="42"/>
        <v>786569</v>
      </c>
      <c r="K101" s="323">
        <f t="shared" si="42"/>
        <v>721276.40899999999</v>
      </c>
      <c r="L101" s="323">
        <f t="shared" si="42"/>
        <v>757730.42299999995</v>
      </c>
      <c r="M101" s="323">
        <f t="shared" si="42"/>
        <v>686380.00399999996</v>
      </c>
      <c r="N101" s="323">
        <f t="shared" si="42"/>
        <v>1595504</v>
      </c>
      <c r="O101" s="323">
        <f t="shared" si="42"/>
        <v>1498609</v>
      </c>
      <c r="P101" s="323">
        <f t="shared" si="42"/>
        <v>1443129</v>
      </c>
      <c r="Q101" s="323" t="str">
        <f t="shared" si="42"/>
        <v/>
      </c>
    </row>
    <row r="102" spans="1:17" ht="15.75" customHeight="1">
      <c r="A102" s="10"/>
      <c r="B102" s="93" t="s">
        <v>211</v>
      </c>
      <c r="C102" s="332">
        <f>BS!C4</f>
        <v>33661</v>
      </c>
      <c r="D102" s="89"/>
      <c r="E102" s="270"/>
      <c r="F102" s="89"/>
      <c r="G102" s="333">
        <f>IF(G$4="","",Data!D77)</f>
        <v>41642</v>
      </c>
      <c r="H102" s="333">
        <f>IF(H$4="","",Data!E77)</f>
        <v>41488</v>
      </c>
      <c r="I102" s="333">
        <f>IF(I$4="","",Data!F77)</f>
        <v>33105</v>
      </c>
      <c r="J102" s="333">
        <f>IF(J$4="","",Data!G77)</f>
        <v>25613.371299999999</v>
      </c>
      <c r="K102" s="333">
        <f>IF(K$4="","",Data!H77)</f>
        <v>31381.7863</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5732</v>
      </c>
      <c r="D103" s="89"/>
      <c r="E103" s="270"/>
      <c r="F103" s="89"/>
      <c r="G103" s="333">
        <f>IF(G$4="","",Data!D78)</f>
        <v>6451</v>
      </c>
      <c r="H103" s="333">
        <f>IF(H$4="","",Data!E78)</f>
        <v>6239</v>
      </c>
      <c r="I103" s="333">
        <f>IF(I$4="","",Data!F78)</f>
        <v>5703</v>
      </c>
      <c r="J103" s="333">
        <f>IF(J$4="","",Data!G78)</f>
        <v>5644.0001000000002</v>
      </c>
      <c r="K103" s="333">
        <f>IF(K$4="","",Data!H78)</f>
        <v>6313.6594999999998</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306845</v>
      </c>
      <c r="D104" s="26"/>
      <c r="E104" s="269"/>
      <c r="F104" s="26"/>
      <c r="G104" s="323">
        <f>Data!C79</f>
        <v>306845</v>
      </c>
      <c r="H104" s="323">
        <f>Data!D79</f>
        <v>337722</v>
      </c>
      <c r="I104" s="323">
        <f>Data!E79</f>
        <v>330648</v>
      </c>
      <c r="J104" s="323">
        <f>Data!F79</f>
        <v>304593</v>
      </c>
      <c r="K104" s="323">
        <f>Data!G79</f>
        <v>287345.75290000002</v>
      </c>
      <c r="L104" s="323">
        <f>Data!H79</f>
        <v>309503.74410000001</v>
      </c>
      <c r="M104" s="323">
        <f>Data!I79</f>
        <v>266468.9056</v>
      </c>
      <c r="N104" s="323">
        <f>Data!J79</f>
        <v>741434</v>
      </c>
      <c r="O104" s="323">
        <f>Data!K79</f>
        <v>666084</v>
      </c>
      <c r="P104" s="323">
        <f>Data!L79</f>
        <v>657506</v>
      </c>
      <c r="Q104" s="323" t="str">
        <f>Data!M79</f>
        <v/>
      </c>
    </row>
    <row r="105" spans="1:17" ht="15.75" customHeight="1">
      <c r="A105" s="10"/>
      <c r="B105" s="26" t="s">
        <v>30</v>
      </c>
      <c r="C105" s="331">
        <f>BS!G27</f>
        <v>749436</v>
      </c>
      <c r="D105" s="26"/>
      <c r="E105" s="269"/>
      <c r="F105" s="26"/>
      <c r="G105" s="323">
        <f>Data!C80</f>
        <v>749436</v>
      </c>
      <c r="H105" s="323">
        <f>Data!D80</f>
        <v>667876</v>
      </c>
      <c r="I105" s="323">
        <f>Data!E80</f>
        <v>598383</v>
      </c>
      <c r="J105" s="323">
        <f>Data!F80</f>
        <v>481976</v>
      </c>
      <c r="K105" s="323">
        <f>Data!G80</f>
        <v>433930.65610000002</v>
      </c>
      <c r="L105" s="323">
        <f>Data!H80</f>
        <v>448226.6789</v>
      </c>
      <c r="M105" s="323">
        <f>Data!I80</f>
        <v>419911.09840000002</v>
      </c>
      <c r="N105" s="323">
        <f>Data!J80</f>
        <v>854070</v>
      </c>
      <c r="O105" s="323">
        <f>Data!K80</f>
        <v>832525</v>
      </c>
      <c r="P105" s="323">
        <f>Data!L80</f>
        <v>785623</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c r="A114" s="10"/>
      <c r="B114" s="2" t="s">
        <v>393</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0.31929962351402291</v>
      </c>
      <c r="E117" s="268"/>
      <c r="G117" s="23">
        <f t="shared" ref="G117:Q117" si="45">IF(G4="","",IF(valuation_method="DDM",G13/(G4+G12),G81))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IF(valuation_method="DDM",(C4+C12)/C101,C4/C101)</f>
        <v>0.35631048934895165</v>
      </c>
      <c r="E118" s="268"/>
      <c r="G118" s="42">
        <f t="shared" ref="G118:Q118" si="46">IF(G4="","",IF(valuation_method="DDM",(G4+G12)/G101,G4/G101))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2.0576476440115679</v>
      </c>
      <c r="D124" s="27"/>
      <c r="E124" s="265"/>
      <c r="F124" s="27"/>
      <c r="G124" s="177">
        <f t="shared" ref="G124:Q124" si="49">IF(G$4="","",G16*$C$3/Common_Shares*Exchange_Rate)</f>
        <v>3.2352028006617664</v>
      </c>
      <c r="H124" s="177">
        <f t="shared" si="49"/>
        <v>2.8243967456375616</v>
      </c>
      <c r="I124" s="177">
        <f t="shared" si="49"/>
        <v>3.2204327470552543</v>
      </c>
      <c r="J124" s="177">
        <f t="shared" si="49"/>
        <v>1.7401510937005906</v>
      </c>
      <c r="K124" s="177">
        <f t="shared" si="49"/>
        <v>0.63993125220713754</v>
      </c>
      <c r="L124" s="177">
        <f t="shared" si="49"/>
        <v>1.3728763466286142</v>
      </c>
      <c r="M124" s="177">
        <f t="shared" si="49"/>
        <v>1.1634969369208088</v>
      </c>
      <c r="N124" s="177">
        <f t="shared" si="49"/>
        <v>6.8512635315178345</v>
      </c>
      <c r="O124" s="177">
        <f t="shared" si="49"/>
        <v>6.4443869387315251</v>
      </c>
      <c r="P124" s="177">
        <f t="shared" si="49"/>
        <v>6.4907779193580204</v>
      </c>
      <c r="Q124" s="177" t="str">
        <f t="shared" si="49"/>
        <v/>
      </c>
    </row>
    <row r="125" spans="1:17" ht="15.75" customHeight="1">
      <c r="A125" s="10"/>
      <c r="B125" s="27" t="s">
        <v>270</v>
      </c>
      <c r="C125" s="77">
        <f>C19*Exchange_Rate*$C$3/(Market_Price*Common_Shares)</f>
        <v>0.11520983449112923</v>
      </c>
      <c r="D125" s="27"/>
      <c r="E125" s="265"/>
      <c r="F125" s="27"/>
      <c r="G125" s="77">
        <f t="shared" ref="G125" si="50">IF(G$4="","",G124/Market_Price)</f>
        <v>0.18114237405720976</v>
      </c>
      <c r="H125" s="77">
        <f t="shared" ref="H125" si="51">IF(H$4="","",H124/Market_Price)</f>
        <v>0.15814091520926998</v>
      </c>
      <c r="I125" s="77">
        <f t="shared" ref="I125" si="52">IF(I$4="","",I124/Market_Price)</f>
        <v>0.18031538337375444</v>
      </c>
      <c r="J125" s="77">
        <f t="shared" ref="J125" si="53">IF(J$4="","",J124/Market_Price)</f>
        <v>9.7432871987715039E-2</v>
      </c>
      <c r="K125" s="77">
        <f t="shared" ref="K125" si="54">IF(K$4="","",K124/Market_Price)</f>
        <v>3.5830417256838609E-2</v>
      </c>
      <c r="L125" s="77">
        <f t="shared" ref="L125" si="55">IF(L$4="","",L124/Market_Price)</f>
        <v>7.6868776406977285E-2</v>
      </c>
      <c r="M125" s="77">
        <f t="shared" ref="M125" si="56">IF(M$4="","",M124/Market_Price)</f>
        <v>6.5145405202732862E-2</v>
      </c>
      <c r="N125" s="77">
        <f t="shared" ref="N125" si="57">IF(N$4="","",N124/Market_Price)</f>
        <v>0.38360938026415647</v>
      </c>
      <c r="O125" s="77">
        <f t="shared" ref="O125" si="58">IF(O$4="","",O124/Market_Price)</f>
        <v>0.36082793609918956</v>
      </c>
      <c r="P125" s="77">
        <f t="shared" ref="P125" si="59">IF(P$4="","",P124/Market_Price)</f>
        <v>0.36342541541758233</v>
      </c>
      <c r="Q125" s="77" t="str">
        <f t="shared" ref="Q125" si="60">IF(Q$4="","",Q124/Market_Price)</f>
        <v/>
      </c>
    </row>
    <row r="126" spans="1:17" ht="15.75" customHeight="1">
      <c r="B126" s="2" t="s">
        <v>395</v>
      </c>
      <c r="C126" s="169"/>
      <c r="G126" s="23">
        <f>IF(G$4="","",(Data!C47*$C$3)/(Market_Price*Common_Shares))</f>
        <v>0.16254498966399317</v>
      </c>
      <c r="H126" s="23">
        <f>IF(H$4="","",(Data!D47*$C$3)/(Market_Price*Common_Shares))</f>
        <v>0.14617999280634367</v>
      </c>
      <c r="I126" s="23">
        <f>IF(I$4="","",(Data!E47*$C$3)/(Market_Price*Common_Shares))</f>
        <v>0.16689775840780363</v>
      </c>
      <c r="J126" s="23">
        <f>IF(J$4="","",(Data!F47*$C$3)/(Market_Price*Common_Shares))</f>
        <v>8.2822763754014053E-2</v>
      </c>
      <c r="K126" s="23">
        <f>IF(K$4="","",(Data!G47*$C$3)/(Market_Price*Common_Shares))</f>
        <v>2.9398172947131155E-2</v>
      </c>
      <c r="L126" s="23">
        <f>IF(L$4="","",(Data!H47*$C$3)/(Market_Price*Common_Shares))</f>
        <v>7.1912521214279532E-2</v>
      </c>
      <c r="M126" s="23">
        <f>IF(M$4="","",(Data!I47*$C$3)/(Market_Price*Common_Shares))</f>
        <v>6.2052413054279582E-2</v>
      </c>
      <c r="N126" s="23">
        <f>IF(N$4="","",(Data!J47*$C$3)/(Market_Price*Common_Shares))</f>
        <v>8.2807449547337583E-2</v>
      </c>
      <c r="O126" s="23">
        <f>IF(O$4="","",(Data!K47*$C$3)/(Market_Price*Common_Shares))</f>
        <v>6.9703200695876821E-2</v>
      </c>
      <c r="P126" s="23">
        <f>IF(P$4="","",(Data!L47*$C$3)/(Market_Price*Common_Shares))</f>
        <v>5.1062277122925076E-2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89906.523166472296</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1198753.6422196308</v>
      </c>
      <c r="D6" t="str">
        <f>Reporting_currency</f>
        <v>CNY</v>
      </c>
      <c r="E6" s="356" t="s">
        <v>250</v>
      </c>
      <c r="F6" s="356"/>
      <c r="H6" s="120"/>
    </row>
    <row r="7" spans="2:8">
      <c r="B7" s="148" t="s">
        <v>225</v>
      </c>
      <c r="C7" s="114">
        <f>BS!G31</f>
        <v>91887</v>
      </c>
      <c r="D7" t="str">
        <f>Reporting_currency</f>
        <v>CNY</v>
      </c>
      <c r="E7" s="356"/>
      <c r="F7" s="356"/>
      <c r="H7" s="120"/>
    </row>
    <row r="8" spans="2:8">
      <c r="B8" s="148" t="s">
        <v>226</v>
      </c>
      <c r="C8" s="114">
        <f>BS!D66</f>
        <v>100741.35470787497</v>
      </c>
      <c r="D8" t="str">
        <f>Reporting_currency</f>
        <v>CNY</v>
      </c>
      <c r="E8" s="356"/>
      <c r="F8" s="356"/>
      <c r="H8" s="120"/>
    </row>
    <row r="9" spans="2:8">
      <c r="B9" s="205" t="s">
        <v>191</v>
      </c>
      <c r="C9" s="339">
        <f>BS!H42</f>
        <v>5113.2</v>
      </c>
      <c r="D9" t="str">
        <f>Reporting_currency</f>
        <v>CNY</v>
      </c>
      <c r="E9" s="356"/>
      <c r="F9" s="356"/>
      <c r="H9" s="120"/>
    </row>
    <row r="10" spans="2:8" ht="13.15">
      <c r="B10" s="149" t="s">
        <v>228</v>
      </c>
      <c r="C10" s="338">
        <f>C6-C7+C8+C9</f>
        <v>1212721.1969275058</v>
      </c>
      <c r="D10" t="str">
        <f>Reporting_currency</f>
        <v>CNY</v>
      </c>
      <c r="H10" s="120"/>
    </row>
    <row r="11" spans="2:8" ht="13.15" thickBot="1">
      <c r="B11" s="207" t="s">
        <v>167</v>
      </c>
      <c r="C11" s="208">
        <f>Exchange_Rate</f>
        <v>1.0877953499999999</v>
      </c>
      <c r="D11" t="str">
        <f>Thesis!C15</f>
        <v>CNY/HKD</v>
      </c>
      <c r="H11" s="120"/>
    </row>
    <row r="12" spans="2:8" ht="13.5" thickTop="1">
      <c r="B12" s="149" t="s">
        <v>103</v>
      </c>
      <c r="C12" s="111">
        <f>(C10*scaling_factor)/Common_Shares*Exchange_Rate</f>
        <v>27.754970671931527</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1.98435191985455E-2</v>
      </c>
      <c r="H16" s="120"/>
    </row>
    <row r="17" spans="2:8" ht="13.25" customHeight="1">
      <c r="B17" s="118" t="s">
        <v>135</v>
      </c>
      <c r="C17" s="162">
        <f>Scenarios!C64</f>
        <v>10</v>
      </c>
      <c r="H17" s="120"/>
    </row>
    <row r="18" spans="2:8" ht="13.25" customHeight="1">
      <c r="B18" s="153" t="s">
        <v>107</v>
      </c>
      <c r="C18" s="140">
        <f>(F52-C7+C8+C9)*Exchange_Rate/Common_Shares*scaling_factor</f>
        <v>29.473461041475876</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8">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8">
      <c r="B23" s="122">
        <v>3</v>
      </c>
      <c r="C23" s="123">
        <f t="shared" si="2"/>
        <v>95365.617318454941</v>
      </c>
      <c r="D23" s="138">
        <f>IF($C$17&lt;B23,0,DCF!$C$16)</f>
        <v>1.98435191985455E-2</v>
      </c>
      <c r="E23" s="124">
        <f t="shared" si="0"/>
        <v>0.80496056950960304</v>
      </c>
      <c r="F23" s="125">
        <f t="shared" si="1"/>
        <v>76765.561628298354</v>
      </c>
      <c r="H23" s="120"/>
    </row>
    <row r="24" spans="2:8">
      <c r="B24" s="122">
        <v>4</v>
      </c>
      <c r="C24" s="123">
        <f t="shared" si="2"/>
        <v>97258.006776594848</v>
      </c>
      <c r="D24" s="138">
        <f>IF($C$17&lt;B24,0,DCF!$C$16)</f>
        <v>1.98435191985455E-2</v>
      </c>
      <c r="E24" s="124">
        <f t="shared" si="0"/>
        <v>0.7488005297763749</v>
      </c>
      <c r="F24" s="125">
        <f t="shared" si="1"/>
        <v>72826.846999308487</v>
      </c>
      <c r="H24" s="120"/>
    </row>
    <row r="25" spans="2:8">
      <c r="B25" s="122">
        <v>5</v>
      </c>
      <c r="C25" s="123">
        <f t="shared" si="2"/>
        <v>99187.947901278458</v>
      </c>
      <c r="D25" s="138">
        <f>IF($C$17&lt;B25,0,DCF!$C$16)</f>
        <v>1.98435191985455E-2</v>
      </c>
      <c r="E25" s="124">
        <f t="shared" si="0"/>
        <v>0.69655863235011617</v>
      </c>
      <c r="F25" s="125">
        <f t="shared" si="1"/>
        <v>69090.221335729104</v>
      </c>
      <c r="H25" s="120"/>
    </row>
    <row r="26" spans="2:8">
      <c r="B26" s="122">
        <v>6</v>
      </c>
      <c r="C26" s="123">
        <f t="shared" si="2"/>
        <v>101156.18584972182</v>
      </c>
      <c r="D26" s="138">
        <f>IF($C$17&lt;B26,0,DCF!$C$16)</f>
        <v>1.98435191985455E-2</v>
      </c>
      <c r="E26" s="124">
        <f t="shared" si="0"/>
        <v>0.64796151846522443</v>
      </c>
      <c r="F26" s="125">
        <f t="shared" si="1"/>
        <v>65545.315785336206</v>
      </c>
      <c r="H26" s="120"/>
    </row>
    <row r="27" spans="2:8">
      <c r="B27" s="122">
        <v>7</v>
      </c>
      <c r="C27" s="123">
        <f t="shared" si="2"/>
        <v>103163.48056568242</v>
      </c>
      <c r="D27" s="138">
        <f>IF($C$17&lt;B27,0,DCF!$C$16)</f>
        <v>1.98435191985455E-2</v>
      </c>
      <c r="E27" s="124">
        <f t="shared" si="0"/>
        <v>0.60275490089788319</v>
      </c>
      <c r="F27" s="125">
        <f t="shared" si="1"/>
        <v>62182.293504648602</v>
      </c>
      <c r="H27" s="120"/>
    </row>
    <row r="28" spans="2:8">
      <c r="B28" s="122">
        <v>8</v>
      </c>
      <c r="C28" s="123">
        <f t="shared" si="2"/>
        <v>105210.6070728763</v>
      </c>
      <c r="D28" s="138">
        <f>IF($C$17&lt;B28,0,DCF!$C$16)</f>
        <v>1.98435191985455E-2</v>
      </c>
      <c r="E28" s="124">
        <f t="shared" si="0"/>
        <v>0.56070223339337966</v>
      </c>
      <c r="F28" s="125">
        <f t="shared" si="1"/>
        <v>58991.82236243505</v>
      </c>
      <c r="H28" s="120"/>
    </row>
    <row r="29" spans="2:8">
      <c r="B29" s="122">
        <v>9</v>
      </c>
      <c r="C29" s="123">
        <f t="shared" si="2"/>
        <v>107298.35577421756</v>
      </c>
      <c r="D29" s="138">
        <f>IF($C$17&lt;B29,0,DCF!$C$16)</f>
        <v>1.98435191985455E-2</v>
      </c>
      <c r="E29" s="124">
        <f t="shared" si="0"/>
        <v>0.52158347292407414</v>
      </c>
      <c r="F29" s="125">
        <f t="shared" si="1"/>
        <v>55965.049043759282</v>
      </c>
      <c r="H29" s="120"/>
    </row>
    <row r="30" spans="2:8">
      <c r="B30" s="122">
        <v>10</v>
      </c>
      <c r="C30" s="123">
        <f t="shared" si="2"/>
        <v>109427.53275699561</v>
      </c>
      <c r="D30" s="138">
        <f>IF($C$17&lt;B30,0,DCF!$C$16)</f>
        <v>1.98435191985455E-2</v>
      </c>
      <c r="E30" s="124">
        <f t="shared" si="0"/>
        <v>0.48519392830146441</v>
      </c>
      <c r="F30" s="125">
        <f t="shared" si="1"/>
        <v>53093.57448270388</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1222541.1331333423</v>
      </c>
      <c r="D51" s="139">
        <f>Terminal_Growth</f>
        <v>0</v>
      </c>
      <c r="E51" s="124">
        <f>1/(1+Equity_Cost)^C17</f>
        <v>0.48519392830146441</v>
      </c>
      <c r="F51" s="125">
        <f t="shared" si="1"/>
        <v>593169.53489508992</v>
      </c>
      <c r="H51" s="120"/>
    </row>
    <row r="52" spans="1:8">
      <c r="C52" s="114"/>
      <c r="E52" s="127" t="s">
        <v>101</v>
      </c>
      <c r="F52" s="137">
        <f>SUM(F21:F51)</f>
        <v>1273841.0823216592</v>
      </c>
      <c r="H52" s="120"/>
    </row>
    <row r="53" spans="1:8">
      <c r="C53" s="114"/>
      <c r="H53" s="120"/>
    </row>
    <row r="54" spans="1:8" ht="13.15">
      <c r="B54" s="119" t="s">
        <v>130</v>
      </c>
      <c r="C54" s="136"/>
      <c r="D54" s="136"/>
      <c r="E54" s="117"/>
      <c r="F54" s="117"/>
      <c r="H54" s="120"/>
    </row>
    <row r="55" spans="1:8" ht="13.15">
      <c r="A55" s="133">
        <f>F52</f>
        <v>1273841.0823216592</v>
      </c>
      <c r="B55" s="131">
        <f>C78</f>
        <v>0</v>
      </c>
      <c r="C55" s="131">
        <f>C77</f>
        <v>0</v>
      </c>
      <c r="D55" s="131">
        <f>C76</f>
        <v>0.02</v>
      </c>
      <c r="E55" s="131">
        <f>C75</f>
        <v>0.03</v>
      </c>
      <c r="F55" s="131">
        <f>C74</f>
        <v>0.04</v>
      </c>
      <c r="H55" s="120"/>
    </row>
    <row r="56" spans="1:8" ht="13.15">
      <c r="A56" s="143">
        <v>5</v>
      </c>
      <c r="B56" s="123">
        <f t="dataTable" ref="B56:F61" dt2D="1" dtr="1" r1="C16" r2="C17"/>
        <v>1198753.6422196308</v>
      </c>
      <c r="C56" s="123">
        <v>1198753.6422196308</v>
      </c>
      <c r="D56" s="123">
        <v>1236766.7235655249</v>
      </c>
      <c r="E56" s="123">
        <v>1256185.5299687099</v>
      </c>
      <c r="F56" s="123">
        <v>1275887.2001585364</v>
      </c>
      <c r="H56" s="120"/>
    </row>
    <row r="57" spans="1:8" ht="13.15">
      <c r="A57" s="143">
        <v>10</v>
      </c>
      <c r="B57" s="123">
        <v>1198753.642219631</v>
      </c>
      <c r="C57" s="123">
        <v>1198753.642219631</v>
      </c>
      <c r="D57" s="123">
        <v>1274461.5714570428</v>
      </c>
      <c r="E57" s="123">
        <v>1315088.6439278601</v>
      </c>
      <c r="F57" s="123">
        <v>1357709.2969660095</v>
      </c>
      <c r="H57" s="120"/>
    </row>
    <row r="58" spans="1:8" ht="13.15">
      <c r="A58" s="143">
        <v>15</v>
      </c>
      <c r="B58" s="123">
        <v>1198753.642219631</v>
      </c>
      <c r="C58" s="123">
        <v>1198753.642219631</v>
      </c>
      <c r="D58" s="123">
        <v>1322187.6631956201</v>
      </c>
      <c r="E58" s="123">
        <v>1391606.636241809</v>
      </c>
      <c r="F58" s="123">
        <v>1466817.627889662</v>
      </c>
      <c r="H58" s="120"/>
    </row>
    <row r="59" spans="1:8" ht="13.15">
      <c r="A59" s="144">
        <v>20</v>
      </c>
      <c r="B59" s="123">
        <v>1198753.642219631</v>
      </c>
      <c r="C59" s="123">
        <v>1198753.642219631</v>
      </c>
      <c r="D59" s="123">
        <v>1371942.8924623169</v>
      </c>
      <c r="E59" s="123">
        <v>1473562.967952199</v>
      </c>
      <c r="F59" s="123">
        <v>1586983.4089888346</v>
      </c>
      <c r="H59" s="120"/>
    </row>
    <row r="60" spans="1:8" ht="13.15">
      <c r="A60" s="144">
        <v>25</v>
      </c>
      <c r="B60" s="123">
        <v>1198753.642219631</v>
      </c>
      <c r="C60" s="123">
        <v>1198753.642219631</v>
      </c>
      <c r="D60" s="123">
        <v>1419298.3872991232</v>
      </c>
      <c r="E60" s="123">
        <v>1553791.0049023672</v>
      </c>
      <c r="F60" s="123">
        <v>1708114.802828433</v>
      </c>
      <c r="H60" s="120"/>
    </row>
    <row r="61" spans="1:8" ht="13.15">
      <c r="A61" s="144">
        <v>30</v>
      </c>
      <c r="B61" s="123">
        <v>1198753.6422196312</v>
      </c>
      <c r="C61" s="123">
        <v>1198753.6422196312</v>
      </c>
      <c r="D61" s="123">
        <v>1462049.7984249359</v>
      </c>
      <c r="E61" s="123">
        <v>1628360.6634412652</v>
      </c>
      <c r="F61" s="123">
        <v>1824209.7782913516</v>
      </c>
      <c r="H61" s="120"/>
    </row>
    <row r="62" spans="1:8">
      <c r="C62" s="114"/>
      <c r="D62" s="114"/>
      <c r="E62" s="114"/>
      <c r="F62" s="114"/>
      <c r="H62" s="120"/>
    </row>
    <row r="63" spans="1:8" ht="13.15">
      <c r="B63" s="119" t="s">
        <v>131</v>
      </c>
      <c r="C63" s="114"/>
      <c r="D63" s="114"/>
      <c r="E63" s="114"/>
      <c r="F63" s="114"/>
      <c r="H63" s="120"/>
    </row>
    <row r="64" spans="1:8" ht="13.15">
      <c r="B64" s="132">
        <f>B55</f>
        <v>0</v>
      </c>
      <c r="C64" s="132">
        <f>C55</f>
        <v>0</v>
      </c>
      <c r="D64" s="132">
        <f>D55</f>
        <v>0.02</v>
      </c>
      <c r="E64" s="132">
        <f>E55</f>
        <v>0.03</v>
      </c>
      <c r="F64" s="132">
        <f>F55</f>
        <v>0.04</v>
      </c>
      <c r="H64" s="120"/>
    </row>
    <row r="65" spans="1:8" ht="13.15">
      <c r="A65" s="143">
        <v>0</v>
      </c>
      <c r="B65" s="124">
        <f>C12</f>
        <v>27.754970671931527</v>
      </c>
      <c r="C65" s="124">
        <f>C12</f>
        <v>27.754970671931527</v>
      </c>
      <c r="D65" s="124">
        <f>C12</f>
        <v>27.754970671931527</v>
      </c>
      <c r="E65" s="141">
        <f>C12</f>
        <v>27.754970671931527</v>
      </c>
      <c r="F65" s="124">
        <f>C12</f>
        <v>27.754970671931527</v>
      </c>
      <c r="H65" s="120"/>
    </row>
    <row r="66" spans="1:8" ht="13.15">
      <c r="A66" s="143">
        <f t="shared" ref="A66:A71" si="3">A56</f>
        <v>5</v>
      </c>
      <c r="B66" s="124">
        <f t="shared" ref="B66:F71" si="4">(B56-$C$7+$C$8+$C$9)/Common_Shares*$C$3*Exchange_Rate</f>
        <v>27.754970671931527</v>
      </c>
      <c r="C66" s="124">
        <f t="shared" si="4"/>
        <v>27.754970671931527</v>
      </c>
      <c r="D66" s="124">
        <f t="shared" si="4"/>
        <v>28.624957904428221</v>
      </c>
      <c r="E66" s="124">
        <f t="shared" si="4"/>
        <v>29.069386849489806</v>
      </c>
      <c r="F66" s="124">
        <f t="shared" si="4"/>
        <v>29.520289562901674</v>
      </c>
      <c r="H66" s="120"/>
    </row>
    <row r="67" spans="1:8" ht="13.15">
      <c r="A67" s="143">
        <f t="shared" si="3"/>
        <v>10</v>
      </c>
      <c r="B67" s="124">
        <f t="shared" si="4"/>
        <v>27.754970671931531</v>
      </c>
      <c r="C67" s="124">
        <f t="shared" si="4"/>
        <v>27.754970671931531</v>
      </c>
      <c r="D67" s="124">
        <f t="shared" si="4"/>
        <v>29.487661879886598</v>
      </c>
      <c r="E67" s="124">
        <f t="shared" si="4"/>
        <v>30.417474278458347</v>
      </c>
      <c r="F67" s="124">
        <f t="shared" si="4"/>
        <v>31.392912803066839</v>
      </c>
      <c r="H67" s="120"/>
    </row>
    <row r="68" spans="1:8" ht="13.15">
      <c r="A68" s="143">
        <f t="shared" si="3"/>
        <v>15</v>
      </c>
      <c r="B68" s="124">
        <f t="shared" si="4"/>
        <v>27.754970671931531</v>
      </c>
      <c r="C68" s="124">
        <f t="shared" si="4"/>
        <v>27.754970671931531</v>
      </c>
      <c r="D68" s="124">
        <f t="shared" si="4"/>
        <v>30.579946140973284</v>
      </c>
      <c r="E68" s="124">
        <f t="shared" si="4"/>
        <v>32.168705013048772</v>
      </c>
      <c r="F68" s="124">
        <f t="shared" si="4"/>
        <v>33.890023047797229</v>
      </c>
      <c r="H68" s="120"/>
    </row>
    <row r="69" spans="1:8" ht="13.15">
      <c r="A69" s="144">
        <f t="shared" si="3"/>
        <v>20</v>
      </c>
      <c r="B69" s="124">
        <f t="shared" si="4"/>
        <v>27.754970671931531</v>
      </c>
      <c r="C69" s="124">
        <f t="shared" si="4"/>
        <v>27.754970671931531</v>
      </c>
      <c r="D69" s="124">
        <f t="shared" si="4"/>
        <v>31.718670303271367</v>
      </c>
      <c r="E69" s="124">
        <f t="shared" si="4"/>
        <v>34.044400423307977</v>
      </c>
      <c r="F69" s="124">
        <f t="shared" si="4"/>
        <v>36.640199872138368</v>
      </c>
      <c r="H69" s="120"/>
    </row>
    <row r="70" spans="1:8" ht="13.15">
      <c r="A70" s="144">
        <f t="shared" si="3"/>
        <v>25</v>
      </c>
      <c r="B70" s="124">
        <f t="shared" si="4"/>
        <v>27.754970671931531</v>
      </c>
      <c r="C70" s="124">
        <f t="shared" si="4"/>
        <v>27.754970671931531</v>
      </c>
      <c r="D70" s="124">
        <f t="shared" si="4"/>
        <v>32.80247289011519</v>
      </c>
      <c r="E70" s="124">
        <f t="shared" si="4"/>
        <v>35.880541177060849</v>
      </c>
      <c r="F70" s="124">
        <f t="shared" si="4"/>
        <v>39.412476213960417</v>
      </c>
    </row>
    <row r="71" spans="1:8" ht="13.15">
      <c r="A71" s="144">
        <f t="shared" si="3"/>
        <v>30</v>
      </c>
      <c r="B71" s="124">
        <f t="shared" si="4"/>
        <v>27.754970671931538</v>
      </c>
      <c r="C71" s="124">
        <f t="shared" si="4"/>
        <v>27.754970671931538</v>
      </c>
      <c r="D71" s="124">
        <f t="shared" si="4"/>
        <v>33.780904012608012</v>
      </c>
      <c r="E71" s="124">
        <f t="shared" si="4"/>
        <v>37.587181327333397</v>
      </c>
      <c r="F71" s="124">
        <f t="shared" si="4"/>
        <v>42.069486454480305</v>
      </c>
    </row>
    <row r="73" spans="1:8" ht="13.15">
      <c r="B73" s="171" t="s">
        <v>118</v>
      </c>
      <c r="C73" s="171" t="s">
        <v>133</v>
      </c>
      <c r="D73" s="171" t="s">
        <v>113</v>
      </c>
      <c r="E73" s="172" t="s">
        <v>114</v>
      </c>
      <c r="F73" s="172" t="s">
        <v>120</v>
      </c>
    </row>
    <row r="74" spans="1:8">
      <c r="B74" s="127" t="str">
        <f>Scenarios!B54</f>
        <v>Snowball Scenario</v>
      </c>
      <c r="C74" s="142">
        <f>Scenarios!C56</f>
        <v>0.04</v>
      </c>
      <c r="D74" s="145">
        <f>Scenarios!C55</f>
        <v>15</v>
      </c>
      <c r="E74" s="135">
        <f>INDEX(B$65:F$71, MATCH(D74, A$65:A$71, 0), MATCH(C74, B$64:F$64, 0))</f>
        <v>33.890023047797229</v>
      </c>
      <c r="F74" s="142">
        <f>Scenarios!C58</f>
        <v>0.05</v>
      </c>
    </row>
    <row r="75" spans="1:8">
      <c r="B75" s="127" t="str">
        <f>Scenarios!B36</f>
        <v>Optimistic</v>
      </c>
      <c r="C75" s="142">
        <f>Scenarios!C38</f>
        <v>0.03</v>
      </c>
      <c r="D75" s="145">
        <f>Scenarios!C37</f>
        <v>10</v>
      </c>
      <c r="E75" s="135">
        <f>INDEX(B$65:F$71, MATCH(D75, A$65:A$71, 0), MATCH(C75, B$64:F$64, 0))</f>
        <v>30.417474278458347</v>
      </c>
      <c r="F75" s="142">
        <f>Scenarios!C40*(1-F$74-F$78)</f>
        <v>0.18</v>
      </c>
      <c r="H75" s="120"/>
    </row>
    <row r="76" spans="1:8">
      <c r="B76" s="127" t="str">
        <f>Scenarios!B24</f>
        <v>Base</v>
      </c>
      <c r="C76" s="142">
        <f>Scenarios!C26</f>
        <v>0.02</v>
      </c>
      <c r="D76" s="145">
        <f>Scenarios!C25</f>
        <v>10</v>
      </c>
      <c r="E76" s="135">
        <f>INDEX(B$65:F$71, MATCH(D76, A$65:A$71, 0), MATCH(C76, B$64:F$64, 0))</f>
        <v>29.487661879886598</v>
      </c>
      <c r="F76" s="142">
        <f>Scenarios!C28*(1-F$74-F$78)</f>
        <v>0.53999999999999992</v>
      </c>
      <c r="H76" s="120"/>
    </row>
    <row r="77" spans="1:8">
      <c r="B77" s="127" t="str">
        <f>Scenarios!B30</f>
        <v>Pessimistic</v>
      </c>
      <c r="C77" s="142">
        <f>Scenarios!C32</f>
        <v>0</v>
      </c>
      <c r="D77" s="145">
        <f>Scenarios!C31</f>
        <v>10</v>
      </c>
      <c r="E77" s="135">
        <f>INDEX(B$65:F$71, MATCH(D77, A$65:A$71, 0), MATCH(C77, B$64:F$64, 0))</f>
        <v>27.754970671931531</v>
      </c>
      <c r="F77" s="142">
        <f>Scenarios!C34*(1-F$74-F$78)</f>
        <v>0.18</v>
      </c>
      <c r="H77" s="120"/>
    </row>
    <row r="78" spans="1:8">
      <c r="B78" s="127" t="str">
        <f>Scenarios!B48</f>
        <v>Devil's advocate</v>
      </c>
      <c r="C78" s="142">
        <f>Scenarios!C50</f>
        <v>0</v>
      </c>
      <c r="D78" s="145">
        <f>Scenarios!C49</f>
        <v>15</v>
      </c>
      <c r="E78" s="135">
        <f>INDEX(B$65:F$71, MATCH(D78, A$65:A$71, 0), MATCH(C78, B$64:F$64, 0))</f>
        <v>27.754970671931531</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114">
        <f>Normalized_FCF!C91</f>
        <v>66541.935577600001</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38">
        <f>(C4*(1+Terminal_Growth))/(Equity_Cost-Terminal_Growth)</f>
        <v>887225.80770133343</v>
      </c>
      <c r="D6" t="str">
        <f>Reporting_currency</f>
        <v>CNY</v>
      </c>
      <c r="E6" s="356"/>
      <c r="F6" s="356"/>
      <c r="H6" s="120"/>
    </row>
    <row r="7" spans="2:8" ht="13.15">
      <c r="B7" s="149" t="s">
        <v>445</v>
      </c>
      <c r="C7" s="111">
        <f>(C6*scaling_factor)/Common_Shares*Exchange_Rate</f>
        <v>20.3055132</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1.98435191985455E-2</v>
      </c>
      <c r="H11" s="120"/>
    </row>
    <row r="12" spans="2:8" ht="13.25" customHeight="1">
      <c r="B12" s="118" t="s">
        <v>135</v>
      </c>
      <c r="C12" s="162">
        <f>Scenarios!C64</f>
        <v>10</v>
      </c>
      <c r="H12" s="120"/>
    </row>
    <row r="13" spans="2:8" ht="13.25" customHeight="1">
      <c r="B13" s="153" t="s">
        <v>107</v>
      </c>
      <c r="C13" s="140">
        <f>F47/Common_Shares*scaling_factor</f>
        <v>19.835907923479517</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904831.4900498999</v>
      </c>
      <c r="D46" s="139">
        <f>Terminal_Growth</f>
        <v>0</v>
      </c>
      <c r="E46" s="124">
        <f>1/(1+Equity_Cost)^C12</f>
        <v>0.48519392830146441</v>
      </c>
      <c r="F46" s="125">
        <f t="shared" si="1"/>
        <v>439018.74510817835</v>
      </c>
      <c r="H46" s="120"/>
    </row>
    <row r="47" spans="2:8">
      <c r="C47" s="114"/>
      <c r="E47" s="127" t="s">
        <v>101</v>
      </c>
      <c r="F47" s="137">
        <f>SUM(F16:F46)</f>
        <v>942799.79083384247</v>
      </c>
      <c r="H47" s="120"/>
    </row>
    <row r="48" spans="2:8">
      <c r="C48" s="114"/>
      <c r="H48" s="120"/>
    </row>
    <row r="49" spans="1:8" ht="13.15">
      <c r="B49" s="119" t="s">
        <v>130</v>
      </c>
      <c r="C49" s="136"/>
      <c r="D49" s="136"/>
      <c r="E49" s="117"/>
      <c r="F49" s="117"/>
      <c r="H49" s="120"/>
    </row>
    <row r="50" spans="1:8" ht="13.15">
      <c r="A50" s="133">
        <f>F47</f>
        <v>942799.79083384247</v>
      </c>
      <c r="B50" s="131">
        <f>C73</f>
        <v>0</v>
      </c>
      <c r="C50" s="131">
        <f>C72</f>
        <v>0</v>
      </c>
      <c r="D50" s="131">
        <f>C71</f>
        <v>0.02</v>
      </c>
      <c r="E50" s="131">
        <f>C70</f>
        <v>0.03</v>
      </c>
      <c r="F50" s="131">
        <f>C69</f>
        <v>0.04</v>
      </c>
      <c r="H50" s="120"/>
    </row>
    <row r="51" spans="1:8" ht="13.15">
      <c r="A51" s="143">
        <v>5</v>
      </c>
      <c r="B51" s="123">
        <f t="dataTable" ref="B51:F56" dt2D="1" dtr="1" r1="C11" r2="C12"/>
        <v>887225.80770133354</v>
      </c>
      <c r="C51" s="123">
        <v>887225.80770133354</v>
      </c>
      <c r="D51" s="123">
        <v>915360.184617911</v>
      </c>
      <c r="E51" s="123">
        <v>929732.50065422419</v>
      </c>
      <c r="F51" s="123">
        <v>944314.17084199353</v>
      </c>
      <c r="H51" s="120"/>
    </row>
    <row r="52" spans="1:8" ht="13.15">
      <c r="A52" s="143">
        <v>10</v>
      </c>
      <c r="B52" s="123">
        <v>887225.80770133354</v>
      </c>
      <c r="C52" s="123">
        <v>887225.80770133354</v>
      </c>
      <c r="D52" s="123">
        <v>943259.02945879591</v>
      </c>
      <c r="E52" s="123">
        <v>973328.08278047689</v>
      </c>
      <c r="F52" s="123">
        <v>1004872.6320395834</v>
      </c>
      <c r="H52" s="120"/>
    </row>
    <row r="53" spans="1:8" ht="13.15">
      <c r="A53" s="143">
        <v>15</v>
      </c>
      <c r="B53" s="123">
        <v>887225.80770133354</v>
      </c>
      <c r="C53" s="123">
        <v>887225.80770133354</v>
      </c>
      <c r="D53" s="123">
        <v>978582.23416062468</v>
      </c>
      <c r="E53" s="123">
        <v>1029960.8513022257</v>
      </c>
      <c r="F53" s="123">
        <v>1085626.2778441031</v>
      </c>
      <c r="H53" s="120"/>
    </row>
    <row r="54" spans="1:8" ht="13.15">
      <c r="A54" s="144">
        <v>20</v>
      </c>
      <c r="B54" s="123">
        <v>887225.80770133354</v>
      </c>
      <c r="C54" s="123">
        <v>887225.80770133354</v>
      </c>
      <c r="D54" s="123">
        <v>1015407.2513441156</v>
      </c>
      <c r="E54" s="123">
        <v>1090618.6629134184</v>
      </c>
      <c r="F54" s="123">
        <v>1174563.8029859385</v>
      </c>
      <c r="H54" s="120"/>
    </row>
    <row r="55" spans="1:8" ht="13.15">
      <c r="A55" s="144">
        <v>25</v>
      </c>
      <c r="B55" s="123">
        <v>887225.80770133354</v>
      </c>
      <c r="C55" s="123">
        <v>887225.80770133354</v>
      </c>
      <c r="D55" s="123">
        <v>1050456.1685493938</v>
      </c>
      <c r="E55" s="123">
        <v>1149997.322861935</v>
      </c>
      <c r="F55" s="123">
        <v>1264216.0008623353</v>
      </c>
      <c r="H55" s="120"/>
    </row>
    <row r="56" spans="1:8" ht="13.15">
      <c r="A56" s="144">
        <v>30</v>
      </c>
      <c r="B56" s="123">
        <v>887225.80770133354</v>
      </c>
      <c r="C56" s="123">
        <v>887225.80770133354</v>
      </c>
      <c r="D56" s="123">
        <v>1082097.4949492363</v>
      </c>
      <c r="E56" s="123">
        <v>1205188.0836630308</v>
      </c>
      <c r="F56" s="123">
        <v>1350140.6268634161</v>
      </c>
      <c r="H56" s="120"/>
    </row>
    <row r="57" spans="1:8">
      <c r="C57" s="114"/>
      <c r="D57" s="114"/>
      <c r="E57" s="114"/>
      <c r="F57" s="114"/>
      <c r="H57" s="120"/>
    </row>
    <row r="58" spans="1:8" ht="13.15">
      <c r="B58" s="119" t="s">
        <v>131</v>
      </c>
      <c r="C58" s="114"/>
      <c r="D58" s="114"/>
      <c r="E58" s="114"/>
      <c r="F58" s="114"/>
      <c r="H58" s="120"/>
    </row>
    <row r="59" spans="1:8" ht="13.15">
      <c r="B59" s="132">
        <f>B50</f>
        <v>0</v>
      </c>
      <c r="C59" s="132">
        <f>C50</f>
        <v>0</v>
      </c>
      <c r="D59" s="132">
        <f>D50</f>
        <v>0.02</v>
      </c>
      <c r="E59" s="132">
        <f>E50</f>
        <v>0.03</v>
      </c>
      <c r="F59" s="132">
        <f>F50</f>
        <v>0.04</v>
      </c>
      <c r="H59" s="120"/>
    </row>
    <row r="60" spans="1:8" ht="13.15">
      <c r="A60" s="143">
        <v>0</v>
      </c>
      <c r="B60" s="124">
        <f>C7</f>
        <v>20.3055132</v>
      </c>
      <c r="C60" s="124">
        <f>C7</f>
        <v>20.3055132</v>
      </c>
      <c r="D60" s="124">
        <f>C7</f>
        <v>20.3055132</v>
      </c>
      <c r="E60" s="141">
        <f>C7</f>
        <v>20.3055132</v>
      </c>
      <c r="F60" s="124">
        <f>C7</f>
        <v>20.3055132</v>
      </c>
      <c r="H60" s="120"/>
    </row>
    <row r="61" spans="1:8" ht="13.15">
      <c r="A61" s="143">
        <f t="shared" ref="A61:A66" si="3">A51</f>
        <v>5</v>
      </c>
      <c r="B61" s="124">
        <f t="shared" ref="B61:F66" si="4">B51/Common_Shares*$C$3*Exchange_Rate</f>
        <v>20.305513200000004</v>
      </c>
      <c r="C61" s="124">
        <f t="shared" si="4"/>
        <v>20.305513200000004</v>
      </c>
      <c r="D61" s="124">
        <f t="shared" si="4"/>
        <v>20.949411243648491</v>
      </c>
      <c r="E61" s="124">
        <f t="shared" si="4"/>
        <v>21.278343574580155</v>
      </c>
      <c r="F61" s="124">
        <f t="shared" si="4"/>
        <v>21.612067293959914</v>
      </c>
      <c r="H61" s="120"/>
    </row>
    <row r="62" spans="1:8" ht="13.15">
      <c r="A62" s="143">
        <f t="shared" si="3"/>
        <v>10</v>
      </c>
      <c r="B62" s="124">
        <f t="shared" si="4"/>
        <v>20.305513200000004</v>
      </c>
      <c r="C62" s="124">
        <f t="shared" si="4"/>
        <v>20.305513200000004</v>
      </c>
      <c r="D62" s="124">
        <f t="shared" si="4"/>
        <v>21.587918777203061</v>
      </c>
      <c r="E62" s="124">
        <f t="shared" si="4"/>
        <v>22.276094835468076</v>
      </c>
      <c r="F62" s="124">
        <f t="shared" si="4"/>
        <v>22.998039864353508</v>
      </c>
      <c r="H62" s="120"/>
    </row>
    <row r="63" spans="1:8" ht="13.15">
      <c r="A63" s="143">
        <f t="shared" si="3"/>
        <v>15</v>
      </c>
      <c r="B63" s="124">
        <f t="shared" si="4"/>
        <v>20.305513200000004</v>
      </c>
      <c r="C63" s="124">
        <f t="shared" si="4"/>
        <v>20.305513200000004</v>
      </c>
      <c r="D63" s="124">
        <f t="shared" si="4"/>
        <v>22.396344088001431</v>
      </c>
      <c r="E63" s="124">
        <f t="shared" si="4"/>
        <v>23.572221953039513</v>
      </c>
      <c r="F63" s="124">
        <f t="shared" si="4"/>
        <v>24.846209976852965</v>
      </c>
      <c r="H63" s="120"/>
    </row>
    <row r="64" spans="1:8" ht="13.15">
      <c r="A64" s="144">
        <f t="shared" si="3"/>
        <v>20</v>
      </c>
      <c r="B64" s="124">
        <f t="shared" si="4"/>
        <v>20.305513200000004</v>
      </c>
      <c r="C64" s="124">
        <f t="shared" si="4"/>
        <v>20.305513200000004</v>
      </c>
      <c r="D64" s="124">
        <f t="shared" si="4"/>
        <v>23.239140663595769</v>
      </c>
      <c r="E64" s="124">
        <f t="shared" si="4"/>
        <v>24.960468308885833</v>
      </c>
      <c r="F64" s="124">
        <f t="shared" si="4"/>
        <v>26.88168062600117</v>
      </c>
      <c r="H64" s="120"/>
    </row>
    <row r="65" spans="1:8" ht="13.15">
      <c r="A65" s="144">
        <f t="shared" si="3"/>
        <v>25</v>
      </c>
      <c r="B65" s="124">
        <f t="shared" si="4"/>
        <v>20.305513200000004</v>
      </c>
      <c r="C65" s="124">
        <f t="shared" si="4"/>
        <v>20.305513200000004</v>
      </c>
      <c r="D65" s="124">
        <f t="shared" si="4"/>
        <v>24.041288487497951</v>
      </c>
      <c r="E65" s="124">
        <f t="shared" si="4"/>
        <v>26.319439331726947</v>
      </c>
      <c r="F65" s="124">
        <f t="shared" si="4"/>
        <v>28.933507648599459</v>
      </c>
    </row>
    <row r="66" spans="1:8" ht="13.15">
      <c r="A66" s="144">
        <f t="shared" si="3"/>
        <v>30</v>
      </c>
      <c r="B66" s="124">
        <f t="shared" si="4"/>
        <v>20.305513200000004</v>
      </c>
      <c r="C66" s="124">
        <f t="shared" si="4"/>
        <v>20.305513200000004</v>
      </c>
      <c r="D66" s="124">
        <f t="shared" si="4"/>
        <v>24.765448408569355</v>
      </c>
      <c r="E66" s="124">
        <f t="shared" si="4"/>
        <v>27.582563907496667</v>
      </c>
      <c r="F66" s="124">
        <f t="shared" si="4"/>
        <v>30.900023514487504</v>
      </c>
    </row>
    <row r="68" spans="1:8" ht="13.15">
      <c r="B68" s="171" t="s">
        <v>118</v>
      </c>
      <c r="C68" s="171" t="s">
        <v>133</v>
      </c>
      <c r="D68" s="171" t="s">
        <v>113</v>
      </c>
      <c r="E68" s="172" t="s">
        <v>114</v>
      </c>
      <c r="F68" s="172" t="s">
        <v>120</v>
      </c>
    </row>
    <row r="69" spans="1:8">
      <c r="B69" s="127" t="str">
        <f>Scenarios!B54</f>
        <v>Snowball Scenario</v>
      </c>
      <c r="C69" s="142">
        <f>Scenarios!C56</f>
        <v>0.04</v>
      </c>
      <c r="D69" s="145">
        <f>Scenarios!C55</f>
        <v>15</v>
      </c>
      <c r="E69" s="135">
        <f>INDEX(B$60:F$66, MATCH(D69, A$60:A$66, 0), MATCH(C69, B$59:F$59, 0))</f>
        <v>24.846209976852965</v>
      </c>
      <c r="F69" s="142">
        <f>Scenarios!C58</f>
        <v>0.05</v>
      </c>
    </row>
    <row r="70" spans="1:8">
      <c r="B70" s="127" t="str">
        <f>Scenarios!B36</f>
        <v>Optimistic</v>
      </c>
      <c r="C70" s="142">
        <f>Scenarios!C38</f>
        <v>0.03</v>
      </c>
      <c r="D70" s="145">
        <f>Scenarios!C37</f>
        <v>10</v>
      </c>
      <c r="E70" s="135">
        <f>INDEX(B$60:F$66, MATCH(D70, A$60:A$66, 0), MATCH(C70, B$59:F$59, 0))</f>
        <v>22.276094835468076</v>
      </c>
      <c r="F70" s="142">
        <f>Scenarios!C40*(1-F$69-F$73)</f>
        <v>0.18</v>
      </c>
      <c r="H70" s="120"/>
    </row>
    <row r="71" spans="1:8">
      <c r="B71" s="127" t="str">
        <f>Scenarios!B24</f>
        <v>Base</v>
      </c>
      <c r="C71" s="142">
        <f>Scenarios!C26</f>
        <v>0.02</v>
      </c>
      <c r="D71" s="145">
        <f>Scenarios!C25</f>
        <v>10</v>
      </c>
      <c r="E71" s="135">
        <f>INDEX(B$60:F$66, MATCH(D71, A$60:A$66, 0), MATCH(C71, B$59:F$59, 0))</f>
        <v>21.587918777203061</v>
      </c>
      <c r="F71" s="142">
        <f>Scenarios!C28*(1-F$69-F$73)</f>
        <v>0.53999999999999992</v>
      </c>
      <c r="H71" s="120"/>
    </row>
    <row r="72" spans="1:8">
      <c r="B72" s="127" t="str">
        <f>Scenarios!B30</f>
        <v>Pessimistic</v>
      </c>
      <c r="C72" s="142">
        <f>Scenarios!C32</f>
        <v>0</v>
      </c>
      <c r="D72" s="145">
        <f>Scenarios!C31</f>
        <v>10</v>
      </c>
      <c r="E72" s="135">
        <f>INDEX(B$60:F$66, MATCH(D72, A$60:A$66, 0), MATCH(C72, B$59:F$59, 0))</f>
        <v>20.305513200000004</v>
      </c>
      <c r="F72" s="142">
        <f>Scenarios!C34*(1-F$69-F$73)</f>
        <v>0.18</v>
      </c>
      <c r="H72" s="120"/>
    </row>
    <row r="73" spans="1:8">
      <c r="B73" s="127" t="str">
        <f>Scenarios!B48</f>
        <v>Devil's advocate</v>
      </c>
      <c r="C73" s="142">
        <f>Scenarios!C50</f>
        <v>0</v>
      </c>
      <c r="D73" s="145">
        <f>Scenarios!C49</f>
        <v>15</v>
      </c>
      <c r="E73" s="135">
        <f>INDEX(B$60:F$66, MATCH(D73, A$60:A$66, 0), MATCH(C73, B$59:F$59, 0))</f>
        <v>20.305513200000004</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-17.86</v>
      </c>
    </row>
    <row r="4" spans="2:9">
      <c r="B4" s="152" t="s">
        <v>147</v>
      </c>
      <c r="C4" s="120">
        <v>3</v>
      </c>
      <c r="D4" s="120"/>
      <c r="E4" s="155" t="s">
        <v>151</v>
      </c>
      <c r="F4" s="155"/>
      <c r="H4" s="247">
        <v>1</v>
      </c>
      <c r="I4" s="124">
        <f t="shared" ref="I4:I13" si="0">IF(ROW()-3 &lt; $C$76, $C$77, IF(ROW()-3 = $C$76, $C$77 + $C$60, ""))</f>
        <v>1.4</v>
      </c>
    </row>
    <row r="5" spans="2:9">
      <c r="H5" s="247">
        <v>2</v>
      </c>
      <c r="I5" s="124">
        <f t="shared" si="0"/>
        <v>1.4</v>
      </c>
    </row>
    <row r="6" spans="2:9" ht="13.15">
      <c r="B6" s="159" t="s">
        <v>96</v>
      </c>
      <c r="C6" s="107">
        <f>DCF!C3</f>
        <v>1000000</v>
      </c>
      <c r="E6" s="100" t="s">
        <v>280</v>
      </c>
      <c r="F6" s="100"/>
      <c r="H6" s="247">
        <v>3</v>
      </c>
      <c r="I6" s="124">
        <f t="shared" si="0"/>
        <v>30.876627192195372</v>
      </c>
    </row>
    <row r="7" spans="2:9" ht="12.75" customHeight="1">
      <c r="B7" s="100" t="s">
        <v>276</v>
      </c>
      <c r="C7" s="114">
        <f>Normalized_FCF!G8</f>
        <v>192781</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8"/>
      <c r="H7" s="247">
        <v>4</v>
      </c>
      <c r="I7" s="124" t="str">
        <f t="shared" si="0"/>
        <v/>
      </c>
    </row>
    <row r="8" spans="2:9">
      <c r="B8" s="100" t="s">
        <v>66</v>
      </c>
      <c r="C8" s="114">
        <f>Normalized_FCF!G19</f>
        <v>141358.4276163358</v>
      </c>
      <c r="D8" t="str">
        <f>Reporting_currency</f>
        <v>CNY</v>
      </c>
      <c r="E8" s="358"/>
      <c r="F8" s="358"/>
      <c r="H8" s="247">
        <v>5</v>
      </c>
      <c r="I8" s="124" t="str">
        <f t="shared" si="0"/>
        <v/>
      </c>
    </row>
    <row r="9" spans="2:9">
      <c r="B9" s="100" t="s">
        <v>57</v>
      </c>
      <c r="C9" s="114">
        <f>Normalized_FCF!C19</f>
        <v>89906.523166472296</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0.19549305441006948</v>
      </c>
      <c r="D12" s="158"/>
      <c r="E12" s="358"/>
      <c r="F12" s="358"/>
      <c r="H12" s="247">
        <v>9</v>
      </c>
      <c r="I12" s="124" t="str">
        <f t="shared" si="0"/>
        <v/>
      </c>
    </row>
    <row r="13" spans="2:9">
      <c r="B13" s="148" t="s">
        <v>153</v>
      </c>
      <c r="C13" s="158">
        <f ca="1">(Normalized_FCF!G8/OFFSET(Normalized_FCF!G8, 0, $C$4))^(1/$C$4) - 1</f>
        <v>0.22866289579809873</v>
      </c>
      <c r="E13" s="358"/>
      <c r="F13" s="358"/>
      <c r="H13" s="247">
        <v>10</v>
      </c>
      <c r="I13" s="124" t="str">
        <f t="shared" si="0"/>
        <v/>
      </c>
    </row>
    <row r="14" spans="2:9">
      <c r="B14" s="100" t="s">
        <v>66</v>
      </c>
      <c r="C14" s="158">
        <f ca="1">(Normalized_FCF!G19/OFFSET(Normalized_FCF!G19, 0, $C$4))^(1/$C$4) - 1</f>
        <v>0.22962169479662209</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17.86</v>
      </c>
      <c r="D21" t="str">
        <f>Market_currency</f>
        <v>HKD</v>
      </c>
      <c r="E21" s="359"/>
      <c r="F21" s="359"/>
    </row>
    <row r="22" spans="2:6">
      <c r="B22" s="100" t="s">
        <v>279</v>
      </c>
      <c r="C22" s="160">
        <f>IF(valuation_method="DCF",DCF!C12,DDM!C7)</f>
        <v>27.754970671931527</v>
      </c>
      <c r="D22" t="str">
        <f>Market_currency</f>
        <v>HKD</v>
      </c>
      <c r="E22" s="359"/>
      <c r="F22" s="359"/>
    </row>
    <row r="24" spans="2:6" ht="13.15">
      <c r="B24" s="159" t="s">
        <v>116</v>
      </c>
      <c r="E24" s="159" t="s">
        <v>150</v>
      </c>
      <c r="F24" s="159"/>
    </row>
    <row r="25" spans="2:6">
      <c r="B25" s="152" t="s">
        <v>134</v>
      </c>
      <c r="C25" s="166">
        <f>C18</f>
        <v>10</v>
      </c>
      <c r="D25" s="163"/>
      <c r="E25" s="357"/>
      <c r="F25" s="357"/>
    </row>
    <row r="26" spans="2:6">
      <c r="B26" s="118" t="s">
        <v>135</v>
      </c>
      <c r="C26" s="164">
        <v>0.02</v>
      </c>
      <c r="D26" s="164"/>
      <c r="E26" s="357"/>
      <c r="F26" s="357"/>
    </row>
    <row r="27" spans="2:6">
      <c r="B27" s="100" t="s">
        <v>114</v>
      </c>
      <c r="C27" s="160">
        <f>IF(valuation_method="DCF",DCF!E76,DDM!E71)</f>
        <v>29.487661879886598</v>
      </c>
      <c r="D27" s="160" t="str">
        <f>Market_currency</f>
        <v>HKD</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v>
      </c>
      <c r="D32" s="164"/>
      <c r="E32" s="357"/>
      <c r="F32" s="357"/>
    </row>
    <row r="33" spans="2:6">
      <c r="B33" s="100" t="s">
        <v>114</v>
      </c>
      <c r="C33" s="160">
        <f>IF(valuation_method="DCF",DCF!E77,DDM!E72)</f>
        <v>27.754970671931531</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0.03</v>
      </c>
      <c r="D38" s="164"/>
      <c r="E38" s="357"/>
      <c r="F38" s="357"/>
    </row>
    <row r="39" spans="2:6">
      <c r="B39" s="100" t="s">
        <v>114</v>
      </c>
      <c r="C39" s="160">
        <f>IF(valuation_method="DCF",DCF!E75,DDM!E70)</f>
        <v>30.417474278458347</v>
      </c>
      <c r="D39" t="str">
        <f>Market_currency</f>
        <v>HKD</v>
      </c>
      <c r="E39" s="357"/>
      <c r="F39" s="357"/>
    </row>
    <row r="40" spans="2:6">
      <c r="B40" s="100" t="s">
        <v>148</v>
      </c>
      <c r="C40" s="167">
        <f>1-C28-C34</f>
        <v>0.2</v>
      </c>
      <c r="D40" s="165"/>
      <c r="E40" s="357"/>
      <c r="F40" s="357"/>
    </row>
    <row r="42" spans="2:6" ht="13.15">
      <c r="B42" s="100" t="s">
        <v>121</v>
      </c>
      <c r="C42" s="154">
        <f>C27*C28+C33*C34+C39*C40</f>
        <v>29.327086118009934</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27.754970671931531</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0.04</v>
      </c>
      <c r="D56" s="164"/>
      <c r="E56" s="357"/>
      <c r="F56" s="357"/>
    </row>
    <row r="57" spans="2:6">
      <c r="B57" s="100" t="s">
        <v>114</v>
      </c>
      <c r="C57" s="160">
        <f>IF(valuation_method="DCF",DCF!E74,DDM!E69)</f>
        <v>33.890023047797229</v>
      </c>
      <c r="D57" t="str">
        <f>Market_currency</f>
        <v>HKD</v>
      </c>
      <c r="E57" s="357"/>
      <c r="F57" s="357"/>
    </row>
    <row r="58" spans="2:6">
      <c r="B58" s="100" t="s">
        <v>148</v>
      </c>
      <c r="C58" s="165">
        <v>0.05</v>
      </c>
      <c r="D58" s="165"/>
      <c r="E58" s="357"/>
      <c r="F58" s="357"/>
    </row>
    <row r="60" spans="2:6" ht="13.15">
      <c r="B60" s="100" t="s">
        <v>121</v>
      </c>
      <c r="C60" s="154">
        <f>C51*C52+C57*C58+C42*(1-C52-C58)</f>
        <v>29.476627192195373</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1.98435191985455E-2</v>
      </c>
      <c r="D65" s="151"/>
      <c r="E65" s="251" t="s">
        <v>313</v>
      </c>
    </row>
    <row r="66" spans="2:6">
      <c r="B66" s="100" t="s">
        <v>103</v>
      </c>
      <c r="C66" s="160">
        <f>IF(valuation_method="DCF",DCF!C18,DDM!C13)</f>
        <v>29.473461041475876</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1.0844821210139103E-2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1.4</v>
      </c>
      <c r="D77" t="str">
        <f>Market_currency</f>
        <v>HKD</v>
      </c>
    </row>
    <row r="79" spans="2:6" ht="13.15">
      <c r="B79" s="109" t="s">
        <v>302</v>
      </c>
    </row>
    <row r="80" spans="2:6">
      <c r="B80" s="148" t="s">
        <v>300</v>
      </c>
      <c r="C80" s="167">
        <f>Thesis!F29</f>
        <v>0.3674</v>
      </c>
    </row>
    <row r="81" spans="2:8">
      <c r="B81" s="100" t="s">
        <v>122</v>
      </c>
      <c r="C81" s="116">
        <f>PV(C80, C76, -C77, 0)</f>
        <v>2.3201630471108023</v>
      </c>
      <c r="D81" s="116"/>
      <c r="E81" s="100"/>
      <c r="F81" s="100"/>
    </row>
    <row r="82" spans="2:8">
      <c r="B82" s="100" t="s">
        <v>123</v>
      </c>
      <c r="C82" s="116">
        <f>C60/(1+C80)^C76</f>
        <v>11.528984677948941</v>
      </c>
      <c r="D82" s="116"/>
    </row>
    <row r="83" spans="2:8" ht="13.15">
      <c r="B83" s="110" t="s">
        <v>102</v>
      </c>
      <c r="C83" s="111">
        <f>C81+C82</f>
        <v>13.849147725059744</v>
      </c>
      <c r="D83" t="str">
        <f>Market_currency</f>
        <v>HKD</v>
      </c>
      <c r="E83" s="146" t="s">
        <v>127</v>
      </c>
      <c r="F83" s="291">
        <f>(1-C83/C60)</f>
        <v>0.53016511574544634</v>
      </c>
    </row>
    <row r="84" spans="2:8">
      <c r="E84" s="120"/>
    </row>
    <row r="85" spans="2:8" ht="13.15">
      <c r="B85" s="109" t="s">
        <v>303</v>
      </c>
    </row>
    <row r="86" spans="2:8">
      <c r="B86" s="148" t="s">
        <v>301</v>
      </c>
      <c r="C86" s="116">
        <f>Market_Price</f>
        <v>17.86</v>
      </c>
      <c r="D86" t="str">
        <f>Market_currency</f>
        <v>HKD</v>
      </c>
    </row>
    <row r="87" spans="2:8" ht="13.15">
      <c r="B87" s="100" t="s">
        <v>299</v>
      </c>
      <c r="C87" s="237">
        <f ca="1">IRR(OFFSET($I$3, 0, 0, $C$76 + 1, 1))</f>
        <v>0.24912793382512621</v>
      </c>
    </row>
    <row r="88" spans="2:8">
      <c r="B88" s="100"/>
    </row>
    <row r="89" spans="2:8" ht="13.15">
      <c r="B89" s="109" t="s">
        <v>413</v>
      </c>
    </row>
    <row r="90" spans="2:8">
      <c r="B90" s="148" t="s">
        <v>414</v>
      </c>
      <c r="C90" s="167">
        <f>Thesis!F30</f>
        <v>0.21740000000000001</v>
      </c>
    </row>
    <row r="91" spans="2:8">
      <c r="B91" s="100" t="s">
        <v>122</v>
      </c>
      <c r="C91" s="116">
        <f>PV(C90, C76, -C77, 0)</f>
        <v>2.870561153410911</v>
      </c>
      <c r="D91" s="116"/>
      <c r="E91" s="100"/>
      <c r="F91" s="100"/>
    </row>
    <row r="92" spans="2:8">
      <c r="B92" s="100" t="s">
        <v>123</v>
      </c>
      <c r="C92" s="116">
        <f>C60/(1+C90)^C76</f>
        <v>16.337210184442291</v>
      </c>
      <c r="D92" s="116"/>
    </row>
    <row r="93" spans="2:8" ht="13.15">
      <c r="B93" s="110" t="s">
        <v>102</v>
      </c>
      <c r="C93" s="111">
        <f>C91+C92</f>
        <v>19.207771337853202</v>
      </c>
      <c r="D93" t="str">
        <f>Market_currency</f>
        <v>HKD</v>
      </c>
      <c r="E93" s="146" t="s">
        <v>127</v>
      </c>
      <c r="F93" s="291">
        <f>(1-C93/C60)</f>
        <v>0.3483728239118582</v>
      </c>
    </row>
    <row r="95" spans="2:8" ht="13.15">
      <c r="B95" s="109" t="s">
        <v>398</v>
      </c>
      <c r="G95" s="2"/>
      <c r="H95" s="281"/>
    </row>
    <row r="96" spans="2:8">
      <c r="B96" s="148" t="s">
        <v>404</v>
      </c>
      <c r="C96" s="134">
        <f>Thesis!F31</f>
        <v>7.4999999999999997E-2</v>
      </c>
      <c r="G96" s="2"/>
      <c r="H96" s="281"/>
    </row>
    <row r="97" spans="2:8">
      <c r="B97" s="100" t="s">
        <v>122</v>
      </c>
      <c r="C97" s="116">
        <f>PV(C96, C76, -C77, 0)</f>
        <v>3.6407360358207437</v>
      </c>
      <c r="D97" s="116"/>
      <c r="G97" s="2"/>
      <c r="H97" s="281"/>
    </row>
    <row r="98" spans="2:8">
      <c r="B98" s="100" t="s">
        <v>123</v>
      </c>
      <c r="C98" s="116">
        <f>C60/(1+C96)^C76</f>
        <v>23.727522611851839</v>
      </c>
      <c r="D98" s="116"/>
      <c r="G98" s="2"/>
      <c r="H98" s="281"/>
    </row>
    <row r="99" spans="2:8" ht="13.15">
      <c r="B99" s="110" t="s">
        <v>399</v>
      </c>
      <c r="C99" s="111">
        <f>C97+C98</f>
        <v>27.368258647672583</v>
      </c>
      <c r="D99" t="s">
        <v>397</v>
      </c>
      <c r="E99" s="146" t="s">
        <v>127</v>
      </c>
      <c r="F99" s="291">
        <f>(1-C99/C60)</f>
        <v>7.1526790727299727E-2</v>
      </c>
    </row>
    <row r="100" spans="2:8">
      <c r="B100" s="100"/>
    </row>
    <row r="101" spans="2:8" ht="13.15">
      <c r="B101" s="109" t="s">
        <v>423</v>
      </c>
    </row>
    <row r="102" spans="2:8">
      <c r="B102" s="148" t="s">
        <v>422</v>
      </c>
      <c r="C102" s="134">
        <f>Thesis!F32</f>
        <v>0.1174</v>
      </c>
    </row>
    <row r="103" spans="2:8">
      <c r="B103" s="100" t="s">
        <v>122</v>
      </c>
      <c r="C103" s="116">
        <f>PV(C102, C76, -C77, 0)</f>
        <v>3.3776443763141084</v>
      </c>
      <c r="D103" s="116"/>
    </row>
    <row r="104" spans="2:8">
      <c r="B104" s="100" t="s">
        <v>123</v>
      </c>
      <c r="C104" s="116">
        <f>C60/(1+C102)^C76</f>
        <v>21.127678891028772</v>
      </c>
      <c r="D104" s="116"/>
    </row>
    <row r="105" spans="2:8" ht="13.15">
      <c r="B105" s="110" t="s">
        <v>399</v>
      </c>
      <c r="C105" s="111">
        <f>C103+C104</f>
        <v>24.505323267342881</v>
      </c>
      <c r="D105" t="s">
        <v>397</v>
      </c>
      <c r="E105" s="146" t="s">
        <v>127</v>
      </c>
      <c r="F105" s="291">
        <f>(1-C105/C66)</f>
        <v>0.16856309366387923</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