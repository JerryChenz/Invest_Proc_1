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8549D1-9C0C-4D83-BBFA-86DA792A405C}"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92" i="2"/>
  <c r="Q94" i="2"/>
  <c r="N94" i="2"/>
  <c r="O94" i="2"/>
  <c r="M94" i="2"/>
  <c r="K94" i="2"/>
  <c r="I94" i="2"/>
  <c r="P94" i="2"/>
  <c r="J94" i="2"/>
  <c r="L94" i="2"/>
  <c r="H94" i="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<sst xmlns="http://schemas.openxmlformats.org/spreadsheetml/2006/main" count="688" uniqueCount="467">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</sst>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18.2</v>
      </c>
      <c r="D12" s="50">
        <v>25.72</v>
      </c>
      <c r="E12" s="48"/>
    </row>
    <row r="13" spans="1:10">
      <c r="B13" s="1" t="s">
        <v>413</v>
      </c>
      <c r="C13" s="48" t="s">
        <v>393</v>
      </c>
      <c r="D13" s="48" t="s">
        <v>411</v>
      </c>
      <c r="E13" s="5"/>
    </row>
    <row r="14" spans="1:10">
      <c r="B14" s="4" t="s">
        <v>417</v>
      </c>
      <c r="C14" s="35">
        <f>Thesis!C12*Common_Shares/1000000</f>
        <v>865045.16250879993</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1.09426212</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HKD/CNY:</v>
      </c>
      <c r="E25" s="299">
        <f>IF(D11="","",1/Exchange_Rate*D16)</f>
        <v>0.9138578241198736</v>
      </c>
    </row>
    <row r="26" spans="2:6">
      <c r="B26" s="1" t="str">
        <f>"Expected Equity Value ("&amp;C13&amp;") :"</f>
        <v>Expected Equity Value (HKD) :</v>
      </c>
      <c r="C26" s="304">
        <f>C132</f>
        <v>28.447297666637834</v>
      </c>
      <c r="D26" s="1" t="s">
        <v>396</v>
      </c>
      <c r="E26" s="301">
        <f ca="1">Scenarios!C87</f>
        <v>0.22092798252212109</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13.698988026881199</v>
      </c>
      <c r="D29" s="310">
        <f>D149</f>
        <v>12.518927390889854</v>
      </c>
      <c r="E29" s="306" t="s">
        <v>421</v>
      </c>
      <c r="F29" s="302">
        <v>0.35</v>
      </c>
    </row>
    <row r="30" spans="2:6">
      <c r="B30" s="1" t="s">
        <v>423</v>
      </c>
      <c r="C30" s="311">
        <f>C157</f>
        <v>17.024536405318571</v>
      </c>
      <c r="D30" s="311">
        <f>D157</f>
        <v>15.558005796014005</v>
      </c>
      <c r="E30" s="307" t="s">
        <v>434</v>
      </c>
      <c r="F30" s="312">
        <v>0.25</v>
      </c>
    </row>
    <row r="31" spans="2:6">
      <c r="B31" s="1" t="s">
        <v>424</v>
      </c>
      <c r="C31" s="311">
        <f>C165</f>
        <v>26.175615362984662</v>
      </c>
      <c r="D31" s="311">
        <f>D165</f>
        <v>23.920790900615899</v>
      </c>
      <c r="E31" s="307" t="s">
        <v>433</v>
      </c>
      <c r="F31" s="312">
        <v>7.4999999999999997E-2</v>
      </c>
    </row>
    <row r="32" spans="2:6">
      <c r="B32" s="1" t="s">
        <v>425</v>
      </c>
      <c r="C32" s="311">
        <f>C173</f>
        <v>23.42977619443111</v>
      </c>
      <c r="D32" s="311">
        <f>D173</f>
        <v>21.411484292658425</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122178.06382484984</v>
      </c>
      <c r="D41" s="1" t="str">
        <f>Reporting_currency</f>
        <v>CNY</v>
      </c>
    </row>
    <row r="42" spans="1:6">
      <c r="B42" s="47"/>
      <c r="C42" s="76"/>
    </row>
    <row r="43" spans="1:6" ht="24.6" customHeight="1">
      <c r="B43" s="361" t="s">
        <v>232</v>
      </c>
      <c r="C43" s="361"/>
      <c r="D43" s="361"/>
      <c r="E43" s="361"/>
      <c r="F43" s="361"/>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61" t="s">
        <v>240</v>
      </c>
      <c r="C58" s="361"/>
      <c r="D58" s="361"/>
      <c r="E58" s="361"/>
      <c r="F58" s="361"/>
    </row>
    <row r="59" spans="2:6">
      <c r="B59" s="47" t="s">
        <v>238</v>
      </c>
      <c r="C59" s="349">
        <f>Normalized_FCF!C14</f>
        <v>-30043.220876057931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0.11372967205162803</v>
      </c>
      <c r="F69" s="314"/>
    </row>
    <row r="70" spans="1:6">
      <c r="B70" s="227" t="s">
        <v>455</v>
      </c>
      <c r="C70" s="92">
        <f>Normalized_FCF!C94</f>
        <v>6.9230769230769235E-2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27.59840041786174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91887</v>
      </c>
      <c r="D102" s="1" t="str">
        <f>Reporting_currency</f>
        <v>CNY</v>
      </c>
    </row>
    <row r="103" spans="2:6">
      <c r="B103" s="47" t="s">
        <v>280</v>
      </c>
      <c r="C103" s="223">
        <f>C102*scaling_factor*Exchange_Rate/Common_Shares</f>
        <v>2.1154757156778987</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2.3193257963477194</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0.11771905089299066</v>
      </c>
      <c r="D114" s="1" t="str">
        <f>Market_currency</f>
        <v>HKD</v>
      </c>
    </row>
    <row r="116" spans="1:6" ht="24.6" customHeight="1">
      <c r="B116" s="360" t="s">
        <v>363</v>
      </c>
      <c r="C116" s="360"/>
      <c r="D116" s="360"/>
      <c r="E116" s="360"/>
      <c r="F116" s="360"/>
    </row>
    <row r="118" spans="1:6">
      <c r="B118" s="47" t="s">
        <v>446</v>
      </c>
      <c r="C118" s="223">
        <f>IF(valuation_method="DCF",DCF!C12,DDM!C7)</f>
        <v>27.919969549424547</v>
      </c>
      <c r="D118" s="1" t="str">
        <f>Market_currency</f>
        <v>HKD</v>
      </c>
    </row>
    <row r="119" spans="1:6">
      <c r="B119" s="296" t="s">
        <v>402</v>
      </c>
      <c r="C119" s="223">
        <f>BS!D47</f>
        <v>-0.45864200509653968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257</v>
      </c>
      <c r="C132" s="217">
        <f>Scenarios!C60</f>
        <v>28.447297666637834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11.562179613529576</v>
      </c>
    </row>
    <row r="149" spans="2:4">
      <c r="B149" s="80" t="s">
        <v>259</v>
      </c>
      <c r="C149" s="215">
        <f>Scenarios!C83</f>
        <v>13.698988026881199</v>
      </c>
      <c r="D149" s="300">
        <f>IF($D$11="","",C149*$E$25)</f>
        <v>12.518927390889854</v>
      </c>
    </row>
    <row r="150" spans="2:4">
      <c r="B150" s="259" t="s">
        <v>413</v>
      </c>
      <c r="C150" s="298" t="str">
        <f>Market_currency</f>
        <v>HKD</v>
      </c>
      <c r="D150" s="298" t="str">
        <f>IF($D$11="","",D$13)</f>
        <v>CNY</v>
      </c>
    </row>
    <row r="151" spans="2:4">
      <c r="B151" s="214" t="s">
        <v>261</v>
      </c>
      <c r="C151" s="92">
        <f>Scenarios!F83</f>
        <v>0.51844325645922518</v>
      </c>
    </row>
    <row r="153" spans="2:4">
      <c r="B153" s="210" t="s">
        <v>408</v>
      </c>
    </row>
    <row r="154" spans="2:4">
      <c r="B154" s="1" t="s">
        <v>407</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14.565016405318572</v>
      </c>
    </row>
    <row r="157" spans="2:4">
      <c r="B157" s="80" t="s">
        <v>259</v>
      </c>
      <c r="C157" s="215">
        <f>Scenarios!C93</f>
        <v>17.024536405318571</v>
      </c>
      <c r="D157" s="300">
        <f>IF($D$11="","",C157*$E$25)</f>
        <v>15.558005796014005</v>
      </c>
    </row>
    <row r="158" spans="2:4">
      <c r="B158" s="259" t="s">
        <v>413</v>
      </c>
      <c r="C158" s="298" t="str">
        <f>Market_currency</f>
        <v>HKD</v>
      </c>
      <c r="D158" s="298" t="str">
        <f>IF($D$11="","",D$13)</f>
        <v>CNY</v>
      </c>
    </row>
    <row r="159" spans="2:4">
      <c r="B159" s="214" t="s">
        <v>261</v>
      </c>
      <c r="C159" s="92">
        <f>Scenarios!F93</f>
        <v>0.40154117256330979</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22.898952930745992</v>
      </c>
    </row>
    <row r="165" spans="2:4">
      <c r="B165" s="80" t="s">
        <v>398</v>
      </c>
      <c r="C165" s="215">
        <f>Scenarios!C99</f>
        <v>26.175615362984662</v>
      </c>
      <c r="D165" s="300">
        <f>IF($D$11="","",C165*$E$25)</f>
        <v>23.920790900615899</v>
      </c>
    </row>
    <row r="166" spans="2:4">
      <c r="B166" s="259" t="s">
        <v>413</v>
      </c>
      <c r="C166" s="298" t="str">
        <f>Market_currency</f>
        <v>HKD</v>
      </c>
      <c r="D166" s="298" t="str">
        <f>IF($D$11="","",D$13)</f>
        <v>CNY</v>
      </c>
    </row>
    <row r="167" spans="2:4">
      <c r="B167" s="214" t="s">
        <v>261</v>
      </c>
      <c r="C167" s="92">
        <f>Scenarios!F99</f>
        <v>7.9855820762804286E-2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20.389896255748411</v>
      </c>
    </row>
    <row r="173" spans="2:4">
      <c r="B173" s="80" t="s">
        <v>398</v>
      </c>
      <c r="C173" s="215">
        <f>Scenarios!C105</f>
        <v>23.42977619443111</v>
      </c>
      <c r="D173" s="300">
        <f>IF($D$11="","",C173*$E$25)</f>
        <v>21.411484292658425</v>
      </c>
    </row>
    <row r="174" spans="2:4">
      <c r="B174" s="259" t="s">
        <v>413</v>
      </c>
      <c r="C174" s="298" t="str">
        <f>Market_currency</f>
        <v>HKD</v>
      </c>
      <c r="D174" s="298" t="str">
        <f>IF($D$11="","",D$13)</f>
        <v>CNY</v>
      </c>
    </row>
    <row r="175" spans="2:4">
      <c r="B175" s="214" t="s">
        <v>261</v>
      </c>
      <c r="C175" s="92">
        <f>Scenarios!F105</f>
        <v>0.20975303791517086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465</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17.210482879009891</v>
      </c>
      <c r="D47" s="147">
        <f>D46*H1/Common_Shares*Exchange_Rate</f>
        <v>-0.45864200509653968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-100548.46342044001</v>
      </c>
      <c r="D86" s="223">
        <f>C86*scaling_factor/Common_Shares</f>
        <v>-2.1154757156778987</v>
      </c>
      <c r="E86" s="240" t="str">
        <f>Market_currency</f>
        <v>HKD</v>
      </c>
    </row>
    <row r="87" spans="2:8" ht="15" customHeight="1">
      <c r="B87" s="238" t="s">
        <v>286</v>
      </c>
      <c r="C87" s="76">
        <f>DCF!C8*Exchange_Rate</f>
        <v>110237.44837431125</v>
      </c>
      <c r="D87" s="223">
        <f>C87*scaling_factor/Common_Shares</f>
        <v>2.3193257963477194</v>
      </c>
      <c r="E87" s="240" t="str">
        <f>Market_currency</f>
        <v>HKD</v>
      </c>
    </row>
    <row r="88" spans="2:8" ht="15" customHeight="1">
      <c r="B88" s="239" t="s">
        <v>188</v>
      </c>
      <c r="C88" s="76">
        <f>DCF!C9*Exchange_Rate</f>
        <v>5595.1810719839996</v>
      </c>
      <c r="D88" s="223">
        <f>C88*scaling_factor/Common_Shares</f>
        <v>0.11771905089299065</v>
      </c>
      <c r="E88" s="240" t="str">
        <f>Market_currency</f>
        <v>HKD</v>
      </c>
    </row>
    <row r="89" spans="2:8" ht="15" customHeight="1">
      <c r="B89" s="80" t="s">
        <v>290</v>
      </c>
      <c r="C89" s="180">
        <f>SUM(C86:C88)</f>
        <v>15284.166025855244</v>
      </c>
      <c r="D89" s="242">
        <f>SUM(D86:D88)</f>
        <v>0.32156913156281131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466</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6.9230769230769235E-2</v>
      </c>
      <c r="E94" s="268"/>
      <c r="G94" s="23">
        <f t="shared" ref="G94:Q94" si="39">IF(G$4="","",(G90*(1-dividend_tax_rate))/Market_Price)</f>
        <v>6.9230769230769235E-2</v>
      </c>
      <c r="H94" s="23">
        <f t="shared" si="39"/>
        <v>6.1813186813186816E-2</v>
      </c>
      <c r="I94" s="23">
        <f t="shared" si="39"/>
        <v>7.1703296703296698E-2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2.0698800313396299</v>
      </c>
      <c r="D125" s="27"/>
      <c r="E125" s="265"/>
      <c r="F125" s="27"/>
      <c r="G125" s="177">
        <f t="shared" ref="G125:Q125" si="49">IF(G$4="","",G16*$C$3/Common_Shares*Exchange_Rate)</f>
        <v>3.2544355657358546</v>
      </c>
      <c r="H125" s="177">
        <f t="shared" si="49"/>
        <v>2.8411873341823526</v>
      </c>
      <c r="I125" s="177">
        <f t="shared" si="49"/>
        <v>3.2395777065144715</v>
      </c>
      <c r="J125" s="177">
        <f t="shared" si="49"/>
        <v>1.7504960146346709</v>
      </c>
      <c r="K125" s="177">
        <f t="shared" si="49"/>
        <v>0.64373554151930978</v>
      </c>
      <c r="L125" s="177">
        <f t="shared" si="49"/>
        <v>1.3810378777218364</v>
      </c>
      <c r="M125" s="177">
        <f t="shared" si="49"/>
        <v>1.1704137407909223</v>
      </c>
      <c r="N125" s="177">
        <f t="shared" si="49"/>
        <v>6.8919932013658567</v>
      </c>
      <c r="O125" s="177">
        <f t="shared" si="49"/>
        <v>6.4826977920770377</v>
      </c>
      <c r="P125" s="177">
        <f t="shared" si="49"/>
        <v>6.5293645596902916</v>
      </c>
      <c r="Q125" s="177" t="str">
        <f t="shared" si="49"/>
        <v/>
      </c>
    </row>
    <row r="126" spans="1:17" ht="15.75" customHeight="1">
      <c r="A126" s="10"/>
      <c r="B126" s="27" t="s">
        <v>268</v>
      </c>
      <c r="C126" s="77">
        <f>C19*Exchange_Rate*$C$3/(Market_Price*Common_Shares)</f>
        <v>0.11372967205162803</v>
      </c>
      <c r="D126" s="27"/>
      <c r="E126" s="265"/>
      <c r="F126" s="27"/>
      <c r="G126" s="77">
        <f t="shared" ref="G126" si="50">IF(G$4="","",G125/Market_Price)</f>
        <v>0.17881514097449752</v>
      </c>
      <c r="H126" s="77">
        <f t="shared" ref="H126" si="51">IF(H$4="","",H125/Market_Price)</f>
        <v>0.15610919418584354</v>
      </c>
      <c r="I126" s="77">
        <f t="shared" ref="I126" si="52">IF(I$4="","",I125/Market_Price)</f>
        <v>0.17799877508321274</v>
      </c>
      <c r="J126" s="77">
        <f t="shared" ref="J126" si="53">IF(J$4="","",J125/Market_Price)</f>
        <v>9.6181099705201695E-2</v>
      </c>
      <c r="K126" s="77">
        <f t="shared" ref="K126" si="54">IF(K$4="","",K125/Market_Price)</f>
        <v>3.5370084698863179E-2</v>
      </c>
      <c r="L126" s="77">
        <f t="shared" ref="L126" si="55">IF(L$4="","",L125/Market_Price)</f>
        <v>7.588120207262837E-2</v>
      </c>
      <c r="M126" s="77">
        <f t="shared" ref="M126" si="56">IF(M$4="","",M125/Market_Price)</f>
        <v>6.4308447296204524E-2</v>
      </c>
      <c r="N126" s="77">
        <f t="shared" ref="N126" si="57">IF(N$4="","",N125/Market_Price)</f>
        <v>0.37868094512999212</v>
      </c>
      <c r="O126" s="77">
        <f t="shared" ref="O126" si="58">IF(O$4="","",O125/Market_Price)</f>
        <v>0.35619218637785921</v>
      </c>
      <c r="P126" s="77">
        <f t="shared" ref="P126" si="59">IF(P$4="","",P125/Market_Price)</f>
        <v>0.35875629448847757</v>
      </c>
      <c r="Q126" s="77" t="str">
        <f t="shared" ref="Q126" si="60">IF(Q$4="","",Q125/Market_Price)</f>
        <v/>
      </c>
    </row>
    <row r="127" spans="1:17" ht="15.75" customHeight="1">
      <c r="B127" s="2" t="s">
        <v>391</v>
      </c>
      <c r="C127" s="169"/>
      <c r="G127" s="23">
        <f>IF(G$4="","",(Data!C47*$C$3)/(Market_Price*Common_Shares))</f>
        <v>0.15950843491202846</v>
      </c>
      <c r="H127" s="23">
        <f>IF(H$4="","",(Data!D47*$C$3)/(Market_Price*Common_Shares))</f>
        <v>0.14344915777589551</v>
      </c>
      <c r="I127" s="23">
        <f>IF(I$4="","",(Data!E47*$C$3)/(Market_Price*Common_Shares))</f>
        <v>0.16377988819578973</v>
      </c>
      <c r="J127" s="23">
        <f>IF(J$4="","",(Data!F47*$C$3)/(Market_Price*Common_Shares))</f>
        <v>8.1275525310257751E-2</v>
      </c>
      <c r="K127" s="23">
        <f>IF(K$4="","",(Data!G47*$C$3)/(Market_Price*Common_Shares))</f>
        <v>2.8848976309657277E-2</v>
      </c>
      <c r="L127" s="23">
        <f>IF(L$4="","",(Data!H47*$C$3)/(Market_Price*Common_Shares))</f>
        <v>7.0569100488298495E-2</v>
      </c>
      <c r="M127" s="23">
        <f>IF(M$4="","",(Data!I47*$C$3)/(Market_Price*Common_Shares))</f>
        <v>6.0893192151067768E-2</v>
      </c>
      <c r="N127" s="23">
        <f>IF(N$4="","",(Data!J47*$C$3)/(Market_Price*Common_Shares))</f>
        <v>8.1260497193156561E-2</v>
      </c>
      <c r="O127" s="23">
        <f>IF(O$4="","",(Data!K47*$C$3)/(Market_Price*Common_Shares))</f>
        <v>6.8401052990569242E-2</v>
      </c>
      <c r="P127" s="23">
        <f>IF(P$4="","",(Data!L47*$C$3)/(Market_Price*Common_Shares))</f>
        <v>5.0108366451397907E-2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27.919969549424547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29.648676070349811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27.919969549424547</v>
      </c>
      <c r="C65" s="124">
        <f>C12</f>
        <v>27.919969549424547</v>
      </c>
      <c r="D65" s="124">
        <f>C12</f>
        <v>27.919969549424547</v>
      </c>
      <c r="E65" s="141">
        <f>C12</f>
        <v>27.919969549424547</v>
      </c>
      <c r="F65" s="124">
        <f>C12</f>
        <v>27.919969549424547</v>
      </c>
      <c r="H65" s="120"/>
    </row>
    <row r="66" spans="1:8" ht="13.15">
      <c r="A66" s="143">
        <f t="shared" ref="A66:A71" si="3">A56</f>
        <v>5</v>
      </c>
      <c r="B66" s="124">
        <f t="shared" ref="B66:F71" si="4">(B56-$C$7+$C$8+$C$9)/Common_Shares*$C$3*Exchange_Rate</f>
        <v>22.064672325581789</v>
      </c>
      <c r="C66" s="124">
        <f t="shared" si="4"/>
        <v>27.491609749862533</v>
      </c>
      <c r="D66" s="124">
        <f t="shared" si="4"/>
        <v>28.354430952512956</v>
      </c>
      <c r="E66" s="124">
        <f t="shared" si="4"/>
        <v>28.795128717373526</v>
      </c>
      <c r="F66" s="124">
        <f t="shared" si="4"/>
        <v>30.623053103023736</v>
      </c>
      <c r="H66" s="120"/>
    </row>
    <row r="67" spans="1:8" ht="13.15">
      <c r="A67" s="143">
        <f t="shared" si="3"/>
        <v>10</v>
      </c>
      <c r="B67" s="124">
        <f t="shared" si="4"/>
        <v>18.776164958103333</v>
      </c>
      <c r="C67" s="124">
        <f t="shared" si="4"/>
        <v>27.107640735151794</v>
      </c>
      <c r="D67" s="124">
        <f t="shared" si="4"/>
        <v>28.770984614478252</v>
      </c>
      <c r="E67" s="124">
        <f t="shared" si="4"/>
        <v>29.662961330481785</v>
      </c>
      <c r="F67" s="124">
        <f t="shared" si="4"/>
        <v>33.690543681885345</v>
      </c>
      <c r="H67" s="120"/>
    </row>
    <row r="68" spans="1:8" ht="13.15">
      <c r="A68" s="143">
        <f t="shared" si="3"/>
        <v>15</v>
      </c>
      <c r="B68" s="124">
        <f t="shared" si="4"/>
        <v>15.838484626557516</v>
      </c>
      <c r="C68" s="124">
        <f t="shared" si="4"/>
        <v>26.656143338912319</v>
      </c>
      <c r="D68" s="124">
        <f t="shared" si="4"/>
        <v>29.285278934859452</v>
      </c>
      <c r="E68" s="124">
        <f t="shared" si="4"/>
        <v>30.761739047429504</v>
      </c>
      <c r="F68" s="124">
        <f t="shared" si="4"/>
        <v>38.006667433553218</v>
      </c>
      <c r="H68" s="120"/>
    </row>
    <row r="69" spans="1:8" ht="13.15">
      <c r="A69" s="144">
        <f t="shared" si="3"/>
        <v>20</v>
      </c>
      <c r="B69" s="124">
        <f t="shared" si="4"/>
        <v>13.592238811961623</v>
      </c>
      <c r="C69" s="124">
        <f t="shared" si="4"/>
        <v>26.219736785128067</v>
      </c>
      <c r="D69" s="124">
        <f t="shared" si="4"/>
        <v>29.80760596209532</v>
      </c>
      <c r="E69" s="124">
        <f t="shared" si="4"/>
        <v>31.907232743400467</v>
      </c>
      <c r="F69" s="124">
        <f t="shared" si="4"/>
        <v>43.044668238476781</v>
      </c>
      <c r="H69" s="120"/>
    </row>
    <row r="70" spans="1:8" ht="13.15">
      <c r="A70" s="144">
        <f t="shared" si="3"/>
        <v>25</v>
      </c>
      <c r="B70" s="124">
        <f t="shared" si="4"/>
        <v>11.965789968526689</v>
      </c>
      <c r="C70" s="124">
        <f t="shared" si="4"/>
        <v>25.834996949765024</v>
      </c>
      <c r="D70" s="124">
        <f t="shared" si="4"/>
        <v>30.291566673488035</v>
      </c>
      <c r="E70" s="124">
        <f t="shared" si="4"/>
        <v>32.997478363903625</v>
      </c>
      <c r="F70" s="124">
        <f t="shared" si="4"/>
        <v>48.447662115852019</v>
      </c>
    </row>
    <row r="71" spans="1:8" ht="13.15">
      <c r="A71" s="144">
        <f t="shared" si="3"/>
        <v>30</v>
      </c>
      <c r="B71" s="124">
        <f t="shared" si="4"/>
        <v>10.813770518329397</v>
      </c>
      <c r="C71" s="124">
        <f t="shared" si="4"/>
        <v>25.513507962708221</v>
      </c>
      <c r="D71" s="124">
        <f t="shared" si="4"/>
        <v>30.716619167287408</v>
      </c>
      <c r="E71" s="124">
        <f t="shared" si="4"/>
        <v>33.981726103492676</v>
      </c>
      <c r="F71" s="124">
        <f t="shared" si="4"/>
        <v>53.976410307444745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38.006667433553218</v>
      </c>
      <c r="F74" s="142">
        <f>Scenarios!C58</f>
        <v>0.05</v>
      </c>
    </row>
    <row r="75" spans="1:8">
      <c r="B75" s="127" t="str">
        <f>Scenarios!B36</f>
        <v>Optimistic</v>
      </c>
      <c r="C75" s="142">
        <f>Scenarios!C38</f>
        <v>0.02</v>
      </c>
      <c r="D75" s="145">
        <f>Scenarios!C37</f>
        <v>10</v>
      </c>
      <c r="E75" s="135">
        <f>INDEX(B$65:F$71, MATCH(D75, A$65:A$71, 0), MATCH(C75, B$64:F$64, 0))</f>
        <v>29.662961330481785</v>
      </c>
      <c r="F75" s="142">
        <f>Scenarios!C40*(1-F$74-F$78)</f>
        <v>0.18</v>
      </c>
      <c r="H75" s="120"/>
    </row>
    <row r="76" spans="1:8">
      <c r="B76" s="127" t="str">
        <f>Scenarios!B24</f>
        <v>Base</v>
      </c>
      <c r="C76" s="142">
        <f>Scenarios!C26</f>
        <v>0.01</v>
      </c>
      <c r="D76" s="145">
        <f>Scenarios!C25</f>
        <v>10</v>
      </c>
      <c r="E76" s="135">
        <f>INDEX(B$65:F$71, MATCH(D76, A$65:A$71, 0), MATCH(C76, B$64:F$64, 0))</f>
        <v>28.770984614478252</v>
      </c>
      <c r="F76" s="142">
        <f>Scenarios!C28*(1-F$74-F$78)</f>
        <v>0.53999999999999992</v>
      </c>
      <c r="H76" s="120"/>
    </row>
    <row r="77" spans="1:8">
      <c r="B77" s="127" t="str">
        <f>Scenarios!B30</f>
        <v>Pessimistic</v>
      </c>
      <c r="C77" s="142">
        <f>Scenarios!C32</f>
        <v>-0.01</v>
      </c>
      <c r="D77" s="145">
        <f>Scenarios!C31</f>
        <v>10</v>
      </c>
      <c r="E77" s="135">
        <f>INDEX(B$65:F$71, MATCH(D77, A$65:A$71, 0), MATCH(C77, B$64:F$64, 0))</f>
        <v>27.107640735151794</v>
      </c>
      <c r="F77" s="142">
        <f>Scenarios!C34*(1-F$74-F$78)</f>
        <v>0.18</v>
      </c>
      <c r="H77" s="120"/>
    </row>
    <row r="78" spans="1:8">
      <c r="B78" s="127" t="str">
        <f>Scenarios!B48</f>
        <v>Devil's advocate</v>
      </c>
      <c r="C78" s="142">
        <f>Scenarios!C50</f>
        <v>-0.15</v>
      </c>
      <c r="D78" s="145">
        <f>Scenarios!C49</f>
        <v>15</v>
      </c>
      <c r="E78" s="135">
        <f>INDEX(B$65:F$71, MATCH(D78, A$65:A$71, 0), MATCH(C78, B$64:F$64, 0))</f>
        <v>15.838484626557516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18.383603616000002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18.383603616000002</v>
      </c>
      <c r="C60" s="124">
        <f>C7</f>
        <v>18.383603616000002</v>
      </c>
      <c r="D60" s="124">
        <f>C7</f>
        <v>18.383603616000002</v>
      </c>
      <c r="E60" s="141">
        <f>C7</f>
        <v>18.383603616000002</v>
      </c>
      <c r="F60" s="124">
        <f>C7</f>
        <v>18.383603616000002</v>
      </c>
      <c r="H60" s="120"/>
    </row>
    <row r="61" spans="1:8" ht="13.15">
      <c r="A61" s="143">
        <f t="shared" ref="A61:A66" si="3">A51</f>
        <v>5</v>
      </c>
      <c r="B61" s="124">
        <f t="shared" ref="B61:F66" si="4">B51/Common_Shares*$C$3*Exchange_Rate</f>
        <v>14.483324556807693</v>
      </c>
      <c r="C61" s="124">
        <f t="shared" si="4"/>
        <v>18.098268355950633</v>
      </c>
      <c r="D61" s="124">
        <f t="shared" si="4"/>
        <v>18.673003222495289</v>
      </c>
      <c r="E61" s="124">
        <f t="shared" si="4"/>
        <v>18.966556939413259</v>
      </c>
      <c r="F61" s="124">
        <f t="shared" si="4"/>
        <v>20.184157845155074</v>
      </c>
      <c r="H61" s="120"/>
    </row>
    <row r="62" spans="1:8" ht="13.15">
      <c r="A62" s="143">
        <f t="shared" si="3"/>
        <v>10</v>
      </c>
      <c r="B62" s="124">
        <f t="shared" si="4"/>
        <v>12.292812968574722</v>
      </c>
      <c r="C62" s="124">
        <f t="shared" si="4"/>
        <v>17.84250229486037</v>
      </c>
      <c r="D62" s="124">
        <f t="shared" si="4"/>
        <v>18.950474282064633</v>
      </c>
      <c r="E62" s="124">
        <f t="shared" si="4"/>
        <v>19.544629962590875</v>
      </c>
      <c r="F62" s="124">
        <f t="shared" si="4"/>
        <v>22.227447675137743</v>
      </c>
      <c r="H62" s="120"/>
    </row>
    <row r="63" spans="1:8" ht="13.15">
      <c r="A63" s="143">
        <f t="shared" si="3"/>
        <v>15</v>
      </c>
      <c r="B63" s="124">
        <f t="shared" si="4"/>
        <v>10.335991198183081</v>
      </c>
      <c r="C63" s="124">
        <f t="shared" si="4"/>
        <v>17.541754822526766</v>
      </c>
      <c r="D63" s="124">
        <f t="shared" si="4"/>
        <v>19.293051488884533</v>
      </c>
      <c r="E63" s="124">
        <f t="shared" si="4"/>
        <v>20.276538105984116</v>
      </c>
      <c r="F63" s="124">
        <f t="shared" si="4"/>
        <v>25.102466046018115</v>
      </c>
      <c r="H63" s="120"/>
    </row>
    <row r="64" spans="1:8" ht="13.15">
      <c r="A64" s="144">
        <f t="shared" si="3"/>
        <v>20</v>
      </c>
      <c r="B64" s="124">
        <f t="shared" si="4"/>
        <v>8.839741703487574</v>
      </c>
      <c r="C64" s="124">
        <f t="shared" si="4"/>
        <v>17.251059529367602</v>
      </c>
      <c r="D64" s="124">
        <f t="shared" si="4"/>
        <v>19.640979371705345</v>
      </c>
      <c r="E64" s="124">
        <f t="shared" si="4"/>
        <v>21.039564286216219</v>
      </c>
      <c r="F64" s="124">
        <f t="shared" si="4"/>
        <v>28.458334806979419</v>
      </c>
      <c r="H64" s="120"/>
    </row>
    <row r="65" spans="1:8" ht="13.15">
      <c r="A65" s="144">
        <f t="shared" si="3"/>
        <v>25</v>
      </c>
      <c r="B65" s="124">
        <f t="shared" si="4"/>
        <v>7.7563459129091363</v>
      </c>
      <c r="C65" s="124">
        <f t="shared" si="4"/>
        <v>16.99478001600777</v>
      </c>
      <c r="D65" s="124">
        <f t="shared" si="4"/>
        <v>19.963351021846453</v>
      </c>
      <c r="E65" s="124">
        <f t="shared" si="4"/>
        <v>21.76578910460962</v>
      </c>
      <c r="F65" s="124">
        <f t="shared" si="4"/>
        <v>32.057329541364709</v>
      </c>
    </row>
    <row r="66" spans="1:8" ht="13.15">
      <c r="A66" s="144">
        <f t="shared" si="3"/>
        <v>30</v>
      </c>
      <c r="B66" s="124">
        <f t="shared" si="4"/>
        <v>6.9889728546994778</v>
      </c>
      <c r="C66" s="124">
        <f t="shared" si="4"/>
        <v>16.780632601104099</v>
      </c>
      <c r="D66" s="124">
        <f t="shared" si="4"/>
        <v>20.24648324848604</v>
      </c>
      <c r="E66" s="124">
        <f t="shared" si="4"/>
        <v>22.421407547366854</v>
      </c>
      <c r="F66" s="124">
        <f t="shared" si="4"/>
        <v>35.740090632878442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25.102466046018115</v>
      </c>
      <c r="F69" s="142">
        <f>Scenarios!C58</f>
        <v>0.05</v>
      </c>
    </row>
    <row r="70" spans="1:8">
      <c r="B70" s="127" t="str">
        <f>Scenarios!B36</f>
        <v>Optimistic</v>
      </c>
      <c r="C70" s="142">
        <f>Scenarios!C38</f>
        <v>0.02</v>
      </c>
      <c r="D70" s="145">
        <f>Scenarios!C37</f>
        <v>10</v>
      </c>
      <c r="E70" s="135">
        <f>INDEX(B$60:F$66, MATCH(D70, A$60:A$66, 0), MATCH(C70, B$59:F$59, 0))</f>
        <v>19.544629962590875</v>
      </c>
      <c r="F70" s="142">
        <f>Scenarios!C40*(1-F$69-F$73)</f>
        <v>0.18</v>
      </c>
      <c r="H70" s="120"/>
    </row>
    <row r="71" spans="1:8">
      <c r="B71" s="127" t="str">
        <f>Scenarios!B24</f>
        <v>Base</v>
      </c>
      <c r="C71" s="142">
        <f>Scenarios!C26</f>
        <v>0.01</v>
      </c>
      <c r="D71" s="145">
        <f>Scenarios!C25</f>
        <v>10</v>
      </c>
      <c r="E71" s="135">
        <f>INDEX(B$60:F$66, MATCH(D71, A$60:A$66, 0), MATCH(C71, B$59:F$59, 0))</f>
        <v>18.950474282064633</v>
      </c>
      <c r="F71" s="142">
        <f>Scenarios!C28*(1-F$69-F$73)</f>
        <v>0.53999999999999992</v>
      </c>
      <c r="H71" s="120"/>
    </row>
    <row r="72" spans="1:8">
      <c r="B72" s="127" t="str">
        <f>Scenarios!B30</f>
        <v>Pessimistic</v>
      </c>
      <c r="C72" s="142">
        <f>Scenarios!C32</f>
        <v>-0.01</v>
      </c>
      <c r="D72" s="145">
        <f>Scenarios!C31</f>
        <v>10</v>
      </c>
      <c r="E72" s="135">
        <f>INDEX(B$60:F$66, MATCH(D72, A$60:A$66, 0), MATCH(C72, B$59:F$59, 0))</f>
        <v>17.84250229486037</v>
      </c>
      <c r="F72" s="142">
        <f>Scenarios!C34*(1-F$69-F$73)</f>
        <v>0.18</v>
      </c>
      <c r="H72" s="120"/>
    </row>
    <row r="73" spans="1:8">
      <c r="B73" s="127" t="str">
        <f>Scenarios!B48</f>
        <v>Devil's advocate</v>
      </c>
      <c r="C73" s="142">
        <f>Scenarios!C50</f>
        <v>-0.15</v>
      </c>
      <c r="D73" s="145">
        <f>Scenarios!C49</f>
        <v>15</v>
      </c>
      <c r="E73" s="135">
        <f>INDEX(B$60:F$66, MATCH(D73, A$60:A$66, 0), MATCH(C73, B$59:F$59, 0))</f>
        <v>10.335991198183081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-18.2</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29.707297666637835</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18.2</v>
      </c>
      <c r="D21" t="str">
        <f>Market_currency</f>
        <v>HKD</v>
      </c>
      <c r="E21" s="369"/>
      <c r="F21" s="369"/>
    </row>
    <row r="22" spans="2:6">
      <c r="B22" s="100" t="s">
        <v>277</v>
      </c>
      <c r="C22" s="160">
        <f>IF(valuation_method="DCF",DCF!C12,DDM!C7)</f>
        <v>27.919969549424547</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28.770984614478252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27.107640735151794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29.662961330481785</v>
      </c>
      <c r="D39" t="str">
        <f>Market_currency</f>
        <v>HKD</v>
      </c>
      <c r="E39" s="367"/>
      <c r="F39" s="367"/>
    </row>
    <row r="40" spans="2:6">
      <c r="B40" s="100" t="s">
        <v>146</v>
      </c>
      <c r="C40" s="167">
        <f>1-C28-C34</f>
        <v>0.2</v>
      </c>
      <c r="D40" s="165"/>
      <c r="E40" s="367"/>
      <c r="F40" s="367"/>
    </row>
    <row r="42" spans="2:6" ht="13.15">
      <c r="B42" s="100" t="s">
        <v>119</v>
      </c>
      <c r="C42" s="154">
        <f>C27*C28+C33*C34+C39*C40</f>
        <v>28.616711181813667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15.838484626557516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38.006667433553218</v>
      </c>
      <c r="D57" t="str">
        <f>Market_currency</f>
        <v>HKD</v>
      </c>
      <c r="E57" s="367"/>
      <c r="F57" s="367"/>
    </row>
    <row r="58" spans="2:6">
      <c r="B58" s="100" t="s">
        <v>146</v>
      </c>
      <c r="C58" s="165">
        <v>0.05</v>
      </c>
      <c r="D58" s="165"/>
      <c r="E58" s="367"/>
      <c r="F58" s="367"/>
    </row>
    <row r="60" spans="2:6" ht="13.15">
      <c r="B60" s="100" t="s">
        <v>119</v>
      </c>
      <c r="C60" s="154">
        <f>C51*C52+C57*C58+C42*(1-C52-C58)</f>
        <v>28.447297666637834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29.648676070349811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1.1304030890074254E-2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0.35</v>
      </c>
    </row>
    <row r="81" spans="2:8">
      <c r="B81" s="100" t="s">
        <v>120</v>
      </c>
      <c r="C81" s="116">
        <f>PV(C80, C76, -C77, 0)</f>
        <v>2.1368084133516234</v>
      </c>
      <c r="D81" s="116"/>
      <c r="E81" s="100"/>
      <c r="F81" s="100"/>
    </row>
    <row r="82" spans="2:8">
      <c r="B82" s="100" t="s">
        <v>121</v>
      </c>
      <c r="C82" s="116">
        <f>C60/(1+C80)^C76</f>
        <v>11.562179613529576</v>
      </c>
      <c r="D82" s="116"/>
    </row>
    <row r="83" spans="2:8" ht="13.15">
      <c r="B83" s="110" t="s">
        <v>101</v>
      </c>
      <c r="C83" s="111">
        <f>C81+C82</f>
        <v>13.698988026881199</v>
      </c>
      <c r="D83" t="str">
        <f>Market_currency</f>
        <v>HKD</v>
      </c>
      <c r="E83" s="146" t="s">
        <v>125</v>
      </c>
      <c r="F83" s="291">
        <f>(1-C83/C60)</f>
        <v>0.51844325645922518</v>
      </c>
    </row>
    <row r="84" spans="2:8">
      <c r="E84" s="120"/>
    </row>
    <row r="85" spans="2:8" ht="13.15">
      <c r="B85" s="109" t="s">
        <v>301</v>
      </c>
    </row>
    <row r="86" spans="2:8">
      <c r="B86" s="148" t="s">
        <v>299</v>
      </c>
      <c r="C86" s="116">
        <f>Market_Price</f>
        <v>18.2</v>
      </c>
      <c r="D86" t="str">
        <f>Market_currency</f>
        <v>HKD</v>
      </c>
    </row>
    <row r="87" spans="2:8" ht="13.15">
      <c r="B87" s="100" t="s">
        <v>297</v>
      </c>
      <c r="C87" s="237">
        <f ca="1">IRR(OFFSET($I$3, 0, 0, $C$76 + 1, 1))</f>
        <v>0.22092798252212109</v>
      </c>
    </row>
    <row r="88" spans="2:8">
      <c r="B88" s="100"/>
    </row>
    <row r="89" spans="2:8" ht="13.15">
      <c r="B89" s="109" t="s">
        <v>409</v>
      </c>
    </row>
    <row r="90" spans="2:8">
      <c r="B90" s="148" t="s">
        <v>410</v>
      </c>
      <c r="C90" s="167">
        <f>Thesis!F30</f>
        <v>0.25</v>
      </c>
    </row>
    <row r="91" spans="2:8">
      <c r="B91" s="100" t="s">
        <v>120</v>
      </c>
      <c r="C91" s="116">
        <f>PV(C90, C76, -C77, 0)</f>
        <v>2.4595199999999999</v>
      </c>
      <c r="D91" s="116"/>
      <c r="E91" s="100"/>
      <c r="F91" s="100"/>
    </row>
    <row r="92" spans="2:8">
      <c r="B92" s="100" t="s">
        <v>121</v>
      </c>
      <c r="C92" s="116">
        <f>C60/(1+C90)^C76</f>
        <v>14.565016405318572</v>
      </c>
      <c r="D92" s="116"/>
    </row>
    <row r="93" spans="2:8" ht="13.15">
      <c r="B93" s="110" t="s">
        <v>101</v>
      </c>
      <c r="C93" s="111">
        <f>C91+C92</f>
        <v>17.024536405318571</v>
      </c>
      <c r="D93" t="str">
        <f>Market_currency</f>
        <v>HKD</v>
      </c>
      <c r="E93" s="146" t="s">
        <v>125</v>
      </c>
      <c r="F93" s="291">
        <f>(1-C93/C60)</f>
        <v>0.40154117256330979</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22.898952930745992</v>
      </c>
      <c r="D98" s="116"/>
      <c r="G98" s="2"/>
      <c r="H98" s="281"/>
    </row>
    <row r="99" spans="2:8" ht="13.15">
      <c r="B99" s="110" t="s">
        <v>395</v>
      </c>
      <c r="C99" s="111">
        <f>C97+C98</f>
        <v>26.175615362984662</v>
      </c>
      <c r="D99" t="s">
        <v>393</v>
      </c>
      <c r="E99" s="146" t="s">
        <v>125</v>
      </c>
      <c r="F99" s="291">
        <f>(1-C99/C60)</f>
        <v>7.9855820762804286E-2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20.389896255748411</v>
      </c>
      <c r="D104" s="116"/>
    </row>
    <row r="105" spans="2:8" ht="13.15">
      <c r="B105" s="110" t="s">
        <v>395</v>
      </c>
      <c r="C105" s="111">
        <f>C103+C104</f>
        <v>23.42977619443111</v>
      </c>
      <c r="D105" t="s">
        <v>393</v>
      </c>
      <c r="E105" s="146" t="s">
        <v>125</v>
      </c>
      <c r="F105" s="291">
        <f>(1-C105/C66)</f>
        <v>0.20975303791517086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457</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