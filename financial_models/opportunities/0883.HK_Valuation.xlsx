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6808BFB-0CFE-40F9-A7A9-55362256385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<sst xmlns="http://schemas.openxmlformats.org/spreadsheetml/2006/main" count="686" uniqueCount="466">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</sst>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18.100000000000001</v>
      </c>
      <c r="D12" s="50">
        <v>25.72</v>
      </c>
      <c r="E12" s="48"/>
    </row>
    <row r="13" spans="1:10">
      <c r="B13" s="1" t="s">
        <v>416</v>
      </c>
      <c r="C13" s="48" t="s">
        <v>396</v>
      </c>
      <c r="D13" s="48" t="s">
        <v>414</v>
      </c>
      <c r="E13" s="5"/>
    </row>
    <row r="14" spans="1:10">
      <c r="B14" s="4" t="s">
        <v>420</v>
      </c>
      <c r="C14" s="35">
        <f>Thesis!C12*Common_Shares/1000000</f>
        <v>860292.16711040004</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1.0903214400000001</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0.91716072280482708</v>
      </c>
    </row>
    <row r="26" spans="2:6">
      <c r="B26" s="1" t="str">
        <f>"Expected Equity Value ("&amp;C13&amp;") :"</f>
        <v>Expected Equity Value (HKD) :</v>
      </c>
      <c r="C26" s="304">
        <f>C132</f>
        <v>29.545078131229026</v>
      </c>
      <c r="D26" s="1" t="s">
        <v>399</v>
      </c>
      <c r="E26" s="301">
        <f ca="1">Scenarios!C87</f>
        <v>0.24410471793158006</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13.875920456626506</v>
      </c>
      <c r="D29" s="310">
        <f>D149</f>
        <v>12.726449235581853</v>
      </c>
      <c r="E29" s="306" t="s">
        <v>424</v>
      </c>
      <c r="F29" s="302">
        <v>0.3674</v>
      </c>
    </row>
    <row r="30" spans="2:6">
      <c r="B30" s="1" t="s">
        <v>426</v>
      </c>
      <c r="C30" s="311">
        <f>C157</f>
        <v>19.24570978213394</v>
      </c>
      <c r="D30" s="311">
        <f>D157</f>
        <v>17.651409094673895</v>
      </c>
      <c r="E30" s="307" t="s">
        <v>437</v>
      </c>
      <c r="F30" s="312">
        <v>0.21740000000000001</v>
      </c>
    </row>
    <row r="31" spans="2:6">
      <c r="B31" s="1" t="s">
        <v>427</v>
      </c>
      <c r="C31" s="311">
        <f>C165</f>
        <v>27.423358954540578</v>
      </c>
      <c r="D31" s="311">
        <f>D165</f>
        <v>25.151627720482665</v>
      </c>
      <c r="E31" s="307" t="s">
        <v>436</v>
      </c>
      <c r="F31" s="312">
        <v>7.4999999999999997E-2</v>
      </c>
    </row>
    <row r="32" spans="2:6">
      <c r="B32" s="1" t="s">
        <v>428</v>
      </c>
      <c r="C32" s="311">
        <f>C173</f>
        <v>24.554386189306875</v>
      </c>
      <c r="D32" s="311">
        <f>D173</f>
        <v>22.520318585413555</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122178.06382484984</v>
      </c>
      <c r="D41" s="1" t="str">
        <f>Reporting_currency</f>
        <v>CNY</v>
      </c>
    </row>
    <row r="42" spans="1:6">
      <c r="B42" s="47"/>
      <c r="C42" s="76"/>
    </row>
    <row r="43" spans="1:6" ht="24.5" customHeight="1">
      <c r="B43" s="357" t="s">
        <v>233</v>
      </c>
      <c r="C43" s="357"/>
      <c r="D43" s="357"/>
      <c r="E43" s="357"/>
      <c r="F43" s="357"/>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7" t="s">
        <v>241</v>
      </c>
      <c r="C58" s="357"/>
      <c r="D58" s="357"/>
      <c r="E58" s="357"/>
      <c r="F58" s="357"/>
    </row>
    <row r="59" spans="2:6">
      <c r="B59" s="47" t="s">
        <v>239</v>
      </c>
      <c r="C59" s="349">
        <f>Normalized_FCF!C14</f>
        <v>-30043.220876057931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0.11394618427541929</v>
      </c>
      <c r="F69" s="314"/>
    </row>
    <row r="70" spans="1:6">
      <c r="B70" s="227" t="s">
        <v>308</v>
      </c>
      <c r="C70" s="92">
        <f>Normalized_FCF!C93</f>
        <v>7.7348066298342524E-2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27.499012471801194</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91887</v>
      </c>
      <c r="D102" s="1" t="str">
        <f>Reporting_currency</f>
        <v>CNY</v>
      </c>
    </row>
    <row r="103" spans="2:6">
      <c r="B103" s="47" t="s">
        <v>281</v>
      </c>
      <c r="C103" s="223">
        <f>C102*scaling_factor*Exchange_Rate/Common_Shares</f>
        <v>2.1078574195759949</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2.3109733910034205</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0.11729511854534347</v>
      </c>
      <c r="D114" s="1" t="str">
        <f>Market_currency</f>
        <v>HKD</v>
      </c>
    </row>
    <row r="116" spans="1:6" ht="24.5" customHeight="1">
      <c r="B116" s="356" t="s">
        <v>366</v>
      </c>
      <c r="C116" s="356"/>
      <c r="D116" s="356"/>
      <c r="E116" s="356"/>
      <c r="F116" s="356"/>
    </row>
    <row r="118" spans="1:6">
      <c r="B118" s="47" t="s">
        <v>449</v>
      </c>
      <c r="C118" s="223">
        <f>IF(valuation_method="DCF",DCF!C12,DDM!C7)</f>
        <v>27.819423561773963</v>
      </c>
      <c r="D118" s="1" t="str">
        <f>Market_currency</f>
        <v>HKD</v>
      </c>
    </row>
    <row r="119" spans="1:6">
      <c r="B119" s="296" t="s">
        <v>405</v>
      </c>
      <c r="C119" s="223">
        <f>BS!D47</f>
        <v>-0.45699033376148168</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15</v>
      </c>
      <c r="E126" s="231" t="str">
        <f>ROUND(IF(valuation_method="DCF",DCF!E74,DDM!E69),2)&amp;" "&amp;Market_currency</f>
        <v>33.97 HKD</v>
      </c>
      <c r="F126" s="232">
        <f>DCF!F74</f>
        <v>0.05</v>
      </c>
    </row>
    <row r="127" spans="1:6">
      <c r="B127" s="218" t="str">
        <f>DCF!B75</f>
        <v>Optimistic</v>
      </c>
      <c r="C127" s="219">
        <f>DCF!C75</f>
        <v>0.03</v>
      </c>
      <c r="D127" s="220">
        <f>DCF!D75</f>
        <v>10</v>
      </c>
      <c r="E127" s="231" t="str">
        <f>ROUND(IF(valuation_method="DCF",DCF!E75,DDM!E70),2)&amp;" "&amp;Market_currency</f>
        <v>30.49 HKD</v>
      </c>
      <c r="F127" s="221">
        <f>DCF!F75</f>
        <v>0.18</v>
      </c>
    </row>
    <row r="128" spans="1:6">
      <c r="B128" s="218" t="str">
        <f>DCF!B76</f>
        <v>Base</v>
      </c>
      <c r="C128" s="219">
        <f>DCF!C76</f>
        <v>0.02</v>
      </c>
      <c r="D128" s="220">
        <f>DCF!D76</f>
        <v>10</v>
      </c>
      <c r="E128" s="231" t="str">
        <f>ROUND(IF(valuation_method="DCF",DCF!E76,DDM!E71),2)&amp;" "&amp;Market_currency</f>
        <v>29.56 HKD</v>
      </c>
      <c r="F128" s="221">
        <f>DCF!F76</f>
        <v>0.53999999999999992</v>
      </c>
    </row>
    <row r="129" spans="1:6">
      <c r="B129" s="218" t="str">
        <f>DCF!B77</f>
        <v>Pessimistic</v>
      </c>
      <c r="C129" s="219">
        <f>DCF!C77</f>
        <v>0</v>
      </c>
      <c r="D129" s="220">
        <f>DCF!D77</f>
        <v>10</v>
      </c>
      <c r="E129" s="231" t="str">
        <f>ROUND(IF(valuation_method="DCF",DCF!E77,DDM!E72),2)&amp;" "&amp;Market_currency</f>
        <v>27.82 HKD</v>
      </c>
      <c r="F129" s="221">
        <f>DCF!F77</f>
        <v>0.18</v>
      </c>
    </row>
    <row r="130" spans="1:6">
      <c r="B130" s="218" t="str">
        <f>DCF!B78</f>
        <v>Devil's advocate</v>
      </c>
      <c r="C130" s="219">
        <f>DCF!C78</f>
        <v>0</v>
      </c>
      <c r="D130" s="220">
        <f>DCF!D78</f>
        <v>15</v>
      </c>
      <c r="E130" s="231" t="str">
        <f>ROUND(IF(valuation_method="DCF",DCF!E78,DDM!E73),2)&amp;" "&amp;Market_currency</f>
        <v>27.82 HKD</v>
      </c>
      <c r="F130" s="221">
        <f>DCF!F78</f>
        <v>0.05</v>
      </c>
    </row>
    <row r="132" spans="1:6">
      <c r="B132" s="211" t="s">
        <v>258</v>
      </c>
      <c r="C132" s="217">
        <f>Scenarios!C60</f>
        <v>29.545078131229026</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11.555757409515705</v>
      </c>
    </row>
    <row r="149" spans="2:4">
      <c r="B149" s="80" t="s">
        <v>260</v>
      </c>
      <c r="C149" s="215">
        <f>Scenarios!C83</f>
        <v>13.875920456626506</v>
      </c>
      <c r="D149" s="300">
        <f>IF($D$11="","",C149*$E$25)</f>
        <v>12.726449235581853</v>
      </c>
    </row>
    <row r="150" spans="2:4">
      <c r="B150" s="259" t="s">
        <v>416</v>
      </c>
      <c r="C150" s="298" t="str">
        <f>Market_currency</f>
        <v>HKD</v>
      </c>
      <c r="D150" s="298" t="str">
        <f>IF($D$11="","",D$13)</f>
        <v>CNY</v>
      </c>
    </row>
    <row r="151" spans="2:4">
      <c r="B151" s="214" t="s">
        <v>262</v>
      </c>
      <c r="C151" s="92">
        <f>Scenarios!F83</f>
        <v>0.53034747801327642</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16.375148628723029</v>
      </c>
    </row>
    <row r="157" spans="2:4">
      <c r="B157" s="80" t="s">
        <v>260</v>
      </c>
      <c r="C157" s="215">
        <f>Scenarios!C93</f>
        <v>19.24570978213394</v>
      </c>
      <c r="D157" s="300">
        <f>IF($D$11="","",C157*$E$25)</f>
        <v>17.651409094673895</v>
      </c>
    </row>
    <row r="158" spans="2:4">
      <c r="B158" s="259" t="s">
        <v>416</v>
      </c>
      <c r="C158" s="298" t="str">
        <f>Market_currency</f>
        <v>HKD</v>
      </c>
      <c r="D158" s="298" t="str">
        <f>IF($D$11="","",D$13)</f>
        <v>CNY</v>
      </c>
    </row>
    <row r="159" spans="2:4">
      <c r="B159" s="214" t="s">
        <v>262</v>
      </c>
      <c r="C159" s="92">
        <f>Scenarios!F93</f>
        <v>0.34859844686647479</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23.782622918719834</v>
      </c>
    </row>
    <row r="165" spans="2:4">
      <c r="B165" s="80" t="s">
        <v>401</v>
      </c>
      <c r="C165" s="215">
        <f>Scenarios!C99</f>
        <v>27.423358954540578</v>
      </c>
      <c r="D165" s="300">
        <f>IF($D$11="","",C165*$E$25)</f>
        <v>25.151627720482665</v>
      </c>
    </row>
    <row r="166" spans="2:4">
      <c r="B166" s="259" t="s">
        <v>416</v>
      </c>
      <c r="C166" s="298" t="str">
        <f>Market_currency</f>
        <v>HKD</v>
      </c>
      <c r="D166" s="298" t="str">
        <f>IF($D$11="","",D$13)</f>
        <v>CNY</v>
      </c>
    </row>
    <row r="167" spans="2:4">
      <c r="B167" s="214" t="s">
        <v>262</v>
      </c>
      <c r="C167" s="92">
        <f>Scenarios!F99</f>
        <v>7.1812948581977176E-2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21.176741812992766</v>
      </c>
    </row>
    <row r="173" spans="2:4">
      <c r="B173" s="80" t="s">
        <v>401</v>
      </c>
      <c r="C173" s="215">
        <f>Scenarios!C105</f>
        <v>24.554386189306875</v>
      </c>
      <c r="D173" s="300">
        <f>IF($D$11="","",C173*$E$25)</f>
        <v>22.520318585413555</v>
      </c>
    </row>
    <row r="174" spans="2:4">
      <c r="B174" s="259" t="s">
        <v>416</v>
      </c>
      <c r="C174" s="298" t="str">
        <f>Market_currency</f>
        <v>HKD</v>
      </c>
      <c r="D174" s="298" t="str">
        <f>IF($D$11="","",D$13)</f>
        <v>CNY</v>
      </c>
    </row>
    <row r="175" spans="2:4">
      <c r="B175" s="214" t="s">
        <v>262</v>
      </c>
      <c r="C175" s="92">
        <f>Scenarios!F105</f>
        <v>0.1688286013217829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17.148504122337169</v>
      </c>
      <c r="D47" s="147">
        <f>D46*H1/Common_Shares*Exchange_Rate</f>
        <v>-0.45699033376148168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-100186.36615728</v>
      </c>
      <c r="D86" s="223">
        <f>C86*scaling_factor/Common_Shares</f>
        <v>-2.1078574195759945</v>
      </c>
      <c r="E86" s="240" t="str">
        <f>Market_currency</f>
        <v>HKD</v>
      </c>
    </row>
    <row r="87" spans="2:8" ht="15" customHeight="1">
      <c r="B87" s="238" t="s">
        <v>287</v>
      </c>
      <c r="C87" s="76">
        <f>DCF!C8*Exchange_Rate</f>
        <v>109840.45893264102</v>
      </c>
      <c r="D87" s="223">
        <f>C87*scaling_factor/Common_Shares</f>
        <v>2.3109733910034205</v>
      </c>
      <c r="E87" s="240" t="str">
        <f>Market_currency</f>
        <v>HKD</v>
      </c>
    </row>
    <row r="88" spans="2:8" ht="15" customHeight="1">
      <c r="B88" s="239" t="s">
        <v>189</v>
      </c>
      <c r="C88" s="76">
        <f>DCF!C9*Exchange_Rate</f>
        <v>5575.0315870080003</v>
      </c>
      <c r="D88" s="223">
        <f>C88*scaling_factor/Common_Shares</f>
        <v>0.11729511854534347</v>
      </c>
      <c r="E88" s="240" t="str">
        <f>Market_currency</f>
        <v>HKD</v>
      </c>
    </row>
    <row r="89" spans="2:8" ht="15" customHeight="1">
      <c r="B89" s="80" t="s">
        <v>291</v>
      </c>
      <c r="C89" s="180">
        <f>SUM(C86:C88)</f>
        <v>15229.124362369017</v>
      </c>
      <c r="D89" s="242">
        <f>SUM(D86:D88)</f>
        <v>0.32041108997276946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7.7348066298342524E-2</v>
      </c>
      <c r="E93" s="268"/>
      <c r="G93" s="23">
        <f t="shared" ref="G93:Q93" si="39">IF(G$4="","",G90/Market_Price)</f>
        <v>7.7348066298342524E-2</v>
      </c>
      <c r="H93" s="23">
        <f t="shared" si="39"/>
        <v>6.9060773480662974E-2</v>
      </c>
      <c r="I93" s="23">
        <f t="shared" si="39"/>
        <v>8.011049723756905E-2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2.0624259353850891</v>
      </c>
      <c r="D124" s="27"/>
      <c r="E124" s="265"/>
      <c r="F124" s="27"/>
      <c r="G124" s="177">
        <f t="shared" ref="G124:Q124" si="49">IF(G$4="","",G16*$C$3/Common_Shares*Exchange_Rate)</f>
        <v>3.2427156232186234</v>
      </c>
      <c r="H124" s="177">
        <f t="shared" si="49"/>
        <v>2.8309555899782626</v>
      </c>
      <c r="I124" s="177">
        <f t="shared" si="49"/>
        <v>3.227911270435603</v>
      </c>
      <c r="J124" s="177">
        <f t="shared" si="49"/>
        <v>1.744192091188111</v>
      </c>
      <c r="K124" s="177">
        <f t="shared" si="49"/>
        <v>0.64141730740758318</v>
      </c>
      <c r="L124" s="177">
        <f t="shared" si="49"/>
        <v>1.3760644547690426</v>
      </c>
      <c r="M124" s="177">
        <f t="shared" si="49"/>
        <v>1.1661988219558812</v>
      </c>
      <c r="N124" s="177">
        <f t="shared" si="49"/>
        <v>6.8671736089918118</v>
      </c>
      <c r="O124" s="177">
        <f t="shared" si="49"/>
        <v>6.4593521630285959</v>
      </c>
      <c r="P124" s="177">
        <f t="shared" si="49"/>
        <v>6.5058508732866356</v>
      </c>
      <c r="Q124" s="177" t="str">
        <f t="shared" si="49"/>
        <v/>
      </c>
    </row>
    <row r="125" spans="1:17" ht="15.75" customHeight="1">
      <c r="A125" s="10"/>
      <c r="B125" s="27" t="s">
        <v>269</v>
      </c>
      <c r="C125" s="77">
        <f>C19*Exchange_Rate*$C$3/(Market_Price*Common_Shares)</f>
        <v>0.11394618427541929</v>
      </c>
      <c r="D125" s="27"/>
      <c r="E125" s="265"/>
      <c r="F125" s="27"/>
      <c r="G125" s="77">
        <f t="shared" ref="G125" si="50">IF(G$4="","",G124/Market_Price)</f>
        <v>0.17915555929384658</v>
      </c>
      <c r="H125" s="77">
        <f t="shared" ref="H125" si="51">IF(H$4="","",H124/Market_Price)</f>
        <v>0.15640638618664432</v>
      </c>
      <c r="I125" s="77">
        <f t="shared" ref="I125" si="52">IF(I$4="","",I124/Market_Price)</f>
        <v>0.17833763925058579</v>
      </c>
      <c r="J125" s="77">
        <f t="shared" ref="J125" si="53">IF(J$4="","",J124/Market_Price)</f>
        <v>9.6364203933044804E-2</v>
      </c>
      <c r="K125" s="77">
        <f t="shared" ref="K125" si="54">IF(K$4="","",K124/Market_Price)</f>
        <v>3.5437420298761499E-2</v>
      </c>
      <c r="L125" s="77">
        <f t="shared" ref="L125" si="55">IF(L$4="","",L124/Market_Price)</f>
        <v>7.6025660484477481E-2</v>
      </c>
      <c r="M125" s="77">
        <f t="shared" ref="M125" si="56">IF(M$4="","",M124/Market_Price)</f>
        <v>6.4430874141208905E-2</v>
      </c>
      <c r="N125" s="77">
        <f t="shared" ref="N125" si="57">IF(N$4="","",N124/Market_Price)</f>
        <v>0.37940185685037631</v>
      </c>
      <c r="O125" s="77">
        <f t="shared" ref="O125" si="58">IF(O$4="","",O124/Market_Price)</f>
        <v>0.35687028525019865</v>
      </c>
      <c r="P125" s="77">
        <f t="shared" ref="P125" si="59">IF(P$4="","",P124/Market_Price)</f>
        <v>0.35943927476721743</v>
      </c>
      <c r="Q125" s="77" t="str">
        <f t="shared" ref="Q125" si="60">IF(Q$4="","",Q124/Market_Price)</f>
        <v/>
      </c>
    </row>
    <row r="126" spans="1:17" ht="15.75" customHeight="1">
      <c r="B126" s="2" t="s">
        <v>394</v>
      </c>
      <c r="C126" s="169"/>
      <c r="G126" s="23">
        <f>IF(G$4="","",(Data!C47*$C$3)/(Market_Price*Common_Shares))</f>
        <v>0.16038969698336561</v>
      </c>
      <c r="H126" s="23">
        <f>IF(H$4="","",(Data!D47*$C$3)/(Market_Price*Common_Shares))</f>
        <v>0.14424169455918773</v>
      </c>
      <c r="I126" s="23">
        <f>IF(I$4="","",(Data!E47*$C$3)/(Market_Price*Common_Shares))</f>
        <v>0.16468474945653991</v>
      </c>
      <c r="J126" s="23">
        <f>IF(J$4="","",(Data!F47*$C$3)/(Market_Price*Common_Shares))</f>
        <v>8.1724561361695633E-2</v>
      </c>
      <c r="K126" s="23">
        <f>IF(K$4="","",(Data!G47*$C$3)/(Market_Price*Common_Shares))</f>
        <v>2.9008362919102897E-2</v>
      </c>
      <c r="L126" s="23">
        <f>IF(L$4="","",(Data!H47*$C$3)/(Market_Price*Common_Shares))</f>
        <v>7.0958985021383009E-2</v>
      </c>
      <c r="M126" s="23">
        <f>IF(M$4="","",(Data!I47*$C$3)/(Market_Price*Common_Shares))</f>
        <v>6.1229618627040516E-2</v>
      </c>
      <c r="N126" s="23">
        <f>IF(N$4="","",(Data!J47*$C$3)/(Market_Price*Common_Shares))</f>
        <v>8.1709450216323171E-2</v>
      </c>
      <c r="O126" s="23">
        <f>IF(O$4="","",(Data!K47*$C$3)/(Market_Price*Common_Shares))</f>
        <v>6.8778959360682873E-2</v>
      </c>
      <c r="P126" s="23">
        <f>IF(P$4="","",(Data!L47*$C$3)/(Market_Price*Common_Shares))</f>
        <v>5.0385208254996781E-2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1.0903214400000001</v>
      </c>
      <c r="D11" t="str">
        <f>Thesis!C15</f>
        <v>CNY/HKD</v>
      </c>
      <c r="H11" s="120"/>
    </row>
    <row r="12" spans="2:8" ht="13.5" thickTop="1">
      <c r="B12" s="149" t="s">
        <v>102</v>
      </c>
      <c r="C12" s="111">
        <f>(C10*scaling_factor)/Common_Shares*Exchange_Rate</f>
        <v>27.819423561773963</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29.541904628040449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1">
        <v>1198753.642219631</v>
      </c>
      <c r="D58" s="123">
        <v>1322187.6631956201</v>
      </c>
      <c r="E58" s="123">
        <v>1391606.636241809</v>
      </c>
      <c r="F58" s="123">
        <v>1466817.627889662</v>
      </c>
      <c r="G58" s="338"/>
      <c r="H58" s="339"/>
      <c r="I58" s="338"/>
      <c r="J58" s="338"/>
      <c r="K58" s="338"/>
      <c r="L58" s="338"/>
      <c r="M58" s="338"/>
      <c r="N58" s="338"/>
      <c r="O58" s="338"/>
      <c r="P58" s="338"/>
      <c r="Q58" s="338"/>
    </row>
    <row r="59" spans="1:17" ht="13.15">
      <c r="A59" s="144">
        <v>20</v>
      </c>
      <c r="B59" s="123">
        <v>1198753.642219631</v>
      </c>
      <c r="C59" s="341">
        <v>1198753.642219631</v>
      </c>
      <c r="D59" s="123">
        <v>1371942.8924623169</v>
      </c>
      <c r="E59" s="123">
        <v>1473562.967952199</v>
      </c>
      <c r="F59" s="123">
        <v>1586983.4089888346</v>
      </c>
      <c r="G59" s="338"/>
      <c r="H59" s="339"/>
      <c r="I59" s="338"/>
      <c r="J59" s="338"/>
      <c r="K59" s="338"/>
      <c r="L59" s="338"/>
      <c r="M59" s="338"/>
      <c r="N59" s="338"/>
      <c r="O59" s="338"/>
      <c r="P59" s="338"/>
      <c r="Q59" s="338"/>
    </row>
    <row r="60" spans="1:17" ht="13.15">
      <c r="A60" s="144">
        <v>25</v>
      </c>
      <c r="B60" s="123">
        <v>1198753.642219631</v>
      </c>
      <c r="C60" s="341">
        <v>1198753.642219631</v>
      </c>
      <c r="D60" s="123">
        <v>1419298.3872991232</v>
      </c>
      <c r="E60" s="123">
        <v>1553791.0049023672</v>
      </c>
      <c r="F60" s="123">
        <v>1708114.802828433</v>
      </c>
      <c r="G60" s="338"/>
      <c r="H60" s="339"/>
      <c r="I60" s="338"/>
      <c r="J60" s="338"/>
      <c r="K60" s="338"/>
      <c r="L60" s="338"/>
      <c r="M60" s="338"/>
      <c r="N60" s="338"/>
      <c r="O60" s="338"/>
      <c r="P60" s="338"/>
      <c r="Q60" s="338"/>
    </row>
    <row r="61" spans="1:17" ht="13.15">
      <c r="A61" s="144">
        <v>30</v>
      </c>
      <c r="B61" s="123">
        <v>1198753.6422196312</v>
      </c>
      <c r="C61" s="341">
        <v>1198753.6422196312</v>
      </c>
      <c r="D61" s="123">
        <v>1462049.7984249359</v>
      </c>
      <c r="E61" s="123">
        <v>1628360.6634412652</v>
      </c>
      <c r="F61" s="123">
        <v>1824209.7782913516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0.04</v>
      </c>
      <c r="H64" s="120"/>
    </row>
    <row r="65" spans="1:8" ht="13.15">
      <c r="A65" s="143">
        <v>0</v>
      </c>
      <c r="B65" s="124">
        <f>C12</f>
        <v>27.819423561773963</v>
      </c>
      <c r="C65" s="124">
        <f>C12</f>
        <v>27.819423561773963</v>
      </c>
      <c r="D65" s="124">
        <f>C12</f>
        <v>27.819423561773963</v>
      </c>
      <c r="E65" s="141">
        <f>C12</f>
        <v>27.819423561773963</v>
      </c>
      <c r="F65" s="124">
        <f>C12</f>
        <v>27.819423561773963</v>
      </c>
      <c r="H65" s="120"/>
    </row>
    <row r="66" spans="1:8" ht="13.15">
      <c r="A66" s="143">
        <f t="shared" ref="A66:A71" si="3">A56</f>
        <v>5</v>
      </c>
      <c r="B66" s="124">
        <f t="shared" ref="B66:F71" si="4">(B56-$C$7+$C$8+$C$9)/Common_Shares*$C$3*Exchange_Rate</f>
        <v>27.819423561773963</v>
      </c>
      <c r="C66" s="124">
        <f t="shared" si="4"/>
        <v>27.819423561773963</v>
      </c>
      <c r="D66" s="124">
        <f t="shared" si="4"/>
        <v>28.691431087929878</v>
      </c>
      <c r="E66" s="124">
        <f t="shared" si="4"/>
        <v>29.136892090642593</v>
      </c>
      <c r="F66" s="124">
        <f t="shared" si="4"/>
        <v>29.588841895159717</v>
      </c>
      <c r="H66" s="120"/>
    </row>
    <row r="67" spans="1:8" ht="13.15">
      <c r="A67" s="143">
        <f t="shared" si="3"/>
        <v>10</v>
      </c>
      <c r="B67" s="124">
        <f t="shared" si="4"/>
        <v>27.819423561773966</v>
      </c>
      <c r="C67" s="124">
        <f t="shared" si="4"/>
        <v>27.819423561773966</v>
      </c>
      <c r="D67" s="124">
        <f t="shared" si="4"/>
        <v>29.556138443790065</v>
      </c>
      <c r="E67" s="124">
        <f t="shared" si="4"/>
        <v>30.488110062661761</v>
      </c>
      <c r="F67" s="124">
        <f t="shared" si="4"/>
        <v>31.465813761048231</v>
      </c>
      <c r="H67" s="120"/>
    </row>
    <row r="68" spans="1:8" ht="13.15">
      <c r="A68" s="143">
        <f t="shared" si="3"/>
        <v>15</v>
      </c>
      <c r="B68" s="124">
        <f t="shared" si="4"/>
        <v>27.819423561773966</v>
      </c>
      <c r="C68" s="124">
        <f t="shared" si="4"/>
        <v>27.819423561773966</v>
      </c>
      <c r="D68" s="124">
        <f t="shared" si="4"/>
        <v>30.6509592190741</v>
      </c>
      <c r="E68" s="124">
        <f t="shared" si="4"/>
        <v>32.243407524000318</v>
      </c>
      <c r="F68" s="124">
        <f t="shared" si="4"/>
        <v>33.968722821905303</v>
      </c>
      <c r="H68" s="120"/>
    </row>
    <row r="69" spans="1:8" ht="13.15">
      <c r="A69" s="144">
        <f t="shared" si="3"/>
        <v>20</v>
      </c>
      <c r="B69" s="124">
        <f t="shared" si="4"/>
        <v>27.819423561773966</v>
      </c>
      <c r="C69" s="124">
        <f t="shared" si="4"/>
        <v>27.819423561773966</v>
      </c>
      <c r="D69" s="124">
        <f t="shared" si="4"/>
        <v>31.792327738804985</v>
      </c>
      <c r="E69" s="124">
        <f t="shared" si="4"/>
        <v>34.123458694209134</v>
      </c>
      <c r="F69" s="124">
        <f t="shared" si="4"/>
        <v>36.725286136291835</v>
      </c>
      <c r="H69" s="120"/>
    </row>
    <row r="70" spans="1:8" ht="13.15">
      <c r="A70" s="144">
        <f t="shared" si="3"/>
        <v>25</v>
      </c>
      <c r="B70" s="124">
        <f t="shared" si="4"/>
        <v>27.819423561773966</v>
      </c>
      <c r="C70" s="124">
        <f t="shared" si="4"/>
        <v>27.819423561773966</v>
      </c>
      <c r="D70" s="124">
        <f t="shared" si="4"/>
        <v>32.878647143611488</v>
      </c>
      <c r="E70" s="124">
        <f t="shared" si="4"/>
        <v>35.963863353665083</v>
      </c>
      <c r="F70" s="124">
        <f t="shared" si="4"/>
        <v>39.504000287895217</v>
      </c>
    </row>
    <row r="71" spans="1:8" ht="13.15">
      <c r="A71" s="144">
        <f t="shared" si="3"/>
        <v>30</v>
      </c>
      <c r="B71" s="124">
        <f t="shared" si="4"/>
        <v>27.819423561773974</v>
      </c>
      <c r="C71" s="124">
        <f t="shared" si="4"/>
        <v>27.819423561773974</v>
      </c>
      <c r="D71" s="124">
        <f t="shared" si="4"/>
        <v>33.859350389325115</v>
      </c>
      <c r="E71" s="124">
        <f t="shared" si="4"/>
        <v>37.674466681953795</v>
      </c>
      <c r="F71" s="124">
        <f t="shared" si="4"/>
        <v>42.167180666022766</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15</v>
      </c>
      <c r="E74" s="135">
        <f>INDEX(B$65:F$71, MATCH(D74, A$65:A$71, 0), MATCH(C74, B$64:F$64, 0))</f>
        <v>33.968722821905303</v>
      </c>
      <c r="F74" s="142">
        <f>Scenarios!C58</f>
        <v>0.05</v>
      </c>
    </row>
    <row r="75" spans="1:8">
      <c r="B75" s="127" t="str">
        <f>Scenarios!B36</f>
        <v>Optimistic</v>
      </c>
      <c r="C75" s="142">
        <f>Scenarios!C38</f>
        <v>0.03</v>
      </c>
      <c r="D75" s="145">
        <f>Scenarios!C37</f>
        <v>10</v>
      </c>
      <c r="E75" s="135">
        <f>INDEX(B$65:F$71, MATCH(D75, A$65:A$71, 0), MATCH(C75, B$64:F$64, 0))</f>
        <v>30.488110062661761</v>
      </c>
      <c r="F75" s="142">
        <f>Scenarios!C40*(1-F$74-F$78)</f>
        <v>0.18</v>
      </c>
      <c r="H75" s="120"/>
    </row>
    <row r="76" spans="1:8">
      <c r="B76" s="127" t="str">
        <f>Scenarios!B24</f>
        <v>Base</v>
      </c>
      <c r="C76" s="142">
        <f>Scenarios!C26</f>
        <v>0.02</v>
      </c>
      <c r="D76" s="145">
        <f>Scenarios!C25</f>
        <v>10</v>
      </c>
      <c r="E76" s="135">
        <f>INDEX(B$65:F$71, MATCH(D76, A$65:A$71, 0), MATCH(C76, B$64:F$64, 0))</f>
        <v>29.556138443790065</v>
      </c>
      <c r="F76" s="142">
        <f>Scenarios!C28*(1-F$74-F$78)</f>
        <v>0.53999999999999992</v>
      </c>
      <c r="H76" s="120"/>
    </row>
    <row r="77" spans="1:8">
      <c r="B77" s="127" t="str">
        <f>Scenarios!B30</f>
        <v>Pessimistic</v>
      </c>
      <c r="C77" s="142">
        <f>Scenarios!C32</f>
        <v>0</v>
      </c>
      <c r="D77" s="145">
        <f>Scenarios!C31</f>
        <v>10</v>
      </c>
      <c r="E77" s="135">
        <f>INDEX(B$65:F$71, MATCH(D77, A$65:A$71, 0), MATCH(C77, B$64:F$64, 0))</f>
        <v>27.819423561773966</v>
      </c>
      <c r="F77" s="142">
        <f>Scenarios!C34*(1-F$74-F$78)</f>
        <v>0.18</v>
      </c>
      <c r="H77" s="120"/>
    </row>
    <row r="78" spans="1:8">
      <c r="B78" s="127" t="str">
        <f>Scenarios!B48</f>
        <v>Devil's advocate</v>
      </c>
      <c r="C78" s="142">
        <f>Scenarios!C50</f>
        <v>0</v>
      </c>
      <c r="D78" s="145">
        <f>Scenarios!C49</f>
        <v>15</v>
      </c>
      <c r="E78" s="135">
        <f>INDEX(B$65:F$71, MATCH(D78, A$65:A$71, 0), MATCH(C78, B$64:F$64, 0))</f>
        <v>27.819423561773966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20.352666880000005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20.352666880000005</v>
      </c>
      <c r="C60" s="124">
        <f>C7</f>
        <v>20.352666880000005</v>
      </c>
      <c r="D60" s="124">
        <f>C7</f>
        <v>20.352666880000005</v>
      </c>
      <c r="E60" s="141">
        <f>C7</f>
        <v>20.352666880000005</v>
      </c>
      <c r="F60" s="124">
        <f>C7</f>
        <v>20.352666880000005</v>
      </c>
      <c r="H60" s="120"/>
    </row>
    <row r="61" spans="1:8" ht="13.15">
      <c r="A61" s="143">
        <f t="shared" ref="A61:A66" si="3">A51</f>
        <v>5</v>
      </c>
      <c r="B61" s="124">
        <f t="shared" ref="B61:F66" si="4">B51/Common_Shares*$C$3*Exchange_Rate</f>
        <v>20.352666880000008</v>
      </c>
      <c r="C61" s="124">
        <f t="shared" si="4"/>
        <v>20.352666880000008</v>
      </c>
      <c r="D61" s="124">
        <f t="shared" si="4"/>
        <v>20.998060190574467</v>
      </c>
      <c r="E61" s="124">
        <f t="shared" si="4"/>
        <v>21.327756371684238</v>
      </c>
      <c r="F61" s="124">
        <f t="shared" si="4"/>
        <v>21.662255067855622</v>
      </c>
      <c r="H61" s="120"/>
    </row>
    <row r="62" spans="1:8" ht="13.15">
      <c r="A62" s="143">
        <f t="shared" si="3"/>
        <v>10</v>
      </c>
      <c r="B62" s="124">
        <f t="shared" si="4"/>
        <v>20.352666880000008</v>
      </c>
      <c r="C62" s="124">
        <f t="shared" si="4"/>
        <v>20.352666880000008</v>
      </c>
      <c r="D62" s="124">
        <f t="shared" si="4"/>
        <v>21.638050473154795</v>
      </c>
      <c r="E62" s="124">
        <f t="shared" si="4"/>
        <v>22.327824621225048</v>
      </c>
      <c r="F62" s="124">
        <f t="shared" si="4"/>
        <v>23.051446158580585</v>
      </c>
      <c r="H62" s="120"/>
    </row>
    <row r="63" spans="1:8" ht="13.15">
      <c r="A63" s="143">
        <f t="shared" si="3"/>
        <v>15</v>
      </c>
      <c r="B63" s="124">
        <f t="shared" si="4"/>
        <v>20.352666880000008</v>
      </c>
      <c r="C63" s="124">
        <f t="shared" si="4"/>
        <v>20.352666880000008</v>
      </c>
      <c r="D63" s="124">
        <f t="shared" si="4"/>
        <v>22.448353117859174</v>
      </c>
      <c r="E63" s="124">
        <f t="shared" si="4"/>
        <v>23.626961619056065</v>
      </c>
      <c r="F63" s="124">
        <f t="shared" si="4"/>
        <v>24.903908111488704</v>
      </c>
      <c r="H63" s="120"/>
    </row>
    <row r="64" spans="1:8" ht="13.15">
      <c r="A64" s="144">
        <f t="shared" si="3"/>
        <v>20</v>
      </c>
      <c r="B64" s="124">
        <f t="shared" si="4"/>
        <v>20.352666880000008</v>
      </c>
      <c r="C64" s="124">
        <f t="shared" si="4"/>
        <v>20.352666880000008</v>
      </c>
      <c r="D64" s="124">
        <f t="shared" si="4"/>
        <v>23.293106844678366</v>
      </c>
      <c r="E64" s="124">
        <f t="shared" si="4"/>
        <v>25.018431775442661</v>
      </c>
      <c r="F64" s="124">
        <f t="shared" si="4"/>
        <v>26.94410555235569</v>
      </c>
      <c r="H64" s="120"/>
    </row>
    <row r="65" spans="1:8" ht="13.15">
      <c r="A65" s="144">
        <f t="shared" si="3"/>
        <v>25</v>
      </c>
      <c r="B65" s="124">
        <f t="shared" si="4"/>
        <v>20.352666880000008</v>
      </c>
      <c r="C65" s="124">
        <f t="shared" si="4"/>
        <v>20.352666880000008</v>
      </c>
      <c r="D65" s="124">
        <f t="shared" si="4"/>
        <v>24.097117424839325</v>
      </c>
      <c r="E65" s="124">
        <f t="shared" si="4"/>
        <v>26.380558615332532</v>
      </c>
      <c r="F65" s="124">
        <f t="shared" si="4"/>
        <v>29.000697349618179</v>
      </c>
    </row>
    <row r="66" spans="1:8" ht="13.15">
      <c r="A66" s="144">
        <f t="shared" si="3"/>
        <v>30</v>
      </c>
      <c r="B66" s="124">
        <f t="shared" si="4"/>
        <v>20.352666880000008</v>
      </c>
      <c r="C66" s="124">
        <f t="shared" si="4"/>
        <v>20.352666880000008</v>
      </c>
      <c r="D66" s="124">
        <f t="shared" si="4"/>
        <v>24.822958997827168</v>
      </c>
      <c r="E66" s="124">
        <f t="shared" si="4"/>
        <v>27.646616432506168</v>
      </c>
      <c r="F66" s="124">
        <f t="shared" si="4"/>
        <v>30.971779879689578</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15</v>
      </c>
      <c r="E69" s="135">
        <f>INDEX(B$60:F$66, MATCH(D69, A$60:A$66, 0), MATCH(C69, B$59:F$59, 0))</f>
        <v>24.903908111488704</v>
      </c>
      <c r="F69" s="142">
        <f>Scenarios!C58</f>
        <v>0.05</v>
      </c>
    </row>
    <row r="70" spans="1:8">
      <c r="B70" s="127" t="str">
        <f>Scenarios!B36</f>
        <v>Optimistic</v>
      </c>
      <c r="C70" s="142">
        <f>Scenarios!C38</f>
        <v>0.03</v>
      </c>
      <c r="D70" s="145">
        <f>Scenarios!C37</f>
        <v>10</v>
      </c>
      <c r="E70" s="135">
        <f>INDEX(B$60:F$66, MATCH(D70, A$60:A$66, 0), MATCH(C70, B$59:F$59, 0))</f>
        <v>22.327824621225048</v>
      </c>
      <c r="F70" s="142">
        <f>Scenarios!C40*(1-F$69-F$73)</f>
        <v>0.18</v>
      </c>
      <c r="H70" s="120"/>
    </row>
    <row r="71" spans="1:8">
      <c r="B71" s="127" t="str">
        <f>Scenarios!B24</f>
        <v>Base</v>
      </c>
      <c r="C71" s="142">
        <f>Scenarios!C26</f>
        <v>0.02</v>
      </c>
      <c r="D71" s="145">
        <f>Scenarios!C25</f>
        <v>10</v>
      </c>
      <c r="E71" s="135">
        <f>INDEX(B$60:F$66, MATCH(D71, A$60:A$66, 0), MATCH(C71, B$59:F$59, 0))</f>
        <v>21.638050473154795</v>
      </c>
      <c r="F71" s="142">
        <f>Scenarios!C28*(1-F$69-F$73)</f>
        <v>0.53999999999999992</v>
      </c>
      <c r="H71" s="120"/>
    </row>
    <row r="72" spans="1:8">
      <c r="B72" s="127" t="str">
        <f>Scenarios!B30</f>
        <v>Pessimistic</v>
      </c>
      <c r="C72" s="142">
        <f>Scenarios!C32</f>
        <v>0</v>
      </c>
      <c r="D72" s="145">
        <f>Scenarios!C31</f>
        <v>10</v>
      </c>
      <c r="E72" s="135">
        <f>INDEX(B$60:F$66, MATCH(D72, A$60:A$66, 0), MATCH(C72, B$59:F$59, 0))</f>
        <v>20.352666880000008</v>
      </c>
      <c r="F72" s="142">
        <f>Scenarios!C34*(1-F$69-F$73)</f>
        <v>0.18</v>
      </c>
      <c r="H72" s="120"/>
    </row>
    <row r="73" spans="1:8">
      <c r="B73" s="127" t="str">
        <f>Scenarios!B48</f>
        <v>Devil's advocate</v>
      </c>
      <c r="C73" s="142">
        <f>Scenarios!C50</f>
        <v>0</v>
      </c>
      <c r="D73" s="145">
        <f>Scenarios!C49</f>
        <v>15</v>
      </c>
      <c r="E73" s="135">
        <f>INDEX(B$60:F$66, MATCH(D73, A$60:A$66, 0), MATCH(C73, B$59:F$59, 0))</f>
        <v>20.352666880000008</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-18.100000000000001</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30.945078131229025</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18.100000000000001</v>
      </c>
      <c r="D21" t="str">
        <f>Market_currency</f>
        <v>HKD</v>
      </c>
      <c r="E21" s="367"/>
      <c r="F21" s="367"/>
    </row>
    <row r="22" spans="2:6">
      <c r="B22" s="100" t="s">
        <v>278</v>
      </c>
      <c r="C22" s="160">
        <f>IF(valuation_method="DCF",DCF!C12,DDM!C7)</f>
        <v>27.819423561773963</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29.556138443790065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27.819423561773966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30.488110062661761</v>
      </c>
      <c r="D39" t="str">
        <f>Market_currency</f>
        <v>HKD</v>
      </c>
      <c r="E39" s="365"/>
      <c r="F39" s="365"/>
    </row>
    <row r="40" spans="2:6">
      <c r="B40" s="100" t="s">
        <v>147</v>
      </c>
      <c r="C40" s="167">
        <f>1-C28-C34</f>
        <v>0.2</v>
      </c>
      <c r="D40" s="165"/>
      <c r="E40" s="365"/>
      <c r="F40" s="365"/>
    </row>
    <row r="42" spans="2:6" ht="13.15">
      <c r="B42" s="100" t="s">
        <v>120</v>
      </c>
      <c r="C42" s="154">
        <f>C27*C28+C33*C34+C39*C40</f>
        <v>29.395189791161183</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27.819423561773966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0.04</v>
      </c>
      <c r="D56" s="164"/>
      <c r="E56" s="365"/>
      <c r="F56" s="365"/>
    </row>
    <row r="57" spans="2:6">
      <c r="B57" s="100" t="s">
        <v>113</v>
      </c>
      <c r="C57" s="160">
        <f>IF(valuation_method="DCF",DCF!E74,DDM!E69)</f>
        <v>33.968722821905303</v>
      </c>
      <c r="D57" t="str">
        <f>Market_currency</f>
        <v>HKD</v>
      </c>
      <c r="E57" s="365"/>
      <c r="F57" s="365"/>
    </row>
    <row r="58" spans="2:6">
      <c r="B58" s="100" t="s">
        <v>147</v>
      </c>
      <c r="C58" s="165">
        <v>0.05</v>
      </c>
      <c r="D58" s="165"/>
      <c r="E58" s="365"/>
      <c r="F58" s="365"/>
    </row>
    <row r="60" spans="2:6" ht="13.15">
      <c r="B60" s="100" t="s">
        <v>120</v>
      </c>
      <c r="C60" s="154">
        <f>C51*C52+C57*C58+C42*(1-C52-C58)</f>
        <v>29.545078131229026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29.541904628040449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1.0844821210139102E-2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11.555757409515705</v>
      </c>
      <c r="D82" s="116"/>
    </row>
    <row r="83" spans="2:8" ht="13.15">
      <c r="B83" s="110" t="s">
        <v>101</v>
      </c>
      <c r="C83" s="111">
        <f>C81+C82</f>
        <v>13.875920456626506</v>
      </c>
      <c r="D83" t="str">
        <f>Market_currency</f>
        <v>HKD</v>
      </c>
      <c r="E83" s="146" t="s">
        <v>126</v>
      </c>
      <c r="F83" s="291">
        <f>(1-C83/C60)</f>
        <v>0.53034747801327642</v>
      </c>
    </row>
    <row r="84" spans="2:8">
      <c r="E84" s="120"/>
    </row>
    <row r="85" spans="2:8" ht="13.15">
      <c r="B85" s="109" t="s">
        <v>302</v>
      </c>
    </row>
    <row r="86" spans="2:8">
      <c r="B86" s="148" t="s">
        <v>300</v>
      </c>
      <c r="C86" s="116">
        <f>Market_Price</f>
        <v>18.100000000000001</v>
      </c>
      <c r="D86" t="str">
        <f>Market_currency</f>
        <v>HKD</v>
      </c>
    </row>
    <row r="87" spans="2:8" ht="13.15">
      <c r="B87" s="100" t="s">
        <v>298</v>
      </c>
      <c r="C87" s="237">
        <f ca="1">IRR(OFFSET($I$3, 0, 0, $C$76 + 1, 1))</f>
        <v>0.24410471793158006</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16.375148628723029</v>
      </c>
      <c r="D92" s="116"/>
    </row>
    <row r="93" spans="2:8" ht="13.15">
      <c r="B93" s="110" t="s">
        <v>101</v>
      </c>
      <c r="C93" s="111">
        <f>C91+C92</f>
        <v>19.24570978213394</v>
      </c>
      <c r="D93" t="str">
        <f>Market_currency</f>
        <v>HKD</v>
      </c>
      <c r="E93" s="146" t="s">
        <v>126</v>
      </c>
      <c r="F93" s="291">
        <f>(1-C93/C60)</f>
        <v>0.34859844686647479</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23.782622918719834</v>
      </c>
      <c r="D98" s="116"/>
      <c r="G98" s="2"/>
      <c r="H98" s="281"/>
    </row>
    <row r="99" spans="2:8" ht="13.15">
      <c r="B99" s="110" t="s">
        <v>398</v>
      </c>
      <c r="C99" s="111">
        <f>C97+C98</f>
        <v>27.423358954540578</v>
      </c>
      <c r="D99" t="s">
        <v>396</v>
      </c>
      <c r="E99" s="146" t="s">
        <v>126</v>
      </c>
      <c r="F99" s="291">
        <f>(1-C99/C60)</f>
        <v>7.1812948581977176E-2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21.176741812992766</v>
      </c>
      <c r="D104" s="116"/>
    </row>
    <row r="105" spans="2:8" ht="13.15">
      <c r="B105" s="110" t="s">
        <v>398</v>
      </c>
      <c r="C105" s="111">
        <f>C103+C104</f>
        <v>24.554386189306875</v>
      </c>
      <c r="D105" t="s">
        <v>396</v>
      </c>
      <c r="E105" s="146" t="s">
        <v>126</v>
      </c>
      <c r="F105" s="291">
        <f>(1-C105/C66)</f>
        <v>0.1688286013217829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