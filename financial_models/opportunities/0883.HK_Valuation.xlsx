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865FDA5B-5618-AD45-A9AF-8A0F117067BA}" xr6:coauthVersionLast="47" xr6:coauthVersionMax="47" xr10:uidLastSave="{00000000-0000-0000-0000-000000000000}"/>
  <bookViews>
    <workbookView xWindow="2380" yWindow="52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C62" i="10"/>
  <c r="C64" i="10"/>
  <c r="C66" i="10"/>
  <c r="B66" i="10"/>
  <c r="B63" i="10"/>
  <c r="B64" i="10"/>
  <c r="F65" i="10"/>
  <c r="D62" i="10"/>
  <c r="D64" i="10"/>
  <c r="D66" i="10"/>
  <c r="B61" i="10"/>
  <c r="B62" i="10"/>
  <c r="D65" i="10"/>
  <c r="E62" i="10"/>
  <c r="E64" i="10"/>
  <c r="E66" i="10"/>
  <c r="C63" i="10"/>
  <c r="D61" i="10"/>
  <c r="E63" i="10"/>
  <c r="F61" i="10"/>
  <c r="F62" i="10"/>
  <c r="F64" i="10"/>
  <c r="F66" i="10"/>
  <c r="C65" i="10"/>
  <c r="D63" i="10"/>
  <c r="E65" i="10"/>
  <c r="F63" i="10"/>
  <c r="C61" i="10"/>
  <c r="B65" i="10"/>
  <c r="E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67" i="8"/>
  <c r="C70" i="8"/>
  <c r="E66" i="8"/>
  <c r="D71" i="8"/>
  <c r="D70" i="8"/>
  <c r="B70" i="8"/>
  <c r="C66" i="8"/>
  <c r="E70" i="8"/>
  <c r="F71" i="8"/>
  <c r="B68" i="8"/>
  <c r="B67" i="8"/>
  <c r="G54" i="2"/>
  <c r="C54" i="2" s="1"/>
  <c r="B66" i="8" l="1"/>
  <c r="E67" i="8"/>
  <c r="D69"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82" i="9"/>
  <c r="C83" i="9" s="1"/>
  <c r="F83" i="9" s="1"/>
  <c r="C98" i="9"/>
  <c r="C159" i="6" s="1"/>
  <c r="F72" i="9"/>
  <c r="C72" i="9" s="1"/>
  <c r="C104" i="9"/>
  <c r="C105" i="9" s="1"/>
  <c r="C168" i="6" s="1"/>
  <c r="C87" i="9"/>
  <c r="H76" i="2"/>
  <c r="H120" i="2"/>
  <c r="H116" i="2" s="1"/>
  <c r="H13" i="2"/>
  <c r="C99" i="9" l="1"/>
  <c r="C160" i="6" s="1"/>
  <c r="C143" i="6"/>
  <c r="C167" i="6"/>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<sst xmlns="http://schemas.openxmlformats.org/spreadsheetml/2006/main" count="683" uniqueCount="463">
  <si>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</si>
  <si>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</si>
  <si>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</si>
  <si>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</si>
  <si>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</si>
  <si>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</si>
  <si>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</si>
  <si>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</si>
  <si>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</si>
  <si>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</si>
  <si>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</si>
  <si>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</si>
  <si>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</si>
  <si>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</si>
  <si>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</si>
  <si>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</si>
  <si>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</si>
  <si>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</si>
  <si>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</si>
  <si>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</si>
  <si>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</si>
  <si>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</si>
  <si>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</si>
  <si>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</si>
  <si>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</si>
  <si>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</si>
  <si>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</si>
  <si>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</si>
  <si>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</si>
  <si>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</si>
  <si>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</si>
  <si>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</si>
  <si>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</si>
  <si>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</si>
  <si>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</si>
  <si>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</si>
  <si>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</si>
  <si>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</si>
  <si>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</si>
  <si>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</si>
  <si>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</si>
  <si>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</si>
  <si>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</si>
  <si>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</si>
  <si>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</si>
  <si>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</si>
  <si>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</si>
  <si>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</si>
  <si>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</si>
  <si>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</si>
  <si>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</si>
  <si>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</si>
  <si>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</si>
  <si>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</si>
  <si>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</si>
  <si>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</si>
  <si>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</si>
  <si>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</si>
  <si>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</si>
  <si>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</si>
  <si>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</si>
  <si>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</si>
  <si>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</si>
  <si>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</si>
  <si>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</si>
  <si>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</si>
  <si>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</si>
  <si>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</si>
  <si>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</si>
  <si>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</si>
  <si>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</si>
  <si>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</si>
  <si>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</si>
  <si>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</si>
  <si>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</si>
  <si>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</si>
  <si>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</si>
  <si>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</si>
  <si>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</si>
  <si>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</si>
  <si>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</si>
  <si>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</si>
  <si>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</si>
  <si>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</si>
  <si>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</si>
  <si>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</si>
  <si>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</si>
  <si>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</si>
  <si>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</si>
  <si>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</si>
  <si>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</si>
  <si>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</si>
  <si>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</si>
  <si>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</si>
  <si>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</si>
  <si>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</si>
  <si>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</si>
  <si>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</si>
  <si>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</si>
  <si>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</si>
  <si>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</si>
  <si>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</si>
  <si>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</si>
  <si>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</si>
  <si>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</si>
  <si>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</si>
  <si>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</si>
  <si>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</si>
  <si>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</si>
  <si>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</si>
  <si>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</si>
  <si>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</si>
  <si>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</si>
  <si>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</si>
  <si>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</si>
  <si>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</si>
  <si>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</si>
  <si>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</si>
  <si>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</si>
  <si>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</si>
  <si>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</si>
  <si>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</si>
  <si>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</si>
  <si>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</si>
  <si>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</si>
  <si>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</si>
  <si>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</si>
  <si>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</si>
  <si>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</si>
  <si>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</si>
  <si>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</si>
  <si>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</si>
  <si>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</si>
  <si>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</si>
  <si>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</si>
  <si>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</si>
  <si>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</si>
  <si>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</si>
  <si>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</si>
  <si>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</si>
  <si>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</si>
  <si>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</si>
  <si>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</si>
  <si>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</si>
  <si>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</si>
  <si>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</si>
  <si>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</si>
  <si>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</si>
  <si>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</si>
  <si>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</si>
  <si>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</si>
  <si>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</si>
  <si>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</si>
  <si>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</si>
  <si>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</si>
  <si>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</si>
  <si>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</si>
  <si>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</si>
  <si>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</si>
  <si>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</si>
  <si>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</si>
  <si>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</si>
  <si>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</si>
  <si>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</si>
  <si>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</si>
  <si>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</si>
  <si>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</si>
  <si>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</si>
  <si>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</si>
  <si>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</si>
  <si>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</si>
  <si>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</si>
  <si>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</si>
  <si>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</si>
  <si>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</si>
  <si>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</si>
  <si>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</si>
  <si>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</si>
  <si>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</si>
  <si>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</si>
  <si>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</si>
  <si>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</si>
  <si>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</si>
  <si>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</si>
  <si>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</si>
  <si>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</si>
  <si>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</si>
  <si>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</si>
  <si>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</si>
  <si>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</si>
  <si>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</si>
  <si>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</si>
  <si>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</si>
  <si>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</si>
  <si>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</si>
  <si>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</si>
  <si>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</si>
  <si>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</si>
  <si>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</si>
  <si>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</si>
  <si>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</si>
  <si>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</si>
  <si>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</si>
  <si>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</si>
  <si>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</si>
  <si>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</si>
  <si>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</si>
  <si>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</si>
  <si>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</si>
  <si>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</si>
  <si>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</si>
  <si>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</si>
  <si>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</si>
  <si>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</si>
  <si>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</si>
  <si>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</si>
  <si>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</si>
  <si>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</si>
  <si>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</si>
  <si>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</si>
  <si>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</si>
  <si>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</si>
  <si>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</si>
  <si>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</si>
  <si>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</si>
  <si>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</si>
  <si>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</si>
  <si>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</si>
  <si>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</si>
  <si>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</si>
  <si>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</si>
  <si>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</si>
  <si>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</si>
  <si>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</si>
  <si>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</si>
  <si>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</si>
  <si>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</si>
  <si>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</si>
  <si>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</si>
  <si>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</si>
  <si>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</si>
  <si>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</si>
  <si>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</si>
  <si>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</si>
  <si>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</si>
  <si>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</si>
  <si>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</si>
  <si>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</si>
  <si>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</si>
  <si>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</si>
  <si>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</si>
  <si>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</si>
  <si>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</si>
  <si>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</si>
  <si>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</si>
  <si>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</si>
  <si>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</si>
  <si>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</si>
  <si>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</si>
  <si>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</si>
  <si>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</si>
  <si>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</si>
  <si>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</si>
  <si>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</si>
  <si>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</si>
  <si>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</si>
  <si>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</si>
  <si>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</si>
  <si>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</si>
  <si>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</si>
  <si>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</si>
  <si>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</si>
  <si>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</si>
  <si>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</si>
  <si>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</si>
  <si>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</si>
  <si>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</si>
  <si>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</si>
  <si>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</si>
  <si>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</si>
  <si>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</si>
  <si>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</si>
  <si>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</si>
  <si>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</si>
  <si>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</si>
  <si>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</si>
  <si>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</si>
  <si>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</si>
  <si>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</si>
  <si>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</si>
  <si>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</si>
  <si>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</si>
  <si>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</si>
  <si>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</si>
  <si>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</si>
  <si>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</si>
  <si>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</si>
  <si>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</si>
  <si>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</si>
  <si>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</si>
  <si>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</si>
  <si>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</si>
  <si>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</si>
  <si>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</si>
  <si>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</si>
  <si>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</si>
  <si>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</si>
  <si>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</si>
  <si>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</si>
  <si>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</si>
  <si>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</si>
  <si>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</si>
  <si>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</si>
  <si>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</si>
  <si>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</si>
  <si>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</si>
  <si>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</si>
  <si>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</si>
  <si>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</si>
  <si>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</si>
  <si>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</si>
  <si>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</si>
  <si>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</si>
  <si>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</si>
  <si>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</si>
  <si>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</si>
  <si>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</si>
  <si>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</si>
  <si>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</si>
  <si>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</si>
  <si>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</si>
  <si>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</si>
  <si>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</si>
  <si>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</si>
  <si>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</si>
  <si>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</si>
  <si>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</si>
  <si>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</si>
  <si>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</si>
  <si>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</si>
  <si>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</si>
  <si>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</si>
  <si>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</si>
  <si>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</si>
  <si>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</si>
  <si>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</si>
  <si>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</si>
  <si>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</si>
  <si>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</si>
  <si>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</si>
  <si>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</si>
  <si>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</si>
  <si>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</si>
  <si>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</si>
  <si>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</si>
  <si>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</si>
  <si>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</si>
  <si>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</si>
  <si>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</si>
  <si>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</si>
  <si>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</si>
  <si>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</si>
  <si>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</si>
  <si>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</si>
  <si>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</si>
  <si>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</si>
  <si>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</si>
  <si>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</si>
  <si>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</si>
  <si>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</si>
  <si>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</si>
  <si>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</si>
  <si>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</si>
  <si>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</si>
  <si>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</si>
  <si>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</si>
  <si>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</si>
  <si>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</si>
  <si>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</si>
  <si>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</si>
  <si>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</si>
  <si>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</si>
  <si>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</si>
  <si>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</si>
  <si>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</si>
  <si>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</si>
  <si>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</si>
  <si>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</si>
  <si>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</si>
  <si>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</si>
  <si>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</si>
  <si>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</si>
  <si>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</si>
  <si>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</si>
  <si>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</si>
  <si>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</si>
  <si>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</si>
  <si>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</si>
  <si>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</si>
  <si>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</si>
  <si>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</si>
  <si>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</si>
  <si>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</si>
  <si>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</si>
  <si>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</si>
  <si>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</si>
  <si>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</si>
  <si>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</si>
  <si>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</si>
  <si>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</si>
  <si>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</si>
  <si>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</si>
  <si>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</si>
  <si>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</si>
  <si>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</si>
  <si>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</si>
  <si>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</si>
  <si>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</si>
  <si>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</si>
  <si>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</si>
  <si>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</si>
  <si>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</si>
  <si>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</si>
  <si>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</si>
  <si>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</si>
  <si>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</si>
  <si>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</si>
  <si>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</si>
  <si>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</si>
  <si>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</si>
  <si>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</si>
  <si>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</si>
  <si>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</si>
  <si>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</si>
  <si>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</si>
  <si>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</si>
  <si>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</si>
  <si>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</si>
  <si>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</si>
  <si>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</si>
  <si>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</si>
  <si>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</si>
  <si>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</si>
  <si>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</si>
  <si>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</si>
  <si>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</si>
  <si>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</si>
  <si>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</si>
  <si>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</si>
  <si>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</si>
  <si>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</si>
  <si>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</si>
  <si>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</si>
  <si>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中国海油</t>
  </si>
  <si>
    <t>0883.HK</t>
  </si>
  <si>
    <t>600938.SS</t>
  </si>
  <si>
    <t>ENG_01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</si>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</sst>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45792</v>
      </c>
      <c r="D1" s="358"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47529953984</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17.239999999999998</v>
      </c>
      <c r="D12" s="50">
        <v>25.72</v>
      </c>
      <c r="E12" s="48"/>
    </row>
    <row r="13" spans="1:10" x14ac:dyDescent="0.15">
      <c r="B13" s="1" t="s">
        <v>418</v>
      </c>
      <c r="C13" s="48" t="s">
        <v>397</v>
      </c>
      <c r="D13" s="48" t="s">
        <v>416</v>
      </c>
      <c r="E13" s="5"/>
    </row>
    <row r="14" spans="1:10" x14ac:dyDescent="0.15">
      <c r="B14" s="4" t="s">
        <v>422</v>
      </c>
      <c r="C14" s="35">
        <f>Thesis!C12*Common_Shares/1000000</f>
        <v>819416.40668415988</v>
      </c>
      <c r="D14" s="35">
        <f>IF(D11="","",Thesis!D12*Common_Shares/1000000)</f>
        <v>1222470.4164684799</v>
      </c>
      <c r="E14" s="5"/>
    </row>
    <row r="15" spans="1:10" x14ac:dyDescent="0.15">
      <c r="B15" s="4" t="s">
        <v>421</v>
      </c>
      <c r="C15" s="32" t="str">
        <f>IF(C25=C13,C13,C25&amp;"/"&amp;C13)</f>
        <v>CNY/HKD</v>
      </c>
      <c r="D15" s="32" t="str">
        <f>IF(D11="","",IF(C25=D13,D13,C25&amp;"/"&amp;D13))</f>
        <v>CNY</v>
      </c>
      <c r="E15" s="5"/>
    </row>
    <row r="16" spans="1:10" x14ac:dyDescent="0.15">
      <c r="B16" s="4" t="s">
        <v>1</v>
      </c>
      <c r="C16" s="50">
        <v>1.0837740600000001</v>
      </c>
      <c r="D16" s="50">
        <v>1</v>
      </c>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HKD/CNY:</v>
      </c>
      <c r="E25" s="329">
        <f>IF(D11="","",1/Exchange_Rate*D16)</f>
        <v>0.92270154537561078</v>
      </c>
    </row>
    <row r="26" spans="2:6" x14ac:dyDescent="0.15">
      <c r="B26" s="1" t="str">
        <f>"Expected Equity Value ("&amp;C13&amp;") :"</f>
        <v>Expected Equity Value (HKD) :</v>
      </c>
      <c r="C26" s="334">
        <f>C127</f>
        <v>27.585840894032099</v>
      </c>
      <c r="D26" s="1" t="s">
        <v>400</v>
      </c>
      <c r="E26" s="331">
        <f ca="1">Scenarios!C87</f>
        <v>0.24005737138914962</v>
      </c>
    </row>
    <row r="27" spans="2:6" x14ac:dyDescent="0.15">
      <c r="D27" s="5"/>
      <c r="E27" s="5"/>
    </row>
    <row r="28" spans="2:6" x14ac:dyDescent="0.15">
      <c r="B28" s="45" t="s">
        <v>435</v>
      </c>
      <c r="C28" s="339" t="str">
        <f>C140&amp;" ("&amp;Market_currency&amp;")"</f>
        <v>0883.HK (HKD)</v>
      </c>
      <c r="D28" s="339" t="str">
        <f>IF(D11="","",D140&amp;" ("&amp;D13&amp;")")</f>
        <v>600938.SS (CNY)</v>
      </c>
      <c r="E28" s="335" t="s">
        <v>431</v>
      </c>
      <c r="F28" s="333">
        <v>3</v>
      </c>
    </row>
    <row r="29" spans="2:6" x14ac:dyDescent="0.15">
      <c r="B29" s="1" t="s">
        <v>427</v>
      </c>
      <c r="C29" s="340">
        <f>C144</f>
        <v>12.277638809778463</v>
      </c>
      <c r="D29" s="340">
        <f>D144</f>
        <v>11.328596303346162</v>
      </c>
      <c r="E29" s="336" t="s">
        <v>426</v>
      </c>
      <c r="F29" s="332">
        <v>0.4</v>
      </c>
    </row>
    <row r="30" spans="2:6" x14ac:dyDescent="0.15">
      <c r="B30" s="1" t="s">
        <v>428</v>
      </c>
      <c r="C30" s="341">
        <f>C152</f>
        <v>18.159816530624241</v>
      </c>
      <c r="D30" s="341">
        <f>D152</f>
        <v>16.75609077654455</v>
      </c>
      <c r="E30" s="337" t="s">
        <v>439</v>
      </c>
      <c r="F30" s="342">
        <v>0.21740000000000001</v>
      </c>
    </row>
    <row r="31" spans="2:6" x14ac:dyDescent="0.15">
      <c r="B31" s="1" t="s">
        <v>429</v>
      </c>
      <c r="C31" s="341">
        <f>C160</f>
        <v>25.506465679482371</v>
      </c>
      <c r="D31" s="341">
        <f>D160</f>
        <v>23.534855299528363</v>
      </c>
      <c r="E31" s="337" t="s">
        <v>438</v>
      </c>
      <c r="F31" s="342">
        <v>0.08</v>
      </c>
    </row>
    <row r="32" spans="2:6" x14ac:dyDescent="0.15">
      <c r="B32" s="1" t="s">
        <v>430</v>
      </c>
      <c r="C32" s="341">
        <f>C168</f>
        <v>23.150082537164369</v>
      </c>
      <c r="D32" s="341">
        <f>D168</f>
        <v>21.360616932614505</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1000000</v>
      </c>
    </row>
    <row r="40" spans="1:6" ht="24.5" customHeight="1" x14ac:dyDescent="0.15">
      <c r="B40" s="347" t="s">
        <v>232</v>
      </c>
      <c r="C40" s="347"/>
      <c r="D40" s="347"/>
      <c r="E40" s="347"/>
      <c r="F40" s="347"/>
    </row>
    <row r="41" spans="1:6" x14ac:dyDescent="0.15">
      <c r="B41" s="47" t="s">
        <v>233</v>
      </c>
      <c r="C41" s="76">
        <f>Normalized_FCF!C8</f>
        <v>122178.06382484984</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74606</v>
      </c>
      <c r="D44" s="1" t="str">
        <f>Reporting_currency</f>
        <v>CNY</v>
      </c>
    </row>
    <row r="45" spans="1:6" x14ac:dyDescent="0.15">
      <c r="B45" s="52" t="s">
        <v>236</v>
      </c>
      <c r="C45" s="76">
        <f>Normalized_FCF!C10</f>
        <v>-74606</v>
      </c>
      <c r="D45" s="1" t="str">
        <f>Reporting_currency</f>
        <v>CNY</v>
      </c>
    </row>
    <row r="47" spans="1:6" x14ac:dyDescent="0.15">
      <c r="B47" s="347" t="s">
        <v>237</v>
      </c>
      <c r="C47" s="347"/>
      <c r="D47" s="347"/>
      <c r="E47" s="347"/>
      <c r="F47" s="347"/>
    </row>
    <row r="48" spans="1:6" x14ac:dyDescent="0.15">
      <c r="B48" s="47" t="s">
        <v>238</v>
      </c>
      <c r="C48" s="76">
        <f>Normalized_FCF!C11</f>
        <v>0</v>
      </c>
      <c r="D48" s="1" t="str">
        <f>Reporting_currency</f>
        <v>CNY</v>
      </c>
    </row>
    <row r="50" spans="2:6" x14ac:dyDescent="0.15">
      <c r="B50" s="347" t="s">
        <v>241</v>
      </c>
      <c r="C50" s="347"/>
      <c r="D50" s="347"/>
      <c r="E50" s="347"/>
      <c r="F50" s="347"/>
    </row>
    <row r="51" spans="2:6" x14ac:dyDescent="0.15">
      <c r="B51" s="47" t="s">
        <v>341</v>
      </c>
      <c r="C51" s="312">
        <f>Normalized_FCF!C48</f>
        <v>801.81967938187529</v>
      </c>
      <c r="D51" s="1" t="str">
        <f>Reporting_currency</f>
        <v>CNY</v>
      </c>
      <c r="E51" s="311"/>
      <c r="F51" s="311"/>
    </row>
    <row r="52" spans="2:6" x14ac:dyDescent="0.15">
      <c r="B52" s="47" t="s">
        <v>342</v>
      </c>
      <c r="C52" s="312">
        <f>Normalized_FCF!C47</f>
        <v>-2807</v>
      </c>
      <c r="D52" s="1" t="str">
        <f>Reporting_currency</f>
        <v>CNY</v>
      </c>
      <c r="E52" s="311"/>
      <c r="F52" s="311"/>
    </row>
    <row r="53" spans="2:6" x14ac:dyDescent="0.15">
      <c r="B53" s="47" t="s">
        <v>239</v>
      </c>
      <c r="C53" s="76">
        <f>Normalized_FCF!C12</f>
        <v>-2005.1803206181248</v>
      </c>
      <c r="D53" s="1" t="str">
        <f>Reporting_currency</f>
        <v>CNY</v>
      </c>
    </row>
    <row r="55" spans="2:6" x14ac:dyDescent="0.15">
      <c r="B55" s="1" t="s">
        <v>247</v>
      </c>
    </row>
    <row r="56" spans="2:6" x14ac:dyDescent="0.15">
      <c r="B56" s="47" t="s">
        <v>266</v>
      </c>
      <c r="C56" s="76">
        <f>Normalized_FCF!C15</f>
        <v>-223.13946170149947</v>
      </c>
      <c r="D56" s="1" t="str">
        <f>Reporting_currency</f>
        <v>CNY</v>
      </c>
    </row>
    <row r="58" spans="2:6" x14ac:dyDescent="0.15">
      <c r="B58" s="347" t="s">
        <v>242</v>
      </c>
      <c r="C58" s="347"/>
      <c r="D58" s="347"/>
      <c r="E58" s="347"/>
      <c r="F58" s="347"/>
    </row>
    <row r="59" spans="2:6" x14ac:dyDescent="0.15">
      <c r="B59" s="47" t="s">
        <v>240</v>
      </c>
      <c r="C59" s="76">
        <f>Normalized_FCF!C14</f>
        <v>-30043.220876057931</v>
      </c>
      <c r="D59" s="1" t="str">
        <f>Reporting_currency</f>
        <v>CNY</v>
      </c>
    </row>
    <row r="61" spans="2:6" x14ac:dyDescent="0.15">
      <c r="B61" s="347" t="s">
        <v>339</v>
      </c>
      <c r="C61" s="350"/>
      <c r="D61" s="350"/>
      <c r="E61" s="350"/>
      <c r="F61" s="350"/>
    </row>
    <row r="62" spans="2:6" x14ac:dyDescent="0.15">
      <c r="B62" s="47" t="s">
        <v>243</v>
      </c>
      <c r="C62" s="1">
        <f>Normalized_FCF!C17</f>
        <v>0</v>
      </c>
      <c r="D62" s="1" t="str">
        <f>Reporting_currency</f>
        <v>CNY</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141358.4276163358</v>
      </c>
      <c r="D67" s="1" t="str">
        <f>Reporting_currency</f>
        <v>CNY</v>
      </c>
    </row>
    <row r="68" spans="1:6" x14ac:dyDescent="0.15">
      <c r="B68" s="47" t="s">
        <v>249</v>
      </c>
      <c r="C68" s="76">
        <f>Normalized_FCF!C19</f>
        <v>89906.523166472296</v>
      </c>
      <c r="D68" s="1" t="str">
        <f>Reporting_currency</f>
        <v>CNY</v>
      </c>
    </row>
    <row r="69" spans="1:6" x14ac:dyDescent="0.15">
      <c r="B69" s="249" t="s">
        <v>391</v>
      </c>
      <c r="C69" s="92">
        <f>Normalized_FCF!C125</f>
        <v>0.11891189490201272</v>
      </c>
      <c r="F69" s="344"/>
    </row>
    <row r="70" spans="1:6" x14ac:dyDescent="0.15">
      <c r="B70" s="249" t="s">
        <v>309</v>
      </c>
      <c r="C70" s="92">
        <f>Normalized_FCF!C93</f>
        <v>8.1206496519721574E-2</v>
      </c>
      <c r="E70" s="47" t="s">
        <v>450</v>
      </c>
      <c r="F70" s="345">
        <f>Normalized_FCF!C92</f>
        <v>0.74012355537751062</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25.625513351383745</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91887</v>
      </c>
      <c r="D96" s="1" t="str">
        <f>Reporting_currency</f>
        <v>CNY</v>
      </c>
    </row>
    <row r="97" spans="2:6" x14ac:dyDescent="0.15">
      <c r="B97" s="47" t="s">
        <v>282</v>
      </c>
      <c r="C97" s="245">
        <f>C96*scaling_factor*Exchange_Rate/Common_Shares</f>
        <v>2.0951997362493384</v>
      </c>
      <c r="D97" s="1" t="str">
        <f>Market_currency</f>
        <v>HKD</v>
      </c>
    </row>
    <row r="98" spans="2:6" x14ac:dyDescent="0.15">
      <c r="B98" s="325" t="s">
        <v>405</v>
      </c>
      <c r="C98" s="326">
        <f>BS!G30/BS!G27</f>
        <v>0.40943456145688223</v>
      </c>
    </row>
    <row r="99" spans="2:6" x14ac:dyDescent="0.15">
      <c r="B99" s="325" t="s">
        <v>406</v>
      </c>
      <c r="C99" s="326">
        <f>BS!G31/BS!G27</f>
        <v>0.12260820136742831</v>
      </c>
    </row>
    <row r="100" spans="2:6" x14ac:dyDescent="0.15">
      <c r="B100" s="325" t="s">
        <v>408</v>
      </c>
      <c r="C100" s="327">
        <f>BS!C50</f>
        <v>0.75207444874659302</v>
      </c>
    </row>
    <row r="102" spans="2:6" x14ac:dyDescent="0.15">
      <c r="B102" s="1" t="s">
        <v>255</v>
      </c>
    </row>
    <row r="103" spans="2:6" x14ac:dyDescent="0.15">
      <c r="B103" s="47" t="s">
        <v>265</v>
      </c>
      <c r="C103" s="76">
        <f>BS!C66</f>
        <v>154196</v>
      </c>
      <c r="D103" s="1" t="str">
        <f>Reporting_currency</f>
        <v>CNY</v>
      </c>
    </row>
    <row r="104" spans="2:6" x14ac:dyDescent="0.15">
      <c r="B104" s="47" t="s">
        <v>267</v>
      </c>
      <c r="C104" s="76">
        <f>DCF!C8</f>
        <v>100741.35470787497</v>
      </c>
      <c r="D104" s="1" t="str">
        <f>Reporting_currency</f>
        <v>CNY</v>
      </c>
    </row>
    <row r="105" spans="2:6" x14ac:dyDescent="0.15">
      <c r="B105" s="47" t="s">
        <v>283</v>
      </c>
      <c r="C105" s="245">
        <f>C104*scaling_factor*Exchange_Rate/Common_Shares</f>
        <v>2.2970959963143938</v>
      </c>
      <c r="D105" s="1" t="str">
        <f>Market_currency</f>
        <v>HKD</v>
      </c>
    </row>
    <row r="107" spans="2:6" x14ac:dyDescent="0.15">
      <c r="B107" s="1" t="s">
        <v>257</v>
      </c>
    </row>
    <row r="108" spans="2:6" x14ac:dyDescent="0.15">
      <c r="B108" s="47" t="s">
        <v>258</v>
      </c>
      <c r="C108" s="76">
        <f>DCF!C9</f>
        <v>5113.2</v>
      </c>
      <c r="D108" s="1" t="str">
        <f>Reporting_currency</f>
        <v>CNY</v>
      </c>
    </row>
    <row r="109" spans="2:6" x14ac:dyDescent="0.15">
      <c r="B109" s="47" t="s">
        <v>284</v>
      </c>
      <c r="C109" s="245">
        <f>C108*scaling_factor*Exchange_Rate/Common_Shares</f>
        <v>0.11659076138507207</v>
      </c>
      <c r="D109" s="1" t="str">
        <f>Market_currency</f>
        <v>HKD</v>
      </c>
    </row>
    <row r="111" spans="2:6" ht="24.5" customHeight="1" x14ac:dyDescent="0.15">
      <c r="B111" s="346" t="s">
        <v>367</v>
      </c>
      <c r="C111" s="346"/>
      <c r="D111" s="346"/>
      <c r="E111" s="346"/>
      <c r="F111" s="346"/>
    </row>
    <row r="113" spans="1:6" x14ac:dyDescent="0.15">
      <c r="B113" s="47" t="s">
        <v>451</v>
      </c>
      <c r="C113" s="245">
        <f>IF(valuation_method="DCF",DCF!C12,DDM!C7)</f>
        <v>25.944000372833873</v>
      </c>
      <c r="D113" s="1" t="str">
        <f>Market_currency</f>
        <v>HKD</v>
      </c>
    </row>
    <row r="114" spans="1:6" x14ac:dyDescent="0.15">
      <c r="B114" s="325" t="s">
        <v>407</v>
      </c>
      <c r="C114" s="245">
        <f>BS!D47</f>
        <v>-0.45424610691085382</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0.04</v>
      </c>
      <c r="D121" s="252">
        <f>DCF!D74</f>
        <v>15</v>
      </c>
      <c r="E121" s="253" t="str">
        <f>ROUND(IF(valuation_method="DCF",DCF!E74,DDM!E69),2)&amp;" "&amp;Market_currency</f>
        <v>31.76 HKD</v>
      </c>
      <c r="F121" s="254">
        <f>DCF!F74</f>
        <v>0.05</v>
      </c>
    </row>
    <row r="122" spans="1:6" x14ac:dyDescent="0.15">
      <c r="B122" s="240" t="str">
        <f>DCF!B75</f>
        <v>Optimistic</v>
      </c>
      <c r="C122" s="241">
        <f>DCF!C75</f>
        <v>0.03</v>
      </c>
      <c r="D122" s="242">
        <f>DCF!D75</f>
        <v>10</v>
      </c>
      <c r="E122" s="253" t="str">
        <f>ROUND(IF(valuation_method="DCF",DCF!E75,DDM!E70),2)&amp;" "&amp;Market_currency</f>
        <v>28.49 HKD</v>
      </c>
      <c r="F122" s="243">
        <f>DCF!F75</f>
        <v>0.18</v>
      </c>
    </row>
    <row r="123" spans="1:6" x14ac:dyDescent="0.15">
      <c r="B123" s="240" t="str">
        <f>DCF!B76</f>
        <v>Base</v>
      </c>
      <c r="C123" s="241">
        <f>DCF!C76</f>
        <v>0.02</v>
      </c>
      <c r="D123" s="242">
        <f>DCF!D76</f>
        <v>10</v>
      </c>
      <c r="E123" s="253" t="str">
        <f>ROUND(IF(valuation_method="DCF",DCF!E76,DDM!E71),2)&amp;" "&amp;Market_currency</f>
        <v>27.6 HKD</v>
      </c>
      <c r="F123" s="243">
        <f>DCF!F76</f>
        <v>0.53999999999999992</v>
      </c>
    </row>
    <row r="124" spans="1:6" x14ac:dyDescent="0.15">
      <c r="B124" s="240" t="str">
        <f>DCF!B77</f>
        <v>Pessimistic</v>
      </c>
      <c r="C124" s="241">
        <f>DCF!C77</f>
        <v>0</v>
      </c>
      <c r="D124" s="242">
        <f>DCF!D77</f>
        <v>10</v>
      </c>
      <c r="E124" s="253" t="str">
        <f>ROUND(IF(valuation_method="DCF",DCF!E77,DDM!E72),2)&amp;" "&amp;Market_currency</f>
        <v>25.94 HKD</v>
      </c>
      <c r="F124" s="243">
        <f>DCF!F77</f>
        <v>0.18</v>
      </c>
    </row>
    <row r="125" spans="1:6" x14ac:dyDescent="0.15">
      <c r="B125" s="240" t="str">
        <f>DCF!B78</f>
        <v>Devil's advocate</v>
      </c>
      <c r="C125" s="241">
        <f>DCF!C78</f>
        <v>0</v>
      </c>
      <c r="D125" s="242">
        <f>DCF!D78</f>
        <v>15</v>
      </c>
      <c r="E125" s="253" t="str">
        <f>ROUND(IF(valuation_method="DCF",DCF!E78,DDM!E73),2)&amp;" "&amp;Market_currency</f>
        <v>25.94 HKD</v>
      </c>
      <c r="F125" s="243">
        <f>DCF!F78</f>
        <v>0.05</v>
      </c>
    </row>
    <row r="127" spans="1:6" x14ac:dyDescent="0.15">
      <c r="B127" s="233" t="s">
        <v>259</v>
      </c>
      <c r="C127" s="239">
        <f>Scenarios!C60</f>
        <v>27.585840894032099</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1.4</v>
      </c>
      <c r="D138" s="234" t="str">
        <f>Market_currency</f>
        <v>HKD</v>
      </c>
    </row>
    <row r="140" spans="1:6" x14ac:dyDescent="0.15">
      <c r="B140" s="232" t="s">
        <v>410</v>
      </c>
      <c r="C140" s="263" t="str">
        <f>C11</f>
        <v>0883.HK</v>
      </c>
      <c r="D140" s="263" t="str">
        <f>IF(D11="","",D11)</f>
        <v>600938.SS</v>
      </c>
    </row>
    <row r="141" spans="1:6" x14ac:dyDescent="0.15">
      <c r="B141" s="1" t="s">
        <v>409</v>
      </c>
      <c r="C141" s="326">
        <f>F29</f>
        <v>0.4</v>
      </c>
    </row>
    <row r="142" spans="1:6" x14ac:dyDescent="0.15">
      <c r="B142" s="234" t="str">
        <f>"PV("&amp;C136&amp;" yrs of Dividends)"</f>
        <v>PV(3 yrs of Dividends)</v>
      </c>
      <c r="C142" s="238">
        <f>Scenarios!C81</f>
        <v>2.2244897959183665</v>
      </c>
    </row>
    <row r="143" spans="1:6" x14ac:dyDescent="0.15">
      <c r="B143" s="234" t="str">
        <f>"+ PV(Equity Value realized at year "&amp;C136&amp;")"</f>
        <v>+ PV(Equity Value realized at year 3)</v>
      </c>
      <c r="C143" s="238">
        <f>Scenarios!C82</f>
        <v>10.053149013860097</v>
      </c>
    </row>
    <row r="144" spans="1:6" x14ac:dyDescent="0.15">
      <c r="B144" s="80" t="s">
        <v>261</v>
      </c>
      <c r="C144" s="237">
        <f>Scenarios!C83</f>
        <v>12.277638809778463</v>
      </c>
      <c r="D144" s="330">
        <f>IF($D$11="","",C144*$E$25)</f>
        <v>11.328596303346162</v>
      </c>
    </row>
    <row r="145" spans="2:4" x14ac:dyDescent="0.15">
      <c r="B145" s="281" t="s">
        <v>418</v>
      </c>
      <c r="C145" s="328" t="str">
        <f>Market_currency</f>
        <v>HKD</v>
      </c>
      <c r="D145" s="328" t="str">
        <f>IF($D$11="","",D$13)</f>
        <v>CNY</v>
      </c>
    </row>
    <row r="146" spans="2:4" x14ac:dyDescent="0.15">
      <c r="B146" s="236" t="s">
        <v>263</v>
      </c>
      <c r="C146" s="92">
        <f>Scenarios!F83</f>
        <v>0.55492968813451693</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2.870561153410911</v>
      </c>
    </row>
    <row r="151" spans="2:4" x14ac:dyDescent="0.15">
      <c r="B151" s="234" t="str">
        <f>"+ PV(Equity Value realized at year "&amp;C136&amp;")"</f>
        <v>+ PV(Equity Value realized at year 3)</v>
      </c>
      <c r="C151" s="238">
        <f>Scenarios!C92</f>
        <v>15.289255377213331</v>
      </c>
    </row>
    <row r="152" spans="2:4" x14ac:dyDescent="0.15">
      <c r="B152" s="80" t="s">
        <v>261</v>
      </c>
      <c r="C152" s="237">
        <f>Scenarios!C93</f>
        <v>18.159816530624241</v>
      </c>
      <c r="D152" s="330">
        <f>IF($D$11="","",C152*$E$25)</f>
        <v>16.75609077654455</v>
      </c>
    </row>
    <row r="153" spans="2:4" x14ac:dyDescent="0.15">
      <c r="B153" s="281" t="s">
        <v>418</v>
      </c>
      <c r="C153" s="328" t="str">
        <f>Market_currency</f>
        <v>HKD</v>
      </c>
      <c r="D153" s="328" t="str">
        <f>IF($D$11="","",D$13)</f>
        <v>CNY</v>
      </c>
    </row>
    <row r="154" spans="2:4" x14ac:dyDescent="0.15">
      <c r="B154" s="236" t="s">
        <v>263</v>
      </c>
      <c r="C154" s="92">
        <f>Scenarios!F93</f>
        <v>0.3416979166818539</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3.6079357821470319</v>
      </c>
    </row>
    <row r="159" spans="2:4" x14ac:dyDescent="0.15">
      <c r="B159" s="234" t="str">
        <f>"+ PV(Equity Value realized at year "&amp;C136&amp;")"</f>
        <v>+ PV(Equity Value realized at year 3)</v>
      </c>
      <c r="C159" s="238">
        <f>Scenarios!C98</f>
        <v>21.89852989733534</v>
      </c>
    </row>
    <row r="160" spans="2:4" x14ac:dyDescent="0.15">
      <c r="B160" s="80" t="s">
        <v>402</v>
      </c>
      <c r="C160" s="237">
        <f>Scenarios!C99</f>
        <v>25.506465679482371</v>
      </c>
      <c r="D160" s="330">
        <f>IF($D$11="","",C160*$E$25)</f>
        <v>23.534855299528363</v>
      </c>
    </row>
    <row r="161" spans="1:6" x14ac:dyDescent="0.15">
      <c r="B161" s="281" t="s">
        <v>418</v>
      </c>
      <c r="C161" s="328" t="str">
        <f>Market_currency</f>
        <v>HKD</v>
      </c>
      <c r="D161" s="328" t="str">
        <f>IF($D$11="","",D$13)</f>
        <v>CNY</v>
      </c>
    </row>
    <row r="162" spans="1:6" x14ac:dyDescent="0.15">
      <c r="B162" s="236" t="s">
        <v>263</v>
      </c>
      <c r="C162" s="92">
        <f>Scenarios!F99</f>
        <v>7.5378351616592454E-2</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3.3776443763141084</v>
      </c>
    </row>
    <row r="167" spans="1:6" x14ac:dyDescent="0.15">
      <c r="B167" s="234" t="str">
        <f>"+ PV(Equity Value realized at year "&amp;C136&amp;")"</f>
        <v>+ PV(Equity Value realized at year 3)</v>
      </c>
      <c r="C167" s="238">
        <f>Scenarios!C104</f>
        <v>19.77243816085026</v>
      </c>
    </row>
    <row r="168" spans="1:6" x14ac:dyDescent="0.15">
      <c r="B168" s="80" t="s">
        <v>402</v>
      </c>
      <c r="C168" s="237">
        <f>Scenarios!C105</f>
        <v>23.150082537164369</v>
      </c>
      <c r="D168" s="330">
        <f>IF($D$11="","",C168*$E$25)</f>
        <v>21.360616932614505</v>
      </c>
    </row>
    <row r="169" spans="1:6" x14ac:dyDescent="0.15">
      <c r="B169" s="281" t="s">
        <v>418</v>
      </c>
      <c r="C169" s="328" t="str">
        <f>Market_currency</f>
        <v>HKD</v>
      </c>
      <c r="D169" s="328" t="str">
        <f>IF($D$11="","",D$13)</f>
        <v>CNY</v>
      </c>
    </row>
    <row r="170" spans="1:6" x14ac:dyDescent="0.15">
      <c r="B170" s="236" t="s">
        <v>263</v>
      </c>
      <c r="C170" s="92">
        <f>Scenarios!F105</f>
        <v>0.16076746951188714</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x14ac:dyDescent="0.15">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x14ac:dyDescent="0.15">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x14ac:dyDescent="0.15">
      <c r="B7" s="69" t="s">
        <v>61</v>
      </c>
      <c r="C7" s="188">
        <v>3532</v>
      </c>
      <c r="D7" s="188">
        <v>3501</v>
      </c>
      <c r="E7" s="188">
        <v>3355</v>
      </c>
      <c r="F7" s="188">
        <v>2694</v>
      </c>
      <c r="G7" s="188">
        <v>3048.0317</v>
      </c>
      <c r="H7" s="188">
        <v>2798.4634999999998</v>
      </c>
      <c r="I7" s="188">
        <v>2444.741</v>
      </c>
      <c r="J7" s="188">
        <v>56055</v>
      </c>
      <c r="K7" s="188">
        <v>49550</v>
      </c>
      <c r="L7" s="188">
        <v>46872</v>
      </c>
      <c r="M7" s="188"/>
    </row>
    <row r="8" spans="2:13" x14ac:dyDescent="0.15">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x14ac:dyDescent="0.15">
      <c r="B9" s="40" t="s">
        <v>160</v>
      </c>
      <c r="C9" s="181">
        <v>1836</v>
      </c>
      <c r="D9" s="181">
        <v>1931</v>
      </c>
      <c r="E9" s="181">
        <v>1911</v>
      </c>
      <c r="F9" s="181">
        <v>346</v>
      </c>
      <c r="G9" s="181">
        <v>-632.40350000000001</v>
      </c>
      <c r="H9" s="181">
        <v>1002.7065</v>
      </c>
      <c r="I9" s="181">
        <v>-5186.9755999999998</v>
      </c>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x14ac:dyDescent="0.15">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x14ac:dyDescent="0.15">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x14ac:dyDescent="0.15">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x14ac:dyDescent="0.15">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x14ac:dyDescent="0.15">
      <c r="B18" s="16" t="s">
        <v>51</v>
      </c>
      <c r="C18" s="9"/>
    </row>
    <row r="19" spans="2:13" ht="13" x14ac:dyDescent="0.15">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372</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ht="13" x14ac:dyDescent="0.15">
      <c r="B23" s="27" t="s">
        <v>374</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ht="13" x14ac:dyDescent="0.15">
      <c r="B24" s="27" t="s">
        <v>373</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x14ac:dyDescent="0.15">
      <c r="B25" s="24" t="str">
        <f>"Dividend per share ("&amp;Market_currency&amp;")"</f>
        <v>Dividend per share (HKD)</v>
      </c>
      <c r="C25" s="39">
        <f>0.66+0.74</f>
        <v>1.4</v>
      </c>
      <c r="D25" s="39">
        <f>0.66+0.59</f>
        <v>1.25</v>
      </c>
      <c r="E25" s="39">
        <f>0.75+0.7</f>
        <v>1.45</v>
      </c>
      <c r="F25" s="39"/>
      <c r="G25" s="39"/>
      <c r="H25" s="39"/>
      <c r="I25" s="39"/>
      <c r="J25" s="39"/>
      <c r="K25" s="39"/>
      <c r="L25" s="39"/>
      <c r="M25" s="39"/>
    </row>
    <row r="27" spans="2:13" x14ac:dyDescent="0.15">
      <c r="B27" s="16" t="s">
        <v>28</v>
      </c>
      <c r="C27" s="97" t="s">
        <v>459</v>
      </c>
    </row>
    <row r="28" spans="2:13" ht="13" x14ac:dyDescent="0.15">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ht="13" x14ac:dyDescent="0.15">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ht="13" x14ac:dyDescent="0.15">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ht="13" x14ac:dyDescent="0.15">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ht="13" x14ac:dyDescent="0.15">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x14ac:dyDescent="0.15">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ht="13" x14ac:dyDescent="0.15">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x14ac:dyDescent="0.15">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x14ac:dyDescent="0.15">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x14ac:dyDescent="0.15">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x14ac:dyDescent="0.15">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x14ac:dyDescent="0.15">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x14ac:dyDescent="0.15">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x14ac:dyDescent="0.15">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x14ac:dyDescent="0.15">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x14ac:dyDescent="0.15">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x14ac:dyDescent="0.15">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x14ac:dyDescent="0.15">
      <c r="B50" s="16" t="s">
        <v>68</v>
      </c>
    </row>
    <row r="51" spans="2:13" x14ac:dyDescent="0.15">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x14ac:dyDescent="0.15">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x14ac:dyDescent="0.15">
      <c r="B60" s="16" t="s">
        <v>51</v>
      </c>
      <c r="C60" s="9"/>
    </row>
    <row r="61" spans="2:13" ht="13" x14ac:dyDescent="0.15">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ht="13" x14ac:dyDescent="0.15">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x14ac:dyDescent="0.15">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ht="13" x14ac:dyDescent="0.15">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x14ac:dyDescent="0.15">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x14ac:dyDescent="0.15">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x14ac:dyDescent="0.15">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ht="13" x14ac:dyDescent="0.15">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4"/>
      <c r="J77" s="324"/>
      <c r="K77" s="324"/>
      <c r="L77" s="324"/>
      <c r="M77" s="324"/>
    </row>
    <row r="78" spans="2:13" ht="13" x14ac:dyDescent="0.15">
      <c r="B78" s="93" t="s">
        <v>87</v>
      </c>
      <c r="C78" s="185">
        <f t="shared" si="40"/>
        <v>5732</v>
      </c>
      <c r="D78" s="185">
        <f t="shared" si="40"/>
        <v>6451</v>
      </c>
      <c r="E78" s="185">
        <f t="shared" si="40"/>
        <v>6239</v>
      </c>
      <c r="F78" s="185">
        <f t="shared" si="40"/>
        <v>5703</v>
      </c>
      <c r="G78" s="185">
        <f t="shared" si="40"/>
        <v>5644.0001000000002</v>
      </c>
      <c r="H78" s="185">
        <f t="shared" si="40"/>
        <v>6313.6594999999998</v>
      </c>
      <c r="I78" s="324"/>
      <c r="J78" s="324"/>
      <c r="K78" s="324"/>
      <c r="L78" s="324"/>
      <c r="M78" s="324"/>
    </row>
    <row r="79" spans="2:13" ht="13" x14ac:dyDescent="0.15">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ht="13" x14ac:dyDescent="0.15">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33661</v>
      </c>
      <c r="D4" s="285">
        <v>0.6</v>
      </c>
      <c r="E4" s="25"/>
      <c r="F4" s="4" t="s">
        <v>78</v>
      </c>
      <c r="G4" s="19">
        <f>72912+81284</f>
        <v>154196</v>
      </c>
      <c r="H4" s="285">
        <v>0.9</v>
      </c>
    </row>
    <row r="5" spans="2:8" ht="15" customHeight="1" x14ac:dyDescent="0.15">
      <c r="B5" s="1" t="s">
        <v>33</v>
      </c>
      <c r="C5" s="19">
        <f>45771+4</f>
        <v>45775</v>
      </c>
      <c r="D5" s="285">
        <v>0.6</v>
      </c>
      <c r="E5" s="25"/>
      <c r="F5" s="1" t="s">
        <v>29</v>
      </c>
      <c r="G5" s="19">
        <v>0</v>
      </c>
      <c r="H5" s="285">
        <v>0.7</v>
      </c>
    </row>
    <row r="6" spans="2:8" ht="15" customHeight="1" x14ac:dyDescent="0.15">
      <c r="B6" s="4" t="s">
        <v>10</v>
      </c>
      <c r="C6" s="19">
        <v>5732</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f>12837+12408</f>
        <v>25245</v>
      </c>
      <c r="D11" s="285">
        <v>0.05</v>
      </c>
      <c r="H11" s="286"/>
    </row>
    <row r="12" spans="2:8" ht="15" customHeight="1" x14ac:dyDescent="0.15">
      <c r="B12" s="80" t="s">
        <v>72</v>
      </c>
      <c r="C12" s="81">
        <f>SUM(C4:C11)</f>
        <v>110413</v>
      </c>
      <c r="D12" s="20">
        <f>C4*D4+C5*D5+C9*D9+C6*D6+C8*D8+C7*D7+C10*D10+C11*D11</f>
        <v>51789.85</v>
      </c>
      <c r="F12" s="80" t="s">
        <v>70</v>
      </c>
      <c r="G12" s="81">
        <f>SUM(G4:G9)</f>
        <v>154196</v>
      </c>
      <c r="H12" s="20">
        <f>G4*H4+G5*H5+G6*H6+G7*H7+G8*H8+G9*H9</f>
        <v>138776.4</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f>8504+18</f>
        <v>8522</v>
      </c>
      <c r="H17" s="285">
        <v>0.6</v>
      </c>
    </row>
    <row r="18" spans="2:8" ht="15" customHeight="1" x14ac:dyDescent="0.15">
      <c r="B18" s="4" t="s">
        <v>174</v>
      </c>
      <c r="C18" s="19">
        <v>0</v>
      </c>
      <c r="D18" s="285">
        <v>0.6</v>
      </c>
      <c r="F18" s="4" t="s">
        <v>182</v>
      </c>
      <c r="G18" s="19">
        <f>25047+23444</f>
        <v>48491</v>
      </c>
      <c r="H18" s="285">
        <v>0.1</v>
      </c>
    </row>
    <row r="19" spans="2:8" ht="15" customHeight="1" x14ac:dyDescent="0.15">
      <c r="B19" s="4" t="s">
        <v>26</v>
      </c>
      <c r="C19" s="19">
        <f>632410+12755</f>
        <v>645165</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16961</v>
      </c>
      <c r="D21" s="285">
        <v>0.05</v>
      </c>
      <c r="F21" s="1" t="s">
        <v>181</v>
      </c>
      <c r="G21" s="19">
        <v>0</v>
      </c>
      <c r="H21" s="285">
        <v>0.1</v>
      </c>
    </row>
    <row r="22" spans="2:8" ht="15" customHeight="1" x14ac:dyDescent="0.15">
      <c r="B22" s="4" t="s">
        <v>20</v>
      </c>
      <c r="C22" s="19">
        <v>25465</v>
      </c>
      <c r="D22" s="285">
        <v>0.9</v>
      </c>
      <c r="H22" s="286"/>
    </row>
    <row r="23" spans="2:8" ht="15" customHeight="1" x14ac:dyDescent="0.15">
      <c r="B23" s="4" t="s">
        <v>21</v>
      </c>
      <c r="C23" s="19">
        <v>47068</v>
      </c>
      <c r="D23" s="285">
        <v>0</v>
      </c>
      <c r="H23" s="286"/>
    </row>
    <row r="24" spans="2:8" ht="15" customHeight="1" x14ac:dyDescent="0.15">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x14ac:dyDescent="0.15">
      <c r="B26" s="16" t="s">
        <v>201</v>
      </c>
      <c r="C26" s="201" t="s">
        <v>137</v>
      </c>
      <c r="F26" s="203" t="s">
        <v>197</v>
      </c>
      <c r="G26" s="204" t="s">
        <v>137</v>
      </c>
      <c r="H26" s="205" t="s">
        <v>35</v>
      </c>
    </row>
    <row r="27" spans="2:8" ht="15" customHeight="1" x14ac:dyDescent="0.15">
      <c r="B27" s="4" t="s">
        <v>5</v>
      </c>
      <c r="C27" s="19">
        <v>20084</v>
      </c>
      <c r="F27" s="206" t="s">
        <v>30</v>
      </c>
      <c r="G27" s="85">
        <f>G32-G30</f>
        <v>749436</v>
      </c>
      <c r="H27" s="207">
        <f>H32-G30</f>
        <v>-18033.400000000023</v>
      </c>
    </row>
    <row r="28" spans="2:8" ht="15" customHeight="1" x14ac:dyDescent="0.15">
      <c r="B28" s="4" t="s">
        <v>6</v>
      </c>
      <c r="C28" s="19">
        <v>2264</v>
      </c>
      <c r="F28" s="208" t="s">
        <v>245</v>
      </c>
      <c r="G28" s="12">
        <v>1888</v>
      </c>
      <c r="H28" s="207"/>
    </row>
    <row r="29" spans="2:8" ht="15" customHeight="1" x14ac:dyDescent="0.15">
      <c r="B29" s="4" t="s">
        <v>7</v>
      </c>
      <c r="C29" s="19">
        <v>0</v>
      </c>
      <c r="F29" s="209" t="s">
        <v>76</v>
      </c>
      <c r="G29" s="14">
        <f>G27-G28</f>
        <v>747548</v>
      </c>
      <c r="H29" s="207">
        <f>H27-G28</f>
        <v>-19921.400000000023</v>
      </c>
    </row>
    <row r="30" spans="2:8" ht="15" customHeight="1" x14ac:dyDescent="0.15">
      <c r="B30" s="2" t="s">
        <v>8</v>
      </c>
      <c r="C30" s="19">
        <v>0</v>
      </c>
      <c r="F30" s="206" t="s">
        <v>23</v>
      </c>
      <c r="G30" s="85">
        <f>C33+C42</f>
        <v>306845</v>
      </c>
      <c r="H30" s="207"/>
    </row>
    <row r="31" spans="2:8" ht="15" customHeight="1" x14ac:dyDescent="0.15">
      <c r="B31" s="80" t="s">
        <v>204</v>
      </c>
      <c r="C31" s="81">
        <f>SUM(C27:C30)</f>
        <v>22348</v>
      </c>
      <c r="F31" s="209" t="s">
        <v>77</v>
      </c>
      <c r="G31" s="210">
        <f>C31+C40</f>
        <v>91887</v>
      </c>
      <c r="H31" s="207"/>
    </row>
    <row r="32" spans="2:8" ht="15" customHeight="1" x14ac:dyDescent="0.15">
      <c r="B32" s="4" t="s">
        <v>9</v>
      </c>
      <c r="C32" s="21">
        <f>C33-C31</f>
        <v>96527</v>
      </c>
      <c r="F32" s="211" t="s">
        <v>75</v>
      </c>
      <c r="G32" s="212">
        <f>G35+G40</f>
        <v>1056281</v>
      </c>
      <c r="H32" s="207">
        <f>H35+H40</f>
        <v>288811.59999999998</v>
      </c>
    </row>
    <row r="33" spans="2:8" ht="15" customHeight="1" x14ac:dyDescent="0.15">
      <c r="B33" s="83" t="s">
        <v>4</v>
      </c>
      <c r="C33" s="84">
        <v>118875</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845072</v>
      </c>
      <c r="H35" s="219">
        <f>D12+D24</f>
        <v>140072.9</v>
      </c>
    </row>
    <row r="36" spans="2:8" ht="15" customHeight="1" x14ac:dyDescent="0.15">
      <c r="B36" s="4" t="s">
        <v>13</v>
      </c>
      <c r="C36" s="19">
        <v>61243</v>
      </c>
      <c r="F36" s="209" t="s">
        <v>198</v>
      </c>
      <c r="G36" s="210">
        <f>C4+C15</f>
        <v>33661</v>
      </c>
      <c r="H36" s="214"/>
    </row>
    <row r="37" spans="2:8" ht="15" customHeight="1" x14ac:dyDescent="0.15">
      <c r="B37" s="4" t="s">
        <v>14</v>
      </c>
      <c r="C37" s="19">
        <v>8296</v>
      </c>
      <c r="F37" s="209" t="s">
        <v>199</v>
      </c>
      <c r="G37" s="210">
        <f>C6</f>
        <v>5732</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645165</v>
      </c>
      <c r="H39" s="207">
        <f>C7*D7+C17*D17+C19*D19+C20*D20</f>
        <v>64516.5</v>
      </c>
    </row>
    <row r="40" spans="2:8" ht="15" customHeight="1" x14ac:dyDescent="0.15">
      <c r="B40" s="80" t="s">
        <v>205</v>
      </c>
      <c r="C40" s="81">
        <f>SUM(C36:C39)</f>
        <v>69539</v>
      </c>
      <c r="F40" s="218" t="s">
        <v>139</v>
      </c>
      <c r="G40" s="212">
        <f>G12+G24</f>
        <v>211209</v>
      </c>
      <c r="H40" s="219">
        <f>H12+H24</f>
        <v>148738.69999999998</v>
      </c>
    </row>
    <row r="41" spans="2:8" ht="15" customHeight="1" x14ac:dyDescent="0.15">
      <c r="B41" s="4" t="s">
        <v>17</v>
      </c>
      <c r="C41" s="21">
        <f>C42-C40</f>
        <v>118431</v>
      </c>
      <c r="F41" s="209" t="s">
        <v>192</v>
      </c>
      <c r="G41" s="210">
        <f>C70</f>
        <v>202687</v>
      </c>
      <c r="H41" s="219">
        <f>H40-H42</f>
        <v>143625.49999999997</v>
      </c>
    </row>
    <row r="42" spans="2:8" ht="15" customHeight="1" x14ac:dyDescent="0.15">
      <c r="B42" s="83" t="s">
        <v>22</v>
      </c>
      <c r="C42" s="84">
        <v>187970</v>
      </c>
      <c r="F42" s="220" t="s">
        <v>193</v>
      </c>
      <c r="G42" s="221">
        <f>C82</f>
        <v>8522</v>
      </c>
      <c r="H42" s="222">
        <f>D82</f>
        <v>5113.2</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747548</v>
      </c>
      <c r="D46" s="76">
        <f>H29</f>
        <v>-19921.400000000023</v>
      </c>
      <c r="F46" s="275"/>
    </row>
    <row r="47" spans="2:8" ht="15" customHeight="1" x14ac:dyDescent="0.15">
      <c r="B47" s="1" t="str">
        <f>"Equity per share ("&amp;Market_currency&amp;")"</f>
        <v>Equity per share (HKD)</v>
      </c>
      <c r="C47" s="148">
        <f>C46*H1/Common_Shares*Exchange_Rate</f>
        <v>17.045527358970482</v>
      </c>
      <c r="D47" s="148">
        <f>D46*H1/Common_Shares*Exchange_Rate</f>
        <v>-0.45424610691085382</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0.75207444874659302</v>
      </c>
      <c r="D50" s="95">
        <f>G31/Normalized_FCF!G8</f>
        <v>0.47663929536624461</v>
      </c>
      <c r="F50" s="275"/>
    </row>
    <row r="51" spans="2:8" ht="15" customHeight="1" x14ac:dyDescent="0.15">
      <c r="B51" s="1" t="s">
        <v>177</v>
      </c>
      <c r="C51" s="200"/>
      <c r="D51" s="92">
        <f>G29/G32</f>
        <v>0.70771698061406008</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0.14457710564880843</v>
      </c>
      <c r="D54" s="92">
        <f>Normalized_FCF!G8/G35</f>
        <v>0.22812375750231934</v>
      </c>
      <c r="F54" s="275"/>
    </row>
    <row r="55" spans="2:8" ht="15" customHeight="1" x14ac:dyDescent="0.15">
      <c r="B55" s="1" t="s">
        <v>142</v>
      </c>
      <c r="C55" s="92">
        <f>Normalized_FCF!C11/G40</f>
        <v>0</v>
      </c>
      <c r="D55" s="92">
        <f>Normalized_FCF!G11/G40</f>
        <v>8.692811385878442E-3</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0.1156386350778483</v>
      </c>
      <c r="F58" s="5"/>
    </row>
    <row r="59" spans="2:8" ht="15" customHeight="1" x14ac:dyDescent="0.15">
      <c r="B59" s="1" t="s">
        <v>93</v>
      </c>
      <c r="C59" s="98"/>
      <c r="D59" s="92">
        <f>G39/G32</f>
        <v>0.61078917447156578</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2.5255903299854993E-3</v>
      </c>
      <c r="D62" s="92">
        <f>G28/G29</f>
        <v>2.5255903299854993E-3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154196</v>
      </c>
      <c r="D66" s="76">
        <f>C66-D75</f>
        <v>100741.35470787497</v>
      </c>
      <c r="F66" s="5" t="s">
        <v>227</v>
      </c>
    </row>
    <row r="67" spans="2:6" ht="15" customHeight="1" x14ac:dyDescent="0.15">
      <c r="B67" s="105" t="s">
        <v>178</v>
      </c>
      <c r="C67" s="20">
        <f>G6+G16</f>
        <v>0</v>
      </c>
      <c r="F67" s="275"/>
    </row>
    <row r="68" spans="2:6" ht="15" customHeight="1" x14ac:dyDescent="0.15">
      <c r="B68" s="105" t="s">
        <v>182</v>
      </c>
      <c r="C68" s="20">
        <f>G18</f>
        <v>48491</v>
      </c>
      <c r="F68" s="275"/>
    </row>
    <row r="69" spans="2:6" ht="15" customHeight="1" x14ac:dyDescent="0.15">
      <c r="B69" s="105" t="s">
        <v>180</v>
      </c>
      <c r="C69" s="20">
        <f>G8+G20</f>
        <v>0</v>
      </c>
      <c r="F69" s="275"/>
    </row>
    <row r="70" spans="2:6" ht="15" customHeight="1" x14ac:dyDescent="0.15">
      <c r="B70" s="80" t="s">
        <v>189</v>
      </c>
      <c r="C70" s="81">
        <f>SUM(C66:C69)</f>
        <v>202687</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-24522.24463146667</v>
      </c>
      <c r="D73" s="76">
        <f>(Normalized_FCF!C25+Normalized_FCF!C35-Normalized_FCF!C91)/12</f>
        <v>-26727.322646062512</v>
      </c>
      <c r="F73" s="1" t="s">
        <v>352</v>
      </c>
    </row>
    <row r="74" spans="2:6" ht="15" customHeight="1" x14ac:dyDescent="0.15">
      <c r="B74" s="279" t="s">
        <v>322</v>
      </c>
      <c r="C74" s="280">
        <f>-$C$66/C73</f>
        <v>6.2880051282963478</v>
      </c>
      <c r="D74" s="280">
        <f>-$C$66/D73</f>
        <v>5.769227319995565</v>
      </c>
      <c r="F74" s="275" t="s">
        <v>320</v>
      </c>
    </row>
    <row r="75" spans="2:6" ht="15" customHeight="1" x14ac:dyDescent="0.15">
      <c r="B75" s="80" t="s">
        <v>321</v>
      </c>
      <c r="C75" s="284"/>
      <c r="D75" s="283">
        <f>MAX(-D73*D76,G5)</f>
        <v>53454.645292125024</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8522</v>
      </c>
      <c r="D79" s="76">
        <f>G7*H7+G17*H17</f>
        <v>5113.2</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8522</v>
      </c>
      <c r="D82" s="81">
        <f>SUM(D79:D81)</f>
        <v>5113.2</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-99584.747051220009</v>
      </c>
      <c r="D86" s="245">
        <f>C86*scaling_factor/Common_Shares</f>
        <v>-2.0951997362493389</v>
      </c>
      <c r="E86" s="262" t="str">
        <f>Market_currency</f>
        <v>HKD</v>
      </c>
    </row>
    <row r="87" spans="2:8" ht="15" customHeight="1" x14ac:dyDescent="0.15">
      <c r="B87" s="260" t="s">
        <v>288</v>
      </c>
      <c r="C87" s="76">
        <f>DCF!C8*Exchange_Rate</f>
        <v>109180.86700165378</v>
      </c>
      <c r="D87" s="245">
        <f>C87*scaling_factor/Common_Shares</f>
        <v>2.2970959963143938</v>
      </c>
      <c r="E87" s="262" t="str">
        <f>Market_currency</f>
        <v>HKD</v>
      </c>
    </row>
    <row r="88" spans="2:8" ht="15" customHeight="1" x14ac:dyDescent="0.15">
      <c r="B88" s="261" t="s">
        <v>190</v>
      </c>
      <c r="C88" s="76">
        <f>DCF!C9*Exchange_Rate</f>
        <v>5541.5535235920006</v>
      </c>
      <c r="D88" s="245">
        <f>C88*scaling_factor/Common_Shares</f>
        <v>0.1165907613850721</v>
      </c>
      <c r="E88" s="262" t="str">
        <f>Market_currency</f>
        <v>HKD</v>
      </c>
    </row>
    <row r="89" spans="2:8" ht="15" customHeight="1" x14ac:dyDescent="0.15">
      <c r="B89" s="80" t="s">
        <v>292</v>
      </c>
      <c r="C89" s="187">
        <f>SUM(C86:C88)</f>
        <v>15137.673474025771</v>
      </c>
      <c r="D89" s="264">
        <f>SUM(D86:D88)</f>
        <v>0.31848702145012697</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376364</v>
      </c>
      <c r="D4" s="57"/>
      <c r="E4" s="291"/>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x14ac:dyDescent="0.15">
      <c r="A5" s="10"/>
      <c r="B5" s="2" t="s">
        <v>46</v>
      </c>
      <c r="C5" s="190">
        <f>C25</f>
        <v>-245261.93617515016</v>
      </c>
      <c r="E5" s="293"/>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x14ac:dyDescent="0.15">
      <c r="A6" s="10"/>
      <c r="B6" s="31" t="s">
        <v>48</v>
      </c>
      <c r="C6" s="184">
        <f>C4+C5</f>
        <v>131102.06382484984</v>
      </c>
      <c r="E6" s="293"/>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x14ac:dyDescent="0.15">
      <c r="A7" s="10"/>
      <c r="B7" s="8" t="s">
        <v>45</v>
      </c>
      <c r="C7" s="190">
        <f>C35</f>
        <v>-8924</v>
      </c>
      <c r="E7" s="293"/>
      <c r="G7" s="190">
        <f t="shared" ref="G7:Q7" si="3">G35</f>
        <v>-8924</v>
      </c>
      <c r="H7" s="190">
        <f t="shared" si="3"/>
        <v>-8617</v>
      </c>
      <c r="I7" s="190">
        <f t="shared" si="3"/>
        <v>-7883</v>
      </c>
      <c r="J7" s="190">
        <f t="shared" si="3"/>
        <v>-6724</v>
      </c>
      <c r="K7" s="190">
        <f t="shared" si="3"/>
        <v>-6154.8984999999993</v>
      </c>
      <c r="L7" s="190">
        <f t="shared" si="3"/>
        <v>-5573.3181000000004</v>
      </c>
      <c r="M7" s="190">
        <f t="shared" si="3"/>
        <v>-5250.9705000000004</v>
      </c>
      <c r="N7" s="190">
        <f t="shared" si="3"/>
        <v>-78928</v>
      </c>
      <c r="O7" s="190">
        <f t="shared" si="3"/>
        <v>-74155</v>
      </c>
      <c r="P7" s="190">
        <f t="shared" si="3"/>
        <v>-71881</v>
      </c>
      <c r="Q7" s="190" t="str">
        <f t="shared" si="3"/>
        <v/>
      </c>
    </row>
    <row r="8" spans="1:17" ht="15.75" customHeight="1" x14ac:dyDescent="0.15">
      <c r="A8" s="10"/>
      <c r="B8" s="29" t="s">
        <v>153</v>
      </c>
      <c r="C8" s="191">
        <f>C6+C7</f>
        <v>122178.06382484984</v>
      </c>
      <c r="D8" s="59"/>
      <c r="E8" s="299"/>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x14ac:dyDescent="0.15">
      <c r="A9" s="10"/>
      <c r="B9" s="2" t="s">
        <v>65</v>
      </c>
      <c r="C9" s="190">
        <f>BS!$G$39*BS!D58</f>
        <v>74606</v>
      </c>
      <c r="E9" s="293"/>
      <c r="G9" s="190">
        <f>IF(Data!C61="","",-Data!C61)</f>
        <v>74606</v>
      </c>
      <c r="H9" s="190">
        <f>IF(Data!D61="","",-Data!D61)</f>
        <v>68947</v>
      </c>
      <c r="I9" s="190">
        <f>IF(Data!E61="","",-Data!E61)</f>
        <v>62852</v>
      </c>
      <c r="J9" s="190">
        <f>IF(Data!F61="","",-Data!F61)</f>
        <v>55963</v>
      </c>
      <c r="K9" s="190">
        <f>IF(Data!G61="","",-Data!G61)</f>
        <v>51078.741900000001</v>
      </c>
      <c r="L9" s="190">
        <f>IF(Data!H61="","",-Data!H61)</f>
        <v>56363.515599999999</v>
      </c>
      <c r="M9" s="190">
        <f>IF(Data!I61="","",-Data!I61)</f>
        <v>50838.249000000003</v>
      </c>
      <c r="N9" s="190">
        <f>IF(Data!J61="","",-Data!J61)</f>
        <v>0</v>
      </c>
      <c r="O9" s="190">
        <f>IF(Data!K61="","",-Data!K61)</f>
        <v>0</v>
      </c>
      <c r="P9" s="190">
        <f>IF(Data!L61="","",-Data!L61)</f>
        <v>0</v>
      </c>
      <c r="Q9" s="190" t="str">
        <f>IF(Data!M61="","",-Data!M61)</f>
        <v/>
      </c>
    </row>
    <row r="10" spans="1:17" ht="15.75" customHeight="1" x14ac:dyDescent="0.15">
      <c r="A10" s="10"/>
      <c r="B10" s="2" t="s">
        <v>81</v>
      </c>
      <c r="C10" s="190">
        <f>-C4*C78</f>
        <v>-74606</v>
      </c>
      <c r="E10" s="293"/>
      <c r="G10" s="190">
        <f>Data!C62</f>
        <v>-74606</v>
      </c>
      <c r="H10" s="190">
        <f>Data!D62</f>
        <v>-68947</v>
      </c>
      <c r="I10" s="190">
        <f>Data!E62</f>
        <v>-62852</v>
      </c>
      <c r="J10" s="190">
        <f>Data!F62</f>
        <v>-55963</v>
      </c>
      <c r="K10" s="190">
        <f>Data!G62</f>
        <v>-51078.741900000001</v>
      </c>
      <c r="L10" s="190">
        <f>Data!H62</f>
        <v>-56363.515599999999</v>
      </c>
      <c r="M10" s="190">
        <f>Data!I62</f>
        <v>-50838.249000000003</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x14ac:dyDescent="0.15">
      <c r="A12" s="10"/>
      <c r="B12" s="2" t="s">
        <v>68</v>
      </c>
      <c r="C12" s="190">
        <f>C50</f>
        <v>-2005.1803206181248</v>
      </c>
      <c r="E12" s="293"/>
      <c r="G12" s="190">
        <f>G50</f>
        <v>-1218.572383664188</v>
      </c>
      <c r="H12" s="190">
        <f t="shared" ref="H12:Q12" si="6">H50</f>
        <v>-757.26567077835534</v>
      </c>
      <c r="I12" s="190">
        <f t="shared" si="6"/>
        <v>-2095.9327156960453</v>
      </c>
      <c r="J12" s="190">
        <f t="shared" si="6"/>
        <v>-2734.1197220632203</v>
      </c>
      <c r="K12" s="190">
        <f t="shared" si="6"/>
        <v>-3043.3370267115056</v>
      </c>
      <c r="L12" s="190">
        <f t="shared" si="6"/>
        <v>-2700.0915842234122</v>
      </c>
      <c r="M12" s="190">
        <f t="shared" si="6"/>
        <v>-2325.3405279380472</v>
      </c>
      <c r="N12" s="190">
        <f t="shared" si="6"/>
        <v>0</v>
      </c>
      <c r="O12" s="190">
        <f t="shared" si="6"/>
        <v>0</v>
      </c>
      <c r="P12" s="190">
        <f t="shared" si="6"/>
        <v>0</v>
      </c>
      <c r="Q12" s="190" t="str">
        <f t="shared" si="6"/>
        <v/>
      </c>
    </row>
    <row r="13" spans="1:17" ht="15.75" customHeight="1" x14ac:dyDescent="0.15">
      <c r="A13" s="10"/>
      <c r="B13" s="70" t="s">
        <v>165</v>
      </c>
      <c r="C13" s="184">
        <f>SUM(C8:C12)</f>
        <v>120172.88350423172</v>
      </c>
      <c r="E13" s="293"/>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x14ac:dyDescent="0.15">
      <c r="A14" s="10"/>
      <c r="B14" s="2" t="s">
        <v>63</v>
      </c>
      <c r="C14" s="190">
        <f>-SUM(C8+C11,C12)*C43</f>
        <v>-30043.220876057931</v>
      </c>
      <c r="E14" s="293"/>
      <c r="G14" s="190">
        <f>Data!C46</f>
        <v>-51994</v>
      </c>
      <c r="H14" s="190">
        <f>Data!D46</f>
        <v>-48884</v>
      </c>
      <c r="I14" s="190">
        <f>Data!E46</f>
        <v>-53093</v>
      </c>
      <c r="J14" s="190">
        <f>Data!F46</f>
        <v>-25514</v>
      </c>
      <c r="K14" s="190">
        <f>Data!G46</f>
        <v>-9951.4562000000005</v>
      </c>
      <c r="L14" s="190">
        <f>Data!H46</f>
        <v>-24603.813999999998</v>
      </c>
      <c r="M14" s="190">
        <f>Data!I46</f>
        <v>-22482.776699999999</v>
      </c>
      <c r="N14" s="190">
        <f>Data!J46</f>
        <v>-16279</v>
      </c>
      <c r="O14" s="190">
        <f>Data!K46</f>
        <v>-20707</v>
      </c>
      <c r="P14" s="190">
        <f>Data!L46</f>
        <v>-12613</v>
      </c>
      <c r="Q14" s="190" t="str">
        <f>Data!M46</f>
        <v/>
      </c>
    </row>
    <row r="15" spans="1:17" ht="15.75" customHeight="1" x14ac:dyDescent="0.15">
      <c r="A15" s="10"/>
      <c r="B15" s="40" t="s">
        <v>244</v>
      </c>
      <c r="C15" s="190">
        <f>-C4*C83</f>
        <v>-223.13946170149947</v>
      </c>
      <c r="D15" s="60"/>
      <c r="E15" s="300"/>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x14ac:dyDescent="0.15">
      <c r="A16" s="10"/>
      <c r="B16" s="41" t="s">
        <v>155</v>
      </c>
      <c r="C16" s="193">
        <f>SUM(C13:C15)</f>
        <v>89906.523166472296</v>
      </c>
      <c r="D16" s="61"/>
      <c r="E16" s="301"/>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89906.523166472296</v>
      </c>
      <c r="D19" s="27"/>
      <c r="E19" s="290"/>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-239590.97053351856</v>
      </c>
      <c r="D23" s="58"/>
      <c r="E23" s="292"/>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x14ac:dyDescent="0.2">
      <c r="A24" s="10"/>
      <c r="B24" s="68" t="s">
        <v>62</v>
      </c>
      <c r="C24" s="190">
        <f>-C4*C29</f>
        <v>-5670.965641631592</v>
      </c>
      <c r="D24" s="27"/>
      <c r="E24" s="290"/>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x14ac:dyDescent="0.15">
      <c r="A25" s="10"/>
      <c r="B25" s="70" t="s">
        <v>46</v>
      </c>
      <c r="C25" s="184">
        <f>C23+C24</f>
        <v>-245261.93617515016</v>
      </c>
      <c r="D25" s="9"/>
      <c r="E25" s="298"/>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AVERAGE(G28:P28)</f>
        <v>0.6365937510854347</v>
      </c>
      <c r="D28" s="26"/>
      <c r="E28" s="291"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x14ac:dyDescent="0.2">
      <c r="A29" s="10"/>
      <c r="B29" s="68" t="str">
        <f>B24</f>
        <v>Selling Expenses</v>
      </c>
      <c r="C29" s="63">
        <f>AVERAGE(G29:P29)</f>
        <v>1.5067768547553942E-2</v>
      </c>
      <c r="D29" s="26"/>
      <c r="E29" s="291"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x14ac:dyDescent="0.15">
      <c r="A30" s="10"/>
      <c r="B30" s="70" t="s">
        <v>46</v>
      </c>
      <c r="C30" s="71">
        <f>ABS(C25/$C$4)</f>
        <v>0.65166151963298868</v>
      </c>
      <c r="E30" s="293"/>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G33</f>
        <v>-7213</v>
      </c>
      <c r="E33" s="291" t="s">
        <v>334</v>
      </c>
      <c r="G33" s="190">
        <f>Data!C41</f>
        <v>-7213</v>
      </c>
      <c r="H33" s="190">
        <f>Data!D41</f>
        <v>-7012</v>
      </c>
      <c r="I33" s="190">
        <f>Data!E41</f>
        <v>-6356</v>
      </c>
      <c r="J33" s="190">
        <f>Data!F41</f>
        <v>-5218</v>
      </c>
      <c r="K33" s="190">
        <f>Data!G41</f>
        <v>-4833.8230999999996</v>
      </c>
      <c r="L33" s="190">
        <f>Data!H41</f>
        <v>-4588.3963000000003</v>
      </c>
      <c r="M33" s="190">
        <f>Data!I41</f>
        <v>-4535.8732</v>
      </c>
      <c r="N33" s="190">
        <f>Data!J41</f>
        <v>-78928</v>
      </c>
      <c r="O33" s="190">
        <f>Data!K41</f>
        <v>-74155</v>
      </c>
      <c r="P33" s="190">
        <f>Data!L41</f>
        <v>-71881</v>
      </c>
      <c r="Q33" s="190" t="str">
        <f>Data!M41</f>
        <v/>
      </c>
    </row>
    <row r="34" spans="1:17" ht="15.75" customHeight="1" x14ac:dyDescent="0.15">
      <c r="A34" s="10"/>
      <c r="B34" s="27" t="s">
        <v>49</v>
      </c>
      <c r="C34" s="197">
        <f>G34</f>
        <v>-1711</v>
      </c>
      <c r="D34" s="58"/>
      <c r="E34" s="291" t="s">
        <v>334</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x14ac:dyDescent="0.15">
      <c r="A35" s="10"/>
      <c r="B35" s="70" t="s">
        <v>45</v>
      </c>
      <c r="C35" s="184">
        <f>C33+C34</f>
        <v>-8924</v>
      </c>
      <c r="D35" s="58"/>
      <c r="E35" s="292"/>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1.9164957328543644E-2</v>
      </c>
      <c r="D38" s="27"/>
      <c r="E38" s="290"/>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x14ac:dyDescent="0.15">
      <c r="A39" s="10"/>
      <c r="B39" s="27" t="str">
        <f>B34</f>
        <v>R&amp;D</v>
      </c>
      <c r="C39" s="23">
        <f>ABS(C34/$C$4)</f>
        <v>4.546130873303504E-3</v>
      </c>
      <c r="D39" s="27"/>
      <c r="E39" s="290"/>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x14ac:dyDescent="0.15">
      <c r="A40" s="10"/>
      <c r="B40" s="70" t="s">
        <v>45</v>
      </c>
      <c r="C40" s="71">
        <f>ABS(C35/$C$4)</f>
        <v>2.3711088201847148E-2</v>
      </c>
      <c r="E40" s="293"/>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-2807</v>
      </c>
      <c r="E47" s="293"/>
      <c r="G47" s="190">
        <f>Data!C51</f>
        <v>-2807</v>
      </c>
      <c r="H47" s="190">
        <f>Data!D51</f>
        <v>-2423</v>
      </c>
      <c r="I47" s="190">
        <f>Data!E51</f>
        <v>-3129</v>
      </c>
      <c r="J47" s="190">
        <f>Data!F51</f>
        <v>-3199</v>
      </c>
      <c r="K47" s="190">
        <f>Data!G51</f>
        <v>-3553.9661000000001</v>
      </c>
      <c r="L47" s="190">
        <f>Data!H51</f>
        <v>-3069.9225999999999</v>
      </c>
      <c r="M47" s="190">
        <f>Data!I51</f>
        <v>-2601.9825999999998</v>
      </c>
      <c r="N47" s="190">
        <f>Data!J51</f>
        <v>0</v>
      </c>
      <c r="O47" s="190">
        <f>Data!K51</f>
        <v>0</v>
      </c>
      <c r="P47" s="190">
        <f>Data!L51</f>
        <v>0</v>
      </c>
      <c r="Q47" s="190" t="str">
        <f>Data!M51</f>
        <v/>
      </c>
    </row>
    <row r="48" spans="1:17" ht="15.75" customHeight="1" x14ac:dyDescent="0.15">
      <c r="A48" s="10"/>
      <c r="B48" s="2" t="s">
        <v>346</v>
      </c>
      <c r="C48" s="190">
        <f>BS!D75*C53</f>
        <v>801.81967938187529</v>
      </c>
      <c r="E48" s="293"/>
      <c r="G48" s="318">
        <f>IFERROR(IF(G$4="","",($C$48/$C$49)*G49),0)</f>
        <v>1588.427616335812</v>
      </c>
      <c r="H48" s="318">
        <f t="shared" ref="H48:Q48" si="19">IFERROR(IF(H$4="","",($C$48/$C$49)*H49),0)</f>
        <v>1665.7343292216447</v>
      </c>
      <c r="I48" s="318">
        <f t="shared" si="19"/>
        <v>1033.0672843039545</v>
      </c>
      <c r="J48" s="318">
        <f t="shared" si="19"/>
        <v>464.88027793677952</v>
      </c>
      <c r="K48" s="318">
        <f t="shared" si="19"/>
        <v>510.62907328849445</v>
      </c>
      <c r="L48" s="318">
        <f t="shared" si="19"/>
        <v>369.83101577658761</v>
      </c>
      <c r="M48" s="318">
        <f t="shared" si="19"/>
        <v>276.64207206195277</v>
      </c>
      <c r="N48" s="318">
        <f t="shared" si="19"/>
        <v>0</v>
      </c>
      <c r="O48" s="318">
        <f t="shared" si="19"/>
        <v>0</v>
      </c>
      <c r="P48" s="318">
        <f t="shared" si="19"/>
        <v>0</v>
      </c>
      <c r="Q48" s="318" t="str">
        <f t="shared" si="19"/>
        <v/>
      </c>
    </row>
    <row r="49" spans="1:17" ht="15.75" customHeight="1" x14ac:dyDescent="0.15">
      <c r="A49" s="10"/>
      <c r="B49" s="313" t="s">
        <v>343</v>
      </c>
      <c r="C49" s="314">
        <f>BS!$C$66*C53</f>
        <v>2312.94</v>
      </c>
      <c r="D49" s="315"/>
      <c r="E49" s="316"/>
      <c r="F49" s="315"/>
      <c r="G49" s="314">
        <f>Data!C52</f>
        <v>4582</v>
      </c>
      <c r="H49" s="314">
        <f>Data!D52</f>
        <v>4805</v>
      </c>
      <c r="I49" s="314">
        <f>Data!E52</f>
        <v>2980</v>
      </c>
      <c r="J49" s="314">
        <f>Data!F52</f>
        <v>1341</v>
      </c>
      <c r="K49" s="314">
        <f>Data!G52</f>
        <v>1472.9675999999999</v>
      </c>
      <c r="L49" s="314">
        <f>Data!H52</f>
        <v>1066.8196</v>
      </c>
      <c r="M49" s="314">
        <f>Data!I52</f>
        <v>798.00549999999998</v>
      </c>
      <c r="N49" s="314">
        <f>Data!J52</f>
        <v>0</v>
      </c>
      <c r="O49" s="314">
        <f>Data!K52</f>
        <v>0</v>
      </c>
      <c r="P49" s="314">
        <f>Data!L52</f>
        <v>0</v>
      </c>
      <c r="Q49" s="314" t="str">
        <f>Data!M52</f>
        <v/>
      </c>
    </row>
    <row r="50" spans="1:17" ht="15.75" customHeight="1" x14ac:dyDescent="0.15">
      <c r="A50" s="10"/>
      <c r="B50" s="70" t="s">
        <v>68</v>
      </c>
      <c r="C50" s="184">
        <f>C47+C48</f>
        <v>-2005.1803206181248</v>
      </c>
      <c r="E50" s="293"/>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1.4999999999999999E-2</v>
      </c>
      <c r="E53" s="290" t="s">
        <v>336</v>
      </c>
      <c r="G53" s="6">
        <f>IF(Normalized_FCF!G4="","",Normalized_FCF!G49/BS!$C$66)</f>
        <v>2.9715427118732003E-2</v>
      </c>
      <c r="H53" s="170"/>
      <c r="I53" s="170"/>
      <c r="J53" s="170"/>
      <c r="K53" s="170"/>
      <c r="L53" s="170"/>
      <c r="M53" s="170"/>
      <c r="N53" s="170"/>
      <c r="O53" s="170"/>
      <c r="P53" s="170"/>
      <c r="Q53" s="170"/>
    </row>
    <row r="54" spans="1:17" ht="15.75" customHeight="1" x14ac:dyDescent="0.15">
      <c r="A54" s="10"/>
      <c r="B54" s="8" t="s">
        <v>88</v>
      </c>
      <c r="C54" s="82">
        <f>G54</f>
        <v>3.0548390958459848E-2</v>
      </c>
      <c r="E54" s="290" t="s">
        <v>337</v>
      </c>
      <c r="G54" s="23">
        <f>IFERROR(ABS(Normalized_FCF!G47/BS!$G$31),0)</f>
        <v>3.0548390958459848E-2</v>
      </c>
      <c r="H54" s="170"/>
      <c r="I54" s="170"/>
      <c r="J54" s="170"/>
      <c r="K54" s="170"/>
      <c r="L54" s="170"/>
      <c r="M54" s="170"/>
      <c r="N54" s="170"/>
      <c r="O54" s="170"/>
      <c r="P54" s="170"/>
      <c r="Q54" s="170"/>
    </row>
    <row r="55" spans="1:17" ht="15.75" customHeight="1" x14ac:dyDescent="0.15">
      <c r="A55" s="10"/>
      <c r="B55" s="26" t="s">
        <v>91</v>
      </c>
      <c r="C55" s="42">
        <f>-C8/C47</f>
        <v>43.526207276398232</v>
      </c>
      <c r="E55" s="293"/>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1836</v>
      </c>
      <c r="H59" s="190">
        <f>Data!D55</f>
        <v>1931</v>
      </c>
      <c r="I59" s="190">
        <f>Data!E55</f>
        <v>1911</v>
      </c>
      <c r="J59" s="190">
        <f>Data!F55</f>
        <v>346</v>
      </c>
      <c r="K59" s="190">
        <f>Data!G55</f>
        <v>-632.40350000000001</v>
      </c>
      <c r="L59" s="190">
        <f>Data!H55</f>
        <v>1002.7065</v>
      </c>
      <c r="M59" s="190">
        <f>Data!I55</f>
        <v>-5186.9755999999998</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-6416</v>
      </c>
      <c r="H62" s="190">
        <f>Data!D58</f>
        <v>-2705</v>
      </c>
      <c r="I62" s="190">
        <f>Data!E58</f>
        <v>-983</v>
      </c>
      <c r="J62" s="190">
        <f>Data!F58</f>
        <v>-6603</v>
      </c>
      <c r="K62" s="190">
        <f>Data!G58</f>
        <v>-3967.7236999999955</v>
      </c>
      <c r="L62" s="190">
        <f>Data!H58</f>
        <v>362.16880000001424</v>
      </c>
      <c r="M62" s="190">
        <f>Data!I58</f>
        <v>1316.3510000000042</v>
      </c>
      <c r="N62" s="190">
        <f>Data!J58</f>
        <v>-248239</v>
      </c>
      <c r="O62" s="190">
        <f>Data!K58</f>
        <v>-235164</v>
      </c>
      <c r="P62" s="190">
        <f>Data!L58</f>
        <v>-251400</v>
      </c>
      <c r="Q62" s="190" t="str">
        <f>Data!M58</f>
        <v/>
      </c>
    </row>
    <row r="63" spans="1:17" ht="15.75" customHeight="1" x14ac:dyDescent="0.15">
      <c r="A63" s="10"/>
      <c r="B63" s="31" t="s">
        <v>196</v>
      </c>
      <c r="C63" s="184">
        <f>C61+C62</f>
        <v>0</v>
      </c>
      <c r="E63" s="293"/>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v>0</v>
      </c>
      <c r="E67" s="293"/>
      <c r="G67" s="23">
        <f>IFERROR(G59/BS!$C$68,0)</f>
        <v>3.7862696170423378E-2</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9.0583017164396328E-3</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0.65166151963298868</v>
      </c>
      <c r="D73" s="27"/>
      <c r="E73" s="290"/>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x14ac:dyDescent="0.15">
      <c r="A74" s="10"/>
      <c r="B74" s="31" t="s">
        <v>48</v>
      </c>
      <c r="C74" s="78">
        <f>ABS(C6/C$4)</f>
        <v>0.34833848036701132</v>
      </c>
      <c r="D74" s="27"/>
      <c r="E74" s="290"/>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x14ac:dyDescent="0.15">
      <c r="A75" s="10"/>
      <c r="B75" s="8" t="s">
        <v>45</v>
      </c>
      <c r="C75" s="77">
        <f>ABS(C7/C$4)</f>
        <v>2.3711088201847148E-2</v>
      </c>
      <c r="D75" s="27"/>
      <c r="E75" s="290"/>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x14ac:dyDescent="0.15">
      <c r="A76" s="10"/>
      <c r="B76" s="29" t="s">
        <v>153</v>
      </c>
      <c r="C76" s="78">
        <f>ABS(C8/C$4)</f>
        <v>0.32462739216516417</v>
      </c>
      <c r="D76" s="27"/>
      <c r="E76" s="290"/>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x14ac:dyDescent="0.15">
      <c r="A77" s="10"/>
      <c r="B77" s="2" t="s">
        <v>65</v>
      </c>
      <c r="C77" s="77">
        <f>ABS(C9/C$4)</f>
        <v>0.19822831089052087</v>
      </c>
      <c r="D77" s="27"/>
      <c r="E77" s="290"/>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x14ac:dyDescent="0.15">
      <c r="A78" s="10"/>
      <c r="B78" s="2" t="s">
        <v>81</v>
      </c>
      <c r="C78" s="88">
        <f>MAX(AVERAGE(G78:J78),C77)</f>
        <v>0.19822831089052087</v>
      </c>
      <c r="D78" s="27"/>
      <c r="E78" s="291" t="s">
        <v>461</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x14ac:dyDescent="0.15">
      <c r="A80" s="10"/>
      <c r="B80" s="2" t="s">
        <v>68</v>
      </c>
      <c r="C80" s="77">
        <f>ABS(C12/C$4)</f>
        <v>5.3277686511412486E-3</v>
      </c>
      <c r="D80" s="27"/>
      <c r="E80" s="290"/>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x14ac:dyDescent="0.15">
      <c r="A81" s="10"/>
      <c r="B81" s="70" t="s">
        <v>165</v>
      </c>
      <c r="C81" s="78">
        <f>C13/C4</f>
        <v>0.31929962351402291</v>
      </c>
      <c r="D81" s="27"/>
      <c r="E81" s="290"/>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x14ac:dyDescent="0.15">
      <c r="A82" s="10"/>
      <c r="B82" s="2" t="s">
        <v>63</v>
      </c>
      <c r="C82" s="77">
        <f>ABS(C14/C$4)</f>
        <v>7.9824905878505728E-2</v>
      </c>
      <c r="D82" s="27"/>
      <c r="E82" s="290"/>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x14ac:dyDescent="0.15">
      <c r="A83" s="10"/>
      <c r="B83" s="40" t="str">
        <f>B15</f>
        <v>NCI’s Share of Profits</v>
      </c>
      <c r="C83" s="289">
        <f>MIN(BS!C62,MAX(G83:K83))</f>
        <v>5.9288205487639486E-4</v>
      </c>
      <c r="D83" s="27"/>
      <c r="E83" s="290"/>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x14ac:dyDescent="0.15">
      <c r="A84" s="10"/>
      <c r="B84" s="41" t="s">
        <v>155</v>
      </c>
      <c r="C84" s="78">
        <f>ABS(C16/C$4)</f>
        <v>0.2388818355806408</v>
      </c>
      <c r="D84" s="27"/>
      <c r="E84" s="290"/>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0.2388818355806408</v>
      </c>
      <c r="D87" s="75"/>
      <c r="E87" s="290"/>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1.4</v>
      </c>
      <c r="E90" s="293"/>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(HKD)</v>
      </c>
      <c r="C91" s="74">
        <f>C90*Common_Shares/scaling_factor</f>
        <v>66541.935577600001</v>
      </c>
      <c r="E91" s="293"/>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0.74012355537751062</v>
      </c>
      <c r="E92" s="293"/>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8.1206496519721574E-2</v>
      </c>
      <c r="E93" s="293"/>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-0.10497353188777325</v>
      </c>
      <c r="D96" s="27"/>
      <c r="E96" s="290"/>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x14ac:dyDescent="0.15">
      <c r="A97" s="10"/>
      <c r="B97" s="70" t="s">
        <v>165</v>
      </c>
      <c r="C97" s="77">
        <f>C13/G13-1</f>
        <v>-0.37862533328021186</v>
      </c>
      <c r="D97" s="27"/>
      <c r="E97" s="290"/>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1056281</v>
      </c>
      <c r="D101" s="26"/>
      <c r="E101" s="294"/>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x14ac:dyDescent="0.15">
      <c r="A102" s="10"/>
      <c r="B102" s="93" t="s">
        <v>211</v>
      </c>
      <c r="C102" s="199">
        <f>BS!C4</f>
        <v>33661</v>
      </c>
      <c r="D102" s="89"/>
      <c r="E102" s="295"/>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5732</v>
      </c>
      <c r="D103" s="89"/>
      <c r="E103" s="295"/>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306845</v>
      </c>
      <c r="D104" s="26"/>
      <c r="E104" s="294"/>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x14ac:dyDescent="0.15">
      <c r="A105" s="10"/>
      <c r="B105" s="26" t="s">
        <v>30</v>
      </c>
      <c r="C105" s="198">
        <f>BS!G27</f>
        <v>749436</v>
      </c>
      <c r="D105" s="26"/>
      <c r="E105" s="294"/>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8.9437353200624931E-2</v>
      </c>
      <c r="D108" s="26"/>
      <c r="E108" s="294"/>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1.5229936975906303E-2</v>
      </c>
      <c r="D109" s="26"/>
      <c r="E109" s="294"/>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1.6008682291893146</v>
      </c>
      <c r="H113" s="323">
        <f>IF(H$4="","",Data!D$22/Data!D15)</f>
        <v>1.6902490128132808</v>
      </c>
      <c r="I113" s="323">
        <f>IF(I$4="","",Data!E$22/Data!E15)</f>
        <v>1.4510047502417471</v>
      </c>
      <c r="J113" s="323">
        <f>IF(J$4="","",Data!F$22/Data!F15)</f>
        <v>2.1035316540316042</v>
      </c>
      <c r="K113" s="323">
        <f>IF(K$4="","",Data!G$22/Data!G15)</f>
        <v>3.2993724703992493</v>
      </c>
      <c r="L113" s="323">
        <f>IF(L$4="","",Data!H$22/Data!H15)</f>
        <v>2.023384343788782</v>
      </c>
      <c r="M113" s="323">
        <f>IF(M$4="","",Data!I$22/Data!I15)</f>
        <v>2.361580198596569</v>
      </c>
      <c r="N113" s="323">
        <f>IF(N$4="","",Data!J$22/Data!J15)</f>
        <v>2.716234671522463</v>
      </c>
      <c r="O113" s="323">
        <f>IF(O$4="","",Data!K$22/Data!K15)</f>
        <v>3.6258745986141627</v>
      </c>
      <c r="P113" s="323">
        <f>IF(P$4="","",Data!L$22/Data!L15)</f>
        <v>3.8254510220089513</v>
      </c>
      <c r="Q113" s="323" t="str">
        <f>IF(Q$4="","",Data!M$22/Data!M15)</f>
        <v/>
      </c>
    </row>
    <row r="114" spans="1:17" ht="15.75" customHeight="1" x14ac:dyDescent="0.15">
      <c r="A114" s="10"/>
      <c r="B114" s="2" t="s">
        <v>393</v>
      </c>
      <c r="C114" s="170"/>
      <c r="E114" s="293"/>
      <c r="G114" s="323">
        <f>IF(G$4="","",Data!C$22/G19)</f>
        <v>1.5626305677332901</v>
      </c>
      <c r="H114" s="323">
        <f>IF(H$4="","",Data!D$22/H19)</f>
        <v>1.6995798647481588</v>
      </c>
      <c r="I114" s="323">
        <f>IF(I$4="","",Data!E$22/I19)</f>
        <v>1.4609446298590569</v>
      </c>
      <c r="J114" s="323">
        <f>IF(J$4="","",Data!F$22/J19)</f>
        <v>1.9450934170318153</v>
      </c>
      <c r="K114" s="323">
        <f>IF(K$4="","",Data!G$22/K19)</f>
        <v>2.9447404307897362</v>
      </c>
      <c r="L114" s="323">
        <f>IF(L$4="","",Data!H$22/L19)</f>
        <v>2.059112762372902</v>
      </c>
      <c r="M114" s="323">
        <f>IF(M$4="","",Data!I$22/M19)</f>
        <v>2.4469482333251551</v>
      </c>
      <c r="N114" s="323">
        <f>IF(N$4="","",Data!J$22/N19)</f>
        <v>0.63781492393722561</v>
      </c>
      <c r="O114" s="323">
        <f>IF(O$4="","",Data!K$22/O19)</f>
        <v>0.76192556289509195</v>
      </c>
      <c r="P114" s="323">
        <f>IF(P$4="","",Data!L$22/P19)</f>
        <v>0.58467527247211815</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0.31929962351402291</v>
      </c>
      <c r="E117" s="293"/>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x14ac:dyDescent="0.15">
      <c r="B118" s="7" t="s">
        <v>84</v>
      </c>
      <c r="C118" s="42">
        <f>C4/C101</f>
        <v>0.35631048934895165</v>
      </c>
      <c r="E118" s="293"/>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x14ac:dyDescent="0.15">
      <c r="B119" s="7" t="s">
        <v>92</v>
      </c>
      <c r="C119" s="15">
        <f>C101/C105</f>
        <v>1.4094345614568822</v>
      </c>
      <c r="D119" s="11"/>
      <c r="E119" s="297"/>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x14ac:dyDescent="0.15">
      <c r="A120" s="10"/>
      <c r="B120" s="70" t="s">
        <v>223</v>
      </c>
      <c r="C120" s="102">
        <f>C8/C105</f>
        <v>0.16302668116403515</v>
      </c>
      <c r="D120" s="103"/>
      <c r="E120" s="296"/>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2.0500410681106991</v>
      </c>
      <c r="D124" s="27"/>
      <c r="E124" s="290"/>
      <c r="F124" s="27"/>
      <c r="G124" s="178">
        <f t="shared" ref="G124:Q124" si="49">IF(G$4="","",G16*$C$3/Common_Shares*Exchange_Rate)</f>
        <v>3.2232431166363908</v>
      </c>
      <c r="H124" s="178">
        <f t="shared" si="49"/>
        <v>2.8139557023022834</v>
      </c>
      <c r="I124" s="178">
        <f t="shared" si="49"/>
        <v>3.2085276639884759</v>
      </c>
      <c r="J124" s="178">
        <f t="shared" si="49"/>
        <v>1.7337182180759734</v>
      </c>
      <c r="K124" s="178">
        <f t="shared" si="49"/>
        <v>0.63756559662202417</v>
      </c>
      <c r="L124" s="178">
        <f t="shared" si="49"/>
        <v>1.3678011880301388</v>
      </c>
      <c r="M124" s="178">
        <f t="shared" si="49"/>
        <v>1.1591957982944394</v>
      </c>
      <c r="N124" s="178">
        <f t="shared" si="49"/>
        <v>6.8259362330267566</v>
      </c>
      <c r="O124" s="178">
        <f t="shared" si="49"/>
        <v>6.4205637547540872</v>
      </c>
      <c r="P124" s="178">
        <f t="shared" si="49"/>
        <v>6.4667832402675698</v>
      </c>
      <c r="Q124" s="178" t="str">
        <f t="shared" si="49"/>
        <v/>
      </c>
    </row>
    <row r="125" spans="1:17" ht="15.75" customHeight="1" x14ac:dyDescent="0.15">
      <c r="A125" s="10"/>
      <c r="B125" s="27" t="s">
        <v>270</v>
      </c>
      <c r="C125" s="77">
        <f>C19*Exchange_Rate*$C$3/(Market_Price*Common_Shares)</f>
        <v>0.11891189490201272</v>
      </c>
      <c r="D125" s="27"/>
      <c r="E125" s="290"/>
      <c r="F125" s="27"/>
      <c r="G125" s="77">
        <f t="shared" ref="G125" si="50">IF(G$4="","",G124/Market_Price)</f>
        <v>0.18696305780953545</v>
      </c>
      <c r="H125" s="77">
        <f t="shared" ref="H125" si="51">IF(H$4="","",H124/Market_Price)</f>
        <v>0.16322248853261506</v>
      </c>
      <c r="I125" s="77">
        <f t="shared" ref="I125" si="52">IF(I$4="","",I124/Market_Price)</f>
        <v>0.18610949327079329</v>
      </c>
      <c r="J125" s="77">
        <f t="shared" ref="J125" si="53">IF(J$4="","",J124/Market_Price)</f>
        <v>0.10056370174454603</v>
      </c>
      <c r="K125" s="77">
        <f t="shared" ref="K125" si="54">IF(K$4="","",K124/Market_Price)</f>
        <v>3.6981763145129014E-2</v>
      </c>
      <c r="L125" s="77">
        <f t="shared" ref="L125" si="55">IF(L$4="","",L124/Market_Price)</f>
        <v>7.9338816011028948E-2</v>
      </c>
      <c r="M125" s="77">
        <f t="shared" ref="M125" si="56">IF(M$4="","",M124/Market_Price)</f>
        <v>6.7238735399909488E-2</v>
      </c>
      <c r="N125" s="77">
        <f t="shared" ref="N125" si="57">IF(N$4="","",N124/Market_Price)</f>
        <v>0.3959359763936634</v>
      </c>
      <c r="O125" s="77">
        <f t="shared" ref="O125" si="58">IF(O$4="","",O124/Market_Price)</f>
        <v>0.37242249157506307</v>
      </c>
      <c r="P125" s="77">
        <f t="shared" ref="P125" si="59">IF(P$4="","",P124/Market_Price)</f>
        <v>0.37510343621041592</v>
      </c>
      <c r="Q125" s="77" t="str">
        <f t="shared" ref="Q125" si="60">IF(Q$4="","",Q124/Market_Price)</f>
        <v/>
      </c>
    </row>
    <row r="126" spans="1:17" ht="15.75" customHeight="1" x14ac:dyDescent="0.15">
      <c r="B126" s="2" t="s">
        <v>395</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89906.523166472296</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1123831.5395809037</v>
      </c>
      <c r="D6" t="str">
        <f>Reporting_currency</f>
        <v>CNY</v>
      </c>
      <c r="E6" s="354" t="s">
        <v>250</v>
      </c>
      <c r="F6" s="354"/>
      <c r="H6" s="121"/>
    </row>
    <row r="7" spans="2:8" x14ac:dyDescent="0.15">
      <c r="B7" s="149" t="s">
        <v>225</v>
      </c>
      <c r="C7" s="224">
        <f>BS!G31</f>
        <v>91887</v>
      </c>
      <c r="D7" t="str">
        <f>Reporting_currency</f>
        <v>CNY</v>
      </c>
      <c r="E7" s="354"/>
      <c r="F7" s="354"/>
      <c r="H7" s="121"/>
    </row>
    <row r="8" spans="2:8" x14ac:dyDescent="0.15">
      <c r="B8" s="149" t="s">
        <v>226</v>
      </c>
      <c r="C8" s="115">
        <f>BS!D66</f>
        <v>100741.35470787497</v>
      </c>
      <c r="D8" t="str">
        <f>Reporting_currency</f>
        <v>CNY</v>
      </c>
      <c r="E8" s="354"/>
      <c r="F8" s="354"/>
      <c r="H8" s="121"/>
    </row>
    <row r="9" spans="2:8" x14ac:dyDescent="0.15">
      <c r="B9" s="225" t="s">
        <v>191</v>
      </c>
      <c r="C9" s="227">
        <f>BS!H42</f>
        <v>5113.2</v>
      </c>
      <c r="D9" t="str">
        <f>Reporting_currency</f>
        <v>CNY</v>
      </c>
      <c r="E9" s="354"/>
      <c r="F9" s="354"/>
      <c r="H9" s="121"/>
    </row>
    <row r="10" spans="2:8" x14ac:dyDescent="0.15">
      <c r="B10" s="150" t="s">
        <v>228</v>
      </c>
      <c r="C10" s="230">
        <f>C6-C7+C8+C9</f>
        <v>1137799.0942887787</v>
      </c>
      <c r="D10" t="str">
        <f>Reporting_currency</f>
        <v>CNY</v>
      </c>
      <c r="H10" s="121"/>
    </row>
    <row r="11" spans="2:8" ht="14" thickBot="1" x14ac:dyDescent="0.2">
      <c r="B11" s="228" t="s">
        <v>167</v>
      </c>
      <c r="C11" s="229">
        <f>Exchange_Rate</f>
        <v>1.0837740600000001</v>
      </c>
      <c r="D11" t="str">
        <f>Thesis!C15</f>
        <v>CNY/HKD</v>
      </c>
      <c r="H11" s="121"/>
    </row>
    <row r="12" spans="2:8" ht="14" thickTop="1" x14ac:dyDescent="0.15">
      <c r="B12" s="150" t="s">
        <v>103</v>
      </c>
      <c r="C12" s="112">
        <f>(C10*scaling_factor)/Common_Shares*Exchange_Rate</f>
        <v>25.944000372833873</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1.98435191985455E-2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27.584825058794923</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91690.584985000663</v>
      </c>
      <c r="D21" s="139">
        <f>IF($C$17&lt;B21,0,DCF!$C$16)</f>
        <v>1.98435191985455E-2</v>
      </c>
      <c r="E21" s="125">
        <f t="shared" ref="E21:E50" si="0">IF($C$17&lt;B21,0,1/(1+Equity_Cost)^B21)</f>
        <v>0.92592592592592582</v>
      </c>
      <c r="F21" s="126">
        <f t="shared" ref="F21:F51" si="1">C21*E21</f>
        <v>84898.689800926528</v>
      </c>
      <c r="H21" s="121"/>
    </row>
    <row r="22" spans="2:8" x14ac:dyDescent="0.15">
      <c r="B22" s="123">
        <v>2</v>
      </c>
      <c r="C22" s="124">
        <f t="shared" ref="C22:C50" si="2">IF(ROW()-ROW($C$21)&lt;$C$17, $C$21*(1+D22)^(ROW()-ROW($C$21)), 0)</f>
        <v>93510.048868476399</v>
      </c>
      <c r="D22" s="139">
        <f>IF($C$17&lt;B22,0,DCF!$C$16)</f>
        <v>1.98435191985455E-2</v>
      </c>
      <c r="E22" s="125">
        <f t="shared" si="0"/>
        <v>0.85733882030178321</v>
      </c>
      <c r="F22" s="126">
        <f t="shared" si="1"/>
        <v>80169.794983261658</v>
      </c>
      <c r="H22" s="121"/>
    </row>
    <row r="23" spans="2:8" x14ac:dyDescent="0.15">
      <c r="B23" s="123">
        <v>3</v>
      </c>
      <c r="C23" s="124">
        <f t="shared" si="2"/>
        <v>95365.617318454941</v>
      </c>
      <c r="D23" s="139">
        <f>IF($C$17&lt;B23,0,DCF!$C$16)</f>
        <v>1.98435191985455E-2</v>
      </c>
      <c r="E23" s="125">
        <f t="shared" si="0"/>
        <v>0.79383224102016958</v>
      </c>
      <c r="F23" s="126">
        <f t="shared" si="1"/>
        <v>75704.301712180983</v>
      </c>
      <c r="H23" s="121"/>
    </row>
    <row r="24" spans="2:8" x14ac:dyDescent="0.15">
      <c r="B24" s="123">
        <v>4</v>
      </c>
      <c r="C24" s="124">
        <f t="shared" si="2"/>
        <v>97258.006776594848</v>
      </c>
      <c r="D24" s="139">
        <f>IF($C$17&lt;B24,0,DCF!$C$16)</f>
        <v>1.98435191985455E-2</v>
      </c>
      <c r="E24" s="125">
        <f t="shared" si="0"/>
        <v>0.73502985279645328</v>
      </c>
      <c r="F24" s="126">
        <f t="shared" si="1"/>
        <v>71487.538404276973</v>
      </c>
      <c r="H24" s="121"/>
    </row>
    <row r="25" spans="2:8" x14ac:dyDescent="0.15">
      <c r="B25" s="123">
        <v>5</v>
      </c>
      <c r="C25" s="124">
        <f t="shared" si="2"/>
        <v>99187.947901278458</v>
      </c>
      <c r="D25" s="139">
        <f>IF($C$17&lt;B25,0,DCF!$C$16)</f>
        <v>1.98435191985455E-2</v>
      </c>
      <c r="E25" s="125">
        <f t="shared" si="0"/>
        <v>0.68058319703375303</v>
      </c>
      <c r="F25" s="126">
        <f t="shared" si="1"/>
        <v>67505.650689869421</v>
      </c>
      <c r="H25" s="121"/>
    </row>
    <row r="26" spans="2:8" x14ac:dyDescent="0.15">
      <c r="B26" s="123">
        <v>6</v>
      </c>
      <c r="C26" s="124">
        <f t="shared" si="2"/>
        <v>101156.18584972182</v>
      </c>
      <c r="D26" s="139">
        <f>IF($C$17&lt;B26,0,DCF!$C$16)</f>
        <v>1.98435191985455E-2</v>
      </c>
      <c r="E26" s="125">
        <f t="shared" si="0"/>
        <v>0.63016962688310452</v>
      </c>
      <c r="F26" s="126">
        <f t="shared" si="1"/>
        <v>63745.555893837176</v>
      </c>
      <c r="H26" s="121"/>
    </row>
    <row r="27" spans="2:8" x14ac:dyDescent="0.15">
      <c r="B27" s="123">
        <v>7</v>
      </c>
      <c r="C27" s="124">
        <f t="shared" si="2"/>
        <v>103163.48056568242</v>
      </c>
      <c r="D27" s="139">
        <f>IF($C$17&lt;B27,0,DCF!$C$16)</f>
        <v>1.98435191985455E-2</v>
      </c>
      <c r="E27" s="125">
        <f t="shared" si="0"/>
        <v>0.58349039526213387</v>
      </c>
      <c r="F27" s="126">
        <f t="shared" si="1"/>
        <v>60194.900051887496</v>
      </c>
      <c r="H27" s="121"/>
    </row>
    <row r="28" spans="2:8" x14ac:dyDescent="0.15">
      <c r="B28" s="123">
        <v>8</v>
      </c>
      <c r="C28" s="124">
        <f t="shared" si="2"/>
        <v>105210.6070728763</v>
      </c>
      <c r="D28" s="139">
        <f>IF($C$17&lt;B28,0,DCF!$C$16)</f>
        <v>1.98435191985455E-2</v>
      </c>
      <c r="E28" s="125">
        <f t="shared" si="0"/>
        <v>0.54026888450197574</v>
      </c>
      <c r="F28" s="126">
        <f t="shared" si="1"/>
        <v>56842.017321038562</v>
      </c>
      <c r="H28" s="121"/>
    </row>
    <row r="29" spans="2:8" x14ac:dyDescent="0.15">
      <c r="B29" s="123">
        <v>9</v>
      </c>
      <c r="C29" s="124">
        <f t="shared" si="2"/>
        <v>107298.35577421756</v>
      </c>
      <c r="D29" s="139">
        <f>IF($C$17&lt;B29,0,DCF!$C$16)</f>
        <v>1.98435191985455E-2</v>
      </c>
      <c r="E29" s="125">
        <f t="shared" si="0"/>
        <v>0.50024896713145905</v>
      </c>
      <c r="F29" s="126">
        <f t="shared" si="1"/>
        <v>53675.89165095616</v>
      </c>
      <c r="H29" s="121"/>
    </row>
    <row r="30" spans="2:8" x14ac:dyDescent="0.15">
      <c r="B30" s="123">
        <v>10</v>
      </c>
      <c r="C30" s="124">
        <f t="shared" si="2"/>
        <v>109427.53275699561</v>
      </c>
      <c r="D30" s="139">
        <f>IF($C$17&lt;B30,0,DCF!$C$16)</f>
        <v>1.98435191985455E-2</v>
      </c>
      <c r="E30" s="125">
        <f t="shared" si="0"/>
        <v>0.46319348808468425</v>
      </c>
      <c r="F30" s="126">
        <f t="shared" si="1"/>
        <v>50686.120590213846</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1146132.3123125082</v>
      </c>
      <c r="D51" s="140">
        <f>Terminal_Growth</f>
        <v>0</v>
      </c>
      <c r="E51" s="125">
        <f>1/(1+Equity_Cost)^C17</f>
        <v>0.46319348808468425</v>
      </c>
      <c r="F51" s="126">
        <f t="shared" si="1"/>
        <v>530881.02354659536</v>
      </c>
      <c r="H51" s="121"/>
    </row>
    <row r="52" spans="1:8" x14ac:dyDescent="0.15">
      <c r="C52" s="115"/>
      <c r="E52" s="128" t="s">
        <v>101</v>
      </c>
      <c r="F52" s="138">
        <f>SUM(F21:F51)</f>
        <v>1195791.484645044</v>
      </c>
      <c r="H52" s="121"/>
    </row>
    <row r="53" spans="1:8" x14ac:dyDescent="0.15">
      <c r="C53" s="115"/>
      <c r="H53" s="121"/>
    </row>
    <row r="54" spans="1:8" x14ac:dyDescent="0.15">
      <c r="B54" s="120" t="s">
        <v>130</v>
      </c>
      <c r="C54" s="137"/>
      <c r="D54" s="137"/>
      <c r="E54" s="118"/>
      <c r="F54" s="118"/>
      <c r="H54" s="121"/>
    </row>
    <row r="55" spans="1:8" x14ac:dyDescent="0.15">
      <c r="A55" s="134">
        <f>F52</f>
        <v>1195791.484645044</v>
      </c>
      <c r="B55" s="132">
        <f>C78</f>
        <v>0</v>
      </c>
      <c r="C55" s="132">
        <f>C77</f>
        <v>0</v>
      </c>
      <c r="D55" s="132">
        <f>C76</f>
        <v>0.02</v>
      </c>
      <c r="E55" s="132">
        <f>C75</f>
        <v>0.03</v>
      </c>
      <c r="F55" s="132">
        <f>C74</f>
        <v>0.04</v>
      </c>
      <c r="H55" s="121"/>
    </row>
    <row r="56" spans="1:8" x14ac:dyDescent="0.15">
      <c r="A56" s="144">
        <v>5</v>
      </c>
      <c r="B56" s="124">
        <f t="dataTable" ref="B56:F61" dt2D="1" dtr="1" r1="C16" r2="C17"/>
        <v>1123831.5395809035</v>
      </c>
      <c r="C56" s="124">
        <v>1123831.5395809035</v>
      </c>
      <c r="D56" s="124">
        <v>1160092.2280044998</v>
      </c>
      <c r="E56" s="124">
        <v>1178626.8748961668</v>
      </c>
      <c r="F56" s="124">
        <v>1197438.9082228532</v>
      </c>
      <c r="H56" s="121"/>
    </row>
    <row r="57" spans="1:8" x14ac:dyDescent="0.15">
      <c r="A57" s="144">
        <v>10</v>
      </c>
      <c r="B57" s="124">
        <v>1123831.5395809032</v>
      </c>
      <c r="C57" s="124">
        <v>1123831.5395809032</v>
      </c>
      <c r="D57" s="124">
        <v>1196386.3067920422</v>
      </c>
      <c r="E57" s="124">
        <v>1235338.4520648608</v>
      </c>
      <c r="F57" s="124">
        <v>1276213.0261731616</v>
      </c>
      <c r="H57" s="121"/>
    </row>
    <row r="58" spans="1:8" x14ac:dyDescent="0.15">
      <c r="A58" s="144">
        <v>15</v>
      </c>
      <c r="B58" s="124">
        <v>1123831.539580903</v>
      </c>
      <c r="C58" s="124">
        <v>1123831.539580903</v>
      </c>
      <c r="D58" s="124">
        <v>1241310.2926966697</v>
      </c>
      <c r="E58" s="124">
        <v>1307360.3393357873</v>
      </c>
      <c r="F58" s="124">
        <v>1378905.0786722163</v>
      </c>
      <c r="H58" s="121"/>
    </row>
    <row r="59" spans="1:8" x14ac:dyDescent="0.15">
      <c r="A59" s="145">
        <v>20</v>
      </c>
      <c r="B59" s="124">
        <v>1123831.5395809032</v>
      </c>
      <c r="C59" s="124">
        <v>1123831.5395809032</v>
      </c>
      <c r="D59" s="124">
        <v>1287080.6299842198</v>
      </c>
      <c r="E59" s="124">
        <v>1382748.9174843063</v>
      </c>
      <c r="F59" s="124">
        <v>1489435.2104115037</v>
      </c>
      <c r="H59" s="121"/>
    </row>
    <row r="60" spans="1:8" x14ac:dyDescent="0.15">
      <c r="A60" s="145">
        <v>25</v>
      </c>
      <c r="B60" s="124">
        <v>1123831.539580903</v>
      </c>
      <c r="C60" s="124">
        <v>1123831.539580903</v>
      </c>
      <c r="D60" s="124">
        <v>1329649.5834580972</v>
      </c>
      <c r="E60" s="124">
        <v>1454863.9192204799</v>
      </c>
      <c r="F60" s="124">
        <v>1598311.1503303675</v>
      </c>
      <c r="H60" s="121"/>
    </row>
    <row r="61" spans="1:8" x14ac:dyDescent="0.15">
      <c r="A61" s="145">
        <v>30</v>
      </c>
      <c r="B61" s="124">
        <v>1123831.539580903</v>
      </c>
      <c r="C61" s="124">
        <v>1123831.539580903</v>
      </c>
      <c r="D61" s="124">
        <v>1367201.3221116753</v>
      </c>
      <c r="E61" s="124">
        <v>1520360.3795517492</v>
      </c>
      <c r="F61" s="124">
        <v>1700274.4329474259</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v>
      </c>
      <c r="D64" s="133">
        <f>D55</f>
        <v>0.02</v>
      </c>
      <c r="E64" s="133">
        <f>E55</f>
        <v>0.03</v>
      </c>
      <c r="F64" s="133">
        <f>F55</f>
        <v>0.04</v>
      </c>
      <c r="H64" s="121"/>
    </row>
    <row r="65" spans="1:8" x14ac:dyDescent="0.15">
      <c r="A65" s="144">
        <v>0</v>
      </c>
      <c r="B65" s="125">
        <f>C12</f>
        <v>25.944000372833873</v>
      </c>
      <c r="C65" s="125">
        <f>C12</f>
        <v>25.944000372833873</v>
      </c>
      <c r="D65" s="125">
        <f>C12</f>
        <v>25.944000372833873</v>
      </c>
      <c r="E65" s="142">
        <f>C12</f>
        <v>25.944000372833873</v>
      </c>
      <c r="F65" s="125">
        <f>C12</f>
        <v>25.944000372833873</v>
      </c>
      <c r="H65" s="121"/>
    </row>
    <row r="66" spans="1:8" x14ac:dyDescent="0.15">
      <c r="A66" s="144">
        <f t="shared" ref="A66:A71" si="3">A56</f>
        <v>5</v>
      </c>
      <c r="B66" s="125">
        <f t="shared" ref="B66:F71" si="4">(B56-$C$7+$C$8+$C$9)/Common_Shares*$C$3*Exchange_Rate</f>
        <v>25.944000372833862</v>
      </c>
      <c r="C66" s="125">
        <f t="shared" si="4"/>
        <v>25.944000372833862</v>
      </c>
      <c r="D66" s="125">
        <f t="shared" si="4"/>
        <v>26.770813576239554</v>
      </c>
      <c r="E66" s="125">
        <f t="shared" si="4"/>
        <v>27.193439054042674</v>
      </c>
      <c r="F66" s="125">
        <f t="shared" si="4"/>
        <v>27.622389474280432</v>
      </c>
      <c r="H66" s="121"/>
    </row>
    <row r="67" spans="1:8" x14ac:dyDescent="0.15">
      <c r="A67" s="144">
        <f t="shared" si="3"/>
        <v>10</v>
      </c>
      <c r="B67" s="125">
        <f t="shared" si="4"/>
        <v>25.944000372833859</v>
      </c>
      <c r="C67" s="125">
        <f t="shared" si="4"/>
        <v>25.944000372833859</v>
      </c>
      <c r="D67" s="125">
        <f t="shared" si="4"/>
        <v>27.598388143948494</v>
      </c>
      <c r="E67" s="125">
        <f t="shared" si="4"/>
        <v>28.486571722713233</v>
      </c>
      <c r="F67" s="125">
        <f t="shared" si="4"/>
        <v>29.418590363990191</v>
      </c>
      <c r="H67" s="121"/>
    </row>
    <row r="68" spans="1:8" x14ac:dyDescent="0.15">
      <c r="A68" s="144">
        <f t="shared" si="3"/>
        <v>15</v>
      </c>
      <c r="B68" s="125">
        <f t="shared" si="4"/>
        <v>25.944000372833852</v>
      </c>
      <c r="C68" s="125">
        <f t="shared" si="4"/>
        <v>25.944000372833852</v>
      </c>
      <c r="D68" s="125">
        <f t="shared" si="4"/>
        <v>28.622741136413637</v>
      </c>
      <c r="E68" s="125">
        <f t="shared" si="4"/>
        <v>30.12880880972472</v>
      </c>
      <c r="F68" s="125">
        <f t="shared" si="4"/>
        <v>31.760166009194872</v>
      </c>
      <c r="H68" s="121"/>
    </row>
    <row r="69" spans="1:8" x14ac:dyDescent="0.15">
      <c r="A69" s="145">
        <f t="shared" si="3"/>
        <v>20</v>
      </c>
      <c r="B69" s="125">
        <f t="shared" si="4"/>
        <v>25.944000372833859</v>
      </c>
      <c r="C69" s="125">
        <f t="shared" si="4"/>
        <v>25.944000372833859</v>
      </c>
      <c r="D69" s="125">
        <f t="shared" si="4"/>
        <v>29.6663925627625</v>
      </c>
      <c r="E69" s="125">
        <f t="shared" si="4"/>
        <v>31.847812902283948</v>
      </c>
      <c r="F69" s="125">
        <f t="shared" si="4"/>
        <v>34.280464885725387</v>
      </c>
      <c r="H69" s="121"/>
    </row>
    <row r="70" spans="1:8" x14ac:dyDescent="0.15">
      <c r="A70" s="145">
        <f t="shared" si="3"/>
        <v>25</v>
      </c>
      <c r="B70" s="125">
        <f t="shared" si="4"/>
        <v>25.944000372833852</v>
      </c>
      <c r="C70" s="125">
        <f t="shared" si="4"/>
        <v>25.944000372833852</v>
      </c>
      <c r="D70" s="125">
        <f t="shared" si="4"/>
        <v>30.637046301494621</v>
      </c>
      <c r="E70" s="125">
        <f t="shared" si="4"/>
        <v>33.492173177592221</v>
      </c>
      <c r="F70" s="125">
        <f t="shared" si="4"/>
        <v>36.763045017864883</v>
      </c>
    </row>
    <row r="71" spans="1:8" x14ac:dyDescent="0.15">
      <c r="A71" s="145">
        <f t="shared" si="3"/>
        <v>30</v>
      </c>
      <c r="B71" s="125">
        <f t="shared" si="4"/>
        <v>25.944000372833852</v>
      </c>
      <c r="C71" s="125">
        <f t="shared" si="4"/>
        <v>25.944000372833852</v>
      </c>
      <c r="D71" s="125">
        <f t="shared" si="4"/>
        <v>31.493297924930808</v>
      </c>
      <c r="E71" s="125">
        <f t="shared" si="4"/>
        <v>34.98561802192647</v>
      </c>
      <c r="F71" s="125">
        <f t="shared" si="4"/>
        <v>39.088003312796459</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0.04</v>
      </c>
      <c r="D74" s="146">
        <f>Scenarios!C55</f>
        <v>15</v>
      </c>
      <c r="E74" s="136">
        <f>INDEX(B$65:F$71, MATCH(D74, A$65:A$71, 0), MATCH(C74, B$64:F$64, 0))</f>
        <v>31.760166009194872</v>
      </c>
      <c r="F74" s="143">
        <f>Scenarios!C58</f>
        <v>0.05</v>
      </c>
    </row>
    <row r="75" spans="1:8" x14ac:dyDescent="0.15">
      <c r="B75" s="128" t="str">
        <f>Scenarios!B36</f>
        <v>Optimistic</v>
      </c>
      <c r="C75" s="143">
        <f>Scenarios!C38</f>
        <v>0.03</v>
      </c>
      <c r="D75" s="146">
        <f>Scenarios!C37</f>
        <v>10</v>
      </c>
      <c r="E75" s="136">
        <f>INDEX(B$65:F$71, MATCH(D75, A$65:A$71, 0), MATCH(C75, B$64:F$64, 0))</f>
        <v>28.486571722713233</v>
      </c>
      <c r="F75" s="143">
        <f>Scenarios!C40*(1-F$74-F$78)</f>
        <v>0.18</v>
      </c>
      <c r="H75" s="121"/>
    </row>
    <row r="76" spans="1:8" x14ac:dyDescent="0.15">
      <c r="B76" s="128" t="str">
        <f>Scenarios!B24</f>
        <v>Base</v>
      </c>
      <c r="C76" s="143">
        <f>Scenarios!C26</f>
        <v>0.02</v>
      </c>
      <c r="D76" s="146">
        <f>Scenarios!C25</f>
        <v>10</v>
      </c>
      <c r="E76" s="136">
        <f>INDEX(B$65:F$71, MATCH(D76, A$65:A$71, 0), MATCH(C76, B$64:F$64, 0))</f>
        <v>27.598388143948494</v>
      </c>
      <c r="F76" s="143">
        <f>Scenarios!C28*(1-F$74-F$78)</f>
        <v>0.53999999999999992</v>
      </c>
      <c r="H76" s="121"/>
    </row>
    <row r="77" spans="1:8" x14ac:dyDescent="0.15">
      <c r="B77" s="128" t="str">
        <f>Scenarios!B30</f>
        <v>Pessimistic</v>
      </c>
      <c r="C77" s="143">
        <f>Scenarios!C32</f>
        <v>0</v>
      </c>
      <c r="D77" s="146">
        <f>Scenarios!C31</f>
        <v>10</v>
      </c>
      <c r="E77" s="136">
        <f>INDEX(B$65:F$71, MATCH(D77, A$65:A$71, 0), MATCH(C77, B$64:F$64, 0))</f>
        <v>25.944000372833859</v>
      </c>
      <c r="F77" s="143">
        <f>Scenarios!C34*(1-F$74-F$78)</f>
        <v>0.18</v>
      </c>
      <c r="H77" s="121"/>
    </row>
    <row r="78" spans="1:8" x14ac:dyDescent="0.15">
      <c r="B78" s="128" t="str">
        <f>Scenarios!B48</f>
        <v>Devil's advocate</v>
      </c>
      <c r="C78" s="143">
        <f>Scenarios!C50</f>
        <v>0</v>
      </c>
      <c r="D78" s="146">
        <f>Scenarios!C49</f>
        <v>15</v>
      </c>
      <c r="E78" s="136">
        <f>INDEX(B$65:F$71, MATCH(D78, A$65:A$71, 0), MATCH(C78, B$64:F$64, 0))</f>
        <v>25.944000372833852</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1000000</v>
      </c>
      <c r="E3" s="109" t="s">
        <v>125</v>
      </c>
      <c r="H3" s="121"/>
    </row>
    <row r="4" spans="2:8" x14ac:dyDescent="0.15">
      <c r="B4" s="100" t="s">
        <v>442</v>
      </c>
      <c r="C4" s="110">
        <f>Normalized_FCF!C91</f>
        <v>66541.935577600001</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831774.19472000003</v>
      </c>
      <c r="D6" t="str">
        <f>Reporting_currency</f>
        <v>CNY</v>
      </c>
      <c r="E6" s="354"/>
      <c r="F6" s="354"/>
      <c r="H6" s="121"/>
    </row>
    <row r="7" spans="2:8" x14ac:dyDescent="0.15">
      <c r="B7" s="150" t="s">
        <v>446</v>
      </c>
      <c r="C7" s="112">
        <f>(C6*scaling_factor)/Common_Shares*Exchange_Rate</f>
        <v>18.966046050000003</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1.98435191985455E-2</v>
      </c>
      <c r="H11" s="121"/>
    </row>
    <row r="12" spans="2:8" ht="13.25" customHeight="1" x14ac:dyDescent="0.15">
      <c r="B12" s="119" t="s">
        <v>135</v>
      </c>
      <c r="C12" s="163">
        <f>Scenarios!C64</f>
        <v>10</v>
      </c>
      <c r="H12" s="121"/>
    </row>
    <row r="13" spans="2:8" ht="13.25" customHeight="1" x14ac:dyDescent="0.15">
      <c r="B13" s="154" t="s">
        <v>107</v>
      </c>
      <c r="C13" s="141">
        <f>F47/Common_Shares*scaling_factor</f>
        <v>18.620540752123823</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67862.361753742487</v>
      </c>
      <c r="D16" s="139">
        <f>IF($C$12&lt;B16,0,DDM!$C$11)</f>
        <v>1.98435191985455E-2</v>
      </c>
      <c r="E16" s="125">
        <f t="shared" ref="E16:E45" si="0">IF($C$12&lt;B16,0,1/(1+Equity_Cost)^B16)</f>
        <v>0.92592592592592582</v>
      </c>
      <c r="F16" s="126">
        <f t="shared" ref="F16:F46" si="1">C16*E16</f>
        <v>62835.520142354144</v>
      </c>
      <c r="H16" s="121"/>
    </row>
    <row r="17" spans="2:8" x14ac:dyDescent="0.15">
      <c r="B17" s="123">
        <v>2</v>
      </c>
      <c r="C17" s="124">
        <f t="shared" ref="C17:C45" si="2">IF(ROW()-ROW($C$16)&lt;$C$12, $C$16*(1+D17)^(ROW()-ROW($C$16)), 0)</f>
        <v>69208.989832061518</v>
      </c>
      <c r="D17" s="139">
        <f>IF($C$12&lt;B17,0,DDM!$C$11)</f>
        <v>1.98435191985455E-2</v>
      </c>
      <c r="E17" s="125">
        <f t="shared" si="0"/>
        <v>0.85733882030178321</v>
      </c>
      <c r="F17" s="126">
        <f t="shared" si="1"/>
        <v>59335.553696897732</v>
      </c>
      <c r="H17" s="121"/>
    </row>
    <row r="18" spans="2:8" x14ac:dyDescent="0.15">
      <c r="B18" s="123">
        <v>3</v>
      </c>
      <c r="C18" s="124">
        <f t="shared" si="2"/>
        <v>70582.339750505969</v>
      </c>
      <c r="D18" s="139">
        <f>IF($C$12&lt;B18,0,DDM!$C$11)</f>
        <v>1.98435191985455E-2</v>
      </c>
      <c r="E18" s="125">
        <f t="shared" si="0"/>
        <v>0.79383224102016958</v>
      </c>
      <c r="F18" s="126">
        <f t="shared" si="1"/>
        <v>56030.536940591148</v>
      </c>
      <c r="H18" s="121"/>
    </row>
    <row r="19" spans="2:8" x14ac:dyDescent="0.15">
      <c r="B19" s="123">
        <v>4</v>
      </c>
      <c r="C19" s="124">
        <f t="shared" si="2"/>
        <v>71982.941764423405</v>
      </c>
      <c r="D19" s="139">
        <f>IF($C$12&lt;B19,0,DDM!$C$11)</f>
        <v>1.98435191985455E-2</v>
      </c>
      <c r="E19" s="125">
        <f t="shared" si="0"/>
        <v>0.73502985279645328</v>
      </c>
      <c r="F19" s="126">
        <f t="shared" si="1"/>
        <v>52909.611088959806</v>
      </c>
      <c r="H19" s="121"/>
    </row>
    <row r="20" spans="2:8" x14ac:dyDescent="0.15">
      <c r="B20" s="123">
        <v>5</v>
      </c>
      <c r="C20" s="124">
        <f t="shared" si="2"/>
        <v>73411.336651293517</v>
      </c>
      <c r="D20" s="139">
        <f>IF($C$12&lt;B20,0,DDM!$C$11)</f>
        <v>1.98435191985455E-2</v>
      </c>
      <c r="E20" s="125">
        <f t="shared" si="0"/>
        <v>0.68058319703375303</v>
      </c>
      <c r="F20" s="126">
        <f t="shared" si="1"/>
        <v>49962.522196658472</v>
      </c>
      <c r="H20" s="121"/>
    </row>
    <row r="21" spans="2:8" x14ac:dyDescent="0.15">
      <c r="B21" s="123">
        <v>6</v>
      </c>
      <c r="C21" s="124">
        <f t="shared" si="2"/>
        <v>74868.075919524344</v>
      </c>
      <c r="D21" s="139">
        <f>IF($C$12&lt;B21,0,DDM!$C$11)</f>
        <v>1.98435191985455E-2</v>
      </c>
      <c r="E21" s="125">
        <f t="shared" si="0"/>
        <v>0.63016962688310452</v>
      </c>
      <c r="F21" s="126">
        <f t="shared" si="1"/>
        <v>47179.587467662597</v>
      </c>
      <c r="H21" s="121"/>
    </row>
    <row r="22" spans="2:8" x14ac:dyDescent="0.15">
      <c r="B22" s="123">
        <v>7</v>
      </c>
      <c r="C22" s="124">
        <f t="shared" si="2"/>
        <v>76353.722021391586</v>
      </c>
      <c r="D22" s="139">
        <f>IF($C$12&lt;B22,0,DDM!$C$11)</f>
        <v>1.98435191985455E-2</v>
      </c>
      <c r="E22" s="125">
        <f t="shared" si="0"/>
        <v>0.58349039526213387</v>
      </c>
      <c r="F22" s="126">
        <f t="shared" si="1"/>
        <v>44551.663441996869</v>
      </c>
      <c r="H22" s="121"/>
    </row>
    <row r="23" spans="2:8" x14ac:dyDescent="0.15">
      <c r="B23" s="123">
        <v>8</v>
      </c>
      <c r="C23" s="124">
        <f t="shared" si="2"/>
        <v>77868.848570203481</v>
      </c>
      <c r="D23" s="139">
        <f>IF($C$12&lt;B23,0,DDM!$C$11)</f>
        <v>1.98435191985455E-2</v>
      </c>
      <c r="E23" s="125">
        <f t="shared" si="0"/>
        <v>0.54026888450197574</v>
      </c>
      <c r="F23" s="126">
        <f t="shared" si="1"/>
        <v>42070.115954477107</v>
      </c>
      <c r="H23" s="121"/>
    </row>
    <row r="24" spans="2:8" x14ac:dyDescent="0.15">
      <c r="B24" s="123">
        <v>9</v>
      </c>
      <c r="C24" s="124">
        <f t="shared" si="2"/>
        <v>79414.040561774949</v>
      </c>
      <c r="D24" s="139">
        <f>IF($C$12&lt;B24,0,DDM!$C$11)</f>
        <v>1.98435191985455E-2</v>
      </c>
      <c r="E24" s="125">
        <f t="shared" si="0"/>
        <v>0.50024896713145905</v>
      </c>
      <c r="F24" s="126">
        <f t="shared" si="1"/>
        <v>39726.791766763716</v>
      </c>
      <c r="H24" s="121"/>
    </row>
    <row r="25" spans="2:8" x14ac:dyDescent="0.15">
      <c r="B25" s="123">
        <v>10</v>
      </c>
      <c r="C25" s="124">
        <f t="shared" si="2"/>
        <v>80989.894600296597</v>
      </c>
      <c r="D25" s="139">
        <f>IF($C$12&lt;B25,0,DDM!$C$11)</f>
        <v>1.98435191985455E-2</v>
      </c>
      <c r="E25" s="125">
        <f t="shared" si="0"/>
        <v>0.46319348808468425</v>
      </c>
      <c r="F25" s="126">
        <f t="shared" si="1"/>
        <v>37513.991779522315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848279.52192178112</v>
      </c>
      <c r="D46" s="140">
        <f>Terminal_Growth</f>
        <v>0</v>
      </c>
      <c r="E46" s="125">
        <f>1/(1+Equity_Cost)^C12</f>
        <v>0.46319348808468425</v>
      </c>
      <c r="F46" s="126">
        <f t="shared" si="1"/>
        <v>392917.55062975816</v>
      </c>
      <c r="H46" s="121"/>
    </row>
    <row r="47" spans="2:8" x14ac:dyDescent="0.15">
      <c r="C47" s="115"/>
      <c r="E47" s="128" t="s">
        <v>101</v>
      </c>
      <c r="F47" s="138">
        <f>SUM(F16:F46)</f>
        <v>885033.44510564208</v>
      </c>
      <c r="H47" s="121"/>
    </row>
    <row r="48" spans="2:8" x14ac:dyDescent="0.15">
      <c r="C48" s="115"/>
      <c r="H48" s="121"/>
    </row>
    <row r="49" spans="1:8" x14ac:dyDescent="0.15">
      <c r="B49" s="120" t="s">
        <v>130</v>
      </c>
      <c r="C49" s="137"/>
      <c r="D49" s="137"/>
      <c r="E49" s="118"/>
      <c r="F49" s="118"/>
      <c r="H49" s="121"/>
    </row>
    <row r="50" spans="1:8" x14ac:dyDescent="0.15">
      <c r="A50" s="134">
        <f>F47</f>
        <v>885033.44510564208</v>
      </c>
      <c r="B50" s="132">
        <f>C73</f>
        <v>0</v>
      </c>
      <c r="C50" s="132">
        <f>C72</f>
        <v>0</v>
      </c>
      <c r="D50" s="132">
        <f>C71</f>
        <v>0.02</v>
      </c>
      <c r="E50" s="132">
        <f>C70</f>
        <v>0.03</v>
      </c>
      <c r="F50" s="132">
        <f>C69</f>
        <v>0.04</v>
      </c>
      <c r="H50" s="121"/>
    </row>
    <row r="51" spans="1:8" x14ac:dyDescent="0.15">
      <c r="A51" s="144">
        <v>5</v>
      </c>
      <c r="B51" s="124">
        <f t="dataTable" ref="B51:F56" dt2D="1" dtr="1" r1="C11" r2="C12"/>
        <v>831774.1947199998</v>
      </c>
      <c r="C51" s="124">
        <v>831774.1947199998</v>
      </c>
      <c r="D51" s="124">
        <v>858611.58435650798</v>
      </c>
      <c r="E51" s="124">
        <v>872329.51311163534</v>
      </c>
      <c r="F51" s="124">
        <v>886252.74210126267</v>
      </c>
      <c r="H51" s="121"/>
    </row>
    <row r="52" spans="1:8" x14ac:dyDescent="0.15">
      <c r="A52" s="144">
        <v>10</v>
      </c>
      <c r="B52" s="124">
        <v>831774.1947199998</v>
      </c>
      <c r="C52" s="124">
        <v>831774.1947199998</v>
      </c>
      <c r="D52" s="124">
        <v>885473.6869878954</v>
      </c>
      <c r="E52" s="124">
        <v>914303.08723679534</v>
      </c>
      <c r="F52" s="124">
        <v>944555.32235037233</v>
      </c>
      <c r="H52" s="121"/>
    </row>
    <row r="53" spans="1:8" x14ac:dyDescent="0.15">
      <c r="A53" s="144">
        <v>15</v>
      </c>
      <c r="B53" s="124">
        <v>831774.1947199998</v>
      </c>
      <c r="C53" s="124">
        <v>831774.1947199998</v>
      </c>
      <c r="D53" s="124">
        <v>918722.98715735739</v>
      </c>
      <c r="E53" s="124">
        <v>967608.18250875163</v>
      </c>
      <c r="F53" s="124">
        <v>1020560.1293549866</v>
      </c>
      <c r="H53" s="121"/>
    </row>
    <row r="54" spans="1:8" x14ac:dyDescent="0.15">
      <c r="A54" s="145">
        <v>20</v>
      </c>
      <c r="B54" s="124">
        <v>831774.19471999968</v>
      </c>
      <c r="C54" s="124">
        <v>831774.19471999968</v>
      </c>
      <c r="D54" s="124">
        <v>952598.69192144671</v>
      </c>
      <c r="E54" s="124">
        <v>1023405.045002889</v>
      </c>
      <c r="F54" s="124">
        <v>1102366.0834342125</v>
      </c>
      <c r="H54" s="121"/>
    </row>
    <row r="55" spans="1:8" x14ac:dyDescent="0.15">
      <c r="A55" s="145">
        <v>25</v>
      </c>
      <c r="B55" s="124">
        <v>831774.19471999968</v>
      </c>
      <c r="C55" s="124">
        <v>831774.19471999968</v>
      </c>
      <c r="D55" s="124">
        <v>984104.97711523261</v>
      </c>
      <c r="E55" s="124">
        <v>1076779.0564839209</v>
      </c>
      <c r="F55" s="124">
        <v>1182947.7311820304</v>
      </c>
      <c r="H55" s="121"/>
    </row>
    <row r="56" spans="1:8" x14ac:dyDescent="0.15">
      <c r="A56" s="145">
        <v>30</v>
      </c>
      <c r="B56" s="124">
        <v>831774.19471999945</v>
      </c>
      <c r="C56" s="124">
        <v>831774.19471999945</v>
      </c>
      <c r="D56" s="124">
        <v>1011897.9034381259</v>
      </c>
      <c r="E56" s="124">
        <v>1125254.5295689418</v>
      </c>
      <c r="F56" s="124">
        <v>1258413.1584305295</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v>
      </c>
      <c r="D59" s="133">
        <f>D50</f>
        <v>0.02</v>
      </c>
      <c r="E59" s="133">
        <f>E50</f>
        <v>0.03</v>
      </c>
      <c r="F59" s="133">
        <f>F50</f>
        <v>0.04</v>
      </c>
      <c r="H59" s="121"/>
    </row>
    <row r="60" spans="1:8" x14ac:dyDescent="0.15">
      <c r="A60" s="144">
        <v>0</v>
      </c>
      <c r="B60" s="125">
        <f>C7</f>
        <v>18.966046050000003</v>
      </c>
      <c r="C60" s="125">
        <f>C7</f>
        <v>18.966046050000003</v>
      </c>
      <c r="D60" s="125">
        <f>C7</f>
        <v>18.966046050000003</v>
      </c>
      <c r="E60" s="142">
        <f>C7</f>
        <v>18.966046050000003</v>
      </c>
      <c r="F60" s="125">
        <f>C7</f>
        <v>18.966046050000003</v>
      </c>
      <c r="H60" s="121"/>
    </row>
    <row r="61" spans="1:8" x14ac:dyDescent="0.15">
      <c r="A61" s="144">
        <f t="shared" ref="A61:A66" si="3">A51</f>
        <v>5</v>
      </c>
      <c r="B61" s="125">
        <f t="shared" ref="B61:F66" si="4">B51/Common_Shares*$C$3*Exchange_Rate</f>
        <v>18.966046049999999</v>
      </c>
      <c r="C61" s="125">
        <f t="shared" si="4"/>
        <v>18.966046049999999</v>
      </c>
      <c r="D61" s="125">
        <f t="shared" si="4"/>
        <v>19.57798997773768</v>
      </c>
      <c r="E61" s="125">
        <f t="shared" si="4"/>
        <v>19.890785048962449</v>
      </c>
      <c r="F61" s="125">
        <f t="shared" si="4"/>
        <v>20.208261359069496</v>
      </c>
      <c r="H61" s="121"/>
    </row>
    <row r="62" spans="1:8" x14ac:dyDescent="0.15">
      <c r="A62" s="144">
        <f t="shared" si="3"/>
        <v>10</v>
      </c>
      <c r="B62" s="125">
        <f t="shared" si="4"/>
        <v>18.966046049999999</v>
      </c>
      <c r="C62" s="125">
        <f t="shared" si="4"/>
        <v>18.966046049999999</v>
      </c>
      <c r="D62" s="125">
        <f t="shared" si="4"/>
        <v>20.190497409130433</v>
      </c>
      <c r="E62" s="125">
        <f t="shared" si="4"/>
        <v>20.847862997273715</v>
      </c>
      <c r="F62" s="125">
        <f t="shared" si="4"/>
        <v>21.537671947733728</v>
      </c>
      <c r="H62" s="121"/>
    </row>
    <row r="63" spans="1:8" x14ac:dyDescent="0.15">
      <c r="A63" s="144">
        <f t="shared" si="3"/>
        <v>15</v>
      </c>
      <c r="B63" s="125">
        <f t="shared" si="4"/>
        <v>18.966046049999999</v>
      </c>
      <c r="C63" s="125">
        <f t="shared" si="4"/>
        <v>18.966046049999999</v>
      </c>
      <c r="D63" s="125">
        <f t="shared" si="4"/>
        <v>20.948645187875325</v>
      </c>
      <c r="E63" s="125">
        <f t="shared" si="4"/>
        <v>22.063321348885463</v>
      </c>
      <c r="F63" s="125">
        <f t="shared" si="4"/>
        <v>23.270727239448007</v>
      </c>
      <c r="H63" s="121"/>
    </row>
    <row r="64" spans="1:8" x14ac:dyDescent="0.15">
      <c r="A64" s="145">
        <f t="shared" si="3"/>
        <v>20</v>
      </c>
      <c r="B64" s="125">
        <f t="shared" si="4"/>
        <v>18.966046049999996</v>
      </c>
      <c r="C64" s="125">
        <f t="shared" si="4"/>
        <v>18.966046049999996</v>
      </c>
      <c r="D64" s="125">
        <f t="shared" si="4"/>
        <v>21.721076192119455</v>
      </c>
      <c r="E64" s="125">
        <f t="shared" si="4"/>
        <v>23.335596769578892</v>
      </c>
      <c r="F64" s="125">
        <f t="shared" si="4"/>
        <v>25.136059804559714</v>
      </c>
      <c r="H64" s="121"/>
    </row>
    <row r="65" spans="1:8" x14ac:dyDescent="0.15">
      <c r="A65" s="145">
        <f t="shared" si="3"/>
        <v>25</v>
      </c>
      <c r="B65" s="125">
        <f t="shared" si="4"/>
        <v>18.966046049999996</v>
      </c>
      <c r="C65" s="125">
        <f t="shared" si="4"/>
        <v>18.966046049999996</v>
      </c>
      <c r="D65" s="125">
        <f t="shared" si="4"/>
        <v>22.439479888270341</v>
      </c>
      <c r="E65" s="125">
        <f t="shared" si="4"/>
        <v>24.552626542861589</v>
      </c>
      <c r="F65" s="125">
        <f t="shared" si="4"/>
        <v>26.973475838468374</v>
      </c>
    </row>
    <row r="66" spans="1:8" x14ac:dyDescent="0.15">
      <c r="A66" s="145">
        <f t="shared" si="3"/>
        <v>30</v>
      </c>
      <c r="B66" s="125">
        <f t="shared" si="4"/>
        <v>18.966046049999989</v>
      </c>
      <c r="C66" s="125">
        <f t="shared" si="4"/>
        <v>18.966046049999989</v>
      </c>
      <c r="D66" s="125">
        <f t="shared" si="4"/>
        <v>23.073211884105696</v>
      </c>
      <c r="E66" s="125">
        <f t="shared" si="4"/>
        <v>25.657960250810458</v>
      </c>
      <c r="F66" s="125">
        <f t="shared" si="4"/>
        <v>28.69423223781757</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0.04</v>
      </c>
      <c r="D69" s="146">
        <f>Scenarios!C55</f>
        <v>15</v>
      </c>
      <c r="E69" s="136">
        <f>INDEX(B$60:F$66, MATCH(D69, A$60:A$66, 0), MATCH(C69, B$59:F$59, 0))</f>
        <v>23.270727239448007</v>
      </c>
      <c r="F69" s="143">
        <f>Scenarios!C58</f>
        <v>0.05</v>
      </c>
    </row>
    <row r="70" spans="1:8" x14ac:dyDescent="0.15">
      <c r="B70" s="128" t="str">
        <f>Scenarios!B36</f>
        <v>Optimistic</v>
      </c>
      <c r="C70" s="143">
        <f>Scenarios!C38</f>
        <v>0.03</v>
      </c>
      <c r="D70" s="146">
        <f>Scenarios!C37</f>
        <v>10</v>
      </c>
      <c r="E70" s="136">
        <f>INDEX(B$60:F$66, MATCH(D70, A$60:A$66, 0), MATCH(C70, B$59:F$59, 0))</f>
        <v>20.847862997273715</v>
      </c>
      <c r="F70" s="143">
        <f>Scenarios!C40*(1-F$69-F$73)</f>
        <v>0.18</v>
      </c>
      <c r="H70" s="121"/>
    </row>
    <row r="71" spans="1:8" x14ac:dyDescent="0.15">
      <c r="B71" s="128" t="str">
        <f>Scenarios!B24</f>
        <v>Base</v>
      </c>
      <c r="C71" s="143">
        <f>Scenarios!C26</f>
        <v>0.02</v>
      </c>
      <c r="D71" s="146">
        <f>Scenarios!C25</f>
        <v>10</v>
      </c>
      <c r="E71" s="136">
        <f>INDEX(B$60:F$66, MATCH(D71, A$60:A$66, 0), MATCH(C71, B$59:F$59, 0))</f>
        <v>20.190497409130433</v>
      </c>
      <c r="F71" s="143">
        <f>Scenarios!C28*(1-F$69-F$73)</f>
        <v>0.53999999999999992</v>
      </c>
      <c r="H71" s="121"/>
    </row>
    <row r="72" spans="1:8" x14ac:dyDescent="0.15">
      <c r="B72" s="128" t="str">
        <f>Scenarios!B30</f>
        <v>Pessimistic</v>
      </c>
      <c r="C72" s="143">
        <f>Scenarios!C32</f>
        <v>0</v>
      </c>
      <c r="D72" s="146">
        <f>Scenarios!C31</f>
        <v>10</v>
      </c>
      <c r="E72" s="136">
        <f>INDEX(B$60:F$66, MATCH(D72, A$60:A$66, 0), MATCH(C72, B$59:F$59, 0))</f>
        <v>18.966046049999999</v>
      </c>
      <c r="F72" s="143">
        <f>Scenarios!C34*(1-F$69-F$73)</f>
        <v>0.18</v>
      </c>
      <c r="H72" s="121"/>
    </row>
    <row r="73" spans="1:8" x14ac:dyDescent="0.15">
      <c r="B73" s="128" t="str">
        <f>Scenarios!B48</f>
        <v>Devil's advocate</v>
      </c>
      <c r="C73" s="143">
        <f>Scenarios!C50</f>
        <v>0</v>
      </c>
      <c r="D73" s="146">
        <f>Scenarios!C49</f>
        <v>15</v>
      </c>
      <c r="E73" s="136">
        <f>INDEX(B$60:F$66, MATCH(D73, A$60:A$66, 0), MATCH(C73, B$59:F$59, 0))</f>
        <v>18.966046049999999</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-17.239999999999998</v>
      </c>
    </row>
    <row r="4" spans="2:9" x14ac:dyDescent="0.15">
      <c r="B4" s="153" t="s">
        <v>147</v>
      </c>
      <c r="C4" s="121">
        <v>3</v>
      </c>
      <c r="D4" s="121"/>
      <c r="E4" s="156" t="s">
        <v>151</v>
      </c>
      <c r="F4" s="156"/>
      <c r="H4" s="269">
        <v>1</v>
      </c>
      <c r="I4" s="125">
        <f t="shared" ref="I4:I13" si="0">IF(ROW()-3 &lt; $C$76, $C$77, IF(ROW()-3 = $C$76, $C$77 + $C$60, ""))</f>
        <v>1.4</v>
      </c>
    </row>
    <row r="5" spans="2:9" x14ac:dyDescent="0.15">
      <c r="H5" s="269">
        <v>2</v>
      </c>
      <c r="I5" s="125">
        <f t="shared" si="0"/>
        <v>1.4</v>
      </c>
    </row>
    <row r="6" spans="2:9" x14ac:dyDescent="0.15">
      <c r="B6" s="160" t="s">
        <v>96</v>
      </c>
      <c r="C6" s="107">
        <f>DCF!C3</f>
        <v>1000000</v>
      </c>
      <c r="E6" s="100" t="s">
        <v>280</v>
      </c>
      <c r="F6" s="100"/>
      <c r="H6" s="269">
        <v>3</v>
      </c>
      <c r="I6" s="125">
        <f t="shared" si="0"/>
        <v>28.985840894032098</v>
      </c>
    </row>
    <row r="7" spans="2:9" ht="12.75" customHeight="1" x14ac:dyDescent="0.15">
      <c r="B7" s="100" t="s">
        <v>276</v>
      </c>
      <c r="C7" s="115">
        <f>Normalized_FCF!G8</f>
        <v>192781</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6"/>
      <c r="H7" s="269">
        <v>4</v>
      </c>
      <c r="I7" s="125" t="str">
        <f t="shared" si="0"/>
        <v/>
      </c>
    </row>
    <row r="8" spans="2:9" x14ac:dyDescent="0.15">
      <c r="B8" s="100" t="s">
        <v>66</v>
      </c>
      <c r="C8" s="115">
        <f>Normalized_FCF!G19</f>
        <v>141358.4276163358</v>
      </c>
      <c r="D8" t="str">
        <f>Reporting_currency</f>
        <v>CNY</v>
      </c>
      <c r="E8" s="356"/>
      <c r="F8" s="356"/>
      <c r="H8" s="269">
        <v>5</v>
      </c>
      <c r="I8" s="125" t="str">
        <f t="shared" si="0"/>
        <v/>
      </c>
    </row>
    <row r="9" spans="2:9" x14ac:dyDescent="0.15">
      <c r="B9" s="100" t="s">
        <v>57</v>
      </c>
      <c r="C9" s="115">
        <f>Normalized_FCF!C19</f>
        <v>89906.523166472296</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449</v>
      </c>
      <c r="E11" s="356"/>
      <c r="F11" s="356"/>
      <c r="H11" s="269">
        <v>8</v>
      </c>
      <c r="I11" s="125" t="str">
        <f t="shared" si="0"/>
        <v/>
      </c>
    </row>
    <row r="12" spans="2:9" ht="14" x14ac:dyDescent="0.15">
      <c r="B12" s="119" t="s">
        <v>145</v>
      </c>
      <c r="C12" s="159">
        <f ca="1">(Normalized_FCF!G4/OFFSET(Normalized_FCF!G4, 0, $C$4))^(1/$C$4) - 1</f>
        <v>0.19549305441006948</v>
      </c>
      <c r="D12" s="159"/>
      <c r="E12" s="356"/>
      <c r="F12" s="356"/>
      <c r="H12" s="269">
        <v>9</v>
      </c>
      <c r="I12" s="125" t="str">
        <f t="shared" si="0"/>
        <v/>
      </c>
    </row>
    <row r="13" spans="2:9" x14ac:dyDescent="0.15">
      <c r="B13" s="149" t="s">
        <v>153</v>
      </c>
      <c r="C13" s="159">
        <f ca="1">(Normalized_FCF!G8/OFFSET(Normalized_FCF!G8, 0, $C$4))^(1/$C$4) - 1</f>
        <v>0.22866289579809873</v>
      </c>
      <c r="E13" s="356"/>
      <c r="F13" s="356"/>
      <c r="H13" s="269">
        <v>10</v>
      </c>
      <c r="I13" s="125" t="str">
        <f t="shared" si="0"/>
        <v/>
      </c>
    </row>
    <row r="14" spans="2:9" x14ac:dyDescent="0.15">
      <c r="B14" s="100" t="s">
        <v>66</v>
      </c>
      <c r="C14" s="159">
        <f ca="1">(Normalized_FCF!G19/OFFSET(Normalized_FCF!G19, 0, $C$4))^(1/$C$4) - 1</f>
        <v>0.22962169479662209</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17.239999999999998</v>
      </c>
      <c r="D21" t="str">
        <f>Market_currency</f>
        <v>HKD</v>
      </c>
      <c r="E21" s="357"/>
      <c r="F21" s="357"/>
    </row>
    <row r="22" spans="2:6" x14ac:dyDescent="0.15">
      <c r="B22" s="100" t="s">
        <v>279</v>
      </c>
      <c r="C22" s="161">
        <f>IF(valuation_method="DCF",DCF!C12,DDM!C7)</f>
        <v>25.944000372833873</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0.02</v>
      </c>
      <c r="D26" s="165"/>
      <c r="E26" s="355"/>
      <c r="F26" s="355"/>
    </row>
    <row r="27" spans="2:6" x14ac:dyDescent="0.15">
      <c r="B27" s="100" t="s">
        <v>114</v>
      </c>
      <c r="C27" s="161">
        <f>IF(valuation_method="DCF",DCF!E76,DDM!E71)</f>
        <v>27.598388143948494</v>
      </c>
      <c r="D27" s="161" t="str">
        <f>Market_currency</f>
        <v>HKD</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v>
      </c>
      <c r="D32" s="165"/>
      <c r="E32" s="355"/>
      <c r="F32" s="355"/>
    </row>
    <row r="33" spans="2:6" x14ac:dyDescent="0.15">
      <c r="B33" s="100" t="s">
        <v>114</v>
      </c>
      <c r="C33" s="161">
        <f>IF(valuation_method="DCF",DCF!E77,DDM!E72)</f>
        <v>25.944000372833859</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0.03</v>
      </c>
      <c r="D38" s="165"/>
      <c r="E38" s="355"/>
      <c r="F38" s="355"/>
    </row>
    <row r="39" spans="2:6" x14ac:dyDescent="0.15">
      <c r="B39" s="100" t="s">
        <v>114</v>
      </c>
      <c r="C39" s="161">
        <f>IF(valuation_method="DCF",DCF!E75,DDM!E70)</f>
        <v>28.486571722713233</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27.445147305478514</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v>
      </c>
      <c r="D50" s="165"/>
      <c r="E50" s="355"/>
      <c r="F50" s="355"/>
    </row>
    <row r="51" spans="2:6" x14ac:dyDescent="0.15">
      <c r="B51" s="100" t="s">
        <v>114</v>
      </c>
      <c r="C51" s="161">
        <f>IF(valuation_method="DCF",DCF!E78,DDM!E73)</f>
        <v>25.944000372833852</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0.04</v>
      </c>
      <c r="D56" s="165"/>
      <c r="E56" s="355"/>
      <c r="F56" s="355"/>
    </row>
    <row r="57" spans="2:6" x14ac:dyDescent="0.15">
      <c r="B57" s="100" t="s">
        <v>114</v>
      </c>
      <c r="C57" s="161">
        <f>IF(valuation_method="DCF",DCF!E74,DDM!E69)</f>
        <v>31.760166009194872</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27.585840894032099</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1.98435191985455E-2</v>
      </c>
      <c r="D65" s="152"/>
      <c r="E65" s="273" t="s">
        <v>313</v>
      </c>
    </row>
    <row r="66" spans="2:6" x14ac:dyDescent="0.15">
      <c r="B66" s="100" t="s">
        <v>103</v>
      </c>
      <c r="C66" s="161">
        <f>IF(valuation_method="DCF",DCF!C18,DDM!C13)</f>
        <v>27.584825058794923</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1.15453077059916E-2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1.4</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2.2244897959183665</v>
      </c>
      <c r="D81" s="117"/>
      <c r="E81" s="100"/>
      <c r="F81" s="100"/>
    </row>
    <row r="82" spans="2:8" x14ac:dyDescent="0.15">
      <c r="B82" s="100" t="s">
        <v>123</v>
      </c>
      <c r="C82" s="117">
        <f>C60/(1+C80)^C76</f>
        <v>10.053149013860097</v>
      </c>
      <c r="D82" s="117"/>
    </row>
    <row r="83" spans="2:8" x14ac:dyDescent="0.15">
      <c r="B83" s="111" t="s">
        <v>102</v>
      </c>
      <c r="C83" s="112">
        <f>C81+C82</f>
        <v>12.277638809778463</v>
      </c>
      <c r="D83" t="str">
        <f>Market_currency</f>
        <v>HKD</v>
      </c>
      <c r="E83" s="147" t="s">
        <v>127</v>
      </c>
      <c r="F83" s="319">
        <f>(1-C83/C60)</f>
        <v>0.55492968813451693</v>
      </c>
    </row>
    <row r="84" spans="2:8" x14ac:dyDescent="0.15">
      <c r="E84" s="121"/>
    </row>
    <row r="85" spans="2:8" x14ac:dyDescent="0.15">
      <c r="B85" s="109" t="s">
        <v>303</v>
      </c>
    </row>
    <row r="86" spans="2:8" x14ac:dyDescent="0.15">
      <c r="B86" s="149" t="s">
        <v>301</v>
      </c>
      <c r="C86" s="117">
        <f>Market_Price</f>
        <v>17.239999999999998</v>
      </c>
      <c r="D86" t="str">
        <f>Market_currency</f>
        <v>HKD</v>
      </c>
    </row>
    <row r="87" spans="2:8" x14ac:dyDescent="0.15">
      <c r="B87" s="100" t="s">
        <v>299</v>
      </c>
      <c r="C87" s="259">
        <f ca="1">IRR(OFFSET($I$3, 0, 0, $C$76 + 1, 1))</f>
        <v>0.24005737138914962</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2.870561153410911</v>
      </c>
      <c r="D91" s="117"/>
      <c r="E91" s="100"/>
      <c r="F91" s="100"/>
    </row>
    <row r="92" spans="2:8" x14ac:dyDescent="0.15">
      <c r="B92" s="100" t="s">
        <v>123</v>
      </c>
      <c r="C92" s="117">
        <f>C60/(1+C90)^C76</f>
        <v>15.289255377213331</v>
      </c>
      <c r="D92" s="117"/>
    </row>
    <row r="93" spans="2:8" x14ac:dyDescent="0.15">
      <c r="B93" s="111" t="s">
        <v>102</v>
      </c>
      <c r="C93" s="112">
        <f>C91+C92</f>
        <v>18.159816530624241</v>
      </c>
      <c r="D93" t="str">
        <f>Market_currency</f>
        <v>HKD</v>
      </c>
      <c r="E93" s="147" t="s">
        <v>127</v>
      </c>
      <c r="F93" s="319">
        <f>(1-C93/C60)</f>
        <v>0.3416979166818539</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3.6079357821470319</v>
      </c>
      <c r="D97" s="117"/>
      <c r="G97" s="2"/>
      <c r="H97" s="306"/>
    </row>
    <row r="98" spans="2:8" x14ac:dyDescent="0.15">
      <c r="B98" s="100" t="s">
        <v>123</v>
      </c>
      <c r="C98" s="117">
        <f>C60/(1+C96)^C76</f>
        <v>21.89852989733534</v>
      </c>
      <c r="D98" s="117"/>
      <c r="G98" s="2"/>
      <c r="H98" s="306"/>
    </row>
    <row r="99" spans="2:8" x14ac:dyDescent="0.15">
      <c r="B99" s="111" t="s">
        <v>399</v>
      </c>
      <c r="C99" s="112">
        <f>C97+C98</f>
        <v>25.506465679482371</v>
      </c>
      <c r="D99" t="s">
        <v>397</v>
      </c>
      <c r="E99" s="147" t="s">
        <v>127</v>
      </c>
      <c r="F99" s="319">
        <f>(1-C99/C60)</f>
        <v>7.5378351616592454E-2</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3.3776443763141084</v>
      </c>
      <c r="D103" s="117"/>
    </row>
    <row r="104" spans="2:8" x14ac:dyDescent="0.15">
      <c r="B104" s="100" t="s">
        <v>123</v>
      </c>
      <c r="C104" s="117">
        <f>C60/(1+C102)^C76</f>
        <v>19.77243816085026</v>
      </c>
      <c r="D104" s="117"/>
    </row>
    <row r="105" spans="2:8" x14ac:dyDescent="0.15">
      <c r="B105" s="111" t="s">
        <v>399</v>
      </c>
      <c r="C105" s="112">
        <f>C103+C104</f>
        <v>23.150082537164369</v>
      </c>
      <c r="D105" t="s">
        <v>397</v>
      </c>
      <c r="E105" s="147" t="s">
        <v>127</v>
      </c>
      <c r="F105" s="319">
        <f>(1-C105/C66)</f>
        <v>0.16076746951188714</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