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0DA159B-58C3-4970-8FCC-FE18E2D70E3C}"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H9" i="2" l="1"/>
  <c r="D62" i="4"/>
  <c r="H10" i="2" s="1"/>
  <c r="O9" i="2"/>
  <c r="K62" i="4"/>
  <c r="O10" i="2" s="1"/>
  <c r="N9" i="2"/>
  <c r="J62" i="4"/>
  <c r="N10" i="2" s="1"/>
  <c r="L9" i="2"/>
  <c r="H62" i="4"/>
  <c r="L10" i="2" s="1"/>
  <c r="M9" i="2"/>
  <c r="I62" i="4"/>
  <c r="M10" i="2" s="1"/>
  <c r="K9" i="2"/>
  <c r="G62" i="4"/>
  <c r="K10" i="2" s="1"/>
  <c r="P9" i="2"/>
  <c r="L62" i="4"/>
  <c r="P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1" i="2"/>
  <c r="Q92"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71" i="8" l="1"/>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<sst xmlns="http://schemas.openxmlformats.org/spreadsheetml/2006/main" count="627" uniqueCount="440">
  <si>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</si>
  <si>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</si>
  <si>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</si>
  <si>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</si>
  <si>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</si>
  <si>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</si>
  <si>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</si>
  <si>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</si>
  <si>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</si>
  <si>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</si>
  <si>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</si>
  <si>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</si>
  <si>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</si>
  <si>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</si>
  <si>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</si>
  <si>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</si>
  <si>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</si>
  <si>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</si>
  <si>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</si>
  <si>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</si>
  <si>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</si>
  <si>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</si>
  <si>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</si>
  <si>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</si>
  <si>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</si>
  <si>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</si>
  <si>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</si>
  <si>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</si>
  <si>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</si>
  <si>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</si>
  <si>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</si>
  <si>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</si>
  <si>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</si>
  <si>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</si>
  <si>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</si>
  <si>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</si>
  <si>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</si>
  <si>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</si>
  <si>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</si>
  <si>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</si>
  <si>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</si>
  <si>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</si>
  <si>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</si>
  <si>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</si>
  <si>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</si>
  <si>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</si>
  <si>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</si>
  <si>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</si>
  <si>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</si>
  <si>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</si>
  <si>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</si>
  <si>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</si>
  <si>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</si>
  <si>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</si>
  <si>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</si>
  <si>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</si>
  <si>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</si>
  <si>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</si>
  <si>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</si>
  <si>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</si>
  <si>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</si>
  <si>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</si>
  <si>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</si>
  <si>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</si>
  <si>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</si>
  <si>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</si>
  <si>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</si>
  <si>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</si>
  <si>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</si>
  <si>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</si>
  <si>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</si>
  <si>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</si>
  <si>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</si>
  <si>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</si>
  <si>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</si>
  <si>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</si>
  <si>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</si>
  <si>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</si>
  <si>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</si>
  <si>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</si>
  <si>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</si>
  <si>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</si>
  <si>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</si>
  <si>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</si>
  <si>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</si>
  <si>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</si>
  <si>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</si>
  <si>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</si>
  <si>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</si>
  <si>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</si>
  <si>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</si>
  <si>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</si>
  <si>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</si>
  <si>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</si>
  <si>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</si>
  <si>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</si>
  <si>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</si>
  <si>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</si>
  <si>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</si>
  <si>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</si>
  <si>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</si>
  <si>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</si>
  <si>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</si>
  <si>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</si>
  <si>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</si>
  <si>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</si>
  <si>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</si>
  <si>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</si>
  <si>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</si>
  <si>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</si>
  <si>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</si>
  <si>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</si>
  <si>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</si>
  <si>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</si>
  <si>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</si>
  <si>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</si>
  <si>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</si>
  <si>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</si>
  <si>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</si>
  <si>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</si>
  <si>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</si>
  <si>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</si>
  <si>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</si>
  <si>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</si>
  <si>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</si>
  <si>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</si>
  <si>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</si>
  <si>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</si>
  <si>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</si>
  <si>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</si>
  <si>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</si>
  <si>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</si>
  <si>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</si>
  <si>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</si>
  <si>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</si>
  <si>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</si>
  <si>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</si>
  <si>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</si>
  <si>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</si>
  <si>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</si>
  <si>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</si>
  <si>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</si>
  <si>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</si>
  <si>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</si>
  <si>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</si>
  <si>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</si>
  <si>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</si>
  <si>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</si>
  <si>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</si>
  <si>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</si>
  <si>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</si>
  <si>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</si>
  <si>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</si>
  <si>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</si>
  <si>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</si>
  <si>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</si>
  <si>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</si>
  <si>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</si>
  <si>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</si>
  <si>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</si>
  <si>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</si>
  <si>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</si>
  <si>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</si>
  <si>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</si>
  <si>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</si>
  <si>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</si>
  <si>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</si>
  <si>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</si>
  <si>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</si>
  <si>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</si>
  <si>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</si>
  <si>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</si>
  <si>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</si>
  <si>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</si>
  <si>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</si>
  <si>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</si>
  <si>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</si>
  <si>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</si>
  <si>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</si>
  <si>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</si>
  <si>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</si>
  <si>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</si>
  <si>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</si>
  <si>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</si>
  <si>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</si>
  <si>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</si>
  <si>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</si>
  <si>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</si>
  <si>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</si>
  <si>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</si>
  <si>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</si>
  <si>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</si>
  <si>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</si>
  <si>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</si>
  <si>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</si>
  <si>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</si>
  <si>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</si>
  <si>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</si>
  <si>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</si>
  <si>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</si>
  <si>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</si>
  <si>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</si>
  <si>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</si>
  <si>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</si>
  <si>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</si>
  <si>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</si>
  <si>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</si>
  <si>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</si>
  <si>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</si>
  <si>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</si>
  <si>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</si>
  <si>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</si>
  <si>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</si>
  <si>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</si>
  <si>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</si>
  <si>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</si>
  <si>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</si>
  <si>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</si>
  <si>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</si>
  <si>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</si>
  <si>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</si>
  <si>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</si>
  <si>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</si>
  <si>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</si>
  <si>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</si>
  <si>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</si>
  <si>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</si>
  <si>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</si>
  <si>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</si>
  <si>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</si>
  <si>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</si>
  <si>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</si>
  <si>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</si>
  <si>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</si>
  <si>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</si>
  <si>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</si>
  <si>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</si>
  <si>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</si>
  <si>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</si>
  <si>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</si>
  <si>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</si>
  <si>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</si>
  <si>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</si>
  <si>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</si>
  <si>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</si>
  <si>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</si>
  <si>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</si>
  <si>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</si>
  <si>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</si>
  <si>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</si>
  <si>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</si>
  <si>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</si>
  <si>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</si>
  <si>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</si>
  <si>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</si>
  <si>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</si>
  <si>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</si>
  <si>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</si>
  <si>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</si>
  <si>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</si>
  <si>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</si>
  <si>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</si>
  <si>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</si>
  <si>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</si>
  <si>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</si>
  <si>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</si>
  <si>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</si>
  <si>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</si>
  <si>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</si>
  <si>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</si>
  <si>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</si>
  <si>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</si>
  <si>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</si>
  <si>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</si>
  <si>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</si>
  <si>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</si>
  <si>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</si>
  <si>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</si>
  <si>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</si>
  <si>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</si>
  <si>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</si>
  <si>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</si>
  <si>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</si>
  <si>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</si>
  <si>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</si>
  <si>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</si>
  <si>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</si>
  <si>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</si>
  <si>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</si>
  <si>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</si>
  <si>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</si>
  <si>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</si>
  <si>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</si>
  <si>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</si>
  <si>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</si>
  <si>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</si>
  <si>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</si>
  <si>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</si>
  <si>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</si>
  <si>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</si>
  <si>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</si>
  <si>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</si>
  <si>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</si>
  <si>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</si>
  <si>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</si>
  <si>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</si>
  <si>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</si>
  <si>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</si>
  <si>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</si>
  <si>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</si>
  <si>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</si>
  <si>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</si>
  <si>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</si>
  <si>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</si>
  <si>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</si>
  <si>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</si>
  <si>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</si>
  <si>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</si>
  <si>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</si>
  <si>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</si>
  <si>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</si>
  <si>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</si>
  <si>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</si>
  <si>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</si>
  <si>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</si>
  <si>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</si>
  <si>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</si>
  <si>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</si>
  <si>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</si>
  <si>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</si>
  <si>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</si>
  <si>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</si>
  <si>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</si>
  <si>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</si>
  <si>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</si>
  <si>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</si>
  <si>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</si>
  <si>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</si>
  <si>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</si>
  <si>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</si>
  <si>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</si>
  <si>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</si>
  <si>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</si>
  <si>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</si>
  <si>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</si>
  <si>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</si>
  <si>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</si>
  <si>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</si>
  <si>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</si>
  <si>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</si>
  <si>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</si>
  <si>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</si>
  <si>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</si>
  <si>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</si>
  <si>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</si>
  <si>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</si>
  <si>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</si>
  <si>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</si>
  <si>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</si>
  <si>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</si>
  <si>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</si>
  <si>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</si>
  <si>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</si>
  <si>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</si>
  <si>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</si>
  <si>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</si>
  <si>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</si>
  <si>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</si>
  <si>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</si>
  <si>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</si>
  <si>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</si>
  <si>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</si>
  <si>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</si>
  <si>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</si>
  <si>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</si>
  <si>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</si>
  <si>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</si>
  <si>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</si>
  <si>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</si>
  <si>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</si>
  <si>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</si>
  <si>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</si>
  <si>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</si>
  <si>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</si>
  <si>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</si>
  <si>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</si>
  <si>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</si>
  <si>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</si>
  <si>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</si>
  <si>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</si>
  <si>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</si>
  <si>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</si>
  <si>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</si>
  <si>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</si>
  <si>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</si>
  <si>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</si>
  <si>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</si>
  <si>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</si>
  <si>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</si>
  <si>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</si>
  <si>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</si>
  <si>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</si>
  <si>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</si>
  <si>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</si>
  <si>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</si>
  <si>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</si>
  <si>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</si>
  <si>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</si>
  <si>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</si>
  <si>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</si>
  <si>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</si>
  <si>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</si>
  <si>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</si>
  <si>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</si>
  <si>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</si>
  <si>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</si>
  <si>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</si>
  <si>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</si>
  <si>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</si>
  <si>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</si>
  <si>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</si>
  <si>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</si>
  <si>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</si>
  <si>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</si>
  <si>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</si>
  <si>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</si>
  <si>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</si>
  <si>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</si>
  <si>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</si>
  <si>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</si>
  <si>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</si>
  <si>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</si>
  <si>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Y</t>
  </si>
  <si>
    <t>中国海油</t>
  </si>
  <si>
    <t>0883.HK</t>
  </si>
  <si>
    <t>600938.SS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</si>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</sst>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31" t="s">
        <v>361</v>
      </c>
      <c r="F1" s="284" t="s">
        <v>432</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433</v>
      </c>
    </row>
    <row r="6" spans="1:10">
      <c r="B6" s="4" t="s">
        <v>0</v>
      </c>
      <c r="C6" s="51">
        <v>47529953984</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434</v>
      </c>
      <c r="D11" s="49" t="s">
        <v>435</v>
      </c>
      <c r="E11" s="34"/>
    </row>
    <row r="12" spans="1:10">
      <c r="B12" s="4" t="s">
        <v>95</v>
      </c>
      <c r="C12" s="50">
        <v>17.420000000000002</v>
      </c>
      <c r="D12" s="50">
        <v>25.72</v>
      </c>
      <c r="E12" s="48"/>
    </row>
    <row r="13" spans="1:10">
      <c r="B13" s="1" t="s">
        <v>427</v>
      </c>
      <c r="C13" s="48" t="s">
        <v>404</v>
      </c>
      <c r="D13" s="48" t="s">
        <v>424</v>
      </c>
      <c r="E13" s="5"/>
    </row>
    <row r="14" spans="1:10">
      <c r="B14" s="4" t="s">
        <v>431</v>
      </c>
      <c r="C14" s="35">
        <f>Thesis!C12*Common_Shares/1000000</f>
        <v>827971.79840128007</v>
      </c>
      <c r="D14" s="35">
        <f>IF(D11="","",Thesis!D12*Common_Shares/1000000)</f>
        <v>1222470.4164684799</v>
      </c>
      <c r="E14" s="5"/>
    </row>
    <row r="15" spans="1:10">
      <c r="B15" s="4" t="s">
        <v>430</v>
      </c>
      <c r="C15" s="32" t="str">
        <f>IF(C22=C13,C13,C22&amp;"/"&amp;C13)</f>
        <v>CNY/HKD</v>
      </c>
      <c r="D15" s="32" t="str">
        <f>IF(D11="","",IF(C22=D13,D13,C22&amp;"/"&amp;D13))</f>
        <v>CNY</v>
      </c>
      <c r="E15" s="5"/>
    </row>
    <row r="16" spans="1:10">
      <c r="B16" s="4" t="s">
        <v>1</v>
      </c>
      <c r="C16" s="50">
        <v>1.0828863799999999</v>
      </c>
      <c r="D16" s="50">
        <v>1</v>
      </c>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HKD/CNY:</v>
      </c>
      <c r="E22" s="341">
        <f>IF(D11="","",1/Exchange_Rate*D16)</f>
        <v>0.92345791624048323</v>
      </c>
    </row>
    <row r="23" spans="1:6">
      <c r="B23" s="2" t="s">
        <v>56</v>
      </c>
      <c r="C23" s="48" t="s">
        <v>425</v>
      </c>
      <c r="E23" s="5"/>
    </row>
    <row r="24" spans="1:6">
      <c r="B24" s="2" t="s">
        <v>277</v>
      </c>
      <c r="C24" s="249">
        <v>0.4</v>
      </c>
      <c r="D24" s="1" t="s">
        <v>417</v>
      </c>
      <c r="E24" s="339">
        <v>0.2</v>
      </c>
    </row>
    <row r="25" spans="1:6">
      <c r="B25" s="2" t="str">
        <f>"Target Buy Price ("&amp;Market_currency&amp;"):"</f>
        <v>Target Buy Price (HKD):</v>
      </c>
      <c r="C25" s="252">
        <f>C139</f>
        <v>12.269404640272114</v>
      </c>
      <c r="D25" s="1" t="s">
        <v>315</v>
      </c>
      <c r="E25" s="330">
        <v>3</v>
      </c>
    </row>
    <row r="26" spans="1:6">
      <c r="B26" s="1" t="s">
        <v>407</v>
      </c>
      <c r="C26" s="280">
        <f ca="1">Scenarios!C87</f>
        <v>0.23519139462656269</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122178.06382484984</v>
      </c>
      <c r="D35" s="1" t="str">
        <f>Reporting_currency</f>
        <v>CNY</v>
      </c>
    </row>
    <row r="36" spans="2:6">
      <c r="B36" s="47"/>
      <c r="C36" s="76"/>
    </row>
    <row r="37" spans="2:6" ht="24.4" customHeight="1">
      <c r="B37" s="346" t="s">
        <v>234</v>
      </c>
      <c r="C37" s="346"/>
      <c r="D37" s="346"/>
      <c r="E37" s="346"/>
      <c r="F37" s="346"/>
    </row>
    <row r="38" spans="2:6">
      <c r="B38" s="47" t="s">
        <v>235</v>
      </c>
      <c r="C38" s="188">
        <f>Normalized_FCF!C9</f>
        <v>74606</v>
      </c>
      <c r="D38" s="1" t="str">
        <f>Reporting_currency</f>
        <v>CNY</v>
      </c>
    </row>
    <row r="39" spans="2:6">
      <c r="B39" s="52" t="s">
        <v>236</v>
      </c>
      <c r="C39" s="188">
        <f>Normalized_FCF!C10</f>
        <v>-74606</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801.81967938187529</v>
      </c>
      <c r="D45" s="1" t="str">
        <f>Reporting_currency</f>
        <v>CNY</v>
      </c>
      <c r="E45" s="321"/>
      <c r="F45" s="321"/>
    </row>
    <row r="46" spans="2:6">
      <c r="B46" s="47" t="s">
        <v>349</v>
      </c>
      <c r="C46" s="322">
        <f>Normalized_FCF!C47</f>
        <v>-2807</v>
      </c>
      <c r="D46" s="1" t="str">
        <f>Reporting_currency</f>
        <v>CNY</v>
      </c>
      <c r="E46" s="321"/>
      <c r="F46" s="321"/>
    </row>
    <row r="47" spans="2:6">
      <c r="B47" s="47" t="s">
        <v>239</v>
      </c>
      <c r="C47" s="188">
        <f>Normalized_FCF!C12</f>
        <v>-2005.1803206181248</v>
      </c>
      <c r="D47" s="1" t="str">
        <f>Reporting_currency</f>
        <v>CNY</v>
      </c>
    </row>
    <row r="49" spans="2:6">
      <c r="B49" s="1" t="s">
        <v>247</v>
      </c>
    </row>
    <row r="50" spans="2:6">
      <c r="B50" s="47" t="s">
        <v>266</v>
      </c>
      <c r="C50" s="188">
        <f>Normalized_FCF!C15</f>
        <v>-223.13946170149947</v>
      </c>
      <c r="D50" s="1" t="str">
        <f>Reporting_currency</f>
        <v>CNY</v>
      </c>
    </row>
    <row r="52" spans="2:6">
      <c r="B52" s="346" t="s">
        <v>242</v>
      </c>
      <c r="C52" s="346"/>
      <c r="D52" s="346"/>
      <c r="E52" s="346"/>
      <c r="F52" s="346"/>
    </row>
    <row r="53" spans="2:6">
      <c r="B53" s="47" t="s">
        <v>240</v>
      </c>
      <c r="C53" s="188">
        <f>Normalized_FCF!C14</f>
        <v>-30043.220876057931</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141358.4276163358</v>
      </c>
      <c r="D61" s="1" t="str">
        <f>Reporting_currency</f>
        <v>CNY</v>
      </c>
    </row>
    <row r="62" spans="2:6">
      <c r="B62" s="47" t="s">
        <v>249</v>
      </c>
      <c r="C62" s="188">
        <f>Normalized_FCF!C19</f>
        <v>89906.523166472296</v>
      </c>
      <c r="D62" s="1" t="str">
        <f>Reporting_currency</f>
        <v>CNY</v>
      </c>
    </row>
    <row r="63" spans="2:6">
      <c r="B63" s="254" t="s">
        <v>398</v>
      </c>
      <c r="C63" s="92">
        <f>Normalized_FCF!C125</f>
        <v>0.11758679413733134</v>
      </c>
    </row>
    <row r="64" spans="2:6">
      <c r="B64" s="254" t="s">
        <v>316</v>
      </c>
      <c r="C64" s="92">
        <f>Normalized_FCF!C93</f>
        <v>8.0367393800229614E-2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25.604524423403902</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91887</v>
      </c>
      <c r="D91" s="1" t="str">
        <f>Reporting_currency</f>
        <v>CNY</v>
      </c>
    </row>
    <row r="92" spans="1:6">
      <c r="B92" s="47" t="s">
        <v>285</v>
      </c>
      <c r="C92" s="248">
        <f>C91*scaling_factor*Exchange_Rate/Common_Shares</f>
        <v>2.0934836341847864</v>
      </c>
      <c r="D92" s="1" t="str">
        <f>Market_currency</f>
        <v>HKD</v>
      </c>
    </row>
    <row r="93" spans="1:6">
      <c r="B93" s="336" t="s">
        <v>412</v>
      </c>
      <c r="C93" s="337">
        <f>BS!G30/BS!G27</f>
        <v>0.40943456145688223</v>
      </c>
    </row>
    <row r="94" spans="1:6">
      <c r="B94" s="336" t="s">
        <v>413</v>
      </c>
      <c r="C94" s="337">
        <f>BS!G31/BS!G27</f>
        <v>0.12260820136742831</v>
      </c>
    </row>
    <row r="95" spans="1:6">
      <c r="B95" s="336" t="s">
        <v>415</v>
      </c>
      <c r="C95" s="338">
        <f>BS!C50</f>
        <v>0.75207444874659302</v>
      </c>
    </row>
    <row r="97" spans="1:6">
      <c r="B97" s="1" t="s">
        <v>255</v>
      </c>
    </row>
    <row r="98" spans="1:6">
      <c r="B98" s="47" t="s">
        <v>265</v>
      </c>
      <c r="C98" s="188">
        <f>BS!C66</f>
        <v>154196</v>
      </c>
      <c r="D98" s="1" t="str">
        <f>Reporting_currency</f>
        <v>CNY</v>
      </c>
    </row>
    <row r="99" spans="1:6">
      <c r="B99" s="47" t="s">
        <v>267</v>
      </c>
      <c r="C99" s="188">
        <f>Valuation_Model!C8</f>
        <v>100741.35470787497</v>
      </c>
      <c r="D99" s="1" t="str">
        <f>Reporting_currency</f>
        <v>CNY</v>
      </c>
    </row>
    <row r="100" spans="1:6">
      <c r="B100" s="47" t="s">
        <v>286</v>
      </c>
      <c r="C100" s="248">
        <f>C99*scaling_factor*Exchange_Rate/Common_Shares</f>
        <v>2.2952145283504821</v>
      </c>
      <c r="D100" s="1" t="str">
        <f>Market_currency</f>
        <v>HKD</v>
      </c>
    </row>
    <row r="102" spans="1:6">
      <c r="B102" s="1" t="s">
        <v>257</v>
      </c>
    </row>
    <row r="103" spans="1:6">
      <c r="B103" s="47" t="s">
        <v>258</v>
      </c>
      <c r="C103" s="188">
        <f>Valuation_Model!C9</f>
        <v>5113.2</v>
      </c>
      <c r="D103" s="1" t="str">
        <f>Reporting_currency</f>
        <v>CNY</v>
      </c>
    </row>
    <row r="104" spans="1:6">
      <c r="B104" s="47" t="s">
        <v>287</v>
      </c>
      <c r="C104" s="248">
        <f>C103*scaling_factor*Exchange_Rate/Common_Shares</f>
        <v>0.11649526612375691</v>
      </c>
      <c r="D104" s="1" t="str">
        <f>Market_currency</f>
        <v>HKD</v>
      </c>
    </row>
    <row r="106" spans="1:6" ht="24.4" customHeight="1">
      <c r="B106" s="345" t="s">
        <v>374</v>
      </c>
      <c r="C106" s="345"/>
      <c r="D106" s="345"/>
      <c r="E106" s="345"/>
      <c r="F106" s="345"/>
    </row>
    <row r="108" spans="1:6">
      <c r="B108" s="47" t="s">
        <v>283</v>
      </c>
      <c r="C108" s="248">
        <f>Valuation_Model!C12</f>
        <v>25.922750583693354</v>
      </c>
      <c r="D108" s="1" t="str">
        <f>Market_currency</f>
        <v>HKD</v>
      </c>
    </row>
    <row r="109" spans="1:6">
      <c r="B109" s="336" t="s">
        <v>414</v>
      </c>
      <c r="C109" s="248">
        <f>BS!D47</f>
        <v>-0.45387405041027407</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0.04</v>
      </c>
      <c r="D116" s="257">
        <f>Valuation_Model!D74</f>
        <v>15</v>
      </c>
      <c r="E116" s="258" t="str">
        <f>ROUND(Valuation_Model!E74,2)&amp;" "&amp;Market_currency</f>
        <v>31.73 HKD</v>
      </c>
      <c r="F116" s="259">
        <f>Valuation_Model!F74</f>
        <v>0.05</v>
      </c>
    </row>
    <row r="117" spans="1:6">
      <c r="B117" s="242" t="str">
        <f>Valuation_Model!B75</f>
        <v>Optimistic</v>
      </c>
      <c r="C117" s="243">
        <f>Valuation_Model!C75</f>
        <v>0.03</v>
      </c>
      <c r="D117" s="244">
        <f>Valuation_Model!D75</f>
        <v>10</v>
      </c>
      <c r="E117" s="245" t="str">
        <f>ROUND(Valuation_Model!E75,2)&amp;" "&amp;Market_currency</f>
        <v>28.46 HKD</v>
      </c>
      <c r="F117" s="246">
        <f>Valuation_Model!F75</f>
        <v>0.18</v>
      </c>
    </row>
    <row r="118" spans="1:6">
      <c r="B118" s="242" t="str">
        <f>Valuation_Model!B76</f>
        <v>Base</v>
      </c>
      <c r="C118" s="243">
        <f>Valuation_Model!C76</f>
        <v>0.02</v>
      </c>
      <c r="D118" s="244">
        <f>Valuation_Model!D76</f>
        <v>10</v>
      </c>
      <c r="E118" s="245" t="str">
        <f>ROUND(Valuation_Model!E76,2)&amp;" "&amp;Market_currency</f>
        <v>27.58 HKD</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25.92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25.92 HKD</v>
      </c>
      <c r="F120" s="246">
        <f>Valuation_Model!F78</f>
        <v>0.05</v>
      </c>
    </row>
    <row r="122" spans="1:6">
      <c r="B122" s="235" t="s">
        <v>259</v>
      </c>
      <c r="C122" s="241">
        <f>Scenarios!C60</f>
        <v>27.563246332906676</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1.4</v>
      </c>
      <c r="D133" s="236" t="str">
        <f>Market_currency</f>
        <v>HKD</v>
      </c>
    </row>
    <row r="135" spans="2:6">
      <c r="B135" s="234" t="s">
        <v>418</v>
      </c>
      <c r="C135" s="270" t="str">
        <f>C11</f>
        <v>0883.HK</v>
      </c>
      <c r="D135" s="270" t="str">
        <f>IF(D11="","",D11)</f>
        <v>600938.SS</v>
      </c>
    </row>
    <row r="136" spans="2:6">
      <c r="B136" s="1" t="s">
        <v>416</v>
      </c>
      <c r="C136" s="337">
        <f>C24</f>
        <v>0.4</v>
      </c>
    </row>
    <row r="137" spans="2:6">
      <c r="B137" s="236" t="str">
        <f>"PV("&amp;C131&amp;" yrs of Dividends)"</f>
        <v>PV(3 yrs of Dividends)</v>
      </c>
      <c r="C137" s="240">
        <f>Scenarios!C81</f>
        <v>2.2244897959183665</v>
      </c>
    </row>
    <row r="138" spans="2:6">
      <c r="B138" s="236" t="str">
        <f>"+ PV(Equity Value realized at year "&amp;C131&amp;")"</f>
        <v>+ PV(Equity Value realized at year 3)</v>
      </c>
      <c r="C138" s="240">
        <f>Scenarios!C82</f>
        <v>10.044914844353748</v>
      </c>
    </row>
    <row r="139" spans="2:6">
      <c r="B139" s="80" t="s">
        <v>261</v>
      </c>
      <c r="C139" s="239">
        <f>Scenarios!C83</f>
        <v>12.269404640272114</v>
      </c>
      <c r="D139" s="342">
        <f>IF($D$11="","",C139*$E$22)</f>
        <v>11.330278842617002</v>
      </c>
    </row>
    <row r="140" spans="2:6">
      <c r="B140" s="290" t="s">
        <v>427</v>
      </c>
      <c r="C140" s="340" t="str">
        <f>Market_currency</f>
        <v>HKD</v>
      </c>
      <c r="D140" s="340" t="str">
        <f>IF($D$11="","",D$13)</f>
        <v>CNY</v>
      </c>
    </row>
    <row r="141" spans="2:6">
      <c r="B141" s="238" t="s">
        <v>263</v>
      </c>
      <c r="C141" s="92">
        <f>Scenarios!F83</f>
        <v>0.55486358565739202</v>
      </c>
    </row>
    <row r="143" spans="2:6">
      <c r="B143" s="234" t="s">
        <v>421</v>
      </c>
    </row>
    <row r="144" spans="2:6">
      <c r="B144" s="1" t="s">
        <v>420</v>
      </c>
      <c r="C144" s="337">
        <f>Scenarios!C90</f>
        <v>0.2</v>
      </c>
    </row>
    <row r="145" spans="1:6">
      <c r="B145" s="236" t="str">
        <f>"PV("&amp;C131&amp;" yrs of Dividends)"</f>
        <v>PV(3 yrs of Dividends)</v>
      </c>
      <c r="C145" s="240">
        <f>Scenarios!C91</f>
        <v>2.9490740740740735</v>
      </c>
    </row>
    <row r="146" spans="1:6">
      <c r="B146" s="236" t="str">
        <f>"+ PV(Equity Value realized at year "&amp;C131&amp;")"</f>
        <v>+ PV(Equity Value realized at year 3)</v>
      </c>
      <c r="C146" s="240">
        <f>Scenarios!C92</f>
        <v>15.950952738950622</v>
      </c>
    </row>
    <row r="147" spans="1:6">
      <c r="B147" s="80" t="s">
        <v>261</v>
      </c>
      <c r="C147" s="239">
        <f>Scenarios!C93</f>
        <v>18.900026813024695</v>
      </c>
      <c r="D147" s="342">
        <f>IF($D$11="","",C147*$E$22)</f>
        <v>17.453379377645046</v>
      </c>
    </row>
    <row r="148" spans="1:6">
      <c r="B148" s="290" t="s">
        <v>427</v>
      </c>
      <c r="C148" s="340" t="str">
        <f>Market_currency</f>
        <v>HKD</v>
      </c>
      <c r="D148" s="340" t="str">
        <f>IF($D$11="","",D$13)</f>
        <v>CNY</v>
      </c>
    </row>
    <row r="149" spans="1:6">
      <c r="B149" s="238" t="s">
        <v>263</v>
      </c>
      <c r="C149" s="92">
        <f>Scenarios!F93</f>
        <v>0.31430330866140765</v>
      </c>
    </row>
    <row r="151" spans="1:6">
      <c r="B151" s="234" t="s">
        <v>408</v>
      </c>
    </row>
    <row r="152" spans="1:6">
      <c r="B152" s="1" t="s">
        <v>419</v>
      </c>
      <c r="C152" s="92">
        <f>Scenarios!C96</f>
        <v>0.08</v>
      </c>
    </row>
    <row r="153" spans="1:6">
      <c r="B153" s="236" t="str">
        <f>"PV("&amp;C131&amp;" yrs of Dividends)"</f>
        <v>PV(3 yrs of Dividends)</v>
      </c>
      <c r="C153" s="240">
        <f>Scenarios!C97</f>
        <v>3.6079357821470319</v>
      </c>
    </row>
    <row r="154" spans="1:6">
      <c r="B154" s="236" t="str">
        <f>"+ PV(Equity Value realized at year "&amp;C131&amp;")"</f>
        <v>+ PV(Equity Value realized at year 3)</v>
      </c>
      <c r="C154" s="240">
        <f>Scenarios!C98</f>
        <v>21.880593606242279</v>
      </c>
    </row>
    <row r="155" spans="1:6">
      <c r="B155" s="80" t="s">
        <v>409</v>
      </c>
      <c r="C155" s="239">
        <f>Scenarios!C99</f>
        <v>25.48852938838931</v>
      </c>
      <c r="D155" s="342">
        <f>IF($D$11="","",C155*$E$22)</f>
        <v>23.53758423703631</v>
      </c>
    </row>
    <row r="156" spans="1:6">
      <c r="B156" s="290" t="s">
        <v>427</v>
      </c>
      <c r="C156" s="340" t="str">
        <f>Market_currency</f>
        <v>HKD</v>
      </c>
      <c r="D156" s="340" t="str">
        <f>IF($D$11="","",D$13)</f>
        <v>CNY</v>
      </c>
    </row>
    <row r="157" spans="1:6">
      <c r="B157" s="238" t="s">
        <v>263</v>
      </c>
      <c r="C157" s="92">
        <f>Scenarios!F99</f>
        <v>7.5271138945648852E-2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381</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380</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437</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35"/>
      <c r="J77" s="335"/>
      <c r="K77" s="335"/>
      <c r="L77" s="335"/>
      <c r="M77" s="335"/>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35"/>
      <c r="J78" s="335"/>
      <c r="K78" s="335"/>
      <c r="L78" s="335"/>
      <c r="M78" s="335"/>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4">
        <v>0.6</v>
      </c>
      <c r="E4" s="25"/>
      <c r="F4" s="4" t="s">
        <v>78</v>
      </c>
      <c r="G4" s="19">
        <f>72912+81284</f>
        <v>154196</v>
      </c>
      <c r="H4" s="294">
        <v>0.9</v>
      </c>
    </row>
    <row r="5" spans="2:8" ht="15" customHeight="1">
      <c r="B5" s="1" t="s">
        <v>33</v>
      </c>
      <c r="C5" s="19">
        <f>45771+4</f>
        <v>45775</v>
      </c>
      <c r="D5" s="294">
        <v>0.6</v>
      </c>
      <c r="E5" s="25"/>
      <c r="F5" s="1" t="s">
        <v>29</v>
      </c>
      <c r="G5" s="19">
        <v>0</v>
      </c>
      <c r="H5" s="294">
        <v>0.7</v>
      </c>
    </row>
    <row r="6" spans="2:8" ht="15" customHeight="1">
      <c r="B6" s="4" t="s">
        <v>10</v>
      </c>
      <c r="C6" s="19">
        <v>5732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f>12837+12408</f>
        <v>25245</v>
      </c>
      <c r="D11" s="294">
        <v>0.05</v>
      </c>
      <c r="H11" s="295"/>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f>8504+18</f>
        <v>8522</v>
      </c>
      <c r="H17" s="294">
        <v>0.6</v>
      </c>
    </row>
    <row r="18" spans="2:8" ht="15" customHeight="1">
      <c r="B18" s="4" t="s">
        <v>174</v>
      </c>
      <c r="C18" s="19">
        <v>0</v>
      </c>
      <c r="D18" s="294">
        <v>0.6</v>
      </c>
      <c r="F18" s="4" t="s">
        <v>182</v>
      </c>
      <c r="G18" s="19">
        <f>25047+23444</f>
        <v>48491</v>
      </c>
      <c r="H18" s="294">
        <v>0.1</v>
      </c>
    </row>
    <row r="19" spans="2:8" ht="15" customHeight="1">
      <c r="B19" s="4" t="s">
        <v>26</v>
      </c>
      <c r="C19" s="19">
        <f>632410+12755</f>
        <v>645165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16961</v>
      </c>
      <c r="D21" s="294">
        <v>0.05</v>
      </c>
      <c r="F21" s="1" t="s">
        <v>181</v>
      </c>
      <c r="G21" s="19">
        <v>0</v>
      </c>
      <c r="H21" s="294">
        <v>0.1</v>
      </c>
    </row>
    <row r="22" spans="2:8" ht="15" customHeight="1">
      <c r="B22" s="4" t="s">
        <v>20</v>
      </c>
      <c r="C22" s="19">
        <v>25465</v>
      </c>
      <c r="D22" s="294">
        <v>0.9</v>
      </c>
      <c r="H22" s="295"/>
    </row>
    <row r="23" spans="2:8" ht="15" customHeight="1">
      <c r="B23" s="4" t="s">
        <v>21</v>
      </c>
      <c r="C23" s="19">
        <v>47068</v>
      </c>
      <c r="D23" s="294">
        <v>0</v>
      </c>
      <c r="H23" s="295"/>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747548</v>
      </c>
      <c r="D46" s="188">
        <f>H29</f>
        <v>-19921.400000000023</v>
      </c>
      <c r="F46" s="283"/>
    </row>
    <row r="47" spans="2:8" ht="15" customHeight="1">
      <c r="B47" s="1" t="str">
        <f>"Equity per share ("&amp;Market_currency&amp;")"</f>
        <v>Equity per share (HKD)</v>
      </c>
      <c r="C47" s="148">
        <f>C46*H1/Common_Shares*Exchange_Rate</f>
        <v>17.031565986130452</v>
      </c>
      <c r="D47" s="148">
        <f>D46*H1/Common_Shares*Exchange_Rate</f>
        <v>-0.45387405041027407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0.75207444874659302</v>
      </c>
      <c r="D50" s="95">
        <f>G31/Normalized_FCF!G8</f>
        <v>0.47663929536624461</v>
      </c>
      <c r="F50" s="283"/>
    </row>
    <row r="51" spans="2:8" ht="15" customHeight="1">
      <c r="B51" s="1" t="s">
        <v>177</v>
      </c>
      <c r="C51" s="202"/>
      <c r="D51" s="92">
        <f>G29/G32</f>
        <v>0.70771698061406008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0.14457710564880843</v>
      </c>
      <c r="D54" s="92">
        <f>Normalized_FCF!G8/G35</f>
        <v>0.22812375750231934</v>
      </c>
      <c r="F54" s="283"/>
    </row>
    <row r="55" spans="2:8" ht="15" customHeight="1">
      <c r="B55" s="1" t="s">
        <v>142</v>
      </c>
      <c r="C55" s="92">
        <f>Normalized_FCF!C11/G40</f>
        <v>0</v>
      </c>
      <c r="D55" s="92">
        <f>Normalized_FCF!G11/G40</f>
        <v>8.692811385878442E-3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0.1156386350778483</v>
      </c>
      <c r="F58" s="5"/>
    </row>
    <row r="59" spans="2:8" ht="15" customHeight="1">
      <c r="B59" s="1" t="s">
        <v>93</v>
      </c>
      <c r="C59" s="98"/>
      <c r="D59" s="92">
        <f>G39/G32</f>
        <v>0.61078917447156578</v>
      </c>
      <c r="F59" s="283"/>
    </row>
    <row r="60" spans="2:8" ht="15" customHeight="1">
      <c r="F60" s="283"/>
    </row>
    <row r="61" spans="2:8" ht="15" customHeight="1">
      <c r="B61" s="158" t="s">
        <v>275</v>
      </c>
      <c r="C61" s="262" t="s">
        <v>138</v>
      </c>
      <c r="D61" s="218" t="s">
        <v>96</v>
      </c>
      <c r="F61" s="283"/>
    </row>
    <row r="62" spans="2:8" ht="15" customHeight="1">
      <c r="B62" s="1" t="s">
        <v>246</v>
      </c>
      <c r="C62" s="92">
        <f>IF(G28&lt;=0,0,G28/G29)</f>
        <v>2.5255903299854993E-3</v>
      </c>
      <c r="D62" s="92">
        <f>G28/G29</f>
        <v>2.5255903299854993E-3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154196</v>
      </c>
      <c r="D66" s="188">
        <f>C66-D75</f>
        <v>100741.35470787497</v>
      </c>
      <c r="F66" s="5" t="s">
        <v>227</v>
      </c>
    </row>
    <row r="67" spans="2:6" ht="15" customHeight="1">
      <c r="B67" s="105" t="s">
        <v>178</v>
      </c>
      <c r="C67" s="20">
        <f>G6+G16</f>
        <v>0</v>
      </c>
      <c r="F67" s="283"/>
    </row>
    <row r="68" spans="2:6" ht="15" customHeight="1">
      <c r="B68" s="105" t="s">
        <v>182</v>
      </c>
      <c r="C68" s="20">
        <f>G18</f>
        <v>48491</v>
      </c>
      <c r="F68" s="283"/>
    </row>
    <row r="69" spans="2:6" ht="15" customHeight="1">
      <c r="B69" s="105" t="s">
        <v>180</v>
      </c>
      <c r="C69" s="20">
        <f>G8+G20</f>
        <v>0</v>
      </c>
      <c r="F69" s="283"/>
    </row>
    <row r="70" spans="2:6" ht="15" customHeight="1">
      <c r="B70" s="80" t="s">
        <v>189</v>
      </c>
      <c r="C70" s="81">
        <f>SUM(C66:C69)</f>
        <v>202687</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-24522.24463146667</v>
      </c>
      <c r="D73" s="188">
        <f>(Normalized_FCF!C25+Normalized_FCF!C35-Normalized_FCF!C91)/12</f>
        <v>-26727.322646062512</v>
      </c>
      <c r="F73" s="1" t="s">
        <v>359</v>
      </c>
    </row>
    <row r="74" spans="2:6" ht="15" customHeight="1">
      <c r="B74" s="288" t="s">
        <v>329</v>
      </c>
      <c r="C74" s="289">
        <f>-$C$66/C73</f>
        <v>6.2880051282963478</v>
      </c>
      <c r="D74" s="289">
        <f>-$C$66/D73</f>
        <v>5.769227319995565</v>
      </c>
      <c r="F74" s="283" t="s">
        <v>327</v>
      </c>
    </row>
    <row r="75" spans="2:6" ht="15" customHeight="1">
      <c r="B75" s="80" t="s">
        <v>328</v>
      </c>
      <c r="C75" s="293"/>
      <c r="D75" s="292">
        <f>MAX(-D73*D76,G5)</f>
        <v>53454.645292125024</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8522</v>
      </c>
      <c r="D79" s="188">
        <f>G7*H7+G17*H17</f>
        <v>5113.2</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8522</v>
      </c>
      <c r="D82" s="81">
        <f>SUM(D79:D81)</f>
        <v>5113.2</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-99503.180799059992</v>
      </c>
      <c r="D86" s="248">
        <f>C86*scaling_factor/Common_Shares</f>
        <v>-2.0934836341847864</v>
      </c>
      <c r="E86" s="269" t="str">
        <f>Market_currency</f>
        <v>HKD</v>
      </c>
    </row>
    <row r="87" spans="2:8" ht="15" customHeight="1">
      <c r="B87" s="267" t="s">
        <v>294</v>
      </c>
      <c r="C87" s="188">
        <f>Valuation_Model!C8*Exchange_Rate</f>
        <v>109091.44091590667</v>
      </c>
      <c r="D87" s="248">
        <f>C87*scaling_factor/Common_Shares</f>
        <v>2.2952145283504821</v>
      </c>
      <c r="E87" s="269" t="str">
        <f>Market_currency</f>
        <v>HKD</v>
      </c>
    </row>
    <row r="88" spans="2:8" ht="15" customHeight="1">
      <c r="B88" s="268" t="s">
        <v>190</v>
      </c>
      <c r="C88" s="188">
        <f>Valuation_Model!C9*Exchange_Rate</f>
        <v>5537.0146382159992</v>
      </c>
      <c r="D88" s="248">
        <f>C88*scaling_factor/Common_Shares</f>
        <v>0.11649526612375691</v>
      </c>
      <c r="E88" s="269" t="str">
        <f>Market_currency</f>
        <v>HKD</v>
      </c>
    </row>
    <row r="89" spans="2:8" ht="15" customHeight="1">
      <c r="B89" s="80" t="s">
        <v>298</v>
      </c>
      <c r="C89" s="187">
        <f>SUM(C86:C88)</f>
        <v>15125.274755062677</v>
      </c>
      <c r="D89" s="271">
        <f>SUM(D86:D88)</f>
        <v>0.31822616028945261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376364</v>
      </c>
      <c r="D4" s="57"/>
      <c r="E4" s="300"/>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302"/>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302"/>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302"/>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8"/>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302"/>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302"/>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301"/>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302"/>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302"/>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302"/>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9"/>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10"/>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9"/>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-239590.97053351856</v>
      </c>
      <c r="D23" s="58"/>
      <c r="E23" s="301"/>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9"/>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7"/>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AVERAGE(G28:P28)</f>
        <v>0.6365937510854347</v>
      </c>
      <c r="D28" s="26"/>
      <c r="E28" s="300" t="s">
        <v>341</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300" t="s">
        <v>341</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302"/>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-7213</v>
      </c>
      <c r="E33" s="300" t="s">
        <v>341</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300" t="s">
        <v>341</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301"/>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1.9164957328543644E-2</v>
      </c>
      <c r="D38" s="27"/>
      <c r="E38" s="299"/>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9"/>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302"/>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-2807</v>
      </c>
      <c r="E47" s="302"/>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353</v>
      </c>
      <c r="C48" s="191">
        <f>BS!D75*C53</f>
        <v>801.81967938187529</v>
      </c>
      <c r="E48" s="302"/>
      <c r="G48" s="328">
        <f>IFERROR(IF(G$4="","",($C$48/$C$49)*G49),0)</f>
        <v>1588.427616335812</v>
      </c>
      <c r="H48" s="328">
        <f t="shared" ref="H48:Q48" si="19">IFERROR(IF(H$4="","",($C$48/$C$49)*H49),0)</f>
        <v>1665.7343292216447</v>
      </c>
      <c r="I48" s="328">
        <f t="shared" si="19"/>
        <v>1033.0672843039545</v>
      </c>
      <c r="J48" s="328">
        <f t="shared" si="19"/>
        <v>464.88027793677952</v>
      </c>
      <c r="K48" s="328">
        <f t="shared" si="19"/>
        <v>510.62907328849445</v>
      </c>
      <c r="L48" s="328">
        <f t="shared" si="19"/>
        <v>369.83101577658761</v>
      </c>
      <c r="M48" s="328">
        <f t="shared" si="19"/>
        <v>276.64207206195277</v>
      </c>
      <c r="N48" s="328">
        <f t="shared" si="19"/>
        <v>0</v>
      </c>
      <c r="O48" s="328">
        <f t="shared" si="19"/>
        <v>0</v>
      </c>
      <c r="P48" s="328">
        <f t="shared" si="19"/>
        <v>0</v>
      </c>
      <c r="Q48" s="328" t="str">
        <f t="shared" si="19"/>
        <v/>
      </c>
    </row>
    <row r="49" spans="1:17" ht="15.75" customHeight="1">
      <c r="A49" s="10"/>
      <c r="B49" s="323" t="s">
        <v>350</v>
      </c>
      <c r="C49" s="324">
        <f>BS!$C$66*C53</f>
        <v>2312.94</v>
      </c>
      <c r="D49" s="325"/>
      <c r="E49" s="326"/>
      <c r="F49" s="325"/>
      <c r="G49" s="324">
        <f>Data!C52</f>
        <v>4582</v>
      </c>
      <c r="H49" s="324">
        <f>Data!D52</f>
        <v>4805</v>
      </c>
      <c r="I49" s="324">
        <f>Data!E52</f>
        <v>2980</v>
      </c>
      <c r="J49" s="324">
        <f>Data!F52</f>
        <v>1341</v>
      </c>
      <c r="K49" s="324">
        <f>Data!G52</f>
        <v>1472.9675999999999</v>
      </c>
      <c r="L49" s="324">
        <f>Data!H52</f>
        <v>1066.8196</v>
      </c>
      <c r="M49" s="324">
        <f>Data!I52</f>
        <v>798.00549999999998</v>
      </c>
      <c r="N49" s="324">
        <f>Data!J52</f>
        <v>0</v>
      </c>
      <c r="O49" s="324">
        <f>Data!K52</f>
        <v>0</v>
      </c>
      <c r="P49" s="324">
        <f>Data!L52</f>
        <v>0</v>
      </c>
      <c r="Q49" s="324" t="str">
        <f>Data!M52</f>
        <v/>
      </c>
    </row>
    <row r="50" spans="1:17" ht="15.75" customHeight="1">
      <c r="A50" s="10"/>
      <c r="B50" s="70" t="s">
        <v>68</v>
      </c>
      <c r="C50" s="184">
        <f>C47+C48</f>
        <v>-2005.1803206181248</v>
      </c>
      <c r="E50" s="302"/>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9" t="s">
        <v>344</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302"/>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7">
        <v>0</v>
      </c>
      <c r="E62" s="300" t="s">
        <v>345</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v>0</v>
      </c>
      <c r="E67" s="302"/>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0.65166151963298868</v>
      </c>
      <c r="D73" s="27"/>
      <c r="E73" s="299"/>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9"/>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9"/>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9"/>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9"/>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300" t="s">
        <v>439</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9"/>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9"/>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9"/>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5.9288205487639486E-4</v>
      </c>
      <c r="D83" s="27"/>
      <c r="E83" s="299"/>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9"/>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9"/>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1.4</v>
      </c>
      <c r="E90" s="302"/>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302"/>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302"/>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8.0367393800229614E-2</v>
      </c>
      <c r="E93" s="302"/>
      <c r="G93" s="23">
        <f t="shared" ref="G93:Q93" si="39">IF(G$4="","",G90/Market_Price)</f>
        <v>8.0367393800229614E-2</v>
      </c>
      <c r="H93" s="23">
        <f t="shared" si="39"/>
        <v>7.175660160734787E-2</v>
      </c>
      <c r="I93" s="23">
        <f t="shared" si="39"/>
        <v>8.3237657864523529E-2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-0.10497353188777325</v>
      </c>
      <c r="D96" s="27"/>
      <c r="E96" s="299"/>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9"/>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1056281</v>
      </c>
      <c r="D101" s="26"/>
      <c r="E101" s="303"/>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4"/>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4"/>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303"/>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303"/>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303"/>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303"/>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1.6008682291893146</v>
      </c>
      <c r="H113" s="334">
        <f>IF(H$4="","",Data!D$22/Data!D15)</f>
        <v>1.6902490128132808</v>
      </c>
      <c r="I113" s="334">
        <f>IF(I$4="","",Data!E$22/Data!E15)</f>
        <v>1.4510047502417471</v>
      </c>
      <c r="J113" s="334">
        <f>IF(J$4="","",Data!F$22/Data!F15)</f>
        <v>2.1035316540316042</v>
      </c>
      <c r="K113" s="334">
        <f>IF(K$4="","",Data!G$22/Data!G15)</f>
        <v>3.2993724703992493</v>
      </c>
      <c r="L113" s="334">
        <f>IF(L$4="","",Data!H$22/Data!H15)</f>
        <v>2.023384343788782</v>
      </c>
      <c r="M113" s="334">
        <f>IF(M$4="","",Data!I$22/Data!I15)</f>
        <v>2.361580198596569</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400</v>
      </c>
      <c r="C114" s="170"/>
      <c r="E114" s="302"/>
      <c r="G114" s="334">
        <f>IF(G$4="","",Data!C$22/G19)</f>
        <v>1.5626305677332901</v>
      </c>
      <c r="H114" s="334">
        <f>IF(H$4="","",Data!D$22/H19)</f>
        <v>1.6995798647481588</v>
      </c>
      <c r="I114" s="334">
        <f>IF(I$4="","",Data!E$22/I19)</f>
        <v>1.4609446298590569</v>
      </c>
      <c r="J114" s="334">
        <f>IF(J$4="","",Data!F$22/J19)</f>
        <v>1.9450934170318153</v>
      </c>
      <c r="K114" s="334">
        <f>IF(K$4="","",Data!G$22/K19)</f>
        <v>2.9447404307897362</v>
      </c>
      <c r="L114" s="334">
        <f>IF(L$4="","",Data!H$22/L19)</f>
        <v>2.059112762372902</v>
      </c>
      <c r="M114" s="334">
        <f>IF(M$4="","",Data!I$22/M19)</f>
        <v>2.4469482333251551</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302"/>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302"/>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6"/>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5"/>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2.0483619538723117</v>
      </c>
      <c r="D124" s="27"/>
      <c r="E124" s="299"/>
      <c r="F124" s="27"/>
      <c r="G124" s="178">
        <f t="shared" ref="G124:Q124" si="49">IF(G$4="","",G16*$C$3/Common_Shares*Exchange_Rate)</f>
        <v>3.2206030751781407</v>
      </c>
      <c r="H124" s="178">
        <f t="shared" si="49"/>
        <v>2.8116508933111728</v>
      </c>
      <c r="I124" s="178">
        <f t="shared" si="49"/>
        <v>3.2058996754234332</v>
      </c>
      <c r="J124" s="178">
        <f t="shared" si="49"/>
        <v>1.7322981924039971</v>
      </c>
      <c r="K124" s="178">
        <f t="shared" si="49"/>
        <v>0.63704338978048969</v>
      </c>
      <c r="L124" s="178">
        <f t="shared" si="49"/>
        <v>1.3666808717175387</v>
      </c>
      <c r="M124" s="178">
        <f t="shared" si="49"/>
        <v>1.158246343085823</v>
      </c>
      <c r="N124" s="178">
        <f t="shared" si="49"/>
        <v>6.8203453563865333</v>
      </c>
      <c r="O124" s="178">
        <f t="shared" si="49"/>
        <v>6.4153049039989574</v>
      </c>
      <c r="P124" s="178">
        <f t="shared" si="49"/>
        <v>6.4614865328092623</v>
      </c>
      <c r="Q124" s="178" t="str">
        <f t="shared" si="49"/>
        <v/>
      </c>
    </row>
    <row r="125" spans="1:17" ht="15.75" customHeight="1">
      <c r="A125" s="10"/>
      <c r="B125" s="27" t="s">
        <v>270</v>
      </c>
      <c r="C125" s="77">
        <f>C19*Exchange_Rate*$C$3/(Market_Price*Common_Shares)</f>
        <v>0.11758679413733134</v>
      </c>
      <c r="D125" s="27"/>
      <c r="E125" s="299"/>
      <c r="F125" s="27"/>
      <c r="G125" s="77">
        <f t="shared" ref="G125" si="50">IF(G$4="","",G124/Market_Price)</f>
        <v>0.1848796254407658</v>
      </c>
      <c r="H125" s="77">
        <f t="shared" ref="H125" si="51">IF(H$4="","",H124/Market_Price)</f>
        <v>0.16140361040821885</v>
      </c>
      <c r="I125" s="77">
        <f t="shared" ref="I125" si="52">IF(I$4="","",I124/Market_Price)</f>
        <v>0.18403557264198811</v>
      </c>
      <c r="J125" s="77">
        <f t="shared" ref="J125" si="53">IF(J$4="","",J124/Market_Price)</f>
        <v>9.9443065005969972E-2</v>
      </c>
      <c r="K125" s="77">
        <f t="shared" ref="K125" si="54">IF(K$4="","",K124/Market_Price)</f>
        <v>3.6569654981658414E-2</v>
      </c>
      <c r="L125" s="77">
        <f t="shared" ref="L125" si="55">IF(L$4="","",L124/Market_Price)</f>
        <v>7.8454699868974659E-2</v>
      </c>
      <c r="M125" s="77">
        <f t="shared" ref="M125" si="56">IF(M$4="","",M124/Market_Price)</f>
        <v>6.6489457123181564E-2</v>
      </c>
      <c r="N125" s="77">
        <f t="shared" ref="N125" si="57">IF(N$4="","",N124/Market_Price)</f>
        <v>0.39152384365020276</v>
      </c>
      <c r="O125" s="77">
        <f t="shared" ref="O125" si="58">IF(O$4="","",O124/Market_Price)</f>
        <v>0.36827238254873462</v>
      </c>
      <c r="P125" s="77">
        <f t="shared" ref="P125" si="59">IF(P$4="","",P124/Market_Price)</f>
        <v>0.37092345194083015</v>
      </c>
      <c r="Q125" s="77" t="str">
        <f t="shared" ref="Q125" si="60">IF(Q$4="","",Q124/Market_Price)</f>
        <v/>
      </c>
    </row>
    <row r="126" spans="1:17" ht="15.75" customHeight="1">
      <c r="B126" s="2" t="s">
        <v>402</v>
      </c>
      <c r="C126" s="170"/>
      <c r="G126" s="23">
        <f>IF(G$4="","",(Data!C47*$C$3)/(Market_Price*Common_Shares))</f>
        <v>0.16665060363943271</v>
      </c>
      <c r="H126" s="23">
        <f>IF(H$4="","",(Data!D47*$C$3)/(Market_Price*Common_Shares))</f>
        <v>0.14987225439272661</v>
      </c>
      <c r="I126" s="23">
        <f>IF(I$4="","",(Data!E47*$C$3)/(Market_Price*Common_Shares))</f>
        <v>0.17111331602545193</v>
      </c>
      <c r="J126" s="23">
        <f>IF(J$4="","",(Data!F47*$C$3)/(Market_Price*Common_Shares))</f>
        <v>8.4914727936090187E-2</v>
      </c>
      <c r="K126" s="23">
        <f>IF(K$4="","",(Data!G47*$C$3)/(Market_Price*Common_Shares))</f>
        <v>3.0140721517552378E-2</v>
      </c>
      <c r="L126" s="23">
        <f>IF(L$4="","",(Data!H47*$C$3)/(Market_Price*Common_Shares))</f>
        <v>7.3728910957923791E-2</v>
      </c>
      <c r="M126" s="23">
        <f>IF(M$4="","",(Data!I47*$C$3)/(Market_Price*Common_Shares))</f>
        <v>6.3619752993652884E-2</v>
      </c>
      <c r="N126" s="23">
        <f>IF(N$4="","",(Data!J47*$C$3)/(Market_Price*Common_Shares))</f>
        <v>8.4899026918223264E-2</v>
      </c>
      <c r="O126" s="23">
        <f>IF(O$4="","",(Data!K47*$C$3)/(Market_Price*Common_Shares))</f>
        <v>7.1463786706564864E-2</v>
      </c>
      <c r="P126" s="23">
        <f>IF(P$4="","",(Data!L47*$C$3)/(Market_Price*Common_Shares))</f>
        <v>5.2352024650714223E-2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1123831.5395809037</v>
      </c>
      <c r="D6" t="str">
        <f>Reporting_currency</f>
        <v>CNY</v>
      </c>
      <c r="E6" s="351" t="s">
        <v>250</v>
      </c>
      <c r="F6" s="351"/>
      <c r="H6" s="121"/>
    </row>
    <row r="7" spans="2:8">
      <c r="B7" s="149" t="s">
        <v>225</v>
      </c>
      <c r="C7" s="226">
        <f>BS!G31</f>
        <v>91887</v>
      </c>
      <c r="D7" t="str">
        <f>Reporting_currency</f>
        <v>CNY</v>
      </c>
      <c r="E7" s="351"/>
      <c r="F7" s="351"/>
      <c r="H7" s="121"/>
    </row>
    <row r="8" spans="2:8">
      <c r="B8" s="149" t="s">
        <v>226</v>
      </c>
      <c r="C8" s="201">
        <f>BS!D66</f>
        <v>100741.35470787497</v>
      </c>
      <c r="D8" t="str">
        <f>Reporting_currency</f>
        <v>CNY</v>
      </c>
      <c r="E8" s="351"/>
      <c r="F8" s="351"/>
      <c r="H8" s="121"/>
    </row>
    <row r="9" spans="2:8">
      <c r="B9" s="227" t="s">
        <v>191</v>
      </c>
      <c r="C9" s="229">
        <f>BS!H42</f>
        <v>5113.2</v>
      </c>
      <c r="D9" t="str">
        <f>Reporting_currency</f>
        <v>CNY</v>
      </c>
      <c r="E9" s="351"/>
      <c r="F9" s="351"/>
      <c r="H9" s="121"/>
    </row>
    <row r="10" spans="2:8" ht="13.15">
      <c r="B10" s="150" t="s">
        <v>228</v>
      </c>
      <c r="C10" s="232">
        <f>C6-C7+C8+C9</f>
        <v>1137799.0942887787</v>
      </c>
      <c r="D10" t="str">
        <f>Reporting_currency</f>
        <v>CNY</v>
      </c>
      <c r="H10" s="121"/>
    </row>
    <row r="11" spans="2:8" ht="13.15" thickBot="1">
      <c r="B11" s="230" t="s">
        <v>167</v>
      </c>
      <c r="C11" s="231">
        <f>Exchange_Rate</f>
        <v>1.0828863799999999</v>
      </c>
      <c r="D11" t="str">
        <f>Thesis!C15</f>
        <v>CNY/HKD</v>
      </c>
      <c r="H11" s="121"/>
    </row>
    <row r="12" spans="2:8" ht="13.5" thickTop="1">
      <c r="B12" s="150" t="s">
        <v>103</v>
      </c>
      <c r="C12" s="112">
        <f>(C10*scaling_factor)/Common_Shares*Exchange_Rate</f>
        <v>25.922750583693354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1.98435191985455E-2</v>
      </c>
      <c r="H16" s="121"/>
    </row>
    <row r="17" spans="2:8" ht="13.25" customHeight="1">
      <c r="B17" s="119" t="s">
        <v>135</v>
      </c>
      <c r="C17" s="163">
        <f>Scenarios!C64</f>
        <v>10</v>
      </c>
      <c r="H17" s="121"/>
    </row>
    <row r="18" spans="2:8" ht="13.25" customHeight="1">
      <c r="B18" s="154" t="s">
        <v>107</v>
      </c>
      <c r="C18" s="141">
        <f>(F52-C7+C8+C9)*Exchange_Rate/Common_Shares*scaling_factor</f>
        <v>27.562231329703277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IF($C$17&lt;B21,0,Valuation_Model!$C$16)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IF($C$17&lt;B22,0,Valuation_Model!$C$16)</f>
        <v>1.98435191985455E-2</v>
      </c>
      <c r="E22" s="125">
        <f t="shared" si="0"/>
        <v>0.85733882030178321</v>
      </c>
      <c r="F22" s="126">
        <f t="shared" si="1"/>
        <v>80169.794983261658</v>
      </c>
      <c r="H22" s="121"/>
    </row>
    <row r="23" spans="2:8">
      <c r="B23" s="123">
        <v>3</v>
      </c>
      <c r="C23" s="124">
        <f t="shared" si="2"/>
        <v>95365.617318454941</v>
      </c>
      <c r="D23" s="139">
        <f>IF($C$17&lt;B23,0,Valuation_Model!$C$16)</f>
        <v>1.98435191985455E-2</v>
      </c>
      <c r="E23" s="125">
        <f t="shared" si="0"/>
        <v>0.79383224102016958</v>
      </c>
      <c r="F23" s="126">
        <f t="shared" si="1"/>
        <v>75704.301712180983</v>
      </c>
      <c r="H23" s="121"/>
    </row>
    <row r="24" spans="2:8">
      <c r="B24" s="123">
        <v>4</v>
      </c>
      <c r="C24" s="124">
        <f t="shared" si="2"/>
        <v>97258.006776594848</v>
      </c>
      <c r="D24" s="139">
        <f>IF($C$17&lt;B24,0,Valuation_Model!$C$16)</f>
        <v>1.98435191985455E-2</v>
      </c>
      <c r="E24" s="125">
        <f t="shared" si="0"/>
        <v>0.73502985279645328</v>
      </c>
      <c r="F24" s="126">
        <f t="shared" si="1"/>
        <v>71487.538404276973</v>
      </c>
      <c r="H24" s="121"/>
    </row>
    <row r="25" spans="2:8">
      <c r="B25" s="123">
        <v>5</v>
      </c>
      <c r="C25" s="124">
        <f t="shared" si="2"/>
        <v>99187.947901278458</v>
      </c>
      <c r="D25" s="139">
        <f>IF($C$17&lt;B25,0,Valuation_Model!$C$16)</f>
        <v>1.98435191985455E-2</v>
      </c>
      <c r="E25" s="125">
        <f t="shared" si="0"/>
        <v>0.68058319703375303</v>
      </c>
      <c r="F25" s="126">
        <f t="shared" si="1"/>
        <v>67505.650689869421</v>
      </c>
      <c r="H25" s="121"/>
    </row>
    <row r="26" spans="2:8">
      <c r="B26" s="123">
        <v>6</v>
      </c>
      <c r="C26" s="124">
        <f t="shared" si="2"/>
        <v>101156.18584972182</v>
      </c>
      <c r="D26" s="139">
        <f>IF($C$17&lt;B26,0,Valuation_Model!$C$16)</f>
        <v>1.98435191985455E-2</v>
      </c>
      <c r="E26" s="125">
        <f t="shared" si="0"/>
        <v>0.63016962688310452</v>
      </c>
      <c r="F26" s="126">
        <f t="shared" si="1"/>
        <v>63745.555893837176</v>
      </c>
      <c r="H26" s="121"/>
    </row>
    <row r="27" spans="2:8">
      <c r="B27" s="123">
        <v>7</v>
      </c>
      <c r="C27" s="124">
        <f t="shared" si="2"/>
        <v>103163.48056568242</v>
      </c>
      <c r="D27" s="139">
        <f>IF($C$17&lt;B27,0,Valuation_Model!$C$16)</f>
        <v>1.98435191985455E-2</v>
      </c>
      <c r="E27" s="125">
        <f t="shared" si="0"/>
        <v>0.58349039526213387</v>
      </c>
      <c r="F27" s="126">
        <f t="shared" si="1"/>
        <v>60194.900051887496</v>
      </c>
      <c r="H27" s="121"/>
    </row>
    <row r="28" spans="2:8">
      <c r="B28" s="123">
        <v>8</v>
      </c>
      <c r="C28" s="124">
        <f t="shared" si="2"/>
        <v>105210.6070728763</v>
      </c>
      <c r="D28" s="139">
        <f>IF($C$17&lt;B28,0,Valuation_Model!$C$16)</f>
        <v>1.98435191985455E-2</v>
      </c>
      <c r="E28" s="125">
        <f t="shared" si="0"/>
        <v>0.54026888450197574</v>
      </c>
      <c r="F28" s="126">
        <f t="shared" si="1"/>
        <v>56842.017321038562</v>
      </c>
      <c r="H28" s="121"/>
    </row>
    <row r="29" spans="2:8">
      <c r="B29" s="123">
        <v>9</v>
      </c>
      <c r="C29" s="124">
        <f t="shared" si="2"/>
        <v>107298.35577421756</v>
      </c>
      <c r="D29" s="139">
        <f>IF($C$17&lt;B29,0,Valuation_Model!$C$16)</f>
        <v>1.98435191985455E-2</v>
      </c>
      <c r="E29" s="125">
        <f t="shared" si="0"/>
        <v>0.50024896713145905</v>
      </c>
      <c r="F29" s="126">
        <f t="shared" si="1"/>
        <v>53675.89165095616</v>
      </c>
      <c r="H29" s="121"/>
    </row>
    <row r="30" spans="2:8">
      <c r="B30" s="123">
        <v>10</v>
      </c>
      <c r="C30" s="124">
        <f t="shared" si="2"/>
        <v>109427.53275699561</v>
      </c>
      <c r="D30" s="139">
        <f>IF($C$17&lt;B30,0,Valuation_Model!$C$16)</f>
        <v>1.98435191985455E-2</v>
      </c>
      <c r="E30" s="125">
        <f t="shared" si="0"/>
        <v>0.46319348808468425</v>
      </c>
      <c r="F30" s="126">
        <f t="shared" si="1"/>
        <v>50686.120590213846</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25.922750583693354</v>
      </c>
      <c r="C65" s="125">
        <f>C12</f>
        <v>25.922750583693354</v>
      </c>
      <c r="D65" s="125">
        <f>C12</f>
        <v>25.922750583693354</v>
      </c>
      <c r="E65" s="142">
        <f>C12</f>
        <v>25.922750583693354</v>
      </c>
      <c r="F65" s="125">
        <f>C12</f>
        <v>25.922750583693354</v>
      </c>
      <c r="H65" s="121"/>
    </row>
    <row r="66" spans="1:8" ht="13.15">
      <c r="A66" s="144">
        <f t="shared" ref="A66:A71" si="3">A56</f>
        <v>5</v>
      </c>
      <c r="B66" s="125">
        <f t="shared" ref="B66:F71" si="4">(B56-$C$7+$C$8+$C$9)/Common_Shares*$C$3*Exchange_Rate</f>
        <v>25.922750583693347</v>
      </c>
      <c r="C66" s="125">
        <f t="shared" si="4"/>
        <v>25.922750583693347</v>
      </c>
      <c r="D66" s="125">
        <f t="shared" si="4"/>
        <v>26.748886574410999</v>
      </c>
      <c r="E66" s="125">
        <f t="shared" si="4"/>
        <v>27.171165895023261</v>
      </c>
      <c r="F66" s="125">
        <f t="shared" si="4"/>
        <v>27.599764977539355</v>
      </c>
      <c r="H66" s="121"/>
    </row>
    <row r="67" spans="1:8" ht="13.15">
      <c r="A67" s="144">
        <f t="shared" si="3"/>
        <v>10</v>
      </c>
      <c r="B67" s="125">
        <f t="shared" si="4"/>
        <v>25.922750583693343</v>
      </c>
      <c r="C67" s="125">
        <f t="shared" si="4"/>
        <v>25.922750583693343</v>
      </c>
      <c r="D67" s="125">
        <f t="shared" si="4"/>
        <v>27.575783305826029</v>
      </c>
      <c r="E67" s="125">
        <f t="shared" si="4"/>
        <v>28.463239405655539</v>
      </c>
      <c r="F67" s="125">
        <f t="shared" si="4"/>
        <v>29.394494664288434</v>
      </c>
      <c r="H67" s="121"/>
    </row>
    <row r="68" spans="1:8" ht="13.15">
      <c r="A68" s="144">
        <f t="shared" si="3"/>
        <v>15</v>
      </c>
      <c r="B68" s="125">
        <f t="shared" si="4"/>
        <v>25.922750583693336</v>
      </c>
      <c r="C68" s="125">
        <f t="shared" si="4"/>
        <v>25.922750583693336</v>
      </c>
      <c r="D68" s="125">
        <f t="shared" si="4"/>
        <v>28.599297287931069</v>
      </c>
      <c r="E68" s="125">
        <f t="shared" si="4"/>
        <v>30.104131395869455</v>
      </c>
      <c r="F68" s="125">
        <f t="shared" si="4"/>
        <v>31.734152409863064</v>
      </c>
      <c r="H68" s="121"/>
    </row>
    <row r="69" spans="1:8" ht="13.15">
      <c r="A69" s="145">
        <f t="shared" si="3"/>
        <v>20</v>
      </c>
      <c r="B69" s="125">
        <f t="shared" si="4"/>
        <v>25.922750583693343</v>
      </c>
      <c r="C69" s="125">
        <f t="shared" si="4"/>
        <v>25.922750583693343</v>
      </c>
      <c r="D69" s="125">
        <f t="shared" si="4"/>
        <v>29.642093897273018</v>
      </c>
      <c r="E69" s="125">
        <f t="shared" si="4"/>
        <v>31.821727514562909</v>
      </c>
      <c r="F69" s="125">
        <f t="shared" si="4"/>
        <v>34.252387001051005</v>
      </c>
      <c r="H69" s="121"/>
    </row>
    <row r="70" spans="1:8" ht="13.15">
      <c r="A70" s="145">
        <f t="shared" si="3"/>
        <v>25</v>
      </c>
      <c r="B70" s="125">
        <f t="shared" si="4"/>
        <v>25.922750583693336</v>
      </c>
      <c r="C70" s="125">
        <f t="shared" si="4"/>
        <v>25.922750583693336</v>
      </c>
      <c r="D70" s="125">
        <f t="shared" si="4"/>
        <v>30.611952608754905</v>
      </c>
      <c r="E70" s="125">
        <f t="shared" si="4"/>
        <v>33.46474095404713</v>
      </c>
      <c r="F70" s="125">
        <f t="shared" si="4"/>
        <v>36.732933741902563</v>
      </c>
    </row>
    <row r="71" spans="1:8" ht="13.15">
      <c r="A71" s="145">
        <f t="shared" si="3"/>
        <v>30</v>
      </c>
      <c r="B71" s="125">
        <f t="shared" si="4"/>
        <v>25.922750583693336</v>
      </c>
      <c r="C71" s="125">
        <f t="shared" si="4"/>
        <v>25.922750583693336</v>
      </c>
      <c r="D71" s="125">
        <f t="shared" si="4"/>
        <v>31.467502907561592</v>
      </c>
      <c r="E71" s="125">
        <f t="shared" si="4"/>
        <v>34.956962571909784</v>
      </c>
      <c r="F71" s="125">
        <f t="shared" si="4"/>
        <v>39.055987747872614</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31.734152409863064</v>
      </c>
      <c r="F74" s="143">
        <f>Scenarios!C58</f>
        <v>0.05</v>
      </c>
    </row>
    <row r="75" spans="1:8">
      <c r="B75" s="128" t="str">
        <f>Scenarios!B36</f>
        <v>Optimistic</v>
      </c>
      <c r="C75" s="143">
        <f>Scenarios!C38</f>
        <v>0.03</v>
      </c>
      <c r="D75" s="146">
        <f>Scenarios!C37</f>
        <v>10</v>
      </c>
      <c r="E75" s="136">
        <f>INDEX(B$65:F$71, MATCH(D75, A$65:A$71, 0), MATCH(C75, B$64:F$64, 0))</f>
        <v>28.463239405655539</v>
      </c>
      <c r="F75" s="143">
        <f>Scenarios!C40*(1-F$74-F$78)</f>
        <v>0.18</v>
      </c>
      <c r="H75" s="121"/>
    </row>
    <row r="76" spans="1:8">
      <c r="B76" s="128" t="str">
        <f>Scenarios!B24</f>
        <v>Base</v>
      </c>
      <c r="C76" s="143">
        <f>Scenarios!C26</f>
        <v>0.02</v>
      </c>
      <c r="D76" s="146">
        <f>Scenarios!C25</f>
        <v>10</v>
      </c>
      <c r="E76" s="136">
        <f>INDEX(B$65:F$71, MATCH(D76, A$65:A$71, 0), MATCH(C76, B$64:F$64, 0))</f>
        <v>27.575783305826029</v>
      </c>
      <c r="F76" s="143">
        <f>Scenarios!C28*(1-F$74-F$78)</f>
        <v>0.53999999999999992</v>
      </c>
      <c r="H76" s="121"/>
    </row>
    <row r="77" spans="1:8">
      <c r="B77" s="128" t="str">
        <f>Scenarios!B30</f>
        <v>Pessimistic</v>
      </c>
      <c r="C77" s="143">
        <f>Scenarios!C32</f>
        <v>0</v>
      </c>
      <c r="D77" s="146">
        <f>Scenarios!C31</f>
        <v>10</v>
      </c>
      <c r="E77" s="136">
        <f>INDEX(B$65:F$71, MATCH(D77, A$65:A$71, 0), MATCH(C77, B$64:F$64, 0))</f>
        <v>25.922750583693343</v>
      </c>
      <c r="F77" s="143">
        <f>Scenarios!C34*(1-F$74-F$78)</f>
        <v>0.18</v>
      </c>
      <c r="H77" s="121"/>
    </row>
    <row r="78" spans="1:8">
      <c r="B78" s="128" t="str">
        <f>Scenarios!B48</f>
        <v>Devil's advocate</v>
      </c>
      <c r="C78" s="143">
        <f>Scenarios!C50</f>
        <v>0</v>
      </c>
      <c r="D78" s="146">
        <f>Scenarios!C49</f>
        <v>15</v>
      </c>
      <c r="E78" s="136">
        <f>INDEX(B$65:F$71, MATCH(D78, A$65:A$71, 0), MATCH(C78, B$64:F$64, 0))</f>
        <v>25.922750583693336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-17.420000000000002</v>
      </c>
    </row>
    <row r="4" spans="2:9">
      <c r="B4" s="153" t="s">
        <v>147</v>
      </c>
      <c r="C4" s="121">
        <v>3</v>
      </c>
      <c r="D4" s="121"/>
      <c r="E4" s="156" t="s">
        <v>151</v>
      </c>
      <c r="F4" s="156"/>
      <c r="H4" s="276">
        <v>1</v>
      </c>
      <c r="I4" s="264">
        <f t="shared" ref="I4:I13" si="0">IF(ROW()-3 &lt; $C$76, $C$77, IF(ROW()-3 = $C$76, $C$77 + $C$60, ""))</f>
        <v>1.4</v>
      </c>
    </row>
    <row r="5" spans="2:9">
      <c r="H5" s="276">
        <v>2</v>
      </c>
      <c r="I5" s="264">
        <f t="shared" si="0"/>
        <v>1.4</v>
      </c>
    </row>
    <row r="6" spans="2:9" ht="13.15">
      <c r="B6" s="160" t="s">
        <v>96</v>
      </c>
      <c r="C6" s="107">
        <f>Valuation_Model!C3</f>
        <v>1000000</v>
      </c>
      <c r="E6" s="100" t="s">
        <v>282</v>
      </c>
      <c r="F6" s="100"/>
      <c r="H6" s="276">
        <v>3</v>
      </c>
      <c r="I6" s="264">
        <f t="shared" si="0"/>
        <v>28.963246332906674</v>
      </c>
    </row>
    <row r="7" spans="2:9" ht="12.75" customHeight="1">
      <c r="B7" s="100" t="s">
        <v>276</v>
      </c>
      <c r="C7" s="115">
        <f>Normalized_FCF!G8</f>
        <v>192781</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3"/>
      <c r="H7" s="276">
        <v>4</v>
      </c>
      <c r="I7" s="264" t="str">
        <f t="shared" si="0"/>
        <v/>
      </c>
    </row>
    <row r="8" spans="2:9">
      <c r="B8" s="100" t="s">
        <v>66</v>
      </c>
      <c r="C8" s="115">
        <f>Normalized_FCF!G19</f>
        <v>141358.4276163358</v>
      </c>
      <c r="D8" t="str">
        <f>Reporting_currency</f>
        <v>CNY</v>
      </c>
      <c r="E8" s="353"/>
      <c r="F8" s="353"/>
      <c r="H8" s="276">
        <v>5</v>
      </c>
      <c r="I8" s="264" t="str">
        <f t="shared" si="0"/>
        <v/>
      </c>
    </row>
    <row r="9" spans="2:9">
      <c r="B9" s="100" t="s">
        <v>57</v>
      </c>
      <c r="C9" s="201">
        <f>Normalized_FCF!C19</f>
        <v>89906.523166472296</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0.19549305441006948</v>
      </c>
      <c r="D12" s="159"/>
      <c r="E12" s="353"/>
      <c r="F12" s="353"/>
      <c r="H12" s="276">
        <v>9</v>
      </c>
      <c r="I12" s="264" t="str">
        <f t="shared" si="0"/>
        <v/>
      </c>
    </row>
    <row r="13" spans="2:9">
      <c r="B13" s="149" t="s">
        <v>153</v>
      </c>
      <c r="C13" s="159">
        <f ca="1">(Normalized_FCF!G8/OFFSET(Normalized_FCF!G8, 0, $C$4))^(1/$C$4) - 1</f>
        <v>0.22866289579809873</v>
      </c>
      <c r="E13" s="353"/>
      <c r="F13" s="353"/>
      <c r="H13" s="276">
        <v>10</v>
      </c>
      <c r="I13" s="264" t="str">
        <f t="shared" si="0"/>
        <v/>
      </c>
    </row>
    <row r="14" spans="2:9">
      <c r="B14" s="100" t="s">
        <v>66</v>
      </c>
      <c r="C14" s="159">
        <f ca="1">(Normalized_FCF!G19/OFFSET(Normalized_FCF!G19, 0, $C$4))^(1/$C$4) - 1</f>
        <v>0.22962169479662209</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17.420000000000002</v>
      </c>
      <c r="D21" t="str">
        <f>Market_currency</f>
        <v>HKD</v>
      </c>
      <c r="E21" s="354"/>
      <c r="F21" s="354"/>
    </row>
    <row r="22" spans="2:6">
      <c r="B22" s="100" t="s">
        <v>281</v>
      </c>
      <c r="C22" s="161">
        <f>Valuation_Model!C12</f>
        <v>25.922750583693354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27.575783305826029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25.922750583693343</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28.463239405655539</v>
      </c>
      <c r="D39" t="str">
        <f>Market_currency</f>
        <v>HKD</v>
      </c>
      <c r="E39" s="352"/>
      <c r="F39" s="352"/>
    </row>
    <row r="40" spans="2:6">
      <c r="B40" s="100" t="s">
        <v>148</v>
      </c>
      <c r="C40" s="168">
        <f>1-C28-C34</f>
        <v>0.2</v>
      </c>
      <c r="D40" s="166"/>
      <c r="E40" s="352"/>
      <c r="F40" s="352"/>
    </row>
    <row r="42" spans="2:6" ht="13.15">
      <c r="B42" s="100" t="s">
        <v>121</v>
      </c>
      <c r="C42" s="155">
        <f>C27*C28+C33*C34+C39*C40</f>
        <v>27.422667981365397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25.922750583693336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0.04</v>
      </c>
      <c r="D56" s="165"/>
      <c r="E56" s="352"/>
      <c r="F56" s="352"/>
    </row>
    <row r="57" spans="2:6">
      <c r="B57" s="100" t="s">
        <v>114</v>
      </c>
      <c r="C57" s="161">
        <f>Valuation_Model!E74</f>
        <v>31.734152409863064</v>
      </c>
      <c r="D57" t="str">
        <f>Market_currency</f>
        <v>HKD</v>
      </c>
      <c r="E57" s="352"/>
      <c r="F57" s="352"/>
    </row>
    <row r="58" spans="2:6">
      <c r="B58" s="100" t="s">
        <v>148</v>
      </c>
      <c r="C58" s="166">
        <v>0.05</v>
      </c>
      <c r="D58" s="166"/>
      <c r="E58" s="352"/>
      <c r="F58" s="352"/>
    </row>
    <row r="60" spans="2:6" ht="13.15">
      <c r="B60" s="100" t="s">
        <v>121</v>
      </c>
      <c r="C60" s="155">
        <f>C51*C52+C57*C58+C42*(1-C52-C58)</f>
        <v>27.563246332906676</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1.98435191985455E-2</v>
      </c>
      <c r="D65" s="152"/>
      <c r="E65" s="281" t="s">
        <v>320</v>
      </c>
    </row>
    <row r="66" spans="2:6">
      <c r="B66" s="100" t="s">
        <v>103</v>
      </c>
      <c r="C66" s="161">
        <f>Valuation_Model!C18</f>
        <v>27.562231329703277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1.1545307705991617E-2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1.4</v>
      </c>
      <c r="D77" t="str">
        <f>Market_currency</f>
        <v>HKD</v>
      </c>
    </row>
    <row r="79" spans="2:6" ht="13.15">
      <c r="B79" s="109" t="s">
        <v>308</v>
      </c>
    </row>
    <row r="80" spans="2:6">
      <c r="B80" s="149" t="s">
        <v>306</v>
      </c>
      <c r="C80" s="168">
        <f>Thesis!C132</f>
        <v>0.4</v>
      </c>
    </row>
    <row r="81" spans="2:8">
      <c r="B81" s="100" t="s">
        <v>122</v>
      </c>
      <c r="C81" s="117">
        <f>PV(C80, C76, -C77, 0)</f>
        <v>2.2244897959183665</v>
      </c>
      <c r="D81" s="117"/>
      <c r="E81" s="100"/>
      <c r="F81" s="100"/>
    </row>
    <row r="82" spans="2:8">
      <c r="B82" s="100" t="s">
        <v>123</v>
      </c>
      <c r="C82" s="117">
        <f>C60/(1+C80)^C76</f>
        <v>10.044914844353748</v>
      </c>
      <c r="D82" s="117"/>
    </row>
    <row r="83" spans="2:8" ht="13.15">
      <c r="B83" s="111" t="s">
        <v>102</v>
      </c>
      <c r="C83" s="112">
        <f>C81+C82</f>
        <v>12.269404640272114</v>
      </c>
      <c r="D83" t="str">
        <f>Market_currency</f>
        <v>HKD</v>
      </c>
      <c r="E83" s="147" t="s">
        <v>127</v>
      </c>
      <c r="F83" s="329">
        <f>(1-C83/C60)</f>
        <v>0.55486358565739202</v>
      </c>
    </row>
    <row r="84" spans="2:8">
      <c r="E84" s="121"/>
    </row>
    <row r="85" spans="2:8" ht="13.15">
      <c r="B85" s="109" t="s">
        <v>309</v>
      </c>
    </row>
    <row r="86" spans="2:8">
      <c r="B86" s="149" t="s">
        <v>307</v>
      </c>
      <c r="C86" s="266">
        <f>Market_Price</f>
        <v>17.420000000000002</v>
      </c>
      <c r="D86" t="str">
        <f>Market_currency</f>
        <v>HKD</v>
      </c>
    </row>
    <row r="87" spans="2:8" ht="13.15">
      <c r="B87" s="100" t="s">
        <v>305</v>
      </c>
      <c r="C87" s="265">
        <f ca="1">IRR(OFFSET($I$3, 0, 0, $C$76 + 1, 1))</f>
        <v>0.23519139462656269</v>
      </c>
    </row>
    <row r="88" spans="2:8">
      <c r="B88" s="100"/>
    </row>
    <row r="89" spans="2:8" ht="13.15">
      <c r="B89" s="109" t="s">
        <v>422</v>
      </c>
    </row>
    <row r="90" spans="2:8">
      <c r="B90" s="149" t="s">
        <v>423</v>
      </c>
      <c r="C90" s="168">
        <f>Thesis!E24</f>
        <v>0.2</v>
      </c>
    </row>
    <row r="91" spans="2:8">
      <c r="B91" s="100" t="s">
        <v>122</v>
      </c>
      <c r="C91" s="117">
        <f>PV(C90, C76, -C77, 0)</f>
        <v>2.9490740740740735</v>
      </c>
      <c r="D91" s="117"/>
      <c r="E91" s="100"/>
      <c r="F91" s="100"/>
    </row>
    <row r="92" spans="2:8">
      <c r="B92" s="100" t="s">
        <v>123</v>
      </c>
      <c r="C92" s="117">
        <f>C60/(1+C90)^C76</f>
        <v>15.950952738950622</v>
      </c>
      <c r="D92" s="117"/>
    </row>
    <row r="93" spans="2:8" ht="13.15">
      <c r="B93" s="111" t="s">
        <v>102</v>
      </c>
      <c r="C93" s="112">
        <f>C91+C92</f>
        <v>18.900026813024695</v>
      </c>
      <c r="D93" t="str">
        <f>Market_currency</f>
        <v>HKD</v>
      </c>
      <c r="E93" s="147" t="s">
        <v>127</v>
      </c>
      <c r="F93" s="329">
        <f>(1-C93/C60)</f>
        <v>0.31430330866140765</v>
      </c>
    </row>
    <row r="95" spans="2:8" ht="13.15">
      <c r="B95" s="109" t="s">
        <v>405</v>
      </c>
      <c r="G95" s="2"/>
      <c r="H95" s="316"/>
    </row>
    <row r="96" spans="2:8">
      <c r="B96" s="149" t="s">
        <v>411</v>
      </c>
      <c r="C96" s="135">
        <f>Thesis!C72</f>
        <v>0.08</v>
      </c>
      <c r="G96" s="2"/>
      <c r="H96" s="316"/>
    </row>
    <row r="97" spans="2:8">
      <c r="B97" s="100" t="s">
        <v>122</v>
      </c>
      <c r="C97" s="117">
        <f>PV(C96, C76, -C77, 0)</f>
        <v>3.6079357821470319</v>
      </c>
      <c r="D97" s="117"/>
      <c r="G97" s="2"/>
      <c r="H97" s="316"/>
    </row>
    <row r="98" spans="2:8">
      <c r="B98" s="100" t="s">
        <v>123</v>
      </c>
      <c r="C98" s="117">
        <f>C60/(1+C96)^C76</f>
        <v>21.880593606242279</v>
      </c>
      <c r="D98" s="117"/>
      <c r="G98" s="2"/>
      <c r="H98" s="316"/>
    </row>
    <row r="99" spans="2:8" ht="13.15">
      <c r="B99" s="111" t="s">
        <v>406</v>
      </c>
      <c r="C99" s="112">
        <f>C97+C98</f>
        <v>25.48852938838931</v>
      </c>
      <c r="D99" t="s">
        <v>404</v>
      </c>
      <c r="E99" s="147" t="s">
        <v>127</v>
      </c>
      <c r="F99" s="329">
        <f>(1-C99/C60)</f>
        <v>7.5271138945648852E-2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