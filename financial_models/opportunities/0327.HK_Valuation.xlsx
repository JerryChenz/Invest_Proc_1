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CB37CAB-758D-4933-AEF2-67E77E880314}"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<sst xmlns="http://schemas.openxmlformats.org/spreadsheetml/2006/main" count="836" uniqueCount="560">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</sst>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C0164295-F4D5-499D-8E1E-F301B48E18D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1061744000</v>
          </cell>
        </row>
        <row r="12">
          <cell r="C12">
            <v>6.5</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6.5</v>
      </c>
      <c r="D12" s="50"/>
      <c r="E12" s="48"/>
    </row>
    <row r="13" spans="1:10">
      <c r="B13" s="1" t="s">
        <v>464</v>
      </c>
      <c r="C13" s="48" t="s">
        <v>377</v>
      </c>
      <c r="D13" s="48"/>
      <c r="E13" s="5"/>
    </row>
    <row r="14" spans="1:10">
      <c r="B14" s="4" t="s">
        <v>465</v>
      </c>
      <c r="C14" s="35">
        <f>Thesis!C12*Common_Shares/1000000</f>
        <v>6901.3360000000002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9.572177520852998E-2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1000</v>
      </c>
    </row>
    <row r="40" spans="1:6" ht="24.6" customHeight="1">
      <c r="B40" s="368" t="s">
        <v>227</v>
      </c>
      <c r="C40" s="368"/>
      <c r="D40" s="368"/>
      <c r="E40" s="368"/>
      <c r="F40" s="368"/>
    </row>
    <row r="41" spans="1:6">
      <c r="B41" s="47" t="s">
        <v>228</v>
      </c>
      <c r="C41" s="349">
        <f>Normalized_FCF!C8</f>
        <v>536120.13620533235</v>
      </c>
      <c r="D41" s="1" t="str">
        <f>Reporting_currency</f>
        <v>HKD</v>
      </c>
    </row>
    <row r="42" spans="1:6">
      <c r="B42" s="47"/>
      <c r="C42" s="76"/>
    </row>
    <row r="43" spans="1:6" ht="24.6" customHeight="1">
      <c r="B43" s="368" t="s">
        <v>229</v>
      </c>
      <c r="C43" s="368"/>
      <c r="D43" s="368"/>
      <c r="E43" s="368"/>
      <c r="F43" s="368"/>
    </row>
    <row r="44" spans="1:6">
      <c r="B44" s="47" t="s">
        <v>230</v>
      </c>
      <c r="C44" s="349">
        <f>Normalized_FCF!C9</f>
        <v>0</v>
      </c>
      <c r="D44" s="1" t="str">
        <f>Reporting_currency</f>
        <v>HKD</v>
      </c>
    </row>
    <row r="45" spans="1:6">
      <c r="B45" s="52" t="s">
        <v>231</v>
      </c>
      <c r="C45" s="349">
        <f>Normalized_FCF!C10</f>
        <v>0</v>
      </c>
      <c r="D45" s="1" t="str">
        <f>Reporting_currency</f>
        <v>HKD</v>
      </c>
    </row>
    <row r="47" spans="1:6">
      <c r="B47" s="368" t="s">
        <v>232</v>
      </c>
      <c r="C47" s="368"/>
      <c r="D47" s="368"/>
      <c r="E47" s="368"/>
      <c r="F47" s="368"/>
    </row>
    <row r="48" spans="1:6">
      <c r="B48" s="47" t="s">
        <v>233</v>
      </c>
      <c r="C48" s="349">
        <f>Normalized_FCF!C11</f>
        <v>0</v>
      </c>
      <c r="D48" s="1" t="str">
        <f>Reporting_currency</f>
        <v>HKD</v>
      </c>
    </row>
    <row r="50" spans="2:6">
      <c r="B50" s="368" t="s">
        <v>236</v>
      </c>
      <c r="C50" s="368"/>
      <c r="D50" s="368"/>
      <c r="E50" s="368"/>
      <c r="F50" s="368"/>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68" t="s">
        <v>237</v>
      </c>
      <c r="C58" s="368"/>
      <c r="D58" s="368"/>
      <c r="E58" s="368"/>
      <c r="F58" s="368"/>
    </row>
    <row r="59" spans="2:6">
      <c r="B59" s="47" t="s">
        <v>235</v>
      </c>
      <c r="C59" s="349">
        <f>Normalized_FCF!C14</f>
        <v>-133572.49101863219</v>
      </c>
      <c r="D59" s="1" t="str">
        <f>Reporting_currency</f>
        <v>HKD</v>
      </c>
    </row>
    <row r="61" spans="2:6">
      <c r="B61" s="368" t="s">
        <v>329</v>
      </c>
      <c r="C61" s="371"/>
      <c r="D61" s="371"/>
      <c r="E61" s="371"/>
      <c r="F61" s="371"/>
    </row>
    <row r="62" spans="2:6">
      <c r="B62" s="47" t="s">
        <v>238</v>
      </c>
      <c r="C62" s="349">
        <f>Normalized_FCF!C17</f>
        <v>0</v>
      </c>
      <c r="D62" s="1" t="str">
        <f>Reporting_currency</f>
        <v>HKD</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5.683109759145924E-2</v>
      </c>
      <c r="F69" s="314"/>
    </row>
    <row r="70" spans="1:6">
      <c r="B70" s="227" t="s">
        <v>434</v>
      </c>
      <c r="C70" s="92">
        <f>Normalized_FCF!C94</f>
        <v>5.5384615384615379E-2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67" t="s">
        <v>352</v>
      </c>
      <c r="C116" s="367"/>
      <c r="D116" s="367"/>
      <c r="E116" s="367"/>
      <c r="F116" s="367"/>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5.5384615384615379E-2</v>
      </c>
      <c r="E94" s="268"/>
      <c r="G94" s="23">
        <f t="shared" ref="G94:Q94" si="39">IF(G$4="","",(G90*(1-dividend_tax_rate))/Market_Price)</f>
        <v>7.5384615384615383E-2</v>
      </c>
      <c r="H94" s="23">
        <f t="shared" si="39"/>
        <v>6.7692307692307691E-2</v>
      </c>
      <c r="I94" s="23">
        <f t="shared" si="39"/>
        <v>5.5384615384615379E-2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5.683109759145924E-2</v>
      </c>
      <c r="D126" s="27"/>
      <c r="E126" s="265"/>
      <c r="F126" s="27"/>
      <c r="G126" s="77">
        <f t="shared" ref="G126" si="50">IF(G$4="","",G125/Market_Price)</f>
        <v>9.0723843899794168E-2</v>
      </c>
      <c r="H126" s="77">
        <f t="shared" ref="H126" si="51">IF(H$4="","",H125/Market_Price)</f>
        <v>0.15349541114147996</v>
      </c>
      <c r="I126" s="77">
        <f t="shared" ref="I126" si="52">IF(I$4="","",I125/Market_Price)</f>
        <v>0.17489190697262794</v>
      </c>
      <c r="J126" s="77">
        <f t="shared" ref="J126" si="53">IF(J$4="","",J125/Market_Price)</f>
        <v>0.14051359493845403</v>
      </c>
      <c r="K126" s="77">
        <f t="shared" ref="K126" si="54">IF(K$4="","",K125/Market_Price)</f>
        <v>0.13008611665915121</v>
      </c>
      <c r="L126" s="77">
        <f t="shared" ref="L126" si="55">IF(L$4="","",L125/Market_Price)</f>
        <v>8.7390615382296991E-2</v>
      </c>
      <c r="M126" s="77">
        <f t="shared" ref="M126" si="56">IF(M$4="","",M125/Market_Price)</f>
        <v>6.939960610525267E-2</v>
      </c>
      <c r="N126" s="77">
        <f t="shared" ref="N126" si="57">IF(N$4="","",N125/Market_Price)</f>
        <v>6.4014272019214821E-2</v>
      </c>
      <c r="O126" s="77">
        <f t="shared" ref="O126" si="58">IF(O$4="","",O125/Market_Price)</f>
        <v>7.8261513422908255E-2</v>
      </c>
      <c r="P126" s="77">
        <f t="shared" ref="P126" si="59">IF(P$4="","",P125/Market_Price)</f>
        <v>7.4051024323406364E-2</v>
      </c>
      <c r="Q126" s="77" t="str">
        <f t="shared" ref="Q126" si="60">IF(Q$4="","",Q125/Market_Price)</f>
        <v/>
      </c>
    </row>
    <row r="127" spans="1:17" ht="15.75" customHeight="1">
      <c r="B127" s="2" t="s">
        <v>375</v>
      </c>
      <c r="C127" s="169"/>
      <c r="G127" s="23">
        <f>IF(G$4="","",(Data!C47*$C$3)/(Market_Price*Common_Shares))</f>
        <v>0.10446122316026926</v>
      </c>
      <c r="H127" s="23">
        <f>IF(H$4="","",(Data!D47*$C$3)/(Market_Price*Common_Shares))</f>
        <v>0.1688228192338411</v>
      </c>
      <c r="I127" s="23">
        <f>IF(I$4="","",(Data!E47*$C$3)/(Market_Price*Common_Shares))</f>
        <v>0.18376195565612224</v>
      </c>
      <c r="J127" s="23">
        <f>IF(J$4="","",(Data!F47*$C$3)/(Market_Price*Common_Shares))</f>
        <v>0.15826529819733454</v>
      </c>
      <c r="K127" s="23">
        <f>IF(K$4="","",(Data!G47*$C$3)/(Market_Price*Common_Shares))</f>
        <v>0.13096739529853349</v>
      </c>
      <c r="L127" s="23">
        <f>IF(L$4="","",(Data!H47*$C$3)/(Market_Price*Common_Shares))</f>
        <v>9.0542468878489615E-2</v>
      </c>
      <c r="M127" s="23">
        <f>IF(M$4="","",(Data!I47*$C$3)/(Market_Price*Common_Shares))</f>
        <v>7.4680902364411758E-2</v>
      </c>
      <c r="N127" s="23">
        <f>IF(N$4="","",(Data!J47*$C$3)/(Market_Price*Common_Shares))</f>
        <v>4.8768238497589454E-2</v>
      </c>
      <c r="O127" s="23">
        <f>IF(O$4="","",(Data!K47*$C$3)/(Market_Price*Common_Shares))</f>
        <v>8.7437273014964054E-2</v>
      </c>
      <c r="P127" s="23">
        <f>IF(P$4="","",(Data!L47*$C$3)/(Market_Price*Common_Shares))</f>
        <v>8.9879119057527407E-2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5" t="s">
        <v>245</v>
      </c>
      <c r="F6" s="375"/>
      <c r="H6" s="120"/>
    </row>
    <row r="7" spans="2:8">
      <c r="B7" s="148" t="s">
        <v>220</v>
      </c>
      <c r="C7" s="338">
        <f>BS!G31</f>
        <v>87825</v>
      </c>
      <c r="D7" t="str">
        <f>Reporting_currency</f>
        <v>HKD</v>
      </c>
      <c r="E7" s="375"/>
      <c r="F7" s="375"/>
      <c r="H7" s="120"/>
    </row>
    <row r="8" spans="2:8">
      <c r="B8" s="148" t="s">
        <v>221</v>
      </c>
      <c r="C8" s="338">
        <f>BS!D66</f>
        <v>2338843.0327008888</v>
      </c>
      <c r="D8" t="str">
        <f>Reporting_currency</f>
        <v>HKD</v>
      </c>
      <c r="E8" s="375"/>
      <c r="F8" s="375"/>
      <c r="H8" s="120"/>
    </row>
    <row r="9" spans="2:8">
      <c r="B9" s="205" t="s">
        <v>186</v>
      </c>
      <c r="C9" s="348">
        <f>BS!H42</f>
        <v>57429</v>
      </c>
      <c r="D9" t="str">
        <f>Reporting_currency</f>
        <v>HKD</v>
      </c>
      <c r="E9" s="375"/>
      <c r="F9" s="375"/>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5"/>
      <c r="F6" s="375"/>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-6.5</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77"/>
      <c r="H7" s="247">
        <v>4</v>
      </c>
      <c r="I7" s="124" t="str">
        <f t="shared" si="0"/>
        <v/>
      </c>
    </row>
    <row r="8" spans="2:9">
      <c r="B8" s="100" t="s">
        <v>64</v>
      </c>
      <c r="C8" s="338">
        <f>Normalized_FCF!G19</f>
        <v>626115.72996402986</v>
      </c>
      <c r="D8" t="str">
        <f>Reporting_currency</f>
        <v>HKD</v>
      </c>
      <c r="E8" s="377"/>
      <c r="F8" s="377"/>
      <c r="H8" s="247">
        <v>5</v>
      </c>
      <c r="I8" s="124" t="str">
        <f t="shared" si="0"/>
        <v/>
      </c>
    </row>
    <row r="9" spans="2:9">
      <c r="B9" s="100" t="s">
        <v>55</v>
      </c>
      <c r="C9" s="338">
        <f>Normalized_FCF!C19</f>
        <v>392210.49972745095</v>
      </c>
      <c r="D9" t="str">
        <f>Reporting_currency</f>
        <v>HKD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-5.6448033822130816E-2</v>
      </c>
      <c r="D12" s="158"/>
      <c r="E12" s="377"/>
      <c r="F12" s="377"/>
      <c r="H12" s="247">
        <v>9</v>
      </c>
      <c r="I12" s="124" t="str">
        <f t="shared" si="0"/>
        <v/>
      </c>
    </row>
    <row r="13" spans="2:9">
      <c r="B13" s="148" t="s">
        <v>148</v>
      </c>
      <c r="C13" s="158">
        <f ca="1">(Normalized_FCF!G8/OFFSET(Normalized_FCF!G8, 0, $C$4))^(1/$C$4) - 1</f>
        <v>-0.12852816016361679</v>
      </c>
      <c r="E13" s="377"/>
      <c r="F13" s="377"/>
      <c r="H13" s="247">
        <v>10</v>
      </c>
      <c r="I13" s="124" t="str">
        <f t="shared" si="0"/>
        <v/>
      </c>
    </row>
    <row r="14" spans="2:9">
      <c r="B14" s="100" t="s">
        <v>64</v>
      </c>
      <c r="C14" s="158">
        <f ca="1">(Normalized_FCF!G19/OFFSET(Normalized_FCF!G19, 0, $C$4))^(1/$C$4) - 1</f>
        <v>-0.13569365902210184</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6.5</v>
      </c>
      <c r="D21" t="str">
        <f>Market_currency</f>
        <v>HKD</v>
      </c>
      <c r="E21" s="378"/>
      <c r="F21" s="378"/>
    </row>
    <row r="22" spans="2:6">
      <c r="B22" s="100" t="s">
        <v>273</v>
      </c>
      <c r="C22" s="160">
        <f>IF(valuation_method="DCF",DCF!C12,DDM!C7)</f>
        <v>7.0995648314473492</v>
      </c>
      <c r="D22" t="str">
        <f>Market_currency</f>
        <v>HKD</v>
      </c>
      <c r="E22" s="378"/>
      <c r="F22" s="378"/>
    </row>
    <row r="24" spans="2:6" ht="13.15">
      <c r="B24" s="159" t="s">
        <v>111</v>
      </c>
      <c r="E24" s="159" t="s">
        <v>145</v>
      </c>
      <c r="F24" s="159"/>
    </row>
    <row r="25" spans="2:6">
      <c r="B25" s="152" t="s">
        <v>129</v>
      </c>
      <c r="C25" s="166">
        <f>C18</f>
        <v>5</v>
      </c>
      <c r="D25" s="163"/>
      <c r="E25" s="376"/>
      <c r="F25" s="376"/>
    </row>
    <row r="26" spans="2:6">
      <c r="B26" s="118" t="s">
        <v>130</v>
      </c>
      <c r="C26" s="164">
        <v>0.03</v>
      </c>
      <c r="D26" s="164"/>
      <c r="E26" s="376"/>
      <c r="F26" s="376"/>
    </row>
    <row r="27" spans="2:6">
      <c r="B27" s="100" t="s">
        <v>109</v>
      </c>
      <c r="C27" s="160">
        <f>IF(valuation_method="DCF",DCF!E76,DDM!E71)</f>
        <v>7.3355372744552945</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0.01</v>
      </c>
      <c r="D32" s="164"/>
      <c r="E32" s="376"/>
      <c r="F32" s="376"/>
    </row>
    <row r="33" spans="2:6">
      <c r="B33" s="100" t="s">
        <v>109</v>
      </c>
      <c r="C33" s="160">
        <f>IF(valuation_method="DCF",DCF!E77,DDM!E72)</f>
        <v>7.1771011945027929</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0.05</v>
      </c>
      <c r="D38" s="164"/>
      <c r="E38" s="376"/>
      <c r="F38" s="376"/>
    </row>
    <row r="39" spans="2:6">
      <c r="B39" s="100" t="s">
        <v>109</v>
      </c>
      <c r="C39" s="160">
        <f>IF(valuation_method="DCF",DCF!E75,DDM!E70)</f>
        <v>7.4986225888941824</v>
      </c>
      <c r="D39" t="str">
        <f>Market_currency</f>
        <v>HKD</v>
      </c>
      <c r="E39" s="376"/>
      <c r="F39" s="376"/>
    </row>
    <row r="40" spans="2:6">
      <c r="B40" s="100" t="s">
        <v>143</v>
      </c>
      <c r="C40" s="167">
        <f>1-C28-C34</f>
        <v>0.2</v>
      </c>
      <c r="D40" s="165"/>
      <c r="E40" s="376"/>
      <c r="F40" s="376"/>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v>
      </c>
      <c r="D50" s="164"/>
      <c r="E50" s="376"/>
      <c r="F50" s="376"/>
    </row>
    <row r="51" spans="2:6">
      <c r="B51" s="100" t="s">
        <v>109</v>
      </c>
      <c r="C51" s="160">
        <f>IF(valuation_method="DCF",DCF!E78,DDM!E73)</f>
        <v>7.0995648314473501</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0.06</v>
      </c>
      <c r="D56" s="164"/>
      <c r="E56" s="376"/>
      <c r="F56" s="376"/>
    </row>
    <row r="57" spans="2:6">
      <c r="B57" s="100" t="s">
        <v>109</v>
      </c>
      <c r="C57" s="160">
        <f>IF(valuation_method="DCF",DCF!E74,DDM!E69)</f>
        <v>8.1294131166856403</v>
      </c>
      <c r="D57" t="str">
        <f>Market_currency</f>
        <v>HKD</v>
      </c>
      <c r="E57" s="376"/>
      <c r="F57" s="376"/>
    </row>
    <row r="58" spans="2:6">
      <c r="B58" s="100" t="s">
        <v>143</v>
      </c>
      <c r="C58" s="165">
        <v>0.05</v>
      </c>
      <c r="D58" s="165"/>
      <c r="E58" s="376"/>
      <c r="F58" s="376"/>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6.5</v>
      </c>
      <c r="D86" t="str">
        <f>Market_currency</f>
        <v>HKD</v>
      </c>
    </row>
    <row r="87" spans="2:8" ht="13.15">
      <c r="B87" s="100" t="s">
        <v>293</v>
      </c>
      <c r="C87" s="237">
        <f ca="1">IRR(OFFSET($I$3, 0, 0, $C$76 + 1, 1))</f>
        <v>9.572177520852998E-2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6.5</v>
      </c>
      <c r="D12" s="50"/>
      <c r="E12" s="48"/>
    </row>
    <row r="13" spans="1:10">
      <c r="B13" s="1" t="s">
        <v>485</v>
      </c>
      <c r="C13" s="32" t="str">
        <f>Market_currency</f>
        <v>HKD</v>
      </c>
      <c r="D13" s="48"/>
      <c r="E13" s="5"/>
    </row>
    <row r="14" spans="1:10">
      <c r="B14" s="4" t="s">
        <v>486</v>
      </c>
      <c r="C14" s="35">
        <f>投资主题!C12*Common_Shares/1000000</f>
        <v>6901.3360000000002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9.572177520852998E-2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1000</v>
      </c>
    </row>
    <row r="40" spans="1:6">
      <c r="B40" s="368" t="s">
        <v>494</v>
      </c>
      <c r="C40" s="368"/>
      <c r="D40" s="368"/>
      <c r="E40" s="368"/>
      <c r="F40" s="368"/>
    </row>
    <row r="41" spans="1:6">
      <c r="B41" s="47" t="s">
        <v>228</v>
      </c>
      <c r="C41" s="349">
        <f>Normalized_FCF!C8</f>
        <v>536120.13620533235</v>
      </c>
      <c r="D41" s="1" t="str">
        <f>Reporting_currency</f>
        <v>HKD</v>
      </c>
    </row>
    <row r="42" spans="1:6">
      <c r="B42" s="47"/>
      <c r="C42" s="76"/>
    </row>
    <row r="43" spans="1:6" ht="24.6" customHeight="1">
      <c r="B43" s="368" t="s">
        <v>495</v>
      </c>
      <c r="C43" s="368"/>
      <c r="D43" s="368"/>
      <c r="E43" s="368"/>
      <c r="F43" s="368"/>
    </row>
    <row r="44" spans="1:6">
      <c r="B44" s="47" t="s">
        <v>230</v>
      </c>
      <c r="C44" s="349">
        <f>Normalized_FCF!C9</f>
        <v>0</v>
      </c>
      <c r="D44" s="1" t="str">
        <f>Reporting_currency</f>
        <v>HKD</v>
      </c>
    </row>
    <row r="45" spans="1:6">
      <c r="B45" s="52" t="s">
        <v>231</v>
      </c>
      <c r="C45" s="349">
        <f>Normalized_FCF!C10</f>
        <v>0</v>
      </c>
      <c r="D45" s="1" t="str">
        <f>Reporting_currency</f>
        <v>HKD</v>
      </c>
    </row>
    <row r="47" spans="1:6">
      <c r="B47" s="368" t="s">
        <v>496</v>
      </c>
      <c r="C47" s="368"/>
      <c r="D47" s="368"/>
      <c r="E47" s="368"/>
      <c r="F47" s="368"/>
    </row>
    <row r="48" spans="1:6">
      <c r="B48" s="47" t="s">
        <v>233</v>
      </c>
      <c r="C48" s="349">
        <f>Normalized_FCF!C11</f>
        <v>0</v>
      </c>
      <c r="D48" s="1" t="str">
        <f>Reporting_currency</f>
        <v>HKD</v>
      </c>
    </row>
    <row r="50" spans="2:6">
      <c r="B50" s="368" t="s">
        <v>497</v>
      </c>
      <c r="C50" s="368"/>
      <c r="D50" s="368"/>
      <c r="E50" s="368"/>
      <c r="F50" s="368"/>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68" t="s">
        <v>237</v>
      </c>
      <c r="C58" s="368"/>
      <c r="D58" s="368"/>
      <c r="E58" s="368"/>
      <c r="F58" s="368"/>
    </row>
    <row r="59" spans="2:6">
      <c r="B59" s="47" t="s">
        <v>235</v>
      </c>
      <c r="C59" s="349">
        <f>Normalized_FCF!C14</f>
        <v>-133572.49101863219</v>
      </c>
      <c r="D59" s="1" t="str">
        <f>Reporting_currency</f>
        <v>HKD</v>
      </c>
    </row>
    <row r="61" spans="2:6">
      <c r="B61" s="368" t="s">
        <v>499</v>
      </c>
      <c r="C61" s="371"/>
      <c r="D61" s="371"/>
      <c r="E61" s="371"/>
      <c r="F61" s="371"/>
    </row>
    <row r="62" spans="2:6">
      <c r="B62" s="47" t="s">
        <v>238</v>
      </c>
      <c r="C62" s="349">
        <f>Normalized_FCF!C17</f>
        <v>0</v>
      </c>
      <c r="D62" s="1" t="str">
        <f>Reporting_currency</f>
        <v>HKD</v>
      </c>
    </row>
    <row r="64" spans="2:6">
      <c r="B64" s="367" t="s">
        <v>500</v>
      </c>
      <c r="C64" s="367"/>
      <c r="D64" s="367"/>
      <c r="E64" s="367"/>
      <c r="F64" s="367"/>
    </row>
    <row r="65" spans="1:6">
      <c r="B65" s="367" t="s">
        <v>501</v>
      </c>
      <c r="C65" s="367"/>
      <c r="D65" s="367"/>
      <c r="E65" s="367"/>
      <c r="F65" s="367"/>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5.683109759145924E-2</v>
      </c>
      <c r="F69" s="314"/>
    </row>
    <row r="70" spans="1:6">
      <c r="B70" s="227" t="s">
        <v>434</v>
      </c>
      <c r="C70" s="92">
        <f>Normalized_FCF!C94</f>
        <v>5.5384615384615379E-2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67" t="s">
        <v>516</v>
      </c>
      <c r="C116" s="367"/>
      <c r="D116" s="367"/>
      <c r="E116" s="367"/>
      <c r="F116" s="367"/>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B4D25-B9F8-4B13-9963-A000A2E02EB6}">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