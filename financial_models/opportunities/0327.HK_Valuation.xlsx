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C4FF3FA-F54E-44A7-B248-7DF18E5EFC6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C33" i="2"/>
  <c r="G4" i="3"/>
  <c r="C4" i="3"/>
  <c r="C19" i="3"/>
  <c r="E25" i="4"/>
  <c r="D25" i="4"/>
  <c r="C25" i="4"/>
  <c r="Q117" i="2"/>
  <c r="Q118"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K43" i="2" l="1"/>
  <c r="K118" i="2"/>
  <c r="I80" i="2"/>
  <c r="I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0" i="2" l="1"/>
  <c r="O116" i="2" s="1"/>
  <c r="P120" i="2"/>
  <c r="P116" i="2" s="1"/>
  <c r="O81" i="2"/>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C172" i="6"/>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M76" i="2"/>
  <c r="L13" i="2"/>
  <c r="K13" i="2"/>
  <c r="N13" i="2"/>
  <c r="M13" i="2"/>
  <c r="I13" i="2"/>
  <c r="K76" i="2"/>
  <c r="K16" i="2" l="1"/>
  <c r="K19" i="2" s="1"/>
  <c r="K114" i="2" s="1"/>
  <c r="K120" i="2"/>
  <c r="K116" i="2" s="1"/>
  <c r="M120" i="2"/>
  <c r="M116" i="2" s="1"/>
  <c r="N97" i="2"/>
  <c r="N120" i="2"/>
  <c r="N116" i="2" s="1"/>
  <c r="L120" i="2"/>
  <c r="L116" i="2" s="1"/>
  <c r="I120" i="2"/>
  <c r="I116" i="2" s="1"/>
  <c r="J120" i="2"/>
  <c r="J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124" i="2"/>
  <c r="K125" i="2" s="1"/>
  <c r="K84"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<sst xmlns="http://schemas.openxmlformats.org/spreadsheetml/2006/main" count="684" uniqueCount="463">
  <si>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</si>
  <si>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</si>
  <si>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</si>
  <si>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</si>
  <si>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</si>
  <si>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</si>
  <si>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</si>
  <si>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</si>
  <si>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</si>
  <si>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</si>
  <si>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</si>
  <si>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</si>
  <si>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</si>
  <si>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</si>
  <si>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</si>
  <si>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</si>
  <si>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</si>
  <si>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</si>
  <si>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</si>
  <si>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</si>
  <si>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</si>
  <si>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</si>
  <si>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</si>
  <si>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</si>
  <si>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</si>
  <si>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</si>
  <si>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</si>
  <si>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</si>
  <si>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</si>
  <si>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</si>
  <si>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</si>
  <si>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</si>
  <si>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</si>
  <si>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</si>
  <si>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</si>
  <si>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</si>
  <si>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</si>
  <si>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</si>
  <si>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</si>
  <si>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</si>
  <si>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</si>
  <si>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</si>
  <si>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</si>
  <si>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</si>
  <si>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</si>
  <si>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</si>
  <si>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</si>
  <si>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</si>
  <si>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</si>
  <si>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</si>
  <si>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</si>
  <si>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</si>
  <si>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</si>
  <si>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</si>
  <si>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</si>
  <si>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</si>
  <si>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</si>
  <si>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</si>
  <si>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</si>
  <si>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</si>
  <si>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</si>
  <si>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</si>
  <si>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</si>
  <si>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</si>
  <si>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</si>
  <si>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</si>
  <si>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</si>
  <si>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</si>
  <si>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</si>
  <si>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</si>
  <si>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</si>
  <si>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</si>
  <si>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</si>
  <si>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</si>
  <si>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</si>
  <si>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</si>
  <si>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</si>
  <si>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</si>
  <si>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</si>
  <si>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</si>
  <si>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</si>
  <si>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</si>
  <si>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</si>
  <si>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</si>
  <si>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</si>
  <si>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</si>
  <si>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</si>
  <si>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</si>
  <si>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</si>
  <si>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</si>
  <si>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</si>
  <si>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</si>
  <si>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</si>
  <si>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</si>
  <si>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</si>
  <si>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</si>
  <si>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</si>
  <si>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</si>
  <si>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</si>
  <si>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</si>
  <si>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</si>
  <si>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</si>
  <si>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</si>
  <si>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</si>
  <si>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</si>
  <si>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</si>
  <si>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</si>
  <si>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</si>
  <si>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</si>
  <si>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</si>
  <si>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</si>
  <si>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</si>
  <si>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</si>
  <si>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</si>
  <si>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</si>
  <si>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</si>
  <si>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</si>
  <si>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</si>
  <si>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</si>
  <si>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</si>
  <si>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</si>
  <si>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</si>
  <si>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</si>
  <si>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</si>
  <si>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</si>
  <si>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</si>
  <si>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</si>
  <si>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</si>
  <si>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</si>
  <si>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</si>
  <si>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</si>
  <si>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</si>
  <si>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</si>
  <si>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</si>
  <si>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</si>
  <si>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</si>
  <si>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</si>
  <si>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</si>
  <si>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</si>
  <si>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</si>
  <si>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</si>
  <si>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</si>
  <si>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</si>
  <si>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</si>
  <si>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</si>
  <si>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</si>
  <si>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</si>
  <si>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</si>
  <si>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</si>
  <si>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</si>
  <si>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</si>
  <si>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</si>
  <si>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</si>
  <si>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</si>
  <si>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</si>
  <si>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</si>
  <si>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</si>
  <si>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</si>
  <si>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</si>
  <si>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</si>
  <si>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</si>
  <si>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</si>
  <si>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</si>
  <si>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</si>
  <si>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</si>
  <si>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</si>
  <si>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</si>
  <si>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</si>
  <si>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</si>
  <si>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</si>
  <si>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</si>
  <si>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</si>
  <si>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</si>
  <si>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</si>
  <si>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</si>
  <si>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</si>
  <si>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</si>
  <si>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</si>
  <si>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</si>
  <si>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</si>
  <si>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</si>
  <si>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</si>
  <si>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</si>
  <si>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</si>
  <si>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</si>
  <si>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</si>
  <si>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</si>
  <si>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</si>
  <si>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</si>
  <si>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</si>
  <si>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</si>
  <si>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</si>
  <si>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</si>
  <si>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</si>
  <si>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</si>
  <si>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</si>
  <si>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</si>
  <si>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</si>
  <si>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</si>
  <si>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</si>
  <si>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</si>
  <si>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</si>
  <si>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</si>
  <si>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</si>
  <si>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</si>
  <si>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</si>
  <si>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</si>
  <si>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</si>
  <si>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</si>
  <si>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</si>
  <si>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</si>
  <si>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</si>
  <si>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</si>
  <si>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</si>
  <si>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</si>
  <si>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</si>
  <si>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</si>
  <si>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</si>
  <si>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</si>
  <si>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</si>
  <si>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</si>
  <si>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</si>
  <si>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</si>
  <si>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</si>
  <si>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</si>
  <si>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</si>
  <si>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</si>
  <si>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</si>
  <si>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</si>
  <si>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</si>
  <si>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</si>
  <si>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</si>
  <si>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</si>
  <si>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</si>
  <si>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</si>
  <si>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</si>
  <si>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</si>
  <si>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</si>
  <si>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</si>
  <si>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</si>
  <si>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</si>
  <si>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</si>
  <si>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</si>
  <si>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</si>
  <si>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</si>
  <si>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</si>
  <si>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</si>
  <si>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</si>
  <si>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</si>
  <si>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</si>
  <si>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</si>
  <si>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</si>
  <si>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</si>
  <si>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</si>
  <si>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</si>
  <si>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</si>
  <si>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</si>
  <si>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</si>
  <si>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</si>
  <si>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</si>
  <si>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</si>
  <si>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</si>
  <si>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</si>
  <si>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</si>
  <si>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</si>
  <si>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</si>
  <si>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</si>
  <si>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</si>
  <si>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</si>
  <si>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</si>
  <si>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</si>
  <si>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</si>
  <si>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</si>
  <si>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</si>
  <si>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</si>
  <si>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</si>
  <si>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</si>
  <si>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</si>
  <si>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</si>
  <si>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</si>
  <si>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</si>
  <si>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</si>
  <si>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</si>
  <si>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</si>
  <si>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</si>
  <si>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</si>
  <si>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</si>
  <si>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</si>
  <si>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</si>
  <si>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</si>
  <si>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</si>
  <si>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</si>
  <si>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</si>
  <si>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</si>
  <si>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</si>
  <si>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</si>
  <si>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</si>
  <si>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</si>
  <si>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</si>
  <si>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</si>
  <si>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</si>
  <si>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</si>
  <si>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</si>
  <si>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</si>
  <si>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</si>
  <si>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</si>
  <si>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</si>
  <si>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</si>
  <si>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</si>
  <si>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</si>
  <si>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</si>
  <si>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</si>
  <si>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</si>
  <si>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</si>
  <si>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</si>
  <si>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</si>
  <si>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</si>
  <si>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</si>
  <si>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</si>
  <si>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</si>
  <si>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</si>
  <si>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</si>
  <si>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</si>
  <si>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</si>
  <si>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</si>
  <si>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</si>
  <si>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</si>
  <si>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</si>
  <si>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</si>
  <si>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</si>
  <si>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</si>
  <si>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</si>
  <si>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</si>
  <si>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</si>
  <si>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</si>
  <si>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</si>
  <si>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</si>
  <si>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</si>
  <si>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</si>
  <si>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</si>
  <si>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</si>
  <si>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</si>
  <si>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</si>
  <si>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</si>
  <si>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</si>
  <si>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</si>
  <si>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</si>
  <si>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</si>
  <si>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</si>
  <si>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</si>
  <si>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</si>
  <si>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</si>
  <si>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</si>
  <si>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</si>
  <si>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</si>
  <si>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</si>
  <si>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</si>
  <si>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</si>
  <si>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</si>
  <si>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</si>
  <si>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</si>
  <si>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</si>
  <si>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</si>
  <si>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</si>
  <si>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</si>
  <si>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</si>
  <si>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</si>
  <si>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</si>
  <si>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</si>
  <si>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</si>
  <si>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</si>
  <si>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</si>
  <si>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</si>
  <si>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</si>
  <si>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</si>
  <si>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</si>
  <si>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</si>
  <si>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</si>
  <si>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</si>
  <si>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</si>
  <si>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</si>
  <si>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</si>
  <si>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</si>
  <si>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</si>
  <si>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</si>
  <si>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</si>
  <si>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</si>
  <si>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</si>
  <si>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</si>
  <si>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</si>
  <si>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</si>
  <si>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</si>
  <si>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</si>
  <si>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</si>
  <si>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</si>
  <si>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</si>
  <si>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</si>
  <si>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</si>
  <si>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</si>
  <si>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</si>
  <si>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</si>
  <si>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</si>
  <si>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</si>
  <si>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</si>
  <si>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</si>
  <si>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</si>
  <si>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</si>
  <si>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</si>
  <si>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</si>
  <si>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</si>
  <si>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</si>
  <si>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</si>
  <si>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</si>
  <si>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</si>
  <si>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</si>
  <si>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</si>
  <si>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</si>
  <si>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</si>
  <si>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</si>
  <si>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</si>
  <si>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</si>
  <si>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</si>
  <si>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</si>
  <si>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</si>
  <si>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</si>
  <si>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</si>
  <si>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</si>
  <si>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</si>
  <si>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</si>
  <si>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</si>
  <si>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</si>
  <si>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</si>
  <si>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</si>
  <si>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</si>
  <si>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</si>
  <si>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</si>
  <si>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</si>
  <si>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</si>
  <si>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</si>
  <si>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</si>
  <si>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</si>
  <si>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</si>
  <si>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</si>
  <si>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</si>
  <si>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</si>
  <si>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</si>
  <si>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</si>
  <si>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</si>
  <si>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</si>
  <si>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</si>
  <si>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</si>
  <si>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</si>
  <si>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</si>
  <si>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</si>
  <si>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</si>
  <si>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</si>
  <si>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</si>
  <si>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</si>
  <si>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0327.HK</t>
  </si>
  <si>
    <t>DCF</t>
  </si>
  <si>
    <t>IND_02</t>
  </si>
  <si>
    <t>Latest Asset Value</t>
  </si>
  <si>
    <t>百富环球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</si>
</sst>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25" sqref="C25"/>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45805</v>
      </c>
      <c r="D1" s="316" t="s">
        <v>452</v>
      </c>
      <c r="E1" s="292" t="s">
        <v>355</v>
      </c>
      <c r="F1" s="254" t="s">
        <v>284</v>
      </c>
    </row>
    <row r="2" spans="1:10" ht="13.9">
      <c r="A2" s="222" t="s">
        <v>267</v>
      </c>
      <c r="B2" s="36"/>
      <c r="C2" s="36"/>
      <c r="D2" s="36"/>
      <c r="E2" s="36"/>
      <c r="F2" s="36"/>
      <c r="G2" s="22"/>
      <c r="H2" s="22"/>
      <c r="I2" s="22"/>
      <c r="J2" s="22"/>
    </row>
    <row r="4" spans="1:10">
      <c r="B4" s="45" t="s">
        <v>417</v>
      </c>
      <c r="C4" s="46"/>
      <c r="D4" s="5"/>
      <c r="E4" s="2"/>
      <c r="F4" s="2"/>
    </row>
    <row r="5" spans="1:10" ht="12.4">
      <c r="B5" s="4" t="s">
        <v>316</v>
      </c>
      <c r="C5" s="294" t="s">
        <v>462</v>
      </c>
    </row>
    <row r="6" spans="1:10">
      <c r="B6" s="4" t="s">
        <v>0</v>
      </c>
      <c r="C6" s="51">
        <v>1061744000</v>
      </c>
      <c r="E6" s="48"/>
    </row>
    <row r="7" spans="1:10">
      <c r="B7" s="2" t="s">
        <v>308</v>
      </c>
      <c r="C7" s="250">
        <v>6</v>
      </c>
      <c r="D7" s="48"/>
      <c r="E7" s="48"/>
    </row>
    <row r="8" spans="1:10">
      <c r="B8" s="1" t="s">
        <v>268</v>
      </c>
      <c r="C8" s="33">
        <f>EOMONTH(EDATE(BS!C1,C7+2),0)</f>
        <v>45900</v>
      </c>
      <c r="E8" s="48"/>
    </row>
    <row r="9" spans="1:10">
      <c r="E9" s="34"/>
    </row>
    <row r="10" spans="1:10">
      <c r="B10" s="45" t="s">
        <v>420</v>
      </c>
      <c r="C10" s="46"/>
      <c r="E10" s="34"/>
    </row>
    <row r="11" spans="1:10">
      <c r="B11" s="1" t="s">
        <v>419</v>
      </c>
      <c r="C11" s="49" t="s">
        <v>458</v>
      </c>
      <c r="D11" s="49"/>
      <c r="E11" s="34"/>
    </row>
    <row r="12" spans="1:10">
      <c r="B12" s="4" t="s">
        <v>94</v>
      </c>
      <c r="C12" s="50">
        <v>5.36</v>
      </c>
      <c r="D12" s="50"/>
      <c r="E12" s="48"/>
    </row>
    <row r="13" spans="1:10">
      <c r="B13" s="1" t="s">
        <v>418</v>
      </c>
      <c r="C13" s="48" t="s">
        <v>399</v>
      </c>
      <c r="D13" s="48"/>
      <c r="E13" s="5"/>
    </row>
    <row r="14" spans="1:10">
      <c r="B14" s="4" t="s">
        <v>422</v>
      </c>
      <c r="C14" s="35">
        <f>Thesis!C12*Common_Shares/1000000</f>
        <v>5690.9478399999998</v>
      </c>
      <c r="D14" s="35" t="str">
        <f>IF(D11="","",Thesis!D12*Common_Shares/1000000)</f>
        <v/>
      </c>
      <c r="E14" s="5"/>
    </row>
    <row r="15" spans="1:10">
      <c r="B15" s="4" t="s">
        <v>421</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362</v>
      </c>
      <c r="C18" s="358"/>
      <c r="D18" s="358"/>
      <c r="E18" s="358"/>
      <c r="F18" s="358"/>
    </row>
    <row r="20" spans="2:6">
      <c r="B20" s="45" t="s">
        <v>307</v>
      </c>
      <c r="C20" s="46"/>
      <c r="D20" s="5"/>
    </row>
    <row r="21" spans="2:6">
      <c r="B21" s="2" t="s">
        <v>350</v>
      </c>
      <c r="C21" s="32" t="str">
        <f>IF(Scenarios!C69="Y",Scenarios!B69,"")&amp;IF(Scenarios!C70="Y",Scenarios!B70,"")&amp;IF(Scenarios!C71="Y",Scenarios!B71,"")&amp;" "&amp;IF(Scenarios!C72="Y",Scenarios!B72,"")</f>
        <v xml:space="preserve">Low Growth </v>
      </c>
      <c r="D21" s="1" t="s">
        <v>441</v>
      </c>
      <c r="E21" s="308" t="s">
        <v>459</v>
      </c>
    </row>
    <row r="22" spans="2:6">
      <c r="B22" s="2" t="s">
        <v>56</v>
      </c>
      <c r="C22" s="48" t="s">
        <v>460</v>
      </c>
      <c r="D22" s="1" t="str">
        <f>IF(valuation_method="DDM","DDM Terminal Value","")</f>
        <v/>
      </c>
      <c r="E22" s="313"/>
    </row>
    <row r="23" spans="2:6">
      <c r="B23" s="1" t="s">
        <v>436</v>
      </c>
      <c r="C23" s="262" t="s">
        <v>322</v>
      </c>
    </row>
    <row r="24" spans="2:6">
      <c r="B24" s="1" t="s">
        <v>437</v>
      </c>
      <c r="C24" s="262" t="s">
        <v>322</v>
      </c>
    </row>
    <row r="25" spans="2:6">
      <c r="B25" s="4" t="s">
        <v>349</v>
      </c>
      <c r="C25" s="48" t="s">
        <v>399</v>
      </c>
      <c r="D25" s="32" t="str">
        <f>IF(D11="","",Market_currency&amp;"/"&amp;D13&amp;":")</f>
        <v/>
      </c>
      <c r="E25" s="299" t="str">
        <f>IF(D11="","",1/Exchange_Rate*D16)</f>
        <v/>
      </c>
    </row>
    <row r="26" spans="2:6">
      <c r="B26" s="1" t="str">
        <f>"Expected Equity Value ("&amp;C13&amp;") :"</f>
        <v>Expected Equity Value (HKD) :</v>
      </c>
      <c r="C26" s="304">
        <f>C132</f>
        <v>7.3642693066239637</v>
      </c>
      <c r="D26" s="1" t="s">
        <v>402</v>
      </c>
      <c r="E26" s="301">
        <f ca="1">Scenarios!C87</f>
        <v>0.17257120575125606</v>
      </c>
    </row>
    <row r="27" spans="2:6">
      <c r="D27" s="5"/>
      <c r="E27" s="5"/>
    </row>
    <row r="28" spans="2:6">
      <c r="B28" s="45" t="s">
        <v>435</v>
      </c>
      <c r="C28" s="309" t="str">
        <f>C145&amp;" ("&amp;Market_currency&amp;")"</f>
        <v>0327.HK (HKD)</v>
      </c>
      <c r="D28" s="309" t="str">
        <f>IF(D11="","",D145&amp;" ("&amp;D13&amp;")")</f>
        <v/>
      </c>
      <c r="E28" s="305" t="s">
        <v>431</v>
      </c>
      <c r="F28" s="303">
        <v>3</v>
      </c>
    </row>
    <row r="29" spans="2:6">
      <c r="B29" s="1" t="s">
        <v>427</v>
      </c>
      <c r="C29" s="310">
        <f>C149</f>
        <v>3.4769479145113666</v>
      </c>
      <c r="D29" s="310" t="str">
        <f>D149</f>
        <v/>
      </c>
      <c r="E29" s="306" t="s">
        <v>426</v>
      </c>
      <c r="F29" s="302">
        <v>0.3674</v>
      </c>
    </row>
    <row r="30" spans="2:6">
      <c r="B30" s="1" t="s">
        <v>428</v>
      </c>
      <c r="C30" s="311">
        <f>C157</f>
        <v>4.8197379854720408</v>
      </c>
      <c r="D30" s="311" t="str">
        <f>D157</f>
        <v/>
      </c>
      <c r="E30" s="307" t="s">
        <v>439</v>
      </c>
      <c r="F30" s="312">
        <v>0.21740000000000001</v>
      </c>
    </row>
    <row r="31" spans="2:6">
      <c r="B31" s="1" t="s">
        <v>429</v>
      </c>
      <c r="C31" s="311">
        <f>C165</f>
        <v>6.8641356814360206</v>
      </c>
      <c r="D31" s="311" t="str">
        <f>D165</f>
        <v/>
      </c>
      <c r="E31" s="307" t="s">
        <v>438</v>
      </c>
      <c r="F31" s="312">
        <v>7.4999999999999997E-2</v>
      </c>
    </row>
    <row r="32" spans="2:6">
      <c r="B32" s="1" t="s">
        <v>430</v>
      </c>
      <c r="C32" s="311">
        <f>C173</f>
        <v>6.1469536878205542</v>
      </c>
      <c r="D32" s="311" t="str">
        <f>D173</f>
        <v/>
      </c>
      <c r="E32" s="307" t="s">
        <v>440</v>
      </c>
      <c r="F32" s="312">
        <v>0.1174</v>
      </c>
    </row>
    <row r="33" spans="1:6">
      <c r="D33" s="5"/>
      <c r="E33" s="5"/>
    </row>
    <row r="34" spans="1:6" ht="13.9">
      <c r="A34" s="222" t="s">
        <v>357</v>
      </c>
      <c r="B34" s="36"/>
      <c r="C34" s="36"/>
      <c r="D34" s="36"/>
      <c r="E34" s="36"/>
      <c r="F34" s="36"/>
    </row>
    <row r="36" spans="1:6" ht="24.6" customHeight="1">
      <c r="B36" s="358" t="s">
        <v>363</v>
      </c>
      <c r="C36" s="358"/>
      <c r="D36" s="358"/>
      <c r="E36" s="358"/>
      <c r="F36" s="358"/>
    </row>
    <row r="37" spans="1:6" ht="24.6" customHeight="1">
      <c r="B37" s="361" t="s">
        <v>341</v>
      </c>
      <c r="C37" s="361"/>
      <c r="D37" s="361"/>
      <c r="E37" s="361"/>
      <c r="F37" s="361"/>
    </row>
    <row r="39" spans="1:6">
      <c r="B39" s="210" t="s">
        <v>230</v>
      </c>
      <c r="C39" s="108">
        <f>scaling_factor</f>
        <v>1000</v>
      </c>
    </row>
    <row r="40" spans="1:6" ht="24.6" customHeight="1">
      <c r="B40" s="359" t="s">
        <v>231</v>
      </c>
      <c r="C40" s="359"/>
      <c r="D40" s="359"/>
      <c r="E40" s="359"/>
      <c r="F40" s="359"/>
    </row>
    <row r="41" spans="1:6">
      <c r="B41" s="47" t="s">
        <v>232</v>
      </c>
      <c r="C41" s="349">
        <f>Normalized_FCF!C8</f>
        <v>536120.13620533235</v>
      </c>
      <c r="D41" s="1" t="str">
        <f>Reporting_currency</f>
        <v>HKD</v>
      </c>
    </row>
    <row r="42" spans="1:6">
      <c r="B42" s="47"/>
      <c r="C42" s="76"/>
    </row>
    <row r="43" spans="1:6" ht="24.6" customHeight="1">
      <c r="B43" s="359" t="s">
        <v>233</v>
      </c>
      <c r="C43" s="359"/>
      <c r="D43" s="359"/>
      <c r="E43" s="359"/>
      <c r="F43" s="359"/>
    </row>
    <row r="44" spans="1:6">
      <c r="B44" s="47" t="s">
        <v>234</v>
      </c>
      <c r="C44" s="349">
        <f>Normalized_FCF!C9</f>
        <v>0</v>
      </c>
      <c r="D44" s="1" t="str">
        <f>Reporting_currency</f>
        <v>HKD</v>
      </c>
    </row>
    <row r="45" spans="1:6">
      <c r="B45" s="52" t="s">
        <v>235</v>
      </c>
      <c r="C45" s="349">
        <f>Normalized_FCF!C10</f>
        <v>0</v>
      </c>
      <c r="D45" s="1" t="str">
        <f>Reporting_currency</f>
        <v>HKD</v>
      </c>
    </row>
    <row r="47" spans="1:6">
      <c r="B47" s="359" t="s">
        <v>236</v>
      </c>
      <c r="C47" s="359"/>
      <c r="D47" s="359"/>
      <c r="E47" s="359"/>
      <c r="F47" s="359"/>
    </row>
    <row r="48" spans="1:6">
      <c r="B48" s="47" t="s">
        <v>237</v>
      </c>
      <c r="C48" s="349">
        <f>Normalized_FCF!C11</f>
        <v>0</v>
      </c>
      <c r="D48" s="1" t="str">
        <f>Reporting_currency</f>
        <v>HKD</v>
      </c>
    </row>
    <row r="50" spans="2:6">
      <c r="B50" s="359" t="s">
        <v>240</v>
      </c>
      <c r="C50" s="359"/>
      <c r="D50" s="359"/>
      <c r="E50" s="359"/>
      <c r="F50" s="359"/>
    </row>
    <row r="51" spans="2:6">
      <c r="B51" s="47" t="s">
        <v>342</v>
      </c>
      <c r="C51" s="350">
        <f>Normalized_FCF!C48</f>
        <v>3725.8278691964447</v>
      </c>
      <c r="D51" s="1" t="str">
        <f>Reporting_currency</f>
        <v>HKD</v>
      </c>
      <c r="E51" s="286"/>
      <c r="F51" s="286"/>
    </row>
    <row r="52" spans="2:6">
      <c r="B52" s="47" t="s">
        <v>343</v>
      </c>
      <c r="C52" s="350">
        <f>Normalized_FCF!C47</f>
        <v>-5556</v>
      </c>
      <c r="D52" s="1" t="str">
        <f>Reporting_currency</f>
        <v>HKD</v>
      </c>
      <c r="E52" s="286"/>
      <c r="F52" s="286"/>
    </row>
    <row r="53" spans="2:6">
      <c r="B53" s="47" t="s">
        <v>238</v>
      </c>
      <c r="C53" s="349">
        <f>Normalized_FCF!C12</f>
        <v>-1830.1721308035553</v>
      </c>
      <c r="D53" s="1" t="str">
        <f>Reporting_currency</f>
        <v>HKD</v>
      </c>
    </row>
    <row r="55" spans="2:6">
      <c r="B55" s="1" t="s">
        <v>246</v>
      </c>
    </row>
    <row r="56" spans="2:6">
      <c r="B56" s="47" t="s">
        <v>265</v>
      </c>
      <c r="C56" s="349">
        <f>Normalized_FCF!C15</f>
        <v>-8506.973328445607</v>
      </c>
      <c r="D56" s="1" t="str">
        <f>Reporting_currency</f>
        <v>HKD</v>
      </c>
    </row>
    <row r="58" spans="2:6">
      <c r="B58" s="359" t="s">
        <v>241</v>
      </c>
      <c r="C58" s="359"/>
      <c r="D58" s="359"/>
      <c r="E58" s="359"/>
      <c r="F58" s="359"/>
    </row>
    <row r="59" spans="2:6">
      <c r="B59" s="47" t="s">
        <v>239</v>
      </c>
      <c r="C59" s="349">
        <f>Normalized_FCF!C14</f>
        <v>-133572.49101863219</v>
      </c>
      <c r="D59" s="1" t="str">
        <f>Reporting_currency</f>
        <v>HKD</v>
      </c>
    </row>
    <row r="61" spans="2:6">
      <c r="B61" s="359" t="s">
        <v>340</v>
      </c>
      <c r="C61" s="360"/>
      <c r="D61" s="360"/>
      <c r="E61" s="360"/>
      <c r="F61" s="360"/>
    </row>
    <row r="62" spans="2:6">
      <c r="B62" s="47" t="s">
        <v>242</v>
      </c>
      <c r="C62" s="349">
        <f>Normalized_FCF!C17</f>
        <v>0</v>
      </c>
      <c r="D62" s="1" t="str">
        <f>Reporting_currency</f>
        <v>HKD</v>
      </c>
    </row>
    <row r="64" spans="2:6" ht="24.6" customHeight="1">
      <c r="B64" s="358" t="s">
        <v>345</v>
      </c>
      <c r="C64" s="358"/>
      <c r="D64" s="358"/>
      <c r="E64" s="358"/>
      <c r="F64" s="358"/>
    </row>
    <row r="65" spans="1:6" ht="24.6" customHeight="1">
      <c r="B65" s="358" t="s">
        <v>364</v>
      </c>
      <c r="C65" s="358"/>
      <c r="D65" s="358"/>
      <c r="E65" s="358"/>
      <c r="F65" s="358"/>
    </row>
    <row r="67" spans="1:6">
      <c r="B67" s="47" t="s">
        <v>270</v>
      </c>
      <c r="C67" s="349">
        <f>Normalized_FCF!G19</f>
        <v>626115.72996402986</v>
      </c>
      <c r="D67" s="1" t="str">
        <f>Reporting_currency</f>
        <v>HKD</v>
      </c>
    </row>
    <row r="68" spans="1:6">
      <c r="B68" s="47" t="s">
        <v>248</v>
      </c>
      <c r="C68" s="349">
        <f>Normalized_FCF!C19</f>
        <v>392210.49972745095</v>
      </c>
      <c r="D68" s="1" t="str">
        <f>Reporting_currency</f>
        <v>HKD</v>
      </c>
    </row>
    <row r="69" spans="1:6">
      <c r="B69" s="227" t="s">
        <v>393</v>
      </c>
      <c r="C69" s="92">
        <f>Normalized_FCF!C125</f>
        <v>6.8918308646359158E-2</v>
      </c>
      <c r="F69" s="314"/>
    </row>
    <row r="70" spans="1:6">
      <c r="B70" s="227" t="s">
        <v>309</v>
      </c>
      <c r="C70" s="92">
        <f>Normalized_FCF!C93</f>
        <v>6.7164179104477612E-2</v>
      </c>
      <c r="E70" s="47" t="s">
        <v>450</v>
      </c>
      <c r="F70" s="315">
        <f>Normalized_FCF!C92</f>
        <v>0.9745476989157914</v>
      </c>
    </row>
    <row r="72" spans="1:6">
      <c r="B72" s="210" t="s">
        <v>453</v>
      </c>
      <c r="C72" s="323" t="s">
        <v>455</v>
      </c>
      <c r="D72" s="323" t="s">
        <v>456</v>
      </c>
    </row>
    <row r="73" spans="1:6">
      <c r="B73" s="47" t="s">
        <v>454</v>
      </c>
      <c r="C73" s="92">
        <f>Normalized_FCF!C120</f>
        <v>7.0630420943605887E-2</v>
      </c>
      <c r="D73" s="92">
        <f>Normalized_FCF!G120</f>
        <v>0.102310110249777</v>
      </c>
    </row>
    <row r="74" spans="1:6">
      <c r="B74" s="259" t="str">
        <f>Normalized_FCF!B117</f>
        <v>Pre-tax Profit/Sales</v>
      </c>
      <c r="C74" s="322">
        <f>Normalized_FCF!C117</f>
        <v>9.3039179367971361E-2</v>
      </c>
      <c r="D74" s="322">
        <f>Normalized_FCF!G117</f>
        <v>0.12803132337228806</v>
      </c>
    </row>
    <row r="75" spans="1:6">
      <c r="B75" s="259" t="str">
        <f>Normalized_FCF!B118</f>
        <v>Sales/Total Assets</v>
      </c>
      <c r="C75" s="324">
        <f>Normalized_FCF!C118</f>
        <v>0.62627525695225639</v>
      </c>
      <c r="D75" s="324">
        <f>Normalized_FCF!G118</f>
        <v>0.65923711258132256</v>
      </c>
    </row>
    <row r="76" spans="1:6">
      <c r="B76" s="259" t="str">
        <f>Normalized_FCF!B119</f>
        <v>Total Assets/Equity</v>
      </c>
      <c r="C76" s="324">
        <f>Normalized_FCF!C119</f>
        <v>1.2121620122817016</v>
      </c>
      <c r="D76" s="324">
        <f>Normalized_FCF!G119</f>
        <v>1.2121620122817016</v>
      </c>
    </row>
    <row r="78" spans="1:6" ht="13.9">
      <c r="A78" s="222" t="s">
        <v>358</v>
      </c>
      <c r="B78" s="36"/>
      <c r="C78" s="36"/>
      <c r="D78" s="36"/>
      <c r="E78" s="36"/>
      <c r="F78" s="36"/>
    </row>
    <row r="79" spans="1:6">
      <c r="A79" s="209"/>
    </row>
    <row r="80" spans="1:6" ht="24.6" customHeight="1">
      <c r="A80" s="17"/>
      <c r="B80" s="358" t="s">
        <v>365</v>
      </c>
      <c r="C80" s="358"/>
      <c r="D80" s="358"/>
      <c r="E80" s="358"/>
      <c r="F80" s="358"/>
    </row>
    <row r="81" spans="1:6">
      <c r="B81" s="361" t="s">
        <v>252</v>
      </c>
      <c r="C81" s="361"/>
      <c r="D81" s="361"/>
      <c r="E81" s="361"/>
      <c r="F81" s="361"/>
    </row>
    <row r="83" spans="1:6">
      <c r="B83" s="210" t="s">
        <v>230</v>
      </c>
    </row>
    <row r="84" spans="1:6">
      <c r="B84" s="1" t="s">
        <v>433</v>
      </c>
      <c r="C84" s="92">
        <f>F31</f>
        <v>7.4999999999999997E-2</v>
      </c>
    </row>
    <row r="85" spans="1:6">
      <c r="B85" s="1" t="s">
        <v>432</v>
      </c>
      <c r="C85" s="92">
        <f>IF(C23="Y",1%,0)+IF(C24="Y",1%,0)</f>
        <v>0</v>
      </c>
    </row>
    <row r="86" spans="1:6">
      <c r="B86" s="80" t="s">
        <v>247</v>
      </c>
      <c r="C86" s="236">
        <f>F31+C85</f>
        <v>7.4999999999999997E-2</v>
      </c>
    </row>
    <row r="87" spans="1:6">
      <c r="C87" s="121"/>
    </row>
    <row r="88" spans="1:6">
      <c r="B88" s="293" t="s">
        <v>359</v>
      </c>
      <c r="C88" s="121"/>
    </row>
    <row r="89" spans="1:6" ht="24.6" customHeight="1">
      <c r="B89" s="358" t="s">
        <v>366</v>
      </c>
      <c r="C89" s="358"/>
      <c r="D89" s="358"/>
      <c r="E89" s="358"/>
      <c r="F89" s="358"/>
    </row>
    <row r="90" spans="1:6" ht="24.6" customHeight="1">
      <c r="B90" s="358" t="s">
        <v>367</v>
      </c>
      <c r="C90" s="358"/>
      <c r="D90" s="358"/>
      <c r="E90" s="358"/>
      <c r="F90" s="358"/>
    </row>
    <row r="92" spans="1:6">
      <c r="B92" s="47" t="s">
        <v>251</v>
      </c>
      <c r="C92" s="236">
        <v>0</v>
      </c>
    </row>
    <row r="93" spans="1:6">
      <c r="B93" s="47" t="s">
        <v>280</v>
      </c>
      <c r="C93" s="223">
        <f>DCF!C6*scaling_factor*Exchange_Rate/Common_Shares</f>
        <v>4.9253617912598004</v>
      </c>
      <c r="D93" s="1" t="str">
        <f>Market_currency</f>
        <v>HKD</v>
      </c>
    </row>
    <row r="95" spans="1:6" ht="13.9">
      <c r="A95" s="222" t="s">
        <v>360</v>
      </c>
      <c r="B95" s="36"/>
      <c r="C95" s="36"/>
      <c r="D95" s="36"/>
      <c r="E95" s="36"/>
      <c r="F95" s="36"/>
    </row>
    <row r="96" spans="1:6">
      <c r="A96" s="209"/>
    </row>
    <row r="97" spans="2:6">
      <c r="B97" s="358" t="s">
        <v>368</v>
      </c>
      <c r="C97" s="358"/>
      <c r="D97" s="358"/>
      <c r="E97" s="358"/>
      <c r="F97" s="358"/>
    </row>
    <row r="98" spans="2:6">
      <c r="B98" s="1" t="s">
        <v>253</v>
      </c>
    </row>
    <row r="100" spans="2:6">
      <c r="B100" s="210" t="s">
        <v>230</v>
      </c>
    </row>
    <row r="101" spans="2:6" ht="24.6" customHeight="1">
      <c r="B101" s="358" t="s">
        <v>346</v>
      </c>
      <c r="C101" s="358"/>
      <c r="D101" s="358"/>
      <c r="E101" s="358"/>
      <c r="F101" s="358"/>
    </row>
    <row r="102" spans="2:6">
      <c r="B102" s="47" t="s">
        <v>255</v>
      </c>
      <c r="C102" s="349">
        <f>DCF!C7</f>
        <v>87825</v>
      </c>
      <c r="D102" s="1" t="str">
        <f>Reporting_currency</f>
        <v>HKD</v>
      </c>
    </row>
    <row r="103" spans="2:6">
      <c r="B103" s="47" t="s">
        <v>281</v>
      </c>
      <c r="C103" s="223">
        <f>C102*scaling_factor*Exchange_Rate/Common_Shares</f>
        <v>8.2717679591313917E-2</v>
      </c>
      <c r="D103" s="1" t="str">
        <f>Market_currency</f>
        <v>HKD</v>
      </c>
    </row>
    <row r="104" spans="2:6">
      <c r="B104" s="296" t="s">
        <v>407</v>
      </c>
      <c r="C104" s="325">
        <f>IF(BS!G31/BS!G27&gt;300%,"nm",BS!G31/BS!G27)</f>
        <v>1.1610019159010268E-2</v>
      </c>
    </row>
    <row r="105" spans="2:6">
      <c r="B105" s="296" t="s">
        <v>409</v>
      </c>
      <c r="C105" s="326">
        <f>IF(BS!C50&gt;30,"nm",BS!C50)</f>
        <v>0.16381589511191816</v>
      </c>
    </row>
    <row r="107" spans="2:6">
      <c r="B107" s="1" t="s">
        <v>254</v>
      </c>
    </row>
    <row r="108" spans="2:6">
      <c r="B108" s="47" t="s">
        <v>264</v>
      </c>
      <c r="C108" s="349">
        <f>BS!C66</f>
        <v>3270300</v>
      </c>
      <c r="D108" s="1" t="str">
        <f>Reporting_currency</f>
        <v>HKD</v>
      </c>
    </row>
    <row r="109" spans="2:6">
      <c r="B109" s="47" t="s">
        <v>266</v>
      </c>
      <c r="C109" s="349">
        <f>DCF!C8</f>
        <v>2338843.0327008888</v>
      </c>
      <c r="D109" s="1" t="str">
        <f>Reporting_currency</f>
        <v>HKD</v>
      </c>
    </row>
    <row r="110" spans="2:6">
      <c r="B110" s="47" t="s">
        <v>282</v>
      </c>
      <c r="C110" s="223">
        <f>C109*scaling_factor*Exchange_Rate/Common_Shares</f>
        <v>2.2028314101147628</v>
      </c>
      <c r="D110" s="1" t="str">
        <f>Market_currency</f>
        <v>HKD</v>
      </c>
    </row>
    <row r="112" spans="2:6">
      <c r="B112" s="1" t="s">
        <v>256</v>
      </c>
    </row>
    <row r="113" spans="1:6">
      <c r="B113" s="47" t="s">
        <v>257</v>
      </c>
      <c r="C113" s="349">
        <f>DCF!C9</f>
        <v>57429</v>
      </c>
      <c r="D113" s="1" t="str">
        <f>Reporting_currency</f>
        <v>HKD</v>
      </c>
    </row>
    <row r="114" spans="1:6">
      <c r="B114" s="47" t="s">
        <v>283</v>
      </c>
      <c r="C114" s="223">
        <f>C113*scaling_factor*Exchange_Rate/Common_Shares</f>
        <v>5.4089309664099819E-2</v>
      </c>
      <c r="D114" s="1" t="str">
        <f>Market_currency</f>
        <v>HKD</v>
      </c>
    </row>
    <row r="116" spans="1:6" ht="24.6" customHeight="1">
      <c r="B116" s="358" t="s">
        <v>369</v>
      </c>
      <c r="C116" s="358"/>
      <c r="D116" s="358"/>
      <c r="E116" s="358"/>
      <c r="F116" s="358"/>
    </row>
    <row r="118" spans="1:6">
      <c r="B118" s="47" t="s">
        <v>451</v>
      </c>
      <c r="C118" s="223">
        <f>IF(valuation_method="DCF",DCF!C12,DDM!C7)</f>
        <v>7.0995648314473492</v>
      </c>
      <c r="D118" s="1" t="str">
        <f>Market_currency</f>
        <v>HKD</v>
      </c>
    </row>
    <row r="119" spans="1:6">
      <c r="B119" s="296" t="s">
        <v>408</v>
      </c>
      <c r="C119" s="223">
        <f>BS!D47</f>
        <v>3.7980767021052162</v>
      </c>
      <c r="D119" s="1" t="str">
        <f>Market_currency</f>
        <v>HKD</v>
      </c>
    </row>
    <row r="121" spans="1:6" ht="13.9">
      <c r="A121" s="222" t="s">
        <v>361</v>
      </c>
      <c r="B121" s="36"/>
      <c r="C121" s="36"/>
      <c r="D121" s="36"/>
      <c r="E121" s="36"/>
      <c r="F121" s="36"/>
    </row>
    <row r="123" spans="1:6" ht="24.6" customHeight="1">
      <c r="B123" s="359" t="s">
        <v>370</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258</v>
      </c>
      <c r="C132" s="217">
        <f>Scenarios!C60</f>
        <v>7.3642693066239637</v>
      </c>
      <c r="D132" s="212" t="str">
        <f>Market_currency</f>
        <v>HKD</v>
      </c>
    </row>
    <row r="134" spans="1:6" ht="24.6" customHeight="1">
      <c r="B134" s="362" t="s">
        <v>373</v>
      </c>
      <c r="C134" s="362"/>
      <c r="D134" s="362"/>
      <c r="E134" s="362"/>
      <c r="F134" s="362"/>
    </row>
    <row r="136" spans="1:6" ht="13.9">
      <c r="A136" s="222" t="s">
        <v>405</v>
      </c>
      <c r="B136" s="36"/>
      <c r="C136" s="36"/>
      <c r="D136" s="36"/>
      <c r="E136" s="36"/>
      <c r="F136" s="36"/>
    </row>
    <row r="138" spans="1:6">
      <c r="B138" s="363" t="s">
        <v>371</v>
      </c>
      <c r="C138" s="363"/>
      <c r="D138" s="363"/>
      <c r="E138" s="363"/>
      <c r="F138" s="363"/>
    </row>
    <row r="139" spans="1:6" ht="24.6" customHeight="1">
      <c r="B139" s="358" t="s">
        <v>372</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0.36</v>
      </c>
      <c r="D143" s="212" t="str">
        <f>Market_currency</f>
        <v>HKD</v>
      </c>
    </row>
    <row r="145" spans="2:4">
      <c r="B145" s="210" t="s">
        <v>411</v>
      </c>
      <c r="C145" s="241" t="str">
        <f>C11</f>
        <v>0327.HK</v>
      </c>
      <c r="D145" s="241" t="str">
        <f>IF(D11="","",D11)</f>
        <v/>
      </c>
    </row>
    <row r="146" spans="2:4">
      <c r="B146" s="1" t="s">
        <v>410</v>
      </c>
      <c r="C146" s="297">
        <f>F29</f>
        <v>0.3674</v>
      </c>
    </row>
    <row r="147" spans="2:4">
      <c r="B147" s="212" t="str">
        <f>"PV("&amp;C141&amp;" yrs of Dividends)"</f>
        <v>PV(3 yrs of Dividends)</v>
      </c>
      <c r="C147" s="216">
        <f>Scenarios!C81</f>
        <v>0.59661335497134915</v>
      </c>
    </row>
    <row r="148" spans="2:4">
      <c r="B148" s="212" t="str">
        <f>"+ PV(Equity Value realized at year "&amp;C141&amp;")"</f>
        <v>+ PV(Equity Value realized at year 3)</v>
      </c>
      <c r="C148" s="216">
        <f>Scenarios!C82</f>
        <v>2.8803345595400174</v>
      </c>
    </row>
    <row r="149" spans="2:4">
      <c r="B149" s="80" t="s">
        <v>260</v>
      </c>
      <c r="C149" s="215">
        <f>Scenarios!C83</f>
        <v>3.4769479145113666</v>
      </c>
      <c r="D149" s="300" t="str">
        <f>IF($D$11="","",C149*$E$25)</f>
        <v/>
      </c>
    </row>
    <row r="150" spans="2:4">
      <c r="B150" s="259" t="s">
        <v>418</v>
      </c>
      <c r="C150" s="298" t="str">
        <f>Market_currency</f>
        <v>HKD</v>
      </c>
      <c r="D150" s="298" t="str">
        <f>IF($D$11="","",D$13)</f>
        <v/>
      </c>
    </row>
    <row r="151" spans="2:4">
      <c r="B151" s="214" t="s">
        <v>262</v>
      </c>
      <c r="C151" s="92">
        <f>Scenarios!F83</f>
        <v>0.52786247083822091</v>
      </c>
    </row>
    <row r="153" spans="2:4">
      <c r="B153" s="210" t="s">
        <v>414</v>
      </c>
    </row>
    <row r="154" spans="2:4">
      <c r="B154" s="1" t="s">
        <v>413</v>
      </c>
      <c r="C154" s="297">
        <f>Scenarios!C90</f>
        <v>0.21740000000000001</v>
      </c>
    </row>
    <row r="155" spans="2:4">
      <c r="B155" s="212" t="str">
        <f>"PV("&amp;C141&amp;" yrs of Dividends)"</f>
        <v>PV(3 yrs of Dividends)</v>
      </c>
      <c r="C155" s="216">
        <f>Scenarios!C91</f>
        <v>0.73814429659137726</v>
      </c>
    </row>
    <row r="156" spans="2:4">
      <c r="B156" s="212" t="str">
        <f>"+ PV(Equity Value realized at year "&amp;C141&amp;")"</f>
        <v>+ PV(Equity Value realized at year 3)</v>
      </c>
      <c r="C156" s="216">
        <f>Scenarios!C92</f>
        <v>4.0815936888806634</v>
      </c>
    </row>
    <row r="157" spans="2:4">
      <c r="B157" s="80" t="s">
        <v>260</v>
      </c>
      <c r="C157" s="215">
        <f>Scenarios!C93</f>
        <v>4.8197379854720408</v>
      </c>
      <c r="D157" s="300" t="str">
        <f>IF($D$11="","",C157*$E$25)</f>
        <v/>
      </c>
    </row>
    <row r="158" spans="2:4">
      <c r="B158" s="259" t="s">
        <v>418</v>
      </c>
      <c r="C158" s="298" t="str">
        <f>Market_currency</f>
        <v>HKD</v>
      </c>
      <c r="D158" s="298" t="str">
        <f>IF($D$11="","",D$13)</f>
        <v/>
      </c>
    </row>
    <row r="159" spans="2:4">
      <c r="B159" s="214" t="s">
        <v>262</v>
      </c>
      <c r="C159" s="92">
        <f>Scenarios!F93</f>
        <v>0.34552393661964331</v>
      </c>
    </row>
    <row r="161" spans="2:4">
      <c r="B161" s="210" t="s">
        <v>403</v>
      </c>
    </row>
    <row r="162" spans="2:4">
      <c r="B162" s="1" t="s">
        <v>412</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404</v>
      </c>
      <c r="C165" s="215">
        <f>Scenarios!C99</f>
        <v>6.8641356814360206</v>
      </c>
      <c r="D165" s="300" t="str">
        <f>IF($D$11="","",C165*$E$25)</f>
        <v/>
      </c>
    </row>
    <row r="166" spans="2:4">
      <c r="B166" s="259" t="s">
        <v>418</v>
      </c>
      <c r="C166" s="298" t="str">
        <f>Market_currency</f>
        <v>HKD</v>
      </c>
      <c r="D166" s="298" t="str">
        <f>IF($D$11="","",D$13)</f>
        <v/>
      </c>
    </row>
    <row r="167" spans="2:4">
      <c r="B167" s="214" t="s">
        <v>262</v>
      </c>
      <c r="C167" s="92">
        <f>Scenarios!F99</f>
        <v>6.7913543674738563E-2</v>
      </c>
    </row>
    <row r="169" spans="2:4">
      <c r="B169" s="210" t="s">
        <v>434</v>
      </c>
    </row>
    <row r="170" spans="2:4">
      <c r="B170" s="1" t="s">
        <v>425</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404</v>
      </c>
      <c r="C173" s="215">
        <f>Scenarios!C105</f>
        <v>6.1469536878205542</v>
      </c>
      <c r="D173" s="300" t="str">
        <f>IF($D$11="","",C173*$E$25)</f>
        <v/>
      </c>
    </row>
    <row r="174" spans="2:4">
      <c r="B174" s="259" t="s">
        <v>418</v>
      </c>
      <c r="C174" s="298" t="str">
        <f>Market_currency</f>
        <v>HKD</v>
      </c>
      <c r="D174" s="298" t="str">
        <f>IF($D$11="","",D$13)</f>
        <v/>
      </c>
    </row>
    <row r="175" spans="2:4">
      <c r="B175" s="214" t="s">
        <v>262</v>
      </c>
      <c r="C175" s="92">
        <f>Scenarios!F105</f>
        <v>0.16491459548843124</v>
      </c>
    </row>
    <row r="177" spans="1:6" ht="13.9">
      <c r="A177" s="222" t="s">
        <v>377</v>
      </c>
      <c r="B177" s="36"/>
      <c r="C177" s="36"/>
      <c r="D177" s="36"/>
      <c r="E177" s="36"/>
      <c r="F177" s="36"/>
    </row>
    <row r="179" spans="1:6">
      <c r="B179" s="357" t="s">
        <v>379</v>
      </c>
      <c r="C179" s="358"/>
      <c r="D179" s="358"/>
      <c r="E179" s="358"/>
      <c r="F179" s="358"/>
    </row>
    <row r="181" spans="1:6">
      <c r="B181" s="210" t="s">
        <v>378</v>
      </c>
    </row>
    <row r="182" spans="1:6">
      <c r="B182" s="360" t="s">
        <v>383</v>
      </c>
      <c r="C182" s="360"/>
      <c r="D182" s="360"/>
      <c r="E182" s="360"/>
      <c r="F182" s="360"/>
    </row>
    <row r="183" spans="1:6">
      <c r="B183" s="214" t="s">
        <v>380</v>
      </c>
    </row>
    <row r="184" spans="1:6">
      <c r="B184" s="214" t="s">
        <v>381</v>
      </c>
    </row>
    <row r="185" spans="1:6">
      <c r="B185" s="214" t="s">
        <v>382</v>
      </c>
    </row>
    <row r="187" spans="1:6">
      <c r="B187" s="1" t="s">
        <v>387</v>
      </c>
    </row>
    <row r="188" spans="1:6" ht="46.5" customHeight="1">
      <c r="B188" s="359" t="s">
        <v>384</v>
      </c>
      <c r="C188" s="359"/>
      <c r="D188" s="359"/>
      <c r="E188" s="359"/>
      <c r="F188" s="359"/>
    </row>
    <row r="190" spans="1:6">
      <c r="B190" s="1" t="s">
        <v>388</v>
      </c>
    </row>
    <row r="191" spans="1:6" ht="24.6" customHeight="1">
      <c r="B191" s="356" t="s">
        <v>385</v>
      </c>
      <c r="C191" s="356"/>
      <c r="D191" s="356"/>
      <c r="E191" s="356"/>
      <c r="F191" s="356"/>
    </row>
    <row r="192" spans="1:6" ht="24.6" customHeight="1">
      <c r="B192" s="356" t="s">
        <v>386</v>
      </c>
      <c r="C192" s="356"/>
      <c r="D192" s="356"/>
      <c r="E192" s="356"/>
      <c r="F192" s="356"/>
    </row>
    <row r="194" spans="2:2">
      <c r="B194" s="1" t="s">
        <v>392</v>
      </c>
    </row>
    <row r="195" spans="2:2">
      <c r="B195" s="214" t="s">
        <v>389</v>
      </c>
    </row>
    <row r="196" spans="2:2">
      <c r="B196" s="214" t="s">
        <v>390</v>
      </c>
    </row>
    <row r="197" spans="2:2">
      <c r="B197" s="214" t="s">
        <v>391</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B3" sqref="B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43</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54</v>
      </c>
      <c r="C6" s="351">
        <v>2090422</v>
      </c>
      <c r="D6" s="351">
        <v>1845938</v>
      </c>
      <c r="E6" s="351">
        <v>1942627</v>
      </c>
      <c r="F6" s="351">
        <v>1674419</v>
      </c>
      <c r="G6" s="351">
        <v>1280777</v>
      </c>
      <c r="H6" s="351">
        <v>1209123</v>
      </c>
      <c r="I6" s="351">
        <v>1028628</v>
      </c>
      <c r="J6" s="351">
        <v>928153</v>
      </c>
      <c r="K6" s="351">
        <v>644494</v>
      </c>
      <c r="L6" s="351">
        <v>543752</v>
      </c>
      <c r="M6" s="351"/>
    </row>
    <row r="7" spans="2:13">
      <c r="B7" s="69" t="s">
        <v>61</v>
      </c>
      <c r="C7" s="352">
        <v>772428</v>
      </c>
      <c r="D7" s="352">
        <v>674479</v>
      </c>
      <c r="E7" s="352">
        <v>821605</v>
      </c>
      <c r="F7" s="352">
        <v>716234</v>
      </c>
      <c r="G7" s="352">
        <v>499321</v>
      </c>
      <c r="H7" s="352">
        <v>465657</v>
      </c>
      <c r="I7" s="352">
        <v>437809</v>
      </c>
      <c r="J7" s="352">
        <v>426432</v>
      </c>
      <c r="K7" s="352">
        <v>297396</v>
      </c>
      <c r="L7" s="352">
        <v>235715</v>
      </c>
      <c r="M7" s="352"/>
    </row>
    <row r="8" spans="2:13">
      <c r="B8" s="40" t="s">
        <v>49</v>
      </c>
      <c r="C8" s="351"/>
      <c r="D8" s="351"/>
      <c r="E8" s="351"/>
      <c r="F8" s="351"/>
      <c r="G8" s="351"/>
      <c r="H8" s="351"/>
      <c r="I8" s="351"/>
      <c r="J8" s="351"/>
      <c r="K8" s="351"/>
      <c r="L8" s="351"/>
      <c r="M8" s="351"/>
    </row>
    <row r="9" spans="2:13">
      <c r="B9" s="40" t="s">
        <v>159</v>
      </c>
      <c r="C9" s="351">
        <v>10638</v>
      </c>
      <c r="D9" s="351">
        <v>4974</v>
      </c>
      <c r="E9" s="351">
        <v>7415</v>
      </c>
      <c r="F9" s="351">
        <v>3454</v>
      </c>
      <c r="G9" s="351">
        <v>-6046</v>
      </c>
      <c r="H9" s="351">
        <v>-1798</v>
      </c>
      <c r="I9" s="351">
        <v>-1759</v>
      </c>
      <c r="J9" s="351">
        <v>318</v>
      </c>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5556</v>
      </c>
      <c r="D12" s="351">
        <v>5376</v>
      </c>
      <c r="E12" s="351">
        <v>5649</v>
      </c>
      <c r="F12" s="351">
        <v>6661</v>
      </c>
      <c r="G12" s="351"/>
      <c r="H12" s="351"/>
      <c r="I12" s="351"/>
      <c r="J12" s="351"/>
      <c r="K12" s="351"/>
      <c r="L12" s="351"/>
      <c r="M12" s="351"/>
    </row>
    <row r="13" spans="2:13">
      <c r="B13" s="40" t="s">
        <v>67</v>
      </c>
      <c r="C13" s="351">
        <v>20661</v>
      </c>
      <c r="D13" s="351">
        <v>36733</v>
      </c>
      <c r="E13" s="351">
        <v>28582</v>
      </c>
      <c r="F13" s="351">
        <v>38036</v>
      </c>
      <c r="G13" s="351"/>
      <c r="H13" s="351"/>
      <c r="I13" s="351"/>
      <c r="J13" s="351"/>
      <c r="K13" s="351"/>
      <c r="L13" s="351"/>
      <c r="M13" s="351"/>
    </row>
    <row r="14" spans="2:13">
      <c r="B14" s="40" t="s">
        <v>50</v>
      </c>
      <c r="C14" s="351">
        <v>140323</v>
      </c>
      <c r="D14" s="351">
        <v>88861</v>
      </c>
      <c r="E14" s="351">
        <v>162905</v>
      </c>
      <c r="F14" s="351">
        <v>182205</v>
      </c>
      <c r="G14" s="351">
        <v>148991</v>
      </c>
      <c r="H14" s="351">
        <v>129809</v>
      </c>
      <c r="I14" s="351">
        <v>117344</v>
      </c>
      <c r="J14" s="351">
        <v>87974</v>
      </c>
      <c r="K14" s="351">
        <v>74865</v>
      </c>
      <c r="L14" s="351">
        <v>37687</v>
      </c>
      <c r="M14" s="351"/>
    </row>
    <row r="15" spans="2:13">
      <c r="B15" s="43" t="s">
        <v>42</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44</v>
      </c>
      <c r="C16" s="351">
        <v>7495</v>
      </c>
      <c r="D16" s="351">
        <v>9939</v>
      </c>
      <c r="E16" s="351">
        <v>3528</v>
      </c>
      <c r="F16" s="351">
        <v>8468</v>
      </c>
      <c r="G16" s="351">
        <v>3727</v>
      </c>
      <c r="H16" s="351">
        <v>991</v>
      </c>
      <c r="I16" s="351">
        <v>-7072</v>
      </c>
      <c r="J16" s="351">
        <v>-70941</v>
      </c>
      <c r="K16" s="351">
        <v>2526</v>
      </c>
      <c r="L16" s="351">
        <v>-450</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376</v>
      </c>
      <c r="C23" s="351">
        <v>-335753</v>
      </c>
      <c r="D23" s="351">
        <v>-172213</v>
      </c>
      <c r="E23" s="351">
        <v>-300021</v>
      </c>
      <c r="F23" s="351">
        <v>-234768</v>
      </c>
      <c r="G23" s="351">
        <v>-113379</v>
      </c>
      <c r="H23" s="351">
        <v>10800</v>
      </c>
      <c r="I23" s="351">
        <v>-58370</v>
      </c>
      <c r="J23" s="351">
        <v>-216174</v>
      </c>
      <c r="K23" s="351">
        <v>-9212</v>
      </c>
      <c r="L23" s="351">
        <v>-7911</v>
      </c>
      <c r="M23" s="351"/>
    </row>
    <row r="24" spans="2:13">
      <c r="B24" s="27" t="s">
        <v>375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28</v>
      </c>
      <c r="C27" s="97" t="s">
        <v>461</v>
      </c>
    </row>
    <row r="28" spans="2:13">
      <c r="B28" s="26" t="s">
        <v>24</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32</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40</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30</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172</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43</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58</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54</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61</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64</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168</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68</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42</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44</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68</v>
      </c>
    </row>
    <row r="51" spans="2:13">
      <c r="B51" s="40" t="s">
        <v>39</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396</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36</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58</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168</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85</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86</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40</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30</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C47" sqref="C47"/>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58581+2543884</f>
        <v>2602465</v>
      </c>
      <c r="D4" s="261">
        <v>0.6</v>
      </c>
      <c r="E4" s="25"/>
      <c r="F4" s="4" t="s">
        <v>77</v>
      </c>
      <c r="G4" s="19">
        <f>162490+3083598</f>
        <v>3246088</v>
      </c>
      <c r="H4" s="261">
        <v>0.9</v>
      </c>
    </row>
    <row r="5" spans="2:8" ht="15" customHeight="1">
      <c r="B5" s="1" t="s">
        <v>33</v>
      </c>
      <c r="C5" s="19">
        <v>0</v>
      </c>
      <c r="D5" s="261">
        <v>0.6</v>
      </c>
      <c r="E5" s="25"/>
      <c r="F5" s="1" t="s">
        <v>29</v>
      </c>
      <c r="G5" s="19">
        <v>24212</v>
      </c>
      <c r="H5" s="261">
        <v>0.7</v>
      </c>
    </row>
    <row r="6" spans="2:8" ht="15" customHeight="1">
      <c r="B6" s="4" t="s">
        <v>10</v>
      </c>
      <c r="C6" s="19">
        <v>1587039</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96042</v>
      </c>
      <c r="D10" s="261">
        <v>0.9</v>
      </c>
      <c r="H10" s="262"/>
    </row>
    <row r="11" spans="2:8" ht="15" customHeight="1">
      <c r="B11" s="4" t="s">
        <v>12</v>
      </c>
      <c r="C11" s="19">
        <v>90273</v>
      </c>
      <c r="D11" s="261">
        <v>0.05</v>
      </c>
      <c r="H11" s="262"/>
    </row>
    <row r="12" spans="2:8" ht="15" customHeight="1">
      <c r="B12" s="80" t="s">
        <v>72</v>
      </c>
      <c r="C12" s="81">
        <f>SUM(C4:C11)</f>
        <v>4375819</v>
      </c>
      <c r="D12" s="20">
        <f>C4*D4+C5*D5+C9*D9+C6*D6+C8*D8+C7*D7+C10*D10+C11*D11</f>
        <v>2445949.9499999997</v>
      </c>
      <c r="F12" s="80" t="s">
        <v>70</v>
      </c>
      <c r="G12" s="81">
        <f>SUM(G4:G9)</f>
        <v>3270300</v>
      </c>
      <c r="H12" s="20">
        <f>G4*H4+G5*H5+G6*H6+G7*H7+G8*H8+G9*H9</f>
        <v>2938427.6</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457</v>
      </c>
      <c r="C15" s="19">
        <v>0</v>
      </c>
      <c r="D15" s="261">
        <v>0.4</v>
      </c>
      <c r="F15" s="4" t="s">
        <v>78</v>
      </c>
      <c r="G15" s="19"/>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88242</v>
      </c>
      <c r="H17" s="261">
        <v>0.6</v>
      </c>
    </row>
    <row r="18" spans="2:8" ht="15" customHeight="1">
      <c r="B18" s="4" t="s">
        <v>173</v>
      </c>
      <c r="C18" s="19">
        <v>0</v>
      </c>
      <c r="D18" s="261">
        <v>0.6</v>
      </c>
      <c r="F18" s="4" t="s">
        <v>181</v>
      </c>
      <c r="G18" s="19">
        <v>0</v>
      </c>
      <c r="H18" s="261">
        <v>0.1</v>
      </c>
    </row>
    <row r="19" spans="2:8" ht="15" customHeight="1">
      <c r="B19" s="4" t="s">
        <v>26</v>
      </c>
      <c r="C19" s="19">
        <f>939396+207281</f>
        <v>1146677</v>
      </c>
      <c r="D19" s="261">
        <v>0.1</v>
      </c>
      <c r="F19" s="4" t="s">
        <v>182</v>
      </c>
      <c r="G19" s="19">
        <v>44838</v>
      </c>
      <c r="H19" s="261">
        <v>0.1</v>
      </c>
    </row>
    <row r="20" spans="2:8" ht="15" customHeight="1">
      <c r="B20" s="4" t="s">
        <v>18</v>
      </c>
      <c r="C20" s="19">
        <v>0</v>
      </c>
      <c r="D20" s="261">
        <v>0.05</v>
      </c>
      <c r="F20" s="4" t="s">
        <v>179</v>
      </c>
      <c r="G20" s="19">
        <v>0</v>
      </c>
      <c r="H20" s="261">
        <v>0.2</v>
      </c>
    </row>
    <row r="21" spans="2:8" ht="15" customHeight="1">
      <c r="B21" s="4" t="s">
        <v>19</v>
      </c>
      <c r="C21" s="19">
        <v>117832</v>
      </c>
      <c r="D21" s="261">
        <v>0.05</v>
      </c>
      <c r="F21" s="1" t="s">
        <v>180</v>
      </c>
      <c r="G21" s="19">
        <v>0</v>
      </c>
      <c r="H21" s="261">
        <v>0.1</v>
      </c>
    </row>
    <row r="22" spans="2:8" ht="15" customHeight="1">
      <c r="B22" s="4" t="s">
        <v>20</v>
      </c>
      <c r="C22" s="19">
        <v>121857</v>
      </c>
      <c r="D22" s="261">
        <v>0.9</v>
      </c>
      <c r="H22" s="262"/>
    </row>
    <row r="23" spans="2:8" ht="15" customHeight="1">
      <c r="B23" s="4" t="s">
        <v>21</v>
      </c>
      <c r="C23" s="19">
        <v>3940</v>
      </c>
      <c r="D23" s="261">
        <v>0</v>
      </c>
      <c r="H23" s="262"/>
    </row>
    <row r="24" spans="2:8" ht="15" customHeight="1">
      <c r="B24" s="80" t="s">
        <v>73</v>
      </c>
      <c r="C24" s="81">
        <f>SUM(C15:C23)</f>
        <v>1390306</v>
      </c>
      <c r="D24" s="20">
        <f>C15*D15+C16*D16+C18*D18+C17*D17+C19*D19+C20*D20+C21*D21+C22*D22+C23*D23</f>
        <v>230230.60000000003</v>
      </c>
      <c r="F24" s="80" t="s">
        <v>71</v>
      </c>
      <c r="G24" s="81">
        <f>SUM(G15:G21)</f>
        <v>133080</v>
      </c>
      <c r="H24" s="20">
        <f>G15*H15+G16*H16+G17*H17+G18*H18+G19*H19+G20*H20+G21*H21</f>
        <v>57429</v>
      </c>
    </row>
    <row r="26" spans="2:8" ht="15" customHeight="1">
      <c r="B26" s="16" t="s">
        <v>200</v>
      </c>
      <c r="C26" s="182" t="s">
        <v>136</v>
      </c>
      <c r="F26" s="184" t="s">
        <v>196</v>
      </c>
      <c r="G26" s="185" t="s">
        <v>136</v>
      </c>
      <c r="H26" s="186" t="s">
        <v>35</v>
      </c>
    </row>
    <row r="27" spans="2:8" ht="15" customHeight="1">
      <c r="B27" s="4" t="s">
        <v>5</v>
      </c>
      <c r="C27" s="19">
        <v>0</v>
      </c>
      <c r="F27" s="187" t="s">
        <v>30</v>
      </c>
      <c r="G27" s="85">
        <f>G32-G30</f>
        <v>7564587</v>
      </c>
      <c r="H27" s="188">
        <f>H32-G30</f>
        <v>4067119.1500000004</v>
      </c>
    </row>
    <row r="28" spans="2:8" ht="15" customHeight="1">
      <c r="B28" s="4" t="s">
        <v>6</v>
      </c>
      <c r="C28" s="19">
        <v>18219</v>
      </c>
      <c r="F28" s="189" t="s">
        <v>244</v>
      </c>
      <c r="G28" s="12">
        <v>34534</v>
      </c>
      <c r="H28" s="188"/>
    </row>
    <row r="29" spans="2:8" ht="15" customHeight="1">
      <c r="B29" s="4" t="s">
        <v>7</v>
      </c>
      <c r="C29" s="19">
        <v>0</v>
      </c>
      <c r="F29" s="190" t="s">
        <v>75</v>
      </c>
      <c r="G29" s="14">
        <f>G27-G28</f>
        <v>7530053</v>
      </c>
      <c r="H29" s="188">
        <f>H27-G28</f>
        <v>4032585.1500000004</v>
      </c>
    </row>
    <row r="30" spans="2:8" ht="15" customHeight="1">
      <c r="B30" s="2" t="s">
        <v>8</v>
      </c>
      <c r="C30" s="19">
        <v>0</v>
      </c>
      <c r="F30" s="187" t="s">
        <v>23</v>
      </c>
      <c r="G30" s="85">
        <f>C33+C42</f>
        <v>1604918</v>
      </c>
      <c r="H30" s="188"/>
    </row>
    <row r="31" spans="2:8" ht="15" customHeight="1">
      <c r="B31" s="80" t="s">
        <v>203</v>
      </c>
      <c r="C31" s="81">
        <f>SUM(C27:C30)</f>
        <v>18219</v>
      </c>
      <c r="F31" s="190" t="s">
        <v>76</v>
      </c>
      <c r="G31" s="191">
        <f>C31+C40</f>
        <v>87825</v>
      </c>
      <c r="H31" s="188"/>
    </row>
    <row r="32" spans="2:8" ht="15" customHeight="1">
      <c r="B32" s="4" t="s">
        <v>9</v>
      </c>
      <c r="C32" s="21">
        <f>C33-C31</f>
        <v>1496940</v>
      </c>
      <c r="F32" s="192" t="s">
        <v>74</v>
      </c>
      <c r="G32" s="193">
        <f>G35+G40</f>
        <v>9169505</v>
      </c>
      <c r="H32" s="188">
        <f>H35+H40</f>
        <v>5672037.1500000004</v>
      </c>
    </row>
    <row r="33" spans="2:8" ht="15" customHeight="1">
      <c r="B33" s="83" t="s">
        <v>4</v>
      </c>
      <c r="C33" s="84">
        <v>1515159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5766125</v>
      </c>
      <c r="H35" s="200">
        <f>D12+D24</f>
        <v>2676180.5499999998</v>
      </c>
    </row>
    <row r="36" spans="2:8" ht="15" customHeight="1">
      <c r="B36" s="4" t="s">
        <v>13</v>
      </c>
      <c r="C36" s="19">
        <v>0</v>
      </c>
      <c r="F36" s="190" t="s">
        <v>197</v>
      </c>
      <c r="G36" s="191">
        <f>C4+C15</f>
        <v>2602465</v>
      </c>
      <c r="H36" s="195"/>
    </row>
    <row r="37" spans="2:8" ht="15" customHeight="1">
      <c r="B37" s="4" t="s">
        <v>14</v>
      </c>
      <c r="C37" s="19">
        <v>69606</v>
      </c>
      <c r="F37" s="190" t="s">
        <v>198</v>
      </c>
      <c r="G37" s="191">
        <f>C6</f>
        <v>1587039</v>
      </c>
      <c r="H37" s="195"/>
    </row>
    <row r="38" spans="2:8" ht="15" customHeight="1">
      <c r="B38" s="4" t="s">
        <v>15</v>
      </c>
      <c r="C38" s="19">
        <v>0</v>
      </c>
      <c r="F38" s="190" t="s">
        <v>199</v>
      </c>
      <c r="G38" s="191">
        <f>C7+C17</f>
        <v>0</v>
      </c>
      <c r="H38" s="195"/>
    </row>
    <row r="39" spans="2:8" ht="15" customHeight="1">
      <c r="B39" s="2" t="s">
        <v>16</v>
      </c>
      <c r="C39" s="19">
        <v>0</v>
      </c>
      <c r="F39" s="190" t="s">
        <v>79</v>
      </c>
      <c r="G39" s="191">
        <f>C7+C17+C19+C20</f>
        <v>1146677</v>
      </c>
      <c r="H39" s="188">
        <f>C7*D7+C17*D17+C19*D19+C20*D20</f>
        <v>114667.70000000001</v>
      </c>
    </row>
    <row r="40" spans="2:8" ht="15" customHeight="1">
      <c r="B40" s="80" t="s">
        <v>204</v>
      </c>
      <c r="C40" s="81">
        <f>SUM(C36:C39)</f>
        <v>69606</v>
      </c>
      <c r="F40" s="199" t="s">
        <v>138</v>
      </c>
      <c r="G40" s="193">
        <f>G12+G24</f>
        <v>3403380</v>
      </c>
      <c r="H40" s="200">
        <f>H12+H24</f>
        <v>2995856.6</v>
      </c>
    </row>
    <row r="41" spans="2:8" ht="15" customHeight="1">
      <c r="B41" s="4" t="s">
        <v>17</v>
      </c>
      <c r="C41" s="21">
        <f>C42-C40</f>
        <v>20153</v>
      </c>
      <c r="F41" s="190" t="s">
        <v>191</v>
      </c>
      <c r="G41" s="191">
        <f>C70</f>
        <v>3270300</v>
      </c>
      <c r="H41" s="200">
        <f>H40-H42</f>
        <v>2938427.6</v>
      </c>
    </row>
    <row r="42" spans="2:8" ht="15" customHeight="1">
      <c r="B42" s="83" t="s">
        <v>22</v>
      </c>
      <c r="C42" s="84">
        <v>89759</v>
      </c>
      <c r="F42" s="201" t="s">
        <v>192</v>
      </c>
      <c r="G42" s="202">
        <f>C82</f>
        <v>133080</v>
      </c>
      <c r="H42" s="203">
        <f>D82</f>
        <v>57429</v>
      </c>
    </row>
    <row r="44" spans="2:8" ht="15" customHeight="1">
      <c r="B44" s="79" t="s">
        <v>96</v>
      </c>
      <c r="C44" s="37"/>
      <c r="D44" s="37"/>
      <c r="E44" s="37"/>
      <c r="F44" s="37"/>
      <c r="G44" s="37"/>
      <c r="H44" s="37"/>
    </row>
    <row r="45" spans="2:8" ht="15" customHeight="1">
      <c r="B45" s="16" t="s">
        <v>271</v>
      </c>
      <c r="C45" s="234" t="s">
        <v>136</v>
      </c>
      <c r="D45" s="182" t="s">
        <v>408</v>
      </c>
      <c r="F45" s="256" t="s">
        <v>59</v>
      </c>
    </row>
    <row r="46" spans="2:8" ht="15" customHeight="1">
      <c r="B46" s="1" t="s">
        <v>273</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0.16381589511191816</v>
      </c>
      <c r="D50" s="95">
        <f>G31/Normalized_FCF!G8</f>
        <v>0.11510982781693048</v>
      </c>
      <c r="F50" s="253"/>
    </row>
    <row r="51" spans="2:8" ht="15" customHeight="1">
      <c r="B51" s="1" t="s">
        <v>176</v>
      </c>
      <c r="C51" s="181"/>
      <c r="D51" s="92">
        <f>G29/G32</f>
        <v>0.8212060520169846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9.2977543186339592E-2</v>
      </c>
      <c r="D54" s="92">
        <f>Normalized_FCF!G8/G35</f>
        <v>0.13231884497821328</v>
      </c>
      <c r="F54" s="253"/>
    </row>
    <row r="55" spans="2:8" ht="15" customHeight="1">
      <c r="B55" s="1" t="s">
        <v>141</v>
      </c>
      <c r="C55" s="92">
        <f>Normalized_FCF!C11/G40</f>
        <v>0</v>
      </c>
      <c r="D55" s="92">
        <f>Normalized_FCF!G11/G40</f>
        <v>3.125716199777868E-3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0.12505331530982317</v>
      </c>
      <c r="F59" s="253"/>
    </row>
    <row r="60" spans="2:8" ht="15" customHeight="1">
      <c r="F60" s="253"/>
    </row>
    <row r="61" spans="2:8" ht="15" customHeight="1">
      <c r="B61" s="157" t="s">
        <v>274</v>
      </c>
      <c r="C61" s="235" t="s">
        <v>137</v>
      </c>
      <c r="D61" s="197" t="s">
        <v>95</v>
      </c>
      <c r="F61" s="253"/>
    </row>
    <row r="62" spans="2:8" ht="15" customHeight="1">
      <c r="B62" s="1" t="s">
        <v>245</v>
      </c>
      <c r="C62" s="92">
        <f>IF(G28&lt;=0,0,G28/G29)</f>
        <v>4.586156299298292E-3</v>
      </c>
      <c r="D62" s="92">
        <f>G28/G29</f>
        <v>4.586156299298292E-3</v>
      </c>
      <c r="F62" s="253" t="s">
        <v>272</v>
      </c>
    </row>
    <row r="64" spans="2:8" ht="15" customHeight="1">
      <c r="B64" s="79" t="s">
        <v>193</v>
      </c>
      <c r="C64" s="37"/>
      <c r="D64" s="37"/>
      <c r="E64" s="37"/>
      <c r="F64" s="37"/>
      <c r="G64" s="37"/>
      <c r="H64" s="37"/>
    </row>
    <row r="65" spans="2:6" ht="15" customHeight="1">
      <c r="B65" s="16" t="s">
        <v>188</v>
      </c>
      <c r="C65" s="234" t="s">
        <v>136</v>
      </c>
      <c r="D65" s="183" t="s">
        <v>286</v>
      </c>
      <c r="F65" s="256" t="s">
        <v>59</v>
      </c>
    </row>
    <row r="66" spans="2:6" ht="15" customHeight="1">
      <c r="B66" s="105" t="s">
        <v>187</v>
      </c>
      <c r="C66" s="20">
        <f>G4+G5+G15</f>
        <v>3270300</v>
      </c>
      <c r="D66" s="76">
        <f>C66-D75</f>
        <v>2338843.0327008888</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3270300</v>
      </c>
      <c r="F70" s="253"/>
    </row>
    <row r="71" spans="2:6" ht="15" customHeight="1">
      <c r="F71" s="253"/>
    </row>
    <row r="72" spans="2:6" ht="15" customHeight="1">
      <c r="B72" s="255" t="s">
        <v>319</v>
      </c>
      <c r="C72" s="234" t="s">
        <v>95</v>
      </c>
      <c r="D72" s="182" t="s">
        <v>57</v>
      </c>
      <c r="F72" s="253"/>
    </row>
    <row r="73" spans="2:6" ht="15" customHeight="1">
      <c r="B73" s="105" t="s">
        <v>318</v>
      </c>
      <c r="C73" s="349">
        <f>(Normalized_FCF!G25+Normalized_FCF!G35-Normalized_FCF!G91)/12</f>
        <v>-483513.79666666663</v>
      </c>
      <c r="D73" s="349">
        <f>(Normalized_FCF!C25+Normalized_FCF!C35-Normalized_FCF!C91)/12</f>
        <v>-465728.48364955559</v>
      </c>
      <c r="F73" s="1" t="s">
        <v>353</v>
      </c>
    </row>
    <row r="74" spans="2:6" ht="15" customHeight="1">
      <c r="B74" s="257" t="s">
        <v>323</v>
      </c>
      <c r="C74" s="258">
        <f>-$C$66/C73</f>
        <v>6.763612584677781</v>
      </c>
      <c r="D74" s="258">
        <f>-$C$66/D73</f>
        <v>7.0219024921412929</v>
      </c>
      <c r="F74" s="253" t="s">
        <v>320</v>
      </c>
    </row>
    <row r="75" spans="2:6" ht="15" customHeight="1">
      <c r="B75" s="80" t="s">
        <v>321</v>
      </c>
      <c r="C75" s="320"/>
      <c r="D75" s="321">
        <f>MAX(-D73*D76,G5)</f>
        <v>931456.96729911119</v>
      </c>
      <c r="F75" s="253" t="s">
        <v>354</v>
      </c>
    </row>
    <row r="76" spans="2:6" ht="15" customHeight="1">
      <c r="B76" s="259" t="s">
        <v>324</v>
      </c>
      <c r="C76" s="260"/>
      <c r="D76" s="290">
        <f>IF(valuation_method="DCF",IF(D74&lt;=3,1,IF(D74&gt;18,6,2)),-C66/D73)</f>
        <v>2</v>
      </c>
      <c r="F76" s="253" t="s">
        <v>325</v>
      </c>
    </row>
    <row r="77" spans="2:6" ht="15" customHeight="1">
      <c r="F77" s="253"/>
    </row>
    <row r="78" spans="2:6" ht="15" customHeight="1">
      <c r="B78" s="16" t="s">
        <v>189</v>
      </c>
      <c r="C78" s="234" t="s">
        <v>136</v>
      </c>
      <c r="D78" s="183" t="s">
        <v>35</v>
      </c>
      <c r="F78" s="253"/>
    </row>
    <row r="79" spans="2:6" ht="15" customHeight="1">
      <c r="B79" s="105" t="s">
        <v>178</v>
      </c>
      <c r="C79" s="20">
        <f>G7+G17</f>
        <v>88242</v>
      </c>
      <c r="D79" s="76">
        <f>G7*H7+G17*H17</f>
        <v>52945.2</v>
      </c>
      <c r="F79" s="253"/>
    </row>
    <row r="80" spans="2:6" ht="15" customHeight="1">
      <c r="B80" s="105" t="s">
        <v>182</v>
      </c>
      <c r="C80" s="20">
        <f>G19</f>
        <v>44838</v>
      </c>
      <c r="D80" s="76">
        <f>G19*H19</f>
        <v>4483.8</v>
      </c>
      <c r="F80" s="253"/>
    </row>
    <row r="81" spans="2:8" ht="15" customHeight="1">
      <c r="B81" s="105" t="s">
        <v>180</v>
      </c>
      <c r="C81" s="20">
        <f>G9+G21</f>
        <v>0</v>
      </c>
      <c r="D81" s="76">
        <f>G9*H9+G21*H21</f>
        <v>0</v>
      </c>
      <c r="F81" s="253"/>
    </row>
    <row r="82" spans="2:8" ht="15" customHeight="1">
      <c r="B82" s="80" t="s">
        <v>189</v>
      </c>
      <c r="C82" s="81">
        <f>SUM(C79:C81)</f>
        <v>133080</v>
      </c>
      <c r="D82" s="81">
        <f>SUM(D79:D81)</f>
        <v>57429</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-87825</v>
      </c>
      <c r="D86" s="223">
        <f>C86*scaling_factor/Common_Shares</f>
        <v>-8.2717679591313917E-2</v>
      </c>
      <c r="E86" s="240" t="str">
        <f>Market_currency</f>
        <v>HKD</v>
      </c>
    </row>
    <row r="87" spans="2:8" ht="15" customHeight="1">
      <c r="B87" s="238" t="s">
        <v>288</v>
      </c>
      <c r="C87" s="76">
        <f>DCF!C8*Exchange_Rate</f>
        <v>2338843.0327008888</v>
      </c>
      <c r="D87" s="223">
        <f>C87*scaling_factor/Common_Shares</f>
        <v>2.2028314101147628</v>
      </c>
      <c r="E87" s="240" t="str">
        <f>Market_currency</f>
        <v>HKD</v>
      </c>
    </row>
    <row r="88" spans="2:8" ht="15" customHeight="1">
      <c r="B88" s="239" t="s">
        <v>189</v>
      </c>
      <c r="C88" s="76">
        <f>DCF!C9*Exchange_Rate</f>
        <v>57429</v>
      </c>
      <c r="D88" s="223">
        <f>C88*scaling_factor/Common_Shares</f>
        <v>5.4089309664099819E-2</v>
      </c>
      <c r="E88" s="240" t="str">
        <f>Market_currency</f>
        <v>HKD</v>
      </c>
    </row>
    <row r="89" spans="2:8" ht="15" customHeight="1">
      <c r="B89" s="80" t="s">
        <v>292</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35" activePane="bottomRight" state="frozen"/>
      <selection activeCell="C17" sqref="C17"/>
      <selection pane="topRight" activeCell="C17" sqref="C17"/>
      <selection pane="bottomLeft" activeCell="C17" sqref="C17"/>
      <selection pane="bottomRight" activeCell="C125" sqref="C125"/>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46</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48</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45</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152</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68</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63</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243</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154</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52</v>
      </c>
      <c r="C17" s="328">
        <f>-C4*C85</f>
        <v>0</v>
      </c>
      <c r="D17" s="58"/>
      <c r="E17" s="267" t="s">
        <v>333</v>
      </c>
      <c r="F17" s="58"/>
      <c r="G17" s="335"/>
      <c r="H17" s="335"/>
      <c r="I17" s="335"/>
      <c r="J17" s="335"/>
      <c r="K17" s="335"/>
      <c r="L17" s="335"/>
      <c r="M17" s="335"/>
      <c r="N17" s="335"/>
      <c r="O17" s="335"/>
      <c r="P17" s="335"/>
      <c r="Q17" s="335"/>
    </row>
    <row r="18" spans="1:17" ht="15.75" customHeight="1">
      <c r="A18" s="10"/>
      <c r="B18" s="27" t="s">
        <v>98</v>
      </c>
      <c r="C18" s="328">
        <v>0</v>
      </c>
      <c r="D18" s="58"/>
      <c r="E18" s="267" t="s">
        <v>334</v>
      </c>
      <c r="F18" s="58"/>
      <c r="G18" s="336"/>
      <c r="H18" s="336"/>
      <c r="I18" s="336"/>
      <c r="J18" s="336"/>
      <c r="K18" s="336"/>
      <c r="L18" s="336"/>
      <c r="M18" s="336"/>
      <c r="N18" s="336"/>
      <c r="O18" s="336"/>
      <c r="P18" s="336"/>
      <c r="Q18" s="336"/>
    </row>
    <row r="19" spans="1:17" ht="15.75" customHeight="1">
      <c r="A19" s="10"/>
      <c r="B19" s="31" t="s">
        <v>66</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62</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46</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0.56969544715916953</v>
      </c>
      <c r="D28" s="26"/>
      <c r="E28" s="266" t="s">
        <v>335</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335</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46</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-1317994</v>
      </c>
      <c r="E33" s="266" t="s">
        <v>335</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49</v>
      </c>
      <c r="C34" s="340">
        <f>AVERAGE(G34:J34)</f>
        <v>0</v>
      </c>
      <c r="D34" s="58"/>
      <c r="E34" s="266" t="s">
        <v>335</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336</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347</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344</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4.0000000000000001E-3</v>
      </c>
      <c r="E53" s="265" t="s">
        <v>337</v>
      </c>
      <c r="G53" s="6">
        <f>IF(Normalized_FCF!G4="","",Normalized_FCF!G49/BS!$C$66)</f>
        <v>6.3177690120172457E-3</v>
      </c>
      <c r="H53" s="169"/>
      <c r="I53" s="169"/>
      <c r="J53" s="169"/>
      <c r="K53" s="169"/>
      <c r="L53" s="169"/>
      <c r="M53" s="169"/>
      <c r="N53" s="169"/>
      <c r="O53" s="169"/>
      <c r="P53" s="169"/>
      <c r="Q53" s="169"/>
    </row>
    <row r="54" spans="1:17" ht="15.75" customHeight="1">
      <c r="A54" s="10"/>
      <c r="B54" s="8" t="s">
        <v>87</v>
      </c>
      <c r="C54" s="82">
        <f>G54</f>
        <v>6.3262169086251069E-2</v>
      </c>
      <c r="E54" s="265" t="s">
        <v>338</v>
      </c>
      <c r="G54" s="23">
        <f>IFERROR(ABS(Normalized_FCF!G47/BS!$G$31),0)</f>
        <v>6.3262169086251069E-2</v>
      </c>
      <c r="H54" s="169"/>
      <c r="I54" s="169"/>
      <c r="J54" s="169"/>
      <c r="K54" s="169"/>
      <c r="L54" s="169"/>
      <c r="M54" s="169"/>
      <c r="N54" s="169"/>
      <c r="O54" s="169"/>
      <c r="P54" s="169"/>
      <c r="Q54" s="169"/>
    </row>
    <row r="55" spans="1:17" ht="15.75" customHeight="1">
      <c r="A55" s="10"/>
      <c r="B55" s="26" t="s">
        <v>90</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160</v>
      </c>
      <c r="C62" s="343">
        <v>0</v>
      </c>
      <c r="E62" s="266" t="s">
        <v>339</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195</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59</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48</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45</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152</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356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68</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63</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154</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6.7164179104477612E-2</v>
      </c>
      <c r="E93" s="268"/>
      <c r="G93" s="23">
        <f t="shared" ref="G93:Q93" si="39">IF(G$4="","",G90/Market_Price)</f>
        <v>9.141791044776118E-2</v>
      </c>
      <c r="H93" s="23">
        <f t="shared" si="39"/>
        <v>8.2089552238805971E-2</v>
      </c>
      <c r="I93" s="23">
        <f t="shared" si="39"/>
        <v>6.7164179104477612E-2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-5.0000000000000044E-2</v>
      </c>
      <c r="D96" s="27"/>
      <c r="E96" s="265"/>
      <c r="F96" s="27"/>
      <c r="G96" s="6">
        <f t="shared" ref="G96:Q96" si="40">IF(H4="","",G4/H4-1)</f>
        <v>-9.9033226000115659E-2</v>
      </c>
      <c r="H96" s="6">
        <f t="shared" si="40"/>
        <v>-0.16785663168501086</v>
      </c>
      <c r="I96" s="6">
        <f t="shared" si="40"/>
        <v>0.12044499277513476</v>
      </c>
      <c r="J96" s="6">
        <f t="shared" si="40"/>
        <v>0.27348561281516237</v>
      </c>
      <c r="K96" s="6">
        <f t="shared" si="40"/>
        <v>0.14716307197324752</v>
      </c>
      <c r="L96" s="6">
        <f t="shared" si="40"/>
        <v>0.11557796797533371</v>
      </c>
      <c r="M96" s="6">
        <f t="shared" si="40"/>
        <v>0.22954904931107079</v>
      </c>
      <c r="N96" s="6">
        <f t="shared" si="40"/>
        <v>0.23199816662446882</v>
      </c>
      <c r="O96" s="6">
        <f t="shared" si="40"/>
        <v>1.5343490337516474E-2</v>
      </c>
      <c r="P96" s="6" t="str">
        <f t="shared" si="40"/>
        <v/>
      </c>
      <c r="Q96" s="6" t="str">
        <f t="shared" si="40"/>
        <v/>
      </c>
    </row>
    <row r="97" spans="1:17" ht="15.75" customHeight="1">
      <c r="A97" s="10"/>
      <c r="B97" s="70" t="s">
        <v>164</v>
      </c>
      <c r="C97" s="77">
        <f>C13/G13-1</f>
        <v>-0.30964378035395745</v>
      </c>
      <c r="D97" s="27"/>
      <c r="E97" s="265"/>
      <c r="F97" s="27"/>
      <c r="G97" s="6">
        <f t="shared" ref="G97:Q97" si="41">IF(H5="","",G13/H13-1)</f>
        <v>-0.33173466190541689</v>
      </c>
      <c r="H97" s="6">
        <f t="shared" si="41"/>
        <v>-0.15675997101974881</v>
      </c>
      <c r="I97" s="6">
        <f t="shared" si="41"/>
        <v>0.18357070894353189</v>
      </c>
      <c r="J97" s="6">
        <f t="shared" si="41"/>
        <v>0.10463588399861634</v>
      </c>
      <c r="K97" s="6">
        <f t="shared" si="41"/>
        <v>0.43135144267977643</v>
      </c>
      <c r="L97" s="6">
        <f t="shared" si="41"/>
        <v>0.23078883906261005</v>
      </c>
      <c r="M97" s="6">
        <f t="shared" si="41"/>
        <v>0.12559697069227838</v>
      </c>
      <c r="N97" s="6">
        <f t="shared" si="41"/>
        <v>-0.14209230769230774</v>
      </c>
      <c r="O97" s="6">
        <f t="shared" si="41"/>
        <v>0.12530934617249034</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9169505</v>
      </c>
      <c r="D101" s="26"/>
      <c r="E101" s="269"/>
      <c r="F101" s="26"/>
      <c r="G101" s="333">
        <f t="shared" ref="G101:Q101" si="42">IF(G$4="","",G105+G104)</f>
        <v>9169505</v>
      </c>
      <c r="H101" s="333">
        <f t="shared" si="42"/>
        <v>9075329</v>
      </c>
      <c r="I101" s="333">
        <f t="shared" si="42"/>
        <v>9490329</v>
      </c>
      <c r="J101" s="333">
        <f t="shared" si="42"/>
        <v>8821278</v>
      </c>
      <c r="K101" s="333">
        <f t="shared" si="42"/>
        <v>7637059</v>
      </c>
      <c r="L101" s="333">
        <f t="shared" si="42"/>
        <v>6719223</v>
      </c>
      <c r="M101" s="333">
        <f t="shared" si="42"/>
        <v>5775554</v>
      </c>
      <c r="N101" s="333">
        <f t="shared" si="42"/>
        <v>5232216</v>
      </c>
      <c r="O101" s="333">
        <f t="shared" si="42"/>
        <v>4433063</v>
      </c>
      <c r="P101" s="333">
        <f t="shared" si="42"/>
        <v>4080199</v>
      </c>
      <c r="Q101" s="333" t="str">
        <f t="shared" si="42"/>
        <v/>
      </c>
    </row>
    <row r="102" spans="1:17" ht="15.75" customHeight="1">
      <c r="A102" s="10"/>
      <c r="B102" s="93" t="s">
        <v>210</v>
      </c>
      <c r="C102" s="345">
        <f>BS!C4</f>
        <v>2602465</v>
      </c>
      <c r="D102" s="89"/>
      <c r="E102" s="270"/>
      <c r="F102" s="89"/>
      <c r="G102" s="346">
        <f>IF(G$4="","",Data!D77)</f>
        <v>2679525</v>
      </c>
      <c r="H102" s="346">
        <f>IF(H$4="","",Data!E77)</f>
        <v>2350368</v>
      </c>
      <c r="I102" s="346">
        <f>IF(I$4="","",Data!F77)</f>
        <v>2081977</v>
      </c>
      <c r="J102" s="346">
        <f>IF(J$4="","",Data!G77)</f>
        <v>1434253</v>
      </c>
      <c r="K102" s="346">
        <f>IF(K$4="","",Data!H77)</f>
        <v>1513374</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1587039</v>
      </c>
      <c r="D103" s="89"/>
      <c r="E103" s="270"/>
      <c r="F103" s="89"/>
      <c r="G103" s="346">
        <f>IF(G$4="","",Data!D78)</f>
        <v>1826091</v>
      </c>
      <c r="H103" s="346">
        <f>IF(H$4="","",Data!E78)</f>
        <v>2527293</v>
      </c>
      <c r="I103" s="346">
        <f>IF(I$4="","",Data!F78)</f>
        <v>2071285</v>
      </c>
      <c r="J103" s="346">
        <f>IF(J$4="","",Data!G78)</f>
        <v>1629901</v>
      </c>
      <c r="K103" s="346">
        <f>IF(K$4="","",Data!H78)</f>
        <v>1301459</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1604918</v>
      </c>
      <c r="D104" s="26"/>
      <c r="E104" s="269"/>
      <c r="F104" s="26"/>
      <c r="G104" s="333">
        <f>Data!C79</f>
        <v>1604918</v>
      </c>
      <c r="H104" s="333">
        <f>Data!D79</f>
        <v>1589155</v>
      </c>
      <c r="I104" s="333">
        <f>Data!E79</f>
        <v>2584479</v>
      </c>
      <c r="J104" s="333">
        <f>Data!F79</f>
        <v>2364722</v>
      </c>
      <c r="K104" s="333">
        <f>Data!G79</f>
        <v>2063487</v>
      </c>
      <c r="L104" s="333">
        <f>Data!H79</f>
        <v>1979871</v>
      </c>
      <c r="M104" s="333">
        <f>Data!I79</f>
        <v>1562946</v>
      </c>
      <c r="N104" s="333">
        <f>Data!J79</f>
        <v>1335150</v>
      </c>
      <c r="O104" s="333">
        <f>Data!K79</f>
        <v>931780</v>
      </c>
      <c r="P104" s="333">
        <f>Data!L79</f>
        <v>989600</v>
      </c>
      <c r="Q104" s="333" t="str">
        <f>Data!M79</f>
        <v/>
      </c>
    </row>
    <row r="105" spans="1:17" ht="15.75" customHeight="1">
      <c r="A105" s="10"/>
      <c r="B105" s="26" t="s">
        <v>30</v>
      </c>
      <c r="C105" s="344">
        <f>BS!G27</f>
        <v>7564587</v>
      </c>
      <c r="D105" s="26"/>
      <c r="E105" s="269"/>
      <c r="F105" s="26"/>
      <c r="G105" s="333">
        <f>Data!C80</f>
        <v>7564587</v>
      </c>
      <c r="H105" s="333">
        <f>Data!D80</f>
        <v>7486174</v>
      </c>
      <c r="I105" s="333">
        <f>Data!E80</f>
        <v>6905850</v>
      </c>
      <c r="J105" s="333">
        <f>Data!F80</f>
        <v>6456556</v>
      </c>
      <c r="K105" s="333">
        <f>Data!G80</f>
        <v>5573572</v>
      </c>
      <c r="L105" s="333">
        <f>Data!H80</f>
        <v>4739352</v>
      </c>
      <c r="M105" s="333">
        <f>Data!I80</f>
        <v>4212608</v>
      </c>
      <c r="N105" s="333">
        <f>Data!J80</f>
        <v>3897066</v>
      </c>
      <c r="O105" s="333">
        <f>Data!K80</f>
        <v>3501283</v>
      </c>
      <c r="P105" s="333">
        <f>Data!L80</f>
        <v>3090599</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0.45318314813057653</v>
      </c>
      <c r="D108" s="26"/>
      <c r="E108" s="269"/>
      <c r="F108" s="26"/>
      <c r="G108" s="94">
        <f t="shared" ref="G108:Q108" si="43">IF(G$4="","",G102/G$4)</f>
        <v>0.44327197339632002</v>
      </c>
      <c r="H108" s="94">
        <f t="shared" si="43"/>
        <v>0.35031368286879572</v>
      </c>
      <c r="I108" s="94">
        <f t="shared" si="43"/>
        <v>0.25822323583334716</v>
      </c>
      <c r="J108" s="94">
        <f t="shared" si="43"/>
        <v>0.19931303330108385</v>
      </c>
      <c r="K108" s="94">
        <f t="shared" si="43"/>
        <v>0.26782446312519037</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0.27636080801317292</v>
      </c>
      <c r="D109" s="26"/>
      <c r="E109" s="269"/>
      <c r="F109" s="26"/>
      <c r="G109" s="94">
        <f t="shared" ref="G109:Q109" si="44">IF(G$4="","",G103/G$4)</f>
        <v>0.30208897516211247</v>
      </c>
      <c r="H109" s="94">
        <f t="shared" si="44"/>
        <v>0.3766837016665166</v>
      </c>
      <c r="I109" s="94">
        <f t="shared" si="44"/>
        <v>0.25689712952308047</v>
      </c>
      <c r="J109" s="94">
        <f t="shared" si="44"/>
        <v>0.22650153933125458</v>
      </c>
      <c r="K109" s="94">
        <f t="shared" si="44"/>
        <v>0.23032149221173823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394</v>
      </c>
      <c r="C113" s="169"/>
      <c r="E113" s="268"/>
      <c r="G113" s="295">
        <f>IF(G$4="","",Data!C$22/Data!C15)</f>
        <v>1.6127833524292503</v>
      </c>
      <c r="H113" s="295">
        <f>IF(H$4="","",Data!D$22/Data!D15)</f>
        <v>0.42057826647086138</v>
      </c>
      <c r="I113" s="295">
        <f>IF(I$4="","",Data!E$22/Data!E15)</f>
        <v>0.51137475624959094</v>
      </c>
      <c r="J113" s="295">
        <f>IF(J$4="","",Data!F$22/Data!F15)</f>
        <v>0.31829850893849532</v>
      </c>
      <c r="K113" s="295">
        <f>IF(K$4="","",Data!G$22/Data!G15)</f>
        <v>0.81324113514410579</v>
      </c>
      <c r="L113" s="295">
        <f>IF(L$4="","",Data!H$22/Data!H15)</f>
        <v>1.931445882624059</v>
      </c>
      <c r="M113" s="295">
        <f>IF(M$4="","",Data!I$22/Data!I15)</f>
        <v>0.38471239702133109</v>
      </c>
      <c r="N113" s="295">
        <f>IF(N$4="","",Data!J$22/Data!J15)</f>
        <v>0.63723014208208795</v>
      </c>
      <c r="O113" s="295">
        <f>IF(O$4="","",Data!K$22/Data!K15)</f>
        <v>0.41347852457766715</v>
      </c>
      <c r="P113" s="295">
        <f>IF(P$4="","",Data!L$22/Data!L15)</f>
        <v>0.51127221958902824</v>
      </c>
      <c r="Q113" s="295" t="str">
        <f>IF(Q$4="","",Data!M$22/Data!M15)</f>
        <v/>
      </c>
    </row>
    <row r="114" spans="1:17" ht="15.75" customHeight="1">
      <c r="A114" s="10"/>
      <c r="B114" s="2" t="s">
        <v>395</v>
      </c>
      <c r="C114" s="169"/>
      <c r="E114" s="268"/>
      <c r="G114" s="295">
        <f>IF(G$4="","",Data!C$22/G19)</f>
        <v>1.8569905599828904</v>
      </c>
      <c r="H114" s="295">
        <f>IF(H$4="","",Data!D$22/H19)</f>
        <v>0.46257544851713722</v>
      </c>
      <c r="I114" s="295">
        <f>IF(I$4="","",Data!E$22/I19)</f>
        <v>0.53731031302840637</v>
      </c>
      <c r="J114" s="295">
        <f>IF(J$4="","",Data!F$22/J19)</f>
        <v>0.35851056586362906</v>
      </c>
      <c r="K114" s="295">
        <f>IF(K$4="","",Data!G$22/K19)</f>
        <v>0.8187505012430828</v>
      </c>
      <c r="L114" s="295">
        <f>IF(L$4="","",Data!H$22/L19)</f>
        <v>2.0011059305734258</v>
      </c>
      <c r="M114" s="295">
        <f>IF(M$4="","",Data!I$22/M19)</f>
        <v>0.41398893412673554</v>
      </c>
      <c r="N114" s="295">
        <f>IF(N$4="","",Data!J$22/N19)</f>
        <v>0.48546348441772452</v>
      </c>
      <c r="O114" s="295">
        <f>IF(O$4="","",Data!K$22/O19)</f>
        <v>0.4619567531738964</v>
      </c>
      <c r="P114" s="295">
        <f>IF(P$4="","",Data!L$22/P19)</f>
        <v>0.62055450434496751</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9.3039179367971361E-2</v>
      </c>
      <c r="E117" s="268"/>
      <c r="G117" s="23">
        <f t="shared" ref="G117:Q117" si="45">IF(G4="","",IF(valuation_method="DDM",G13/(G4+G12),G81))</f>
        <v>0.12803132337228806</v>
      </c>
      <c r="H117" s="23">
        <f t="shared" si="45"/>
        <v>0.17261402292473829</v>
      </c>
      <c r="I117" s="23">
        <f t="shared" si="45"/>
        <v>0.17034249978466875</v>
      </c>
      <c r="J117" s="23">
        <f t="shared" si="45"/>
        <v>0.1612572865299233</v>
      </c>
      <c r="K117" s="23">
        <f t="shared" si="45"/>
        <v>0.18590635822376275</v>
      </c>
      <c r="L117" s="23">
        <f t="shared" si="45"/>
        <v>0.14899548960530343</v>
      </c>
      <c r="M117" s="23">
        <f t="shared" si="45"/>
        <v>0.13504841793817968</v>
      </c>
      <c r="N117" s="23">
        <f t="shared" si="45"/>
        <v>0.14752052307383851</v>
      </c>
      <c r="O117" s="23">
        <f t="shared" si="45"/>
        <v>0.21184681708305286</v>
      </c>
      <c r="P117" s="23">
        <f t="shared" si="45"/>
        <v>0.191145028169907</v>
      </c>
      <c r="Q117" s="23" t="str">
        <f t="shared" si="45"/>
        <v/>
      </c>
    </row>
    <row r="118" spans="1:17" ht="15.75" customHeight="1">
      <c r="B118" s="7" t="s">
        <v>83</v>
      </c>
      <c r="C118" s="42">
        <f>IF(valuation_method="DDM",(C4+C12)/C101,C4/C101)</f>
        <v>0.62627525695225639</v>
      </c>
      <c r="E118" s="268"/>
      <c r="G118" s="42">
        <f t="shared" ref="G118:Q118" si="46">IF(G4="","",IF(valuation_method="DDM",(G4+G12)/G101,G4/G101))</f>
        <v>0.65923711258132256</v>
      </c>
      <c r="H118" s="42">
        <f t="shared" si="46"/>
        <v>0.7392926471315806</v>
      </c>
      <c r="I118" s="42">
        <f t="shared" si="46"/>
        <v>0.84957033628655021</v>
      </c>
      <c r="J118" s="42">
        <f t="shared" si="46"/>
        <v>0.81575277414451741</v>
      </c>
      <c r="K118" s="42">
        <f t="shared" si="46"/>
        <v>0.73989463745140638</v>
      </c>
      <c r="L118" s="42">
        <f t="shared" si="46"/>
        <v>0.73308074460395201</v>
      </c>
      <c r="M118" s="42">
        <f t="shared" si="46"/>
        <v>0.76449964799913561</v>
      </c>
      <c r="N118" s="42">
        <f t="shared" si="46"/>
        <v>0.68634016638456818</v>
      </c>
      <c r="O118" s="42">
        <f t="shared" si="46"/>
        <v>0.65752325198175621</v>
      </c>
      <c r="P118" s="42">
        <f t="shared" si="46"/>
        <v>0.70359166305368925</v>
      </c>
      <c r="Q118" s="42" t="str">
        <f t="shared" si="46"/>
        <v/>
      </c>
    </row>
    <row r="119" spans="1:17" ht="15.75" customHeight="1">
      <c r="B119" s="7" t="s">
        <v>91</v>
      </c>
      <c r="C119" s="15">
        <f>C101/C105</f>
        <v>1.2121620122817016</v>
      </c>
      <c r="D119" s="11"/>
      <c r="E119" s="272"/>
      <c r="F119" s="11"/>
      <c r="G119" s="15">
        <f t="shared" ref="G119:Q119" si="47">IF(G$4="","",G101/G105)</f>
        <v>1.2121620122817016</v>
      </c>
      <c r="H119" s="15">
        <f t="shared" si="47"/>
        <v>1.2122786619707209</v>
      </c>
      <c r="I119" s="15">
        <f t="shared" si="47"/>
        <v>1.3742448793414279</v>
      </c>
      <c r="J119" s="15">
        <f t="shared" si="47"/>
        <v>1.3662512955823507</v>
      </c>
      <c r="K119" s="15">
        <f t="shared" si="47"/>
        <v>1.3702270285554756</v>
      </c>
      <c r="L119" s="15">
        <f t="shared" si="47"/>
        <v>1.417751414117373</v>
      </c>
      <c r="M119" s="15">
        <f t="shared" si="47"/>
        <v>1.3710162445686853</v>
      </c>
      <c r="N119" s="15">
        <f t="shared" si="47"/>
        <v>1.3426038973935777</v>
      </c>
      <c r="O119" s="15">
        <f t="shared" si="47"/>
        <v>1.2661253032102804</v>
      </c>
      <c r="P119" s="15">
        <f t="shared" si="47"/>
        <v>1.3201968291583606</v>
      </c>
      <c r="Q119" s="15" t="str">
        <f t="shared" si="47"/>
        <v/>
      </c>
    </row>
    <row r="120" spans="1:17" ht="15.75" customHeight="1">
      <c r="A120" s="10"/>
      <c r="B120" s="70" t="s">
        <v>222</v>
      </c>
      <c r="C120" s="102">
        <f>C13/C105</f>
        <v>7.0630420943605887E-2</v>
      </c>
      <c r="D120" s="103"/>
      <c r="E120" s="271"/>
      <c r="F120" s="103"/>
      <c r="G120" s="102">
        <f>IF(G$4="","",G13/G105)</f>
        <v>0.102310110249777</v>
      </c>
      <c r="H120" s="102">
        <f t="shared" ref="H120:Q120" si="48">IF(H$4="","",H13/H105)</f>
        <v>0.15470164155221305</v>
      </c>
      <c r="I120" s="102">
        <f t="shared" si="48"/>
        <v>0.19887788088343192</v>
      </c>
      <c r="J120" s="102">
        <f t="shared" si="48"/>
        <v>0.17972500064092536</v>
      </c>
      <c r="K120" s="102">
        <f t="shared" si="48"/>
        <v>0.18847625903101278</v>
      </c>
      <c r="L120" s="102">
        <f t="shared" si="48"/>
        <v>0.15485492531468437</v>
      </c>
      <c r="M120" s="102">
        <f t="shared" si="48"/>
        <v>0.14154984275774057</v>
      </c>
      <c r="N120" s="102">
        <f t="shared" si="48"/>
        <v>0.13593765155632467</v>
      </c>
      <c r="O120" s="102">
        <f t="shared" si="48"/>
        <v>0.17636392145393559</v>
      </c>
      <c r="P120" s="102">
        <f t="shared" si="48"/>
        <v>0.17755069486529956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0.3694021343444851</v>
      </c>
      <c r="D124" s="27"/>
      <c r="E124" s="265"/>
      <c r="F124" s="27"/>
      <c r="G124" s="177">
        <f t="shared" ref="G124:Q124" si="49">IF(G$4="","",G16*$C$3/Common_Shares*Exchange_Rate)</f>
        <v>0.58970498534866211</v>
      </c>
      <c r="H124" s="177">
        <f t="shared" si="49"/>
        <v>0.99772017241961986</v>
      </c>
      <c r="I124" s="177">
        <f t="shared" si="49"/>
        <v>1.1367973953220816</v>
      </c>
      <c r="J124" s="177">
        <f t="shared" si="49"/>
        <v>0.9133383670999512</v>
      </c>
      <c r="K124" s="177">
        <f t="shared" si="49"/>
        <v>0.84555975828448293</v>
      </c>
      <c r="L124" s="177">
        <f t="shared" si="49"/>
        <v>0.56803899998493046</v>
      </c>
      <c r="M124" s="177">
        <f t="shared" si="49"/>
        <v>0.45109743968414234</v>
      </c>
      <c r="N124" s="177">
        <f t="shared" si="49"/>
        <v>0.41609276812489637</v>
      </c>
      <c r="O124" s="177">
        <f t="shared" si="49"/>
        <v>0.50869983724890366</v>
      </c>
      <c r="P124" s="177">
        <f t="shared" si="49"/>
        <v>0.4813316581021414</v>
      </c>
      <c r="Q124" s="177" t="str">
        <f t="shared" si="49"/>
        <v/>
      </c>
    </row>
    <row r="125" spans="1:17" ht="15.75" customHeight="1">
      <c r="A125" s="10"/>
      <c r="B125" s="27" t="s">
        <v>269</v>
      </c>
      <c r="C125" s="77">
        <f>C19*Exchange_Rate*$C$3/(Market_Price*Common_Shares)</f>
        <v>6.8918308646359158E-2</v>
      </c>
      <c r="D125" s="27"/>
      <c r="E125" s="265"/>
      <c r="F125" s="27"/>
      <c r="G125" s="77">
        <f t="shared" ref="G125" si="50">IF(G$4="","",G124/Market_Price)</f>
        <v>0.11001958681878024</v>
      </c>
      <c r="H125" s="77">
        <f t="shared" ref="H125" si="51">IF(H$4="","",H124/Market_Price)</f>
        <v>0.18614182321261563</v>
      </c>
      <c r="I125" s="77">
        <f t="shared" ref="I125" si="52">IF(I$4="","",I124/Market_Price)</f>
        <v>0.21208906629143312</v>
      </c>
      <c r="J125" s="77">
        <f t="shared" ref="J125" si="53">IF(J$4="","",J124/Market_Price)</f>
        <v>0.17039894908581177</v>
      </c>
      <c r="K125" s="77">
        <f t="shared" ref="K125" si="54">IF(K$4="","",K124/Market_Price)</f>
        <v>0.15775368624710501</v>
      </c>
      <c r="L125" s="77">
        <f t="shared" ref="L125" si="55">IF(L$4="","",L124/Market_Price)</f>
        <v>0.10597742537032284</v>
      </c>
      <c r="M125" s="77">
        <f t="shared" ref="M125" si="56">IF(M$4="","",M124/Market_Price)</f>
        <v>8.4159970090325054E-2</v>
      </c>
      <c r="N125" s="77">
        <f t="shared" ref="N125" si="57">IF(N$4="","",N124/Market_Price)</f>
        <v>7.7629247784495592E-2</v>
      </c>
      <c r="O125" s="77">
        <f t="shared" ref="O125" si="58">IF(O$4="","",O124/Market_Price)</f>
        <v>9.490668605389993E-2</v>
      </c>
      <c r="P125" s="77">
        <f t="shared" ref="P125" si="59">IF(P$4="","",P124/Market_Price)</f>
        <v>8.9800682481742791E-2</v>
      </c>
      <c r="Q125" s="77" t="str">
        <f t="shared" ref="Q125" si="60">IF(Q$4="","",Q124/Market_Price)</f>
        <v/>
      </c>
    </row>
    <row r="126" spans="1:17" ht="15.75" customHeight="1">
      <c r="B126" s="2" t="s">
        <v>397</v>
      </c>
      <c r="C126" s="169"/>
      <c r="G126" s="23">
        <f>IF(G$4="","",(Data!C47*$C$3)/(Market_Price*Common_Shares))</f>
        <v>0.12667872211599818</v>
      </c>
      <c r="H126" s="23">
        <f>IF(H$4="","",(Data!D47*$C$3)/(Market_Price*Common_Shares))</f>
        <v>0.20472916511566552</v>
      </c>
      <c r="I126" s="23">
        <f>IF(I$4="","",(Data!E47*$C$3)/(Market_Price*Common_Shares))</f>
        <v>0.22284565517999899</v>
      </c>
      <c r="J126" s="23">
        <f>IF(J$4="","",(Data!F47*$C$3)/(Market_Price*Common_Shares))</f>
        <v>0.19192620117214076</v>
      </c>
      <c r="K126" s="23">
        <f>IF(K$4="","",(Data!G47*$C$3)/(Market_Price*Common_Shares))</f>
        <v>0.15882240101501263</v>
      </c>
      <c r="L126" s="23">
        <f>IF(L$4="","",(Data!H47*$C$3)/(Market_Price*Common_Shares))</f>
        <v>0.1097996357668251</v>
      </c>
      <c r="M126" s="23">
        <f>IF(M$4="","",(Data!I47*$C$3)/(Market_Price*Common_Shares))</f>
        <v>9.0564527121021726E-2</v>
      </c>
      <c r="N126" s="23">
        <f>IF(N$4="","",(Data!J47*$C$3)/(Market_Price*Common_Shares))</f>
        <v>5.9140587730285715E-2</v>
      </c>
      <c r="O126" s="23">
        <f>IF(O$4="","",(Data!K47*$C$3)/(Market_Price*Common_Shares))</f>
        <v>0.10603400645471388</v>
      </c>
      <c r="P126" s="23">
        <f>IF(P$4="","",(Data!L47*$C$3)/(Market_Price*Common_Shares))</f>
        <v>0.10899520034961346</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392210.49972745095</v>
      </c>
      <c r="D4" t="str">
        <f>Reporting_currency</f>
        <v>HKD</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5229473.3296993459</v>
      </c>
      <c r="D6" t="str">
        <f>Reporting_currency</f>
        <v>HKD</v>
      </c>
      <c r="E6" s="364" t="s">
        <v>249</v>
      </c>
      <c r="F6" s="364"/>
      <c r="H6" s="120"/>
    </row>
    <row r="7" spans="2:8">
      <c r="B7" s="148" t="s">
        <v>224</v>
      </c>
      <c r="C7" s="338">
        <f>BS!G31</f>
        <v>87825</v>
      </c>
      <c r="D7" t="str">
        <f>Reporting_currency</f>
        <v>HKD</v>
      </c>
      <c r="E7" s="364"/>
      <c r="F7" s="364"/>
      <c r="H7" s="120"/>
    </row>
    <row r="8" spans="2:8">
      <c r="B8" s="148" t="s">
        <v>225</v>
      </c>
      <c r="C8" s="338">
        <f>BS!D66</f>
        <v>2338843.0327008888</v>
      </c>
      <c r="D8" t="str">
        <f>Reporting_currency</f>
        <v>HKD</v>
      </c>
      <c r="E8" s="364"/>
      <c r="F8" s="364"/>
      <c r="H8" s="120"/>
    </row>
    <row r="9" spans="2:8">
      <c r="B9" s="205" t="s">
        <v>190</v>
      </c>
      <c r="C9" s="348">
        <f>BS!H42</f>
        <v>57429</v>
      </c>
      <c r="D9" t="str">
        <f>Reporting_currency</f>
        <v>HKD</v>
      </c>
      <c r="E9" s="364"/>
      <c r="F9" s="364"/>
      <c r="H9" s="120"/>
    </row>
    <row r="10" spans="2:8" ht="13.15">
      <c r="B10" s="149" t="s">
        <v>227</v>
      </c>
      <c r="C10" s="347">
        <f>C6-C7+C8+C9</f>
        <v>7537920.3624002347</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7.0995648314473492</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3.3144882254640913E-2</v>
      </c>
      <c r="H16" s="120"/>
    </row>
    <row r="17" spans="2:17" ht="13.35" customHeight="1">
      <c r="B17" s="118" t="s">
        <v>134</v>
      </c>
      <c r="C17" s="162">
        <f>Scenarios!C64</f>
        <v>5</v>
      </c>
      <c r="H17" s="120"/>
    </row>
    <row r="18" spans="2:17" ht="13.35" customHeight="1">
      <c r="B18" s="153" t="s">
        <v>106</v>
      </c>
      <c r="C18" s="140">
        <f>(F52-C7+C8+C9)*Exchange_Rate/Common_Shares*scaling_factor</f>
        <v>7.3608683071354024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405210.2705599512</v>
      </c>
      <c r="D21" s="138">
        <f>IF($C$17&lt;B21,0,DCF!$C$16)</f>
        <v>3.3144882254640913E-2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3.3144882254640913E-2</v>
      </c>
      <c r="E22" s="124">
        <f t="shared" si="0"/>
        <v>0.86533261222282321</v>
      </c>
      <c r="F22" s="125">
        <f t="shared" si="1"/>
        <v>362263.63852117426</v>
      </c>
      <c r="H22" s="120"/>
    </row>
    <row r="23" spans="2:17">
      <c r="B23" s="122">
        <v>3</v>
      </c>
      <c r="C23" s="123">
        <f t="shared" si="2"/>
        <v>432516.72117578948</v>
      </c>
      <c r="D23" s="138">
        <f>IF($C$17&lt;B23,0,DCF!$C$16)</f>
        <v>3.3144882254640913E-2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3.3144882254640913E-2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3.3144882254640913E-2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5402803.607466016</v>
      </c>
      <c r="D51" s="139">
        <f>Terminal_Growth</f>
        <v>0</v>
      </c>
      <c r="E51" s="124">
        <f>1/(1+Equity_Cost)^C17</f>
        <v>0.69655863235011617</v>
      </c>
      <c r="F51" s="125">
        <f t="shared" si="1"/>
        <v>3763369.4916728018</v>
      </c>
      <c r="H51" s="120"/>
    </row>
    <row r="52" spans="1:17">
      <c r="C52" s="114"/>
      <c r="E52" s="127" t="s">
        <v>100</v>
      </c>
      <c r="F52" s="137">
        <f>SUM(F21:F51)</f>
        <v>5506910.7271902822</v>
      </c>
      <c r="H52" s="120"/>
    </row>
    <row r="53" spans="1:17">
      <c r="C53" s="114"/>
      <c r="H53" s="120"/>
    </row>
    <row r="54" spans="1:17" ht="13.15">
      <c r="B54" s="119" t="s">
        <v>129</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311</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445</v>
      </c>
      <c r="C2" s="37"/>
      <c r="D2" s="37"/>
      <c r="E2" s="37"/>
      <c r="F2" s="37"/>
      <c r="H2" s="130" t="s">
        <v>59</v>
      </c>
    </row>
    <row r="3" spans="2:8" ht="13.15">
      <c r="B3" s="109" t="s">
        <v>444</v>
      </c>
      <c r="C3" s="107">
        <f>scaling_factor</f>
        <v>1000</v>
      </c>
      <c r="E3" s="109" t="s">
        <v>124</v>
      </c>
      <c r="H3" s="120"/>
    </row>
    <row r="4" spans="2:8">
      <c r="B4" s="100" t="s">
        <v>442</v>
      </c>
      <c r="C4" s="114">
        <f>Normalized_FCF!C91</f>
        <v>382227.84</v>
      </c>
      <c r="D4" t="str">
        <f>Market_currency</f>
        <v>HKD</v>
      </c>
      <c r="E4" s="100" t="s">
        <v>250</v>
      </c>
      <c r="F4" s="134">
        <f>Thesis!E22</f>
        <v>0</v>
      </c>
      <c r="H4" s="120"/>
    </row>
    <row r="5" spans="2:8">
      <c r="B5" s="205" t="s">
        <v>123</v>
      </c>
      <c r="C5" s="206">
        <f>Equity_Cost</f>
        <v>7.4999999999999997E-2</v>
      </c>
      <c r="E5" s="148"/>
      <c r="H5" s="120"/>
    </row>
    <row r="6" spans="2:8" ht="13.35" customHeight="1">
      <c r="B6" s="149" t="s">
        <v>443</v>
      </c>
      <c r="C6" s="319">
        <f>(C4*(1+Terminal_Growth))/(Equity_Cost-Terminal_Growth)</f>
        <v>5096371.2</v>
      </c>
      <c r="D6" t="str">
        <f>Reporting_currency</f>
        <v>HKD</v>
      </c>
      <c r="E6" s="364"/>
      <c r="F6" s="364"/>
      <c r="H6" s="120"/>
    </row>
    <row r="7" spans="2:8" ht="13.15">
      <c r="B7" s="149" t="s">
        <v>446</v>
      </c>
      <c r="C7" s="111">
        <f>(C6*scaling_factor)/Common_Shares*Exchange_Rate</f>
        <v>4.8</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3.3144882254640913E-2</v>
      </c>
      <c r="H11" s="120"/>
    </row>
    <row r="12" spans="2:8" ht="13.35" customHeight="1">
      <c r="B12" s="118" t="s">
        <v>134</v>
      </c>
      <c r="C12" s="162">
        <f>Scenarios!C64</f>
        <v>5</v>
      </c>
      <c r="H12" s="120"/>
    </row>
    <row r="13" spans="2:8" ht="13.35" customHeight="1">
      <c r="B13" s="153" t="s">
        <v>106</v>
      </c>
      <c r="C13" s="140">
        <f>F47/Common_Shares*scaling_factor</f>
        <v>5.0546527009504914</v>
      </c>
      <c r="D13" t="str">
        <f>Market_currency</f>
        <v>HKD</v>
      </c>
      <c r="H13" s="120"/>
    </row>
    <row r="14" spans="2:8">
      <c r="H14" s="120"/>
    </row>
    <row r="15" spans="2:8" ht="13.15">
      <c r="B15" s="128" t="s">
        <v>107</v>
      </c>
      <c r="C15" s="128" t="s">
        <v>448</v>
      </c>
      <c r="D15" s="128" t="s">
        <v>118</v>
      </c>
      <c r="E15" s="128" t="s">
        <v>109</v>
      </c>
      <c r="F15" s="129" t="s">
        <v>447</v>
      </c>
      <c r="H15" s="120"/>
    </row>
    <row r="16" spans="2:8">
      <c r="B16" s="122">
        <v>1</v>
      </c>
      <c r="C16" s="123">
        <f>C4*(1+D16)</f>
        <v>394896.73675124574</v>
      </c>
      <c r="D16" s="138">
        <f>IF($C$12&lt;B16,0,DDM!$C$11)</f>
        <v>3.3144882254640913E-2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3.3144882254640913E-2</v>
      </c>
      <c r="E17" s="124">
        <f t="shared" si="0"/>
        <v>0.86533261222282321</v>
      </c>
      <c r="F17" s="125">
        <f t="shared" si="1"/>
        <v>353043.19532167248</v>
      </c>
      <c r="H17" s="120"/>
    </row>
    <row r="18" spans="2:8">
      <c r="B18" s="122">
        <v>3</v>
      </c>
      <c r="C18" s="123">
        <f t="shared" si="2"/>
        <v>421508.17536446865</v>
      </c>
      <c r="D18" s="138">
        <f>IF($C$12&lt;B18,0,DDM!$C$11)</f>
        <v>3.3144882254640913E-2</v>
      </c>
      <c r="E18" s="124">
        <f t="shared" si="0"/>
        <v>0.80496056950960304</v>
      </c>
      <c r="F18" s="125">
        <f t="shared" si="1"/>
        <v>339297.46089433634</v>
      </c>
      <c r="H18" s="120"/>
    </row>
    <row r="19" spans="2:8">
      <c r="B19" s="122">
        <v>4</v>
      </c>
      <c r="C19" s="123">
        <f t="shared" si="2"/>
        <v>435479.01420629246</v>
      </c>
      <c r="D19" s="138">
        <f>IF($C$12&lt;B19,0,DDM!$C$11)</f>
        <v>3.3144882254640913E-2</v>
      </c>
      <c r="E19" s="124">
        <f t="shared" si="0"/>
        <v>0.7488005297763749</v>
      </c>
      <c r="F19" s="125">
        <f t="shared" si="1"/>
        <v>326086.91654416529</v>
      </c>
      <c r="H19" s="120"/>
    </row>
    <row r="20" spans="2:8">
      <c r="B20" s="122">
        <v>5</v>
      </c>
      <c r="C20" s="123">
        <f t="shared" si="2"/>
        <v>449912.91485652718</v>
      </c>
      <c r="D20" s="138">
        <f>IF($C$12&lt;B20,0,DDM!$C$11)</f>
        <v>3.3144882254640913E-2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5265289.8233499434</v>
      </c>
      <c r="D46" s="139">
        <f>Terminal_Growth</f>
        <v>0</v>
      </c>
      <c r="E46" s="124">
        <f>1/(1+Equity_Cost)^C12</f>
        <v>0.69655863235011617</v>
      </c>
      <c r="F46" s="125">
        <f t="shared" si="1"/>
        <v>3667583.0782796214</v>
      </c>
      <c r="H46" s="120"/>
    </row>
    <row r="47" spans="2:8">
      <c r="C47" s="114"/>
      <c r="E47" s="127" t="s">
        <v>100</v>
      </c>
      <c r="F47" s="137">
        <f>SUM(F16:F46)</f>
        <v>5366747.1773179779</v>
      </c>
      <c r="H47" s="120"/>
    </row>
    <row r="48" spans="2:8">
      <c r="C48" s="114"/>
      <c r="H48" s="120"/>
    </row>
    <row r="49" spans="1:8" ht="13.15">
      <c r="B49" s="119" t="s">
        <v>129</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311</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32" zoomScale="75" zoomScaleNormal="100" workbookViewId="0">
      <selection activeCell="E74" sqref="E7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296</v>
      </c>
      <c r="I2" s="249"/>
    </row>
    <row r="3" spans="2:9" ht="13.15">
      <c r="B3" s="159" t="s">
        <v>148</v>
      </c>
      <c r="H3" s="247">
        <v>0</v>
      </c>
      <c r="I3" s="124">
        <f>-Market_Price</f>
        <v>-5.36</v>
      </c>
    </row>
    <row r="4" spans="2:9">
      <c r="B4" s="152" t="s">
        <v>146</v>
      </c>
      <c r="C4" s="120">
        <v>3</v>
      </c>
      <c r="D4" s="120"/>
      <c r="E4" s="155" t="s">
        <v>150</v>
      </c>
      <c r="F4" s="155"/>
      <c r="H4" s="247">
        <v>1</v>
      </c>
      <c r="I4" s="124">
        <f t="shared" ref="I4:I13" si="0">IF(ROW()-3 &lt; $C$76, $C$77, IF(ROW()-3 = $C$76, $C$77 + $C$60, ""))</f>
        <v>0.36</v>
      </c>
    </row>
    <row r="5" spans="2:9">
      <c r="H5" s="247">
        <v>2</v>
      </c>
      <c r="I5" s="124">
        <f t="shared" si="0"/>
        <v>0.36</v>
      </c>
    </row>
    <row r="6" spans="2:9" ht="13.15">
      <c r="B6" s="159" t="s">
        <v>95</v>
      </c>
      <c r="C6" s="107">
        <f>DCF!C3</f>
        <v>1000</v>
      </c>
      <c r="E6" s="100" t="s">
        <v>279</v>
      </c>
      <c r="F6" s="100"/>
      <c r="H6" s="247">
        <v>3</v>
      </c>
      <c r="I6" s="124">
        <f t="shared" si="0"/>
        <v>7.724269306623964</v>
      </c>
    </row>
    <row r="7" spans="2:9" ht="12.75" customHeight="1">
      <c r="B7" s="100" t="s">
        <v>275</v>
      </c>
      <c r="C7" s="338">
        <f>Normalized_FCF!G8</f>
        <v>762967</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66"/>
      <c r="H7" s="247">
        <v>4</v>
      </c>
      <c r="I7" s="124" t="str">
        <f t="shared" si="0"/>
        <v/>
      </c>
    </row>
    <row r="8" spans="2:9">
      <c r="B8" s="100" t="s">
        <v>66</v>
      </c>
      <c r="C8" s="338">
        <f>Normalized_FCF!G19</f>
        <v>626115.72996402986</v>
      </c>
      <c r="D8" t="str">
        <f>Reporting_currency</f>
        <v>HKD</v>
      </c>
      <c r="E8" s="366"/>
      <c r="F8" s="366"/>
      <c r="H8" s="247">
        <v>5</v>
      </c>
      <c r="I8" s="124" t="str">
        <f t="shared" si="0"/>
        <v/>
      </c>
    </row>
    <row r="9" spans="2:9">
      <c r="B9" s="100" t="s">
        <v>57</v>
      </c>
      <c r="C9" s="338">
        <f>Normalized_FCF!C19</f>
        <v>392210.49972745095</v>
      </c>
      <c r="D9" t="str">
        <f>Reporting_currency</f>
        <v>HKD</v>
      </c>
      <c r="E9" s="366"/>
      <c r="F9" s="366"/>
      <c r="H9" s="247">
        <v>6</v>
      </c>
      <c r="I9" s="124" t="str">
        <f t="shared" si="0"/>
        <v/>
      </c>
    </row>
    <row r="10" spans="2:9">
      <c r="E10" s="366"/>
      <c r="F10" s="366"/>
      <c r="H10" s="247">
        <v>7</v>
      </c>
      <c r="I10" s="124" t="str">
        <f t="shared" si="0"/>
        <v/>
      </c>
    </row>
    <row r="11" spans="2:9" ht="13.15">
      <c r="B11" s="159" t="s">
        <v>449</v>
      </c>
      <c r="E11" s="366"/>
      <c r="F11" s="366"/>
      <c r="H11" s="247">
        <v>8</v>
      </c>
      <c r="I11" s="124" t="str">
        <f t="shared" si="0"/>
        <v/>
      </c>
    </row>
    <row r="12" spans="2:9">
      <c r="B12" s="118" t="s">
        <v>144</v>
      </c>
      <c r="C12" s="158">
        <f ca="1">(Normalized_FCF!G4/OFFSET(Normalized_FCF!G4, 0, $C$4))^(1/$C$4) - 1</f>
        <v>-5.6448033822130816E-2</v>
      </c>
      <c r="D12" s="158"/>
      <c r="E12" s="366"/>
      <c r="F12" s="366"/>
      <c r="H12" s="247">
        <v>9</v>
      </c>
      <c r="I12" s="124" t="str">
        <f t="shared" si="0"/>
        <v/>
      </c>
    </row>
    <row r="13" spans="2:9">
      <c r="B13" s="148" t="s">
        <v>152</v>
      </c>
      <c r="C13" s="158">
        <f ca="1">(Normalized_FCF!G8/OFFSET(Normalized_FCF!G8, 0, $C$4))^(1/$C$4) - 1</f>
        <v>-0.12852816016361679</v>
      </c>
      <c r="E13" s="366"/>
      <c r="F13" s="366"/>
      <c r="H13" s="247">
        <v>10</v>
      </c>
      <c r="I13" s="124" t="str">
        <f t="shared" si="0"/>
        <v/>
      </c>
    </row>
    <row r="14" spans="2:9">
      <c r="B14" s="100" t="s">
        <v>66</v>
      </c>
      <c r="C14" s="158">
        <f ca="1">(Normalized_FCF!G19/OFFSET(Normalized_FCF!G19, 0, $C$4))^(1/$C$4) - 1</f>
        <v>-0.13569365902210184</v>
      </c>
      <c r="E14" s="366"/>
      <c r="F14" s="366"/>
    </row>
    <row r="16" spans="2:9" ht="13.9">
      <c r="B16" s="36" t="s">
        <v>162</v>
      </c>
      <c r="C16" s="37"/>
      <c r="D16" s="37"/>
      <c r="E16" s="37"/>
      <c r="F16" s="37"/>
    </row>
    <row r="17" spans="2:6" ht="13.15">
      <c r="B17" s="109" t="s">
        <v>151</v>
      </c>
      <c r="E17" s="159" t="s">
        <v>331</v>
      </c>
    </row>
    <row r="18" spans="2:6">
      <c r="B18" s="152" t="s">
        <v>133</v>
      </c>
      <c r="C18" s="150">
        <v>5</v>
      </c>
      <c r="E18" s="366" t="s">
        <v>332</v>
      </c>
      <c r="F18" s="367"/>
    </row>
    <row r="19" spans="2:6">
      <c r="E19" s="367"/>
      <c r="F19" s="367"/>
    </row>
    <row r="20" spans="2:6" ht="13.15">
      <c r="B20" s="159" t="s">
        <v>304</v>
      </c>
      <c r="E20" s="367"/>
      <c r="F20" s="367"/>
    </row>
    <row r="21" spans="2:6">
      <c r="B21" s="100" t="s">
        <v>277</v>
      </c>
      <c r="C21" s="160">
        <f>Market_Price</f>
        <v>5.36</v>
      </c>
      <c r="D21" t="str">
        <f>Market_currency</f>
        <v>HKD</v>
      </c>
      <c r="E21" s="367"/>
      <c r="F21" s="367"/>
    </row>
    <row r="22" spans="2:6">
      <c r="B22" s="100" t="s">
        <v>278</v>
      </c>
      <c r="C22" s="160">
        <f>IF(valuation_method="DCF",DCF!C12,DDM!C7)</f>
        <v>7.0995648314473492</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0.03</v>
      </c>
      <c r="D26" s="164"/>
      <c r="E26" s="365"/>
      <c r="F26" s="365"/>
    </row>
    <row r="27" spans="2:6">
      <c r="B27" s="100" t="s">
        <v>113</v>
      </c>
      <c r="C27" s="160">
        <f>IF(valuation_method="DCF",DCF!E76,DDM!E71)</f>
        <v>7.3355372744552945</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0.01</v>
      </c>
      <c r="D32" s="164"/>
      <c r="E32" s="365"/>
      <c r="F32" s="365"/>
    </row>
    <row r="33" spans="2:6">
      <c r="B33" s="100" t="s">
        <v>113</v>
      </c>
      <c r="C33" s="160">
        <f>IF(valuation_method="DCF",DCF!E77,DDM!E72)</f>
        <v>7.1771011945027929</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0.05</v>
      </c>
      <c r="D38" s="164"/>
      <c r="E38" s="365"/>
      <c r="F38" s="365"/>
    </row>
    <row r="39" spans="2:6">
      <c r="B39" s="100" t="s">
        <v>113</v>
      </c>
      <c r="C39" s="160">
        <f>IF(valuation_method="DCF",DCF!E75,DDM!E70)</f>
        <v>7.4986225888941824</v>
      </c>
      <c r="D39" t="str">
        <f>Market_currency</f>
        <v>HKD</v>
      </c>
      <c r="E39" s="365"/>
      <c r="F39" s="365"/>
    </row>
    <row r="40" spans="2:6">
      <c r="B40" s="100" t="s">
        <v>147</v>
      </c>
      <c r="C40" s="167">
        <f>1-C28-C34</f>
        <v>0.2</v>
      </c>
      <c r="D40" s="165"/>
      <c r="E40" s="365"/>
      <c r="F40" s="365"/>
    </row>
    <row r="42" spans="2:6" ht="13.15">
      <c r="B42" s="100" t="s">
        <v>120</v>
      </c>
      <c r="C42" s="154">
        <f>C27*C28+C33*C34+C39*C40</f>
        <v>7.3364671213525714</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7.0995648314473501</v>
      </c>
      <c r="D51" t="str">
        <f>Market_currency</f>
        <v>HKD</v>
      </c>
      <c r="E51" s="365"/>
      <c r="F51" s="365"/>
    </row>
    <row r="52" spans="2:6">
      <c r="B52" s="100" t="s">
        <v>147</v>
      </c>
      <c r="C52" s="165">
        <v>0.05</v>
      </c>
      <c r="D52" s="165"/>
      <c r="E52" s="365"/>
      <c r="F52" s="365"/>
    </row>
    <row r="54" spans="2:6" ht="13.15">
      <c r="B54" s="159" t="s">
        <v>317</v>
      </c>
      <c r="E54" s="159" t="s">
        <v>149</v>
      </c>
      <c r="F54" s="159"/>
    </row>
    <row r="55" spans="2:6">
      <c r="B55" s="152" t="s">
        <v>133</v>
      </c>
      <c r="C55" s="166">
        <f>C46</f>
        <v>10</v>
      </c>
      <c r="D55" s="163"/>
      <c r="E55" s="365"/>
      <c r="F55" s="365"/>
    </row>
    <row r="56" spans="2:6">
      <c r="B56" s="118" t="s">
        <v>134</v>
      </c>
      <c r="C56" s="164">
        <v>0.06</v>
      </c>
      <c r="D56" s="164"/>
      <c r="E56" s="365"/>
      <c r="F56" s="365"/>
    </row>
    <row r="57" spans="2:6">
      <c r="B57" s="100" t="s">
        <v>113</v>
      </c>
      <c r="C57" s="160">
        <f>IF(valuation_method="DCF",DCF!E74,DDM!E69)</f>
        <v>8.1294131166856403</v>
      </c>
      <c r="D57" t="str">
        <f>Market_currency</f>
        <v>HKD</v>
      </c>
      <c r="E57" s="365"/>
      <c r="F57" s="365"/>
    </row>
    <row r="58" spans="2:6">
      <c r="B58" s="100" t="s">
        <v>147</v>
      </c>
      <c r="C58" s="165">
        <v>0.05</v>
      </c>
      <c r="D58" s="165"/>
      <c r="E58" s="365"/>
      <c r="F58" s="365"/>
    </row>
    <row r="60" spans="2:6" ht="13.15">
      <c r="B60" s="100" t="s">
        <v>120</v>
      </c>
      <c r="C60" s="154">
        <f>C51*C52+C57*C58+C42*(1-C52-C58)</f>
        <v>7.3642693066239637</v>
      </c>
      <c r="D60" t="str">
        <f>Market_currency</f>
        <v>HKD</v>
      </c>
      <c r="E60" s="100" t="s">
        <v>297</v>
      </c>
      <c r="F60" s="277">
        <f>Thesis!F28</f>
        <v>3</v>
      </c>
    </row>
    <row r="62" spans="2:6" ht="13.9">
      <c r="B62" s="36" t="s">
        <v>351</v>
      </c>
      <c r="C62" s="37"/>
      <c r="D62" s="37"/>
      <c r="E62" s="37"/>
      <c r="F62" s="37"/>
    </row>
    <row r="63" spans="2:6" ht="13.15">
      <c r="B63" s="109" t="s">
        <v>305</v>
      </c>
      <c r="E63" s="252" t="s">
        <v>312</v>
      </c>
    </row>
    <row r="64" spans="2:6">
      <c r="B64" s="152" t="s">
        <v>133</v>
      </c>
      <c r="C64" s="166">
        <f>C18</f>
        <v>5</v>
      </c>
      <c r="D64" s="150"/>
      <c r="E64" s="251" t="s">
        <v>398</v>
      </c>
    </row>
    <row r="65" spans="2:6">
      <c r="B65" s="118" t="s">
        <v>134</v>
      </c>
      <c r="C65" s="151">
        <v>3.3144882254640913E-2</v>
      </c>
      <c r="D65" s="151"/>
      <c r="E65" s="251" t="s">
        <v>313</v>
      </c>
    </row>
    <row r="66" spans="2:6">
      <c r="B66" s="100" t="s">
        <v>102</v>
      </c>
      <c r="C66" s="160">
        <f>IF(valuation_method="DCF",DCF!C18,DDM!C13)</f>
        <v>7.3608683071354024</v>
      </c>
      <c r="D66" s="160" t="str">
        <f>Market_currency</f>
        <v>HKD</v>
      </c>
      <c r="E66" s="251" t="s">
        <v>314</v>
      </c>
    </row>
    <row r="68" spans="2:6" ht="13.15">
      <c r="B68" s="109" t="s">
        <v>352</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348</v>
      </c>
      <c r="F72" s="291">
        <f>BS!D89/C60</f>
        <v>0.29523676411886662</v>
      </c>
    </row>
    <row r="74" spans="2:6" ht="13.9">
      <c r="B74" s="36" t="s">
        <v>127</v>
      </c>
      <c r="C74" s="37"/>
      <c r="D74" s="37"/>
      <c r="E74" s="37"/>
      <c r="F74" s="37"/>
    </row>
    <row r="75" spans="2:6" ht="13.15">
      <c r="B75" s="109" t="s">
        <v>125</v>
      </c>
    </row>
    <row r="76" spans="2:6">
      <c r="B76" s="246" t="s">
        <v>298</v>
      </c>
      <c r="C76" s="245">
        <f>F60</f>
        <v>3</v>
      </c>
      <c r="D76" s="134"/>
    </row>
    <row r="77" spans="2:6">
      <c r="B77" s="100" t="s">
        <v>111</v>
      </c>
      <c r="C77" s="173">
        <f>Normalized_FCF!C90</f>
        <v>0.36</v>
      </c>
      <c r="D77" t="str">
        <f>Market_currency</f>
        <v>HKD</v>
      </c>
    </row>
    <row r="79" spans="2:6" ht="13.15">
      <c r="B79" s="109" t="s">
        <v>302</v>
      </c>
    </row>
    <row r="80" spans="2:6">
      <c r="B80" s="148" t="s">
        <v>300</v>
      </c>
      <c r="C80" s="167">
        <f>Thesis!F29</f>
        <v>0.3674</v>
      </c>
    </row>
    <row r="81" spans="2:8">
      <c r="B81" s="100" t="s">
        <v>121</v>
      </c>
      <c r="C81" s="116">
        <f>PV(C80, C76, -C77, 0)</f>
        <v>0.59661335497134915</v>
      </c>
      <c r="D81" s="116"/>
      <c r="E81" s="100"/>
      <c r="F81" s="100"/>
    </row>
    <row r="82" spans="2:8">
      <c r="B82" s="100" t="s">
        <v>122</v>
      </c>
      <c r="C82" s="116">
        <f>C60/(1+C80)^C76</f>
        <v>2.8803345595400174</v>
      </c>
      <c r="D82" s="116"/>
    </row>
    <row r="83" spans="2:8" ht="13.15">
      <c r="B83" s="110" t="s">
        <v>101</v>
      </c>
      <c r="C83" s="111">
        <f>C81+C82</f>
        <v>3.4769479145113666</v>
      </c>
      <c r="D83" t="str">
        <f>Market_currency</f>
        <v>HKD</v>
      </c>
      <c r="E83" s="146" t="s">
        <v>126</v>
      </c>
      <c r="F83" s="291">
        <f>(1-C83/C60)</f>
        <v>0.52786247083822091</v>
      </c>
    </row>
    <row r="84" spans="2:8">
      <c r="E84" s="120"/>
    </row>
    <row r="85" spans="2:8" ht="13.15">
      <c r="B85" s="109" t="s">
        <v>303</v>
      </c>
    </row>
    <row r="86" spans="2:8">
      <c r="B86" s="148" t="s">
        <v>301</v>
      </c>
      <c r="C86" s="116">
        <f>Market_Price</f>
        <v>5.36</v>
      </c>
      <c r="D86" t="str">
        <f>Market_currency</f>
        <v>HKD</v>
      </c>
    </row>
    <row r="87" spans="2:8" ht="13.15">
      <c r="B87" s="100" t="s">
        <v>299</v>
      </c>
      <c r="C87" s="237">
        <f ca="1">IRR(OFFSET($I$3, 0, 0, $C$76 + 1, 1))</f>
        <v>0.17257120575125606</v>
      </c>
    </row>
    <row r="88" spans="2:8">
      <c r="B88" s="100"/>
    </row>
    <row r="89" spans="2:8" ht="13.15">
      <c r="B89" s="109" t="s">
        <v>415</v>
      </c>
    </row>
    <row r="90" spans="2:8">
      <c r="B90" s="148" t="s">
        <v>416</v>
      </c>
      <c r="C90" s="167">
        <f>Thesis!F30</f>
        <v>0.21740000000000001</v>
      </c>
    </row>
    <row r="91" spans="2:8">
      <c r="B91" s="100" t="s">
        <v>121</v>
      </c>
      <c r="C91" s="116">
        <f>PV(C90, C76, -C77, 0)</f>
        <v>0.73814429659137726</v>
      </c>
      <c r="D91" s="116"/>
      <c r="E91" s="100"/>
      <c r="F91" s="100"/>
    </row>
    <row r="92" spans="2:8">
      <c r="B92" s="100" t="s">
        <v>122</v>
      </c>
      <c r="C92" s="116">
        <f>C60/(1+C90)^C76</f>
        <v>4.0815936888806634</v>
      </c>
      <c r="D92" s="116"/>
    </row>
    <row r="93" spans="2:8" ht="13.15">
      <c r="B93" s="110" t="s">
        <v>101</v>
      </c>
      <c r="C93" s="111">
        <f>C91+C92</f>
        <v>4.8197379854720408</v>
      </c>
      <c r="D93" t="str">
        <f>Market_currency</f>
        <v>HKD</v>
      </c>
      <c r="E93" s="146" t="s">
        <v>126</v>
      </c>
      <c r="F93" s="291">
        <f>(1-C93/C60)</f>
        <v>0.34552393661964331</v>
      </c>
    </row>
    <row r="95" spans="2:8" ht="13.15">
      <c r="B95" s="109" t="s">
        <v>400</v>
      </c>
      <c r="G95" s="2"/>
      <c r="H95" s="281"/>
    </row>
    <row r="96" spans="2:8">
      <c r="B96" s="148" t="s">
        <v>406</v>
      </c>
      <c r="C96" s="134">
        <f>Thesis!F31</f>
        <v>7.4999999999999997E-2</v>
      </c>
      <c r="G96" s="2"/>
      <c r="H96" s="281"/>
    </row>
    <row r="97" spans="2:8">
      <c r="B97" s="100" t="s">
        <v>121</v>
      </c>
      <c r="C97" s="116">
        <f>PV(C96, C76, -C77, 0)</f>
        <v>0.93618926635390554</v>
      </c>
      <c r="D97" s="116"/>
      <c r="G97" s="2"/>
      <c r="H97" s="281"/>
    </row>
    <row r="98" spans="2:8">
      <c r="B98" s="100" t="s">
        <v>122</v>
      </c>
      <c r="C98" s="116">
        <f>C60/(1+C96)^C76</f>
        <v>5.9279464150821148</v>
      </c>
      <c r="D98" s="116"/>
      <c r="G98" s="2"/>
      <c r="H98" s="281"/>
    </row>
    <row r="99" spans="2:8" ht="13.15">
      <c r="B99" s="110" t="s">
        <v>401</v>
      </c>
      <c r="C99" s="111">
        <f>C97+C98</f>
        <v>6.8641356814360206</v>
      </c>
      <c r="D99" t="s">
        <v>399</v>
      </c>
      <c r="E99" s="146" t="s">
        <v>126</v>
      </c>
      <c r="F99" s="291">
        <f>(1-C99/C60)</f>
        <v>6.7913543674738563E-2</v>
      </c>
    </row>
    <row r="100" spans="2:8">
      <c r="B100" s="100"/>
    </row>
    <row r="101" spans="2:8" ht="13.15">
      <c r="B101" s="109" t="s">
        <v>424</v>
      </c>
    </row>
    <row r="102" spans="2:8">
      <c r="B102" s="148" t="s">
        <v>423</v>
      </c>
      <c r="C102" s="134">
        <f>Thesis!F32</f>
        <v>0.1174</v>
      </c>
    </row>
    <row r="103" spans="2:8">
      <c r="B103" s="100" t="s">
        <v>121</v>
      </c>
      <c r="C103" s="116">
        <f>PV(C102, C76, -C77, 0)</f>
        <v>0.86853712533791372</v>
      </c>
      <c r="D103" s="116"/>
    </row>
    <row r="104" spans="2:8">
      <c r="B104" s="100" t="s">
        <v>122</v>
      </c>
      <c r="C104" s="116">
        <f>C60/(1+C102)^C76</f>
        <v>5.27841656248264</v>
      </c>
      <c r="D104" s="116"/>
    </row>
    <row r="105" spans="2:8" ht="13.15">
      <c r="B105" s="110" t="s">
        <v>401</v>
      </c>
      <c r="C105" s="111">
        <f>C103+C104</f>
        <v>6.1469536878205542</v>
      </c>
      <c r="D105" t="s">
        <v>399</v>
      </c>
      <c r="E105" s="146" t="s">
        <v>126</v>
      </c>
      <c r="F105" s="291">
        <f>(1-C105/C66)</f>
        <v>0.16491459548843124</v>
      </c>
    </row>
    <row r="106" spans="2:8">
      <c r="B106" s="100"/>
    </row>
    <row r="107" spans="2:8" ht="14.65">
      <c r="E107" s="285" t="s">
        <v>326</v>
      </c>
      <c r="F107" s="282"/>
    </row>
    <row r="108" spans="2:8" ht="13.9">
      <c r="E108" s="278" t="s">
        <v>327</v>
      </c>
      <c r="F108" s="283" t="s">
        <v>328</v>
      </c>
    </row>
    <row r="109" spans="2:8" ht="13.9">
      <c r="E109" s="279" t="s">
        <v>327</v>
      </c>
      <c r="F109" s="283" t="s">
        <v>329</v>
      </c>
    </row>
    <row r="110" spans="2:8" ht="13.9">
      <c r="E110" s="280" t="s">
        <v>327</v>
      </c>
      <c r="F110" s="284"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2025-06-07T06:27:43Z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