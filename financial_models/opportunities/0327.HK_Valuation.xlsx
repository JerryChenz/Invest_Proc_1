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57130E07-8E91-DB44-8A17-5B40345CD4C4}" xr6:coauthVersionLast="47" xr6:coauthVersionMax="47" xr10:uidLastSave="{00000000-0000-0000-0000-000000000000}"/>
  <bookViews>
    <workbookView xWindow="0" yWindow="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F38" i="4" s="1"/>
  <c r="D37" i="4"/>
  <c r="E37" i="4"/>
  <c r="F37" i="4"/>
  <c r="E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9" i="6" l="1"/>
  <c r="B129" i="12"/>
  <c r="B130" i="6"/>
  <c r="B130" i="12"/>
  <c r="B128" i="6"/>
  <c r="B128" i="12"/>
  <c r="B126" i="6"/>
  <c r="B126" i="12"/>
  <c r="C66" i="2"/>
  <c r="C58" i="2" s="1"/>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P119" i="2"/>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<sst xmlns="http://schemas.openxmlformats.org/spreadsheetml/2006/main" count="836" uniqueCount="560">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</sst>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family val="2"/>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C0164295-F4D5-499D-8E1E-F301B48E18D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file:///C:/Users/jerry/PycharmProjects/Invest_Proc/financial_models/opportunities/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1061744000</v>
          </cell>
        </row>
        <row r="12">
          <cell r="C12">
            <v>6.5</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45805</v>
      </c>
      <c r="D1" s="316" t="s">
        <v>426</v>
      </c>
      <c r="E1" s="292" t="s">
        <v>344</v>
      </c>
      <c r="F1" s="254" t="s">
        <v>551</v>
      </c>
    </row>
    <row r="2" spans="1:10" ht="16" x14ac:dyDescent="0.25">
      <c r="A2" s="222" t="s">
        <v>263</v>
      </c>
      <c r="B2" s="36"/>
      <c r="C2" s="36"/>
      <c r="D2" s="36"/>
      <c r="E2" s="36"/>
      <c r="F2" s="36"/>
      <c r="G2" s="22"/>
      <c r="H2" s="22"/>
      <c r="I2" s="22"/>
      <c r="J2" s="22"/>
    </row>
    <row r="4" spans="1:10" x14ac:dyDescent="0.15">
      <c r="B4" s="45" t="s">
        <v>394</v>
      </c>
      <c r="C4" s="46"/>
      <c r="D4" s="5"/>
      <c r="E4" s="2"/>
      <c r="F4" s="2"/>
    </row>
    <row r="5" spans="1:10" ht="14" x14ac:dyDescent="0.2">
      <c r="B5" s="4" t="s">
        <v>458</v>
      </c>
      <c r="C5" s="294" t="s">
        <v>552</v>
      </c>
    </row>
    <row r="6" spans="1:10" x14ac:dyDescent="0.15">
      <c r="B6" s="4" t="s">
        <v>459</v>
      </c>
      <c r="C6" s="51">
        <v>1061744000</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396</v>
      </c>
      <c r="C10" s="46"/>
      <c r="E10" s="34"/>
    </row>
    <row r="11" spans="1:10" x14ac:dyDescent="0.15">
      <c r="B11" s="1" t="s">
        <v>462</v>
      </c>
      <c r="C11" s="49" t="s">
        <v>553</v>
      </c>
      <c r="D11" s="49" t="s">
        <v>554</v>
      </c>
      <c r="E11" s="34"/>
    </row>
    <row r="12" spans="1:10" x14ac:dyDescent="0.15">
      <c r="B12" s="4" t="s">
        <v>463</v>
      </c>
      <c r="C12" s="50">
        <v>6.99</v>
      </c>
      <c r="D12" s="50"/>
      <c r="E12" s="48"/>
    </row>
    <row r="13" spans="1:10" x14ac:dyDescent="0.15">
      <c r="B13" s="1" t="s">
        <v>464</v>
      </c>
      <c r="C13" s="48" t="s">
        <v>377</v>
      </c>
      <c r="D13" s="48"/>
      <c r="E13" s="5"/>
    </row>
    <row r="14" spans="1:10" x14ac:dyDescent="0.15">
      <c r="B14" s="4" t="s">
        <v>465</v>
      </c>
      <c r="C14" s="35">
        <f>Thesis!C12*Common_Shares/1000000</f>
        <v>7421.5905599999996</v>
      </c>
      <c r="D14" s="35" t="str">
        <f>IF(D11="","",Thesis!D12*Common_Shares/1000000)</f>
        <v/>
      </c>
      <c r="E14" s="5"/>
    </row>
    <row r="15" spans="1:10" x14ac:dyDescent="0.15">
      <c r="B15" s="4" t="s">
        <v>466</v>
      </c>
      <c r="C15" s="32" t="str">
        <f>IF(C25=C13,C13,C25&amp;"/"&amp;C13)</f>
        <v>HKD</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415</v>
      </c>
      <c r="E21" s="308" t="s">
        <v>557</v>
      </c>
    </row>
    <row r="22" spans="2:6" x14ac:dyDescent="0.15">
      <c r="B22" s="2" t="s">
        <v>54</v>
      </c>
      <c r="C22" s="48" t="s">
        <v>555</v>
      </c>
      <c r="D22" s="1" t="str">
        <f>IF(valuation_method="DDM","Terminal Value Discount Rate","")</f>
        <v/>
      </c>
      <c r="E22" s="313"/>
    </row>
    <row r="23" spans="2:6" x14ac:dyDescent="0.15">
      <c r="B23" s="1" t="s">
        <v>410</v>
      </c>
      <c r="C23" s="262" t="s">
        <v>556</v>
      </c>
    </row>
    <row r="24" spans="2:6" x14ac:dyDescent="0.15">
      <c r="B24" s="1" t="s">
        <v>411</v>
      </c>
      <c r="C24" s="262" t="s">
        <v>556</v>
      </c>
    </row>
    <row r="25" spans="2:6" x14ac:dyDescent="0.15">
      <c r="B25" s="4" t="s">
        <v>338</v>
      </c>
      <c r="C25" s="48" t="s">
        <v>377</v>
      </c>
      <c r="D25" s="32" t="str">
        <f>IF(D11="","",Market_currency&amp;"/"&amp;D13&amp;":")</f>
        <v/>
      </c>
      <c r="E25" s="299" t="str">
        <f>IF(D11="","",1/Exchange_Rate*D16)</f>
        <v/>
      </c>
    </row>
    <row r="26" spans="2:6" x14ac:dyDescent="0.15">
      <c r="B26" s="1" t="str">
        <f>"Expected Equity Value ("&amp;C13&amp;") :"</f>
        <v>Expected Equity Value (HKD) :</v>
      </c>
      <c r="C26" s="304">
        <f>C132</f>
        <v>7.3642693066239637</v>
      </c>
      <c r="D26" s="1" t="s">
        <v>380</v>
      </c>
      <c r="E26" s="301">
        <f ca="1">Scenarios!C87</f>
        <v>6.8186486812982006E-2</v>
      </c>
    </row>
    <row r="27" spans="2:6" x14ac:dyDescent="0.15">
      <c r="D27" s="5"/>
      <c r="E27" s="5"/>
    </row>
    <row r="28" spans="2:6" x14ac:dyDescent="0.15">
      <c r="B28" s="45" t="s">
        <v>409</v>
      </c>
      <c r="C28" s="309" t="str">
        <f>C145&amp;" ("&amp;Market_currency&amp;")"</f>
        <v>0327.HK (HKD)</v>
      </c>
      <c r="D28" s="309" t="str">
        <f>IF(D11="","",D145&amp;" ("&amp;D13&amp;")")</f>
        <v/>
      </c>
      <c r="E28" s="305" t="s">
        <v>405</v>
      </c>
      <c r="F28" s="303">
        <v>3</v>
      </c>
    </row>
    <row r="29" spans="2:6" x14ac:dyDescent="0.15">
      <c r="B29" s="1" t="s">
        <v>401</v>
      </c>
      <c r="C29" s="310">
        <f>C149</f>
        <v>3.6036658259915511</v>
      </c>
      <c r="D29" s="310" t="str">
        <f>D149</f>
        <v/>
      </c>
      <c r="E29" s="306" t="s">
        <v>400</v>
      </c>
      <c r="F29" s="302">
        <v>0.35</v>
      </c>
    </row>
    <row r="30" spans="2:6" x14ac:dyDescent="0.15">
      <c r="B30" s="1" t="s">
        <v>402</v>
      </c>
      <c r="C30" s="311">
        <f>C157</f>
        <v>4.4732258849914697</v>
      </c>
      <c r="D30" s="311" t="str">
        <f>D157</f>
        <v/>
      </c>
      <c r="E30" s="307" t="s">
        <v>413</v>
      </c>
      <c r="F30" s="312">
        <v>0.25</v>
      </c>
    </row>
    <row r="31" spans="2:6" x14ac:dyDescent="0.15">
      <c r="B31" s="1" t="s">
        <v>403</v>
      </c>
      <c r="C31" s="311">
        <f>C165</f>
        <v>6.8641356814360206</v>
      </c>
      <c r="D31" s="311" t="str">
        <f>D165</f>
        <v/>
      </c>
      <c r="E31" s="307" t="s">
        <v>412</v>
      </c>
      <c r="F31" s="312">
        <v>7.4999999999999997E-2</v>
      </c>
    </row>
    <row r="32" spans="2:6" x14ac:dyDescent="0.15">
      <c r="B32" s="1" t="s">
        <v>404</v>
      </c>
      <c r="C32" s="311">
        <f>C173</f>
        <v>6.1469536878205542</v>
      </c>
      <c r="D32" s="311" t="str">
        <f>D173</f>
        <v/>
      </c>
      <c r="E32" s="307" t="s">
        <v>414</v>
      </c>
      <c r="F32" s="312">
        <v>0.1174</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1000</v>
      </c>
    </row>
    <row r="40" spans="1:6" ht="24.5" customHeight="1" x14ac:dyDescent="0.15">
      <c r="B40" s="371" t="s">
        <v>227</v>
      </c>
      <c r="C40" s="371"/>
      <c r="D40" s="371"/>
      <c r="E40" s="371"/>
      <c r="F40" s="371"/>
    </row>
    <row r="41" spans="1:6" x14ac:dyDescent="0.15">
      <c r="B41" s="47" t="s">
        <v>228</v>
      </c>
      <c r="C41" s="349">
        <f>Normalized_FCF!C8</f>
        <v>536120.13620533235</v>
      </c>
      <c r="D41" s="1" t="str">
        <f>Reporting_currency</f>
        <v>HKD</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0</v>
      </c>
      <c r="D44" s="1" t="str">
        <f>Reporting_currency</f>
        <v>HKD</v>
      </c>
    </row>
    <row r="45" spans="1:6" x14ac:dyDescent="0.15">
      <c r="B45" s="52" t="s">
        <v>231</v>
      </c>
      <c r="C45" s="349">
        <f>Normalized_FCF!C10</f>
        <v>0</v>
      </c>
      <c r="D45" s="1" t="str">
        <f>Reporting_currency</f>
        <v>HKD</v>
      </c>
    </row>
    <row r="47" spans="1:6" x14ac:dyDescent="0.15">
      <c r="B47" s="371" t="s">
        <v>232</v>
      </c>
      <c r="C47" s="371"/>
      <c r="D47" s="371"/>
      <c r="E47" s="371"/>
      <c r="F47" s="371"/>
    </row>
    <row r="48" spans="1:6" x14ac:dyDescent="0.15">
      <c r="B48" s="47" t="s">
        <v>233</v>
      </c>
      <c r="C48" s="349">
        <f>Normalized_FCF!C11</f>
        <v>0</v>
      </c>
      <c r="D48" s="1" t="str">
        <f>Reporting_currency</f>
        <v>HKD</v>
      </c>
    </row>
    <row r="50" spans="2:6" x14ac:dyDescent="0.15">
      <c r="B50" s="371" t="s">
        <v>236</v>
      </c>
      <c r="C50" s="371"/>
      <c r="D50" s="371"/>
      <c r="E50" s="371"/>
      <c r="F50" s="371"/>
    </row>
    <row r="51" spans="2:6" x14ac:dyDescent="0.15">
      <c r="B51" s="47" t="s">
        <v>331</v>
      </c>
      <c r="C51" s="350">
        <f>Normalized_FCF!C48</f>
        <v>3725.8278691964447</v>
      </c>
      <c r="D51" s="1" t="str">
        <f>Reporting_currency</f>
        <v>HKD</v>
      </c>
      <c r="E51" s="286"/>
      <c r="F51" s="286"/>
    </row>
    <row r="52" spans="2:6" x14ac:dyDescent="0.15">
      <c r="B52" s="47" t="s">
        <v>332</v>
      </c>
      <c r="C52" s="350">
        <f>Normalized_FCF!C47</f>
        <v>-5556</v>
      </c>
      <c r="D52" s="1" t="str">
        <f>Reporting_currency</f>
        <v>HKD</v>
      </c>
      <c r="E52" s="286"/>
      <c r="F52" s="286"/>
    </row>
    <row r="53" spans="2:6" x14ac:dyDescent="0.15">
      <c r="B53" s="47" t="s">
        <v>234</v>
      </c>
      <c r="C53" s="349">
        <f>Normalized_FCF!C12</f>
        <v>-1830.1721308035553</v>
      </c>
      <c r="D53" s="1" t="str">
        <f>Reporting_currency</f>
        <v>HKD</v>
      </c>
    </row>
    <row r="55" spans="2:6" x14ac:dyDescent="0.15">
      <c r="B55" s="1" t="s">
        <v>242</v>
      </c>
    </row>
    <row r="56" spans="2:6" x14ac:dyDescent="0.15">
      <c r="B56" s="47" t="s">
        <v>261</v>
      </c>
      <c r="C56" s="349">
        <f>Normalized_FCF!C15</f>
        <v>-8506.973328445607</v>
      </c>
      <c r="D56" s="1" t="str">
        <f>Reporting_currency</f>
        <v>HKD</v>
      </c>
    </row>
    <row r="58" spans="2:6" x14ac:dyDescent="0.15">
      <c r="B58" s="371" t="s">
        <v>237</v>
      </c>
      <c r="C58" s="371"/>
      <c r="D58" s="371"/>
      <c r="E58" s="371"/>
      <c r="F58" s="371"/>
    </row>
    <row r="59" spans="2:6" x14ac:dyDescent="0.15">
      <c r="B59" s="47" t="s">
        <v>235</v>
      </c>
      <c r="C59" s="349">
        <f>Normalized_FCF!C14</f>
        <v>-133572.49101863219</v>
      </c>
      <c r="D59" s="1" t="str">
        <f>Reporting_currency</f>
        <v>HKD</v>
      </c>
    </row>
    <row r="61" spans="2:6" x14ac:dyDescent="0.15">
      <c r="B61" s="371" t="s">
        <v>329</v>
      </c>
      <c r="C61" s="374"/>
      <c r="D61" s="374"/>
      <c r="E61" s="374"/>
      <c r="F61" s="374"/>
    </row>
    <row r="62" spans="2:6" x14ac:dyDescent="0.15">
      <c r="B62" s="47" t="s">
        <v>238</v>
      </c>
      <c r="C62" s="349">
        <f>Normalized_FCF!C17</f>
        <v>0</v>
      </c>
      <c r="D62" s="1" t="str">
        <f>Reporting_currency</f>
        <v>HKD</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626115.72996402986</v>
      </c>
      <c r="D67" s="1" t="str">
        <f>Reporting_currency</f>
        <v>HKD</v>
      </c>
    </row>
    <row r="68" spans="1:6" x14ac:dyDescent="0.15">
      <c r="B68" s="47" t="s">
        <v>244</v>
      </c>
      <c r="C68" s="349">
        <f>Normalized_FCF!C19</f>
        <v>392210.49972745095</v>
      </c>
      <c r="D68" s="1" t="str">
        <f>Reporting_currency</f>
        <v>HKD</v>
      </c>
    </row>
    <row r="69" spans="1:6" x14ac:dyDescent="0.15">
      <c r="B69" s="227" t="s">
        <v>371</v>
      </c>
      <c r="C69" s="92">
        <f>Normalized_FCF!C126</f>
        <v>5.284722951995495E-2</v>
      </c>
      <c r="F69" s="314"/>
    </row>
    <row r="70" spans="1:6" x14ac:dyDescent="0.15">
      <c r="B70" s="227" t="s">
        <v>434</v>
      </c>
      <c r="C70" s="92">
        <f>Normalized_FCF!C94</f>
        <v>5.1502145922746781E-2</v>
      </c>
      <c r="E70" s="47" t="s">
        <v>424</v>
      </c>
      <c r="F70" s="315">
        <f>Normalized_FCF!C92</f>
        <v>0.9745476989157914</v>
      </c>
    </row>
    <row r="72" spans="1:6" x14ac:dyDescent="0.15">
      <c r="B72" s="210" t="s">
        <v>427</v>
      </c>
      <c r="C72" s="323" t="s">
        <v>429</v>
      </c>
      <c r="D72" s="323" t="s">
        <v>430</v>
      </c>
    </row>
    <row r="73" spans="1:6" x14ac:dyDescent="0.15">
      <c r="B73" s="47" t="s">
        <v>428</v>
      </c>
      <c r="C73" s="92">
        <f>Normalized_FCF!C121</f>
        <v>7.0630420943605887E-2</v>
      </c>
      <c r="D73" s="92">
        <f>Normalized_FCF!G121</f>
        <v>0.102310110249777</v>
      </c>
    </row>
    <row r="74" spans="1:6" x14ac:dyDescent="0.15">
      <c r="B74" s="259" t="str">
        <f>Normalized_FCF!B118</f>
        <v>Pre-tax Profit/Sales</v>
      </c>
      <c r="C74" s="322">
        <f>Normalized_FCF!C118</f>
        <v>9.3039179367971361E-2</v>
      </c>
      <c r="D74" s="322">
        <f>Normalized_FCF!G118</f>
        <v>0.12803132337228806</v>
      </c>
    </row>
    <row r="75" spans="1:6" x14ac:dyDescent="0.15">
      <c r="B75" s="259" t="str">
        <f>Normalized_FCF!B119</f>
        <v>Sales/Total Assets</v>
      </c>
      <c r="C75" s="324">
        <f>Normalized_FCF!C119</f>
        <v>0.62627525695225639</v>
      </c>
      <c r="D75" s="324">
        <f>Normalized_FCF!G119</f>
        <v>0.65923711258132256</v>
      </c>
    </row>
    <row r="76" spans="1:6" x14ac:dyDescent="0.15">
      <c r="B76" s="259" t="str">
        <f>Normalized_FCF!B120</f>
        <v>Total Assets/Equity</v>
      </c>
      <c r="C76" s="324">
        <f>Normalized_FCF!C120</f>
        <v>1.2121620122817016</v>
      </c>
      <c r="D76" s="324">
        <f>Normalized_FCF!G120</f>
        <v>1.2121620122817016</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4.9253617912598004</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87825</v>
      </c>
      <c r="D102" s="1" t="str">
        <f>Reporting_currency</f>
        <v>HKD</v>
      </c>
    </row>
    <row r="103" spans="2:6" x14ac:dyDescent="0.15">
      <c r="B103" s="47" t="s">
        <v>276</v>
      </c>
      <c r="C103" s="223">
        <f>C102*scaling_factor*Exchange_Rate/Common_Shares</f>
        <v>8.2717679591313917E-2</v>
      </c>
      <c r="D103" s="1" t="str">
        <f>Market_currency</f>
        <v>HKD</v>
      </c>
    </row>
    <row r="104" spans="2:6" x14ac:dyDescent="0.15">
      <c r="B104" s="296" t="s">
        <v>384</v>
      </c>
      <c r="C104" s="325">
        <f>IF(BS!G31/BS!G27&gt;300%,"nm",BS!G31/BS!G27)</f>
        <v>1.1610019159010268E-2</v>
      </c>
    </row>
    <row r="105" spans="2:6" x14ac:dyDescent="0.15">
      <c r="B105" s="296" t="s">
        <v>386</v>
      </c>
      <c r="C105" s="326">
        <f>IF(BS!C50&gt;30,"nm",BS!C50)</f>
        <v>0.16381589511191816</v>
      </c>
    </row>
    <row r="107" spans="2:6" x14ac:dyDescent="0.15">
      <c r="B107" s="1" t="s">
        <v>250</v>
      </c>
    </row>
    <row r="108" spans="2:6" x14ac:dyDescent="0.15">
      <c r="B108" s="47" t="s">
        <v>260</v>
      </c>
      <c r="C108" s="349">
        <f>BS!C66</f>
        <v>3270300</v>
      </c>
      <c r="D108" s="1" t="str">
        <f>Reporting_currency</f>
        <v>HKD</v>
      </c>
    </row>
    <row r="109" spans="2:6" x14ac:dyDescent="0.15">
      <c r="B109" s="47" t="s">
        <v>262</v>
      </c>
      <c r="C109" s="349">
        <f>DCF!C8</f>
        <v>2338843.0327008888</v>
      </c>
      <c r="D109" s="1" t="str">
        <f>Reporting_currency</f>
        <v>HKD</v>
      </c>
    </row>
    <row r="110" spans="2:6" x14ac:dyDescent="0.15">
      <c r="B110" s="47" t="s">
        <v>277</v>
      </c>
      <c r="C110" s="223">
        <f>C109*scaling_factor*Exchange_Rate/Common_Shares</f>
        <v>2.2028314101147628</v>
      </c>
      <c r="D110" s="1" t="str">
        <f>Market_currency</f>
        <v>HKD</v>
      </c>
    </row>
    <row r="112" spans="2:6" x14ac:dyDescent="0.15">
      <c r="B112" s="1" t="s">
        <v>252</v>
      </c>
    </row>
    <row r="113" spans="1:6" x14ac:dyDescent="0.15">
      <c r="B113" s="47" t="s">
        <v>253</v>
      </c>
      <c r="C113" s="349">
        <f>DCF!C9</f>
        <v>57429</v>
      </c>
      <c r="D113" s="1" t="str">
        <f>Reporting_currency</f>
        <v>HKD</v>
      </c>
    </row>
    <row r="114" spans="1:6" x14ac:dyDescent="0.15">
      <c r="B114" s="47" t="s">
        <v>278</v>
      </c>
      <c r="C114" s="223">
        <f>C113*scaling_factor*Exchange_Rate/Common_Shares</f>
        <v>5.4089309664099819E-2</v>
      </c>
      <c r="D114" s="1" t="str">
        <f>Market_currency</f>
        <v>HKD</v>
      </c>
    </row>
    <row r="116" spans="1:6" ht="24.5" customHeight="1" x14ac:dyDescent="0.15">
      <c r="B116" s="370" t="s">
        <v>352</v>
      </c>
      <c r="C116" s="370"/>
      <c r="D116" s="370"/>
      <c r="E116" s="370"/>
      <c r="F116" s="370"/>
    </row>
    <row r="118" spans="1:6" x14ac:dyDescent="0.15">
      <c r="B118" s="47" t="s">
        <v>425</v>
      </c>
      <c r="C118" s="223">
        <f>IF(valuation_method="DCF",DCF!C12,DDM!C7)</f>
        <v>7.0995648314473492</v>
      </c>
      <c r="D118" s="1" t="str">
        <f>Market_currency</f>
        <v>HKD</v>
      </c>
    </row>
    <row r="119" spans="1:6" x14ac:dyDescent="0.15">
      <c r="B119" s="296" t="s">
        <v>549</v>
      </c>
      <c r="C119" s="223">
        <f>BS!D47</f>
        <v>3.7980767021052162</v>
      </c>
      <c r="D119" s="1" t="str">
        <f>Market_currency</f>
        <v>HKD</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0.06</v>
      </c>
      <c r="D126" s="230">
        <f>DCF!D74</f>
        <v>10</v>
      </c>
      <c r="E126" s="231" t="str">
        <f>ROUND(IF(valuation_method="DCF",DCF!E74,DDM!E69),2)&amp;" "&amp;Market_currency</f>
        <v>8.13 HKD</v>
      </c>
      <c r="F126" s="232">
        <f>DCF!F74</f>
        <v>0.05</v>
      </c>
    </row>
    <row r="127" spans="1:6" x14ac:dyDescent="0.15">
      <c r="B127" s="218" t="str">
        <f>DCF!B75</f>
        <v>Optimistic</v>
      </c>
      <c r="C127" s="219">
        <f>DCF!C75</f>
        <v>0.05</v>
      </c>
      <c r="D127" s="220">
        <f>DCF!D75</f>
        <v>5</v>
      </c>
      <c r="E127" s="231" t="str">
        <f>ROUND(IF(valuation_method="DCF",DCF!E75,DDM!E70),2)&amp;" "&amp;Market_currency</f>
        <v>7.5 HKD</v>
      </c>
      <c r="F127" s="221">
        <f>DCF!F75</f>
        <v>0.18</v>
      </c>
    </row>
    <row r="128" spans="1:6" x14ac:dyDescent="0.15">
      <c r="B128" s="218" t="str">
        <f>DCF!B76</f>
        <v>Base</v>
      </c>
      <c r="C128" s="219">
        <f>DCF!C76</f>
        <v>0.03</v>
      </c>
      <c r="D128" s="220">
        <f>DCF!D76</f>
        <v>5</v>
      </c>
      <c r="E128" s="231" t="str">
        <f>ROUND(IF(valuation_method="DCF",DCF!E76,DDM!E71),2)&amp;" "&amp;Market_currency</f>
        <v>7.34 HKD</v>
      </c>
      <c r="F128" s="221">
        <f>DCF!F76</f>
        <v>0.53999999999999992</v>
      </c>
    </row>
    <row r="129" spans="1:6" x14ac:dyDescent="0.15">
      <c r="B129" s="218" t="str">
        <f>DCF!B77</f>
        <v>Pessimistic</v>
      </c>
      <c r="C129" s="219">
        <f>DCF!C77</f>
        <v>0.01</v>
      </c>
      <c r="D129" s="220">
        <f>DCF!D77</f>
        <v>5</v>
      </c>
      <c r="E129" s="231" t="str">
        <f>ROUND(IF(valuation_method="DCF",DCF!E77,DDM!E72),2)&amp;" "&amp;Market_currency</f>
        <v>7.18 HKD</v>
      </c>
      <c r="F129" s="221">
        <f>DCF!F77</f>
        <v>0.18</v>
      </c>
    </row>
    <row r="130" spans="1:6" x14ac:dyDescent="0.15">
      <c r="B130" s="218" t="str">
        <f>DCF!B78</f>
        <v>Devil's advocate</v>
      </c>
      <c r="C130" s="219">
        <f>DCF!C78</f>
        <v>0</v>
      </c>
      <c r="D130" s="220">
        <f>DCF!D78</f>
        <v>10</v>
      </c>
      <c r="E130" s="231" t="str">
        <f>ROUND(IF(valuation_method="DCF",DCF!E78,DDM!E73),2)&amp;" "&amp;Market_currency</f>
        <v>7.1 HKD</v>
      </c>
      <c r="F130" s="221">
        <f>DCF!F78</f>
        <v>0.05</v>
      </c>
    </row>
    <row r="132" spans="1:6" x14ac:dyDescent="0.15">
      <c r="B132" s="211" t="s">
        <v>254</v>
      </c>
      <c r="C132" s="217">
        <f>Scenarios!C60</f>
        <v>7.3642693066239637</v>
      </c>
      <c r="D132" s="212" t="str">
        <f>Market_currency</f>
        <v>HKD</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0.36</v>
      </c>
      <c r="D143" s="212" t="str">
        <f>Market_currency</f>
        <v>HKD</v>
      </c>
    </row>
    <row r="145" spans="2:4" x14ac:dyDescent="0.15">
      <c r="B145" s="210" t="s">
        <v>388</v>
      </c>
      <c r="C145" s="241" t="str">
        <f>C11</f>
        <v>0327.HK</v>
      </c>
      <c r="D145" s="241" t="str">
        <f>IF(D11="","",D11)</f>
        <v/>
      </c>
    </row>
    <row r="146" spans="2:4" x14ac:dyDescent="0.15">
      <c r="B146" s="1" t="s">
        <v>387</v>
      </c>
      <c r="C146" s="297">
        <f>F29</f>
        <v>0.35</v>
      </c>
    </row>
    <row r="147" spans="2:4" x14ac:dyDescent="0.15">
      <c r="B147" s="212" t="str">
        <f>"PV("&amp;C141&amp;" yrs of Dividends)"</f>
        <v>PV(3 yrs of Dividends)</v>
      </c>
      <c r="C147" s="216">
        <f>Scenarios!C81</f>
        <v>0.61051668952903526</v>
      </c>
    </row>
    <row r="148" spans="2:4" x14ac:dyDescent="0.15">
      <c r="B148" s="212" t="str">
        <f>"+ PV(Equity Value realized at year "&amp;C141&amp;")"</f>
        <v>+ PV(Equity Value realized at year 3)</v>
      </c>
      <c r="C148" s="216">
        <f>Scenarios!C82</f>
        <v>2.9931491364625158</v>
      </c>
    </row>
    <row r="149" spans="2:4" x14ac:dyDescent="0.15">
      <c r="B149" s="80" t="s">
        <v>256</v>
      </c>
      <c r="C149" s="215">
        <f>Scenarios!C83</f>
        <v>3.6036658259915511</v>
      </c>
      <c r="D149" s="300" t="str">
        <f>IF($D$11="","",C149*$E$25)</f>
        <v/>
      </c>
    </row>
    <row r="150" spans="2:4" x14ac:dyDescent="0.15">
      <c r="B150" s="259" t="s">
        <v>395</v>
      </c>
      <c r="C150" s="298" t="str">
        <f>Market_currency</f>
        <v>HKD</v>
      </c>
      <c r="D150" s="298" t="str">
        <f>IF($D$11="","",D$13)</f>
        <v/>
      </c>
    </row>
    <row r="151" spans="2:4" x14ac:dyDescent="0.15">
      <c r="B151" s="214" t="s">
        <v>258</v>
      </c>
      <c r="C151" s="92">
        <f>Scenarios!F83</f>
        <v>0.51065534461780882</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0.70272000000000001</v>
      </c>
    </row>
    <row r="156" spans="2:4" x14ac:dyDescent="0.15">
      <c r="B156" s="212" t="str">
        <f>"+ PV(Equity Value realized at year "&amp;C141&amp;")"</f>
        <v>+ PV(Equity Value realized at year 3)</v>
      </c>
      <c r="C156" s="216">
        <f>Scenarios!C92</f>
        <v>3.7705058849914694</v>
      </c>
    </row>
    <row r="157" spans="2:4" x14ac:dyDescent="0.15">
      <c r="B157" s="80" t="s">
        <v>256</v>
      </c>
      <c r="C157" s="215">
        <f>Scenarios!C93</f>
        <v>4.4732258849914697</v>
      </c>
      <c r="D157" s="300" t="str">
        <f>IF($D$11="","",C157*$E$25)</f>
        <v/>
      </c>
    </row>
    <row r="158" spans="2:4" x14ac:dyDescent="0.15">
      <c r="B158" s="259" t="s">
        <v>395</v>
      </c>
      <c r="C158" s="298" t="str">
        <f>Market_currency</f>
        <v>HKD</v>
      </c>
      <c r="D158" s="298" t="str">
        <f>IF($D$11="","",D$13)</f>
        <v/>
      </c>
    </row>
    <row r="159" spans="2:4" x14ac:dyDescent="0.15">
      <c r="B159" s="214" t="s">
        <v>258</v>
      </c>
      <c r="C159" s="92">
        <f>Scenarios!F93</f>
        <v>0.39257709098607751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0.93618926635390554</v>
      </c>
    </row>
    <row r="164" spans="2:4" x14ac:dyDescent="0.15">
      <c r="B164" s="212" t="str">
        <f>"+ PV(Equity Value realized at year "&amp;C141&amp;")"</f>
        <v>+ PV(Equity Value realized at year 3)</v>
      </c>
      <c r="C164" s="216">
        <f>Scenarios!C98</f>
        <v>5.9279464150821148</v>
      </c>
    </row>
    <row r="165" spans="2:4" x14ac:dyDescent="0.15">
      <c r="B165" s="80" t="s">
        <v>382</v>
      </c>
      <c r="C165" s="215">
        <f>Scenarios!C99</f>
        <v>6.8641356814360206</v>
      </c>
      <c r="D165" s="300" t="str">
        <f>IF($D$11="","",C165*$E$25)</f>
        <v/>
      </c>
    </row>
    <row r="166" spans="2:4" x14ac:dyDescent="0.15">
      <c r="B166" s="259" t="s">
        <v>395</v>
      </c>
      <c r="C166" s="298" t="str">
        <f>Market_currency</f>
        <v>HKD</v>
      </c>
      <c r="D166" s="298" t="str">
        <f>IF($D$11="","",D$13)</f>
        <v/>
      </c>
    </row>
    <row r="167" spans="2:4" x14ac:dyDescent="0.15">
      <c r="B167" s="214" t="s">
        <v>258</v>
      </c>
      <c r="C167" s="92">
        <f>Scenarios!F99</f>
        <v>6.7913543674738563E-2</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0.86853712533791372</v>
      </c>
    </row>
    <row r="172" spans="2:4" x14ac:dyDescent="0.15">
      <c r="B172" s="212" t="str">
        <f>"+ PV(Equity Value realized at year "&amp;C141&amp;")"</f>
        <v>+ PV(Equity Value realized at year 3)</v>
      </c>
      <c r="C172" s="216">
        <f>Scenarios!C104</f>
        <v>5.27841656248264</v>
      </c>
    </row>
    <row r="173" spans="2:4" x14ac:dyDescent="0.15">
      <c r="B173" s="80" t="s">
        <v>382</v>
      </c>
      <c r="C173" s="215">
        <f>Scenarios!C105</f>
        <v>6.1469536878205542</v>
      </c>
      <c r="D173" s="300" t="str">
        <f>IF($D$11="","",C173*$E$25)</f>
        <v/>
      </c>
    </row>
    <row r="174" spans="2:4" x14ac:dyDescent="0.15">
      <c r="B174" s="259" t="s">
        <v>395</v>
      </c>
      <c r="C174" s="298" t="str">
        <f>Market_currency</f>
        <v>HKD</v>
      </c>
      <c r="D174" s="298" t="str">
        <f>IF($D$11="","",D$13)</f>
        <v/>
      </c>
    </row>
    <row r="175" spans="2:4" x14ac:dyDescent="0.15">
      <c r="B175" s="214" t="s">
        <v>258</v>
      </c>
      <c r="C175" s="92">
        <f>Scenarios!F105</f>
        <v>0.16491459548843124</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v>
      </c>
    </row>
    <row r="4" spans="2:13" x14ac:dyDescent="0.15">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x14ac:dyDescent="0.15">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x14ac:dyDescent="0.15">
      <c r="B6" s="40" t="s">
        <v>52</v>
      </c>
      <c r="C6" s="351">
        <v>2090422</v>
      </c>
      <c r="D6" s="351">
        <v>1845938</v>
      </c>
      <c r="E6" s="351">
        <v>1942627</v>
      </c>
      <c r="F6" s="351">
        <v>1674419</v>
      </c>
      <c r="G6" s="351">
        <v>1280777</v>
      </c>
      <c r="H6" s="351">
        <v>1209123</v>
      </c>
      <c r="I6" s="351">
        <v>1028628</v>
      </c>
      <c r="J6" s="351">
        <v>928153</v>
      </c>
      <c r="K6" s="351">
        <v>644494</v>
      </c>
      <c r="L6" s="351">
        <v>543752</v>
      </c>
      <c r="M6" s="351"/>
    </row>
    <row r="7" spans="2:13" x14ac:dyDescent="0.15">
      <c r="B7" s="69" t="s">
        <v>59</v>
      </c>
      <c r="C7" s="352">
        <v>772428</v>
      </c>
      <c r="D7" s="352">
        <v>674479</v>
      </c>
      <c r="E7" s="352">
        <v>821605</v>
      </c>
      <c r="F7" s="352">
        <v>716234</v>
      </c>
      <c r="G7" s="352">
        <v>499321</v>
      </c>
      <c r="H7" s="352">
        <v>465657</v>
      </c>
      <c r="I7" s="352">
        <v>437809</v>
      </c>
      <c r="J7" s="352">
        <v>426432</v>
      </c>
      <c r="K7" s="352">
        <v>297396</v>
      </c>
      <c r="L7" s="352">
        <v>235715</v>
      </c>
      <c r="M7" s="352"/>
    </row>
    <row r="8" spans="2:13" x14ac:dyDescent="0.15">
      <c r="B8" s="40" t="s">
        <v>47</v>
      </c>
      <c r="C8" s="351"/>
      <c r="D8" s="351"/>
      <c r="E8" s="351"/>
      <c r="F8" s="351"/>
      <c r="G8" s="351"/>
      <c r="H8" s="351"/>
      <c r="I8" s="351"/>
      <c r="J8" s="351"/>
      <c r="K8" s="351"/>
      <c r="L8" s="351"/>
      <c r="M8" s="351"/>
    </row>
    <row r="9" spans="2:13" x14ac:dyDescent="0.15">
      <c r="B9" s="40" t="s">
        <v>155</v>
      </c>
      <c r="C9" s="351">
        <v>10638</v>
      </c>
      <c r="D9" s="351">
        <v>4974</v>
      </c>
      <c r="E9" s="351">
        <v>7415</v>
      </c>
      <c r="F9" s="351">
        <v>3454</v>
      </c>
      <c r="G9" s="351">
        <v>-6046</v>
      </c>
      <c r="H9" s="351">
        <v>-1798</v>
      </c>
      <c r="I9" s="351">
        <v>-1759</v>
      </c>
      <c r="J9" s="351">
        <v>318</v>
      </c>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5556</v>
      </c>
      <c r="D12" s="351">
        <v>5376</v>
      </c>
      <c r="E12" s="351">
        <v>5649</v>
      </c>
      <c r="F12" s="351">
        <v>6661</v>
      </c>
      <c r="G12" s="351"/>
      <c r="H12" s="351"/>
      <c r="I12" s="351"/>
      <c r="J12" s="351"/>
      <c r="K12" s="351"/>
      <c r="L12" s="351"/>
      <c r="M12" s="351"/>
    </row>
    <row r="13" spans="2:13" x14ac:dyDescent="0.15">
      <c r="B13" s="40" t="s">
        <v>65</v>
      </c>
      <c r="C13" s="351">
        <v>20661</v>
      </c>
      <c r="D13" s="351">
        <v>36733</v>
      </c>
      <c r="E13" s="351">
        <v>28582</v>
      </c>
      <c r="F13" s="351">
        <v>38036</v>
      </c>
      <c r="G13" s="351"/>
      <c r="H13" s="351"/>
      <c r="I13" s="351"/>
      <c r="J13" s="351"/>
      <c r="K13" s="351"/>
      <c r="L13" s="351"/>
      <c r="M13" s="351"/>
    </row>
    <row r="14" spans="2:13" x14ac:dyDescent="0.15">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x14ac:dyDescent="0.15">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x14ac:dyDescent="0.15">
      <c r="B16" s="28" t="s">
        <v>42</v>
      </c>
      <c r="C16" s="351">
        <v>7495</v>
      </c>
      <c r="D16" s="351">
        <v>9939</v>
      </c>
      <c r="E16" s="351">
        <v>3528</v>
      </c>
      <c r="F16" s="351">
        <v>8468</v>
      </c>
      <c r="G16" s="351">
        <v>3727</v>
      </c>
      <c r="H16" s="351">
        <v>991</v>
      </c>
      <c r="I16" s="351">
        <v>-7072</v>
      </c>
      <c r="J16" s="351">
        <v>-70941</v>
      </c>
      <c r="K16" s="351">
        <v>2526</v>
      </c>
      <c r="L16" s="351">
        <v>-450</v>
      </c>
      <c r="M16" s="351"/>
    </row>
    <row r="18" spans="2:13" x14ac:dyDescent="0.15">
      <c r="B18" s="16" t="s">
        <v>49</v>
      </c>
      <c r="C18" s="9"/>
    </row>
    <row r="19" spans="2:13" ht="13" x14ac:dyDescent="0.15">
      <c r="B19" s="27" t="s">
        <v>45</v>
      </c>
      <c r="C19" s="351"/>
      <c r="D19" s="351"/>
      <c r="E19" s="351"/>
      <c r="F19" s="351"/>
      <c r="G19" s="351"/>
      <c r="H19" s="351"/>
      <c r="I19" s="351"/>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ht="13" x14ac:dyDescent="0.15">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ht="13" x14ac:dyDescent="0.15">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x14ac:dyDescent="0.15">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x14ac:dyDescent="0.15">
      <c r="B27" s="16" t="s">
        <v>26</v>
      </c>
      <c r="C27" s="97" t="s">
        <v>558</v>
      </c>
    </row>
    <row r="28" spans="2:13" ht="13" x14ac:dyDescent="0.15">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ht="13" x14ac:dyDescent="0.15">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ht="13" x14ac:dyDescent="0.15">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ht="13" x14ac:dyDescent="0.15">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ht="13" x14ac:dyDescent="0.15">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x14ac:dyDescent="0.15">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ht="13" x14ac:dyDescent="0.15">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x14ac:dyDescent="0.15">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x14ac:dyDescent="0.15">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x14ac:dyDescent="0.15">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x14ac:dyDescent="0.15">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x14ac:dyDescent="0.15">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x14ac:dyDescent="0.15">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x14ac:dyDescent="0.15">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x14ac:dyDescent="0.15">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x14ac:dyDescent="0.15">
      <c r="B50" s="16" t="s">
        <v>66</v>
      </c>
    </row>
    <row r="51" spans="2:13" x14ac:dyDescent="0.15">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x14ac:dyDescent="0.15">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x14ac:dyDescent="0.15">
      <c r="B60" s="16" t="s">
        <v>49</v>
      </c>
      <c r="C60" s="9"/>
    </row>
    <row r="61" spans="2:13" ht="13" x14ac:dyDescent="0.15">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x14ac:dyDescent="0.15">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ht="13" x14ac:dyDescent="0.15">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x14ac:dyDescent="0.15">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x14ac:dyDescent="0.15">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x14ac:dyDescent="0.15">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ht="13" x14ac:dyDescent="0.15">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ht="13" x14ac:dyDescent="0.15">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ht="13" x14ac:dyDescent="0.15">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ht="13" x14ac:dyDescent="0.15">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58581+2543884</f>
        <v>2602465</v>
      </c>
      <c r="D4" s="261">
        <v>0.6</v>
      </c>
      <c r="E4" s="25"/>
      <c r="F4" s="4" t="s">
        <v>75</v>
      </c>
      <c r="G4" s="19">
        <f>162490+3083598</f>
        <v>3246088</v>
      </c>
      <c r="H4" s="261">
        <v>0.9</v>
      </c>
    </row>
    <row r="5" spans="2:8" ht="15" customHeight="1" x14ac:dyDescent="0.15">
      <c r="B5" s="1" t="s">
        <v>31</v>
      </c>
      <c r="C5" s="19">
        <v>0</v>
      </c>
      <c r="D5" s="261">
        <v>0.6</v>
      </c>
      <c r="E5" s="25"/>
      <c r="F5" s="1" t="s">
        <v>27</v>
      </c>
      <c r="G5" s="19">
        <v>24212</v>
      </c>
      <c r="H5" s="261">
        <v>0.7</v>
      </c>
    </row>
    <row r="6" spans="2:8" ht="15" customHeight="1" x14ac:dyDescent="0.15">
      <c r="B6" s="4" t="s">
        <v>8</v>
      </c>
      <c r="C6" s="19">
        <v>1587039</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0</v>
      </c>
      <c r="D9" s="261">
        <v>0.1</v>
      </c>
      <c r="E9" s="25"/>
      <c r="F9" s="4" t="s">
        <v>176</v>
      </c>
      <c r="G9" s="19">
        <v>0</v>
      </c>
      <c r="H9" s="261">
        <v>0.6</v>
      </c>
    </row>
    <row r="10" spans="2:8" ht="15" customHeight="1" x14ac:dyDescent="0.15">
      <c r="B10" s="4" t="s">
        <v>9</v>
      </c>
      <c r="C10" s="19">
        <v>96042</v>
      </c>
      <c r="D10" s="261">
        <v>0.9</v>
      </c>
      <c r="H10" s="262"/>
    </row>
    <row r="11" spans="2:8" ht="15" customHeight="1" x14ac:dyDescent="0.15">
      <c r="B11" s="4" t="s">
        <v>10</v>
      </c>
      <c r="C11" s="19">
        <v>90273</v>
      </c>
      <c r="D11" s="261">
        <v>0.05</v>
      </c>
      <c r="H11" s="262"/>
    </row>
    <row r="12" spans="2:8" ht="15" customHeight="1" x14ac:dyDescent="0.15">
      <c r="B12" s="80" t="s">
        <v>70</v>
      </c>
      <c r="C12" s="81">
        <f>SUM(C4:C11)</f>
        <v>4375819</v>
      </c>
      <c r="D12" s="20">
        <f>C4*D4+C5*D5+C9*D9+C6*D6+C8*D8+C7*D7+C10*D10+C11*D11</f>
        <v>2445949.9499999997</v>
      </c>
      <c r="F12" s="80" t="s">
        <v>68</v>
      </c>
      <c r="G12" s="81">
        <f>SUM(G4:G9)</f>
        <v>3270300</v>
      </c>
      <c r="H12" s="20">
        <f>G4*H4+G5*H5+G6*H6+G7*H7+G8*H8+G9*H9</f>
        <v>2938427.6</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88242</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939396+207281</f>
        <v>1146677</v>
      </c>
      <c r="D19" s="261">
        <v>0.1</v>
      </c>
      <c r="F19" s="4" t="s">
        <v>178</v>
      </c>
      <c r="G19" s="19">
        <v>44838</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117832</v>
      </c>
      <c r="D21" s="261">
        <v>0.05</v>
      </c>
      <c r="F21" s="1" t="s">
        <v>176</v>
      </c>
      <c r="G21" s="19">
        <v>0</v>
      </c>
      <c r="H21" s="261">
        <v>0.1</v>
      </c>
    </row>
    <row r="22" spans="2:8" ht="15" customHeight="1" x14ac:dyDescent="0.15">
      <c r="B22" s="4" t="s">
        <v>18</v>
      </c>
      <c r="C22" s="19">
        <v>121857</v>
      </c>
      <c r="D22" s="261">
        <v>0.9</v>
      </c>
      <c r="H22" s="262"/>
    </row>
    <row r="23" spans="2:8" ht="15" customHeight="1" x14ac:dyDescent="0.15">
      <c r="B23" s="4" t="s">
        <v>19</v>
      </c>
      <c r="C23" s="19">
        <v>3940</v>
      </c>
      <c r="D23" s="261">
        <v>0</v>
      </c>
      <c r="H23" s="262"/>
    </row>
    <row r="24" spans="2:8" ht="15" customHeight="1" x14ac:dyDescent="0.15">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x14ac:dyDescent="0.15">
      <c r="B26" s="16" t="s">
        <v>196</v>
      </c>
      <c r="C26" s="182" t="s">
        <v>132</v>
      </c>
      <c r="F26" s="184" t="s">
        <v>192</v>
      </c>
      <c r="G26" s="185" t="s">
        <v>132</v>
      </c>
      <c r="H26" s="186" t="s">
        <v>33</v>
      </c>
    </row>
    <row r="27" spans="2:8" ht="15" customHeight="1" x14ac:dyDescent="0.15">
      <c r="B27" s="4" t="s">
        <v>3</v>
      </c>
      <c r="C27" s="19">
        <v>0</v>
      </c>
      <c r="F27" s="187" t="s">
        <v>28</v>
      </c>
      <c r="G27" s="85">
        <f>G32-G30</f>
        <v>7564587</v>
      </c>
      <c r="H27" s="188">
        <f>H32-G30</f>
        <v>4067119.1500000004</v>
      </c>
    </row>
    <row r="28" spans="2:8" ht="15" customHeight="1" x14ac:dyDescent="0.15">
      <c r="B28" s="4" t="s">
        <v>4</v>
      </c>
      <c r="C28" s="19">
        <v>18219</v>
      </c>
      <c r="F28" s="189" t="s">
        <v>240</v>
      </c>
      <c r="G28" s="12">
        <v>34534</v>
      </c>
      <c r="H28" s="188"/>
    </row>
    <row r="29" spans="2:8" ht="15" customHeight="1" x14ac:dyDescent="0.15">
      <c r="B29" s="4" t="s">
        <v>5</v>
      </c>
      <c r="C29" s="19">
        <v>0</v>
      </c>
      <c r="F29" s="190" t="s">
        <v>73</v>
      </c>
      <c r="G29" s="14">
        <f>G27-G28</f>
        <v>7530053</v>
      </c>
      <c r="H29" s="188">
        <f>H27-G28</f>
        <v>4032585.1500000004</v>
      </c>
    </row>
    <row r="30" spans="2:8" ht="15" customHeight="1" x14ac:dyDescent="0.15">
      <c r="B30" s="2" t="s">
        <v>6</v>
      </c>
      <c r="C30" s="19">
        <v>0</v>
      </c>
      <c r="F30" s="187" t="s">
        <v>21</v>
      </c>
      <c r="G30" s="85">
        <f>C33+C42</f>
        <v>1604918</v>
      </c>
      <c r="H30" s="188"/>
    </row>
    <row r="31" spans="2:8" ht="15" customHeight="1" x14ac:dyDescent="0.15">
      <c r="B31" s="80" t="s">
        <v>199</v>
      </c>
      <c r="C31" s="81">
        <f>SUM(C27:C30)</f>
        <v>18219</v>
      </c>
      <c r="F31" s="190" t="s">
        <v>74</v>
      </c>
      <c r="G31" s="191">
        <f>C31+C40</f>
        <v>87825</v>
      </c>
      <c r="H31" s="188"/>
    </row>
    <row r="32" spans="2:8" ht="15" customHeight="1" x14ac:dyDescent="0.15">
      <c r="B32" s="4" t="s">
        <v>7</v>
      </c>
      <c r="C32" s="21">
        <f>C33-C31</f>
        <v>1496940</v>
      </c>
      <c r="F32" s="192" t="s">
        <v>72</v>
      </c>
      <c r="G32" s="193">
        <f>G35+G40</f>
        <v>9169505</v>
      </c>
      <c r="H32" s="188">
        <f>H35+H40</f>
        <v>5672037.1500000004</v>
      </c>
    </row>
    <row r="33" spans="2:8" ht="15" customHeight="1" x14ac:dyDescent="0.15">
      <c r="B33" s="83" t="s">
        <v>2</v>
      </c>
      <c r="C33" s="84">
        <v>1515159</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5766125</v>
      </c>
      <c r="H35" s="200">
        <f>D12+D24</f>
        <v>2676180.5499999998</v>
      </c>
    </row>
    <row r="36" spans="2:8" ht="15" customHeight="1" x14ac:dyDescent="0.15">
      <c r="B36" s="4" t="s">
        <v>11</v>
      </c>
      <c r="C36" s="19">
        <v>0</v>
      </c>
      <c r="F36" s="190" t="s">
        <v>193</v>
      </c>
      <c r="G36" s="191">
        <f>C4+C15</f>
        <v>2602465</v>
      </c>
      <c r="H36" s="195"/>
    </row>
    <row r="37" spans="2:8" ht="15" customHeight="1" x14ac:dyDescent="0.15">
      <c r="B37" s="4" t="s">
        <v>12</v>
      </c>
      <c r="C37" s="19">
        <v>69606</v>
      </c>
      <c r="F37" s="190" t="s">
        <v>194</v>
      </c>
      <c r="G37" s="191">
        <f>C6</f>
        <v>1587039</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1146677</v>
      </c>
      <c r="H39" s="188">
        <f>C7*D7+C17*D17+C19*D19+C20*D20</f>
        <v>114667.70000000001</v>
      </c>
    </row>
    <row r="40" spans="2:8" ht="15" customHeight="1" x14ac:dyDescent="0.15">
      <c r="B40" s="80" t="s">
        <v>200</v>
      </c>
      <c r="C40" s="81">
        <f>SUM(C36:C39)</f>
        <v>69606</v>
      </c>
      <c r="F40" s="199" t="s">
        <v>134</v>
      </c>
      <c r="G40" s="193">
        <f>G12+G24</f>
        <v>3403380</v>
      </c>
      <c r="H40" s="200">
        <f>H12+H24</f>
        <v>2995856.6</v>
      </c>
    </row>
    <row r="41" spans="2:8" ht="15" customHeight="1" x14ac:dyDescent="0.15">
      <c r="B41" s="4" t="s">
        <v>15</v>
      </c>
      <c r="C41" s="21">
        <f>C42-C40</f>
        <v>20153</v>
      </c>
      <c r="F41" s="190" t="s">
        <v>187</v>
      </c>
      <c r="G41" s="191">
        <f>C70</f>
        <v>3270300</v>
      </c>
      <c r="H41" s="200">
        <f>H40-H42</f>
        <v>2938427.6</v>
      </c>
    </row>
    <row r="42" spans="2:8" ht="15" customHeight="1" x14ac:dyDescent="0.15">
      <c r="B42" s="83" t="s">
        <v>20</v>
      </c>
      <c r="C42" s="84">
        <v>89759</v>
      </c>
      <c r="F42" s="201" t="s">
        <v>188</v>
      </c>
      <c r="G42" s="202">
        <f>C82</f>
        <v>133080</v>
      </c>
      <c r="H42" s="203">
        <f>D82</f>
        <v>57429</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7530053</v>
      </c>
      <c r="D46" s="76">
        <f>H29</f>
        <v>4032585.1500000004</v>
      </c>
      <c r="F46" s="253"/>
    </row>
    <row r="47" spans="2:8" ht="15" customHeight="1" x14ac:dyDescent="0.15">
      <c r="B47" s="1" t="str">
        <f>"Equity per share ("&amp;Market_currency&amp;")"</f>
        <v>Equity per share (HKD)</v>
      </c>
      <c r="C47" s="147">
        <f>C46*H1/Common_Shares*Exchange_Rate</f>
        <v>7.0921549827453703</v>
      </c>
      <c r="D47" s="147">
        <f>D46*H1/Common_Shares*Exchange_Rate</f>
        <v>3.7980767021052162</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0.16381589511191816</v>
      </c>
      <c r="D50" s="95">
        <f>G31/Normalized_FCF!G8</f>
        <v>0.11510982781693048</v>
      </c>
      <c r="F50" s="253"/>
    </row>
    <row r="51" spans="2:8" ht="15" customHeight="1" x14ac:dyDescent="0.15">
      <c r="B51" s="1" t="s">
        <v>172</v>
      </c>
      <c r="C51" s="181"/>
      <c r="D51" s="92">
        <f>G29/G32</f>
        <v>0.8212060520169846</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9.2977543186339592E-2</v>
      </c>
      <c r="D54" s="92">
        <f>Normalized_FCF!G8/G35</f>
        <v>0.13231884497821328</v>
      </c>
      <c r="F54" s="253"/>
    </row>
    <row r="55" spans="2:8" ht="15" customHeight="1" x14ac:dyDescent="0.15">
      <c r="B55" s="1" t="s">
        <v>137</v>
      </c>
      <c r="C55" s="92">
        <f>Normalized_FCF!C11/G40</f>
        <v>0</v>
      </c>
      <c r="D55" s="92">
        <f>Normalized_FCF!G11/G40</f>
        <v>3.125716199777868E-3</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v>
      </c>
      <c r="F58" s="5"/>
    </row>
    <row r="59" spans="2:8" ht="15" customHeight="1" x14ac:dyDescent="0.15">
      <c r="B59" s="1" t="s">
        <v>90</v>
      </c>
      <c r="C59" s="98"/>
      <c r="D59" s="92">
        <f>G39/G32</f>
        <v>0.12505331530982317</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4.586156299298292E-3</v>
      </c>
      <c r="D62" s="92">
        <f>G28/G29</f>
        <v>4.586156299298292E-3</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3270300</v>
      </c>
      <c r="D66" s="76">
        <f>C66-D75</f>
        <v>2338843.0327008888</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3270300</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-483513.79666666663</v>
      </c>
      <c r="D73" s="349">
        <f>(Normalized_FCF!C25+Normalized_FCF!C35-Normalized_FCF!C91)/12</f>
        <v>-465728.48364955559</v>
      </c>
      <c r="F73" s="1" t="s">
        <v>342</v>
      </c>
    </row>
    <row r="74" spans="2:6" ht="15" customHeight="1" x14ac:dyDescent="0.15">
      <c r="B74" s="257" t="s">
        <v>312</v>
      </c>
      <c r="C74" s="258">
        <f>-$C$66/C73</f>
        <v>6.763612584677781</v>
      </c>
      <c r="D74" s="258">
        <f>-$C$66/D73</f>
        <v>7.0219024921412929</v>
      </c>
      <c r="F74" s="253" t="s">
        <v>310</v>
      </c>
    </row>
    <row r="75" spans="2:6" ht="15" customHeight="1" x14ac:dyDescent="0.15">
      <c r="B75" s="80" t="s">
        <v>311</v>
      </c>
      <c r="C75" s="320"/>
      <c r="D75" s="321">
        <f>MAX(-D73*D76,G5)</f>
        <v>931456.96729911119</v>
      </c>
      <c r="F75" s="253" t="s">
        <v>343</v>
      </c>
    </row>
    <row r="76" spans="2:6" ht="15" customHeight="1" x14ac:dyDescent="0.15">
      <c r="B76" s="259" t="s">
        <v>313</v>
      </c>
      <c r="C76" s="260"/>
      <c r="D76" s="290">
        <f>IF(valuation_method="DCF",IF(D74&lt;=3,1,IF(D74&gt;18,6,2)),-C66/D73)</f>
        <v>2</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88242</v>
      </c>
      <c r="D79" s="76">
        <f>G7*H7+G17*H17</f>
        <v>52945.2</v>
      </c>
      <c r="F79" s="253"/>
    </row>
    <row r="80" spans="2:6" ht="15" customHeight="1" x14ac:dyDescent="0.15">
      <c r="B80" s="105" t="s">
        <v>178</v>
      </c>
      <c r="C80" s="20">
        <f>G19</f>
        <v>44838</v>
      </c>
      <c r="D80" s="76">
        <f>G19*H19</f>
        <v>4483.8</v>
      </c>
      <c r="F80" s="253"/>
    </row>
    <row r="81" spans="2:8" ht="15" customHeight="1" x14ac:dyDescent="0.15">
      <c r="B81" s="105" t="s">
        <v>176</v>
      </c>
      <c r="C81" s="20">
        <f>G9+G21</f>
        <v>0</v>
      </c>
      <c r="D81" s="76">
        <f>G9*H9+G21*H21</f>
        <v>0</v>
      </c>
      <c r="F81" s="253"/>
    </row>
    <row r="82" spans="2:8" ht="15" customHeight="1" x14ac:dyDescent="0.15">
      <c r="B82" s="80" t="s">
        <v>185</v>
      </c>
      <c r="C82" s="81">
        <f>SUM(C79:C81)</f>
        <v>133080</v>
      </c>
      <c r="D82" s="81">
        <f>SUM(D79:D81)</f>
        <v>57429</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-87825</v>
      </c>
      <c r="D86" s="223">
        <f>C86*scaling_factor/Common_Shares</f>
        <v>-8.2717679591313917E-2</v>
      </c>
      <c r="E86" s="240" t="str">
        <f>Market_currency</f>
        <v>HKD</v>
      </c>
    </row>
    <row r="87" spans="2:8" ht="15" customHeight="1" x14ac:dyDescent="0.15">
      <c r="B87" s="238" t="s">
        <v>282</v>
      </c>
      <c r="C87" s="76">
        <f>DCF!C8*Exchange_Rate</f>
        <v>2338843.0327008888</v>
      </c>
      <c r="D87" s="223">
        <f>C87*scaling_factor/Common_Shares</f>
        <v>2.2028314101147628</v>
      </c>
      <c r="E87" s="240" t="str">
        <f>Market_currency</f>
        <v>HKD</v>
      </c>
    </row>
    <row r="88" spans="2:8" ht="15" customHeight="1" x14ac:dyDescent="0.15">
      <c r="B88" s="239" t="s">
        <v>185</v>
      </c>
      <c r="C88" s="76">
        <f>DCF!C9*Exchange_Rate</f>
        <v>57429</v>
      </c>
      <c r="D88" s="223">
        <f>C88*scaling_factor/Common_Shares</f>
        <v>5.4089309664099819E-2</v>
      </c>
      <c r="E88" s="240" t="str">
        <f>Market_currency</f>
        <v>HKD</v>
      </c>
    </row>
    <row r="89" spans="2:8" ht="15" customHeight="1" x14ac:dyDescent="0.15">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v>
      </c>
      <c r="D3" s="9"/>
      <c r="E3" s="268"/>
      <c r="F3" s="9"/>
      <c r="G3" s="9"/>
    </row>
    <row r="4" spans="1:17" ht="15.75" customHeight="1" x14ac:dyDescent="0.15">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x14ac:dyDescent="0.15">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x14ac:dyDescent="0.15">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x14ac:dyDescent="0.15">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x14ac:dyDescent="0.15">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x14ac:dyDescent="0.15">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x14ac:dyDescent="0.15">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x14ac:dyDescent="0.15">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x14ac:dyDescent="0.15">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x14ac:dyDescent="0.15">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x14ac:dyDescent="0.15">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x14ac:dyDescent="0.2">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x14ac:dyDescent="0.15">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x14ac:dyDescent="0.2">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x14ac:dyDescent="0.15">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x14ac:dyDescent="0.15">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x14ac:dyDescent="0.15">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x14ac:dyDescent="0.15">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x14ac:dyDescent="0.15">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x14ac:dyDescent="0.15">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x14ac:dyDescent="0.15">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x14ac:dyDescent="0.15">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x14ac:dyDescent="0.15">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x14ac:dyDescent="0.15">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x14ac:dyDescent="0.15">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x14ac:dyDescent="0.15">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x14ac:dyDescent="0.15">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15">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x14ac:dyDescent="0.15">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x14ac:dyDescent="0.15">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x14ac:dyDescent="0.15">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433</v>
      </c>
      <c r="C93" s="356">
        <v>0</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5.1502145922746781E-2</v>
      </c>
      <c r="E94" s="268"/>
      <c r="G94" s="23">
        <f t="shared" ref="G94:Q94" si="39">IF(G$4="","",(G90*(1-dividend_tax_rate))/Market_Price)</f>
        <v>7.0100143061516448E-2</v>
      </c>
      <c r="H94" s="23">
        <f t="shared" si="39"/>
        <v>6.2947067238912732E-2</v>
      </c>
      <c r="I94" s="23">
        <f t="shared" si="39"/>
        <v>5.1502145922746781E-2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x14ac:dyDescent="0.15">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x14ac:dyDescent="0.15">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x14ac:dyDescent="0.15">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x14ac:dyDescent="0.15">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x14ac:dyDescent="0.15">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x14ac:dyDescent="0.15">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x14ac:dyDescent="0.15">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x14ac:dyDescent="0.15">
      <c r="A126" s="10"/>
      <c r="B126" s="27" t="s">
        <v>264</v>
      </c>
      <c r="C126" s="77">
        <f>C19*Exchange_Rate*$C$3/(Market_Price*Common_Shares)</f>
        <v>5.284722951995495E-2</v>
      </c>
      <c r="D126" s="27"/>
      <c r="E126" s="265"/>
      <c r="F126" s="27"/>
      <c r="G126" s="77">
        <f t="shared" ref="G126" si="50">IF(G$4="","",G125/Market_Price)</f>
        <v>8.4364089463327907E-2</v>
      </c>
      <c r="H126" s="77">
        <f t="shared" ref="H126" si="51">IF(H$4="","",H125/Market_Price)</f>
        <v>0.14273536086117594</v>
      </c>
      <c r="I126" s="77">
        <f t="shared" ref="I126" si="52">IF(I$4="","",I125/Market_Price)</f>
        <v>0.16263195927354529</v>
      </c>
      <c r="J126" s="77">
        <f t="shared" ref="J126" si="53">IF(J$4="","",J125/Market_Price)</f>
        <v>0.13066357183118044</v>
      </c>
      <c r="K126" s="77">
        <f t="shared" ref="K126" si="54">IF(K$4="","",K125/Market_Price)</f>
        <v>0.1209670612710276</v>
      </c>
      <c r="L126" s="77">
        <f t="shared" ref="L126" si="55">IF(L$4="","",L125/Market_Price)</f>
        <v>8.1264520741764018E-2</v>
      </c>
      <c r="M126" s="77">
        <f t="shared" ref="M126" si="56">IF(M$4="","",M125/Market_Price)</f>
        <v>6.4534683788861569E-2</v>
      </c>
      <c r="N126" s="77">
        <f t="shared" ref="N126" si="57">IF(N$4="","",N125/Market_Price)</f>
        <v>5.9526862392689034E-2</v>
      </c>
      <c r="O126" s="77">
        <f t="shared" ref="O126" si="58">IF(O$4="","",O125/Market_Price)</f>
        <v>7.2775370135751596E-2</v>
      </c>
      <c r="P126" s="77">
        <f t="shared" ref="P126" si="59">IF(P$4="","",P125/Market_Price)</f>
        <v>6.8860036924483753E-2</v>
      </c>
      <c r="Q126" s="77" t="str">
        <f t="shared" ref="Q126" si="60">IF(Q$4="","",Q125/Market_Price)</f>
        <v/>
      </c>
    </row>
    <row r="127" spans="1:17" ht="15.75" customHeight="1" x14ac:dyDescent="0.15">
      <c r="B127" s="2" t="s">
        <v>375</v>
      </c>
      <c r="C127" s="169"/>
      <c r="G127" s="23">
        <f>IF(G$4="","",(Data!C47*$C$3)/(Market_Price*Common_Shares))</f>
        <v>9.7138476472353394E-2</v>
      </c>
      <c r="H127" s="23">
        <f>IF(H$4="","",(Data!D47*$C$3)/(Market_Price*Common_Shares))</f>
        <v>0.15698831545350031</v>
      </c>
      <c r="I127" s="23">
        <f>IF(I$4="","",(Data!E47*$C$3)/(Market_Price*Common_Shares))</f>
        <v>0.17088021627536401</v>
      </c>
      <c r="J127" s="23">
        <f>IF(J$4="","",(Data!F47*$C$3)/(Market_Price*Common_Shares))</f>
        <v>0.14717087815202784</v>
      </c>
      <c r="K127" s="23">
        <f>IF(K$4="","",(Data!G47*$C$3)/(Market_Price*Common_Shares))</f>
        <v>0.12178656215171213</v>
      </c>
      <c r="L127" s="23">
        <f>IF(L$4="","",(Data!H47*$C$3)/(Market_Price*Common_Shares))</f>
        <v>8.4195428856964585E-2</v>
      </c>
      <c r="M127" s="23">
        <f>IF(M$4="","",(Data!I47*$C$3)/(Market_Price*Common_Shares))</f>
        <v>6.9445760424703351E-2</v>
      </c>
      <c r="N127" s="23">
        <f>IF(N$4="","",(Data!J47*$C$3)/(Market_Price*Common_Shares))</f>
        <v>4.5349578002050278E-2</v>
      </c>
      <c r="O127" s="23">
        <f>IF(O$4="","",(Data!K47*$C$3)/(Market_Price*Common_Shares))</f>
        <v>8.1307907667706208E-2</v>
      </c>
      <c r="P127" s="23">
        <f>IF(P$4="","",(Data!L47*$C$3)/(Market_Price*Common_Shares))</f>
        <v>8.3578579953351675E-2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v>
      </c>
      <c r="E3" s="109" t="s">
        <v>120</v>
      </c>
      <c r="H3" s="120"/>
    </row>
    <row r="4" spans="2:8" x14ac:dyDescent="0.15">
      <c r="B4" s="100" t="s">
        <v>124</v>
      </c>
      <c r="C4" s="338">
        <f>Normalized_FCF!C19</f>
        <v>392210.49972745095</v>
      </c>
      <c r="D4" t="str">
        <f>Reporting_currency</f>
        <v>HKD</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5229473.3296993459</v>
      </c>
      <c r="D6" t="str">
        <f>Reporting_currency</f>
        <v>HKD</v>
      </c>
      <c r="E6" s="378" t="s">
        <v>245</v>
      </c>
      <c r="F6" s="378"/>
      <c r="H6" s="120"/>
    </row>
    <row r="7" spans="2:8" x14ac:dyDescent="0.15">
      <c r="B7" s="148" t="s">
        <v>220</v>
      </c>
      <c r="C7" s="338">
        <f>BS!G31</f>
        <v>87825</v>
      </c>
      <c r="D7" t="str">
        <f>Reporting_currency</f>
        <v>HKD</v>
      </c>
      <c r="E7" s="378"/>
      <c r="F7" s="378"/>
      <c r="H7" s="120"/>
    </row>
    <row r="8" spans="2:8" x14ac:dyDescent="0.15">
      <c r="B8" s="148" t="s">
        <v>221</v>
      </c>
      <c r="C8" s="338">
        <f>BS!D66</f>
        <v>2338843.0327008888</v>
      </c>
      <c r="D8" t="str">
        <f>Reporting_currency</f>
        <v>HKD</v>
      </c>
      <c r="E8" s="378"/>
      <c r="F8" s="378"/>
      <c r="H8" s="120"/>
    </row>
    <row r="9" spans="2:8" x14ac:dyDescent="0.15">
      <c r="B9" s="205" t="s">
        <v>186</v>
      </c>
      <c r="C9" s="348">
        <f>BS!H42</f>
        <v>57429</v>
      </c>
      <c r="D9" t="str">
        <f>Reporting_currency</f>
        <v>HKD</v>
      </c>
      <c r="E9" s="378"/>
      <c r="F9" s="378"/>
      <c r="H9" s="120"/>
    </row>
    <row r="10" spans="2:8" x14ac:dyDescent="0.15">
      <c r="B10" s="149" t="s">
        <v>223</v>
      </c>
      <c r="C10" s="347">
        <f>C6-C7+C8+C9</f>
        <v>7537920.3624002347</v>
      </c>
      <c r="D10" t="str">
        <f>Reporting_currency</f>
        <v>HKD</v>
      </c>
      <c r="H10" s="120"/>
    </row>
    <row r="11" spans="2:8" ht="14" thickBot="1" x14ac:dyDescent="0.2">
      <c r="B11" s="207" t="s">
        <v>162</v>
      </c>
      <c r="C11" s="208">
        <f>Exchange_Rate</f>
        <v>1</v>
      </c>
      <c r="D11" t="str">
        <f>Thesis!C15</f>
        <v>HKD</v>
      </c>
      <c r="H11" s="120"/>
    </row>
    <row r="12" spans="2:8" ht="14" thickTop="1" x14ac:dyDescent="0.15">
      <c r="B12" s="149" t="s">
        <v>99</v>
      </c>
      <c r="C12" s="111">
        <f>(C10*scaling_factor)/Common_Shares*Exchange_Rate</f>
        <v>7.0995648314473492</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3.3144882254640899E-2</v>
      </c>
      <c r="H16" s="120"/>
    </row>
    <row r="17" spans="2:17" ht="13.25" customHeight="1" x14ac:dyDescent="0.15">
      <c r="B17" s="118" t="s">
        <v>130</v>
      </c>
      <c r="C17" s="162">
        <f>Scenarios!C64</f>
        <v>5</v>
      </c>
      <c r="H17" s="120"/>
    </row>
    <row r="18" spans="2:17" ht="13.25" customHeight="1" x14ac:dyDescent="0.15">
      <c r="B18" s="153" t="s">
        <v>103</v>
      </c>
      <c r="C18" s="140">
        <f>(F52-C7+C8+C9)*Exchange_Rate/Common_Shares*scaling_factor</f>
        <v>7.3608683071354024</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x14ac:dyDescent="0.15">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x14ac:dyDescent="0.15">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x14ac:dyDescent="0.15">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x14ac:dyDescent="0.15">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5402803.607466016</v>
      </c>
      <c r="D51" s="139">
        <f>Terminal_Growth</f>
        <v>0</v>
      </c>
      <c r="E51" s="124">
        <f>1/(1+Equity_Cost)^C17</f>
        <v>0.69655863235011617</v>
      </c>
      <c r="F51" s="125">
        <f t="shared" si="1"/>
        <v>3763369.4916728018</v>
      </c>
      <c r="H51" s="120"/>
    </row>
    <row r="52" spans="1:17" x14ac:dyDescent="0.15">
      <c r="C52" s="114"/>
      <c r="E52" s="127" t="s">
        <v>97</v>
      </c>
      <c r="F52" s="137">
        <f>SUM(F21:F51)</f>
        <v>5506910.7271902822</v>
      </c>
      <c r="H52" s="120"/>
    </row>
    <row r="53" spans="1:17" x14ac:dyDescent="0.15">
      <c r="C53" s="114"/>
      <c r="H53" s="120"/>
    </row>
    <row r="54" spans="1:17" x14ac:dyDescent="0.15">
      <c r="B54" s="119" t="s">
        <v>125</v>
      </c>
      <c r="C54" s="136"/>
      <c r="D54" s="136"/>
      <c r="E54" s="117"/>
      <c r="F54" s="117"/>
      <c r="H54" s="120"/>
    </row>
    <row r="55" spans="1:17" x14ac:dyDescent="0.15">
      <c r="A55" s="133">
        <f>F52</f>
        <v>5506910.7271902822</v>
      </c>
      <c r="B55" s="131">
        <f>C78</f>
        <v>0</v>
      </c>
      <c r="C55" s="131">
        <f>C77</f>
        <v>0.01</v>
      </c>
      <c r="D55" s="131">
        <f>C76</f>
        <v>0.03</v>
      </c>
      <c r="E55" s="131">
        <f>C75</f>
        <v>0.05</v>
      </c>
      <c r="F55" s="131">
        <f>C74</f>
        <v>0.06</v>
      </c>
      <c r="H55" s="120"/>
    </row>
    <row r="56" spans="1:17" x14ac:dyDescent="0.15">
      <c r="A56" s="143">
        <v>5</v>
      </c>
      <c r="B56" s="123">
        <f t="dataTable" ref="B56:F61" dt2D="1" dtr="1" r1="C16" r2="C17"/>
        <v>5229473.3296993468</v>
      </c>
      <c r="C56" s="123">
        <v>5311797.0979552846</v>
      </c>
      <c r="D56" s="123">
        <v>5480015.6552283727</v>
      </c>
      <c r="E56" s="123">
        <v>5653170.5093219765</v>
      </c>
      <c r="F56" s="123">
        <v>5741666.1791931614</v>
      </c>
      <c r="H56" s="120"/>
    </row>
    <row r="57" spans="1:17" x14ac:dyDescent="0.15">
      <c r="A57" s="143">
        <v>10</v>
      </c>
      <c r="B57" s="123">
        <v>5229473.3296993468</v>
      </c>
      <c r="C57" s="123">
        <v>5390727.6240964383</v>
      </c>
      <c r="D57" s="123">
        <v>5736976.0953361988</v>
      </c>
      <c r="E57" s="123">
        <v>6118038.2918811832</v>
      </c>
      <c r="F57" s="123">
        <v>6322908.5674613891</v>
      </c>
      <c r="H57" s="120"/>
    </row>
    <row r="58" spans="1:17" x14ac:dyDescent="0.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x14ac:dyDescent="0.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x14ac:dyDescent="0.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x14ac:dyDescent="0.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0.01</v>
      </c>
      <c r="D64" s="132">
        <f>D55</f>
        <v>0.03</v>
      </c>
      <c r="E64" s="132">
        <f>E55</f>
        <v>0.05</v>
      </c>
      <c r="F64" s="132">
        <f>F55</f>
        <v>0.06</v>
      </c>
      <c r="H64" s="120"/>
    </row>
    <row r="65" spans="1:8" x14ac:dyDescent="0.15">
      <c r="A65" s="143">
        <v>0</v>
      </c>
      <c r="B65" s="124">
        <f>C12</f>
        <v>7.0995648314473492</v>
      </c>
      <c r="C65" s="124">
        <f>C12</f>
        <v>7.0995648314473492</v>
      </c>
      <c r="D65" s="124">
        <f>C12</f>
        <v>7.0995648314473492</v>
      </c>
      <c r="E65" s="141">
        <f>C12</f>
        <v>7.0995648314473492</v>
      </c>
      <c r="F65" s="124">
        <f>C12</f>
        <v>7.0995648314473492</v>
      </c>
      <c r="H65" s="120"/>
    </row>
    <row r="66" spans="1:8" x14ac:dyDescent="0.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x14ac:dyDescent="0.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x14ac:dyDescent="0.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x14ac:dyDescent="0.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x14ac:dyDescent="0.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x14ac:dyDescent="0.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0.06</v>
      </c>
      <c r="D74" s="145">
        <f>Scenarios!C55</f>
        <v>10</v>
      </c>
      <c r="E74" s="135">
        <f>INDEX(B$65:F$71, MATCH(D74, A$65:A$71, 0), MATCH(C74, B$64:F$64, 0))</f>
        <v>8.1294131166856403</v>
      </c>
      <c r="F74" s="142">
        <f>Scenarios!C58</f>
        <v>0.05</v>
      </c>
    </row>
    <row r="75" spans="1:8" x14ac:dyDescent="0.15">
      <c r="B75" s="127" t="str">
        <f>Scenarios!B36</f>
        <v>Optimistic</v>
      </c>
      <c r="C75" s="142">
        <f>Scenarios!C38</f>
        <v>0.05</v>
      </c>
      <c r="D75" s="145">
        <f>Scenarios!C37</f>
        <v>5</v>
      </c>
      <c r="E75" s="135">
        <f>INDEX(B$65:F$71, MATCH(D75, A$65:A$71, 0), MATCH(C75, B$64:F$64, 0))</f>
        <v>7.4986225888941824</v>
      </c>
      <c r="F75" s="142">
        <f>Scenarios!C40*(1-F$74-F$78)</f>
        <v>0.18</v>
      </c>
      <c r="H75" s="120"/>
    </row>
    <row r="76" spans="1:8" x14ac:dyDescent="0.15">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x14ac:dyDescent="0.15">
      <c r="B77" s="127" t="str">
        <f>Scenarios!B30</f>
        <v>Pessimistic</v>
      </c>
      <c r="C77" s="142">
        <f>Scenarios!C32</f>
        <v>0.01</v>
      </c>
      <c r="D77" s="145">
        <f>Scenarios!C31</f>
        <v>5</v>
      </c>
      <c r="E77" s="135">
        <f>INDEX(B$65:F$71, MATCH(D77, A$65:A$71, 0), MATCH(C77, B$64:F$64, 0))</f>
        <v>7.1771011945027929</v>
      </c>
      <c r="F77" s="142">
        <f>Scenarios!C34*(1-F$74-F$78)</f>
        <v>0.18</v>
      </c>
      <c r="H77" s="120"/>
    </row>
    <row r="78" spans="1:8" x14ac:dyDescent="0.15">
      <c r="B78" s="127" t="str">
        <f>Scenarios!B48</f>
        <v>Devil's advocate</v>
      </c>
      <c r="C78" s="142">
        <f>Scenarios!C50</f>
        <v>0</v>
      </c>
      <c r="D78" s="145">
        <f>Scenarios!C49</f>
        <v>10</v>
      </c>
      <c r="E78" s="135">
        <f>INDEX(B$65:F$71, MATCH(D78, A$65:A$71, 0), MATCH(C78, B$64:F$64, 0))</f>
        <v>7.0995648314473501</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419</v>
      </c>
      <c r="C2" s="37"/>
      <c r="D2" s="37"/>
      <c r="E2" s="37"/>
      <c r="F2" s="37"/>
      <c r="H2" s="130" t="s">
        <v>57</v>
      </c>
    </row>
    <row r="3" spans="2:8" x14ac:dyDescent="0.15">
      <c r="B3" s="109" t="s">
        <v>418</v>
      </c>
      <c r="C3" s="107">
        <f>scaling_factor</f>
        <v>1000</v>
      </c>
      <c r="E3" s="109" t="s">
        <v>120</v>
      </c>
      <c r="H3" s="120"/>
    </row>
    <row r="4" spans="2:8" x14ac:dyDescent="0.15">
      <c r="B4" s="100" t="s">
        <v>416</v>
      </c>
      <c r="C4" s="114">
        <f>Normalized_FCF!C91*(1-dividend_tax_rate)</f>
        <v>382227.84</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417</v>
      </c>
      <c r="C6" s="319">
        <f>(C4*(1+Terminal_Growth))/(Equity_Cost-Terminal_Growth)</f>
        <v>5096371.2</v>
      </c>
      <c r="D6" t="str">
        <f>Reporting_currency</f>
        <v>HKD</v>
      </c>
      <c r="E6" s="378"/>
      <c r="F6" s="378"/>
      <c r="H6" s="120"/>
    </row>
    <row r="7" spans="2:8" x14ac:dyDescent="0.15">
      <c r="B7" s="149" t="s">
        <v>420</v>
      </c>
      <c r="C7" s="111">
        <f>(C6*scaling_factor)/Common_Shares*Exchange_Rate</f>
        <v>4.8</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3.3144882254640899E-2</v>
      </c>
      <c r="H11" s="120"/>
    </row>
    <row r="12" spans="2:8" ht="13.25" customHeight="1" x14ac:dyDescent="0.15">
      <c r="B12" s="118" t="s">
        <v>130</v>
      </c>
      <c r="C12" s="162">
        <f>Scenarios!C64</f>
        <v>5</v>
      </c>
      <c r="H12" s="120"/>
    </row>
    <row r="13" spans="2:8" ht="13.25" customHeight="1" x14ac:dyDescent="0.15">
      <c r="B13" s="153" t="s">
        <v>103</v>
      </c>
      <c r="C13" s="140">
        <f>F47/Common_Shares*scaling_factor</f>
        <v>5.0546527009504914</v>
      </c>
      <c r="D13" t="str">
        <f>Market_currency</f>
        <v>HKD</v>
      </c>
      <c r="H13" s="120"/>
    </row>
    <row r="14" spans="2:8" x14ac:dyDescent="0.15">
      <c r="H14" s="120"/>
    </row>
    <row r="15" spans="2:8" ht="14" x14ac:dyDescent="0.2">
      <c r="B15" s="128" t="s">
        <v>104</v>
      </c>
      <c r="C15" s="128" t="s">
        <v>422</v>
      </c>
      <c r="D15" s="128" t="s">
        <v>114</v>
      </c>
      <c r="E15" s="128" t="s">
        <v>106</v>
      </c>
      <c r="F15" s="129" t="s">
        <v>421</v>
      </c>
      <c r="H15" s="120"/>
    </row>
    <row r="16" spans="2:8" x14ac:dyDescent="0.15">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x14ac:dyDescent="0.15">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x14ac:dyDescent="0.15">
      <c r="B18" s="122">
        <v>3</v>
      </c>
      <c r="C18" s="123">
        <f t="shared" si="2"/>
        <v>421508.17536446865</v>
      </c>
      <c r="D18" s="138">
        <f>IF($C$12&lt;B18,0,DDM!$C$11)</f>
        <v>3.3144882254640899E-2</v>
      </c>
      <c r="E18" s="124">
        <f t="shared" si="0"/>
        <v>0.80496056950960304</v>
      </c>
      <c r="F18" s="125">
        <f t="shared" si="1"/>
        <v>339297.46089433634</v>
      </c>
      <c r="H18" s="120"/>
    </row>
    <row r="19" spans="2:8" x14ac:dyDescent="0.15">
      <c r="B19" s="122">
        <v>4</v>
      </c>
      <c r="C19" s="123">
        <f t="shared" si="2"/>
        <v>435479.01420629246</v>
      </c>
      <c r="D19" s="138">
        <f>IF($C$12&lt;B19,0,DDM!$C$11)</f>
        <v>3.3144882254640899E-2</v>
      </c>
      <c r="E19" s="124">
        <f t="shared" si="0"/>
        <v>0.7488005297763749</v>
      </c>
      <c r="F19" s="125">
        <f t="shared" si="1"/>
        <v>326086.91654416529</v>
      </c>
      <c r="H19" s="120"/>
    </row>
    <row r="20" spans="2:8" x14ac:dyDescent="0.15">
      <c r="B20" s="122">
        <v>5</v>
      </c>
      <c r="C20" s="123">
        <f t="shared" si="2"/>
        <v>449912.91485652718</v>
      </c>
      <c r="D20" s="138">
        <f>IF($C$12&lt;B20,0,DDM!$C$11)</f>
        <v>3.3144882254640899E-2</v>
      </c>
      <c r="E20" s="124">
        <f t="shared" si="0"/>
        <v>0.69655863235011617</v>
      </c>
      <c r="F20" s="125">
        <f t="shared" si="1"/>
        <v>313390.7246491168</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5265289.8233499434</v>
      </c>
      <c r="D46" s="139">
        <f>Terminal_Growth</f>
        <v>0</v>
      </c>
      <c r="E46" s="124">
        <f>1/(1+Equity_Cost)^C12</f>
        <v>0.69655863235011617</v>
      </c>
      <c r="F46" s="125">
        <f t="shared" si="1"/>
        <v>3667583.0782796214</v>
      </c>
      <c r="H46" s="120"/>
    </row>
    <row r="47" spans="2:8" x14ac:dyDescent="0.15">
      <c r="C47" s="114"/>
      <c r="E47" s="127" t="s">
        <v>97</v>
      </c>
      <c r="F47" s="137">
        <f>SUM(F16:F46)</f>
        <v>5366747.1773179779</v>
      </c>
      <c r="H47" s="120"/>
    </row>
    <row r="48" spans="2:8" x14ac:dyDescent="0.15">
      <c r="C48" s="114"/>
      <c r="H48" s="120"/>
    </row>
    <row r="49" spans="1:8" x14ac:dyDescent="0.15">
      <c r="B49" s="119" t="s">
        <v>125</v>
      </c>
      <c r="C49" s="136"/>
      <c r="D49" s="136"/>
      <c r="E49" s="117"/>
      <c r="F49" s="117"/>
      <c r="H49" s="120"/>
    </row>
    <row r="50" spans="1:8" x14ac:dyDescent="0.15">
      <c r="A50" s="133">
        <f>F47</f>
        <v>5366747.1773179779</v>
      </c>
      <c r="B50" s="131">
        <f>C73</f>
        <v>0</v>
      </c>
      <c r="C50" s="131">
        <f>C72</f>
        <v>0.01</v>
      </c>
      <c r="D50" s="131">
        <f>C71</f>
        <v>0.03</v>
      </c>
      <c r="E50" s="131">
        <f>C70</f>
        <v>0.05</v>
      </c>
      <c r="F50" s="131">
        <f>C69</f>
        <v>0.06</v>
      </c>
      <c r="H50" s="120"/>
    </row>
    <row r="51" spans="1:8" x14ac:dyDescent="0.15">
      <c r="A51" s="143">
        <v>5</v>
      </c>
      <c r="B51" s="123">
        <f t="dataTable" ref="B51:F56" dt2D="1" dtr="1" r1="C11" r2="C12"/>
        <v>5096371.2000000011</v>
      </c>
      <c r="C51" s="123">
        <v>5176599.6389199011</v>
      </c>
      <c r="D51" s="123">
        <v>5340536.6468253257</v>
      </c>
      <c r="E51" s="123">
        <v>5509284.3114383454</v>
      </c>
      <c r="F51" s="123">
        <v>5595527.5628753211</v>
      </c>
      <c r="H51" s="120"/>
    </row>
    <row r="52" spans="1:8" x14ac:dyDescent="0.15">
      <c r="A52" s="143">
        <v>10</v>
      </c>
      <c r="B52" s="123">
        <v>5096371.2000000011</v>
      </c>
      <c r="C52" s="123">
        <v>5253521.2015449768</v>
      </c>
      <c r="D52" s="123">
        <v>5590956.8524447968</v>
      </c>
      <c r="E52" s="123">
        <v>5962320.1392315058</v>
      </c>
      <c r="F52" s="123">
        <v>6161975.9948744401</v>
      </c>
      <c r="H52" s="120"/>
    </row>
    <row r="53" spans="1:8" x14ac:dyDescent="0.15">
      <c r="A53" s="143">
        <v>15</v>
      </c>
      <c r="B53" s="123">
        <v>5096371.2000000011</v>
      </c>
      <c r="C53" s="123">
        <v>5348491.7332797786</v>
      </c>
      <c r="D53" s="123">
        <v>5916264.8044511545</v>
      </c>
      <c r="E53" s="123">
        <v>6582738.1319240499</v>
      </c>
      <c r="F53" s="123">
        <v>6958999.3169000112</v>
      </c>
      <c r="H53" s="120"/>
    </row>
    <row r="54" spans="1:8" x14ac:dyDescent="0.15">
      <c r="A54" s="144">
        <v>20</v>
      </c>
      <c r="B54" s="123">
        <v>5096371.2000000011</v>
      </c>
      <c r="C54" s="123">
        <v>5444945.5993836867</v>
      </c>
      <c r="D54" s="123">
        <v>6264693.2670442667</v>
      </c>
      <c r="E54" s="123">
        <v>7285910.5530016627</v>
      </c>
      <c r="F54" s="123">
        <v>7889325.7785442164</v>
      </c>
      <c r="H54" s="120"/>
    </row>
    <row r="55" spans="1:8" x14ac:dyDescent="0.15">
      <c r="A55" s="144">
        <v>25</v>
      </c>
      <c r="B55" s="123">
        <v>5096371.2000000011</v>
      </c>
      <c r="C55" s="123">
        <v>5534314.6712910961</v>
      </c>
      <c r="D55" s="123">
        <v>6605774.0717609888</v>
      </c>
      <c r="E55" s="123">
        <v>8016644.9689611075</v>
      </c>
      <c r="F55" s="123">
        <v>8887052.5298602208</v>
      </c>
      <c r="H55" s="120"/>
    </row>
    <row r="56" spans="1:8" x14ac:dyDescent="0.15">
      <c r="A56" s="144">
        <v>30</v>
      </c>
      <c r="B56" s="123">
        <v>5096371.2000000011</v>
      </c>
      <c r="C56" s="123">
        <v>5612805.6437782319</v>
      </c>
      <c r="D56" s="123">
        <v>6922798.8938652175</v>
      </c>
      <c r="E56" s="123">
        <v>8739835.4913533926</v>
      </c>
      <c r="F56" s="123">
        <v>9908001.30330614</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0.01</v>
      </c>
      <c r="D59" s="132">
        <f>D50</f>
        <v>0.03</v>
      </c>
      <c r="E59" s="132">
        <f>E50</f>
        <v>0.05</v>
      </c>
      <c r="F59" s="132">
        <f>F50</f>
        <v>0.06</v>
      </c>
      <c r="H59" s="120"/>
    </row>
    <row r="60" spans="1:8" x14ac:dyDescent="0.15">
      <c r="A60" s="143">
        <v>0</v>
      </c>
      <c r="B60" s="124">
        <f>C7</f>
        <v>4.8</v>
      </c>
      <c r="C60" s="124">
        <f>C7</f>
        <v>4.8</v>
      </c>
      <c r="D60" s="124">
        <f>C7</f>
        <v>4.8</v>
      </c>
      <c r="E60" s="141">
        <f>C7</f>
        <v>4.8</v>
      </c>
      <c r="F60" s="124">
        <f>C7</f>
        <v>4.8</v>
      </c>
      <c r="H60" s="120"/>
    </row>
    <row r="61" spans="1:8" x14ac:dyDescent="0.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x14ac:dyDescent="0.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x14ac:dyDescent="0.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x14ac:dyDescent="0.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x14ac:dyDescent="0.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x14ac:dyDescent="0.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0.06</v>
      </c>
      <c r="D69" s="145">
        <f>Scenarios!C55</f>
        <v>10</v>
      </c>
      <c r="E69" s="135">
        <f>INDEX(B$60:F$66, MATCH(D69, A$60:A$66, 0), MATCH(C69, B$59:F$59, 0))</f>
        <v>5.803636276611349</v>
      </c>
      <c r="F69" s="142">
        <f>Scenarios!C58</f>
        <v>0.05</v>
      </c>
    </row>
    <row r="70" spans="1:8" x14ac:dyDescent="0.15">
      <c r="B70" s="127" t="str">
        <f>Scenarios!B36</f>
        <v>Optimistic</v>
      </c>
      <c r="C70" s="142">
        <f>Scenarios!C38</f>
        <v>0.05</v>
      </c>
      <c r="D70" s="145">
        <f>Scenarios!C37</f>
        <v>5</v>
      </c>
      <c r="E70" s="135">
        <f>INDEX(B$60:F$66, MATCH(D70, A$60:A$66, 0), MATCH(C70, B$59:F$59, 0))</f>
        <v>5.1889008192543074</v>
      </c>
      <c r="F70" s="142">
        <f>Scenarios!C40*(1-F$69-F$73)</f>
        <v>0.18</v>
      </c>
      <c r="H70" s="120"/>
    </row>
    <row r="71" spans="1:8" x14ac:dyDescent="0.15">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x14ac:dyDescent="0.15">
      <c r="B72" s="127" t="str">
        <f>Scenarios!B30</f>
        <v>Pessimistic</v>
      </c>
      <c r="C72" s="142">
        <f>Scenarios!C32</f>
        <v>0.01</v>
      </c>
      <c r="D72" s="145">
        <f>Scenarios!C31</f>
        <v>5</v>
      </c>
      <c r="E72" s="135">
        <f>INDEX(B$60:F$66, MATCH(D72, A$60:A$66, 0), MATCH(C72, B$59:F$59, 0))</f>
        <v>4.875562884197981</v>
      </c>
      <c r="F72" s="142">
        <f>Scenarios!C34*(1-F$69-F$73)</f>
        <v>0.18</v>
      </c>
      <c r="H72" s="120"/>
    </row>
    <row r="73" spans="1:8" x14ac:dyDescent="0.15">
      <c r="B73" s="127" t="str">
        <f>Scenarios!B48</f>
        <v>Devil's advocate</v>
      </c>
      <c r="C73" s="142">
        <f>Scenarios!C50</f>
        <v>0</v>
      </c>
      <c r="D73" s="145">
        <f>Scenarios!C49</f>
        <v>10</v>
      </c>
      <c r="E73" s="135">
        <f>INDEX(B$60:F$66, MATCH(D73, A$60:A$66, 0), MATCH(C73, B$59:F$59, 0))</f>
        <v>4.8000000000000016</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-6.99</v>
      </c>
    </row>
    <row r="4" spans="2:9" x14ac:dyDescent="0.15">
      <c r="B4" s="152" t="s">
        <v>142</v>
      </c>
      <c r="C4" s="120">
        <v>3</v>
      </c>
      <c r="D4" s="120"/>
      <c r="E4" s="155" t="s">
        <v>146</v>
      </c>
      <c r="F4" s="155"/>
      <c r="H4" s="247">
        <v>1</v>
      </c>
      <c r="I4" s="124">
        <f t="shared" ref="I4:I13" si="0">IF(ROW()-3 &lt; $C$76, $C$77, IF(ROW()-3 = $C$76, $C$77 + $C$60, ""))</f>
        <v>0.36</v>
      </c>
    </row>
    <row r="5" spans="2:9" x14ac:dyDescent="0.15">
      <c r="H5" s="247">
        <v>2</v>
      </c>
      <c r="I5" s="124">
        <f t="shared" si="0"/>
        <v>0.36</v>
      </c>
    </row>
    <row r="6" spans="2:9" x14ac:dyDescent="0.15">
      <c r="B6" s="159" t="s">
        <v>92</v>
      </c>
      <c r="C6" s="107">
        <f>DCF!C3</f>
        <v>1000</v>
      </c>
      <c r="E6" s="100" t="s">
        <v>274</v>
      </c>
      <c r="F6" s="100"/>
      <c r="H6" s="247">
        <v>3</v>
      </c>
      <c r="I6" s="124">
        <f t="shared" si="0"/>
        <v>7.724269306623964</v>
      </c>
    </row>
    <row r="7" spans="2:9" ht="12.75" customHeight="1" x14ac:dyDescent="0.15">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x14ac:dyDescent="0.15">
      <c r="B8" s="100" t="s">
        <v>64</v>
      </c>
      <c r="C8" s="338">
        <f>Normalized_FCF!G19</f>
        <v>626115.72996402986</v>
      </c>
      <c r="D8" t="str">
        <f>Reporting_currency</f>
        <v>HKD</v>
      </c>
      <c r="E8" s="380"/>
      <c r="F8" s="380"/>
      <c r="H8" s="247">
        <v>5</v>
      </c>
      <c r="I8" s="124" t="str">
        <f t="shared" si="0"/>
        <v/>
      </c>
    </row>
    <row r="9" spans="2:9" x14ac:dyDescent="0.15">
      <c r="B9" s="100" t="s">
        <v>55</v>
      </c>
      <c r="C9" s="338">
        <f>Normalized_FCF!C19</f>
        <v>392210.49972745095</v>
      </c>
      <c r="D9" t="str">
        <f>Reporting_currency</f>
        <v>HKD</v>
      </c>
      <c r="E9" s="380"/>
      <c r="F9" s="380"/>
      <c r="H9" s="247">
        <v>6</v>
      </c>
      <c r="I9" s="124" t="str">
        <f t="shared" si="0"/>
        <v/>
      </c>
    </row>
    <row r="10" spans="2:9" x14ac:dyDescent="0.15">
      <c r="E10" s="380"/>
      <c r="F10" s="380"/>
      <c r="H10" s="247">
        <v>7</v>
      </c>
      <c r="I10" s="124" t="str">
        <f t="shared" si="0"/>
        <v/>
      </c>
    </row>
    <row r="11" spans="2:9" x14ac:dyDescent="0.15">
      <c r="B11" s="159" t="s">
        <v>423</v>
      </c>
      <c r="E11" s="380"/>
      <c r="F11" s="380"/>
      <c r="H11" s="247">
        <v>8</v>
      </c>
      <c r="I11" s="124" t="str">
        <f t="shared" si="0"/>
        <v/>
      </c>
    </row>
    <row r="12" spans="2:9" ht="14" x14ac:dyDescent="0.15">
      <c r="B12" s="118" t="s">
        <v>140</v>
      </c>
      <c r="C12" s="158">
        <f ca="1">(Normalized_FCF!G4/OFFSET(Normalized_FCF!G4, 0, $C$4))^(1/$C$4) - 1</f>
        <v>-5.6448033822130816E-2</v>
      </c>
      <c r="D12" s="158"/>
      <c r="E12" s="380"/>
      <c r="F12" s="380"/>
      <c r="H12" s="247">
        <v>9</v>
      </c>
      <c r="I12" s="124" t="str">
        <f t="shared" si="0"/>
        <v/>
      </c>
    </row>
    <row r="13" spans="2:9" x14ac:dyDescent="0.15">
      <c r="B13" s="148" t="s">
        <v>148</v>
      </c>
      <c r="C13" s="158">
        <f ca="1">(Normalized_FCF!G8/OFFSET(Normalized_FCF!G8, 0, $C$4))^(1/$C$4) - 1</f>
        <v>-0.12852816016361679</v>
      </c>
      <c r="E13" s="380"/>
      <c r="F13" s="380"/>
      <c r="H13" s="247">
        <v>10</v>
      </c>
      <c r="I13" s="124" t="str">
        <f t="shared" si="0"/>
        <v/>
      </c>
    </row>
    <row r="14" spans="2:9" x14ac:dyDescent="0.15">
      <c r="B14" s="100" t="s">
        <v>64</v>
      </c>
      <c r="C14" s="158">
        <f ca="1">(Normalized_FCF!G19/OFFSET(Normalized_FCF!G19, 0, $C$4))^(1/$C$4) - 1</f>
        <v>-0.13569365902210184</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5</v>
      </c>
      <c r="E18" s="380" t="s">
        <v>321</v>
      </c>
      <c r="F18" s="381"/>
    </row>
    <row r="19" spans="2:6" x14ac:dyDescent="0.15">
      <c r="E19" s="381"/>
      <c r="F19" s="381"/>
    </row>
    <row r="20" spans="2:6" x14ac:dyDescent="0.15">
      <c r="B20" s="159" t="s">
        <v>298</v>
      </c>
      <c r="E20" s="381"/>
      <c r="F20" s="381"/>
    </row>
    <row r="21" spans="2:6" x14ac:dyDescent="0.15">
      <c r="B21" s="100" t="s">
        <v>272</v>
      </c>
      <c r="C21" s="160">
        <f>Market_Price</f>
        <v>6.99</v>
      </c>
      <c r="D21" t="str">
        <f>Market_currency</f>
        <v>HKD</v>
      </c>
      <c r="E21" s="381"/>
      <c r="F21" s="381"/>
    </row>
    <row r="22" spans="2:6" x14ac:dyDescent="0.15">
      <c r="B22" s="100" t="s">
        <v>273</v>
      </c>
      <c r="C22" s="160">
        <f>IF(valuation_method="DCF",DCF!C12,DDM!C7)</f>
        <v>7.0995648314473492</v>
      </c>
      <c r="D22" t="str">
        <f>Market_currency</f>
        <v>HKD</v>
      </c>
      <c r="E22" s="381"/>
      <c r="F22" s="381"/>
    </row>
    <row r="24" spans="2:6" x14ac:dyDescent="0.15">
      <c r="B24" s="159" t="s">
        <v>111</v>
      </c>
      <c r="E24" s="159" t="s">
        <v>145</v>
      </c>
      <c r="F24" s="159"/>
    </row>
    <row r="25" spans="2:6" x14ac:dyDescent="0.15">
      <c r="B25" s="152" t="s">
        <v>129</v>
      </c>
      <c r="C25" s="166">
        <f>C18</f>
        <v>5</v>
      </c>
      <c r="D25" s="163"/>
      <c r="E25" s="379"/>
      <c r="F25" s="379"/>
    </row>
    <row r="26" spans="2:6" ht="14" x14ac:dyDescent="0.15">
      <c r="B26" s="118" t="s">
        <v>130</v>
      </c>
      <c r="C26" s="164">
        <v>0.03</v>
      </c>
      <c r="D26" s="164"/>
      <c r="E26" s="379"/>
      <c r="F26" s="379"/>
    </row>
    <row r="27" spans="2:6" x14ac:dyDescent="0.15">
      <c r="B27" s="100" t="s">
        <v>109</v>
      </c>
      <c r="C27" s="160">
        <f>IF(valuation_method="DCF",DCF!E76,DDM!E71)</f>
        <v>7.3355372744552945</v>
      </c>
      <c r="D27" s="160" t="str">
        <f>Market_currency</f>
        <v>HKD</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5</v>
      </c>
      <c r="D31" s="163"/>
      <c r="E31" s="379"/>
      <c r="F31" s="379"/>
    </row>
    <row r="32" spans="2:6" ht="14" x14ac:dyDescent="0.15">
      <c r="B32" s="118" t="s">
        <v>130</v>
      </c>
      <c r="C32" s="164">
        <v>0.01</v>
      </c>
      <c r="D32" s="164"/>
      <c r="E32" s="379"/>
      <c r="F32" s="379"/>
    </row>
    <row r="33" spans="2:6" x14ac:dyDescent="0.15">
      <c r="B33" s="100" t="s">
        <v>109</v>
      </c>
      <c r="C33" s="160">
        <f>IF(valuation_method="DCF",DCF!E77,DDM!E72)</f>
        <v>7.1771011945027929</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5</v>
      </c>
      <c r="D37" s="163"/>
      <c r="E37" s="379"/>
      <c r="F37" s="379"/>
    </row>
    <row r="38" spans="2:6" ht="14" x14ac:dyDescent="0.15">
      <c r="B38" s="118" t="s">
        <v>130</v>
      </c>
      <c r="C38" s="164">
        <v>0.05</v>
      </c>
      <c r="D38" s="164"/>
      <c r="E38" s="379"/>
      <c r="F38" s="379"/>
    </row>
    <row r="39" spans="2:6" x14ac:dyDescent="0.15">
      <c r="B39" s="100" t="s">
        <v>109</v>
      </c>
      <c r="C39" s="160">
        <f>IF(valuation_method="DCF",DCF!E75,DDM!E70)</f>
        <v>7.4986225888941824</v>
      </c>
      <c r="D39" t="str">
        <f>Market_currency</f>
        <v>HKD</v>
      </c>
      <c r="E39" s="379"/>
      <c r="F39" s="379"/>
    </row>
    <row r="40" spans="2:6" x14ac:dyDescent="0.15">
      <c r="B40" s="100" t="s">
        <v>143</v>
      </c>
      <c r="C40" s="167">
        <f>1-C28-C34</f>
        <v>0.2</v>
      </c>
      <c r="D40" s="165"/>
      <c r="E40" s="379"/>
      <c r="F40" s="379"/>
    </row>
    <row r="42" spans="2:6" x14ac:dyDescent="0.15">
      <c r="B42" s="100" t="s">
        <v>116</v>
      </c>
      <c r="C42" s="154">
        <f>C27*C28+C33*C34+C39*C40</f>
        <v>7.3364671213525714</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10</v>
      </c>
      <c r="D49" s="163"/>
      <c r="E49" s="379"/>
      <c r="F49" s="379"/>
    </row>
    <row r="50" spans="2:6" ht="14" x14ac:dyDescent="0.15">
      <c r="B50" s="118" t="s">
        <v>130</v>
      </c>
      <c r="C50" s="164">
        <v>0</v>
      </c>
      <c r="D50" s="164"/>
      <c r="E50" s="379"/>
      <c r="F50" s="379"/>
    </row>
    <row r="51" spans="2:6" x14ac:dyDescent="0.15">
      <c r="B51" s="100" t="s">
        <v>109</v>
      </c>
      <c r="C51" s="160">
        <f>IF(valuation_method="DCF",DCF!E78,DDM!E73)</f>
        <v>7.0995648314473501</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10</v>
      </c>
      <c r="D55" s="163"/>
      <c r="E55" s="379"/>
      <c r="F55" s="379"/>
    </row>
    <row r="56" spans="2:6" ht="14" x14ac:dyDescent="0.15">
      <c r="B56" s="118" t="s">
        <v>130</v>
      </c>
      <c r="C56" s="164">
        <v>0.06</v>
      </c>
      <c r="D56" s="164"/>
      <c r="E56" s="379"/>
      <c r="F56" s="379"/>
    </row>
    <row r="57" spans="2:6" x14ac:dyDescent="0.15">
      <c r="B57" s="100" t="s">
        <v>109</v>
      </c>
      <c r="C57" s="160">
        <f>IF(valuation_method="DCF",DCF!E74,DDM!E69)</f>
        <v>8.1294131166856403</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7.3642693066239637</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5</v>
      </c>
      <c r="D64" s="150"/>
      <c r="E64" s="251" t="s">
        <v>376</v>
      </c>
    </row>
    <row r="65" spans="2:6" ht="14" x14ac:dyDescent="0.15">
      <c r="B65" s="118" t="s">
        <v>130</v>
      </c>
      <c r="C65" s="151">
        <v>3.3144882254640899E-2</v>
      </c>
      <c r="D65" s="151"/>
      <c r="E65" s="251" t="s">
        <v>304</v>
      </c>
    </row>
    <row r="66" spans="2:6" x14ac:dyDescent="0.15">
      <c r="B66" s="100" t="s">
        <v>99</v>
      </c>
      <c r="C66" s="160">
        <f>IF(valuation_method="DCF",DCF!C18,DDM!C13)</f>
        <v>7.3608683071354024</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0.29523676411886662</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0.36</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0.61051668952903526</v>
      </c>
      <c r="D81" s="116"/>
      <c r="E81" s="100"/>
      <c r="F81" s="100"/>
    </row>
    <row r="82" spans="2:8" x14ac:dyDescent="0.15">
      <c r="B82" s="100" t="s">
        <v>118</v>
      </c>
      <c r="C82" s="116">
        <f>C60/(1+C80)^C76</f>
        <v>2.9931491364625158</v>
      </c>
      <c r="D82" s="116"/>
    </row>
    <row r="83" spans="2:8" x14ac:dyDescent="0.15">
      <c r="B83" s="110" t="s">
        <v>98</v>
      </c>
      <c r="C83" s="111">
        <f>C81+C82</f>
        <v>3.6036658259915511</v>
      </c>
      <c r="D83" t="str">
        <f>Market_currency</f>
        <v>HKD</v>
      </c>
      <c r="E83" s="146" t="s">
        <v>122</v>
      </c>
      <c r="F83" s="291">
        <f>(1-C83/C60)</f>
        <v>0.51065534461780882</v>
      </c>
    </row>
    <row r="84" spans="2:8" x14ac:dyDescent="0.15">
      <c r="E84" s="120"/>
    </row>
    <row r="85" spans="2:8" x14ac:dyDescent="0.15">
      <c r="B85" s="109" t="s">
        <v>297</v>
      </c>
    </row>
    <row r="86" spans="2:8" x14ac:dyDescent="0.15">
      <c r="B86" s="148" t="s">
        <v>295</v>
      </c>
      <c r="C86" s="116">
        <f>Market_Price</f>
        <v>6.99</v>
      </c>
      <c r="D86" t="str">
        <f>Market_currency</f>
        <v>HKD</v>
      </c>
    </row>
    <row r="87" spans="2:8" x14ac:dyDescent="0.15">
      <c r="B87" s="100" t="s">
        <v>293</v>
      </c>
      <c r="C87" s="237">
        <f ca="1">IRR(OFFSET($I$3, 0, 0, $C$76 + 1, 1))</f>
        <v>6.8186486812982006E-2</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0.70272000000000001</v>
      </c>
      <c r="D91" s="116"/>
      <c r="E91" s="100"/>
      <c r="F91" s="100"/>
    </row>
    <row r="92" spans="2:8" x14ac:dyDescent="0.15">
      <c r="B92" s="100" t="s">
        <v>118</v>
      </c>
      <c r="C92" s="116">
        <f>C60/(1+C90)^C76</f>
        <v>3.7705058849914694</v>
      </c>
      <c r="D92" s="116"/>
    </row>
    <row r="93" spans="2:8" x14ac:dyDescent="0.15">
      <c r="B93" s="110" t="s">
        <v>98</v>
      </c>
      <c r="C93" s="111">
        <f>C91+C92</f>
        <v>4.4732258849914697</v>
      </c>
      <c r="D93" t="str">
        <f>Market_currency</f>
        <v>HKD</v>
      </c>
      <c r="E93" s="146" t="s">
        <v>122</v>
      </c>
      <c r="F93" s="291">
        <f>(1-C93/C60)</f>
        <v>0.39257709098607751</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0.93618926635390554</v>
      </c>
      <c r="D97" s="116"/>
      <c r="G97" s="2"/>
      <c r="H97" s="281"/>
    </row>
    <row r="98" spans="2:8" x14ac:dyDescent="0.15">
      <c r="B98" s="100" t="s">
        <v>118</v>
      </c>
      <c r="C98" s="116">
        <f>C60/(1+C96)^C76</f>
        <v>5.9279464150821148</v>
      </c>
      <c r="D98" s="116"/>
      <c r="G98" s="2"/>
      <c r="H98" s="281"/>
    </row>
    <row r="99" spans="2:8" x14ac:dyDescent="0.15">
      <c r="B99" s="110" t="s">
        <v>379</v>
      </c>
      <c r="C99" s="111">
        <f>C97+C98</f>
        <v>6.8641356814360206</v>
      </c>
      <c r="D99" t="s">
        <v>377</v>
      </c>
      <c r="E99" s="146" t="s">
        <v>122</v>
      </c>
      <c r="F99" s="291">
        <f>(1-C99/C60)</f>
        <v>6.7913543674738563E-2</v>
      </c>
    </row>
    <row r="100" spans="2:8" x14ac:dyDescent="0.15">
      <c r="B100" s="100"/>
    </row>
    <row r="101" spans="2:8" x14ac:dyDescent="0.15">
      <c r="B101" s="109" t="s">
        <v>398</v>
      </c>
    </row>
    <row r="102" spans="2:8" x14ac:dyDescent="0.15">
      <c r="B102" s="148" t="s">
        <v>397</v>
      </c>
      <c r="C102" s="134">
        <f>Thesis!F32</f>
        <v>0.1174</v>
      </c>
    </row>
    <row r="103" spans="2:8" x14ac:dyDescent="0.15">
      <c r="B103" s="100" t="s">
        <v>117</v>
      </c>
      <c r="C103" s="116">
        <f>PV(C102, C76, -C77, 0)</f>
        <v>0.86853712533791372</v>
      </c>
      <c r="D103" s="116"/>
    </row>
    <row r="104" spans="2:8" x14ac:dyDescent="0.15">
      <c r="B104" s="100" t="s">
        <v>118</v>
      </c>
      <c r="C104" s="116">
        <f>C60/(1+C102)^C76</f>
        <v>5.27841656248264</v>
      </c>
      <c r="D104" s="116"/>
    </row>
    <row r="105" spans="2:8" x14ac:dyDescent="0.15">
      <c r="B105" s="110" t="s">
        <v>379</v>
      </c>
      <c r="C105" s="111">
        <f>C103+C104</f>
        <v>6.1469536878205542</v>
      </c>
      <c r="D105" t="s">
        <v>377</v>
      </c>
      <c r="E105" s="146" t="s">
        <v>122</v>
      </c>
      <c r="F105" s="291">
        <f>(1-C105/C66)</f>
        <v>0.16491459548843124</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45805</v>
      </c>
      <c r="D1" s="358" t="str">
        <f>Thesis!D1</f>
        <v>INT</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百富环球</v>
      </c>
    </row>
    <row r="6" spans="1:10" x14ac:dyDescent="0.15">
      <c r="B6" s="4" t="s">
        <v>480</v>
      </c>
      <c r="C6" s="34">
        <f>Common_Shares</f>
        <v>1061744000</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0327.HK</v>
      </c>
      <c r="D11" s="49"/>
      <c r="E11" s="34"/>
    </row>
    <row r="12" spans="1:10" x14ac:dyDescent="0.15">
      <c r="B12" s="4" t="s">
        <v>484</v>
      </c>
      <c r="C12" s="366">
        <f>Market_Price</f>
        <v>6.99</v>
      </c>
      <c r="D12" s="50"/>
      <c r="E12" s="48"/>
    </row>
    <row r="13" spans="1:10" x14ac:dyDescent="0.15">
      <c r="B13" s="1" t="s">
        <v>485</v>
      </c>
      <c r="C13" s="32" t="str">
        <f>Market_currency</f>
        <v>HKD</v>
      </c>
      <c r="D13" s="48"/>
      <c r="E13" s="5"/>
    </row>
    <row r="14" spans="1:10" x14ac:dyDescent="0.15">
      <c r="B14" s="4" t="s">
        <v>486</v>
      </c>
      <c r="C14" s="35">
        <f>投资主题!C12*Common_Shares/1000000</f>
        <v>7421.5905599999996</v>
      </c>
      <c r="D14" s="35" t="str">
        <f>IF(D11="","",投资主题!D12*Common_Shares/1000000)</f>
        <v/>
      </c>
      <c r="E14" s="5"/>
    </row>
    <row r="15" spans="1:10" x14ac:dyDescent="0.15">
      <c r="B15" s="4" t="s">
        <v>487</v>
      </c>
      <c r="C15" s="32" t="str">
        <f>IF(C25=C13,C13,C25&amp;"/"&amp;C13)</f>
        <v>HKD</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IND_02</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HKD</v>
      </c>
      <c r="D25" s="32" t="str">
        <f>IF(D11="","",Market_currency&amp;"/"&amp;D13&amp;":")</f>
        <v/>
      </c>
      <c r="E25" s="299" t="str">
        <f>IF(D11="","",1/Exchange_Rate*D16)</f>
        <v/>
      </c>
    </row>
    <row r="26" spans="2:6" x14ac:dyDescent="0.15">
      <c r="B26" s="1" t="str">
        <f>"预期股权价值 ("&amp;C13&amp;") :"</f>
        <v>预期股权价值 (HKD) :</v>
      </c>
      <c r="C26" s="304">
        <f>C132</f>
        <v>7.3642693066239637</v>
      </c>
      <c r="D26" s="1" t="s">
        <v>446</v>
      </c>
      <c r="E26" s="301">
        <f ca="1">Scenarios!C87</f>
        <v>6.8186486812982006E-2</v>
      </c>
    </row>
    <row r="27" spans="2:6" x14ac:dyDescent="0.15">
      <c r="D27" s="5"/>
      <c r="E27" s="5"/>
    </row>
    <row r="28" spans="2:6" x14ac:dyDescent="0.15">
      <c r="B28" s="45" t="s">
        <v>448</v>
      </c>
      <c r="C28" s="309" t="str">
        <f>C145&amp;" ("&amp;Market_currency&amp;")"</f>
        <v>0327.HK (HKD)</v>
      </c>
      <c r="D28" s="309" t="str">
        <f>IF(D11="","",D145&amp;" ("&amp;D13&amp;")")</f>
        <v/>
      </c>
      <c r="E28" s="305" t="s">
        <v>453</v>
      </c>
      <c r="F28" s="361">
        <f>Thesis!F28</f>
        <v>3</v>
      </c>
    </row>
    <row r="29" spans="2:6" x14ac:dyDescent="0.15">
      <c r="B29" s="1" t="s">
        <v>449</v>
      </c>
      <c r="C29" s="310">
        <f>C149</f>
        <v>3.6036658259915511</v>
      </c>
      <c r="D29" s="310" t="str">
        <f>D149</f>
        <v/>
      </c>
      <c r="E29" s="306" t="s">
        <v>455</v>
      </c>
      <c r="F29" s="362">
        <f>Thesis!F29</f>
        <v>0.35</v>
      </c>
    </row>
    <row r="30" spans="2:6" x14ac:dyDescent="0.15">
      <c r="B30" s="1" t="s">
        <v>450</v>
      </c>
      <c r="C30" s="311">
        <f>C157</f>
        <v>4.4732258849914697</v>
      </c>
      <c r="D30" s="311" t="str">
        <f>D157</f>
        <v/>
      </c>
      <c r="E30" s="307" t="s">
        <v>454</v>
      </c>
      <c r="F30" s="224">
        <f>Thesis!F30</f>
        <v>0.25</v>
      </c>
    </row>
    <row r="31" spans="2:6" x14ac:dyDescent="0.15">
      <c r="B31" s="1" t="s">
        <v>451</v>
      </c>
      <c r="C31" s="311">
        <f>C165</f>
        <v>6.8641356814360206</v>
      </c>
      <c r="D31" s="311" t="str">
        <f>D165</f>
        <v/>
      </c>
      <c r="E31" s="307" t="s">
        <v>491</v>
      </c>
      <c r="F31" s="224">
        <f>Thesis!F31</f>
        <v>7.4999999999999997E-2</v>
      </c>
    </row>
    <row r="32" spans="2:6" x14ac:dyDescent="0.15">
      <c r="B32" s="1" t="s">
        <v>452</v>
      </c>
      <c r="C32" s="311">
        <f>C173</f>
        <v>6.1469536878205542</v>
      </c>
      <c r="D32" s="311" t="str">
        <f>D173</f>
        <v/>
      </c>
      <c r="E32" s="307" t="s">
        <v>456</v>
      </c>
      <c r="F32" s="224">
        <f>Thesis!F32</f>
        <v>0.1174</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1000</v>
      </c>
    </row>
    <row r="40" spans="1:6" x14ac:dyDescent="0.15">
      <c r="B40" s="371" t="s">
        <v>494</v>
      </c>
      <c r="C40" s="371"/>
      <c r="D40" s="371"/>
      <c r="E40" s="371"/>
      <c r="F40" s="371"/>
    </row>
    <row r="41" spans="1:6" x14ac:dyDescent="0.15">
      <c r="B41" s="47" t="s">
        <v>228</v>
      </c>
      <c r="C41" s="349">
        <f>Normalized_FCF!C8</f>
        <v>536120.13620533235</v>
      </c>
      <c r="D41" s="1" t="str">
        <f>Reporting_currency</f>
        <v>HKD</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0</v>
      </c>
      <c r="D44" s="1" t="str">
        <f>Reporting_currency</f>
        <v>HKD</v>
      </c>
    </row>
    <row r="45" spans="1:6" x14ac:dyDescent="0.15">
      <c r="B45" s="52" t="s">
        <v>231</v>
      </c>
      <c r="C45" s="349">
        <f>Normalized_FCF!C10</f>
        <v>0</v>
      </c>
      <c r="D45" s="1" t="str">
        <f>Reporting_currency</f>
        <v>HKD</v>
      </c>
    </row>
    <row r="47" spans="1:6" x14ac:dyDescent="0.15">
      <c r="B47" s="371" t="s">
        <v>496</v>
      </c>
      <c r="C47" s="371"/>
      <c r="D47" s="371"/>
      <c r="E47" s="371"/>
      <c r="F47" s="371"/>
    </row>
    <row r="48" spans="1:6" x14ac:dyDescent="0.15">
      <c r="B48" s="47" t="s">
        <v>233</v>
      </c>
      <c r="C48" s="349">
        <f>Normalized_FCF!C11</f>
        <v>0</v>
      </c>
      <c r="D48" s="1" t="str">
        <f>Reporting_currency</f>
        <v>HKD</v>
      </c>
    </row>
    <row r="50" spans="2:6" x14ac:dyDescent="0.15">
      <c r="B50" s="371" t="s">
        <v>497</v>
      </c>
      <c r="C50" s="371"/>
      <c r="D50" s="371"/>
      <c r="E50" s="371"/>
      <c r="F50" s="371"/>
    </row>
    <row r="51" spans="2:6" x14ac:dyDescent="0.15">
      <c r="B51" s="47" t="s">
        <v>331</v>
      </c>
      <c r="C51" s="350">
        <f>Normalized_FCF!C48</f>
        <v>3725.8278691964447</v>
      </c>
      <c r="D51" s="1" t="str">
        <f>Reporting_currency</f>
        <v>HKD</v>
      </c>
      <c r="E51" s="286"/>
      <c r="F51" s="286"/>
    </row>
    <row r="52" spans="2:6" x14ac:dyDescent="0.15">
      <c r="B52" s="47" t="s">
        <v>332</v>
      </c>
      <c r="C52" s="350">
        <f>Normalized_FCF!C47</f>
        <v>-5556</v>
      </c>
      <c r="D52" s="1" t="str">
        <f>Reporting_currency</f>
        <v>HKD</v>
      </c>
      <c r="E52" s="286"/>
      <c r="F52" s="286"/>
    </row>
    <row r="53" spans="2:6" x14ac:dyDescent="0.15">
      <c r="B53" s="47" t="s">
        <v>234</v>
      </c>
      <c r="C53" s="349">
        <f>Normalized_FCF!C12</f>
        <v>-1830.1721308035553</v>
      </c>
      <c r="D53" s="1" t="str">
        <f>Reporting_currency</f>
        <v>HKD</v>
      </c>
    </row>
    <row r="55" spans="2:6" x14ac:dyDescent="0.15">
      <c r="B55" s="1" t="s">
        <v>498</v>
      </c>
    </row>
    <row r="56" spans="2:6" x14ac:dyDescent="0.15">
      <c r="B56" s="47" t="s">
        <v>261</v>
      </c>
      <c r="C56" s="349">
        <f>Normalized_FCF!C15</f>
        <v>-8506.973328445607</v>
      </c>
      <c r="D56" s="1" t="str">
        <f>Reporting_currency</f>
        <v>HKD</v>
      </c>
    </row>
    <row r="58" spans="2:6" x14ac:dyDescent="0.15">
      <c r="B58" s="371" t="s">
        <v>237</v>
      </c>
      <c r="C58" s="371"/>
      <c r="D58" s="371"/>
      <c r="E58" s="371"/>
      <c r="F58" s="371"/>
    </row>
    <row r="59" spans="2:6" x14ac:dyDescent="0.15">
      <c r="B59" s="47" t="s">
        <v>235</v>
      </c>
      <c r="C59" s="349">
        <f>Normalized_FCF!C14</f>
        <v>-133572.49101863219</v>
      </c>
      <c r="D59" s="1" t="str">
        <f>Reporting_currency</f>
        <v>HKD</v>
      </c>
    </row>
    <row r="61" spans="2:6" x14ac:dyDescent="0.15">
      <c r="B61" s="371" t="s">
        <v>499</v>
      </c>
      <c r="C61" s="374"/>
      <c r="D61" s="374"/>
      <c r="E61" s="374"/>
      <c r="F61" s="374"/>
    </row>
    <row r="62" spans="2:6" x14ac:dyDescent="0.15">
      <c r="B62" s="47" t="s">
        <v>238</v>
      </c>
      <c r="C62" s="349">
        <f>Normalized_FCF!C17</f>
        <v>0</v>
      </c>
      <c r="D62" s="1" t="str">
        <f>Reporting_currency</f>
        <v>HKD</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626115.72996402986</v>
      </c>
      <c r="D67" s="1" t="str">
        <f>Reporting_currency</f>
        <v>HKD</v>
      </c>
    </row>
    <row r="68" spans="1:6" x14ac:dyDescent="0.15">
      <c r="B68" s="47" t="s">
        <v>244</v>
      </c>
      <c r="C68" s="349">
        <f>Normalized_FCF!C19</f>
        <v>392210.49972745095</v>
      </c>
      <c r="D68" s="1" t="str">
        <f>Reporting_currency</f>
        <v>HKD</v>
      </c>
    </row>
    <row r="69" spans="1:6" x14ac:dyDescent="0.15">
      <c r="B69" s="227" t="s">
        <v>371</v>
      </c>
      <c r="C69" s="92">
        <f>Normalized_FCF!C126</f>
        <v>5.284722951995495E-2</v>
      </c>
      <c r="F69" s="314"/>
    </row>
    <row r="70" spans="1:6" x14ac:dyDescent="0.15">
      <c r="B70" s="227" t="s">
        <v>434</v>
      </c>
      <c r="C70" s="92">
        <f>Normalized_FCF!C94</f>
        <v>5.1502145922746781E-2</v>
      </c>
      <c r="E70" s="47" t="s">
        <v>503</v>
      </c>
      <c r="F70" s="315">
        <f>Normalized_FCF!C92</f>
        <v>0.9745476989157914</v>
      </c>
    </row>
    <row r="72" spans="1:6" x14ac:dyDescent="0.15">
      <c r="B72" s="210" t="s">
        <v>513</v>
      </c>
      <c r="C72" s="323" t="s">
        <v>429</v>
      </c>
      <c r="D72" s="323" t="s">
        <v>504</v>
      </c>
    </row>
    <row r="73" spans="1:6" x14ac:dyDescent="0.15">
      <c r="B73" s="47" t="s">
        <v>428</v>
      </c>
      <c r="C73" s="92">
        <f>Normalized_FCF!C121</f>
        <v>7.0630420943605887E-2</v>
      </c>
      <c r="D73" s="92">
        <f>Normalized_FCF!G121</f>
        <v>0.102310110249777</v>
      </c>
    </row>
    <row r="74" spans="1:6" x14ac:dyDescent="0.15">
      <c r="B74" s="259" t="str">
        <f>Normalized_FCF!B118</f>
        <v>Pre-tax Profit/Sales</v>
      </c>
      <c r="C74" s="322">
        <f>Normalized_FCF!C118</f>
        <v>9.3039179367971361E-2</v>
      </c>
      <c r="D74" s="322">
        <f>Normalized_FCF!G118</f>
        <v>0.12803132337228806</v>
      </c>
    </row>
    <row r="75" spans="1:6" x14ac:dyDescent="0.15">
      <c r="B75" s="259" t="str">
        <f>Normalized_FCF!B119</f>
        <v>Sales/Total Assets</v>
      </c>
      <c r="C75" s="324">
        <f>Normalized_FCF!C119</f>
        <v>0.62627525695225639</v>
      </c>
      <c r="D75" s="324">
        <f>Normalized_FCF!G119</f>
        <v>0.65923711258132256</v>
      </c>
    </row>
    <row r="76" spans="1:6" x14ac:dyDescent="0.15">
      <c r="B76" s="259" t="str">
        <f>Normalized_FCF!B120</f>
        <v>Total Assets/Equity</v>
      </c>
      <c r="C76" s="324">
        <f>Normalized_FCF!C120</f>
        <v>1.2121620122817016</v>
      </c>
      <c r="D76" s="324">
        <f>Normalized_FCF!G120</f>
        <v>1.2121620122817016</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4.9253617912598004</v>
      </c>
      <c r="D93" s="1" t="str">
        <f>Market_currency</f>
        <v>HKD</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87825</v>
      </c>
      <c r="D102" s="1" t="str">
        <f>Reporting_currency</f>
        <v>HKD</v>
      </c>
    </row>
    <row r="103" spans="2:6" x14ac:dyDescent="0.15">
      <c r="B103" s="47" t="s">
        <v>276</v>
      </c>
      <c r="C103" s="223">
        <f>C102*scaling_factor*Exchange_Rate/Common_Shares</f>
        <v>8.2717679591313917E-2</v>
      </c>
      <c r="D103" s="1" t="str">
        <f>Market_currency</f>
        <v>HKD</v>
      </c>
    </row>
    <row r="104" spans="2:6" x14ac:dyDescent="0.15">
      <c r="B104" s="296" t="s">
        <v>384</v>
      </c>
      <c r="C104" s="325">
        <f>IF(BS!G31/BS!G27&gt;300%,"nm",BS!G31/BS!G27)</f>
        <v>1.1610019159010268E-2</v>
      </c>
    </row>
    <row r="105" spans="2:6" x14ac:dyDescent="0.15">
      <c r="B105" s="296" t="s">
        <v>386</v>
      </c>
      <c r="C105" s="326">
        <f>IF(BS!C50&gt;30,"nm",BS!C50)</f>
        <v>0.16381589511191816</v>
      </c>
    </row>
    <row r="107" spans="2:6" x14ac:dyDescent="0.15">
      <c r="B107" s="1" t="s">
        <v>514</v>
      </c>
    </row>
    <row r="108" spans="2:6" x14ac:dyDescent="0.15">
      <c r="B108" s="47" t="s">
        <v>260</v>
      </c>
      <c r="C108" s="349">
        <f>BS!C66</f>
        <v>3270300</v>
      </c>
      <c r="D108" s="1" t="str">
        <f>Reporting_currency</f>
        <v>HKD</v>
      </c>
    </row>
    <row r="109" spans="2:6" x14ac:dyDescent="0.15">
      <c r="B109" s="47" t="s">
        <v>262</v>
      </c>
      <c r="C109" s="349">
        <f>DCF!C8</f>
        <v>2338843.0327008888</v>
      </c>
      <c r="D109" s="1" t="str">
        <f>Reporting_currency</f>
        <v>HKD</v>
      </c>
    </row>
    <row r="110" spans="2:6" x14ac:dyDescent="0.15">
      <c r="B110" s="47" t="s">
        <v>277</v>
      </c>
      <c r="C110" s="223">
        <f>C109*scaling_factor*Exchange_Rate/Common_Shares</f>
        <v>2.2028314101147628</v>
      </c>
      <c r="D110" s="1" t="str">
        <f>Market_currency</f>
        <v>HKD</v>
      </c>
    </row>
    <row r="112" spans="2:6" x14ac:dyDescent="0.15">
      <c r="B112" s="1" t="s">
        <v>515</v>
      </c>
    </row>
    <row r="113" spans="1:6" x14ac:dyDescent="0.15">
      <c r="B113" s="47" t="s">
        <v>253</v>
      </c>
      <c r="C113" s="349">
        <f>DCF!C9</f>
        <v>57429</v>
      </c>
      <c r="D113" s="1" t="str">
        <f>Reporting_currency</f>
        <v>HKD</v>
      </c>
    </row>
    <row r="114" spans="1:6" x14ac:dyDescent="0.15">
      <c r="B114" s="47" t="s">
        <v>278</v>
      </c>
      <c r="C114" s="223">
        <f>C113*scaling_factor*Exchange_Rate/Common_Shares</f>
        <v>5.4089309664099819E-2</v>
      </c>
      <c r="D114" s="1" t="str">
        <f>Market_currency</f>
        <v>HKD</v>
      </c>
    </row>
    <row r="116" spans="1:6" x14ac:dyDescent="0.15">
      <c r="B116" s="370" t="s">
        <v>516</v>
      </c>
      <c r="C116" s="370"/>
      <c r="D116" s="370"/>
      <c r="E116" s="370"/>
      <c r="F116" s="370"/>
    </row>
    <row r="118" spans="1:6" x14ac:dyDescent="0.15">
      <c r="B118" s="47" t="s">
        <v>517</v>
      </c>
      <c r="C118" s="223">
        <f>IF(valuation_method="DCF",DCF!C12,DDM!C7)</f>
        <v>7.0995648314473492</v>
      </c>
      <c r="D118" s="1" t="str">
        <f>Market_currency</f>
        <v>HKD</v>
      </c>
    </row>
    <row r="119" spans="1:6" x14ac:dyDescent="0.15">
      <c r="B119" s="296" t="s">
        <v>550</v>
      </c>
      <c r="C119" s="223">
        <f>BS!D47</f>
        <v>3.7980767021052162</v>
      </c>
      <c r="D119" s="1" t="str">
        <f>Market_currency</f>
        <v>HKD</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0.06</v>
      </c>
      <c r="D126" s="230">
        <f>DCF!D74</f>
        <v>10</v>
      </c>
      <c r="E126" s="231" t="str">
        <f>ROUND(IF(valuation_method="DCF",DCF!E74,DDM!E69),2)&amp;" "&amp;Market_currency</f>
        <v>8.13 HKD</v>
      </c>
      <c r="F126" s="232">
        <f>DCF!F74</f>
        <v>0.05</v>
      </c>
    </row>
    <row r="127" spans="1:6" x14ac:dyDescent="0.15">
      <c r="B127" s="218" t="str">
        <f>DCF!B75</f>
        <v>Optimistic</v>
      </c>
      <c r="C127" s="219">
        <f>DCF!C75</f>
        <v>0.05</v>
      </c>
      <c r="D127" s="220">
        <f>DCF!D75</f>
        <v>5</v>
      </c>
      <c r="E127" s="231" t="str">
        <f>ROUND(IF(valuation_method="DCF",DCF!E75,DDM!E70),2)&amp;" "&amp;Market_currency</f>
        <v>7.5 HKD</v>
      </c>
      <c r="F127" s="221">
        <f>DCF!F75</f>
        <v>0.18</v>
      </c>
    </row>
    <row r="128" spans="1:6" x14ac:dyDescent="0.15">
      <c r="B128" s="218" t="str">
        <f>DCF!B76</f>
        <v>Base</v>
      </c>
      <c r="C128" s="219">
        <f>DCF!C76</f>
        <v>0.03</v>
      </c>
      <c r="D128" s="220">
        <f>DCF!D76</f>
        <v>5</v>
      </c>
      <c r="E128" s="231" t="str">
        <f>ROUND(IF(valuation_method="DCF",DCF!E76,DDM!E71),2)&amp;" "&amp;Market_currency</f>
        <v>7.34 HKD</v>
      </c>
      <c r="F128" s="221">
        <f>DCF!F76</f>
        <v>0.53999999999999992</v>
      </c>
    </row>
    <row r="129" spans="1:6" x14ac:dyDescent="0.15">
      <c r="B129" s="218" t="str">
        <f>DCF!B77</f>
        <v>Pessimistic</v>
      </c>
      <c r="C129" s="219">
        <f>DCF!C77</f>
        <v>0.01</v>
      </c>
      <c r="D129" s="220">
        <f>DCF!D77</f>
        <v>5</v>
      </c>
      <c r="E129" s="231" t="str">
        <f>ROUND(IF(valuation_method="DCF",DCF!E77,DDM!E72),2)&amp;" "&amp;Market_currency</f>
        <v>7.18 HKD</v>
      </c>
      <c r="F129" s="221">
        <f>DCF!F77</f>
        <v>0.18</v>
      </c>
    </row>
    <row r="130" spans="1:6" x14ac:dyDescent="0.15">
      <c r="B130" s="218" t="str">
        <f>DCF!B78</f>
        <v>Devil's advocate</v>
      </c>
      <c r="C130" s="219">
        <f>DCF!C78</f>
        <v>0</v>
      </c>
      <c r="D130" s="220">
        <f>DCF!D78</f>
        <v>10</v>
      </c>
      <c r="E130" s="231" t="str">
        <f>ROUND(IF(valuation_method="DCF",DCF!E78,DDM!E73),2)&amp;" "&amp;Market_currency</f>
        <v>7.1 HKD</v>
      </c>
      <c r="F130" s="221">
        <f>DCF!F78</f>
        <v>0.05</v>
      </c>
    </row>
    <row r="132" spans="1:6" x14ac:dyDescent="0.15">
      <c r="B132" s="211" t="s">
        <v>254</v>
      </c>
      <c r="C132" s="217">
        <f>Scenarios!C60</f>
        <v>7.3642693066239637</v>
      </c>
      <c r="D132" s="212" t="str">
        <f>Market_currency</f>
        <v>HKD</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0.35</v>
      </c>
    </row>
    <row r="143" spans="1:6" x14ac:dyDescent="0.15">
      <c r="B143" s="212" t="s">
        <v>530</v>
      </c>
      <c r="C143" s="213">
        <f>Scenarios!C77</f>
        <v>0.36</v>
      </c>
      <c r="D143" s="212" t="str">
        <f>Market_currency</f>
        <v>HKD</v>
      </c>
    </row>
    <row r="145" spans="2:4" x14ac:dyDescent="0.15">
      <c r="B145" s="210" t="s">
        <v>531</v>
      </c>
      <c r="C145" s="241" t="str">
        <f>C11</f>
        <v>0327.HK</v>
      </c>
      <c r="D145" s="241" t="str">
        <f>IF(D11="","",D11)</f>
        <v/>
      </c>
    </row>
    <row r="146" spans="2:4" x14ac:dyDescent="0.15">
      <c r="B146" s="1" t="s">
        <v>387</v>
      </c>
      <c r="C146" s="297">
        <f>F29</f>
        <v>0.35</v>
      </c>
    </row>
    <row r="147" spans="2:4" x14ac:dyDescent="0.15">
      <c r="B147" s="212" t="str">
        <f>"PV("&amp;C141&amp;" yrs of Dividends)"</f>
        <v>PV(3 yrs of Dividends)</v>
      </c>
      <c r="C147" s="216">
        <f>Scenarios!C81</f>
        <v>0.61051668952903526</v>
      </c>
    </row>
    <row r="148" spans="2:4" x14ac:dyDescent="0.15">
      <c r="B148" s="212" t="str">
        <f>"+ PV(Equity Value realized at year "&amp;C141&amp;")"</f>
        <v>+ PV(Equity Value realized at year 3)</v>
      </c>
      <c r="C148" s="216">
        <f>Scenarios!C82</f>
        <v>2.9931491364625158</v>
      </c>
    </row>
    <row r="149" spans="2:4" x14ac:dyDescent="0.15">
      <c r="B149" s="80" t="s">
        <v>256</v>
      </c>
      <c r="C149" s="215">
        <f>Scenarios!C83</f>
        <v>3.6036658259915511</v>
      </c>
      <c r="D149" s="300" t="str">
        <f>IF($D$11="","",C149*$E$25)</f>
        <v/>
      </c>
    </row>
    <row r="150" spans="2:4" x14ac:dyDescent="0.15">
      <c r="B150" s="259" t="s">
        <v>532</v>
      </c>
      <c r="C150" s="298" t="str">
        <f>Market_currency</f>
        <v>HKD</v>
      </c>
      <c r="D150" s="298" t="str">
        <f>IF($D$11="","",D$13)</f>
        <v/>
      </c>
    </row>
    <row r="151" spans="2:4" x14ac:dyDescent="0.15">
      <c r="B151" s="214" t="s">
        <v>533</v>
      </c>
      <c r="C151" s="92">
        <f>Scenarios!F83</f>
        <v>0.51065534461780882</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0.70272000000000001</v>
      </c>
    </row>
    <row r="156" spans="2:4" x14ac:dyDescent="0.15">
      <c r="B156" s="212" t="str">
        <f>"+ PV(Equity Value realized at year "&amp;C141&amp;")"</f>
        <v>+ PV(Equity Value realized at year 3)</v>
      </c>
      <c r="C156" s="216">
        <f>Scenarios!C92</f>
        <v>3.7705058849914694</v>
      </c>
    </row>
    <row r="157" spans="2:4" x14ac:dyDescent="0.15">
      <c r="B157" s="80" t="s">
        <v>256</v>
      </c>
      <c r="C157" s="215">
        <f>Scenarios!C93</f>
        <v>4.4732258849914697</v>
      </c>
      <c r="D157" s="300" t="str">
        <f>IF($D$11="","",C157*$E$25)</f>
        <v/>
      </c>
    </row>
    <row r="158" spans="2:4" x14ac:dyDescent="0.15">
      <c r="B158" s="259" t="s">
        <v>532</v>
      </c>
      <c r="C158" s="298" t="str">
        <f>Market_currency</f>
        <v>HKD</v>
      </c>
      <c r="D158" s="298" t="str">
        <f>IF($D$11="","",D$13)</f>
        <v/>
      </c>
    </row>
    <row r="159" spans="2:4" x14ac:dyDescent="0.15">
      <c r="B159" s="214" t="s">
        <v>533</v>
      </c>
      <c r="C159" s="92">
        <f>Scenarios!F93</f>
        <v>0.39257709098607751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0.93618926635390554</v>
      </c>
    </row>
    <row r="164" spans="2:4" x14ac:dyDescent="0.15">
      <c r="B164" s="212" t="str">
        <f>"+ PV(Equity Value realized at year "&amp;C141&amp;")"</f>
        <v>+ PV(Equity Value realized at year 3)</v>
      </c>
      <c r="C164" s="216">
        <f>Scenarios!C98</f>
        <v>5.9279464150821148</v>
      </c>
    </row>
    <row r="165" spans="2:4" x14ac:dyDescent="0.15">
      <c r="B165" s="80" t="s">
        <v>382</v>
      </c>
      <c r="C165" s="215">
        <f>Scenarios!C99</f>
        <v>6.8641356814360206</v>
      </c>
      <c r="D165" s="300" t="str">
        <f>IF($D$11="","",C165*$E$25)</f>
        <v/>
      </c>
    </row>
    <row r="166" spans="2:4" x14ac:dyDescent="0.15">
      <c r="B166" s="259" t="s">
        <v>532</v>
      </c>
      <c r="C166" s="298" t="str">
        <f>Market_currency</f>
        <v>HKD</v>
      </c>
      <c r="D166" s="298" t="str">
        <f>IF($D$11="","",D$13)</f>
        <v/>
      </c>
    </row>
    <row r="167" spans="2:4" x14ac:dyDescent="0.15">
      <c r="B167" s="214" t="s">
        <v>533</v>
      </c>
      <c r="C167" s="92">
        <f>Scenarios!F99</f>
        <v>6.7913543674738563E-2</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0.86853712533791372</v>
      </c>
    </row>
    <row r="172" spans="2:4" x14ac:dyDescent="0.15">
      <c r="B172" s="212" t="str">
        <f>"+ PV(Equity Value realized at year "&amp;C141&amp;")"</f>
        <v>+ PV(Equity Value realized at year 3)</v>
      </c>
      <c r="C172" s="216">
        <f>Scenarios!C104</f>
        <v>5.27841656248264</v>
      </c>
    </row>
    <row r="173" spans="2:4" x14ac:dyDescent="0.15">
      <c r="B173" s="80" t="s">
        <v>382</v>
      </c>
      <c r="C173" s="215">
        <f>Scenarios!C105</f>
        <v>6.1469536878205542</v>
      </c>
      <c r="D173" s="300" t="str">
        <f>IF($D$11="","",C173*$E$25)</f>
        <v/>
      </c>
    </row>
    <row r="174" spans="2:4" x14ac:dyDescent="0.15">
      <c r="B174" s="259" t="s">
        <v>532</v>
      </c>
      <c r="C174" s="298" t="str">
        <f>Market_currency</f>
        <v>HKD</v>
      </c>
      <c r="D174" s="298" t="str">
        <f>IF($D$11="","",D$13)</f>
        <v/>
      </c>
    </row>
    <row r="175" spans="2:4" x14ac:dyDescent="0.15">
      <c r="B175" s="214" t="s">
        <v>533</v>
      </c>
      <c r="C175" s="92">
        <f>Scenarios!F105</f>
        <v>0.16491459548843124</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B4D25-B9F8-4B13-9963-A000A2E02EB6}">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