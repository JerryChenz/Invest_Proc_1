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4C34C64-4657-40F5-899D-1B05ECD8BC6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115" i="2" l="1"/>
  <c r="K84" i="2"/>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<sst xmlns="http://schemas.openxmlformats.org/spreadsheetml/2006/main" count="836" uniqueCount="560">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</sst>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9B5A239-A9E3-4C42-9380-DF203578333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52.85</v>
      </c>
      <c r="D12" s="50"/>
      <c r="E12" s="48"/>
    </row>
    <row r="13" spans="1:10">
      <c r="B13" s="1" t="s">
        <v>486</v>
      </c>
      <c r="C13" s="32" t="str">
        <f>Market_currency</f>
        <v>HKD</v>
      </c>
      <c r="D13" s="48"/>
      <c r="E13" s="5"/>
    </row>
    <row r="14" spans="1:10">
      <c r="B14" s="4" t="s">
        <v>487</v>
      </c>
      <c r="C14" s="35">
        <f>投资主题!C12*Common_Shares/1000000</f>
        <v>72097.800245799997</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1.0966030899999999</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73.205504109646796</v>
      </c>
      <c r="D26" s="1" t="s">
        <v>447</v>
      </c>
      <c r="E26" s="301">
        <f ca="1">Scenarios!C87</f>
        <v>0.14555061240531031</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32.815838695078718</v>
      </c>
      <c r="D29" s="310" t="str">
        <f>D149</f>
        <v/>
      </c>
      <c r="E29" s="306" t="s">
        <v>456</v>
      </c>
      <c r="F29" s="362">
        <f>Thesis!F29</f>
        <v>0.35</v>
      </c>
    </row>
    <row r="30" spans="2:6">
      <c r="B30" s="1" t="s">
        <v>451</v>
      </c>
      <c r="C30" s="311">
        <f>C157</f>
        <v>41.005702063052681</v>
      </c>
      <c r="D30" s="311" t="str">
        <f>D157</f>
        <v/>
      </c>
      <c r="E30" s="307" t="s">
        <v>455</v>
      </c>
      <c r="F30" s="224">
        <f>Thesis!F30</f>
        <v>0.25</v>
      </c>
    </row>
    <row r="31" spans="2:6">
      <c r="B31" s="1" t="s">
        <v>452</v>
      </c>
      <c r="C31" s="311">
        <f>C165</f>
        <v>63.62299061894975</v>
      </c>
      <c r="D31" s="311" t="str">
        <f>D165</f>
        <v/>
      </c>
      <c r="E31" s="307" t="s">
        <v>492</v>
      </c>
      <c r="F31" s="224">
        <f>Thesis!F31</f>
        <v>7.4999999999999997E-2</v>
      </c>
    </row>
    <row r="32" spans="2:6">
      <c r="B32" s="1" t="s">
        <v>453</v>
      </c>
      <c r="C32" s="311">
        <f>C173</f>
        <v>56.82694371235597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v>
      </c>
    </row>
    <row r="40" spans="1:6">
      <c r="B40" s="370" t="s">
        <v>495</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496</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177027692.36915323</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155190638.36915323</v>
      </c>
      <c r="D53" s="1" t="str">
        <f>Reporting_currency</f>
        <v>CNY</v>
      </c>
    </row>
    <row r="55" spans="2:6">
      <c r="B55" s="1" t="s">
        <v>499</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-1008314677.1692269</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3154746356.369153</v>
      </c>
      <c r="D67" s="1" t="str">
        <f>Reporting_currency</f>
        <v>CNY</v>
      </c>
    </row>
    <row r="68" spans="1:6">
      <c r="B68" s="47" t="s">
        <v>244</v>
      </c>
      <c r="C68" s="349">
        <f>Normalized_FCF!C19</f>
        <v>2878309467.0360041</v>
      </c>
      <c r="D68" s="1" t="str">
        <f>Reporting_currency</f>
        <v>CNY</v>
      </c>
    </row>
    <row r="69" spans="1:6">
      <c r="B69" s="227" t="s">
        <v>371</v>
      </c>
      <c r="C69" s="92">
        <f>Normalized_FCF!C126</f>
        <v>4.3778909270006564E-2</v>
      </c>
      <c r="F69" s="314"/>
    </row>
    <row r="70" spans="1:6">
      <c r="B70" s="227" t="s">
        <v>435</v>
      </c>
      <c r="C70" s="92">
        <f>Normalized_FCF!C94</f>
        <v>3.4164158914356292E-2</v>
      </c>
      <c r="E70" s="47" t="s">
        <v>504</v>
      </c>
      <c r="F70" s="315">
        <f>Normalized_FCF!C92</f>
        <v>0.95085162283336011</v>
      </c>
    </row>
    <row r="72" spans="1:6">
      <c r="B72" s="210" t="s">
        <v>514</v>
      </c>
      <c r="C72" s="323" t="s">
        <v>430</v>
      </c>
      <c r="D72" s="323" t="s">
        <v>505</v>
      </c>
    </row>
    <row r="73" spans="1:6">
      <c r="B73" s="47" t="s">
        <v>429</v>
      </c>
      <c r="C73" s="92">
        <f>Normalized_FCF!C121</f>
        <v>0.13507436608341447</v>
      </c>
      <c r="D73" s="92">
        <f>Normalized_FCF!G121</f>
        <v>0.15711076535068538</v>
      </c>
    </row>
    <row r="74" spans="1:6">
      <c r="B74" s="259" t="str">
        <f>Normalized_FCF!B118</f>
        <v>Pre-tax Profit/Sales</v>
      </c>
      <c r="C74" s="322">
        <f>Normalized_FCF!C118</f>
        <v>0.12563423896510337</v>
      </c>
      <c r="D74" s="322">
        <f>Normalized_FCF!G118</f>
        <v>0.14597300073359495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30.849538065597958</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285396383</v>
      </c>
      <c r="D102" s="1" t="str">
        <f>Reporting_currency</f>
        <v>CNY</v>
      </c>
    </row>
    <row r="103" spans="2:6">
      <c r="B103" s="47" t="s">
        <v>276</v>
      </c>
      <c r="C103" s="223">
        <f>C102*scaling_factor*Exchange_Rate/Common_Shares</f>
        <v>0.22941452305532292</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12818446542.551659</v>
      </c>
      <c r="D109" s="1" t="str">
        <f>Reporting_currency</f>
        <v>CNY</v>
      </c>
    </row>
    <row r="110" spans="2:6">
      <c r="B110" s="47" t="s">
        <v>277</v>
      </c>
      <c r="C110" s="223">
        <f>C109*scaling_factor*Exchange_Rate/Common_Shares</f>
        <v>10.304047195544316</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2.2149244702041244</v>
      </c>
      <c r="D114" s="1" t="str">
        <f>Market_currency</f>
        <v>HKD</v>
      </c>
    </row>
    <row r="116" spans="1:6">
      <c r="B116" s="374" t="s">
        <v>517</v>
      </c>
      <c r="C116" s="374"/>
      <c r="D116" s="374"/>
      <c r="E116" s="374"/>
      <c r="F116" s="374"/>
    </row>
    <row r="118" spans="1:6">
      <c r="B118" s="47" t="s">
        <v>518</v>
      </c>
      <c r="C118" s="223">
        <f>IF(valuation_method="DCF",DCF!C12,DDM!C7)</f>
        <v>43.139095208291081</v>
      </c>
      <c r="D118" s="1" t="str">
        <f>Market_currency</f>
        <v>HKD</v>
      </c>
    </row>
    <row r="119" spans="1:6">
      <c r="B119" s="296" t="s">
        <v>551</v>
      </c>
      <c r="C119" s="223">
        <f>BS!D47</f>
        <v>1.3629688514427469</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117.27 HKD</v>
      </c>
      <c r="F126" s="232">
        <f>DCF!F74</f>
        <v>0.05</v>
      </c>
    </row>
    <row r="127" spans="1:6">
      <c r="B127" s="218" t="str">
        <f>DCF!B75</f>
        <v>Optimistic</v>
      </c>
      <c r="C127" s="219">
        <f>DCF!C75</f>
        <v>0.08</v>
      </c>
      <c r="D127" s="220">
        <f>DCF!D75</f>
        <v>30</v>
      </c>
      <c r="E127" s="231" t="str">
        <f>ROUND(IF(valuation_method="DCF",DCF!E75,DDM!E70),2)&amp;" "&amp;Market_currency</f>
        <v>90.74 HKD</v>
      </c>
      <c r="F127" s="221">
        <f>DCF!F75</f>
        <v>0.18</v>
      </c>
    </row>
    <row r="128" spans="1:6">
      <c r="B128" s="218" t="str">
        <f>DCF!B76</f>
        <v>Base</v>
      </c>
      <c r="C128" s="219">
        <f>DCF!C76</f>
        <v>0.06</v>
      </c>
      <c r="D128" s="220">
        <f>DCF!D76</f>
        <v>30</v>
      </c>
      <c r="E128" s="231" t="str">
        <f>ROUND(IF(valuation_method="DCF",DCF!E76,DDM!E71),2)&amp;" "&amp;Market_currency</f>
        <v>72.27 HKD</v>
      </c>
      <c r="F128" s="221">
        <f>DCF!F76</f>
        <v>0.44999999999999996</v>
      </c>
    </row>
    <row r="129" spans="1:6">
      <c r="B129" s="218" t="str">
        <f>DCF!B77</f>
        <v>Pessimistic</v>
      </c>
      <c r="C129" s="219">
        <f>DCF!C77</f>
        <v>0.04</v>
      </c>
      <c r="D129" s="220">
        <f>DCF!D77</f>
        <v>30</v>
      </c>
      <c r="E129" s="231" t="str">
        <f>ROUND(IF(valuation_method="DCF",DCF!E77,DDM!E72),2)&amp;" "&amp;Market_currency</f>
        <v>59.24 HKD</v>
      </c>
      <c r="F129" s="221">
        <f>DCF!F77</f>
        <v>0.26999999999999996</v>
      </c>
    </row>
    <row r="130" spans="1:6">
      <c r="B130" s="218" t="str">
        <f>DCF!B78</f>
        <v>Devil's advocate</v>
      </c>
      <c r="C130" s="219">
        <f>DCF!C78</f>
        <v>0.02</v>
      </c>
      <c r="D130" s="220">
        <f>DCF!D78</f>
        <v>30</v>
      </c>
      <c r="E130" s="231" t="str">
        <f>ROUND(IF(valuation_method="DCF",DCF!E78,DDM!E73),2)&amp;" "&amp;Market_currency</f>
        <v>49.91 HKD</v>
      </c>
      <c r="F130" s="221">
        <f>DCF!F78</f>
        <v>0.05</v>
      </c>
    </row>
    <row r="132" spans="1:6">
      <c r="B132" s="211" t="s">
        <v>254</v>
      </c>
      <c r="C132" s="217">
        <f>Scenarios!C60</f>
        <v>73.205504109646796</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1.8055757986237302</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3.0620393313041774</v>
      </c>
    </row>
    <row r="148" spans="2:4">
      <c r="B148" s="212" t="str">
        <f>"+ PV(Equity Value realized at year "&amp;C141&amp;")"</f>
        <v>+ PV(Equity Value realized at year 3)</v>
      </c>
      <c r="C148" s="216">
        <f>Scenarios!C82</f>
        <v>29.75379936377454</v>
      </c>
    </row>
    <row r="149" spans="2:4">
      <c r="B149" s="80" t="s">
        <v>256</v>
      </c>
      <c r="C149" s="215">
        <f>Scenarios!C83</f>
        <v>32.815838695078718</v>
      </c>
      <c r="D149" s="300" t="str">
        <f>IF($D$11="","",C149*$E$25)</f>
        <v/>
      </c>
    </row>
    <row r="150" spans="2:4">
      <c r="B150" s="259" t="s">
        <v>533</v>
      </c>
      <c r="C150" s="298" t="str">
        <f>Market_currency</f>
        <v>HKD</v>
      </c>
      <c r="D150" s="298" t="str">
        <f>IF($D$11="","",D$13)</f>
        <v/>
      </c>
    </row>
    <row r="151" spans="2:4">
      <c r="B151" s="214" t="s">
        <v>534</v>
      </c>
      <c r="C151" s="92">
        <f>Scenarios!F83</f>
        <v>0.55172989935391548</v>
      </c>
    </row>
    <row r="153" spans="2:4">
      <c r="B153" s="210" t="s">
        <v>391</v>
      </c>
    </row>
    <row r="154" spans="2:4">
      <c r="B154" s="1" t="s">
        <v>390</v>
      </c>
      <c r="C154" s="297">
        <f>Scenarios!C90</f>
        <v>0.25</v>
      </c>
    </row>
    <row r="155" spans="2:4">
      <c r="B155" s="212" t="str">
        <f>"PV("&amp;C141&amp;" yrs of Dividends)"</f>
        <v>PV(3 yrs of Dividends)</v>
      </c>
      <c r="C155" s="216">
        <f>Scenarios!C91</f>
        <v>3.5244839589135215</v>
      </c>
    </row>
    <row r="156" spans="2:4">
      <c r="B156" s="212" t="str">
        <f>"+ PV(Equity Value realized at year "&amp;C141&amp;")"</f>
        <v>+ PV(Equity Value realized at year 3)</v>
      </c>
      <c r="C156" s="216">
        <f>Scenarios!C92</f>
        <v>37.48121810413916</v>
      </c>
    </row>
    <row r="157" spans="2:4">
      <c r="B157" s="80" t="s">
        <v>256</v>
      </c>
      <c r="C157" s="215">
        <f>Scenarios!C93</f>
        <v>41.005702063052681</v>
      </c>
      <c r="D157" s="300" t="str">
        <f>IF($D$11="","",C157*$E$25)</f>
        <v/>
      </c>
    </row>
    <row r="158" spans="2:4">
      <c r="B158" s="259" t="s">
        <v>533</v>
      </c>
      <c r="C158" s="298" t="str">
        <f>Market_currency</f>
        <v>HKD</v>
      </c>
      <c r="D158" s="298" t="str">
        <f>IF($D$11="","",D$13)</f>
        <v/>
      </c>
    </row>
    <row r="159" spans="2:4">
      <c r="B159" s="214" t="s">
        <v>534</v>
      </c>
      <c r="C159" s="92">
        <f>Scenarios!F93</f>
        <v>0.43985493219697569</v>
      </c>
    </row>
    <row r="161" spans="2:4">
      <c r="B161" s="210" t="s">
        <v>381</v>
      </c>
    </row>
    <row r="162" spans="2:4">
      <c r="B162" s="1" t="s">
        <v>389</v>
      </c>
      <c r="C162" s="92">
        <f>Scenarios!C96</f>
        <v>7.4999999999999997E-2</v>
      </c>
    </row>
    <row r="163" spans="2:4">
      <c r="B163" s="212" t="str">
        <f>"PV("&amp;C141&amp;" yrs of Dividends)"</f>
        <v>PV(3 yrs of Dividends)</v>
      </c>
      <c r="C163" s="216">
        <f>Scenarios!C97</f>
        <v>4.6954463396108803</v>
      </c>
    </row>
    <row r="164" spans="2:4">
      <c r="B164" s="212" t="str">
        <f>"+ PV(Equity Value realized at year "&amp;C141&amp;")"</f>
        <v>+ PV(Equity Value realized at year 3)</v>
      </c>
      <c r="C164" s="216">
        <f>Scenarios!C98</f>
        <v>58.927544279338868</v>
      </c>
    </row>
    <row r="165" spans="2:4">
      <c r="B165" s="80" t="s">
        <v>382</v>
      </c>
      <c r="C165" s="215">
        <f>Scenarios!C99</f>
        <v>63.62299061894975</v>
      </c>
      <c r="D165" s="300" t="str">
        <f>IF($D$11="","",C165*$E$25)</f>
        <v/>
      </c>
    </row>
    <row r="166" spans="2:4">
      <c r="B166" s="259" t="s">
        <v>533</v>
      </c>
      <c r="C166" s="298" t="str">
        <f>Market_currency</f>
        <v>HKD</v>
      </c>
      <c r="D166" s="298" t="str">
        <f>IF($D$11="","",D$13)</f>
        <v/>
      </c>
    </row>
    <row r="167" spans="2:4">
      <c r="B167" s="214" t="s">
        <v>534</v>
      </c>
      <c r="C167" s="92">
        <f>Scenarios!F99</f>
        <v>0.13089881160225891</v>
      </c>
    </row>
    <row r="169" spans="2:4">
      <c r="B169" s="210" t="s">
        <v>409</v>
      </c>
    </row>
    <row r="170" spans="2:4">
      <c r="B170" s="1" t="s">
        <v>400</v>
      </c>
      <c r="C170" s="92">
        <f>F32</f>
        <v>0.1174</v>
      </c>
    </row>
    <row r="171" spans="2:4">
      <c r="B171" s="212" t="str">
        <f>"PV("&amp;C141&amp;" yrs of Dividends)"</f>
        <v>PV(3 yrs of Dividends)</v>
      </c>
      <c r="C171" s="216">
        <f>Scenarios!C103</f>
        <v>4.3561378158787845</v>
      </c>
    </row>
    <row r="172" spans="2:4">
      <c r="B172" s="212" t="str">
        <f>"+ PV(Equity Value realized at year "&amp;C141&amp;")"</f>
        <v>+ PV(Equity Value realized at year 3)</v>
      </c>
      <c r="C172" s="216">
        <f>Scenarios!C104</f>
        <v>52.470805896477188</v>
      </c>
    </row>
    <row r="173" spans="2:4">
      <c r="B173" s="80" t="s">
        <v>382</v>
      </c>
      <c r="C173" s="215">
        <f>Scenarios!C105</f>
        <v>56.82694371235597</v>
      </c>
      <c r="D173" s="300" t="str">
        <f>IF($D$11="","",C173*$E$25)</f>
        <v/>
      </c>
    </row>
    <row r="174" spans="2:4">
      <c r="B174" s="259" t="s">
        <v>533</v>
      </c>
      <c r="C174" s="298" t="str">
        <f>Market_currency</f>
        <v>HKD</v>
      </c>
      <c r="D174" s="298" t="str">
        <f>IF($D$11="","",D$13)</f>
        <v/>
      </c>
    </row>
    <row r="175" spans="2:4">
      <c r="B175" s="214" t="s">
        <v>534</v>
      </c>
      <c r="C175" s="92">
        <f>Scenarios!F105</f>
        <v>0.22338060101097901</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52.85</v>
      </c>
      <c r="D12" s="50"/>
      <c r="E12" s="48"/>
    </row>
    <row r="13" spans="1:10">
      <c r="B13" s="1" t="s">
        <v>465</v>
      </c>
      <c r="C13" s="48" t="s">
        <v>377</v>
      </c>
      <c r="D13" s="48"/>
      <c r="E13" s="5"/>
    </row>
    <row r="14" spans="1:10">
      <c r="B14" s="4" t="s">
        <v>466</v>
      </c>
      <c r="C14" s="35">
        <f>Thesis!C12*Common_Shares/1000000</f>
        <v>72097.800245799997</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1.0966030899999999</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73.205504109646796</v>
      </c>
      <c r="D26" s="1" t="s">
        <v>380</v>
      </c>
      <c r="E26" s="301">
        <f ca="1">Scenarios!C87</f>
        <v>0.14555061240531031</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32.815838695078718</v>
      </c>
      <c r="D29" s="310" t="str">
        <f>D149</f>
        <v/>
      </c>
      <c r="E29" s="306" t="s">
        <v>401</v>
      </c>
      <c r="F29" s="302">
        <v>0.35</v>
      </c>
    </row>
    <row r="30" spans="2:6">
      <c r="B30" s="1" t="s">
        <v>403</v>
      </c>
      <c r="C30" s="311">
        <f>C157</f>
        <v>41.005702063052681</v>
      </c>
      <c r="D30" s="311" t="str">
        <f>D157</f>
        <v/>
      </c>
      <c r="E30" s="307" t="s">
        <v>414</v>
      </c>
      <c r="F30" s="312">
        <v>0.25</v>
      </c>
    </row>
    <row r="31" spans="2:6">
      <c r="B31" s="1" t="s">
        <v>404</v>
      </c>
      <c r="C31" s="311">
        <f>C165</f>
        <v>63.62299061894975</v>
      </c>
      <c r="D31" s="311" t="str">
        <f>D165</f>
        <v/>
      </c>
      <c r="E31" s="307" t="s">
        <v>413</v>
      </c>
      <c r="F31" s="312">
        <v>7.4999999999999997E-2</v>
      </c>
    </row>
    <row r="32" spans="2:6">
      <c r="B32" s="1" t="s">
        <v>405</v>
      </c>
      <c r="C32" s="311">
        <f>C173</f>
        <v>56.82694371235597</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229</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177027692.36915323</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155190638.36915323</v>
      </c>
      <c r="D53" s="1" t="str">
        <f>Reporting_currency</f>
        <v>CNY</v>
      </c>
    </row>
    <row r="55" spans="2:6">
      <c r="B55" s="1" t="s">
        <v>242</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-1008314677.1692269</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3154746356.369153</v>
      </c>
      <c r="D67" s="1" t="str">
        <f>Reporting_currency</f>
        <v>CNY</v>
      </c>
    </row>
    <row r="68" spans="1:6">
      <c r="B68" s="47" t="s">
        <v>244</v>
      </c>
      <c r="C68" s="349">
        <f>Normalized_FCF!C19</f>
        <v>2878309467.0360041</v>
      </c>
      <c r="D68" s="1" t="str">
        <f>Reporting_currency</f>
        <v>CNY</v>
      </c>
    </row>
    <row r="69" spans="1:6">
      <c r="B69" s="227" t="s">
        <v>371</v>
      </c>
      <c r="C69" s="92">
        <f>Normalized_FCF!C126</f>
        <v>4.3778909270006564E-2</v>
      </c>
      <c r="F69" s="314"/>
    </row>
    <row r="70" spans="1:6">
      <c r="B70" s="227" t="s">
        <v>435</v>
      </c>
      <c r="C70" s="92">
        <f>Normalized_FCF!C94</f>
        <v>3.4164158914356292E-2</v>
      </c>
      <c r="E70" s="47" t="s">
        <v>425</v>
      </c>
      <c r="F70" s="315">
        <f>Normalized_FCF!C92</f>
        <v>0.95085162283336011</v>
      </c>
    </row>
    <row r="72" spans="1:6">
      <c r="B72" s="210" t="s">
        <v>428</v>
      </c>
      <c r="C72" s="323" t="s">
        <v>430</v>
      </c>
      <c r="D72" s="323" t="s">
        <v>431</v>
      </c>
    </row>
    <row r="73" spans="1:6">
      <c r="B73" s="47" t="s">
        <v>429</v>
      </c>
      <c r="C73" s="92">
        <f>Normalized_FCF!C121</f>
        <v>0.13507436608341447</v>
      </c>
      <c r="D73" s="92">
        <f>Normalized_FCF!G121</f>
        <v>0.15711076535068538</v>
      </c>
    </row>
    <row r="74" spans="1:6">
      <c r="B74" s="259" t="str">
        <f>Normalized_FCF!B118</f>
        <v>Pre-tax Profit/Sales</v>
      </c>
      <c r="C74" s="322">
        <f>Normalized_FCF!C118</f>
        <v>0.12563423896510337</v>
      </c>
      <c r="D74" s="322">
        <f>Normalized_FCF!G118</f>
        <v>0.14597300073359495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30.849538065597958</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285396383</v>
      </c>
      <c r="D102" s="1" t="str">
        <f>Reporting_currency</f>
        <v>CNY</v>
      </c>
    </row>
    <row r="103" spans="2:6">
      <c r="B103" s="47" t="s">
        <v>276</v>
      </c>
      <c r="C103" s="223">
        <f>C102*scaling_factor*Exchange_Rate/Common_Shares</f>
        <v>0.22941452305532292</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12818446542.551659</v>
      </c>
      <c r="D109" s="1" t="str">
        <f>Reporting_currency</f>
        <v>CNY</v>
      </c>
    </row>
    <row r="110" spans="2:6">
      <c r="B110" s="47" t="s">
        <v>277</v>
      </c>
      <c r="C110" s="223">
        <f>C109*scaling_factor*Exchange_Rate/Common_Shares</f>
        <v>10.304047195544316</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2.2149244702041244</v>
      </c>
      <c r="D114" s="1" t="str">
        <f>Market_currency</f>
        <v>HKD</v>
      </c>
    </row>
    <row r="116" spans="1:6" ht="24.6" customHeight="1">
      <c r="B116" s="374" t="s">
        <v>352</v>
      </c>
      <c r="C116" s="374"/>
      <c r="D116" s="374"/>
      <c r="E116" s="374"/>
      <c r="F116" s="374"/>
    </row>
    <row r="118" spans="1:6">
      <c r="B118" s="47" t="s">
        <v>426</v>
      </c>
      <c r="C118" s="223">
        <f>IF(valuation_method="DCF",DCF!C12,DDM!C7)</f>
        <v>43.139095208291081</v>
      </c>
      <c r="D118" s="1" t="str">
        <f>Market_currency</f>
        <v>HKD</v>
      </c>
    </row>
    <row r="119" spans="1:6">
      <c r="B119" s="296" t="s">
        <v>550</v>
      </c>
      <c r="C119" s="223">
        <f>BS!D47</f>
        <v>1.3629688514427469</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117.27 HKD</v>
      </c>
      <c r="F126" s="232">
        <f>DCF!F74</f>
        <v>0.05</v>
      </c>
    </row>
    <row r="127" spans="1:6">
      <c r="B127" s="218" t="str">
        <f>DCF!B75</f>
        <v>Optimistic</v>
      </c>
      <c r="C127" s="219">
        <f>DCF!C75</f>
        <v>0.08</v>
      </c>
      <c r="D127" s="220">
        <f>DCF!D75</f>
        <v>30</v>
      </c>
      <c r="E127" s="231" t="str">
        <f>ROUND(IF(valuation_method="DCF",DCF!E75,DDM!E70),2)&amp;" "&amp;Market_currency</f>
        <v>90.74 HKD</v>
      </c>
      <c r="F127" s="221">
        <f>DCF!F75</f>
        <v>0.18</v>
      </c>
    </row>
    <row r="128" spans="1:6">
      <c r="B128" s="218" t="str">
        <f>DCF!B76</f>
        <v>Base</v>
      </c>
      <c r="C128" s="219">
        <f>DCF!C76</f>
        <v>0.06</v>
      </c>
      <c r="D128" s="220">
        <f>DCF!D76</f>
        <v>30</v>
      </c>
      <c r="E128" s="231" t="str">
        <f>ROUND(IF(valuation_method="DCF",DCF!E76,DDM!E71),2)&amp;" "&amp;Market_currency</f>
        <v>72.27 HKD</v>
      </c>
      <c r="F128" s="221">
        <f>DCF!F76</f>
        <v>0.44999999999999996</v>
      </c>
    </row>
    <row r="129" spans="1:6">
      <c r="B129" s="218" t="str">
        <f>DCF!B77</f>
        <v>Pessimistic</v>
      </c>
      <c r="C129" s="219">
        <f>DCF!C77</f>
        <v>0.04</v>
      </c>
      <c r="D129" s="220">
        <f>DCF!D77</f>
        <v>30</v>
      </c>
      <c r="E129" s="231" t="str">
        <f>ROUND(IF(valuation_method="DCF",DCF!E77,DDM!E72),2)&amp;" "&amp;Market_currency</f>
        <v>59.24 HKD</v>
      </c>
      <c r="F129" s="221">
        <f>DCF!F77</f>
        <v>0.26999999999999996</v>
      </c>
    </row>
    <row r="130" spans="1:6">
      <c r="B130" s="218" t="str">
        <f>DCF!B78</f>
        <v>Devil's advocate</v>
      </c>
      <c r="C130" s="219">
        <f>DCF!C78</f>
        <v>0.02</v>
      </c>
      <c r="D130" s="220">
        <f>DCF!D78</f>
        <v>30</v>
      </c>
      <c r="E130" s="231" t="str">
        <f>ROUND(IF(valuation_method="DCF",DCF!E78,DDM!E73),2)&amp;" "&amp;Market_currency</f>
        <v>49.91 HKD</v>
      </c>
      <c r="F130" s="221">
        <f>DCF!F78</f>
        <v>0.05</v>
      </c>
    </row>
    <row r="132" spans="1:6">
      <c r="B132" s="211" t="s">
        <v>254</v>
      </c>
      <c r="C132" s="217">
        <f>Scenarios!C60</f>
        <v>73.205504109646796</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1.8055757986237302</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3.0620393313041774</v>
      </c>
    </row>
    <row r="148" spans="2:4">
      <c r="B148" s="212" t="str">
        <f>"+ PV(Equity Value realized at year "&amp;C141&amp;")"</f>
        <v>+ PV(Equity Value realized at year 3)</v>
      </c>
      <c r="C148" s="216">
        <f>Scenarios!C82</f>
        <v>29.75379936377454</v>
      </c>
    </row>
    <row r="149" spans="2:4">
      <c r="B149" s="80" t="s">
        <v>256</v>
      </c>
      <c r="C149" s="215">
        <f>Scenarios!C83</f>
        <v>32.815838695078718</v>
      </c>
      <c r="D149" s="300" t="str">
        <f>IF($D$11="","",C149*$E$25)</f>
        <v/>
      </c>
    </row>
    <row r="150" spans="2:4">
      <c r="B150" s="259" t="s">
        <v>396</v>
      </c>
      <c r="C150" s="298" t="str">
        <f>Market_currency</f>
        <v>HKD</v>
      </c>
      <c r="D150" s="298" t="str">
        <f>IF($D$11="","",D$13)</f>
        <v/>
      </c>
    </row>
    <row r="151" spans="2:4">
      <c r="B151" s="214" t="s">
        <v>258</v>
      </c>
      <c r="C151" s="92">
        <f>Scenarios!F83</f>
        <v>0.55172989935391548</v>
      </c>
    </row>
    <row r="153" spans="2:4">
      <c r="B153" s="210" t="s">
        <v>391</v>
      </c>
    </row>
    <row r="154" spans="2:4">
      <c r="B154" s="1" t="s">
        <v>390</v>
      </c>
      <c r="C154" s="297">
        <f>Scenarios!C90</f>
        <v>0.25</v>
      </c>
    </row>
    <row r="155" spans="2:4">
      <c r="B155" s="212" t="str">
        <f>"PV("&amp;C141&amp;" yrs of Dividends)"</f>
        <v>PV(3 yrs of Dividends)</v>
      </c>
      <c r="C155" s="216">
        <f>Scenarios!C91</f>
        <v>3.5244839589135215</v>
      </c>
    </row>
    <row r="156" spans="2:4">
      <c r="B156" s="212" t="str">
        <f>"+ PV(Equity Value realized at year "&amp;C141&amp;")"</f>
        <v>+ PV(Equity Value realized at year 3)</v>
      </c>
      <c r="C156" s="216">
        <f>Scenarios!C92</f>
        <v>37.48121810413916</v>
      </c>
    </row>
    <row r="157" spans="2:4">
      <c r="B157" s="80" t="s">
        <v>256</v>
      </c>
      <c r="C157" s="215">
        <f>Scenarios!C93</f>
        <v>41.005702063052681</v>
      </c>
      <c r="D157" s="300" t="str">
        <f>IF($D$11="","",C157*$E$25)</f>
        <v/>
      </c>
    </row>
    <row r="158" spans="2:4">
      <c r="B158" s="259" t="s">
        <v>396</v>
      </c>
      <c r="C158" s="298" t="str">
        <f>Market_currency</f>
        <v>HKD</v>
      </c>
      <c r="D158" s="298" t="str">
        <f>IF($D$11="","",D$13)</f>
        <v/>
      </c>
    </row>
    <row r="159" spans="2:4">
      <c r="B159" s="214" t="s">
        <v>258</v>
      </c>
      <c r="C159" s="92">
        <f>Scenarios!F93</f>
        <v>0.43985493219697569</v>
      </c>
    </row>
    <row r="161" spans="2:4">
      <c r="B161" s="210" t="s">
        <v>381</v>
      </c>
    </row>
    <row r="162" spans="2:4">
      <c r="B162" s="1" t="s">
        <v>389</v>
      </c>
      <c r="C162" s="92">
        <f>Scenarios!C96</f>
        <v>7.4999999999999997E-2</v>
      </c>
    </row>
    <row r="163" spans="2:4">
      <c r="B163" s="212" t="str">
        <f>"PV("&amp;C141&amp;" yrs of Dividends)"</f>
        <v>PV(3 yrs of Dividends)</v>
      </c>
      <c r="C163" s="216">
        <f>Scenarios!C97</f>
        <v>4.6954463396108803</v>
      </c>
    </row>
    <row r="164" spans="2:4">
      <c r="B164" s="212" t="str">
        <f>"+ PV(Equity Value realized at year "&amp;C141&amp;")"</f>
        <v>+ PV(Equity Value realized at year 3)</v>
      </c>
      <c r="C164" s="216">
        <f>Scenarios!C98</f>
        <v>58.927544279338868</v>
      </c>
    </row>
    <row r="165" spans="2:4">
      <c r="B165" s="80" t="s">
        <v>382</v>
      </c>
      <c r="C165" s="215">
        <f>Scenarios!C99</f>
        <v>63.62299061894975</v>
      </c>
      <c r="D165" s="300" t="str">
        <f>IF($D$11="","",C165*$E$25)</f>
        <v/>
      </c>
    </row>
    <row r="166" spans="2:4">
      <c r="B166" s="259" t="s">
        <v>396</v>
      </c>
      <c r="C166" s="298" t="str">
        <f>Market_currency</f>
        <v>HKD</v>
      </c>
      <c r="D166" s="298" t="str">
        <f>IF($D$11="","",D$13)</f>
        <v/>
      </c>
    </row>
    <row r="167" spans="2:4">
      <c r="B167" s="214" t="s">
        <v>258</v>
      </c>
      <c r="C167" s="92">
        <f>Scenarios!F99</f>
        <v>0.13089881160225891</v>
      </c>
    </row>
    <row r="169" spans="2:4">
      <c r="B169" s="210" t="s">
        <v>409</v>
      </c>
    </row>
    <row r="170" spans="2:4">
      <c r="B170" s="1" t="s">
        <v>400</v>
      </c>
      <c r="C170" s="92">
        <f>F32</f>
        <v>0.1174</v>
      </c>
    </row>
    <row r="171" spans="2:4">
      <c r="B171" s="212" t="str">
        <f>"PV("&amp;C141&amp;" yrs of Dividends)"</f>
        <v>PV(3 yrs of Dividends)</v>
      </c>
      <c r="C171" s="216">
        <f>Scenarios!C103</f>
        <v>4.3561378158787845</v>
      </c>
    </row>
    <row r="172" spans="2:4">
      <c r="B172" s="212" t="str">
        <f>"+ PV(Equity Value realized at year "&amp;C141&amp;")"</f>
        <v>+ PV(Equity Value realized at year 3)</v>
      </c>
      <c r="C172" s="216">
        <f>Scenarios!C104</f>
        <v>52.470805896477188</v>
      </c>
    </row>
    <row r="173" spans="2:4">
      <c r="B173" s="80" t="s">
        <v>382</v>
      </c>
      <c r="C173" s="215">
        <f>Scenarios!C105</f>
        <v>56.82694371235597</v>
      </c>
      <c r="D173" s="300" t="str">
        <f>IF($D$11="","",C173*$E$25)</f>
        <v/>
      </c>
    </row>
    <row r="174" spans="2:4">
      <c r="B174" s="259" t="s">
        <v>396</v>
      </c>
      <c r="C174" s="298" t="str">
        <f>Market_currency</f>
        <v>HKD</v>
      </c>
      <c r="D174" s="298" t="str">
        <f>IF($D$11="","",D$13)</f>
        <v/>
      </c>
    </row>
    <row r="175" spans="2:4">
      <c r="B175" s="214" t="s">
        <v>258</v>
      </c>
      <c r="C175" s="92">
        <f>Scenarios!F105</f>
        <v>0.22338060101097901</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2.0061953318041446</v>
      </c>
      <c r="D25" s="39">
        <f>2/Exchange_Rate</f>
        <v>1.8238139380037679</v>
      </c>
      <c r="E25" s="39">
        <f>1.3/Exchange_Rate</f>
        <v>1.1854790597024492</v>
      </c>
      <c r="F25" s="39">
        <f>1.1/Exchange_Rate</f>
        <v>1.0030976659020723</v>
      </c>
      <c r="G25" s="39">
        <f>0.75/Exchange_Rate</f>
        <v>0.68393022675141291</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2.0061953318041446</v>
      </c>
      <c r="D65" s="73">
        <f t="shared" ref="D65:M65" si="33">IF(D$4="","",D25)</f>
        <v>1.8238139380037679</v>
      </c>
      <c r="E65" s="73">
        <f t="shared" si="33"/>
        <v>1.1854790597024492</v>
      </c>
      <c r="F65" s="73">
        <f t="shared" si="33"/>
        <v>1.0030976659020723</v>
      </c>
      <c r="G65" s="73">
        <f t="shared" si="33"/>
        <v>0.68393022675141291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23.36005167965282</v>
      </c>
      <c r="D47" s="147">
        <f>D46*H1/Common_Shares*Exchange_Rate</f>
        <v>1.3629688514427469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12818446542.551659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-2532240230.1456509</v>
      </c>
      <c r="D73" s="349">
        <f>(Normalized_FCF!C25+Normalized_FCF!C35-Normalized_FCF!C91)/12</f>
        <v>-2580163176.7241712</v>
      </c>
      <c r="F73" s="1" t="s">
        <v>342</v>
      </c>
    </row>
    <row r="74" spans="2:6" ht="15" customHeight="1">
      <c r="B74" s="257" t="s">
        <v>312</v>
      </c>
      <c r="C74" s="258">
        <f>-$C$66/C73</f>
        <v>7.0999475807893182</v>
      </c>
      <c r="D74" s="258">
        <f>-$C$66/D73</f>
        <v>6.9680759179061784</v>
      </c>
      <c r="F74" s="253" t="s">
        <v>310</v>
      </c>
    </row>
    <row r="75" spans="2:6" ht="15" customHeight="1">
      <c r="B75" s="80" t="s">
        <v>311</v>
      </c>
      <c r="C75" s="320"/>
      <c r="D75" s="321">
        <f>MAX(-D73*D76,G5)</f>
        <v>5160326353.4483423</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-312966555.47262347</v>
      </c>
      <c r="D86" s="223">
        <f>C86*scaling_factor/Common_Shares</f>
        <v>-0.22941452305532292</v>
      </c>
      <c r="E86" s="240" t="str">
        <f>Market_currency</f>
        <v>HKD</v>
      </c>
    </row>
    <row r="87" spans="2:8" ht="15" customHeight="1">
      <c r="B87" s="238" t="s">
        <v>282</v>
      </c>
      <c r="C87" s="76">
        <f>DCF!C8*Exchange_Rate</f>
        <v>14056748087.561964</v>
      </c>
      <c r="D87" s="223">
        <f>C87*scaling_factor/Common_Shares</f>
        <v>10.304047195544316</v>
      </c>
      <c r="E87" s="240" t="str">
        <f>Market_currency</f>
        <v>HKD</v>
      </c>
    </row>
    <row r="88" spans="2:8" ht="15" customHeight="1">
      <c r="B88" s="239" t="s">
        <v>185</v>
      </c>
      <c r="C88" s="76">
        <f>DCF!C9*Exchange_Rate</f>
        <v>3021592847.9150681</v>
      </c>
      <c r="D88" s="223">
        <f>C88*scaling_factor/Common_Shares</f>
        <v>2.2149244702041244</v>
      </c>
      <c r="E88" s="240" t="str">
        <f>Market_currency</f>
        <v>HKD</v>
      </c>
    </row>
    <row r="89" spans="2:8" ht="15" customHeight="1">
      <c r="B89" s="80" t="s">
        <v>286</v>
      </c>
      <c r="C89" s="180">
        <f>SUM(C86:C88)</f>
        <v>16765374380.004408</v>
      </c>
      <c r="D89" s="242">
        <f>SUM(D86:D88)</f>
        <v>12.289557142693116</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155190638.36915323</v>
      </c>
      <c r="E12" s="268"/>
      <c r="G12" s="328">
        <f>G50</f>
        <v>155190638.36915323</v>
      </c>
      <c r="H12" s="328">
        <f t="shared" ref="H12:Q12" si="6">H50</f>
        <v>128911110.91308644</v>
      </c>
      <c r="I12" s="328">
        <f t="shared" si="6"/>
        <v>122695795.84926069</v>
      </c>
      <c r="J12" s="328">
        <f t="shared" si="6"/>
        <v>67913045.163927302</v>
      </c>
      <c r="K12" s="328">
        <f t="shared" si="6"/>
        <v>136745937.58848014</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4033258708.6769075</v>
      </c>
      <c r="E13" s="268"/>
      <c r="G13" s="329">
        <f>IF(G$4="","",SUM(G8:G12))</f>
        <v>4691255498.369153</v>
      </c>
      <c r="H13" s="329">
        <f t="shared" ref="H13:Q13" si="7">IF(H$4="","",SUM(H8:H12))</f>
        <v>4549578902.9130869</v>
      </c>
      <c r="I13" s="329">
        <f t="shared" si="7"/>
        <v>3869649003.8492608</v>
      </c>
      <c r="J13" s="329">
        <f t="shared" si="7"/>
        <v>3025004045.1639271</v>
      </c>
      <c r="K13" s="329">
        <f t="shared" si="7"/>
        <v>2470805809.58848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-1008314677.1692269</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2878309467.0360041</v>
      </c>
      <c r="D16" s="61"/>
      <c r="E16" s="276"/>
      <c r="F16" s="61"/>
      <c r="G16" s="329">
        <f>IF(G$4="","",SUM(G13:G15))</f>
        <v>3154746356.369153</v>
      </c>
      <c r="H16" s="329">
        <f t="shared" ref="H16:Q16" si="8">IF(H$4="","",SUM(H13:H15))</f>
        <v>3071023006.9130869</v>
      </c>
      <c r="I16" s="329">
        <f t="shared" si="8"/>
        <v>2574136310.8492608</v>
      </c>
      <c r="J16" s="329">
        <f t="shared" si="8"/>
        <v>1701484390.1639271</v>
      </c>
      <c r="K16" s="329">
        <f t="shared" si="8"/>
        <v>1432580041.58848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2878309467.0360041</v>
      </c>
      <c r="D19" s="27"/>
      <c r="E19" s="265"/>
      <c r="F19" s="27"/>
      <c r="G19" s="334">
        <f>IF(G$4="","",G16+G17)</f>
        <v>3154746356.369153</v>
      </c>
      <c r="H19" s="334">
        <f t="shared" ref="H19:Q19" si="9">IF(H$4="","",H16+H17)</f>
        <v>3071023006.9130869</v>
      </c>
      <c r="I19" s="334">
        <f t="shared" si="9"/>
        <v>2574136310.8492608</v>
      </c>
      <c r="J19" s="334">
        <f t="shared" si="9"/>
        <v>1701484390.1639271</v>
      </c>
      <c r="K19" s="334">
        <f t="shared" si="9"/>
        <v>1432580041.58848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0.29623547779120424</v>
      </c>
      <c r="H43" s="6">
        <f t="shared" si="18"/>
        <v>0.30732698736244135</v>
      </c>
      <c r="I43" s="6">
        <f t="shared" si="18"/>
        <v>0.31047255366182053</v>
      </c>
      <c r="J43" s="6">
        <f t="shared" si="18"/>
        <v>0.40420825121036802</v>
      </c>
      <c r="K43" s="6">
        <f t="shared" si="18"/>
        <v>0.36934530243475222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177027692.36915323</v>
      </c>
      <c r="E48" s="268"/>
      <c r="G48" s="337">
        <f>IFERROR(IF(G$4="","",($C$48/$C$49)*G49),0)</f>
        <v>177027692.36915323</v>
      </c>
      <c r="H48" s="337">
        <f t="shared" ref="H48:Q48" si="19">IFERROR(IF(H$4="","",($C$48/$C$49)*H49),0)</f>
        <v>145341700.91308644</v>
      </c>
      <c r="I48" s="337">
        <f t="shared" si="19"/>
        <v>131933595.84926069</v>
      </c>
      <c r="J48" s="337">
        <f t="shared" si="19"/>
        <v>90598412.163927302</v>
      </c>
      <c r="K48" s="337">
        <f t="shared" si="19"/>
        <v>150408619.58848014</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155190638.36915323</v>
      </c>
      <c r="E50" s="268"/>
      <c r="G50" s="329">
        <f>IF(G$4="","",(G47+G48))</f>
        <v>155190638.36915323</v>
      </c>
      <c r="H50" s="329">
        <f t="shared" ref="H50:Q50" si="20">IF(H$4="","",(H47+H48))</f>
        <v>128911110.91308644</v>
      </c>
      <c r="I50" s="329">
        <f t="shared" si="20"/>
        <v>122695795.84926069</v>
      </c>
      <c r="J50" s="329">
        <f t="shared" si="20"/>
        <v>67913045.163927302</v>
      </c>
      <c r="K50" s="329">
        <f t="shared" si="20"/>
        <v>136745937.58848014</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4.8341202869213225E-3</v>
      </c>
      <c r="D80" s="27"/>
      <c r="E80" s="265"/>
      <c r="F80" s="27"/>
      <c r="G80" s="6">
        <f t="shared" ref="G80:Q80" si="31">IF(G$4="","",ABS(G12/G$4))</f>
        <v>4.8289084183077823E-3</v>
      </c>
      <c r="H80" s="6">
        <f t="shared" si="31"/>
        <v>3.7985951565197942E-3</v>
      </c>
      <c r="I80" s="6">
        <f t="shared" si="31"/>
        <v>3.8137962349500819E-3</v>
      </c>
      <c r="J80" s="6">
        <f t="shared" si="31"/>
        <v>2.2512508141052968E-3</v>
      </c>
      <c r="K80" s="6">
        <f t="shared" si="31"/>
        <v>4.9260576939366705E-3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0.12563423896510337</v>
      </c>
      <c r="D81" s="27"/>
      <c r="E81" s="265"/>
      <c r="F81" s="27"/>
      <c r="G81" s="65">
        <f t="shared" ref="G81:Q81" si="32">IF(G$4="","",G13/G$4)</f>
        <v>0.14597300073359495</v>
      </c>
      <c r="H81" s="65">
        <f t="shared" si="32"/>
        <v>0.13406143397881387</v>
      </c>
      <c r="I81" s="65">
        <f t="shared" si="32"/>
        <v>0.12028165023347516</v>
      </c>
      <c r="J81" s="65">
        <f t="shared" si="32"/>
        <v>0.10027591610579598</v>
      </c>
      <c r="K81" s="65">
        <f t="shared" si="32"/>
        <v>8.9006899825974067E-2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3.1408559741275842E-2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8.965807688437287E-2</v>
      </c>
      <c r="D84" s="27"/>
      <c r="E84" s="265"/>
      <c r="F84" s="27"/>
      <c r="G84" s="65">
        <f t="shared" ref="G84:Q84" si="35">IF(G$4="","",ABS(G16/G$4))</f>
        <v>9.8163016777207984E-2</v>
      </c>
      <c r="H84" s="65">
        <f t="shared" si="35"/>
        <v>9.0493154833534775E-2</v>
      </c>
      <c r="I84" s="65">
        <f t="shared" si="35"/>
        <v>8.0012777150296782E-2</v>
      </c>
      <c r="J84" s="65">
        <f t="shared" si="35"/>
        <v>5.6402538117648525E-2</v>
      </c>
      <c r="K84" s="65">
        <f t="shared" si="35"/>
        <v>5.1606446674007413E-2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8.965807688437287E-2</v>
      </c>
      <c r="D87" s="75"/>
      <c r="E87" s="265"/>
      <c r="F87" s="75"/>
      <c r="G87" s="65">
        <f t="shared" ref="G87:Q87" si="36">IF(G$4="","",ABS(G19/G$4))</f>
        <v>9.8163016777207984E-2</v>
      </c>
      <c r="H87" s="65">
        <f t="shared" si="36"/>
        <v>9.0493154833534775E-2</v>
      </c>
      <c r="I87" s="65">
        <f t="shared" si="36"/>
        <v>8.0012777150296782E-2</v>
      </c>
      <c r="J87" s="65">
        <f t="shared" si="36"/>
        <v>5.6402538117648525E-2</v>
      </c>
      <c r="K87" s="65">
        <f t="shared" si="36"/>
        <v>5.1606446674007413E-2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2.0061953318041446</v>
      </c>
      <c r="E90" s="268"/>
      <c r="G90" s="112">
        <f>Data!C65</f>
        <v>2.0061953318041446</v>
      </c>
      <c r="H90" s="112">
        <f>Data!D65</f>
        <v>1.8238139380037679</v>
      </c>
      <c r="I90" s="112">
        <f>Data!E65</f>
        <v>1.1854790597024492</v>
      </c>
      <c r="J90" s="112">
        <f>Data!F65</f>
        <v>1.0030976659020723</v>
      </c>
      <c r="K90" s="112">
        <f>Data!G65</f>
        <v>0.68393022675141291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2736845227.7478085</v>
      </c>
      <c r="E91" s="268"/>
      <c r="G91" s="74">
        <f t="shared" ref="G91:Q91" si="37">IF(G$4="","",G90*Common_Shares/scaling_factor)</f>
        <v>2736845227.7478085</v>
      </c>
      <c r="H91" s="74">
        <f t="shared" si="37"/>
        <v>2488041116.1343713</v>
      </c>
      <c r="I91" s="74">
        <f t="shared" si="37"/>
        <v>1617226725.4873414</v>
      </c>
      <c r="J91" s="74">
        <f t="shared" si="37"/>
        <v>1368422613.8739042</v>
      </c>
      <c r="K91" s="74">
        <f t="shared" si="37"/>
        <v>933015418.55038917</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0.95085162283336011</v>
      </c>
      <c r="E92" s="268"/>
      <c r="G92" s="170">
        <f t="shared" ref="G92:Q92" si="38">IF(G$4="","",G90/(G19*scaling_factor/Common_Shares))</f>
        <v>0.86753257428203723</v>
      </c>
      <c r="H92" s="170">
        <f t="shared" si="38"/>
        <v>0.81016687616263949</v>
      </c>
      <c r="I92" s="170">
        <f t="shared" si="38"/>
        <v>0.62825994049778389</v>
      </c>
      <c r="J92" s="170">
        <f t="shared" si="38"/>
        <v>0.80425222927967355</v>
      </c>
      <c r="K92" s="170">
        <f t="shared" si="38"/>
        <v>0.65128327316066659</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3.4164158914356292E-2</v>
      </c>
      <c r="E94" s="268"/>
      <c r="G94" s="23">
        <f t="shared" ref="G94:Q94" si="39">IF(G$4="","",(G90*(1-dividend_tax_rate))/Market_Price)</f>
        <v>3.4164158914356292E-2</v>
      </c>
      <c r="H94" s="23">
        <f t="shared" si="39"/>
        <v>3.1058326285778454E-2</v>
      </c>
      <c r="I94" s="23">
        <f t="shared" si="39"/>
        <v>2.0187912085755995E-2</v>
      </c>
      <c r="J94" s="23">
        <f t="shared" si="39"/>
        <v>1.7082079457178146E-2</v>
      </c>
      <c r="K94" s="23">
        <f t="shared" si="39"/>
        <v>1.1646872357166918E-2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-0.14026027572384159</v>
      </c>
      <c r="D98" s="27"/>
      <c r="E98" s="265"/>
      <c r="F98" s="27"/>
      <c r="G98" s="6">
        <f t="shared" ref="G98:Q98" si="41">IF(H5="","",G13/H13-1)</f>
        <v>3.1140595312096009E-2</v>
      </c>
      <c r="H98" s="6">
        <f t="shared" si="41"/>
        <v>0.17570841654823943</v>
      </c>
      <c r="I98" s="6">
        <f t="shared" si="41"/>
        <v>0.27922110055874705</v>
      </c>
      <c r="J98" s="6">
        <f t="shared" si="41"/>
        <v>0.22429858041646367</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1.6339383740290869</v>
      </c>
      <c r="H115" s="295">
        <f>IF(H$4="","",Data!D$22/H19)</f>
        <v>0.90444361170447196</v>
      </c>
      <c r="I115" s="295">
        <f>IF(I$4="","",Data!E$22/I19)</f>
        <v>1.8953041847229888</v>
      </c>
      <c r="J115" s="295">
        <f>IF(J$4="","",Data!F$22/J19)</f>
        <v>3.5516702297914029</v>
      </c>
      <c r="K115" s="295">
        <f>IF(K$4="","",Data!G$22/K19)</f>
        <v>3.4576932654370385</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0.12563423896510337</v>
      </c>
      <c r="E118" s="268"/>
      <c r="G118" s="23">
        <f t="shared" ref="G118:Q118" si="45">IF(G4="","",IF(valuation_method="DDM",G13/(G4+G12),G81))</f>
        <v>0.14597300073359495</v>
      </c>
      <c r="H118" s="23">
        <f t="shared" si="45"/>
        <v>0.13406143397881387</v>
      </c>
      <c r="I118" s="23">
        <f t="shared" si="45"/>
        <v>0.12028165023347516</v>
      </c>
      <c r="J118" s="23">
        <f t="shared" si="45"/>
        <v>0.10027591610579598</v>
      </c>
      <c r="K118" s="23">
        <f t="shared" si="45"/>
        <v>8.9006899825974067E-2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0.13507436608341447</v>
      </c>
      <c r="D121" s="103"/>
      <c r="E121" s="271"/>
      <c r="F121" s="103"/>
      <c r="G121" s="102">
        <f t="shared" ref="G121:Q121" si="48">IF(G$4="","",G13/G106)</f>
        <v>0.15711076535068538</v>
      </c>
      <c r="H121" s="102">
        <f t="shared" si="48"/>
        <v>0.16101998275668827</v>
      </c>
      <c r="I121" s="102">
        <f t="shared" si="48"/>
        <v>0.1472900034473216</v>
      </c>
      <c r="J121" s="102">
        <f t="shared" si="48"/>
        <v>0.12713470985581246</v>
      </c>
      <c r="K121" s="102">
        <f t="shared" si="48"/>
        <v>0.11563083946041318</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2.3137153549198466</v>
      </c>
      <c r="D125" s="27"/>
      <c r="E125" s="265"/>
      <c r="F125" s="27"/>
      <c r="G125" s="177">
        <f t="shared" ref="G125:Q125" si="49">IF(G$4="","",G16*$C$3/Common_Shares*Exchange_Rate)</f>
        <v>2.5359278316675335</v>
      </c>
      <c r="H125" s="177">
        <f t="shared" si="49"/>
        <v>2.468627216003958</v>
      </c>
      <c r="I125" s="177">
        <f t="shared" si="49"/>
        <v>2.0692072121771479</v>
      </c>
      <c r="J125" s="177">
        <f t="shared" si="49"/>
        <v>1.3677301224085039</v>
      </c>
      <c r="K125" s="177">
        <f t="shared" si="49"/>
        <v>1.1515726426693915</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4.3778909270006564E-2</v>
      </c>
      <c r="D126" s="27"/>
      <c r="E126" s="265"/>
      <c r="F126" s="27"/>
      <c r="G126" s="77">
        <f t="shared" ref="G126" si="50">IF(G$4="","",G125/Market_Price)</f>
        <v>4.7983497287938194E-2</v>
      </c>
      <c r="H126" s="77">
        <f t="shared" ref="H126" si="51">IF(H$4="","",H125/Market_Price)</f>
        <v>4.6710070312279243E-2</v>
      </c>
      <c r="I126" s="77">
        <f t="shared" ref="I126" si="52">IF(I$4="","",I125/Market_Price)</f>
        <v>3.915245434583061E-2</v>
      </c>
      <c r="J126" s="77">
        <f t="shared" ref="J126" si="53">IF(J$4="","",J125/Market_Price)</f>
        <v>2.5879472514825048E-2</v>
      </c>
      <c r="K126" s="77">
        <f t="shared" ref="K126" si="54">IF(K$4="","",K125/Market_Price)</f>
        <v>2.178945397671507E-2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6.2301161348700992E-2</v>
      </c>
      <c r="H127" s="23">
        <f>IF(H$4="","",(Data!D47*$C$3)/(Market_Price*Common_Shares))</f>
        <v>6.0309730798663315E-2</v>
      </c>
      <c r="I127" s="23">
        <f>IF(I$4="","",(Data!E47*$C$3)/(Market_Price*Common_Shares))</f>
        <v>5.2771672159604356E-2</v>
      </c>
      <c r="J127" s="23">
        <f>IF(J$4="","",(Data!F47*$C$3)/(Market_Price*Common_Shares))</f>
        <v>4.5164261030137182E-2</v>
      </c>
      <c r="K127" s="23">
        <f>IF(K$4="","",(Data!G47*$C$3)/(Market_Price*Common_Shares))</f>
        <v>3.2275170630265596E-2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2878309467.0360041</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38377459560.480057</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12818446542.551659</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53665921295.531715</v>
      </c>
      <c r="D10" t="str">
        <f>Reporting_currency</f>
        <v>CNY</v>
      </c>
      <c r="H10" s="120"/>
    </row>
    <row r="11" spans="2:8" ht="13.15" thickBot="1">
      <c r="B11" s="207" t="s">
        <v>162</v>
      </c>
      <c r="C11" s="208">
        <f>Exchange_Rate</f>
        <v>1.0966030899999999</v>
      </c>
      <c r="D11" t="str">
        <f>Thesis!C15</f>
        <v>CNY/HKD</v>
      </c>
      <c r="H11" s="120"/>
    </row>
    <row r="12" spans="2:8" ht="13.5" thickTop="1">
      <c r="B12" s="149" t="s">
        <v>99</v>
      </c>
      <c r="C12" s="111">
        <f>(C10*scaling_factor)/Common_Shares*Exchange_Rate</f>
        <v>43.139095208291081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73.172191920948052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3054363706.7232094</v>
      </c>
      <c r="D21" s="138">
        <f>IF($C$17&lt;B21,0,DCF!$C$16)</f>
        <v>6.1165848114484E-2</v>
      </c>
      <c r="E21" s="124">
        <f t="shared" ref="E21:E50" si="0">IF($C$17&lt;B21,0,1/(1+Equity_Cost)^B21)</f>
        <v>0.93023255813953487</v>
      </c>
      <c r="F21" s="125">
        <f t="shared" ref="F21:F51" si="1">C21*E21</f>
        <v>2841268564.393683</v>
      </c>
      <c r="H21" s="120"/>
    </row>
    <row r="22" spans="2:17">
      <c r="B22" s="122">
        <v>2</v>
      </c>
      <c r="C22" s="123">
        <f t="shared" ref="C22:C50" si="2">IF(ROW()-ROW($C$21)&lt;$C$17, $C$21*(1+D22)^(ROW()-ROW($C$21)), 0)</f>
        <v>3241186453.2950335</v>
      </c>
      <c r="D22" s="138">
        <f>IF($C$17&lt;B22,0,DCF!$C$16)</f>
        <v>6.1165848114484E-2</v>
      </c>
      <c r="E22" s="124">
        <f t="shared" si="0"/>
        <v>0.86533261222282321</v>
      </c>
      <c r="F22" s="125">
        <f t="shared" si="1"/>
        <v>2804704340.3310189</v>
      </c>
      <c r="H22" s="120"/>
    </row>
    <row r="23" spans="2:17">
      <c r="B23" s="122">
        <v>3</v>
      </c>
      <c r="C23" s="123">
        <f t="shared" si="2"/>
        <v>3439436371.6079998</v>
      </c>
      <c r="D23" s="138">
        <f>IF($C$17&lt;B23,0,DCF!$C$16)</f>
        <v>6.1165848114484E-2</v>
      </c>
      <c r="E23" s="124">
        <f t="shared" si="0"/>
        <v>0.80496056950960304</v>
      </c>
      <c r="F23" s="125">
        <f t="shared" si="1"/>
        <v>2768610660.4816184</v>
      </c>
      <c r="G23" s="338"/>
      <c r="H23" s="339"/>
      <c r="I23" s="338"/>
      <c r="J23" s="338"/>
      <c r="K23" s="338"/>
      <c r="L23" s="338"/>
      <c r="M23" s="338"/>
      <c r="N23" s="338"/>
      <c r="O23" s="338"/>
      <c r="P23" s="338"/>
      <c r="Q23" s="338"/>
    </row>
    <row r="24" spans="2:17">
      <c r="B24" s="122">
        <v>4</v>
      </c>
      <c r="C24" s="123">
        <f t="shared" si="2"/>
        <v>3649812414.3132062</v>
      </c>
      <c r="D24" s="138">
        <f>IF($C$17&lt;B24,0,DCF!$C$16)</f>
        <v>6.1165848114484E-2</v>
      </c>
      <c r="E24" s="124">
        <f t="shared" si="0"/>
        <v>0.7488005297763749</v>
      </c>
      <c r="F24" s="125">
        <f t="shared" si="1"/>
        <v>2732981469.4221187</v>
      </c>
      <c r="G24" s="338"/>
      <c r="H24" s="339"/>
      <c r="I24" s="338"/>
      <c r="J24" s="338"/>
      <c r="K24" s="338"/>
      <c r="L24" s="338"/>
      <c r="M24" s="338"/>
      <c r="N24" s="338"/>
      <c r="O24" s="338"/>
      <c r="P24" s="338"/>
      <c r="Q24" s="338"/>
    </row>
    <row r="25" spans="2:17">
      <c r="B25" s="122">
        <v>5</v>
      </c>
      <c r="C25" s="123">
        <f t="shared" si="2"/>
        <v>3873056286.0934453</v>
      </c>
      <c r="D25" s="138">
        <f>IF($C$17&lt;B25,0,DCF!$C$16)</f>
        <v>6.1165848114484E-2</v>
      </c>
      <c r="E25" s="124">
        <f t="shared" si="0"/>
        <v>0.69655863235011617</v>
      </c>
      <c r="F25" s="125">
        <f t="shared" si="1"/>
        <v>2697810789.6562705</v>
      </c>
      <c r="G25" s="338"/>
      <c r="H25" s="339"/>
      <c r="I25" s="338"/>
      <c r="J25" s="338"/>
      <c r="K25" s="338"/>
      <c r="L25" s="338"/>
      <c r="M25" s="338"/>
      <c r="N25" s="338"/>
      <c r="O25" s="338"/>
      <c r="P25" s="338"/>
      <c r="Q25" s="338"/>
    </row>
    <row r="26" spans="2:17">
      <c r="B26" s="122">
        <v>6</v>
      </c>
      <c r="C26" s="123">
        <f t="shared" si="2"/>
        <v>4109955058.6274843</v>
      </c>
      <c r="D26" s="138">
        <f>IF($C$17&lt;B26,0,DCF!$C$16)</f>
        <v>6.1165848114484E-2</v>
      </c>
      <c r="E26" s="124">
        <f t="shared" si="0"/>
        <v>0.64796151846522443</v>
      </c>
      <c r="F26" s="125">
        <f t="shared" si="1"/>
        <v>2663092720.6120954</v>
      </c>
      <c r="H26" s="120"/>
    </row>
    <row r="27" spans="2:17">
      <c r="B27" s="122">
        <v>7</v>
      </c>
      <c r="C27" s="123">
        <f t="shared" si="2"/>
        <v>4361343945.5008478</v>
      </c>
      <c r="D27" s="138">
        <f>IF($C$17&lt;B27,0,DCF!$C$16)</f>
        <v>6.1165848114484E-2</v>
      </c>
      <c r="E27" s="124">
        <f t="shared" si="0"/>
        <v>0.60275490089788319</v>
      </c>
      <c r="F27" s="125">
        <f t="shared" si="1"/>
        <v>2628821437.6519465</v>
      </c>
      <c r="H27" s="120"/>
    </row>
    <row r="28" spans="2:17">
      <c r="B28" s="122">
        <v>8</v>
      </c>
      <c r="C28" s="123">
        <f t="shared" si="2"/>
        <v>4628109246.8463755</v>
      </c>
      <c r="D28" s="138">
        <f>IF($C$17&lt;B28,0,DCF!$C$16)</f>
        <v>6.1165848114484E-2</v>
      </c>
      <c r="E28" s="124">
        <f t="shared" si="0"/>
        <v>0.56070223339337966</v>
      </c>
      <c r="F28" s="125">
        <f t="shared" si="1"/>
        <v>2594991191.095315</v>
      </c>
      <c r="H28" s="120"/>
    </row>
    <row r="29" spans="2:17">
      <c r="B29" s="122">
        <v>9</v>
      </c>
      <c r="C29" s="123">
        <f t="shared" si="2"/>
        <v>4911191474.09622</v>
      </c>
      <c r="D29" s="138">
        <f>IF($C$17&lt;B29,0,DCF!$C$16)</f>
        <v>6.1165848114484E-2</v>
      </c>
      <c r="E29" s="124">
        <f t="shared" si="0"/>
        <v>0.52158347292407414</v>
      </c>
      <c r="F29" s="125">
        <f t="shared" si="1"/>
        <v>2561596305.2542095</v>
      </c>
      <c r="H29" s="120"/>
    </row>
    <row r="30" spans="2:17">
      <c r="B30" s="122">
        <v>10</v>
      </c>
      <c r="C30" s="123">
        <f t="shared" si="2"/>
        <v>5211588665.8619375</v>
      </c>
      <c r="D30" s="138">
        <f>IF($C$17&lt;B30,0,DCF!$C$16)</f>
        <v>6.1165848114484E-2</v>
      </c>
      <c r="E30" s="124">
        <f t="shared" si="0"/>
        <v>0.48519392830146441</v>
      </c>
      <c r="F30" s="125">
        <f t="shared" si="1"/>
        <v>2528631177.4809413</v>
      </c>
      <c r="H30" s="120"/>
    </row>
    <row r="31" spans="2:17">
      <c r="B31" s="122">
        <v>11</v>
      </c>
      <c r="C31" s="123">
        <f t="shared" si="2"/>
        <v>5530359906.633214</v>
      </c>
      <c r="D31" s="138">
        <f>IF($C$17&lt;B31,0,DCF!$C$16)</f>
        <v>6.1165848114484E-2</v>
      </c>
      <c r="E31" s="124">
        <f t="shared" si="0"/>
        <v>0.45134318911764126</v>
      </c>
      <c r="F31" s="125">
        <f t="shared" si="1"/>
        <v>2496090277.2281756</v>
      </c>
      <c r="H31" s="120"/>
    </row>
    <row r="32" spans="2:17">
      <c r="B32" s="122">
        <v>12</v>
      </c>
      <c r="C32" s="123">
        <f t="shared" si="2"/>
        <v>5868629060.7007732</v>
      </c>
      <c r="D32" s="138">
        <f>IF($C$17&lt;B32,0,DCF!$C$16)</f>
        <v>6.1165848114484E-2</v>
      </c>
      <c r="E32" s="124">
        <f t="shared" si="0"/>
        <v>0.41985412941175931</v>
      </c>
      <c r="F32" s="125">
        <f t="shared" si="1"/>
        <v>2463968145.1210737</v>
      </c>
      <c r="H32" s="120"/>
    </row>
    <row r="33" spans="2:17">
      <c r="B33" s="122">
        <v>13</v>
      </c>
      <c r="C33" s="341">
        <f t="shared" si="2"/>
        <v>6227588734.4678421</v>
      </c>
      <c r="D33" s="138">
        <f>IF($C$17&lt;B33,0,DCF!$C$16)</f>
        <v>6.1165848114484E-2</v>
      </c>
      <c r="E33" s="124">
        <f t="shared" si="0"/>
        <v>0.39056198084814819</v>
      </c>
      <c r="F33" s="125">
        <f t="shared" si="1"/>
        <v>2432259392.0413728</v>
      </c>
      <c r="G33" s="338"/>
      <c r="H33" s="339"/>
      <c r="I33" s="338"/>
      <c r="J33" s="338"/>
      <c r="K33" s="338"/>
      <c r="L33" s="338"/>
      <c r="M33" s="338"/>
      <c r="N33" s="338"/>
      <c r="O33" s="338"/>
      <c r="P33" s="338"/>
      <c r="Q33" s="338"/>
    </row>
    <row r="34" spans="2:17">
      <c r="B34" s="122">
        <v>14</v>
      </c>
      <c r="C34" s="341">
        <f t="shared" si="2"/>
        <v>6608504481.1197739</v>
      </c>
      <c r="D34" s="138">
        <f>IF($C$17&lt;B34,0,DCF!$C$16)</f>
        <v>6.1165848114484E-2</v>
      </c>
      <c r="E34" s="124">
        <f t="shared" si="0"/>
        <v>0.36331347055641694</v>
      </c>
      <c r="F34" s="125">
        <f t="shared" si="1"/>
        <v>2400958698.2232585</v>
      </c>
      <c r="G34" s="338"/>
      <c r="H34" s="339"/>
      <c r="I34" s="338"/>
      <c r="J34" s="338"/>
      <c r="K34" s="338"/>
      <c r="L34" s="338"/>
      <c r="M34" s="338"/>
      <c r="N34" s="338"/>
      <c r="O34" s="338"/>
      <c r="P34" s="338"/>
      <c r="Q34" s="338"/>
    </row>
    <row r="35" spans="2:17">
      <c r="B35" s="122">
        <v>15</v>
      </c>
      <c r="C35" s="341">
        <f t="shared" si="2"/>
        <v>7012719262.475831</v>
      </c>
      <c r="D35" s="138">
        <f>IF($C$17&lt;B35,0,DCF!$C$16)</f>
        <v>6.1165848114484E-2</v>
      </c>
      <c r="E35" s="124">
        <f t="shared" si="0"/>
        <v>0.33796601912224833</v>
      </c>
      <c r="F35" s="125">
        <f t="shared" si="1"/>
        <v>2370060812.3608661</v>
      </c>
      <c r="G35" s="338"/>
      <c r="H35" s="339"/>
      <c r="I35" s="338"/>
      <c r="J35" s="338"/>
      <c r="K35" s="338"/>
      <c r="L35" s="338"/>
      <c r="M35" s="338"/>
      <c r="N35" s="338"/>
      <c r="O35" s="338"/>
      <c r="P35" s="338"/>
      <c r="Q35" s="338"/>
    </row>
    <row r="36" spans="2:17">
      <c r="B36" s="122">
        <v>16</v>
      </c>
      <c r="C36" s="123">
        <f t="shared" si="2"/>
        <v>7441658183.7539425</v>
      </c>
      <c r="D36" s="138">
        <f>IF($C$17&lt;B36,0,DCF!$C$16)</f>
        <v>6.1165848114484E-2</v>
      </c>
      <c r="E36" s="124">
        <f t="shared" si="0"/>
        <v>0.31438699453232405</v>
      </c>
      <c r="F36" s="125">
        <f t="shared" si="1"/>
        <v>2339560550.7272754</v>
      </c>
      <c r="H36" s="120"/>
    </row>
    <row r="37" spans="2:17">
      <c r="B37" s="122">
        <v>17</v>
      </c>
      <c r="C37" s="123">
        <f t="shared" si="2"/>
        <v>7896833517.9413433</v>
      </c>
      <c r="D37" s="138">
        <f>IF($C$17&lt;B37,0,DCF!$C$16)</f>
        <v>6.1165848114484E-2</v>
      </c>
      <c r="E37" s="124">
        <f t="shared" si="0"/>
        <v>0.29245301816960378</v>
      </c>
      <c r="F37" s="125">
        <f t="shared" si="1"/>
        <v>2309452796.3048358</v>
      </c>
      <c r="H37" s="120"/>
    </row>
    <row r="38" spans="2:17">
      <c r="B38" s="122">
        <v>18</v>
      </c>
      <c r="C38" s="123">
        <f t="shared" si="2"/>
        <v>8379850037.4851093</v>
      </c>
      <c r="D38" s="138">
        <f>IF($C$17&lt;B38,0,DCF!$C$16)</f>
        <v>6.1165848114484E-2</v>
      </c>
      <c r="E38" s="124">
        <f t="shared" si="0"/>
        <v>0.27204931922753844</v>
      </c>
      <c r="F38" s="125">
        <f t="shared" si="1"/>
        <v>2279732497.9266863</v>
      </c>
      <c r="H38" s="120"/>
    </row>
    <row r="39" spans="2:17">
      <c r="B39" s="122">
        <v>19</v>
      </c>
      <c r="C39" s="123">
        <f t="shared" si="2"/>
        <v>8892410672.1000748</v>
      </c>
      <c r="D39" s="138">
        <f>IF($C$17&lt;B39,0,DCF!$C$16)</f>
        <v>6.1165848114484E-2</v>
      </c>
      <c r="E39" s="124">
        <f t="shared" si="0"/>
        <v>0.25306913416515198</v>
      </c>
      <c r="F39" s="125">
        <f t="shared" si="1"/>
        <v>2250394669.4293232</v>
      </c>
      <c r="H39" s="120"/>
    </row>
    <row r="40" spans="2:17">
      <c r="B40" s="122">
        <v>20</v>
      </c>
      <c r="C40" s="123">
        <f t="shared" si="2"/>
        <v>9436322512.6413631</v>
      </c>
      <c r="D40" s="138">
        <f>IF($C$17&lt;B40,0,DCF!$C$16)</f>
        <v>6.1165848114484E-2</v>
      </c>
      <c r="E40" s="124">
        <f t="shared" si="0"/>
        <v>0.23541314806060654</v>
      </c>
      <c r="F40" s="125">
        <f t="shared" si="1"/>
        <v>2221434388.8160758</v>
      </c>
      <c r="H40" s="120"/>
    </row>
    <row r="41" spans="2:17">
      <c r="B41" s="122">
        <v>21</v>
      </c>
      <c r="C41" s="123">
        <f t="shared" si="2"/>
        <v>10013503182.20887</v>
      </c>
      <c r="D41" s="138">
        <f>IF($C$17&lt;B41,0,DCF!$C$16)</f>
        <v>6.1165848114484E-2</v>
      </c>
      <c r="E41" s="124">
        <f t="shared" si="0"/>
        <v>0.21898897494009908</v>
      </c>
      <c r="F41" s="125">
        <f t="shared" si="1"/>
        <v>2192846797.4313407</v>
      </c>
      <c r="H41" s="120"/>
    </row>
    <row r="42" spans="2:17">
      <c r="B42" s="122">
        <v>22</v>
      </c>
      <c r="C42" s="123">
        <f t="shared" si="2"/>
        <v>10625987596.945759</v>
      </c>
      <c r="D42" s="138">
        <f>IF($C$17&lt;B42,0,DCF!$C$16)</f>
        <v>6.1165848114484E-2</v>
      </c>
      <c r="E42" s="124">
        <f t="shared" si="0"/>
        <v>0.20371067436288287</v>
      </c>
      <c r="F42" s="125">
        <f t="shared" si="1"/>
        <v>2164627099.1454496</v>
      </c>
      <c r="H42" s="120"/>
    </row>
    <row r="43" spans="2:17">
      <c r="B43" s="122">
        <v>23</v>
      </c>
      <c r="C43" s="123">
        <f t="shared" si="2"/>
        <v>11275935140.366932</v>
      </c>
      <c r="D43" s="138">
        <f>IF($C$17&lt;B43,0,DCF!$C$16)</f>
        <v>6.1165848114484E-2</v>
      </c>
      <c r="E43" s="124">
        <f t="shared" si="0"/>
        <v>0.18949830173291429</v>
      </c>
      <c r="F43" s="125">
        <f t="shared" si="1"/>
        <v>2136770559.550024</v>
      </c>
      <c r="H43" s="120"/>
    </row>
    <row r="44" spans="2:17">
      <c r="B44" s="122">
        <v>24</v>
      </c>
      <c r="C44" s="123">
        <f t="shared" si="2"/>
        <v>11965637276.511387</v>
      </c>
      <c r="D44" s="138">
        <f>IF($C$17&lt;B44,0,DCF!$C$16)</f>
        <v>6.1165848114484E-2</v>
      </c>
      <c r="E44" s="124">
        <f t="shared" si="0"/>
        <v>0.17627748998410636</v>
      </c>
      <c r="F44" s="125">
        <f t="shared" si="1"/>
        <v>2109272505.1636858</v>
      </c>
      <c r="H44" s="120"/>
    </row>
    <row r="45" spans="2:17">
      <c r="B45" s="122">
        <v>25</v>
      </c>
      <c r="C45" s="123">
        <f t="shared" si="2"/>
        <v>12697525628.759491</v>
      </c>
      <c r="D45" s="138">
        <f>IF($C$17&lt;B45,0,DCF!$C$16)</f>
        <v>6.1165848114484E-2</v>
      </c>
      <c r="E45" s="124">
        <f t="shared" si="0"/>
        <v>0.16397906045033148</v>
      </c>
      <c r="F45" s="125">
        <f t="shared" si="1"/>
        <v>2082128322.6479857</v>
      </c>
      <c r="H45" s="120"/>
    </row>
    <row r="46" spans="2:17">
      <c r="B46" s="122">
        <v>26</v>
      </c>
      <c r="C46" s="123">
        <f t="shared" si="2"/>
        <v>13474180552.79796</v>
      </c>
      <c r="D46" s="138">
        <f>IF($C$17&lt;B46,0,DCF!$C$16)</f>
        <v>6.1165848114484E-2</v>
      </c>
      <c r="E46" s="124">
        <f t="shared" si="0"/>
        <v>0.15253866088402931</v>
      </c>
      <c r="F46" s="125">
        <f t="shared" si="1"/>
        <v>2055333458.0334308</v>
      </c>
      <c r="H46" s="120"/>
    </row>
    <row r="47" spans="2:17">
      <c r="B47" s="122">
        <v>27</v>
      </c>
      <c r="C47" s="341">
        <f t="shared" si="2"/>
        <v>14298340233.957533</v>
      </c>
      <c r="D47" s="138">
        <f>IF($C$17&lt;B47,0,DCF!$C$16)</f>
        <v>6.1165848114484E-2</v>
      </c>
      <c r="E47" s="124">
        <f t="shared" si="0"/>
        <v>0.14189642872932959</v>
      </c>
      <c r="F47" s="125">
        <f t="shared" si="1"/>
        <v>2028883415.9554608</v>
      </c>
      <c r="G47" s="338"/>
      <c r="H47" s="339"/>
      <c r="I47" s="338"/>
      <c r="J47" s="338"/>
      <c r="K47" s="338"/>
      <c r="L47" s="338"/>
      <c r="M47" s="338"/>
      <c r="N47" s="338"/>
      <c r="O47" s="338"/>
      <c r="P47" s="338"/>
      <c r="Q47" s="338"/>
    </row>
    <row r="48" spans="2:17">
      <c r="B48" s="122">
        <v>28</v>
      </c>
      <c r="C48" s="341">
        <f t="shared" si="2"/>
        <v>15172910340.99699</v>
      </c>
      <c r="D48" s="138">
        <f>IF($C$17&lt;B48,0,DCF!$C$16)</f>
        <v>6.1165848114484E-2</v>
      </c>
      <c r="E48" s="124">
        <f t="shared" si="0"/>
        <v>0.13199667788774846</v>
      </c>
      <c r="F48" s="125">
        <f t="shared" si="1"/>
        <v>2002773758.9002674</v>
      </c>
      <c r="G48" s="338"/>
      <c r="H48" s="339"/>
      <c r="I48" s="338"/>
      <c r="J48" s="338"/>
      <c r="K48" s="338"/>
      <c r="L48" s="338"/>
      <c r="M48" s="338"/>
      <c r="N48" s="338"/>
      <c r="O48" s="338"/>
      <c r="P48" s="338"/>
      <c r="Q48" s="338"/>
    </row>
    <row r="49" spans="1:17">
      <c r="B49" s="122">
        <v>29</v>
      </c>
      <c r="C49" s="341">
        <f t="shared" si="2"/>
        <v>16100974270.369095</v>
      </c>
      <c r="D49" s="138">
        <f>IF($C$17&lt;B49,0,DCF!$C$16)</f>
        <v>6.1165848114484E-2</v>
      </c>
      <c r="E49" s="124">
        <f t="shared" si="0"/>
        <v>0.1227876073374404</v>
      </c>
      <c r="F49" s="125">
        <f t="shared" si="1"/>
        <v>1977000106.4603114</v>
      </c>
      <c r="G49" s="338"/>
      <c r="H49" s="339"/>
      <c r="I49" s="338"/>
      <c r="J49" s="338"/>
      <c r="K49" s="338"/>
      <c r="L49" s="338"/>
      <c r="M49" s="338"/>
      <c r="N49" s="338"/>
      <c r="O49" s="338"/>
      <c r="P49" s="338"/>
      <c r="Q49" s="338"/>
    </row>
    <row r="50" spans="1:17">
      <c r="B50" s="122">
        <v>30</v>
      </c>
      <c r="C50" s="341">
        <f t="shared" si="2"/>
        <v>17085804017.085705</v>
      </c>
      <c r="D50" s="138">
        <f>IF($C$17&lt;B50,0,DCF!$C$16)</f>
        <v>6.1165848114484E-2</v>
      </c>
      <c r="E50" s="124">
        <f t="shared" si="0"/>
        <v>0.11422103008133992</v>
      </c>
      <c r="F50" s="125">
        <f t="shared" si="1"/>
        <v>1951558134.5994248</v>
      </c>
      <c r="G50" s="338"/>
      <c r="H50" s="339"/>
      <c r="I50" s="338"/>
      <c r="J50" s="338"/>
      <c r="K50" s="338"/>
      <c r="L50" s="338"/>
      <c r="M50" s="338"/>
      <c r="N50" s="338"/>
      <c r="O50" s="338"/>
      <c r="P50" s="338"/>
      <c r="Q50" s="338"/>
    </row>
    <row r="51" spans="1:17">
      <c r="B51" s="126" t="s">
        <v>127</v>
      </c>
      <c r="C51" s="123">
        <f>C$21*(1+Terminal_Growth)^$C$17/Equity_Cost</f>
        <v>40724849422.976128</v>
      </c>
      <c r="D51" s="139">
        <f>Terminal_Growth</f>
        <v>0</v>
      </c>
      <c r="E51" s="124">
        <f>1/(1+Equity_Cost)^C17</f>
        <v>0.11422103008133992</v>
      </c>
      <c r="F51" s="125">
        <f t="shared" si="1"/>
        <v>4651634250.999795</v>
      </c>
      <c r="H51" s="120"/>
    </row>
    <row r="52" spans="1:17">
      <c r="C52" s="114"/>
      <c r="E52" s="127" t="s">
        <v>97</v>
      </c>
      <c r="F52" s="137">
        <f>SUM(F21:F51)</f>
        <v>75739249293.445343</v>
      </c>
      <c r="H52" s="120"/>
    </row>
    <row r="53" spans="1:17">
      <c r="C53" s="114"/>
      <c r="H53" s="120"/>
    </row>
    <row r="54" spans="1:17" ht="13.15">
      <c r="B54" s="119" t="s">
        <v>125</v>
      </c>
      <c r="C54" s="136"/>
      <c r="D54" s="136"/>
      <c r="E54" s="117"/>
      <c r="F54" s="117"/>
      <c r="H54" s="120"/>
    </row>
    <row r="55" spans="1:17" ht="13.15">
      <c r="A55" s="133">
        <f>F52</f>
        <v>75739249293.445343</v>
      </c>
      <c r="B55" s="131">
        <f>C78</f>
        <v>0.02</v>
      </c>
      <c r="C55" s="131">
        <f>C77</f>
        <v>0.04</v>
      </c>
      <c r="D55" s="131">
        <f>C76</f>
        <v>0.06</v>
      </c>
      <c r="E55" s="131">
        <f>C75</f>
        <v>0.08</v>
      </c>
      <c r="F55" s="131">
        <f>C74</f>
        <v>0.1</v>
      </c>
      <c r="H55" s="120"/>
    </row>
    <row r="56" spans="1:17" ht="13.15">
      <c r="A56" s="143">
        <v>5</v>
      </c>
      <c r="B56" s="123">
        <f t="dataTable" ref="B56:F61" dt2D="1" dtr="1" r1="C16" r2="C17"/>
        <v>39594428119.107391</v>
      </c>
      <c r="C56" s="123">
        <v>40846849346.921219</v>
      </c>
      <c r="D56" s="123">
        <v>42136281745.685852</v>
      </c>
      <c r="E56" s="123">
        <v>43464332127.508423</v>
      </c>
      <c r="F56" s="123">
        <v>44832656384.724815</v>
      </c>
      <c r="H56" s="120"/>
    </row>
    <row r="57" spans="1:17" ht="13.15">
      <c r="A57" s="143">
        <v>10</v>
      </c>
      <c r="B57" s="123">
        <v>40801208603.141266</v>
      </c>
      <c r="C57" s="123">
        <v>43466340208.753502</v>
      </c>
      <c r="D57" s="123">
        <v>46401836772.788971</v>
      </c>
      <c r="E57" s="123">
        <v>49639927901.360046</v>
      </c>
      <c r="F57" s="123">
        <v>53216412422.635147</v>
      </c>
      <c r="H57" s="120"/>
    </row>
    <row r="58" spans="1:17" ht="13.15">
      <c r="A58" s="143">
        <v>15</v>
      </c>
      <c r="B58" s="123">
        <v>42329134017.645607</v>
      </c>
      <c r="C58" s="341">
        <v>46959385326.831886</v>
      </c>
      <c r="D58" s="123">
        <v>52403701454.426727</v>
      </c>
      <c r="E58" s="123">
        <v>58824442488.638298</v>
      </c>
      <c r="F58" s="123">
        <v>66415908920.672409</v>
      </c>
      <c r="G58" s="338"/>
      <c r="H58" s="339"/>
      <c r="I58" s="338"/>
      <c r="J58" s="338"/>
      <c r="K58" s="338"/>
      <c r="L58" s="338"/>
      <c r="M58" s="338"/>
      <c r="N58" s="338"/>
      <c r="O58" s="338"/>
      <c r="P58" s="338"/>
      <c r="Q58" s="338"/>
    </row>
    <row r="59" spans="1:17" ht="13.15">
      <c r="A59" s="144">
        <v>20</v>
      </c>
      <c r="B59" s="123">
        <v>43922021189.66658</v>
      </c>
      <c r="C59" s="341">
        <v>50806428824.566734</v>
      </c>
      <c r="D59" s="123">
        <v>59409385451.658905</v>
      </c>
      <c r="E59" s="123">
        <v>70219461348.477051</v>
      </c>
      <c r="F59" s="123">
        <v>83866372532.572998</v>
      </c>
      <c r="G59" s="338"/>
      <c r="H59" s="339"/>
      <c r="I59" s="338"/>
      <c r="J59" s="338"/>
      <c r="K59" s="338"/>
      <c r="L59" s="338"/>
      <c r="M59" s="338"/>
      <c r="N59" s="338"/>
      <c r="O59" s="338"/>
      <c r="P59" s="338"/>
      <c r="Q59" s="338"/>
    </row>
    <row r="60" spans="1:17" ht="13.15">
      <c r="A60" s="144">
        <v>25</v>
      </c>
      <c r="B60" s="123">
        <v>45438082141.690849</v>
      </c>
      <c r="C60" s="341">
        <v>54684385900.030655</v>
      </c>
      <c r="D60" s="123">
        <v>66922617229.406769</v>
      </c>
      <c r="E60" s="123">
        <v>83271532337.079926</v>
      </c>
      <c r="F60" s="123">
        <v>105283614958.19781</v>
      </c>
      <c r="G60" s="338"/>
      <c r="H60" s="339"/>
      <c r="I60" s="338"/>
      <c r="J60" s="338"/>
      <c r="K60" s="338"/>
      <c r="L60" s="338"/>
      <c r="M60" s="338"/>
      <c r="N60" s="338"/>
      <c r="O60" s="338"/>
      <c r="P60" s="338"/>
      <c r="Q60" s="338"/>
    </row>
    <row r="61" spans="1:17" ht="13.15">
      <c r="A61" s="144">
        <v>30</v>
      </c>
      <c r="B61" s="123">
        <v>46806745805.224258</v>
      </c>
      <c r="C61" s="341">
        <v>58401104722.885162</v>
      </c>
      <c r="D61" s="123">
        <v>74610718964.665466</v>
      </c>
      <c r="E61" s="123">
        <v>97597897135.034393</v>
      </c>
      <c r="F61" s="123">
        <v>130592195143.4986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43.139095208291081</v>
      </c>
      <c r="C65" s="124">
        <f>C12</f>
        <v>43.139095208291081</v>
      </c>
      <c r="D65" s="124">
        <f>C12</f>
        <v>43.139095208291081</v>
      </c>
      <c r="E65" s="141">
        <f>C12</f>
        <v>43.139095208291081</v>
      </c>
      <c r="F65" s="124">
        <f>C12</f>
        <v>43.139095208291081</v>
      </c>
      <c r="H65" s="120"/>
    </row>
    <row r="66" spans="1:8" ht="13.15">
      <c r="A66" s="143">
        <f t="shared" ref="A66:A71" si="3">A56</f>
        <v>5</v>
      </c>
      <c r="B66" s="124">
        <f t="shared" ref="B66:F71" si="4">(B56-$C$7+$C$8+$C$9)/Common_Shares*$C$3*Exchange_Rate</f>
        <v>44.11734958739725</v>
      </c>
      <c r="C66" s="124">
        <f t="shared" si="4"/>
        <v>45.124102425758451</v>
      </c>
      <c r="D66" s="124">
        <f t="shared" si="4"/>
        <v>46.160606517594367</v>
      </c>
      <c r="E66" s="124">
        <f t="shared" si="4"/>
        <v>47.228153491163638</v>
      </c>
      <c r="F66" s="124">
        <f t="shared" si="4"/>
        <v>48.328074427632991</v>
      </c>
      <c r="H66" s="120"/>
    </row>
    <row r="67" spans="1:8" ht="13.15">
      <c r="A67" s="143">
        <f t="shared" si="3"/>
        <v>10</v>
      </c>
      <c r="B67" s="124">
        <f t="shared" si="4"/>
        <v>45.087414331269997</v>
      </c>
      <c r="C67" s="124">
        <f t="shared" si="4"/>
        <v>47.229767677707457</v>
      </c>
      <c r="D67" s="124">
        <f t="shared" si="4"/>
        <v>49.589452608152904</v>
      </c>
      <c r="E67" s="124">
        <f t="shared" si="4"/>
        <v>52.192376737961531</v>
      </c>
      <c r="F67" s="124">
        <f t="shared" si="4"/>
        <v>55.06731678463715</v>
      </c>
      <c r="H67" s="120"/>
    </row>
    <row r="68" spans="1:8" ht="13.15">
      <c r="A68" s="143">
        <f t="shared" si="3"/>
        <v>15</v>
      </c>
      <c r="B68" s="124">
        <f t="shared" si="4"/>
        <v>46.315629897802317</v>
      </c>
      <c r="C68" s="124">
        <f t="shared" si="4"/>
        <v>50.037635357567574</v>
      </c>
      <c r="D68" s="124">
        <f t="shared" si="4"/>
        <v>54.414022944002305</v>
      </c>
      <c r="E68" s="124">
        <f t="shared" si="4"/>
        <v>59.575305040648175</v>
      </c>
      <c r="F68" s="124">
        <f t="shared" si="4"/>
        <v>65.677669171855811</v>
      </c>
      <c r="H68" s="120"/>
    </row>
    <row r="69" spans="1:8" ht="13.15">
      <c r="A69" s="144">
        <f t="shared" si="3"/>
        <v>20</v>
      </c>
      <c r="B69" s="124">
        <f t="shared" si="4"/>
        <v>47.596064663684174</v>
      </c>
      <c r="C69" s="124">
        <f t="shared" si="4"/>
        <v>53.130062948725659</v>
      </c>
      <c r="D69" s="124">
        <f t="shared" si="4"/>
        <v>60.045508655232666</v>
      </c>
      <c r="E69" s="124">
        <f t="shared" si="4"/>
        <v>68.7351366736101</v>
      </c>
      <c r="F69" s="124">
        <f t="shared" si="4"/>
        <v>79.705141225061354</v>
      </c>
      <c r="H69" s="120"/>
    </row>
    <row r="70" spans="1:8" ht="13.15">
      <c r="A70" s="144">
        <f t="shared" si="3"/>
        <v>25</v>
      </c>
      <c r="B70" s="124">
        <f t="shared" si="4"/>
        <v>48.814743038565496</v>
      </c>
      <c r="C70" s="124">
        <f t="shared" si="4"/>
        <v>56.247340272091627</v>
      </c>
      <c r="D70" s="124">
        <f t="shared" si="4"/>
        <v>66.084984232244878</v>
      </c>
      <c r="E70" s="124">
        <f t="shared" si="4"/>
        <v>79.226981767297033</v>
      </c>
      <c r="F70" s="124">
        <f t="shared" si="4"/>
        <v>96.921289532851731</v>
      </c>
    </row>
    <row r="71" spans="1:8" ht="13.15">
      <c r="A71" s="144">
        <f t="shared" si="3"/>
        <v>30</v>
      </c>
      <c r="B71" s="124">
        <f t="shared" si="4"/>
        <v>49.914936805186102</v>
      </c>
      <c r="C71" s="124">
        <f t="shared" si="4"/>
        <v>59.235006994118415</v>
      </c>
      <c r="D71" s="124">
        <f t="shared" si="4"/>
        <v>72.265028191649847</v>
      </c>
      <c r="E71" s="124">
        <f t="shared" si="4"/>
        <v>90.743161869829351</v>
      </c>
      <c r="F71" s="124">
        <f t="shared" si="4"/>
        <v>117.26547116327615</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117.26547116327615</v>
      </c>
      <c r="F74" s="142">
        <f>Scenarios!C58</f>
        <v>0.05</v>
      </c>
    </row>
    <row r="75" spans="1:8">
      <c r="B75" s="127" t="str">
        <f>Scenarios!B36</f>
        <v>Optimistic</v>
      </c>
      <c r="C75" s="142">
        <f>Scenarios!C38</f>
        <v>0.08</v>
      </c>
      <c r="D75" s="145">
        <f>Scenarios!C37</f>
        <v>30</v>
      </c>
      <c r="E75" s="135">
        <f>INDEX(B$65:F$71, MATCH(D75, A$65:A$71, 0), MATCH(C75, B$64:F$64, 0))</f>
        <v>90.743161869829351</v>
      </c>
      <c r="F75" s="142">
        <f>Scenarios!C40*(1-F$74-F$78)</f>
        <v>0.18</v>
      </c>
      <c r="H75" s="120"/>
    </row>
    <row r="76" spans="1:8">
      <c r="B76" s="127" t="str">
        <f>Scenarios!B24</f>
        <v>Base</v>
      </c>
      <c r="C76" s="142">
        <f>Scenarios!C26</f>
        <v>0.06</v>
      </c>
      <c r="D76" s="145">
        <f>Scenarios!C25</f>
        <v>30</v>
      </c>
      <c r="E76" s="135">
        <f>INDEX(B$65:F$71, MATCH(D76, A$65:A$71, 0), MATCH(C76, B$64:F$64, 0))</f>
        <v>72.265028191649847</v>
      </c>
      <c r="F76" s="142">
        <f>Scenarios!C28*(1-F$74-F$78)</f>
        <v>0.44999999999999996</v>
      </c>
      <c r="H76" s="120"/>
    </row>
    <row r="77" spans="1:8">
      <c r="B77" s="127" t="str">
        <f>Scenarios!B30</f>
        <v>Pessimistic</v>
      </c>
      <c r="C77" s="142">
        <f>Scenarios!C32</f>
        <v>0.04</v>
      </c>
      <c r="D77" s="145">
        <f>Scenarios!C31</f>
        <v>30</v>
      </c>
      <c r="E77" s="135">
        <f>INDEX(B$65:F$71, MATCH(D77, A$65:A$71, 0), MATCH(C77, B$64:F$64, 0))</f>
        <v>59.235006994118415</v>
      </c>
      <c r="F77" s="142">
        <f>Scenarios!C34*(1-F$74-F$78)</f>
        <v>0.26999999999999996</v>
      </c>
      <c r="H77" s="120"/>
    </row>
    <row r="78" spans="1:8">
      <c r="B78" s="127" t="str">
        <f>Scenarios!B48</f>
        <v>Devil's advocate</v>
      </c>
      <c r="C78" s="142">
        <f>Scenarios!C50</f>
        <v>0.02</v>
      </c>
      <c r="D78" s="145">
        <f>Scenarios!C49</f>
        <v>30</v>
      </c>
      <c r="E78" s="135">
        <f>INDEX(B$65:F$71, MATCH(D78, A$65:A$71, 0), MATCH(C78, B$64:F$64, 0))</f>
        <v>49.914936805186102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2463160704.9730277</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32842142732.973705</v>
      </c>
      <c r="D6" t="str">
        <f>Reporting_currency</f>
        <v>CNY</v>
      </c>
      <c r="E6" s="378"/>
      <c r="F6" s="378"/>
      <c r="H6" s="120"/>
    </row>
    <row r="7" spans="2:8" ht="13.15">
      <c r="B7" s="149" t="s">
        <v>421</v>
      </c>
      <c r="C7" s="111">
        <f>(C6*scaling_factor)/Common_Shares*Exchange_Rate</f>
        <v>26.400000000000006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47.511553950798216</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2613822018.5349731</v>
      </c>
      <c r="D16" s="138">
        <f>IF($C$12&lt;B16,0,DDM!$C$11)</f>
        <v>6.1165848114484E-2</v>
      </c>
      <c r="E16" s="124">
        <f t="shared" ref="E16:E45" si="0">IF($C$12&lt;B16,0,1/(1+Equity_Cost)^B16)</f>
        <v>0.93023255813953487</v>
      </c>
      <c r="F16" s="125">
        <f t="shared" ref="F16:F46" si="1">C16*E16</f>
        <v>2431462342.8232307</v>
      </c>
      <c r="H16" s="120"/>
    </row>
    <row r="17" spans="2:8">
      <c r="B17" s="122">
        <v>2</v>
      </c>
      <c r="C17" s="123">
        <f t="shared" ref="C17:C45" si="2">IF(ROW()-ROW($C$16)&lt;$C$12, $C$16*(1+D17)^(ROW()-ROW($C$16)), 0)</f>
        <v>2773698659.1189771</v>
      </c>
      <c r="D17" s="138">
        <f>IF($C$12&lt;B17,0,DDM!$C$11)</f>
        <v>6.1165848114484E-2</v>
      </c>
      <c r="E17" s="124">
        <f t="shared" si="0"/>
        <v>0.86533261222282321</v>
      </c>
      <c r="F17" s="125">
        <f t="shared" si="1"/>
        <v>2400171906.2143664</v>
      </c>
      <c r="H17" s="120"/>
    </row>
    <row r="18" spans="2:8">
      <c r="B18" s="122">
        <v>3</v>
      </c>
      <c r="C18" s="123">
        <f t="shared" si="2"/>
        <v>2943354290.0179958</v>
      </c>
      <c r="D18" s="138">
        <f>IF($C$12&lt;B18,0,DDM!$C$11)</f>
        <v>6.1165848114484E-2</v>
      </c>
      <c r="E18" s="124">
        <f t="shared" si="0"/>
        <v>0.80496056950960304</v>
      </c>
      <c r="F18" s="125">
        <f t="shared" si="1"/>
        <v>2369284145.561419</v>
      </c>
      <c r="H18" s="120"/>
    </row>
    <row r="19" spans="2:8">
      <c r="B19" s="122">
        <v>4</v>
      </c>
      <c r="C19" s="123">
        <f t="shared" si="2"/>
        <v>3123387051.4683509</v>
      </c>
      <c r="D19" s="138">
        <f>IF($C$12&lt;B19,0,DDM!$C$11)</f>
        <v>6.1165848114484E-2</v>
      </c>
      <c r="E19" s="124">
        <f t="shared" si="0"/>
        <v>0.7488005297763749</v>
      </c>
      <c r="F19" s="125">
        <f t="shared" si="1"/>
        <v>2338793878.8361707</v>
      </c>
      <c r="H19" s="120"/>
    </row>
    <row r="20" spans="2:8">
      <c r="B20" s="122">
        <v>5</v>
      </c>
      <c r="C20" s="123">
        <f t="shared" si="2"/>
        <v>3314431669.4612098</v>
      </c>
      <c r="D20" s="138">
        <f>IF($C$12&lt;B20,0,DDM!$C$11)</f>
        <v>6.1165848114484E-2</v>
      </c>
      <c r="E20" s="124">
        <f t="shared" si="0"/>
        <v>0.69655863235011617</v>
      </c>
      <c r="F20" s="125">
        <f t="shared" si="1"/>
        <v>2308695990.6978126</v>
      </c>
      <c r="H20" s="120"/>
    </row>
    <row r="21" spans="2:8">
      <c r="B21" s="122">
        <v>6</v>
      </c>
      <c r="C21" s="123">
        <f t="shared" si="2"/>
        <v>3517161693.5413094</v>
      </c>
      <c r="D21" s="138">
        <f>IF($C$12&lt;B21,0,DDM!$C$11)</f>
        <v>6.1165848114484E-2</v>
      </c>
      <c r="E21" s="124">
        <f t="shared" si="0"/>
        <v>0.64796151846522443</v>
      </c>
      <c r="F21" s="125">
        <f t="shared" si="1"/>
        <v>2278985431.634747</v>
      </c>
      <c r="H21" s="120"/>
    </row>
    <row r="22" spans="2:8">
      <c r="B22" s="122">
        <v>7</v>
      </c>
      <c r="C22" s="123">
        <f t="shared" si="2"/>
        <v>3732291871.4825377</v>
      </c>
      <c r="D22" s="138">
        <f>IF($C$12&lt;B22,0,DDM!$C$11)</f>
        <v>6.1165848114484E-2</v>
      </c>
      <c r="E22" s="124">
        <f t="shared" si="0"/>
        <v>0.60275490089788319</v>
      </c>
      <c r="F22" s="125">
        <f t="shared" si="1"/>
        <v>2249657217.1174321</v>
      </c>
      <c r="H22" s="120"/>
    </row>
    <row r="23" spans="2:8">
      <c r="B23" s="122">
        <v>8</v>
      </c>
      <c r="C23" s="123">
        <f t="shared" si="2"/>
        <v>3960580669.2125611</v>
      </c>
      <c r="D23" s="138">
        <f>IF($C$12&lt;B23,0,DDM!$C$11)</f>
        <v>6.1165848114484E-2</v>
      </c>
      <c r="E23" s="124">
        <f t="shared" si="0"/>
        <v>0.56070223339337966</v>
      </c>
      <c r="F23" s="125">
        <f t="shared" si="1"/>
        <v>2220706426.7621293</v>
      </c>
      <c r="H23" s="120"/>
    </row>
    <row r="24" spans="2:8">
      <c r="B24" s="122">
        <v>9</v>
      </c>
      <c r="C24" s="123">
        <f t="shared" si="2"/>
        <v>4202832944.8707781</v>
      </c>
      <c r="D24" s="138">
        <f>IF($C$12&lt;B24,0,DDM!$C$11)</f>
        <v>6.1165848114484E-2</v>
      </c>
      <c r="E24" s="124">
        <f t="shared" si="0"/>
        <v>0.52158347292407414</v>
      </c>
      <c r="F24" s="125">
        <f t="shared" si="1"/>
        <v>2192128203.5054145</v>
      </c>
      <c r="H24" s="120"/>
    </row>
    <row r="25" spans="2:8">
      <c r="B25" s="122">
        <v>10</v>
      </c>
      <c r="C25" s="123">
        <f t="shared" si="2"/>
        <v>4459902786.4272938</v>
      </c>
      <c r="D25" s="138">
        <f>IF($C$12&lt;B25,0,DDM!$C$11)</f>
        <v>6.1165848114484E-2</v>
      </c>
      <c r="E25" s="124">
        <f t="shared" si="0"/>
        <v>0.48519392830146441</v>
      </c>
      <c r="F25" s="125">
        <f t="shared" si="1"/>
        <v>2163917752.7893057</v>
      </c>
      <c r="H25" s="120"/>
    </row>
    <row r="26" spans="2:8">
      <c r="B26" s="122">
        <v>11</v>
      </c>
      <c r="C26" s="123">
        <f t="shared" si="2"/>
        <v>4732696522.8672686</v>
      </c>
      <c r="D26" s="138">
        <f>IF($C$12&lt;B26,0,DDM!$C$11)</f>
        <v>6.1165848114484E-2</v>
      </c>
      <c r="E26" s="124">
        <f t="shared" si="0"/>
        <v>0.45134318911764126</v>
      </c>
      <c r="F26" s="125">
        <f t="shared" si="1"/>
        <v>2136070341.7568848</v>
      </c>
      <c r="H26" s="120"/>
    </row>
    <row r="27" spans="2:8">
      <c r="B27" s="122">
        <v>12</v>
      </c>
      <c r="C27" s="123">
        <f t="shared" si="2"/>
        <v>5022175919.5569134</v>
      </c>
      <c r="D27" s="138">
        <f>IF($C$12&lt;B27,0,DDM!$C$11)</f>
        <v>6.1165848114484E-2</v>
      </c>
      <c r="E27" s="124">
        <f t="shared" si="0"/>
        <v>0.41985412941175931</v>
      </c>
      <c r="F27" s="125">
        <f t="shared" si="1"/>
        <v>2108581298.4582696</v>
      </c>
      <c r="H27" s="120"/>
    </row>
    <row r="28" spans="2:8">
      <c r="B28" s="122">
        <v>13</v>
      </c>
      <c r="C28" s="123">
        <f t="shared" si="2"/>
        <v>5329361569.0567503</v>
      </c>
      <c r="D28" s="138">
        <f>IF($C$12&lt;B28,0,DDM!$C$11)</f>
        <v>6.1165848114484E-2</v>
      </c>
      <c r="E28" s="124">
        <f t="shared" si="0"/>
        <v>0.39056198084814819</v>
      </c>
      <c r="F28" s="125">
        <f t="shared" si="1"/>
        <v>2081446011.0667994</v>
      </c>
      <c r="H28" s="120"/>
    </row>
    <row r="29" spans="2:8">
      <c r="B29" s="122">
        <v>14</v>
      </c>
      <c r="C29" s="123">
        <f t="shared" si="2"/>
        <v>5655336489.3368435</v>
      </c>
      <c r="D29" s="138">
        <f>IF($C$12&lt;B29,0,DDM!$C$11)</f>
        <v>6.1165848114484E-2</v>
      </c>
      <c r="E29" s="124">
        <f t="shared" si="0"/>
        <v>0.36331347055641694</v>
      </c>
      <c r="F29" s="125">
        <f t="shared" si="1"/>
        <v>2054659927.1053116</v>
      </c>
      <c r="H29" s="120"/>
    </row>
    <row r="30" spans="2:8">
      <c r="B30" s="122">
        <v>15</v>
      </c>
      <c r="C30" s="123">
        <f t="shared" si="2"/>
        <v>6001249942.0799189</v>
      </c>
      <c r="D30" s="138">
        <f>IF($C$12&lt;B30,0,DDM!$C$11)</f>
        <v>6.1165848114484E-2</v>
      </c>
      <c r="E30" s="124">
        <f t="shared" si="0"/>
        <v>0.33796601912224833</v>
      </c>
      <c r="F30" s="125">
        <f t="shared" si="1"/>
        <v>2028218552.6823735</v>
      </c>
      <c r="H30" s="120"/>
    </row>
    <row r="31" spans="2:8">
      <c r="B31" s="122">
        <v>16</v>
      </c>
      <c r="C31" s="123">
        <f t="shared" si="2"/>
        <v>6368321484.5342331</v>
      </c>
      <c r="D31" s="138">
        <f>IF($C$12&lt;B31,0,DDM!$C$11)</f>
        <v>6.1165848114484E-2</v>
      </c>
      <c r="E31" s="124">
        <f t="shared" si="0"/>
        <v>0.31438699453232405</v>
      </c>
      <c r="F31" s="125">
        <f t="shared" si="1"/>
        <v>2002117451.7383456</v>
      </c>
      <c r="H31" s="120"/>
    </row>
    <row r="32" spans="2:8">
      <c r="B32" s="122">
        <v>17</v>
      </c>
      <c r="C32" s="123">
        <f t="shared" si="2"/>
        <v>6757845269.2014599</v>
      </c>
      <c r="D32" s="138">
        <f>IF($C$12&lt;B32,0,DDM!$C$11)</f>
        <v>6.1165848114484E-2</v>
      </c>
      <c r="E32" s="124">
        <f t="shared" si="0"/>
        <v>0.29245301816960378</v>
      </c>
      <c r="F32" s="125">
        <f t="shared" si="1"/>
        <v>1976352245.3011456</v>
      </c>
      <c r="H32" s="120"/>
    </row>
    <row r="33" spans="2:8">
      <c r="B33" s="122">
        <v>18</v>
      </c>
      <c r="C33" s="123">
        <f t="shared" si="2"/>
        <v>7171194606.5186205</v>
      </c>
      <c r="D33" s="138">
        <f>IF($C$12&lt;B33,0,DDM!$C$11)</f>
        <v>6.1165848114484E-2</v>
      </c>
      <c r="E33" s="124">
        <f t="shared" si="0"/>
        <v>0.27204931922753844</v>
      </c>
      <c r="F33" s="125">
        <f t="shared" si="1"/>
        <v>1950918610.7515862</v>
      </c>
      <c r="H33" s="120"/>
    </row>
    <row r="34" spans="2:8">
      <c r="B34" s="122">
        <v>19</v>
      </c>
      <c r="C34" s="123">
        <f t="shared" si="2"/>
        <v>7609826806.6203432</v>
      </c>
      <c r="D34" s="138">
        <f>IF($C$12&lt;B34,0,DDM!$C$11)</f>
        <v>6.1165848114484E-2</v>
      </c>
      <c r="E34" s="124">
        <f t="shared" si="0"/>
        <v>0.25306913416515198</v>
      </c>
      <c r="F34" s="125">
        <f t="shared" si="1"/>
        <v>1925812281.0981736</v>
      </c>
      <c r="H34" s="120"/>
    </row>
    <row r="35" spans="2:8">
      <c r="B35" s="122">
        <v>20</v>
      </c>
      <c r="C35" s="123">
        <f t="shared" si="2"/>
        <v>8075288317.2516108</v>
      </c>
      <c r="D35" s="138">
        <f>IF($C$12&lt;B35,0,DDM!$C$11)</f>
        <v>6.1165848114484E-2</v>
      </c>
      <c r="E35" s="124">
        <f t="shared" si="0"/>
        <v>0.23541314806060654</v>
      </c>
      <c r="F35" s="125">
        <f t="shared" si="1"/>
        <v>1901029044.2612398</v>
      </c>
      <c r="H35" s="120"/>
    </row>
    <row r="36" spans="2:8">
      <c r="B36" s="122">
        <v>21</v>
      </c>
      <c r="C36" s="123">
        <f t="shared" si="2"/>
        <v>8569220175.9452896</v>
      </c>
      <c r="D36" s="138">
        <f>IF($C$12&lt;B36,0,DDM!$C$11)</f>
        <v>6.1165848114484E-2</v>
      </c>
      <c r="E36" s="124">
        <f t="shared" si="0"/>
        <v>0.21898897494009908</v>
      </c>
      <c r="F36" s="125">
        <f t="shared" si="1"/>
        <v>1876564742.3662746</v>
      </c>
      <c r="H36" s="120"/>
    </row>
    <row r="37" spans="2:8">
      <c r="B37" s="122">
        <v>22</v>
      </c>
      <c r="C37" s="123">
        <f t="shared" si="2"/>
        <v>9093363795.6867294</v>
      </c>
      <c r="D37" s="138">
        <f>IF($C$12&lt;B37,0,DDM!$C$11)</f>
        <v>6.1165848114484E-2</v>
      </c>
      <c r="E37" s="124">
        <f t="shared" si="0"/>
        <v>0.20371067436288287</v>
      </c>
      <c r="F37" s="125">
        <f t="shared" si="1"/>
        <v>1852415271.0463679</v>
      </c>
      <c r="H37" s="120"/>
    </row>
    <row r="38" spans="2:8">
      <c r="B38" s="122">
        <v>23</v>
      </c>
      <c r="C38" s="123">
        <f t="shared" si="2"/>
        <v>9649567104.4634495</v>
      </c>
      <c r="D38" s="138">
        <f>IF($C$12&lt;B38,0,DDM!$C$11)</f>
        <v>6.1165848114484E-2</v>
      </c>
      <c r="E38" s="124">
        <f t="shared" si="0"/>
        <v>0.18949830173291429</v>
      </c>
      <c r="F38" s="125">
        <f t="shared" si="1"/>
        <v>1828576578.753619</v>
      </c>
      <c r="H38" s="120"/>
    </row>
    <row r="39" spans="2:8">
      <c r="B39" s="122">
        <v>24</v>
      </c>
      <c r="C39" s="123">
        <f t="shared" si="2"/>
        <v>10239791060.345581</v>
      </c>
      <c r="D39" s="138">
        <f>IF($C$12&lt;B39,0,DDM!$C$11)</f>
        <v>6.1165848114484E-2</v>
      </c>
      <c r="E39" s="124">
        <f t="shared" si="0"/>
        <v>0.17627748998410636</v>
      </c>
      <c r="F39" s="125">
        <f t="shared" si="1"/>
        <v>1805044666.0794101</v>
      </c>
      <c r="H39" s="120"/>
    </row>
    <row r="40" spans="2:8">
      <c r="B40" s="122">
        <v>25</v>
      </c>
      <c r="C40" s="123">
        <f t="shared" si="2"/>
        <v>10866116565.06673</v>
      </c>
      <c r="D40" s="138">
        <f>IF($C$12&lt;B40,0,DDM!$C$11)</f>
        <v>6.1165848114484E-2</v>
      </c>
      <c r="E40" s="124">
        <f t="shared" si="0"/>
        <v>0.16397906045033148</v>
      </c>
      <c r="F40" s="125">
        <f t="shared" si="1"/>
        <v>1781815585.0834255</v>
      </c>
      <c r="H40" s="120"/>
    </row>
    <row r="41" spans="2:8">
      <c r="B41" s="122">
        <v>26</v>
      </c>
      <c r="C41" s="123">
        <f t="shared" si="2"/>
        <v>11530751800.479879</v>
      </c>
      <c r="D41" s="138">
        <f>IF($C$12&lt;B41,0,DDM!$C$11)</f>
        <v>6.1165848114484E-2</v>
      </c>
      <c r="E41" s="124">
        <f t="shared" si="0"/>
        <v>0.15253866088402931</v>
      </c>
      <c r="F41" s="125">
        <f t="shared" si="1"/>
        <v>1758885438.6313107</v>
      </c>
      <c r="H41" s="120"/>
    </row>
    <row r="42" spans="2:8">
      <c r="B42" s="122">
        <v>27</v>
      </c>
      <c r="C42" s="123">
        <f t="shared" si="2"/>
        <v>12236040013.753843</v>
      </c>
      <c r="D42" s="138">
        <f>IF($C$12&lt;B42,0,DDM!$C$11)</f>
        <v>6.1165848114484E-2</v>
      </c>
      <c r="E42" s="124">
        <f t="shared" si="0"/>
        <v>0.14189642872932959</v>
      </c>
      <c r="F42" s="125">
        <f t="shared" si="1"/>
        <v>1736250379.7408473</v>
      </c>
      <c r="H42" s="120"/>
    </row>
    <row r="43" spans="2:8">
      <c r="B43" s="122">
        <v>28</v>
      </c>
      <c r="C43" s="123">
        <f t="shared" si="2"/>
        <v>12984467778.757856</v>
      </c>
      <c r="D43" s="138">
        <f>IF($C$12&lt;B43,0,DDM!$C$11)</f>
        <v>6.1165848114484E-2</v>
      </c>
      <c r="E43" s="124">
        <f t="shared" si="0"/>
        <v>0.13199667788774846</v>
      </c>
      <c r="F43" s="125">
        <f t="shared" si="1"/>
        <v>1713906610.9365497</v>
      </c>
      <c r="H43" s="120"/>
    </row>
    <row r="44" spans="2:8">
      <c r="B44" s="122">
        <v>29</v>
      </c>
      <c r="C44" s="123">
        <f t="shared" si="2"/>
        <v>13778673762.760769</v>
      </c>
      <c r="D44" s="138">
        <f>IF($C$12&lt;B44,0,DDM!$C$11)</f>
        <v>6.1165848114484E-2</v>
      </c>
      <c r="E44" s="124">
        <f t="shared" si="0"/>
        <v>0.1227876073374404</v>
      </c>
      <c r="F44" s="125">
        <f t="shared" si="1"/>
        <v>1691850383.6125617</v>
      </c>
      <c r="H44" s="120"/>
    </row>
    <row r="45" spans="2:8">
      <c r="B45" s="122">
        <v>30</v>
      </c>
      <c r="C45" s="123">
        <f t="shared" si="2"/>
        <v>14621458029.352819</v>
      </c>
      <c r="D45" s="138">
        <f>IF($C$12&lt;B45,0,DDM!$C$11)</f>
        <v>6.1165848114484E-2</v>
      </c>
      <c r="E45" s="124">
        <f t="shared" si="0"/>
        <v>0.11422103008133992</v>
      </c>
      <c r="F45" s="125">
        <f t="shared" si="1"/>
        <v>1670077997.4037576</v>
      </c>
      <c r="H45" s="120"/>
    </row>
    <row r="46" spans="2:8">
      <c r="B46" s="126" t="s">
        <v>127</v>
      </c>
      <c r="C46" s="123">
        <f>C$16*(1+F4)^$C$12/Equity_Cost</f>
        <v>34850960247.13298</v>
      </c>
      <c r="D46" s="139">
        <f>Terminal_Growth</f>
        <v>0</v>
      </c>
      <c r="E46" s="124">
        <f>1/(1+Equity_Cost)^C12</f>
        <v>0.11422103008133992</v>
      </c>
      <c r="F46" s="125">
        <f t="shared" si="1"/>
        <v>3980712578.751358</v>
      </c>
      <c r="H46" s="120"/>
    </row>
    <row r="47" spans="2:8">
      <c r="C47" s="114"/>
      <c r="E47" s="127" t="s">
        <v>97</v>
      </c>
      <c r="F47" s="137">
        <f>SUM(F16:F46)</f>
        <v>64815109292.567635</v>
      </c>
      <c r="H47" s="120"/>
    </row>
    <row r="48" spans="2:8">
      <c r="C48" s="114"/>
      <c r="H48" s="120"/>
    </row>
    <row r="49" spans="1:8" ht="13.15">
      <c r="B49" s="119" t="s">
        <v>125</v>
      </c>
      <c r="C49" s="136"/>
      <c r="D49" s="136"/>
      <c r="E49" s="117"/>
      <c r="F49" s="117"/>
      <c r="H49" s="120"/>
    </row>
    <row r="50" spans="1:8" ht="13.15">
      <c r="A50" s="133">
        <f>F47</f>
        <v>64815109292.567635</v>
      </c>
      <c r="B50" s="131">
        <f>C73</f>
        <v>0.02</v>
      </c>
      <c r="C50" s="131">
        <f>C72</f>
        <v>0.04</v>
      </c>
      <c r="D50" s="131">
        <f>C71</f>
        <v>0.06</v>
      </c>
      <c r="E50" s="131">
        <f>C70</f>
        <v>0.08</v>
      </c>
      <c r="F50" s="131">
        <f>C69</f>
        <v>0.1</v>
      </c>
      <c r="H50" s="120"/>
    </row>
    <row r="51" spans="1:8" ht="13.15">
      <c r="A51" s="143">
        <v>5</v>
      </c>
      <c r="B51" s="123">
        <f t="dataTable" ref="B51:F56" dt2D="1" dtr="1" r1="C11" r2="C12"/>
        <v>33883583608.990883</v>
      </c>
      <c r="C51" s="123">
        <v>34955363690.23484</v>
      </c>
      <c r="D51" s="123">
        <v>36058816690.244171</v>
      </c>
      <c r="E51" s="123">
        <v>37195317664.928581</v>
      </c>
      <c r="F51" s="123">
        <v>38366283671.4114</v>
      </c>
      <c r="H51" s="120"/>
    </row>
    <row r="52" spans="1:8" ht="13.15">
      <c r="A52" s="143">
        <v>10</v>
      </c>
      <c r="B52" s="123">
        <v>34916305872.473396</v>
      </c>
      <c r="C52" s="123">
        <v>37197036113.508186</v>
      </c>
      <c r="D52" s="123">
        <v>39709135618.069572</v>
      </c>
      <c r="E52" s="123">
        <v>42480185402.105278</v>
      </c>
      <c r="F52" s="123">
        <v>45540820902.088821</v>
      </c>
      <c r="H52" s="120"/>
    </row>
    <row r="53" spans="1:8" ht="13.15">
      <c r="A53" s="143">
        <v>15</v>
      </c>
      <c r="B53" s="123">
        <v>36223853196.4282</v>
      </c>
      <c r="C53" s="123">
        <v>40186266970.74765</v>
      </c>
      <c r="D53" s="123">
        <v>44845330113.374908</v>
      </c>
      <c r="E53" s="123">
        <v>50339984942.330444</v>
      </c>
      <c r="F53" s="123">
        <v>56836507301.256615</v>
      </c>
      <c r="H53" s="120"/>
    </row>
    <row r="54" spans="1:8" ht="13.15">
      <c r="A54" s="144">
        <v>20</v>
      </c>
      <c r="B54" s="123">
        <v>37586992613.684128</v>
      </c>
      <c r="C54" s="123">
        <v>43478437768.386192</v>
      </c>
      <c r="D54" s="123">
        <v>50840559511.418251</v>
      </c>
      <c r="E54" s="123">
        <v>60091459899.915428</v>
      </c>
      <c r="F54" s="123">
        <v>71770028781.369751</v>
      </c>
      <c r="H54" s="120"/>
    </row>
    <row r="55" spans="1:8" ht="13.15">
      <c r="A55" s="144">
        <v>25</v>
      </c>
      <c r="B55" s="123">
        <v>38884386728.576027</v>
      </c>
      <c r="C55" s="123">
        <v>46797063369.020866</v>
      </c>
      <c r="D55" s="123">
        <v>57270131277.153519</v>
      </c>
      <c r="E55" s="123">
        <v>71260984492.679764</v>
      </c>
      <c r="F55" s="123">
        <v>90098186526.688538</v>
      </c>
      <c r="H55" s="120"/>
    </row>
    <row r="56" spans="1:8" ht="13.15">
      <c r="A56" s="144">
        <v>30</v>
      </c>
      <c r="B56" s="123">
        <v>40055643187.60144</v>
      </c>
      <c r="C56" s="123">
        <v>49977706680.914719</v>
      </c>
      <c r="D56" s="123">
        <v>63849350887.484352</v>
      </c>
      <c r="E56" s="123">
        <v>83521006988.373718</v>
      </c>
      <c r="F56" s="123">
        <v>111756420613.40988</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27.237157287525257</v>
      </c>
      <c r="C61" s="124">
        <f t="shared" si="4"/>
        <v>28.098702600658317</v>
      </c>
      <c r="D61" s="124">
        <f t="shared" si="4"/>
        <v>28.98570803867435</v>
      </c>
      <c r="E61" s="124">
        <f t="shared" si="4"/>
        <v>29.899278933716612</v>
      </c>
      <c r="F61" s="124">
        <f t="shared" si="4"/>
        <v>30.840554380403862</v>
      </c>
      <c r="H61" s="120"/>
    </row>
    <row r="62" spans="1:8" ht="13.15">
      <c r="A62" s="143">
        <f t="shared" si="3"/>
        <v>10</v>
      </c>
      <c r="B62" s="124">
        <f t="shared" si="4"/>
        <v>28.067306159893604</v>
      </c>
      <c r="C62" s="124">
        <f t="shared" si="4"/>
        <v>29.900660300421897</v>
      </c>
      <c r="D62" s="124">
        <f t="shared" si="4"/>
        <v>31.919999521362417</v>
      </c>
      <c r="E62" s="124">
        <f t="shared" si="4"/>
        <v>34.147494691009001</v>
      </c>
      <c r="F62" s="124">
        <f t="shared" si="4"/>
        <v>36.607771959046119</v>
      </c>
      <c r="H62" s="120"/>
    </row>
    <row r="63" spans="1:8" ht="13.15">
      <c r="A63" s="143">
        <f t="shared" si="3"/>
        <v>15</v>
      </c>
      <c r="B63" s="124">
        <f t="shared" si="4"/>
        <v>29.118371848057404</v>
      </c>
      <c r="C63" s="124">
        <f t="shared" si="4"/>
        <v>32.303539286508574</v>
      </c>
      <c r="D63" s="124">
        <f t="shared" si="4"/>
        <v>36.048705001346896</v>
      </c>
      <c r="E63" s="124">
        <f t="shared" si="4"/>
        <v>40.465557113093737</v>
      </c>
      <c r="F63" s="124">
        <f t="shared" si="4"/>
        <v>45.68775566664474</v>
      </c>
      <c r="H63" s="120"/>
    </row>
    <row r="64" spans="1:8" ht="13.15">
      <c r="A64" s="144">
        <f t="shared" si="3"/>
        <v>20</v>
      </c>
      <c r="B64" s="124">
        <f t="shared" si="4"/>
        <v>30.214124975621324</v>
      </c>
      <c r="C64" s="124">
        <f t="shared" si="4"/>
        <v>34.949935100701175</v>
      </c>
      <c r="D64" s="124">
        <f t="shared" si="4"/>
        <v>40.867941596084549</v>
      </c>
      <c r="E64" s="124">
        <f t="shared" si="4"/>
        <v>48.304233808867721</v>
      </c>
      <c r="F64" s="124">
        <f t="shared" si="4"/>
        <v>57.691995776080802</v>
      </c>
      <c r="H64" s="120"/>
    </row>
    <row r="65" spans="1:8" ht="13.15">
      <c r="A65" s="144">
        <f t="shared" si="3"/>
        <v>25</v>
      </c>
      <c r="B65" s="124">
        <f t="shared" si="4"/>
        <v>31.257029055042356</v>
      </c>
      <c r="C65" s="124">
        <f t="shared" si="4"/>
        <v>37.617596482270919</v>
      </c>
      <c r="D65" s="124">
        <f t="shared" si="4"/>
        <v>46.036322234202615</v>
      </c>
      <c r="E65" s="124">
        <f t="shared" si="4"/>
        <v>57.282802949331312</v>
      </c>
      <c r="F65" s="124">
        <f t="shared" si="4"/>
        <v>72.424998077742885</v>
      </c>
    </row>
    <row r="66" spans="1:8" ht="13.15">
      <c r="A66" s="144">
        <f t="shared" si="3"/>
        <v>30</v>
      </c>
      <c r="B66" s="124">
        <f t="shared" si="4"/>
        <v>32.198537980622476</v>
      </c>
      <c r="C66" s="124">
        <f t="shared" si="4"/>
        <v>40.174341458282861</v>
      </c>
      <c r="D66" s="124">
        <f t="shared" si="4"/>
        <v>51.324996579386152</v>
      </c>
      <c r="E66" s="124">
        <f t="shared" si="4"/>
        <v>67.137963634732003</v>
      </c>
      <c r="F66" s="124">
        <f t="shared" si="4"/>
        <v>89.834866384398026</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89.834866384398026</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51.324996579386152</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40.174341458282861</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32.198537980622476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-52.85</v>
      </c>
    </row>
    <row r="4" spans="2:9">
      <c r="B4" s="152" t="s">
        <v>142</v>
      </c>
      <c r="C4" s="120">
        <v>3</v>
      </c>
      <c r="D4" s="120"/>
      <c r="E4" s="155" t="s">
        <v>146</v>
      </c>
      <c r="F4" s="155"/>
      <c r="H4" s="247">
        <v>1</v>
      </c>
      <c r="I4" s="124">
        <f t="shared" ref="I4:I13" si="0">IF(ROW()-3 &lt; $C$76, $C$77, IF(ROW()-3 = $C$76, $C$77 + $C$60, ""))</f>
        <v>1.8055757986237302</v>
      </c>
    </row>
    <row r="5" spans="2:9">
      <c r="H5" s="247">
        <v>2</v>
      </c>
      <c r="I5" s="124">
        <f t="shared" si="0"/>
        <v>1.8055757986237302</v>
      </c>
    </row>
    <row r="6" spans="2:9" ht="13.15">
      <c r="B6" s="159" t="s">
        <v>92</v>
      </c>
      <c r="C6" s="107">
        <f>DCF!C3</f>
        <v>1</v>
      </c>
      <c r="E6" s="100" t="s">
        <v>274</v>
      </c>
      <c r="F6" s="100"/>
      <c r="H6" s="247">
        <v>3</v>
      </c>
      <c r="I6" s="124">
        <f t="shared" si="0"/>
        <v>75.011079908270531</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3154746356.369153</v>
      </c>
      <c r="D8" t="str">
        <f>Reporting_currency</f>
        <v>CNY</v>
      </c>
      <c r="E8" s="380"/>
      <c r="F8" s="380"/>
      <c r="H8" s="247">
        <v>5</v>
      </c>
      <c r="I8" s="124" t="str">
        <f t="shared" si="0"/>
        <v/>
      </c>
    </row>
    <row r="9" spans="2:9">
      <c r="B9" s="100" t="s">
        <v>55</v>
      </c>
      <c r="C9" s="338">
        <f>Normalized_FCF!C19</f>
        <v>2878309467.0360041</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0.22851036812972292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52.85</v>
      </c>
      <c r="D21" t="str">
        <f>Market_currency</f>
        <v>HKD</v>
      </c>
      <c r="E21" s="381"/>
      <c r="F21" s="381"/>
    </row>
    <row r="22" spans="2:6">
      <c r="B22" s="100" t="s">
        <v>273</v>
      </c>
      <c r="C22" s="160">
        <f>IF(valuation_method="DCF",DCF!C12,DDM!C7)</f>
        <v>43.139095208291081</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72.265028191649847</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59.235006994118415</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90.743161869829351</v>
      </c>
      <c r="D39" t="str">
        <f>Market_currency</f>
        <v>HKD</v>
      </c>
      <c r="E39" s="379"/>
      <c r="F39" s="379"/>
    </row>
    <row r="40" spans="2:6">
      <c r="B40" s="100" t="s">
        <v>143</v>
      </c>
      <c r="C40" s="167">
        <f>1-C28-C34</f>
        <v>0.2</v>
      </c>
      <c r="D40" s="165"/>
      <c r="E40" s="379"/>
      <c r="F40" s="379"/>
    </row>
    <row r="42" spans="2:6" ht="13.15">
      <c r="B42" s="100" t="s">
        <v>116</v>
      </c>
      <c r="C42" s="154">
        <f>C27*C28+C33*C34+C39*C40</f>
        <v>72.051648568026323</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49.914936805186102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117.26547116327615</v>
      </c>
      <c r="D57" t="str">
        <f>Market_currency</f>
        <v>HKD</v>
      </c>
      <c r="E57" s="379"/>
      <c r="F57" s="379"/>
    </row>
    <row r="58" spans="2:6">
      <c r="B58" s="100" t="s">
        <v>143</v>
      </c>
      <c r="C58" s="165">
        <v>0.05</v>
      </c>
      <c r="D58" s="165"/>
      <c r="E58" s="379"/>
      <c r="F58" s="379"/>
    </row>
    <row r="60" spans="2:6" ht="13.15">
      <c r="B60" s="100" t="s">
        <v>116</v>
      </c>
      <c r="C60" s="154">
        <f>C51*C52+C57*C58+C42*(1-C52-C58)</f>
        <v>73.205504109646796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73.172191920948052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0.16787750172836574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1.8055757986237302</v>
      </c>
      <c r="D77" t="str">
        <f>Market_currency</f>
        <v>HKD</v>
      </c>
    </row>
    <row r="79" spans="2:6" ht="13.15">
      <c r="B79" s="109" t="s">
        <v>296</v>
      </c>
    </row>
    <row r="80" spans="2:6">
      <c r="B80" s="148" t="s">
        <v>294</v>
      </c>
      <c r="C80" s="167">
        <f>Thesis!F29</f>
        <v>0.35</v>
      </c>
    </row>
    <row r="81" spans="2:8">
      <c r="B81" s="100" t="s">
        <v>117</v>
      </c>
      <c r="C81" s="116">
        <f>PV(C80, C76, -C77, 0)</f>
        <v>3.0620393313041774</v>
      </c>
      <c r="D81" s="116"/>
      <c r="E81" s="100"/>
      <c r="F81" s="100"/>
    </row>
    <row r="82" spans="2:8">
      <c r="B82" s="100" t="s">
        <v>118</v>
      </c>
      <c r="C82" s="116">
        <f>C60/(1+C80)^C76</f>
        <v>29.75379936377454</v>
      </c>
      <c r="D82" s="116"/>
    </row>
    <row r="83" spans="2:8" ht="13.15">
      <c r="B83" s="110" t="s">
        <v>98</v>
      </c>
      <c r="C83" s="111">
        <f>C81+C82</f>
        <v>32.815838695078718</v>
      </c>
      <c r="D83" t="str">
        <f>Market_currency</f>
        <v>HKD</v>
      </c>
      <c r="E83" s="146" t="s">
        <v>122</v>
      </c>
      <c r="F83" s="291">
        <f>(1-C83/C60)</f>
        <v>0.55172989935391548</v>
      </c>
    </row>
    <row r="84" spans="2:8">
      <c r="E84" s="120"/>
    </row>
    <row r="85" spans="2:8" ht="13.15">
      <c r="B85" s="109" t="s">
        <v>297</v>
      </c>
    </row>
    <row r="86" spans="2:8">
      <c r="B86" s="148" t="s">
        <v>295</v>
      </c>
      <c r="C86" s="116">
        <f>Market_Price</f>
        <v>52.85</v>
      </c>
      <c r="D86" t="str">
        <f>Market_currency</f>
        <v>HKD</v>
      </c>
    </row>
    <row r="87" spans="2:8" ht="13.15">
      <c r="B87" s="100" t="s">
        <v>293</v>
      </c>
      <c r="C87" s="237">
        <f ca="1">IRR(OFFSET($I$3, 0, 0, $C$76 + 1, 1))</f>
        <v>0.14555061240531031</v>
      </c>
    </row>
    <row r="88" spans="2:8">
      <c r="B88" s="100"/>
    </row>
    <row r="89" spans="2:8" ht="13.15">
      <c r="B89" s="109" t="s">
        <v>392</v>
      </c>
    </row>
    <row r="90" spans="2:8">
      <c r="B90" s="148" t="s">
        <v>393</v>
      </c>
      <c r="C90" s="167">
        <f>Thesis!F30</f>
        <v>0.25</v>
      </c>
    </row>
    <row r="91" spans="2:8">
      <c r="B91" s="100" t="s">
        <v>117</v>
      </c>
      <c r="C91" s="116">
        <f>PV(C90, C76, -C77, 0)</f>
        <v>3.5244839589135215</v>
      </c>
      <c r="D91" s="116"/>
      <c r="E91" s="100"/>
      <c r="F91" s="100"/>
    </row>
    <row r="92" spans="2:8">
      <c r="B92" s="100" t="s">
        <v>118</v>
      </c>
      <c r="C92" s="116">
        <f>C60/(1+C90)^C76</f>
        <v>37.48121810413916</v>
      </c>
      <c r="D92" s="116"/>
    </row>
    <row r="93" spans="2:8" ht="13.15">
      <c r="B93" s="110" t="s">
        <v>98</v>
      </c>
      <c r="C93" s="111">
        <f>C91+C92</f>
        <v>41.005702063052681</v>
      </c>
      <c r="D93" t="str">
        <f>Market_currency</f>
        <v>HKD</v>
      </c>
      <c r="E93" s="146" t="s">
        <v>122</v>
      </c>
      <c r="F93" s="291">
        <f>(1-C93/C60)</f>
        <v>0.43985493219697569</v>
      </c>
    </row>
    <row r="95" spans="2:8" ht="13.15">
      <c r="B95" s="109" t="s">
        <v>378</v>
      </c>
      <c r="G95" s="2"/>
      <c r="H95" s="281"/>
    </row>
    <row r="96" spans="2:8">
      <c r="B96" s="148" t="s">
        <v>383</v>
      </c>
      <c r="C96" s="134">
        <f>Thesis!F31</f>
        <v>7.4999999999999997E-2</v>
      </c>
      <c r="G96" s="2"/>
      <c r="H96" s="281"/>
    </row>
    <row r="97" spans="2:8">
      <c r="B97" s="100" t="s">
        <v>117</v>
      </c>
      <c r="C97" s="116">
        <f>PV(C96, C76, -C77, 0)</f>
        <v>4.6954463396108803</v>
      </c>
      <c r="D97" s="116"/>
      <c r="G97" s="2"/>
      <c r="H97" s="281"/>
    </row>
    <row r="98" spans="2:8">
      <c r="B98" s="100" t="s">
        <v>118</v>
      </c>
      <c r="C98" s="116">
        <f>C60/(1+C96)^C76</f>
        <v>58.927544279338868</v>
      </c>
      <c r="D98" s="116"/>
      <c r="G98" s="2"/>
      <c r="H98" s="281"/>
    </row>
    <row r="99" spans="2:8" ht="13.15">
      <c r="B99" s="110" t="s">
        <v>379</v>
      </c>
      <c r="C99" s="111">
        <f>C97+C98</f>
        <v>63.62299061894975</v>
      </c>
      <c r="D99" t="s">
        <v>377</v>
      </c>
      <c r="E99" s="146" t="s">
        <v>122</v>
      </c>
      <c r="F99" s="291">
        <f>(1-C99/C60)</f>
        <v>0.13089881160225891</v>
      </c>
    </row>
    <row r="100" spans="2:8">
      <c r="B100" s="100"/>
    </row>
    <row r="101" spans="2:8" ht="13.15">
      <c r="B101" s="109" t="s">
        <v>399</v>
      </c>
    </row>
    <row r="102" spans="2:8">
      <c r="B102" s="148" t="s">
        <v>398</v>
      </c>
      <c r="C102" s="134">
        <f>Thesis!F32</f>
        <v>0.1174</v>
      </c>
    </row>
    <row r="103" spans="2:8">
      <c r="B103" s="100" t="s">
        <v>117</v>
      </c>
      <c r="C103" s="116">
        <f>PV(C102, C76, -C77, 0)</f>
        <v>4.3561378158787845</v>
      </c>
      <c r="D103" s="116"/>
    </row>
    <row r="104" spans="2:8">
      <c r="B104" s="100" t="s">
        <v>118</v>
      </c>
      <c r="C104" s="116">
        <f>C60/(1+C102)^C76</f>
        <v>52.470805896477188</v>
      </c>
      <c r="D104" s="116"/>
    </row>
    <row r="105" spans="2:8" ht="13.15">
      <c r="B105" s="110" t="s">
        <v>379</v>
      </c>
      <c r="C105" s="111">
        <f>C103+C104</f>
        <v>56.82694371235597</v>
      </c>
      <c r="D105" t="s">
        <v>377</v>
      </c>
      <c r="E105" s="146" t="s">
        <v>122</v>
      </c>
      <c r="F105" s="291">
        <f>(1-C105/C66)</f>
        <v>0.22338060101097901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3F45-2474-4438-AB98-54A2BE564E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