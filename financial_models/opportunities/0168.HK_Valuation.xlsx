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1684002-40DF-4C6B-B55B-472594F1DE88}"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P126" i="2"/>
  <c r="P48" i="2"/>
  <c r="P91" i="2"/>
  <c r="P92" i="2"/>
  <c r="Q126" i="2"/>
  <c r="Q92" i="2"/>
  <c r="Q48" i="2"/>
  <c r="Q91" i="2"/>
  <c r="K126" i="2"/>
  <c r="K91" i="2"/>
  <c r="C70" i="4"/>
  <c r="D69" i="4"/>
  <c r="J91" i="2"/>
  <c r="L126" i="2"/>
  <c r="L92" i="2"/>
  <c r="L48" i="2"/>
  <c r="L91" i="2"/>
  <c r="O126" i="2"/>
  <c r="O48" i="2"/>
  <c r="O91" i="2"/>
  <c r="O92" i="2"/>
  <c r="M126" i="2"/>
  <c r="M92" i="2"/>
  <c r="M48" i="2"/>
  <c r="M91"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H48" i="2"/>
  <c r="J48" i="2"/>
  <c r="K48" i="2"/>
  <c r="I48" i="2"/>
  <c r="I50" i="2" s="1"/>
  <c r="I12" i="2" s="1"/>
  <c r="I80" i="2" s="1"/>
  <c r="M50" i="2"/>
  <c r="M12" i="2" s="1"/>
  <c r="P50" i="2"/>
  <c r="P12" i="2" s="1"/>
  <c r="J50" i="2"/>
  <c r="J12" i="2" s="1"/>
  <c r="J80" i="2" s="1"/>
  <c r="N50" i="2"/>
  <c r="N12" i="2" s="1"/>
  <c r="H50" i="2"/>
  <c r="H12" i="2" s="1"/>
  <c r="H80"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D89" i="3" s="1"/>
  <c r="C89" i="6"/>
  <c r="P81" i="2"/>
  <c r="P117" i="2" s="1"/>
  <c r="P16" i="2"/>
  <c r="O97" i="2"/>
  <c r="C86" i="6"/>
  <c r="C87" i="6" s="1"/>
  <c r="B71" i="8"/>
  <c r="B69" i="8"/>
  <c r="E68" i="8"/>
  <c r="D69" i="8"/>
  <c r="F66" i="8"/>
  <c r="F68" i="8"/>
  <c r="C70" i="8"/>
  <c r="E66" i="8"/>
  <c r="D71" i="8"/>
  <c r="D70" i="8"/>
  <c r="D68" i="8"/>
  <c r="B70" i="8"/>
  <c r="C66" i="8"/>
  <c r="E70" i="8"/>
  <c r="F71" i="8"/>
  <c r="E69" i="8"/>
  <c r="D66" i="8"/>
  <c r="B66" i="8"/>
  <c r="G54" i="2"/>
  <c r="C89" i="3" l="1"/>
  <c r="E67" i="8"/>
  <c r="F69" i="8"/>
  <c r="C67" i="8"/>
  <c r="B68" i="8"/>
  <c r="F70" i="8"/>
  <c r="F67" i="8"/>
  <c r="C71" i="8"/>
  <c r="B67" i="8"/>
  <c r="C69" i="8"/>
  <c r="C68" i="8"/>
  <c r="D67" i="8"/>
  <c r="E71" i="8"/>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39" i="8"/>
  <c r="F39" i="8" s="1"/>
  <c r="C42" i="8"/>
  <c r="F42" i="8" s="1"/>
  <c r="C50" i="8"/>
  <c r="F50" i="8" s="1"/>
  <c r="C47" i="8"/>
  <c r="F47" i="8" s="1"/>
  <c r="C41" i="8"/>
  <c r="F41" i="8" s="1"/>
  <c r="C46" i="8"/>
  <c r="F46" i="8" s="1"/>
  <c r="C43" i="8"/>
  <c r="F43" i="8" s="1"/>
  <c r="C48" i="8"/>
  <c r="F48" i="8" s="1"/>
  <c r="C36" i="8"/>
  <c r="F36" i="8" s="1"/>
  <c r="C44" i="8"/>
  <c r="F44" i="8" s="1"/>
  <c r="C40" i="8"/>
  <c r="F40" i="8" s="1"/>
  <c r="C38" i="8"/>
  <c r="F38"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<sst xmlns="http://schemas.openxmlformats.org/spreadsheetml/2006/main" count="606" uniqueCount="428">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</sst>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421</v>
      </c>
      <c r="D5" s="49" t="s">
        <v>422</v>
      </c>
    </row>
    <row r="6" spans="1:10">
      <c r="B6" s="4" t="s">
        <v>95</v>
      </c>
      <c r="C6" s="50">
        <v>54.25</v>
      </c>
      <c r="D6" s="48" t="s">
        <v>405</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74007.675749000002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38.289885084736952</v>
      </c>
      <c r="D20" s="1" t="s">
        <v>315</v>
      </c>
      <c r="E20" s="330">
        <v>3</v>
      </c>
    </row>
    <row r="21" spans="1:6">
      <c r="B21" s="1" t="s">
        <v>408</v>
      </c>
      <c r="C21" s="280">
        <f ca="1">Scenarios!C87</f>
        <v>0.10804060157997641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3878068070.3077545</v>
      </c>
      <c r="D30" s="1" t="str">
        <f>Reporting_currency</f>
        <v>CNY</v>
      </c>
    </row>
    <row r="31" spans="1:6">
      <c r="B31" s="47"/>
      <c r="C31" s="76"/>
    </row>
    <row r="32" spans="1:6" ht="24.4" customHeight="1">
      <c r="B32" s="341" t="s">
        <v>234</v>
      </c>
      <c r="C32" s="341"/>
      <c r="D32" s="341"/>
      <c r="E32" s="341"/>
      <c r="F32" s="341"/>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177466191.56481656</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155629137.56481656</v>
      </c>
      <c r="D42" s="1" t="str">
        <f>Reporting_currency</f>
        <v>CNY</v>
      </c>
    </row>
    <row r="44" spans="2:6">
      <c r="B44" s="1" t="s">
        <v>247</v>
      </c>
    </row>
    <row r="45" spans="2:6">
      <c r="B45" s="47" t="s">
        <v>266</v>
      </c>
      <c r="C45" s="188">
        <f>Normalized_FCF!C15</f>
        <v>-146634564.47167698</v>
      </c>
      <c r="D45" s="1" t="str">
        <f>Reporting_currency</f>
        <v>CNY</v>
      </c>
    </row>
    <row r="47" spans="2:6">
      <c r="B47" s="341" t="s">
        <v>242</v>
      </c>
      <c r="C47" s="341"/>
      <c r="D47" s="341"/>
      <c r="E47" s="341"/>
      <c r="F47" s="341"/>
    </row>
    <row r="48" spans="2:6">
      <c r="B48" s="47" t="s">
        <v>240</v>
      </c>
      <c r="C48" s="188">
        <f>Normalized_FCF!C14</f>
        <v>-1008424301.9681427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3155184855.5648165</v>
      </c>
      <c r="D56" s="1" t="str">
        <f>Reporting_currency</f>
        <v>CNY</v>
      </c>
    </row>
    <row r="57" spans="1:6">
      <c r="B57" s="47" t="s">
        <v>249</v>
      </c>
      <c r="C57" s="188">
        <f>Normalized_FCF!C19</f>
        <v>2878638341.4327517</v>
      </c>
      <c r="D57" s="1" t="str">
        <f>Reporting_currency</f>
        <v>CNY</v>
      </c>
    </row>
    <row r="58" spans="1:6">
      <c r="B58" s="254" t="s">
        <v>398</v>
      </c>
      <c r="C58" s="92">
        <f>Normalized_FCF!C125</f>
        <v>4.1491316575080373E-2</v>
      </c>
    </row>
    <row r="59" spans="1:6">
      <c r="B59" s="254" t="s">
        <v>316</v>
      </c>
      <c r="C59" s="92">
        <f>Normalized_FCF!C93</f>
        <v>3.801684419443882E-2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28.136299052476371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285396383</v>
      </c>
      <c r="D86" s="1" t="str">
        <f>Reporting_currency</f>
        <v>CNY</v>
      </c>
    </row>
    <row r="87" spans="2:6">
      <c r="B87" s="47" t="s">
        <v>285</v>
      </c>
      <c r="C87" s="248">
        <f>C86*scaling_factor*Exchange_Rate/Common_Shares</f>
        <v>0.22316100956499887</v>
      </c>
      <c r="D87" s="1" t="str">
        <f>Market_currency</f>
        <v>HKD</v>
      </c>
    </row>
    <row r="88" spans="2:6">
      <c r="B88" s="337" t="s">
        <v>414</v>
      </c>
      <c r="C88" s="338">
        <f>BS!G30/BS!G27</f>
        <v>0.72207550313588764</v>
      </c>
    </row>
    <row r="89" spans="2:6">
      <c r="B89" s="337" t="s">
        <v>415</v>
      </c>
      <c r="C89" s="338">
        <f>BS!G31/BS!G27</f>
        <v>9.5579625064196368E-3</v>
      </c>
    </row>
    <row r="90" spans="2:6">
      <c r="B90" s="337" t="s">
        <v>417</v>
      </c>
      <c r="C90" s="339">
        <f>BS!C50</f>
        <v>7.3592411949940734E-2</v>
      </c>
    </row>
    <row r="92" spans="2:6">
      <c r="B92" s="1" t="s">
        <v>255</v>
      </c>
    </row>
    <row r="93" spans="2:6">
      <c r="B93" s="47" t="s">
        <v>265</v>
      </c>
      <c r="C93" s="188">
        <f>BS!C66</f>
        <v>17978772896</v>
      </c>
      <c r="D93" s="1" t="str">
        <f>Reporting_currency</f>
        <v>CNY</v>
      </c>
    </row>
    <row r="94" spans="2:6">
      <c r="B94" s="47" t="s">
        <v>267</v>
      </c>
      <c r="C94" s="188">
        <f>Valuation_Model!C8</f>
        <v>12805664367.485912</v>
      </c>
      <c r="D94" s="1" t="str">
        <f>Reporting_currency</f>
        <v>CNY</v>
      </c>
    </row>
    <row r="95" spans="2:6">
      <c r="B95" s="47" t="s">
        <v>286</v>
      </c>
      <c r="C95" s="248">
        <f>C94*scaling_factor*Exchange_Rate/Common_Shares</f>
        <v>10.013178717820992</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2.1545487805136765</v>
      </c>
      <c r="D99" s="1" t="str">
        <f>Market_currency</f>
        <v>HKD</v>
      </c>
    </row>
    <row r="101" spans="1:6" ht="24.4" customHeight="1">
      <c r="B101" s="340" t="s">
        <v>374</v>
      </c>
      <c r="C101" s="340"/>
      <c r="D101" s="340"/>
      <c r="E101" s="340"/>
      <c r="F101" s="340"/>
    </row>
    <row r="103" spans="1:6">
      <c r="B103" s="47" t="s">
        <v>283</v>
      </c>
      <c r="C103" s="248">
        <f>Valuation_Model!C12</f>
        <v>40.080865541246048</v>
      </c>
      <c r="D103" s="1" t="str">
        <f>Market_currency</f>
        <v>HKD</v>
      </c>
    </row>
    <row r="104" spans="1:6">
      <c r="B104" s="337" t="s">
        <v>416</v>
      </c>
      <c r="C104" s="248">
        <f>BS!D47</f>
        <v>1.3258162597677496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 HKD</v>
      </c>
      <c r="F111" s="259">
        <f>Valuation_Model!F74</f>
        <v>0.05</v>
      </c>
    </row>
    <row r="112" spans="1:6">
      <c r="B112" s="242" t="str">
        <f>Valuation_Model!B75</f>
        <v>Optimistic</v>
      </c>
      <c r="C112" s="243">
        <f>Valuation_Model!C75</f>
        <v>0.08</v>
      </c>
      <c r="D112" s="244">
        <f>Valuation_Model!D75</f>
        <v>30</v>
      </c>
      <c r="E112" s="245" t="str">
        <f>ROUND(Valuation_Model!E75,2)&amp;" "&amp;Market_currency</f>
        <v>82.49 HKD</v>
      </c>
      <c r="F112" s="246">
        <f>Valuation_Model!F75</f>
        <v>0.18</v>
      </c>
    </row>
    <row r="113" spans="1:6">
      <c r="B113" s="242" t="str">
        <f>Valuation_Model!B76</f>
        <v>Base</v>
      </c>
      <c r="C113" s="243">
        <f>Valuation_Model!C76</f>
        <v>0.06</v>
      </c>
      <c r="D113" s="244">
        <f>Valuation_Model!D76</f>
        <v>30</v>
      </c>
      <c r="E113" s="245" t="str">
        <f>ROUND(Valuation_Model!E76,2)&amp;" "&amp;Market_currency</f>
        <v>66.11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54.51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46.17 HKD</v>
      </c>
      <c r="F115" s="246">
        <f>Valuation_Model!F78</f>
        <v>0.05</v>
      </c>
    </row>
    <row r="117" spans="1:6">
      <c r="B117" s="235" t="s">
        <v>259</v>
      </c>
      <c r="C117" s="241">
        <f>Scenarios!C60</f>
        <v>66.921979202973944</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2.0624137975483059</v>
      </c>
      <c r="D128" s="236" t="str">
        <f>Market_currency</f>
        <v>HKD</v>
      </c>
    </row>
    <row r="130" spans="1:6">
      <c r="B130" s="234" t="s">
        <v>409</v>
      </c>
      <c r="C130" s="338">
        <f>C19</f>
        <v>0.25</v>
      </c>
      <c r="D130" s="1" t="s">
        <v>419</v>
      </c>
    </row>
    <row r="131" spans="1:6">
      <c r="B131" s="236" t="str">
        <f>"PV("&amp;C126&amp;" yrs of Dividends)"</f>
        <v>PV(3 yrs of Dividends)</v>
      </c>
      <c r="C131" s="240">
        <f>Scenarios!C81</f>
        <v>4.025831732814293</v>
      </c>
    </row>
    <row r="132" spans="1:6">
      <c r="B132" s="236" t="str">
        <f>"+ PV(Equity Value realized at year "&amp;C126&amp;")"</f>
        <v>+ PV(Equity Value realized at year 3)</v>
      </c>
      <c r="C132" s="240">
        <f>Scenarios!C82</f>
        <v>34.264053351922662</v>
      </c>
    </row>
    <row r="133" spans="1:6">
      <c r="B133" s="80" t="s">
        <v>261</v>
      </c>
      <c r="C133" s="239">
        <f>Scenarios!C83</f>
        <v>38.289885084736952</v>
      </c>
      <c r="D133" s="47" t="str">
        <f>Reporting_currency</f>
        <v>CNY</v>
      </c>
    </row>
    <row r="134" spans="1:6">
      <c r="B134" s="238" t="s">
        <v>263</v>
      </c>
      <c r="C134" s="92">
        <f>Scenarios!F83</f>
        <v>0.42784290690799853</v>
      </c>
    </row>
    <row r="136" spans="1:6">
      <c r="B136" s="234" t="s">
        <v>410</v>
      </c>
      <c r="C136" s="92">
        <f>Scenarios!C90</f>
        <v>0.06</v>
      </c>
      <c r="D136" s="1" t="s">
        <v>418</v>
      </c>
    </row>
    <row r="137" spans="1:6">
      <c r="B137" s="236" t="str">
        <f>"PV("&amp;C126&amp;" yrs of Dividends)"</f>
        <v>PV(3 yrs of Dividends)</v>
      </c>
      <c r="C137" s="240">
        <f>Scenarios!C91</f>
        <v>5.5128567255811802</v>
      </c>
    </row>
    <row r="138" spans="1:6">
      <c r="B138" s="236" t="str">
        <f>"+ PV(Equity Value realized at year "&amp;C126&amp;")"</f>
        <v>+ PV(Equity Value realized at year 3)</v>
      </c>
      <c r="C138" s="240">
        <f>Scenarios!C92</f>
        <v>56.188984197503579</v>
      </c>
    </row>
    <row r="139" spans="1:6">
      <c r="B139" s="80" t="s">
        <v>411</v>
      </c>
      <c r="C139" s="239">
        <f>Scenarios!C93</f>
        <v>61.70184092308476</v>
      </c>
      <c r="D139" s="101" t="str">
        <f>Reporting_currency</f>
        <v>CNY</v>
      </c>
    </row>
    <row r="140" spans="1:6">
      <c r="B140" s="238" t="s">
        <v>263</v>
      </c>
      <c r="C140" s="92">
        <f>Scenarios!F93</f>
        <v>7.8003345717802763E-2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2.0624137975483059</v>
      </c>
      <c r="D25" s="39">
        <f>2/Exchange_Rate</f>
        <v>1.8749216341348234</v>
      </c>
      <c r="E25" s="39">
        <f>1.3/Exchange_Rate</f>
        <v>1.2186990621876352</v>
      </c>
      <c r="F25" s="39">
        <f>1.1/Exchange_Rate</f>
        <v>1.0312068987741529</v>
      </c>
      <c r="G25" s="39">
        <f>0.75/Exchange_Rate</f>
        <v>0.70309561280055877</v>
      </c>
      <c r="H25" s="39"/>
      <c r="I25" s="39"/>
      <c r="J25" s="39"/>
      <c r="K25" s="39"/>
      <c r="L25" s="39"/>
      <c r="M25" s="39"/>
    </row>
    <row r="27" spans="2:13">
      <c r="B27" s="16" t="s">
        <v>28</v>
      </c>
      <c r="C27" s="97" t="s">
        <v>425</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2.0624137975483059</v>
      </c>
      <c r="D65" s="73">
        <f t="shared" ref="D65:M65" si="33">IF(D$4="","",D25)</f>
        <v>1.8749216341348234</v>
      </c>
      <c r="E65" s="73">
        <f t="shared" si="33"/>
        <v>1.2186990621876352</v>
      </c>
      <c r="F65" s="73">
        <f t="shared" si="33"/>
        <v>1.0312068987741529</v>
      </c>
      <c r="G65" s="73">
        <f t="shared" si="33"/>
        <v>0.70309561280055877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22.723289907259939</v>
      </c>
      <c r="D47" s="148">
        <f>D46*H1/Common_Shares*Exchange_Rate</f>
        <v>1.3258162597677496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12805664367.485912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-2538631317.6785235</v>
      </c>
      <c r="D73" s="188">
        <f>(Normalized_FCF!C25+Normalized_FCF!C35-Normalized_FCF!C91)/12</f>
        <v>-2586554264.2570438</v>
      </c>
      <c r="F73" s="1" t="s">
        <v>359</v>
      </c>
    </row>
    <row r="74" spans="2:6" ht="15" customHeight="1">
      <c r="B74" s="288" t="s">
        <v>329</v>
      </c>
      <c r="C74" s="289">
        <f>-$C$66/C73</f>
        <v>7.0820732300903257</v>
      </c>
      <c r="D74" s="289">
        <f>-$C$66/D73</f>
        <v>6.9508585783195169</v>
      </c>
      <c r="F74" s="283" t="s">
        <v>327</v>
      </c>
    </row>
    <row r="75" spans="2:6" ht="15" customHeight="1">
      <c r="B75" s="80" t="s">
        <v>328</v>
      </c>
      <c r="C75" s="293"/>
      <c r="D75" s="292">
        <f>MAX(-D73*D76,G5)</f>
        <v>5173108528.5140877</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-304435532.45540875</v>
      </c>
      <c r="D86" s="248">
        <f>C86*scaling_factor/Common_Shares</f>
        <v>-0.22316100956499887</v>
      </c>
      <c r="E86" s="269" t="str">
        <f>Market_currency</f>
        <v>HKD</v>
      </c>
    </row>
    <row r="87" spans="2:8" ht="15" customHeight="1">
      <c r="B87" s="267" t="s">
        <v>294</v>
      </c>
      <c r="C87" s="188">
        <f>Valuation_Model!C8*Exchange_Rate</f>
        <v>13659946244.521357</v>
      </c>
      <c r="D87" s="248">
        <f>C87*scaling_factor/Common_Shares</f>
        <v>10.013178717820992</v>
      </c>
      <c r="E87" s="269" t="str">
        <f>Market_currency</f>
        <v>HKD</v>
      </c>
    </row>
    <row r="88" spans="2:8" ht="15" customHeight="1">
      <c r="B88" s="268" t="s">
        <v>190</v>
      </c>
      <c r="C88" s="188">
        <f>Valuation_Model!C9*Exchange_Rate</f>
        <v>2939228525.9660745</v>
      </c>
      <c r="D88" s="248">
        <f>C88*scaling_factor/Common_Shares</f>
        <v>2.1545487805136765</v>
      </c>
      <c r="E88" s="269" t="str">
        <f>Market_currency</f>
        <v>HKD</v>
      </c>
    </row>
    <row r="89" spans="2:8" ht="15" customHeight="1">
      <c r="B89" s="80" t="s">
        <v>298</v>
      </c>
      <c r="C89" s="187">
        <f>SUM(C86:C88)</f>
        <v>16294739238.032022</v>
      </c>
      <c r="D89" s="271">
        <f>SUM(D86:D88)</f>
        <v>11.94456648876967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427</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2.0624137975483059</v>
      </c>
      <c r="E90" s="302"/>
      <c r="G90" s="113">
        <f>Data!C65</f>
        <v>2.0624137975483059</v>
      </c>
      <c r="H90" s="113">
        <f>Data!D65</f>
        <v>1.8749216341348234</v>
      </c>
      <c r="I90" s="113">
        <f>Data!E65</f>
        <v>1.2186990621876352</v>
      </c>
      <c r="J90" s="113">
        <f>Data!F65</f>
        <v>1.0312068987741529</v>
      </c>
      <c r="K90" s="113">
        <f>Data!G65</f>
        <v>0.70309561280055877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2813538278.1422811</v>
      </c>
      <c r="E91" s="302"/>
      <c r="G91" s="74">
        <f t="shared" ref="G91:Q91" si="37">IF(G$4="","",G90*Common_Shares/scaling_factor)</f>
        <v>2813538278.1422811</v>
      </c>
      <c r="H91" s="74">
        <f t="shared" si="37"/>
        <v>2557762071.0384374</v>
      </c>
      <c r="I91" s="74">
        <f t="shared" si="37"/>
        <v>1662545346.1749842</v>
      </c>
      <c r="J91" s="74">
        <f t="shared" si="37"/>
        <v>1406769139.0711405</v>
      </c>
      <c r="K91" s="74">
        <f t="shared" si="37"/>
        <v>959160776.63941395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0.9773851190844387</v>
      </c>
      <c r="E92" s="302"/>
      <c r="G92" s="171">
        <f t="shared" ref="G92:Q92" si="38">IF(G$4="","",G90/(G19*scaling_factor/Common_Shares))</f>
        <v>0.89171899807392541</v>
      </c>
      <c r="H92" s="171">
        <f t="shared" si="38"/>
        <v>0.83277209475289216</v>
      </c>
      <c r="I92" s="171">
        <f t="shared" si="38"/>
        <v>0.645783324185079</v>
      </c>
      <c r="J92" s="171">
        <f t="shared" si="38"/>
        <v>0.82668029711309898</v>
      </c>
      <c r="K92" s="171">
        <f t="shared" si="38"/>
        <v>0.66935973543413807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3.801684419443882E-2</v>
      </c>
      <c r="E93" s="302"/>
      <c r="G93" s="23">
        <f t="shared" ref="G93:Q93" si="39">IF(G$4="","",G90/Market_Price)</f>
        <v>3.801684419443882E-2</v>
      </c>
      <c r="H93" s="23">
        <f t="shared" si="39"/>
        <v>3.4560767449489833E-2</v>
      </c>
      <c r="I93" s="23">
        <f t="shared" si="39"/>
        <v>2.246449884216839E-2</v>
      </c>
      <c r="J93" s="23">
        <f t="shared" si="39"/>
        <v>1.900842209721941E-2</v>
      </c>
      <c r="K93" s="23">
        <f t="shared" si="39"/>
        <v>1.2960287793558687E-2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2.2509039241981101</v>
      </c>
      <c r="D124" s="27"/>
      <c r="E124" s="299"/>
      <c r="F124" s="27"/>
      <c r="G124" s="178">
        <f t="shared" ref="G124:Q124" si="49">IF(G$4="","",G16*$C$3/Common_Shares*Exchange_Rate)</f>
        <v>2.4671449243000381</v>
      </c>
      <c r="H124" s="178">
        <f t="shared" si="49"/>
        <v>2.4016174564464228</v>
      </c>
      <c r="I124" s="178">
        <f t="shared" si="49"/>
        <v>2.0130591040586006</v>
      </c>
      <c r="J124" s="178">
        <f t="shared" si="49"/>
        <v>1.3306232213848299</v>
      </c>
      <c r="K124" s="178">
        <f t="shared" si="49"/>
        <v>1.1204737307862711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4.1491316575080373E-2</v>
      </c>
      <c r="D125" s="27"/>
      <c r="E125" s="299"/>
      <c r="F125" s="27"/>
      <c r="G125" s="77">
        <f t="shared" ref="G125" si="50">IF(G$4="","",G124/Market_Price)</f>
        <v>4.5477325793549087E-2</v>
      </c>
      <c r="H125" s="77">
        <f t="shared" ref="H125" si="51">IF(H$4="","",H124/Market_Price)</f>
        <v>4.4269446201777377E-2</v>
      </c>
      <c r="I125" s="77">
        <f t="shared" ref="I125" si="52">IF(I$4="","",I124/Market_Price)</f>
        <v>3.7107080259144713E-2</v>
      </c>
      <c r="J125" s="77">
        <f t="shared" ref="J125" si="53">IF(J$4="","",J124/Market_Price)</f>
        <v>2.4527616984052165E-2</v>
      </c>
      <c r="K125" s="77">
        <f t="shared" ref="K125" si="54">IF(K$4="","",K124/Market_Price)</f>
        <v>2.0653893655046471E-2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2878638341.4327517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35982979267.909393</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12805664367.485912</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51258658827.895309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40.080865541246048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66.92016833560433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3054712697.0013571</v>
      </c>
      <c r="D21" s="139">
        <f>IF($C$17&lt;B21,0,Valuation_Model!$C$16)</f>
        <v>6.1165848114484E-2</v>
      </c>
      <c r="E21" s="125">
        <f t="shared" ref="E21:E50" si="0">IF($C$17&lt;B21,0,1/(1+Equity_Cost)^B21)</f>
        <v>0.92592592592592582</v>
      </c>
      <c r="F21" s="126">
        <f t="shared" ref="F21:F51" si="1">C21*E21</f>
        <v>2828437682.4086637</v>
      </c>
      <c r="H21" s="121"/>
    </row>
    <row r="22" spans="2:8">
      <c r="B22" s="123">
        <v>2</v>
      </c>
      <c r="C22" s="124">
        <f t="shared" ref="C22:C50" si="2">IF(ROW()-ROW($C$21)&lt;$C$17, $C$21*(1+D22)^(ROW()-ROW($C$21)), 0)</f>
        <v>3241556789.8595276</v>
      </c>
      <c r="D22" s="139">
        <f>IF($C$17&lt;B22,0,Valuation_Model!$C$16)</f>
        <v>6.1165848114484E-2</v>
      </c>
      <c r="E22" s="125">
        <f t="shared" si="0"/>
        <v>0.85733882030178321</v>
      </c>
      <c r="F22" s="126">
        <f t="shared" si="1"/>
        <v>2779112474.1594028</v>
      </c>
      <c r="H22" s="121"/>
    </row>
    <row r="23" spans="2:8">
      <c r="B23" s="123">
        <v>3</v>
      </c>
      <c r="C23" s="124">
        <f t="shared" si="2"/>
        <v>3439829360.1225491</v>
      </c>
      <c r="D23" s="139">
        <f>IF($C$17&lt;B23,0,Valuation_Model!$C$16)</f>
        <v>6.1165848114484E-2</v>
      </c>
      <c r="E23" s="125">
        <f t="shared" si="0"/>
        <v>0.79383224102016958</v>
      </c>
      <c r="F23" s="126">
        <f t="shared" si="1"/>
        <v>2730647449.673059</v>
      </c>
      <c r="H23" s="121"/>
    </row>
    <row r="24" spans="2:8">
      <c r="B24" s="123">
        <v>4</v>
      </c>
      <c r="C24" s="124">
        <f t="shared" si="2"/>
        <v>3650229440.3035474</v>
      </c>
      <c r="D24" s="139">
        <f>IF($C$17&lt;B24,0,Valuation_Model!$C$16)</f>
        <v>6.1165848114484E-2</v>
      </c>
      <c r="E24" s="125">
        <f t="shared" si="0"/>
        <v>0.73502985279645328</v>
      </c>
      <c r="F24" s="126">
        <f t="shared" si="1"/>
        <v>2683027608.1795964</v>
      </c>
      <c r="H24" s="121"/>
    </row>
    <row r="25" spans="2:8">
      <c r="B25" s="123">
        <v>5</v>
      </c>
      <c r="C25" s="124">
        <f t="shared" si="2"/>
        <v>3873498819.8321714</v>
      </c>
      <c r="D25" s="139">
        <f>IF($C$17&lt;B25,0,Valuation_Model!$C$16)</f>
        <v>6.1165848114484E-2</v>
      </c>
      <c r="E25" s="125">
        <f t="shared" si="0"/>
        <v>0.68058319703375303</v>
      </c>
      <c r="F25" s="126">
        <f t="shared" si="1"/>
        <v>2636238210.5078487</v>
      </c>
      <c r="H25" s="121"/>
    </row>
    <row r="26" spans="2:8">
      <c r="B26" s="123">
        <v>6</v>
      </c>
      <c r="C26" s="124">
        <f t="shared" si="2"/>
        <v>4110424660.3176589</v>
      </c>
      <c r="D26" s="139">
        <f>IF($C$17&lt;B26,0,Valuation_Model!$C$16)</f>
        <v>6.1165848114484E-2</v>
      </c>
      <c r="E26" s="125">
        <f t="shared" si="0"/>
        <v>0.63016962688310452</v>
      </c>
      <c r="F26" s="126">
        <f t="shared" si="1"/>
        <v>2590264774.5234909</v>
      </c>
      <c r="H26" s="121"/>
    </row>
    <row r="27" spans="2:8">
      <c r="B27" s="123">
        <v>7</v>
      </c>
      <c r="C27" s="124">
        <f t="shared" si="2"/>
        <v>4361842270.7766771</v>
      </c>
      <c r="D27" s="139">
        <f>IF($C$17&lt;B27,0,Valuation_Model!$C$16)</f>
        <v>6.1165848114484E-2</v>
      </c>
      <c r="E27" s="125">
        <f t="shared" si="0"/>
        <v>0.58349039526213387</v>
      </c>
      <c r="F27" s="126">
        <f t="shared" si="1"/>
        <v>2545093070.6465669</v>
      </c>
      <c r="H27" s="121"/>
    </row>
    <row r="28" spans="2:8">
      <c r="B28" s="123">
        <v>8</v>
      </c>
      <c r="C28" s="124">
        <f t="shared" si="2"/>
        <v>4628638052.6103392</v>
      </c>
      <c r="D28" s="139">
        <f>IF($C$17&lt;B28,0,Valuation_Model!$C$16)</f>
        <v>6.1165848114484E-2</v>
      </c>
      <c r="E28" s="125">
        <f t="shared" si="0"/>
        <v>0.54026888450197574</v>
      </c>
      <c r="F28" s="126">
        <f t="shared" si="1"/>
        <v>2500709117.447185</v>
      </c>
      <c r="H28" s="121"/>
    </row>
    <row r="29" spans="2:8">
      <c r="B29" s="123">
        <v>9</v>
      </c>
      <c r="C29" s="124">
        <f t="shared" si="2"/>
        <v>4911752624.7132235</v>
      </c>
      <c r="D29" s="139">
        <f>IF($C$17&lt;B29,0,Valuation_Model!$C$16)</f>
        <v>6.1165848114484E-2</v>
      </c>
      <c r="E29" s="125">
        <f t="shared" si="0"/>
        <v>0.50024896713145905</v>
      </c>
      <c r="F29" s="126">
        <f t="shared" si="1"/>
        <v>2457099177.3180232</v>
      </c>
      <c r="H29" s="121"/>
    </row>
    <row r="30" spans="2:8">
      <c r="B30" s="123">
        <v>10</v>
      </c>
      <c r="C30" s="124">
        <f t="shared" si="2"/>
        <v>5212184139.7323503</v>
      </c>
      <c r="D30" s="139">
        <f>IF($C$17&lt;B30,0,Valuation_Model!$C$16)</f>
        <v>6.1165848114484E-2</v>
      </c>
      <c r="E30" s="125">
        <f t="shared" si="0"/>
        <v>0.46319348808468425</v>
      </c>
      <c r="F30" s="126">
        <f t="shared" si="1"/>
        <v>2414249752.2222967</v>
      </c>
      <c r="H30" s="121"/>
    </row>
    <row r="31" spans="2:8">
      <c r="B31" s="123">
        <v>11</v>
      </c>
      <c r="C31" s="124">
        <f t="shared" si="2"/>
        <v>5530991803.1679411</v>
      </c>
      <c r="D31" s="139">
        <f>IF($C$17&lt;B31,0,Valuation_Model!$C$16)</f>
        <v>6.1165848114484E-2</v>
      </c>
      <c r="E31" s="125">
        <f t="shared" si="0"/>
        <v>0.42888285933767062</v>
      </c>
      <c r="F31" s="126">
        <f t="shared" si="1"/>
        <v>2372147579.5158854</v>
      </c>
      <c r="H31" s="121"/>
    </row>
    <row r="32" spans="2:8">
      <c r="B32" s="123">
        <v>12</v>
      </c>
      <c r="C32" s="124">
        <f t="shared" si="2"/>
        <v>5869299607.7229662</v>
      </c>
      <c r="D32" s="139">
        <f>IF($C$17&lt;B32,0,Valuation_Model!$C$16)</f>
        <v>6.1165848114484E-2</v>
      </c>
      <c r="E32" s="125">
        <f t="shared" si="0"/>
        <v>0.39711375864599124</v>
      </c>
      <c r="F32" s="126">
        <f t="shared" si="1"/>
        <v>2330779627.842309</v>
      </c>
      <c r="H32" s="121"/>
    </row>
    <row r="33" spans="2:8">
      <c r="B33" s="123">
        <v>13</v>
      </c>
      <c r="C33" s="124">
        <f t="shared" si="2"/>
        <v>6228300296.0673494</v>
      </c>
      <c r="D33" s="139">
        <f>IF($C$17&lt;B33,0,Valuation_Model!$C$16)</f>
        <v>6.1165848114484E-2</v>
      </c>
      <c r="E33" s="125">
        <f t="shared" si="0"/>
        <v>0.36769792467221413</v>
      </c>
      <c r="F33" s="126">
        <f t="shared" si="1"/>
        <v>2290133093.0993013</v>
      </c>
      <c r="H33" s="121"/>
    </row>
    <row r="34" spans="2:8">
      <c r="B34" s="123">
        <v>14</v>
      </c>
      <c r="C34" s="124">
        <f t="shared" si="2"/>
        <v>6609259565.9879999</v>
      </c>
      <c r="D34" s="139">
        <f>IF($C$17&lt;B34,0,Valuation_Model!$C$16)</f>
        <v>6.1165848114484E-2</v>
      </c>
      <c r="E34" s="125">
        <f t="shared" si="0"/>
        <v>0.34046104136316119</v>
      </c>
      <c r="F34" s="126">
        <f t="shared" si="1"/>
        <v>2250195394.475709</v>
      </c>
      <c r="H34" s="121"/>
    </row>
    <row r="35" spans="2:8">
      <c r="B35" s="123">
        <v>15</v>
      </c>
      <c r="C35" s="124">
        <f t="shared" si="2"/>
        <v>7013520532.7504206</v>
      </c>
      <c r="D35" s="139">
        <f>IF($C$17&lt;B35,0,Valuation_Model!$C$16)</f>
        <v>6.1165848114484E-2</v>
      </c>
      <c r="E35" s="125">
        <f t="shared" si="0"/>
        <v>0.31524170496588994</v>
      </c>
      <c r="F35" s="126">
        <f t="shared" si="1"/>
        <v>2210954170.5575194</v>
      </c>
      <c r="H35" s="121"/>
    </row>
    <row r="36" spans="2:8">
      <c r="B36" s="123">
        <v>16</v>
      </c>
      <c r="C36" s="124">
        <f t="shared" si="2"/>
        <v>7442508464.4044466</v>
      </c>
      <c r="D36" s="139">
        <f>IF($C$17&lt;B36,0,Valuation_Model!$C$16)</f>
        <v>6.1165848114484E-2</v>
      </c>
      <c r="E36" s="125">
        <f t="shared" si="0"/>
        <v>0.29189046756100923</v>
      </c>
      <c r="F36" s="126">
        <f t="shared" si="1"/>
        <v>2172397275.5017829</v>
      </c>
      <c r="H36" s="121"/>
    </row>
    <row r="37" spans="2:8">
      <c r="B37" s="123">
        <v>17</v>
      </c>
      <c r="C37" s="124">
        <f t="shared" si="2"/>
        <v>7897735806.7289705</v>
      </c>
      <c r="D37" s="139">
        <f>IF($C$17&lt;B37,0,Valuation_Model!$C$16)</f>
        <v>6.1165848114484E-2</v>
      </c>
      <c r="E37" s="125">
        <f t="shared" si="0"/>
        <v>0.27026895144537894</v>
      </c>
      <c r="F37" s="126">
        <f t="shared" si="1"/>
        <v>2134512775.2772627</v>
      </c>
      <c r="H37" s="121"/>
    </row>
    <row r="38" spans="2:8">
      <c r="B38" s="123">
        <v>18</v>
      </c>
      <c r="C38" s="124">
        <f t="shared" si="2"/>
        <v>8380807515.5316763</v>
      </c>
      <c r="D38" s="139">
        <f>IF($C$17&lt;B38,0,Valuation_Model!$C$16)</f>
        <v>6.1165848114484E-2</v>
      </c>
      <c r="E38" s="125">
        <f t="shared" si="0"/>
        <v>0.25024902911609154</v>
      </c>
      <c r="F38" s="126">
        <f t="shared" si="1"/>
        <v>2097288943.9706452</v>
      </c>
      <c r="H38" s="121"/>
    </row>
    <row r="39" spans="2:8">
      <c r="B39" s="123">
        <v>19</v>
      </c>
      <c r="C39" s="124">
        <f t="shared" si="2"/>
        <v>8893426715.1034107</v>
      </c>
      <c r="D39" s="139">
        <f>IF($C$17&lt;B39,0,Valuation_Model!$C$16)</f>
        <v>6.1165848114484E-2</v>
      </c>
      <c r="E39" s="125">
        <f t="shared" si="0"/>
        <v>0.23171206399638106</v>
      </c>
      <c r="F39" s="126">
        <f t="shared" si="1"/>
        <v>2060714260.1571665</v>
      </c>
      <c r="H39" s="121"/>
    </row>
    <row r="40" spans="2:8">
      <c r="B40" s="123">
        <v>20</v>
      </c>
      <c r="C40" s="124">
        <f t="shared" si="2"/>
        <v>9437400702.77672</v>
      </c>
      <c r="D40" s="139">
        <f>IF($C$17&lt;B40,0,Valuation_Model!$C$16)</f>
        <v>6.1165848114484E-2</v>
      </c>
      <c r="E40" s="125">
        <f t="shared" si="0"/>
        <v>0.21454820740405653</v>
      </c>
      <c r="F40" s="126">
        <f t="shared" si="1"/>
        <v>2024777403.3345287</v>
      </c>
      <c r="H40" s="121"/>
    </row>
    <row r="41" spans="2:8">
      <c r="B41" s="123">
        <v>21</v>
      </c>
      <c r="C41" s="124">
        <f t="shared" si="2"/>
        <v>10014647320.758284</v>
      </c>
      <c r="D41" s="139">
        <f>IF($C$17&lt;B41,0,Valuation_Model!$C$16)</f>
        <v>6.1165848114484E-2</v>
      </c>
      <c r="E41" s="125">
        <f t="shared" si="0"/>
        <v>0.19865574759634863</v>
      </c>
      <c r="F41" s="126">
        <f t="shared" si="1"/>
        <v>1989467250.4190066</v>
      </c>
      <c r="H41" s="121"/>
    </row>
    <row r="42" spans="2:8">
      <c r="B42" s="123">
        <v>22</v>
      </c>
      <c r="C42" s="124">
        <f t="shared" si="2"/>
        <v>10627201717.699909</v>
      </c>
      <c r="D42" s="139">
        <f>IF($C$17&lt;B42,0,Valuation_Model!$C$16)</f>
        <v>6.1165848114484E-2</v>
      </c>
      <c r="E42" s="125">
        <f t="shared" si="0"/>
        <v>0.18394050703365611</v>
      </c>
      <c r="F42" s="126">
        <f t="shared" si="1"/>
        <v>1954772872.3026624</v>
      </c>
      <c r="H42" s="121"/>
    </row>
    <row r="43" spans="2:8">
      <c r="B43" s="123">
        <v>23</v>
      </c>
      <c r="C43" s="124">
        <f t="shared" si="2"/>
        <v>11277223523.846722</v>
      </c>
      <c r="D43" s="139">
        <f>IF($C$17&lt;B43,0,Valuation_Model!$C$16)</f>
        <v>6.1165848114484E-2</v>
      </c>
      <c r="E43" s="125">
        <f t="shared" si="0"/>
        <v>0.17031528429042234</v>
      </c>
      <c r="F43" s="126">
        <f t="shared" si="1"/>
        <v>1920683530.4705927</v>
      </c>
      <c r="H43" s="121"/>
    </row>
    <row r="44" spans="2:8">
      <c r="B44" s="123">
        <v>24</v>
      </c>
      <c r="C44" s="124">
        <f t="shared" si="2"/>
        <v>11967004465.059414</v>
      </c>
      <c r="D44" s="139">
        <f>IF($C$17&lt;B44,0,Valuation_Model!$C$16)</f>
        <v>6.1165848114484E-2</v>
      </c>
      <c r="E44" s="125">
        <f t="shared" si="0"/>
        <v>0.1576993373059466</v>
      </c>
      <c r="F44" s="126">
        <f t="shared" si="1"/>
        <v>1887188673.6771736</v>
      </c>
      <c r="H44" s="121"/>
    </row>
    <row r="45" spans="2:8">
      <c r="B45" s="123">
        <v>25</v>
      </c>
      <c r="C45" s="124">
        <f t="shared" si="2"/>
        <v>12698976442.55459</v>
      </c>
      <c r="D45" s="139">
        <f>IF($C$17&lt;B45,0,Valuation_Model!$C$16)</f>
        <v>6.1165848114484E-2</v>
      </c>
      <c r="E45" s="125">
        <f t="shared" si="0"/>
        <v>0.1460179049129135</v>
      </c>
      <c r="F45" s="126">
        <f t="shared" si="1"/>
        <v>1854277934.6802647</v>
      </c>
      <c r="H45" s="121"/>
    </row>
    <row r="46" spans="2:8">
      <c r="B46" s="123">
        <v>26</v>
      </c>
      <c r="C46" s="124">
        <f t="shared" si="2"/>
        <v>13475720106.849295</v>
      </c>
      <c r="D46" s="139">
        <f>IF($C$17&lt;B46,0,Valuation_Model!$C$16)</f>
        <v>6.1165848114484E-2</v>
      </c>
      <c r="E46" s="125">
        <f t="shared" si="0"/>
        <v>0.13520176380825324</v>
      </c>
      <c r="F46" s="126">
        <f t="shared" si="1"/>
        <v>1821941127.0323675</v>
      </c>
      <c r="H46" s="121"/>
    </row>
    <row r="47" spans="2:8">
      <c r="B47" s="123">
        <v>27</v>
      </c>
      <c r="C47" s="124">
        <f t="shared" si="2"/>
        <v>14299973956.138134</v>
      </c>
      <c r="D47" s="139">
        <f>IF($C$17&lt;B47,0,Valuation_Model!$C$16)</f>
        <v>6.1165848114484E-2</v>
      </c>
      <c r="E47" s="125">
        <f t="shared" si="0"/>
        <v>0.12518681834097523</v>
      </c>
      <c r="F47" s="126">
        <f t="shared" si="1"/>
        <v>1790168241.9277415</v>
      </c>
      <c r="H47" s="121"/>
    </row>
    <row r="48" spans="2:8">
      <c r="B48" s="123">
        <v>28</v>
      </c>
      <c r="C48" s="124">
        <f t="shared" si="2"/>
        <v>15174643991.180353</v>
      </c>
      <c r="D48" s="139">
        <f>IF($C$17&lt;B48,0,Valuation_Model!$C$16)</f>
        <v>6.1165848114484E-2</v>
      </c>
      <c r="E48" s="125">
        <f t="shared" si="0"/>
        <v>0.11591372068608817</v>
      </c>
      <c r="F48" s="126">
        <f t="shared" si="1"/>
        <v>1758949445.1045055</v>
      </c>
      <c r="H48" s="121"/>
    </row>
    <row r="49" spans="1:8">
      <c r="B49" s="123">
        <v>29</v>
      </c>
      <c r="C49" s="124">
        <f t="shared" si="2"/>
        <v>16102813960.736256</v>
      </c>
      <c r="D49" s="139">
        <f>IF($C$17&lt;B49,0,Valuation_Model!$C$16)</f>
        <v>6.1165848114484E-2</v>
      </c>
      <c r="E49" s="125">
        <f t="shared" si="0"/>
        <v>0.10732751915378534</v>
      </c>
      <c r="F49" s="126">
        <f t="shared" si="1"/>
        <v>1728275073.8007624</v>
      </c>
      <c r="H49" s="121"/>
    </row>
    <row r="50" spans="1:8">
      <c r="B50" s="123">
        <v>30</v>
      </c>
      <c r="C50" s="124">
        <f t="shared" si="2"/>
        <v>17087756233.674442</v>
      </c>
      <c r="D50" s="139">
        <f>IF($C$17&lt;B50,0,Valuation_Model!$C$16)</f>
        <v>6.1165848114484E-2</v>
      </c>
      <c r="E50" s="125">
        <f t="shared" si="0"/>
        <v>9.9377332549801231E-2</v>
      </c>
      <c r="F50" s="126">
        <f t="shared" si="1"/>
        <v>1698135633.763804</v>
      </c>
      <c r="H50" s="121"/>
    </row>
    <row r="51" spans="1:8">
      <c r="B51" s="127" t="s">
        <v>132</v>
      </c>
      <c r="C51" s="124">
        <f>C$21*(1+Terminal_Growth)^$C$17/Equity_Cost</f>
        <v>38183908712.51696</v>
      </c>
      <c r="D51" s="140">
        <f>Terminal_Growth</f>
        <v>0</v>
      </c>
      <c r="E51" s="125">
        <f>1/(1+Equity_Cost)^C17</f>
        <v>9.9377332549801231E-2</v>
      </c>
      <c r="F51" s="126">
        <f t="shared" si="1"/>
        <v>3794614994.1750507</v>
      </c>
      <c r="H51" s="121"/>
    </row>
    <row r="52" spans="1:8">
      <c r="C52" s="115"/>
      <c r="E52" s="128" t="s">
        <v>101</v>
      </c>
      <c r="F52" s="138">
        <f>SUM(F21:F51)</f>
        <v>70307254618.17218</v>
      </c>
      <c r="H52" s="121"/>
    </row>
    <row r="53" spans="1:8">
      <c r="C53" s="115"/>
      <c r="H53" s="121"/>
    </row>
    <row r="54" spans="1:8" ht="13.15">
      <c r="B54" s="120" t="s">
        <v>130</v>
      </c>
      <c r="C54" s="137"/>
      <c r="D54" s="137"/>
      <c r="E54" s="118"/>
      <c r="F54" s="118"/>
      <c r="H54" s="121"/>
    </row>
    <row r="55" spans="1:8" ht="13.15">
      <c r="A55" s="134">
        <f>F52</f>
        <v>70307254618.17218</v>
      </c>
      <c r="B55" s="132">
        <f>C78</f>
        <v>0.02</v>
      </c>
      <c r="C55" s="132">
        <f>C77</f>
        <v>0.04</v>
      </c>
      <c r="D55" s="132">
        <f>C76</f>
        <v>0.06</v>
      </c>
      <c r="E55" s="132">
        <f>C75</f>
        <v>0.08</v>
      </c>
      <c r="F55" s="132">
        <f>C74</f>
        <v>0.1</v>
      </c>
      <c r="H55" s="121"/>
    </row>
    <row r="56" spans="1:8" ht="13.15">
      <c r="A56" s="144">
        <v>5</v>
      </c>
      <c r="B56" s="124">
        <f t="dataTable" ref="B56:F61" dt2D="1" dtr="1" r1="C16" r2="C17"/>
        <v>37143978540.338562</v>
      </c>
      <c r="C56" s="124">
        <v>38339749234.337227</v>
      </c>
      <c r="D56" s="124">
        <v>39571817232.211975</v>
      </c>
      <c r="E56" s="124">
        <v>40841755661.633034</v>
      </c>
      <c r="F56" s="124">
        <v>42151185647.949028</v>
      </c>
      <c r="H56" s="121"/>
    </row>
    <row r="57" spans="1:8" ht="13.15">
      <c r="A57" s="144">
        <v>10</v>
      </c>
      <c r="B57" s="124">
        <v>38306046909.630844</v>
      </c>
      <c r="C57" s="124">
        <v>40861948828.513817</v>
      </c>
      <c r="D57" s="124">
        <v>43678550185.483231</v>
      </c>
      <c r="E57" s="124">
        <v>46786831627.411896</v>
      </c>
      <c r="F57" s="124">
        <v>50221197787.188156</v>
      </c>
      <c r="H57" s="121"/>
    </row>
    <row r="58" spans="1:8" ht="13.15">
      <c r="A58" s="144">
        <v>15</v>
      </c>
      <c r="B58" s="124">
        <v>39744428727.995613</v>
      </c>
      <c r="C58" s="124">
        <v>44149955852.618637</v>
      </c>
      <c r="D58" s="124">
        <v>49327519805.158142</v>
      </c>
      <c r="E58" s="124">
        <v>55430377714.392746</v>
      </c>
      <c r="F58" s="124">
        <v>62641845623.514038</v>
      </c>
      <c r="H58" s="121"/>
    </row>
    <row r="59" spans="1:8" ht="13.15">
      <c r="A59" s="145">
        <v>20</v>
      </c>
      <c r="B59" s="124">
        <v>41209909131.150436</v>
      </c>
      <c r="C59" s="124">
        <v>47688923481.465614</v>
      </c>
      <c r="D59" s="124">
        <v>55771458671.891273</v>
      </c>
      <c r="E59" s="124">
        <v>65910457223.561325</v>
      </c>
      <c r="F59" s="124">
        <v>78689179142.481049</v>
      </c>
      <c r="H59" s="121"/>
    </row>
    <row r="60" spans="1:8" ht="13.15">
      <c r="A60" s="145">
        <v>25</v>
      </c>
      <c r="B60" s="124">
        <v>42572887225.606087</v>
      </c>
      <c r="C60" s="124">
        <v>51174926989.015862</v>
      </c>
      <c r="D60" s="124">
        <v>62524510676.924438</v>
      </c>
      <c r="E60" s="124">
        <v>77640450520.661743</v>
      </c>
      <c r="F60" s="124">
        <v>97934456158.63559</v>
      </c>
      <c r="H60" s="121"/>
    </row>
    <row r="61" spans="1:8" ht="13.15">
      <c r="A61" s="145">
        <v>30</v>
      </c>
      <c r="B61" s="124">
        <v>43775223506.317291</v>
      </c>
      <c r="C61" s="124">
        <v>54439600167.583008</v>
      </c>
      <c r="D61" s="124">
        <v>69276704501.23262</v>
      </c>
      <c r="E61" s="124">
        <v>90221114139.569397</v>
      </c>
      <c r="F61" s="124">
        <v>120155994217.37132</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40.080865541246048</v>
      </c>
      <c r="C65" s="125">
        <f>C12</f>
        <v>40.080865541246048</v>
      </c>
      <c r="D65" s="125">
        <f>C12</f>
        <v>40.080865541246048</v>
      </c>
      <c r="E65" s="142">
        <f>C12</f>
        <v>40.080865541246048</v>
      </c>
      <c r="F65" s="125">
        <f>C12</f>
        <v>40.080865541246048</v>
      </c>
      <c r="H65" s="121"/>
    </row>
    <row r="66" spans="1:8" ht="13.15">
      <c r="A66" s="144">
        <f t="shared" ref="A66:A71" si="3">A56</f>
        <v>5</v>
      </c>
      <c r="B66" s="125">
        <f t="shared" ref="B66:F71" si="4">(B56-$C$7+$C$8+$C$9)/Common_Shares*$C$3*Exchange_Rate</f>
        <v>40.988689834658771</v>
      </c>
      <c r="C66" s="125">
        <f t="shared" si="4"/>
        <v>41.923703069500576</v>
      </c>
      <c r="D66" s="125">
        <f t="shared" si="4"/>
        <v>42.887098384354502</v>
      </c>
      <c r="E66" s="125">
        <f t="shared" si="4"/>
        <v>43.880105860538919</v>
      </c>
      <c r="F66" s="125">
        <f t="shared" si="4"/>
        <v>44.903993110367729</v>
      </c>
      <c r="H66" s="121"/>
    </row>
    <row r="67" spans="1:8" ht="13.15">
      <c r="A67" s="144">
        <f t="shared" si="3"/>
        <v>10</v>
      </c>
      <c r="B67" s="125">
        <f t="shared" si="4"/>
        <v>41.897350090786887</v>
      </c>
      <c r="C67" s="125">
        <f t="shared" si="4"/>
        <v>43.895895575391158</v>
      </c>
      <c r="D67" s="125">
        <f t="shared" si="4"/>
        <v>46.098290699520817</v>
      </c>
      <c r="E67" s="125">
        <f t="shared" si="4"/>
        <v>48.528760270653926</v>
      </c>
      <c r="F67" s="125">
        <f t="shared" si="4"/>
        <v>51.214206425840622</v>
      </c>
      <c r="H67" s="121"/>
    </row>
    <row r="68" spans="1:8" ht="13.15">
      <c r="A68" s="144">
        <f t="shared" si="3"/>
        <v>15</v>
      </c>
      <c r="B68" s="125">
        <f t="shared" si="4"/>
        <v>43.022069105625341</v>
      </c>
      <c r="C68" s="125">
        <f t="shared" si="4"/>
        <v>46.46689861068905</v>
      </c>
      <c r="D68" s="125">
        <f t="shared" si="4"/>
        <v>50.515409620501188</v>
      </c>
      <c r="E68" s="125">
        <f t="shared" si="4"/>
        <v>55.287439027252759</v>
      </c>
      <c r="F68" s="125">
        <f t="shared" si="4"/>
        <v>60.926327797069789</v>
      </c>
      <c r="H68" s="121"/>
    </row>
    <row r="69" spans="1:8" ht="13.15">
      <c r="A69" s="145">
        <f t="shared" si="3"/>
        <v>20</v>
      </c>
      <c r="B69" s="125">
        <f t="shared" si="4"/>
        <v>44.167977413320173</v>
      </c>
      <c r="C69" s="125">
        <f t="shared" si="4"/>
        <v>49.234136164892185</v>
      </c>
      <c r="D69" s="125">
        <f t="shared" si="4"/>
        <v>55.554141674352408</v>
      </c>
      <c r="E69" s="125">
        <f t="shared" si="4"/>
        <v>63.482164899400608</v>
      </c>
      <c r="F69" s="125">
        <f t="shared" si="4"/>
        <v>73.47427641251852</v>
      </c>
      <c r="H69" s="121"/>
    </row>
    <row r="70" spans="1:8" ht="13.15">
      <c r="A70" s="145">
        <f t="shared" si="3"/>
        <v>25</v>
      </c>
      <c r="B70" s="125">
        <f t="shared" si="4"/>
        <v>45.233735725939361</v>
      </c>
      <c r="C70" s="125">
        <f t="shared" si="4"/>
        <v>51.959959295215597</v>
      </c>
      <c r="D70" s="125">
        <f t="shared" si="4"/>
        <v>60.834579664654981</v>
      </c>
      <c r="E70" s="125">
        <f t="shared" si="4"/>
        <v>72.654240308539912</v>
      </c>
      <c r="F70" s="125">
        <f t="shared" si="4"/>
        <v>88.522804369101323</v>
      </c>
    </row>
    <row r="71" spans="1:8" ht="13.15">
      <c r="A71" s="145">
        <f t="shared" si="3"/>
        <v>30</v>
      </c>
      <c r="B71" s="125">
        <f t="shared" si="4"/>
        <v>46.173882813368074</v>
      </c>
      <c r="C71" s="125">
        <f t="shared" si="4"/>
        <v>54.512716813620521</v>
      </c>
      <c r="D71" s="125">
        <f t="shared" si="4"/>
        <v>66.114346614648753</v>
      </c>
      <c r="E71" s="125">
        <f t="shared" si="4"/>
        <v>82.4914833901843</v>
      </c>
      <c r="F71" s="125">
        <f t="shared" si="4"/>
        <v>105.89857071605785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105.89857071605785</v>
      </c>
      <c r="F74" s="143">
        <f>Scenarios!C58</f>
        <v>0.05</v>
      </c>
    </row>
    <row r="75" spans="1:8">
      <c r="B75" s="128" t="str">
        <f>Scenarios!B36</f>
        <v>Optimistic</v>
      </c>
      <c r="C75" s="143">
        <f>Scenarios!C38</f>
        <v>0.08</v>
      </c>
      <c r="D75" s="146">
        <f>Scenarios!C37</f>
        <v>30</v>
      </c>
      <c r="E75" s="136">
        <f>INDEX(B$65:F$71, MATCH(D75, A$65:A$71, 0), MATCH(C75, B$64:F$64, 0))</f>
        <v>82.4914833901843</v>
      </c>
      <c r="F75" s="143">
        <f>Scenarios!C40*(1-F$74-F$78)</f>
        <v>0.18</v>
      </c>
      <c r="H75" s="121"/>
    </row>
    <row r="76" spans="1:8">
      <c r="B76" s="128" t="str">
        <f>Scenarios!B24</f>
        <v>Base</v>
      </c>
      <c r="C76" s="143">
        <f>Scenarios!C26</f>
        <v>0.06</v>
      </c>
      <c r="D76" s="146">
        <f>Scenarios!C25</f>
        <v>30</v>
      </c>
      <c r="E76" s="136">
        <f>INDEX(B$65:F$71, MATCH(D76, A$65:A$71, 0), MATCH(C76, B$64:F$64, 0))</f>
        <v>66.114346614648753</v>
      </c>
      <c r="F76" s="143">
        <f>Scenarios!C28*(1-F$74-F$78)</f>
        <v>0.44999999999999996</v>
      </c>
      <c r="H76" s="121"/>
    </row>
    <row r="77" spans="1:8">
      <c r="B77" s="128" t="str">
        <f>Scenarios!B30</f>
        <v>Pessimistic</v>
      </c>
      <c r="C77" s="143">
        <f>Scenarios!C32</f>
        <v>0.04</v>
      </c>
      <c r="D77" s="146">
        <f>Scenarios!C31</f>
        <v>30</v>
      </c>
      <c r="E77" s="136">
        <f>INDEX(B$65:F$71, MATCH(D77, A$65:A$71, 0), MATCH(C77, B$64:F$64, 0))</f>
        <v>54.512716813620521</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46.173882813368074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2.0624137975483059</v>
      </c>
    </row>
    <row r="5" spans="2:9">
      <c r="H5" s="276">
        <v>2</v>
      </c>
      <c r="I5" s="264">
        <f t="shared" si="0"/>
        <v>2.0624137975483059</v>
      </c>
    </row>
    <row r="6" spans="2:9" ht="13.15">
      <c r="B6" s="160" t="s">
        <v>96</v>
      </c>
      <c r="C6" s="107">
        <f>Valuation_Model!C3</f>
        <v>1</v>
      </c>
      <c r="E6" s="100" t="s">
        <v>282</v>
      </c>
      <c r="F6" s="100"/>
      <c r="H6" s="276">
        <v>3</v>
      </c>
      <c r="I6" s="264">
        <f t="shared" si="0"/>
        <v>68.984393000522246</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3155184855.5648165</v>
      </c>
      <c r="D8" t="str">
        <f>Reporting_currency</f>
        <v>CNY</v>
      </c>
      <c r="E8" s="350"/>
      <c r="F8" s="350"/>
      <c r="H8" s="276">
        <v>5</v>
      </c>
      <c r="I8" s="264" t="str">
        <f t="shared" si="0"/>
        <v/>
      </c>
    </row>
    <row r="9" spans="2:9">
      <c r="B9" s="100" t="s">
        <v>57</v>
      </c>
      <c r="C9" s="201">
        <f>Normalized_FCF!C19</f>
        <v>2878638341.4327517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0.22851327690218692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54.25</v>
      </c>
      <c r="D21" t="str">
        <f>Market_currency</f>
        <v>HKD</v>
      </c>
      <c r="E21" s="351"/>
      <c r="F21" s="351"/>
    </row>
    <row r="22" spans="2:6">
      <c r="B22" s="100" t="s">
        <v>281</v>
      </c>
      <c r="C22" s="161">
        <f>Valuation_Model!C12</f>
        <v>40.080865541246048</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66.114346614648753</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54.512716813620521</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82.4914833901843</v>
      </c>
      <c r="D39" t="str">
        <f>Market_currency</f>
        <v>HKD</v>
      </c>
      <c r="E39" s="349"/>
      <c r="F39" s="349"/>
    </row>
    <row r="40" spans="2:6">
      <c r="B40" s="100" t="s">
        <v>148</v>
      </c>
      <c r="C40" s="168">
        <f>1-C28-C34</f>
        <v>0.2</v>
      </c>
      <c r="D40" s="166"/>
      <c r="E40" s="349"/>
      <c r="F40" s="349"/>
    </row>
    <row r="42" spans="2:6" ht="13.15">
      <c r="B42" s="100" t="s">
        <v>121</v>
      </c>
      <c r="C42" s="155">
        <f>C27*C28+C33*C34+C39*C40</f>
        <v>65.909285029447389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46.173882813368074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105.89857071605785</v>
      </c>
      <c r="D57" t="str">
        <f>Market_currency</f>
        <v>HKD</v>
      </c>
      <c r="E57" s="349"/>
      <c r="F57" s="349"/>
    </row>
    <row r="58" spans="2:6">
      <c r="B58" s="100" t="s">
        <v>148</v>
      </c>
      <c r="C58" s="166">
        <v>0.05</v>
      </c>
      <c r="D58" s="166"/>
      <c r="E58" s="349"/>
      <c r="F58" s="349"/>
    </row>
    <row r="60" spans="2:6" ht="13.15">
      <c r="B60" s="100" t="s">
        <v>121</v>
      </c>
      <c r="C60" s="155">
        <f>C51*C52+C57*C58+C42*(1-C52-C58)</f>
        <v>66.921979202973944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66.92016833560433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0.17848495563082309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2.0624137975483059</v>
      </c>
      <c r="D77" t="str">
        <f>Market_currency</f>
        <v>HKD</v>
      </c>
    </row>
    <row r="79" spans="2:6" ht="13.15">
      <c r="B79" s="109" t="s">
        <v>308</v>
      </c>
    </row>
    <row r="80" spans="2:6">
      <c r="B80" s="149" t="s">
        <v>306</v>
      </c>
      <c r="C80" s="168">
        <f>Thesis!C127</f>
        <v>0.25</v>
      </c>
    </row>
    <row r="81" spans="2:8">
      <c r="B81" s="100" t="s">
        <v>122</v>
      </c>
      <c r="C81" s="117">
        <f>PV(C80, C76, -C77, 0)</f>
        <v>4.025831732814293</v>
      </c>
      <c r="D81" s="117"/>
      <c r="E81" s="100"/>
      <c r="F81" s="100"/>
    </row>
    <row r="82" spans="2:8">
      <c r="B82" s="100" t="s">
        <v>123</v>
      </c>
      <c r="C82" s="117">
        <f>C60/(1+C80)^C76</f>
        <v>34.264053351922662</v>
      </c>
      <c r="D82" s="117"/>
    </row>
    <row r="83" spans="2:8" ht="13.15">
      <c r="B83" s="111" t="s">
        <v>102</v>
      </c>
      <c r="C83" s="112">
        <f>C81+C82</f>
        <v>38.289885084736952</v>
      </c>
      <c r="D83" t="str">
        <f>Market_currency</f>
        <v>HKD</v>
      </c>
      <c r="E83" s="147" t="s">
        <v>127</v>
      </c>
      <c r="F83" s="329">
        <f>(1-C83/C60)</f>
        <v>0.42784290690799853</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0.10804060157997641</v>
      </c>
    </row>
    <row r="88" spans="2:8">
      <c r="B88" s="100"/>
    </row>
    <row r="89" spans="2:8" ht="13.15">
      <c r="B89" s="109" t="s">
        <v>406</v>
      </c>
    </row>
    <row r="90" spans="2:8">
      <c r="B90" s="149" t="s">
        <v>413</v>
      </c>
      <c r="C90" s="135">
        <f>MAX(6%,(Thesis!E19+Thesis!C67)/2)</f>
        <v>0.06</v>
      </c>
    </row>
    <row r="91" spans="2:8">
      <c r="B91" s="100" t="s">
        <v>122</v>
      </c>
      <c r="C91" s="117">
        <f>PV(C90, C76, -C77, 0)</f>
        <v>5.5128567255811802</v>
      </c>
      <c r="D91" s="117"/>
    </row>
    <row r="92" spans="2:8">
      <c r="B92" s="100" t="s">
        <v>123</v>
      </c>
      <c r="C92" s="117">
        <f>C60/(1+C90)^C76</f>
        <v>56.188984197503579</v>
      </c>
      <c r="D92" s="117"/>
    </row>
    <row r="93" spans="2:8" ht="13.15">
      <c r="B93" s="111" t="s">
        <v>407</v>
      </c>
      <c r="C93" s="112">
        <f>C91+C92</f>
        <v>61.70184092308476</v>
      </c>
      <c r="D93" t="s">
        <v>405</v>
      </c>
      <c r="E93" s="147" t="s">
        <v>127</v>
      </c>
      <c r="F93" s="329">
        <f>(1-C93/C60)</f>
        <v>7.8003345717802763E-2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