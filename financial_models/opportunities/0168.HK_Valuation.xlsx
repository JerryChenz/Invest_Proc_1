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F0799F5-34B3-B740-B96D-62438ED63407}"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3" i="2" l="1"/>
  <c r="F71" i="4"/>
  <c r="C31" i="4"/>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<sst xmlns="http://schemas.openxmlformats.org/spreadsheetml/2006/main" count="685" uniqueCount="465">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</sst>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6" t="s">
        <v>450</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1364196788</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55.85</v>
      </c>
      <c r="D12" s="50"/>
      <c r="E12" s="48"/>
    </row>
    <row r="13" spans="1:10" x14ac:dyDescent="0.15">
      <c r="B13" s="1" t="s">
        <v>416</v>
      </c>
      <c r="C13" s="48" t="s">
        <v>396</v>
      </c>
      <c r="D13" s="48"/>
      <c r="E13" s="5"/>
    </row>
    <row r="14" spans="1:10" x14ac:dyDescent="0.15">
      <c r="B14" s="4" t="s">
        <v>420</v>
      </c>
      <c r="C14" s="35">
        <f>Thesis!C12*Common_Shares/1000000</f>
        <v>76190.390609800001</v>
      </c>
      <c r="D14" s="35" t="str">
        <f>IF(D11="","",Thesis!D12*Common_Shares/1000000)</f>
        <v/>
      </c>
      <c r="E14" s="5"/>
    </row>
    <row r="15" spans="1:10" x14ac:dyDescent="0.15">
      <c r="B15" s="4" t="s">
        <v>419</v>
      </c>
      <c r="C15" s="32" t="str">
        <f>IF(C25=C13,C13,C25&amp;"/"&amp;C13)</f>
        <v>CNY/HKD</v>
      </c>
      <c r="D15" s="32" t="str">
        <f>IF(D11="","",IF(C25=D13,D13,C25&amp;"/"&amp;D13))</f>
        <v/>
      </c>
      <c r="E15" s="5"/>
    </row>
    <row r="16" spans="1:10" x14ac:dyDescent="0.15">
      <c r="B16" s="4" t="s">
        <v>1</v>
      </c>
      <c r="C16" s="50">
        <v>1.0889065499999999</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461</v>
      </c>
    </row>
    <row r="22" spans="2:6" x14ac:dyDescent="0.15">
      <c r="B22" s="2" t="s">
        <v>56</v>
      </c>
      <c r="C22" s="48" t="s">
        <v>460</v>
      </c>
      <c r="D22" s="1" t="str">
        <f>IF(valuation_method="DDM","DDM Terminal Value","")</f>
        <v/>
      </c>
      <c r="E22" s="313"/>
    </row>
    <row r="23" spans="2:6" x14ac:dyDescent="0.15">
      <c r="B23" s="1" t="s">
        <v>434</v>
      </c>
      <c r="C23" s="262" t="s">
        <v>456</v>
      </c>
    </row>
    <row r="24" spans="2:6" x14ac:dyDescent="0.15">
      <c r="B24" s="1" t="s">
        <v>435</v>
      </c>
      <c r="C24" s="262" t="s">
        <v>456</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(HKD) :</v>
      </c>
      <c r="C26" s="304">
        <f>C132</f>
        <v>72.690879001797583</v>
      </c>
      <c r="D26" s="1" t="s">
        <v>399</v>
      </c>
      <c r="E26" s="301">
        <f ca="1">Scenarios!C87</f>
        <v>0.12509933220846503</v>
      </c>
    </row>
    <row r="27" spans="2:6" x14ac:dyDescent="0.15">
      <c r="D27" s="5"/>
      <c r="E27" s="5"/>
    </row>
    <row r="28" spans="2:6" x14ac:dyDescent="0.15">
      <c r="B28" s="45" t="s">
        <v>433</v>
      </c>
      <c r="C28" s="309" t="str">
        <f>C145&amp;" ("&amp;Market_currency&amp;")"</f>
        <v>0168.HK (HKD)</v>
      </c>
      <c r="D28" s="309" t="str">
        <f>IF(D11="","",D145&amp;" ("&amp;D13&amp;")")</f>
        <v/>
      </c>
      <c r="E28" s="305" t="s">
        <v>429</v>
      </c>
      <c r="F28" s="303">
        <v>3</v>
      </c>
    </row>
    <row r="29" spans="2:6" x14ac:dyDescent="0.15">
      <c r="B29" s="1" t="s">
        <v>425</v>
      </c>
      <c r="C29" s="310">
        <f>C149</f>
        <v>31.779355243789567</v>
      </c>
      <c r="D29" s="310" t="str">
        <f>D149</f>
        <v/>
      </c>
      <c r="E29" s="306" t="s">
        <v>424</v>
      </c>
      <c r="F29" s="302">
        <v>0.3674</v>
      </c>
    </row>
    <row r="30" spans="2:6" x14ac:dyDescent="0.15">
      <c r="B30" s="1" t="s">
        <v>426</v>
      </c>
      <c r="C30" s="311">
        <f>C157</f>
        <v>44.430980111094733</v>
      </c>
      <c r="D30" s="311" t="str">
        <f>D157</f>
        <v/>
      </c>
      <c r="E30" s="307" t="s">
        <v>437</v>
      </c>
      <c r="F30" s="312">
        <v>0.21740000000000001</v>
      </c>
    </row>
    <row r="31" spans="2:6" x14ac:dyDescent="0.15">
      <c r="B31" s="1" t="s">
        <v>427</v>
      </c>
      <c r="C31" s="311">
        <f>C165</f>
        <v>63.76732957577638</v>
      </c>
      <c r="D31" s="311" t="str">
        <f>D165</f>
        <v/>
      </c>
      <c r="E31" s="307" t="s">
        <v>436</v>
      </c>
      <c r="F31" s="312">
        <v>7.4999999999999997E-2</v>
      </c>
    </row>
    <row r="32" spans="2:6" x14ac:dyDescent="0.15">
      <c r="B32" s="1" t="s">
        <v>428</v>
      </c>
      <c r="C32" s="311">
        <f>C173</f>
        <v>56.976306993086112</v>
      </c>
      <c r="D32" s="311" t="str">
        <f>D173</f>
        <v/>
      </c>
      <c r="E32" s="307" t="s">
        <v>438</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v>
      </c>
    </row>
    <row r="40" spans="1:6" ht="24.5" customHeight="1" x14ac:dyDescent="0.15">
      <c r="B40" s="357" t="s">
        <v>231</v>
      </c>
      <c r="C40" s="357"/>
      <c r="D40" s="357"/>
      <c r="E40" s="357"/>
      <c r="F40" s="357"/>
    </row>
    <row r="41" spans="1:6" x14ac:dyDescent="0.15">
      <c r="B41" s="47" t="s">
        <v>232</v>
      </c>
      <c r="C41" s="349">
        <f>Normalized_FCF!C8</f>
        <v>3878068070.3077545</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1191305772</v>
      </c>
      <c r="D44" s="1" t="str">
        <f>Reporting_currency</f>
        <v>CNY</v>
      </c>
    </row>
    <row r="45" spans="1:6" x14ac:dyDescent="0.15">
      <c r="B45" s="52" t="s">
        <v>235</v>
      </c>
      <c r="C45" s="349">
        <f>Normalized_FCF!C10</f>
        <v>-1191305772</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177138295.63430637</v>
      </c>
      <c r="D51" s="1" t="str">
        <f>Reporting_currency</f>
        <v>CNY</v>
      </c>
      <c r="E51" s="286"/>
      <c r="F51" s="286"/>
    </row>
    <row r="52" spans="2:6" x14ac:dyDescent="0.15">
      <c r="B52" s="47" t="s">
        <v>341</v>
      </c>
      <c r="C52" s="350">
        <f>Normalized_FCF!C47</f>
        <v>-21837054</v>
      </c>
      <c r="D52" s="1" t="str">
        <f>Reporting_currency</f>
        <v>CNY</v>
      </c>
      <c r="E52" s="286"/>
      <c r="F52" s="286"/>
    </row>
    <row r="53" spans="2:6" x14ac:dyDescent="0.15">
      <c r="B53" s="47" t="s">
        <v>238</v>
      </c>
      <c r="C53" s="349">
        <f>Normalized_FCF!C12</f>
        <v>155301241.63430637</v>
      </c>
      <c r="D53" s="1" t="str">
        <f>Reporting_currency</f>
        <v>CNY</v>
      </c>
    </row>
    <row r="55" spans="2:6" x14ac:dyDescent="0.15">
      <c r="B55" s="1" t="s">
        <v>246</v>
      </c>
    </row>
    <row r="56" spans="2:6" x14ac:dyDescent="0.15">
      <c r="B56" s="47" t="s">
        <v>265</v>
      </c>
      <c r="C56" s="349">
        <f>Normalized_FCF!C15</f>
        <v>-146634564.47167698</v>
      </c>
      <c r="D56" s="1" t="str">
        <f>Reporting_currency</f>
        <v>CNY</v>
      </c>
    </row>
    <row r="58" spans="2:6" x14ac:dyDescent="0.15">
      <c r="B58" s="357" t="s">
        <v>241</v>
      </c>
      <c r="C58" s="357"/>
      <c r="D58" s="357"/>
      <c r="E58" s="357"/>
      <c r="F58" s="357"/>
    </row>
    <row r="59" spans="2:6" x14ac:dyDescent="0.15">
      <c r="B59" s="47" t="s">
        <v>239</v>
      </c>
      <c r="C59" s="349">
        <f>Normalized_FCF!C14</f>
        <v>-1008342327.9855152</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3154856959.634306</v>
      </c>
      <c r="D67" s="1" t="str">
        <f>Reporting_currency</f>
        <v>CNY</v>
      </c>
    </row>
    <row r="68" spans="1:6" x14ac:dyDescent="0.15">
      <c r="B68" s="47" t="s">
        <v>248</v>
      </c>
      <c r="C68" s="349">
        <f>Normalized_FCF!C19</f>
        <v>2878392419.484869</v>
      </c>
      <c r="D68" s="1" t="str">
        <f>Reporting_currency</f>
        <v>CNY</v>
      </c>
    </row>
    <row r="69" spans="1:6" x14ac:dyDescent="0.15">
      <c r="B69" s="227" t="s">
        <v>390</v>
      </c>
      <c r="C69" s="92">
        <f>Normalized_FCF!C125</f>
        <v>4.1137738420312958E-2</v>
      </c>
      <c r="F69" s="314"/>
    </row>
    <row r="70" spans="1:6" x14ac:dyDescent="0.15">
      <c r="B70" s="227" t="s">
        <v>308</v>
      </c>
      <c r="C70" s="92">
        <f>Normalized_FCF!C93</f>
        <v>3.6175029436228828E-2</v>
      </c>
      <c r="E70" s="47" t="s">
        <v>448</v>
      </c>
      <c r="F70" s="315">
        <f>Normalized_FCF!C92</f>
        <v>0.95754477548288863</v>
      </c>
    </row>
    <row r="72" spans="1:6" x14ac:dyDescent="0.15">
      <c r="B72" s="210" t="s">
        <v>451</v>
      </c>
      <c r="C72" s="323" t="s">
        <v>453</v>
      </c>
      <c r="D72" s="323" t="s">
        <v>454</v>
      </c>
    </row>
    <row r="73" spans="1:6" x14ac:dyDescent="0.15">
      <c r="B73" s="47" t="s">
        <v>452</v>
      </c>
      <c r="C73" s="92">
        <f>Normalized_FCF!C120</f>
        <v>0.13507807020135146</v>
      </c>
      <c r="D73" s="92">
        <f>Normalized_FCF!G120</f>
        <v>0.15711446946862234</v>
      </c>
    </row>
    <row r="74" spans="1:6" x14ac:dyDescent="0.15">
      <c r="B74" s="259" t="str">
        <f>Normalized_FCF!B117</f>
        <v>Pre-tax Profit/Sales</v>
      </c>
      <c r="C74" s="322">
        <f>Normalized_FCF!C117</f>
        <v>0.12563768420827973</v>
      </c>
      <c r="D74" s="322">
        <f>Normalized_FCF!G117</f>
        <v>0.14597644226230957</v>
      </c>
    </row>
    <row r="75" spans="1:6" x14ac:dyDescent="0.15">
      <c r="B75" s="259" t="str">
        <f>Normalized_FCF!B118</f>
        <v>Sales/Total Assets</v>
      </c>
      <c r="C75" s="324">
        <f>Normalized_FCF!C118</f>
        <v>0.62432788948992113</v>
      </c>
      <c r="D75" s="324">
        <f>Normalized_FCF!G118</f>
        <v>0.62500173016982585</v>
      </c>
    </row>
    <row r="76" spans="1:6" x14ac:dyDescent="0.15">
      <c r="B76" s="259" t="str">
        <f>Normalized_FCF!B119</f>
        <v>Total Assets/Equity</v>
      </c>
      <c r="C76" s="324">
        <f>Normalized_FCF!C119</f>
        <v>1.7220755031358876</v>
      </c>
      <c r="D76" s="324">
        <f>Normalized_FCF!G119</f>
        <v>1.7220755031358876</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7.4999999999999997E-2</v>
      </c>
    </row>
    <row r="85" spans="1:6" x14ac:dyDescent="0.15">
      <c r="B85" s="1" t="s">
        <v>430</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30.633902543659723</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285396383</v>
      </c>
      <c r="D102" s="1" t="str">
        <f>Reporting_currency</f>
        <v>CNY</v>
      </c>
    </row>
    <row r="103" spans="2:6" x14ac:dyDescent="0.15">
      <c r="B103" s="47" t="s">
        <v>281</v>
      </c>
      <c r="C103" s="223">
        <f>C102*scaling_factor*Exchange_Rate/Common_Shares</f>
        <v>0.22780437069538725</v>
      </c>
      <c r="D103" s="1" t="str">
        <f>Market_currency</f>
        <v>HKD</v>
      </c>
    </row>
    <row r="104" spans="2:6" x14ac:dyDescent="0.15">
      <c r="B104" s="296" t="s">
        <v>404</v>
      </c>
      <c r="C104" s="325">
        <f>IF(BS!G31/BS!G27&gt;300%,"nm",BS!G31/BS!G27)</f>
        <v>9.5579625064196368E-3</v>
      </c>
    </row>
    <row r="105" spans="2:6" x14ac:dyDescent="0.15">
      <c r="B105" s="296" t="s">
        <v>406</v>
      </c>
      <c r="C105" s="326">
        <f>IF(BS!C50&gt;30,"nm",BS!C50)</f>
        <v>7.3592411949940734E-2</v>
      </c>
    </row>
    <row r="107" spans="2:6" x14ac:dyDescent="0.15">
      <c r="B107" s="1" t="s">
        <v>254</v>
      </c>
    </row>
    <row r="108" spans="2:6" x14ac:dyDescent="0.15">
      <c r="B108" s="47" t="s">
        <v>264</v>
      </c>
      <c r="C108" s="349">
        <f>BS!C66</f>
        <v>17978772896</v>
      </c>
      <c r="D108" s="1" t="str">
        <f>Reporting_currency</f>
        <v>CNY</v>
      </c>
    </row>
    <row r="109" spans="2:6" x14ac:dyDescent="0.15">
      <c r="B109" s="47" t="s">
        <v>266</v>
      </c>
      <c r="C109" s="349">
        <f>DCF!C8</f>
        <v>12815222476.665077</v>
      </c>
      <c r="D109" s="1" t="str">
        <f>Reporting_currency</f>
        <v>CNY</v>
      </c>
    </row>
    <row r="110" spans="2:6" x14ac:dyDescent="0.15">
      <c r="B110" s="47" t="s">
        <v>282</v>
      </c>
      <c r="C110" s="223">
        <f>C109*scaling_factor*Exchange_Rate/Common_Shares</f>
        <v>10.229154486579706</v>
      </c>
      <c r="D110" s="1" t="str">
        <f>Market_currency</f>
        <v>HKD</v>
      </c>
    </row>
    <row r="112" spans="2:6" x14ac:dyDescent="0.15">
      <c r="B112" s="1" t="s">
        <v>256</v>
      </c>
    </row>
    <row r="113" spans="1:6" x14ac:dyDescent="0.15">
      <c r="B113" s="47" t="s">
        <v>257</v>
      </c>
      <c r="C113" s="349">
        <f>DCF!C9</f>
        <v>2755411575.5</v>
      </c>
      <c r="D113" s="1" t="str">
        <f>Reporting_currency</f>
        <v>CNY</v>
      </c>
    </row>
    <row r="114" spans="1:6" x14ac:dyDescent="0.15">
      <c r="B114" s="47" t="s">
        <v>283</v>
      </c>
      <c r="C114" s="223">
        <f>C113*scaling_factor*Exchange_Rate/Common_Shares</f>
        <v>2.1993789597661544</v>
      </c>
      <c r="D114" s="1" t="str">
        <f>Market_currency</f>
        <v>HKD</v>
      </c>
    </row>
    <row r="116" spans="1:6" ht="24.5" customHeight="1" x14ac:dyDescent="0.15">
      <c r="B116" s="356" t="s">
        <v>366</v>
      </c>
      <c r="C116" s="356"/>
      <c r="D116" s="356"/>
      <c r="E116" s="356"/>
      <c r="F116" s="356"/>
    </row>
    <row r="118" spans="1:6" x14ac:dyDescent="0.15">
      <c r="B118" s="47" t="s">
        <v>449</v>
      </c>
      <c r="C118" s="223">
        <f>IF(valuation_method="DCF",DCF!C12,DDM!C7)</f>
        <v>42.834631619310194</v>
      </c>
      <c r="D118" s="1" t="str">
        <f>Market_currency</f>
        <v>HKD</v>
      </c>
    </row>
    <row r="119" spans="1:6" x14ac:dyDescent="0.15">
      <c r="B119" s="296" t="s">
        <v>405</v>
      </c>
      <c r="C119" s="223">
        <f>BS!D47</f>
        <v>1.3534028157644387</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0.1</v>
      </c>
      <c r="D126" s="230">
        <f>DCF!D74</f>
        <v>30</v>
      </c>
      <c r="E126" s="231" t="str">
        <f>ROUND(IF(valuation_method="DCF",DCF!E74,DDM!E69),2)&amp;" "&amp;Market_currency</f>
        <v>116.44 HKD</v>
      </c>
      <c r="F126" s="232">
        <f>DCF!F74</f>
        <v>0.05</v>
      </c>
    </row>
    <row r="127" spans="1:6" x14ac:dyDescent="0.15">
      <c r="B127" s="218" t="str">
        <f>DCF!B75</f>
        <v>Optimistic</v>
      </c>
      <c r="C127" s="219">
        <f>DCF!C75</f>
        <v>0.08</v>
      </c>
      <c r="D127" s="220">
        <f>DCF!D75</f>
        <v>30</v>
      </c>
      <c r="E127" s="231" t="str">
        <f>ROUND(IF(valuation_method="DCF",DCF!E75,DDM!E70),2)&amp;" "&amp;Market_currency</f>
        <v>90.11 HKD</v>
      </c>
      <c r="F127" s="221">
        <f>DCF!F75</f>
        <v>0.18</v>
      </c>
    </row>
    <row r="128" spans="1:6" x14ac:dyDescent="0.15">
      <c r="B128" s="218" t="str">
        <f>DCF!B76</f>
        <v>Base</v>
      </c>
      <c r="C128" s="219">
        <f>DCF!C76</f>
        <v>0.06</v>
      </c>
      <c r="D128" s="220">
        <f>DCF!D76</f>
        <v>30</v>
      </c>
      <c r="E128" s="231" t="str">
        <f>ROUND(IF(valuation_method="DCF",DCF!E76,DDM!E71),2)&amp;" "&amp;Market_currency</f>
        <v>71.76 HKD</v>
      </c>
      <c r="F128" s="221">
        <f>DCF!F76</f>
        <v>0.44999999999999996</v>
      </c>
    </row>
    <row r="129" spans="1:6" x14ac:dyDescent="0.15">
      <c r="B129" s="218" t="str">
        <f>DCF!B77</f>
        <v>Pessimistic</v>
      </c>
      <c r="C129" s="219">
        <f>DCF!C77</f>
        <v>0.04</v>
      </c>
      <c r="D129" s="220">
        <f>DCF!D77</f>
        <v>30</v>
      </c>
      <c r="E129" s="231" t="str">
        <f>ROUND(IF(valuation_method="DCF",DCF!E77,DDM!E72),2)&amp;" "&amp;Market_currency</f>
        <v>58.82 HKD</v>
      </c>
      <c r="F129" s="221">
        <f>DCF!F77</f>
        <v>0.26999999999999996</v>
      </c>
    </row>
    <row r="130" spans="1:6" x14ac:dyDescent="0.15">
      <c r="B130" s="218" t="str">
        <f>DCF!B78</f>
        <v>Devil's advocate</v>
      </c>
      <c r="C130" s="219">
        <f>DCF!C78</f>
        <v>0.02</v>
      </c>
      <c r="D130" s="220">
        <f>DCF!D78</f>
        <v>30</v>
      </c>
      <c r="E130" s="231" t="str">
        <f>ROUND(IF(valuation_method="DCF",DCF!E78,DDM!E73),2)&amp;" "&amp;Market_currency</f>
        <v>49.56 HKD</v>
      </c>
      <c r="F130" s="221">
        <f>DCF!F78</f>
        <v>0.05</v>
      </c>
    </row>
    <row r="132" spans="1:6" x14ac:dyDescent="0.15">
      <c r="B132" s="211" t="s">
        <v>258</v>
      </c>
      <c r="C132" s="217">
        <f>Scenarios!C60</f>
        <v>72.690879001797583</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2.0203753940133802</v>
      </c>
      <c r="D143" s="212" t="str">
        <f>Market_currency</f>
        <v>HKD</v>
      </c>
    </row>
    <row r="145" spans="2:4" x14ac:dyDescent="0.15">
      <c r="B145" s="210" t="s">
        <v>408</v>
      </c>
      <c r="C145" s="241" t="str">
        <f>C11</f>
        <v>0168.HK</v>
      </c>
      <c r="D145" s="241" t="str">
        <f>IF(D11="","",D11)</f>
        <v/>
      </c>
    </row>
    <row r="146" spans="2:4" x14ac:dyDescent="0.15">
      <c r="B146" s="1" t="s">
        <v>407</v>
      </c>
      <c r="C146" s="297">
        <f>F29</f>
        <v>0.3674</v>
      </c>
    </row>
    <row r="147" spans="2:4" x14ac:dyDescent="0.15">
      <c r="B147" s="212" t="str">
        <f>"PV("&amp;C141&amp;" yrs of Dividends)"</f>
        <v>PV(3 yrs of Dividends)</v>
      </c>
      <c r="C147" s="216">
        <f>Scenarios!C81</f>
        <v>3.3482859503441227</v>
      </c>
    </row>
    <row r="148" spans="2:4" x14ac:dyDescent="0.15">
      <c r="B148" s="212" t="str">
        <f>"+ PV(Equity Value realized at year "&amp;C141&amp;")"</f>
        <v>+ PV(Equity Value realized at year 3)</v>
      </c>
      <c r="C148" s="216">
        <f>Scenarios!C82</f>
        <v>28.431069293445443</v>
      </c>
    </row>
    <row r="149" spans="2:4" x14ac:dyDescent="0.15">
      <c r="B149" s="80" t="s">
        <v>260</v>
      </c>
      <c r="C149" s="215">
        <f>Scenarios!C83</f>
        <v>31.779355243789567</v>
      </c>
      <c r="D149" s="300" t="str">
        <f>IF($D$11="","",C149*$E$25)</f>
        <v/>
      </c>
    </row>
    <row r="150" spans="2:4" x14ac:dyDescent="0.15">
      <c r="B150" s="259" t="s">
        <v>416</v>
      </c>
      <c r="C150" s="298" t="str">
        <f>Market_currency</f>
        <v>HKD</v>
      </c>
      <c r="D150" s="298" t="str">
        <f>IF($D$11="","",D$13)</f>
        <v/>
      </c>
    </row>
    <row r="151" spans="2:4" x14ac:dyDescent="0.15">
      <c r="B151" s="214" t="s">
        <v>262</v>
      </c>
      <c r="C151" s="92">
        <f>Scenarios!F83</f>
        <v>0.56281509206947833</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4.1425793724014808</v>
      </c>
    </row>
    <row r="156" spans="2:4" x14ac:dyDescent="0.15">
      <c r="B156" s="212" t="str">
        <f>"+ PV(Equity Value realized at year "&amp;C141&amp;")"</f>
        <v>+ PV(Equity Value realized at year 3)</v>
      </c>
      <c r="C156" s="216">
        <f>Scenarios!C92</f>
        <v>40.288400738693255</v>
      </c>
    </row>
    <row r="157" spans="2:4" x14ac:dyDescent="0.15">
      <c r="B157" s="80" t="s">
        <v>260</v>
      </c>
      <c r="C157" s="215">
        <f>Scenarios!C93</f>
        <v>44.430980111094733</v>
      </c>
      <c r="D157" s="300" t="str">
        <f>IF($D$11="","",C157*$E$25)</f>
        <v/>
      </c>
    </row>
    <row r="158" spans="2:4" x14ac:dyDescent="0.15">
      <c r="B158" s="259" t="s">
        <v>416</v>
      </c>
      <c r="C158" s="298" t="str">
        <f>Market_currency</f>
        <v>HKD</v>
      </c>
      <c r="D158" s="298" t="str">
        <f>IF($D$11="","",D$13)</f>
        <v/>
      </c>
    </row>
    <row r="159" spans="2:4" x14ac:dyDescent="0.15">
      <c r="B159" s="214" t="s">
        <v>262</v>
      </c>
      <c r="C159" s="92">
        <f>Scenarios!F93</f>
        <v>0.38876815466771297</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5.254038216335748</v>
      </c>
    </row>
    <row r="164" spans="2:4" x14ac:dyDescent="0.15">
      <c r="B164" s="212" t="str">
        <f>"+ PV(Equity Value realized at year "&amp;C141&amp;")"</f>
        <v>+ PV(Equity Value realized at year 3)</v>
      </c>
      <c r="C164" s="216">
        <f>Scenarios!C98</f>
        <v>58.513291359440629</v>
      </c>
    </row>
    <row r="165" spans="2:4" x14ac:dyDescent="0.15">
      <c r="B165" s="80" t="s">
        <v>401</v>
      </c>
      <c r="C165" s="215">
        <f>Scenarios!C99</f>
        <v>63.76732957577638</v>
      </c>
      <c r="D165" s="300" t="str">
        <f>IF($D$11="","",C165*$E$25)</f>
        <v/>
      </c>
    </row>
    <row r="166" spans="2:4" x14ac:dyDescent="0.15">
      <c r="B166" s="259" t="s">
        <v>416</v>
      </c>
      <c r="C166" s="298" t="str">
        <f>Market_currency</f>
        <v>HKD</v>
      </c>
      <c r="D166" s="298" t="str">
        <f>IF($D$11="","",D$13)</f>
        <v/>
      </c>
    </row>
    <row r="167" spans="2:4" x14ac:dyDescent="0.15">
      <c r="B167" s="214" t="s">
        <v>262</v>
      </c>
      <c r="C167" s="92">
        <f>Scenarios!F99</f>
        <v>0.12276023551456205</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4.8743639911662111</v>
      </c>
    </row>
    <row r="172" spans="2:4" x14ac:dyDescent="0.15">
      <c r="B172" s="212" t="str">
        <f>"+ PV(Equity Value realized at year "&amp;C141&amp;")"</f>
        <v>+ PV(Equity Value realized at year 3)</v>
      </c>
      <c r="C172" s="216">
        <f>Scenarios!C104</f>
        <v>52.101943001919899</v>
      </c>
    </row>
    <row r="173" spans="2:4" x14ac:dyDescent="0.15">
      <c r="B173" s="80" t="s">
        <v>401</v>
      </c>
      <c r="C173" s="215">
        <f>Scenarios!C105</f>
        <v>56.976306993086112</v>
      </c>
      <c r="D173" s="300" t="str">
        <f>IF($D$11="","",C173*$E$25)</f>
        <v/>
      </c>
    </row>
    <row r="174" spans="2:4" x14ac:dyDescent="0.15">
      <c r="B174" s="259" t="s">
        <v>416</v>
      </c>
      <c r="C174" s="298" t="str">
        <f>Market_currency</f>
        <v>HKD</v>
      </c>
      <c r="D174" s="298" t="str">
        <f>IF($D$11="","",D$13)</f>
        <v/>
      </c>
    </row>
    <row r="175" spans="2:4" x14ac:dyDescent="0.15">
      <c r="B175" s="214" t="s">
        <v>262</v>
      </c>
      <c r="C175" s="92">
        <f>Scenarios!F105</f>
        <v>0.21582669365328278</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v>
      </c>
    </row>
    <row r="4" spans="2:13" x14ac:dyDescent="0.15">
      <c r="B4" s="32" t="s">
        <v>2</v>
      </c>
      <c r="C4" s="351">
        <v>32137830111</v>
      </c>
      <c r="D4" s="351">
        <v>33936522741</v>
      </c>
      <c r="E4" s="351">
        <v>32171565624</v>
      </c>
      <c r="F4" s="351">
        <v>30166805377</v>
      </c>
      <c r="G4" s="351">
        <v>27759710926</v>
      </c>
      <c r="H4" s="351"/>
      <c r="I4" s="351"/>
      <c r="J4" s="351"/>
      <c r="K4" s="351"/>
      <c r="L4" s="351"/>
      <c r="M4" s="351"/>
    </row>
    <row r="5" spans="2:13" x14ac:dyDescent="0.15">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x14ac:dyDescent="0.15">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x14ac:dyDescent="0.15">
      <c r="B7" s="69" t="s">
        <v>61</v>
      </c>
      <c r="C7" s="352">
        <v>4602519864</v>
      </c>
      <c r="D7" s="352">
        <v>4708402798</v>
      </c>
      <c r="E7" s="352">
        <v>4199502747</v>
      </c>
      <c r="F7" s="352">
        <v>4096874125</v>
      </c>
      <c r="G7" s="352">
        <v>4984549837</v>
      </c>
      <c r="H7" s="352"/>
      <c r="I7" s="352"/>
      <c r="J7" s="352"/>
      <c r="K7" s="352"/>
      <c r="L7" s="352"/>
      <c r="M7" s="352"/>
    </row>
    <row r="8" spans="2:13" x14ac:dyDescent="0.15">
      <c r="B8" s="40" t="s">
        <v>49</v>
      </c>
      <c r="C8" s="351">
        <v>102766675</v>
      </c>
      <c r="D8" s="351">
        <v>100637006</v>
      </c>
      <c r="E8" s="351">
        <v>62954899</v>
      </c>
      <c r="F8" s="351">
        <v>30890245</v>
      </c>
      <c r="G8" s="351">
        <v>21467092</v>
      </c>
      <c r="H8" s="351"/>
      <c r="I8" s="351"/>
      <c r="J8" s="351"/>
      <c r="K8" s="351"/>
      <c r="L8" s="351"/>
      <c r="M8" s="351"/>
    </row>
    <row r="9" spans="2:13" x14ac:dyDescent="0.15">
      <c r="B9" s="40" t="s">
        <v>159</v>
      </c>
      <c r="C9" s="351">
        <v>48272283</v>
      </c>
      <c r="D9" s="351">
        <v>15798284</v>
      </c>
      <c r="E9" s="351">
        <v>19873379</v>
      </c>
      <c r="F9" s="351">
        <v>20561728</v>
      </c>
      <c r="G9" s="351">
        <v>18098320</v>
      </c>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21837054</v>
      </c>
      <c r="D12" s="351">
        <v>16430590</v>
      </c>
      <c r="E12" s="351">
        <v>9237800</v>
      </c>
      <c r="F12" s="351">
        <v>22685367</v>
      </c>
      <c r="G12" s="351">
        <v>13662682</v>
      </c>
      <c r="H12" s="351"/>
      <c r="I12" s="351"/>
      <c r="J12" s="351"/>
      <c r="K12" s="351"/>
      <c r="L12" s="351"/>
      <c r="M12" s="351"/>
    </row>
    <row r="13" spans="2:13" x14ac:dyDescent="0.15">
      <c r="B13" s="40" t="s">
        <v>67</v>
      </c>
      <c r="C13" s="351">
        <v>616771200</v>
      </c>
      <c r="D13" s="351">
        <v>506376003</v>
      </c>
      <c r="E13" s="351">
        <v>459661656</v>
      </c>
      <c r="F13" s="351">
        <v>315648307</v>
      </c>
      <c r="G13" s="351">
        <v>524029340</v>
      </c>
      <c r="H13" s="351"/>
      <c r="I13" s="351"/>
      <c r="J13" s="351"/>
      <c r="K13" s="351"/>
      <c r="L13" s="351"/>
      <c r="M13" s="351"/>
    </row>
    <row r="14" spans="2:13" x14ac:dyDescent="0.15">
      <c r="B14" s="40" t="s">
        <v>50</v>
      </c>
      <c r="C14" s="351">
        <v>1389716314</v>
      </c>
      <c r="D14" s="351">
        <v>1398208378</v>
      </c>
      <c r="E14" s="351">
        <v>1201419808</v>
      </c>
      <c r="F14" s="351">
        <v>1222731595</v>
      </c>
      <c r="G14" s="351">
        <v>912580519</v>
      </c>
      <c r="H14" s="351"/>
      <c r="I14" s="351"/>
      <c r="J14" s="351"/>
      <c r="K14" s="351"/>
      <c r="L14" s="351"/>
      <c r="M14" s="351"/>
    </row>
    <row r="15" spans="2:13" x14ac:dyDescent="0.15">
      <c r="B15" s="43" t="s">
        <v>42</v>
      </c>
      <c r="C15" s="353">
        <v>4491776686</v>
      </c>
      <c r="D15" s="353">
        <v>4348198924</v>
      </c>
      <c r="E15" s="353">
        <v>3804721478</v>
      </c>
      <c r="F15" s="353">
        <v>3256243870</v>
      </c>
      <c r="G15" s="353">
        <v>2326968805</v>
      </c>
      <c r="H15" s="353"/>
      <c r="I15" s="353"/>
      <c r="J15" s="353"/>
      <c r="K15" s="353"/>
      <c r="L15" s="353"/>
      <c r="M15" s="353"/>
    </row>
    <row r="16" spans="2:13" x14ac:dyDescent="0.15">
      <c r="B16" s="28" t="s">
        <v>44</v>
      </c>
      <c r="C16" s="351">
        <v>146792828</v>
      </c>
      <c r="D16" s="351">
        <v>80347518</v>
      </c>
      <c r="E16" s="351">
        <v>94092885</v>
      </c>
      <c r="F16" s="351">
        <v>100788060</v>
      </c>
      <c r="G16" s="351">
        <v>125645249</v>
      </c>
      <c r="H16" s="351"/>
      <c r="I16" s="351"/>
      <c r="J16" s="351"/>
      <c r="K16" s="351"/>
      <c r="L16" s="351"/>
      <c r="M16" s="351"/>
    </row>
    <row r="18" spans="2:13" x14ac:dyDescent="0.15">
      <c r="B18" s="16" t="s">
        <v>51</v>
      </c>
      <c r="C18" s="9"/>
    </row>
    <row r="19" spans="2:13" ht="13" x14ac:dyDescent="0.15">
      <c r="B19" s="27" t="s">
        <v>47</v>
      </c>
      <c r="C19" s="351">
        <v>1191305772</v>
      </c>
      <c r="D19" s="351">
        <v>1140399624</v>
      </c>
      <c r="E19" s="351">
        <v>1083856796</v>
      </c>
      <c r="F19" s="351">
        <v>1109733268</v>
      </c>
      <c r="G19" s="351"/>
      <c r="H19" s="351"/>
      <c r="I19" s="351"/>
      <c r="J19" s="351"/>
      <c r="K19" s="351"/>
      <c r="L19" s="351"/>
      <c r="M19" s="351"/>
    </row>
    <row r="20" spans="2:13" ht="13" x14ac:dyDescent="0.15">
      <c r="B20" s="27" t="s">
        <v>53</v>
      </c>
      <c r="C20" s="351">
        <f>C19</f>
        <v>1191305772</v>
      </c>
      <c r="D20" s="351">
        <f>D19</f>
        <v>1140399624</v>
      </c>
      <c r="E20" s="351">
        <f>E19</f>
        <v>1083856796</v>
      </c>
      <c r="F20" s="351">
        <f>F19</f>
        <v>1109733268</v>
      </c>
      <c r="G20" s="351"/>
      <c r="H20" s="351"/>
      <c r="I20" s="351"/>
      <c r="J20" s="351"/>
      <c r="K20" s="351"/>
      <c r="L20" s="351"/>
      <c r="M20" s="351"/>
    </row>
    <row r="21" spans="2:13" ht="13" x14ac:dyDescent="0.15">
      <c r="B21" s="27" t="s">
        <v>52</v>
      </c>
      <c r="C21" s="351">
        <v>583532518</v>
      </c>
      <c r="D21" s="351">
        <v>1575918543</v>
      </c>
      <c r="E21" s="351">
        <v>878667968</v>
      </c>
      <c r="F21" s="351">
        <v>2804548241</v>
      </c>
      <c r="G21" s="351"/>
      <c r="H21" s="351"/>
      <c r="I21" s="351"/>
      <c r="J21" s="351"/>
      <c r="K21" s="351"/>
      <c r="L21" s="351"/>
      <c r="M21" s="351"/>
    </row>
    <row r="22" spans="2:13" ht="13" x14ac:dyDescent="0.15">
      <c r="B22" s="27" t="s">
        <v>371</v>
      </c>
      <c r="C22" s="351">
        <v>5154661132</v>
      </c>
      <c r="D22" s="351">
        <v>2777567140</v>
      </c>
      <c r="E22" s="351">
        <v>4878771322</v>
      </c>
      <c r="F22" s="351">
        <v>6043111455</v>
      </c>
      <c r="G22" s="351">
        <v>4953422362</v>
      </c>
      <c r="H22" s="351"/>
      <c r="I22" s="351"/>
      <c r="J22" s="351"/>
      <c r="K22" s="351"/>
      <c r="L22" s="351"/>
      <c r="M22" s="351"/>
    </row>
    <row r="23" spans="2:13" ht="13" x14ac:dyDescent="0.15">
      <c r="B23" s="27" t="s">
        <v>373</v>
      </c>
      <c r="C23" s="351">
        <v>-7421783375</v>
      </c>
      <c r="D23" s="351">
        <v>-3462971412</v>
      </c>
      <c r="E23" s="351">
        <v>-2199108158</v>
      </c>
      <c r="F23" s="351">
        <v>-10249763562</v>
      </c>
      <c r="G23" s="351">
        <v>-1487738165</v>
      </c>
      <c r="H23" s="351"/>
      <c r="I23" s="351"/>
      <c r="J23" s="351"/>
      <c r="K23" s="351"/>
      <c r="L23" s="351"/>
      <c r="M23" s="351"/>
    </row>
    <row r="24" spans="2:13" ht="13" x14ac:dyDescent="0.15">
      <c r="B24" s="27" t="s">
        <v>372</v>
      </c>
      <c r="C24" s="351">
        <v>-2983143705</v>
      </c>
      <c r="D24" s="351">
        <v>-2868065880</v>
      </c>
      <c r="E24" s="351">
        <v>-1675712527</v>
      </c>
      <c r="F24" s="351">
        <v>-1613622636</v>
      </c>
      <c r="G24" s="351">
        <v>-356090851</v>
      </c>
      <c r="H24" s="351"/>
      <c r="I24" s="351"/>
      <c r="J24" s="351"/>
      <c r="K24" s="351"/>
      <c r="L24" s="351"/>
      <c r="M24" s="351"/>
    </row>
    <row r="25" spans="2:13" x14ac:dyDescent="0.15">
      <c r="B25" s="24" t="str">
        <f>"Dividend per share ("&amp;Market_currency&amp;")"</f>
        <v>Dividend per share (HKD)</v>
      </c>
      <c r="C25" s="39">
        <f>2.2/Exchange_Rate</f>
        <v>2.0203753940133802</v>
      </c>
      <c r="D25" s="39">
        <f>2/Exchange_Rate</f>
        <v>1.8367049036485272</v>
      </c>
      <c r="E25" s="39">
        <f>1.3/Exchange_Rate</f>
        <v>1.1938581873715428</v>
      </c>
      <c r="F25" s="39">
        <f>1.1/Exchange_Rate</f>
        <v>1.0101876970066901</v>
      </c>
      <c r="G25" s="39">
        <f>0.75/Exchange_Rate</f>
        <v>0.68876433886819766</v>
      </c>
      <c r="H25" s="39"/>
      <c r="I25" s="39"/>
      <c r="J25" s="39"/>
      <c r="K25" s="39"/>
      <c r="L25" s="39"/>
      <c r="M25" s="39"/>
    </row>
    <row r="27" spans="2:13" x14ac:dyDescent="0.15">
      <c r="B27" s="16" t="s">
        <v>28</v>
      </c>
      <c r="C27" s="97" t="s">
        <v>462</v>
      </c>
    </row>
    <row r="28" spans="2:13" ht="13" x14ac:dyDescent="0.15">
      <c r="B28" s="26" t="s">
        <v>24</v>
      </c>
      <c r="C28" s="333">
        <f>BS!C4</f>
        <v>185704725</v>
      </c>
      <c r="D28" s="351">
        <v>100391321</v>
      </c>
      <c r="E28" s="351">
        <v>124099728</v>
      </c>
      <c r="F28" s="351">
        <v>124929816</v>
      </c>
      <c r="G28" s="351">
        <v>125155008</v>
      </c>
      <c r="H28" s="351"/>
      <c r="I28" s="351"/>
      <c r="J28" s="351"/>
      <c r="K28" s="351"/>
      <c r="L28" s="351"/>
      <c r="M28" s="351"/>
    </row>
    <row r="29" spans="2:13" ht="13" x14ac:dyDescent="0.15">
      <c r="B29" s="26" t="s">
        <v>32</v>
      </c>
      <c r="C29" s="333">
        <f>BS!C6</f>
        <v>3576387537</v>
      </c>
      <c r="D29" s="351">
        <v>3539828305</v>
      </c>
      <c r="E29" s="351">
        <v>4152187132</v>
      </c>
      <c r="F29" s="351">
        <v>3492997857</v>
      </c>
      <c r="G29" s="351">
        <v>3281033526</v>
      </c>
      <c r="H29" s="351"/>
      <c r="I29" s="351"/>
      <c r="J29" s="351"/>
      <c r="K29" s="351"/>
      <c r="L29" s="351"/>
      <c r="M29" s="351"/>
    </row>
    <row r="30" spans="2:13" ht="13" x14ac:dyDescent="0.15">
      <c r="B30" s="29" t="s">
        <v>40</v>
      </c>
      <c r="C30" s="334">
        <f>BS!C33+BS!C42</f>
        <v>21560843821</v>
      </c>
      <c r="D30" s="353">
        <v>21001264174</v>
      </c>
      <c r="E30" s="353">
        <v>24039387261</v>
      </c>
      <c r="F30" s="353">
        <v>22769313149</v>
      </c>
      <c r="G30" s="353">
        <v>20146133669</v>
      </c>
      <c r="H30" s="353"/>
      <c r="I30" s="353"/>
      <c r="J30" s="353"/>
      <c r="K30" s="353"/>
      <c r="L30" s="353"/>
      <c r="M30" s="353"/>
    </row>
    <row r="31" spans="2:13" ht="13" x14ac:dyDescent="0.15">
      <c r="B31" s="29" t="s">
        <v>30</v>
      </c>
      <c r="C31" s="334">
        <f>BS!G27</f>
        <v>29859542011</v>
      </c>
      <c r="D31" s="353">
        <v>28254747175</v>
      </c>
      <c r="E31" s="353">
        <v>26272312535</v>
      </c>
      <c r="F31" s="353">
        <v>23793691342</v>
      </c>
      <c r="G31" s="353">
        <v>21368052166</v>
      </c>
      <c r="H31" s="353"/>
      <c r="I31" s="353"/>
      <c r="J31" s="353"/>
      <c r="K31" s="353"/>
      <c r="L31" s="353"/>
      <c r="M31" s="353"/>
    </row>
    <row r="32" spans="2:13" ht="13" x14ac:dyDescent="0.15">
      <c r="B32" s="26" t="s">
        <v>172</v>
      </c>
      <c r="C32" s="333">
        <f>BS!G28</f>
        <v>799157484</v>
      </c>
      <c r="D32" s="351">
        <v>805268959</v>
      </c>
      <c r="E32" s="351">
        <v>777490832</v>
      </c>
      <c r="F32" s="351">
        <v>791846744</v>
      </c>
      <c r="G32" s="351">
        <v>746091651</v>
      </c>
      <c r="H32" s="351"/>
      <c r="I32" s="351"/>
      <c r="J32" s="351"/>
      <c r="K32" s="351"/>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x14ac:dyDescent="0.15">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ht="13" x14ac:dyDescent="0.15">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x14ac:dyDescent="0.15">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x14ac:dyDescent="0.15">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x14ac:dyDescent="0.15">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x14ac:dyDescent="0.15">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x14ac:dyDescent="0.15">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x14ac:dyDescent="0.15">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x14ac:dyDescent="0.15">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x14ac:dyDescent="0.15">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x14ac:dyDescent="0.15">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x14ac:dyDescent="0.15">
      <c r="B50" s="16" t="s">
        <v>68</v>
      </c>
    </row>
    <row r="51" spans="2:13" x14ac:dyDescent="0.15">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x14ac:dyDescent="0.15">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x14ac:dyDescent="0.15">
      <c r="B54" s="174" t="s">
        <v>168</v>
      </c>
    </row>
    <row r="55" spans="2:13" x14ac:dyDescent="0.15">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x14ac:dyDescent="0.15">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x14ac:dyDescent="0.15">
      <c r="B60" s="16" t="s">
        <v>51</v>
      </c>
      <c r="C60" s="9"/>
    </row>
    <row r="61" spans="2:13" ht="13" x14ac:dyDescent="0.15">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x14ac:dyDescent="0.15">
      <c r="B65" s="24" t="s">
        <v>36</v>
      </c>
      <c r="C65" s="73">
        <f>IF(C$4="","",C25)</f>
        <v>2.0203753940133802</v>
      </c>
      <c r="D65" s="73">
        <f t="shared" ref="D65:M65" si="33">IF(D$4="","",D25)</f>
        <v>1.8367049036485272</v>
      </c>
      <c r="E65" s="73">
        <f t="shared" si="33"/>
        <v>1.1938581873715428</v>
      </c>
      <c r="F65" s="73">
        <f t="shared" si="33"/>
        <v>1.0101876970066901</v>
      </c>
      <c r="G65" s="73">
        <f t="shared" si="33"/>
        <v>0.68876433886819766</v>
      </c>
      <c r="H65" s="73" t="str">
        <f t="shared" si="33"/>
        <v/>
      </c>
      <c r="I65" s="73" t="str">
        <f t="shared" si="33"/>
        <v/>
      </c>
      <c r="J65" s="73" t="str">
        <f t="shared" si="33"/>
        <v/>
      </c>
      <c r="K65" s="73" t="str">
        <f t="shared" si="33"/>
        <v/>
      </c>
      <c r="L65" s="73" t="str">
        <f t="shared" si="33"/>
        <v/>
      </c>
      <c r="M65" s="73" t="str">
        <f t="shared" si="33"/>
        <v/>
      </c>
    </row>
    <row r="67" spans="2:13" x14ac:dyDescent="0.15">
      <c r="B67" s="91" t="s">
        <v>84</v>
      </c>
    </row>
    <row r="68" spans="2:13" x14ac:dyDescent="0.1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ht="13" x14ac:dyDescent="0.15">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ht="13" x14ac:dyDescent="0.15">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ht="13" x14ac:dyDescent="0.15">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f>Normalized_FCF!G1</f>
        <v>45657</v>
      </c>
      <c r="F1" s="86" t="str">
        <f>IF(MONTH(C1)=MONTH(Normalized_FCF!G1),"FY","Quarter")&amp;" Report"</f>
        <v>FY Report</v>
      </c>
      <c r="H1" s="107">
        <f>scaling_factor</f>
        <v>1</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102420347+83284378</f>
        <v>185704725</v>
      </c>
      <c r="D4" s="261">
        <v>0.6</v>
      </c>
      <c r="E4" s="25"/>
      <c r="F4" s="4" t="s">
        <v>77</v>
      </c>
      <c r="G4" s="19">
        <v>17978772896</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3576387537</v>
      </c>
      <c r="D6" s="261">
        <v>0.5</v>
      </c>
      <c r="E6" s="25"/>
      <c r="F6" s="4" t="s">
        <v>177</v>
      </c>
      <c r="G6" s="19">
        <v>0</v>
      </c>
      <c r="H6" s="261">
        <v>0.6</v>
      </c>
    </row>
    <row r="7" spans="2:8" ht="15" customHeight="1" x14ac:dyDescent="0.15">
      <c r="B7" s="1" t="s">
        <v>69</v>
      </c>
      <c r="C7" s="19">
        <v>0</v>
      </c>
      <c r="D7" s="261">
        <v>0.6</v>
      </c>
      <c r="E7" s="25"/>
      <c r="F7" s="4" t="s">
        <v>178</v>
      </c>
      <c r="G7" s="19">
        <v>2021804089</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241896760</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f>51713930+1132635624</f>
        <v>1184349554</v>
      </c>
      <c r="D11" s="261">
        <v>0.05</v>
      </c>
      <c r="H11" s="262"/>
    </row>
    <row r="12" spans="2:8" ht="15" customHeight="1" x14ac:dyDescent="0.15">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455</v>
      </c>
      <c r="C15" s="19">
        <v>0</v>
      </c>
      <c r="D15" s="261">
        <v>0.4</v>
      </c>
      <c r="F15" s="4" t="s">
        <v>78</v>
      </c>
      <c r="G15" s="19">
        <v>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2498379750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11817650634+630874619+115672625+85702449</f>
        <v>12649900327</v>
      </c>
      <c r="D19" s="261">
        <v>0.1</v>
      </c>
      <c r="F19" s="4" t="s">
        <v>182</v>
      </c>
      <c r="G19" s="19">
        <v>391873803</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2684120584</v>
      </c>
      <c r="D21" s="261">
        <v>0.05</v>
      </c>
      <c r="F21" s="1" t="s">
        <v>180</v>
      </c>
      <c r="G21" s="19">
        <v>41138918</v>
      </c>
      <c r="H21" s="261">
        <v>0.1</v>
      </c>
    </row>
    <row r="22" spans="2:8" ht="15" customHeight="1" x14ac:dyDescent="0.15">
      <c r="B22" s="4" t="s">
        <v>20</v>
      </c>
      <c r="C22" s="19">
        <v>1930039528</v>
      </c>
      <c r="D22" s="261">
        <v>0.9</v>
      </c>
      <c r="H22" s="262"/>
    </row>
    <row r="23" spans="2:8" ht="15" customHeight="1" x14ac:dyDescent="0.15">
      <c r="B23" s="4" t="s">
        <v>21</v>
      </c>
      <c r="C23" s="19">
        <f>1307103982+4728913379</f>
        <v>6036017361</v>
      </c>
      <c r="D23" s="261">
        <v>0</v>
      </c>
      <c r="H23" s="262"/>
    </row>
    <row r="24" spans="2:8" ht="15" customHeight="1" x14ac:dyDescent="0.15">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x14ac:dyDescent="0.15">
      <c r="B26" s="16" t="s">
        <v>200</v>
      </c>
      <c r="C26" s="182" t="s">
        <v>136</v>
      </c>
      <c r="F26" s="184" t="s">
        <v>196</v>
      </c>
      <c r="G26" s="185" t="s">
        <v>136</v>
      </c>
      <c r="H26" s="186" t="s">
        <v>35</v>
      </c>
    </row>
    <row r="27" spans="2:8" ht="15" customHeight="1" x14ac:dyDescent="0.15">
      <c r="B27" s="4" t="s">
        <v>5</v>
      </c>
      <c r="C27" s="19">
        <v>0</v>
      </c>
      <c r="F27" s="187" t="s">
        <v>30</v>
      </c>
      <c r="G27" s="85">
        <f>G32-G30</f>
        <v>29859542011</v>
      </c>
      <c r="H27" s="188">
        <f>H32-G30</f>
        <v>2494718755.1999969</v>
      </c>
    </row>
    <row r="28" spans="2:8" ht="15" customHeight="1" x14ac:dyDescent="0.15">
      <c r="B28" s="4" t="s">
        <v>6</v>
      </c>
      <c r="C28" s="19">
        <v>0</v>
      </c>
      <c r="F28" s="189" t="s">
        <v>244</v>
      </c>
      <c r="G28" s="12">
        <v>799157484</v>
      </c>
      <c r="H28" s="188"/>
    </row>
    <row r="29" spans="2:8" ht="15" customHeight="1" x14ac:dyDescent="0.15">
      <c r="B29" s="4" t="s">
        <v>7</v>
      </c>
      <c r="C29" s="19">
        <v>0</v>
      </c>
      <c r="F29" s="190" t="s">
        <v>75</v>
      </c>
      <c r="G29" s="14">
        <f>G27-G28</f>
        <v>29060384527</v>
      </c>
      <c r="H29" s="188">
        <f>H27-G28</f>
        <v>1695561271.1999969</v>
      </c>
    </row>
    <row r="30" spans="2:8" ht="15" customHeight="1" x14ac:dyDescent="0.15">
      <c r="B30" s="2" t="s">
        <v>8</v>
      </c>
      <c r="C30" s="19">
        <v>217159673</v>
      </c>
      <c r="F30" s="187" t="s">
        <v>23</v>
      </c>
      <c r="G30" s="85">
        <f>C33+C42</f>
        <v>21560843821</v>
      </c>
      <c r="H30" s="188"/>
    </row>
    <row r="31" spans="2:8" ht="15" customHeight="1" x14ac:dyDescent="0.15">
      <c r="B31" s="80" t="s">
        <v>203</v>
      </c>
      <c r="C31" s="81">
        <f>SUM(C27:C30)</f>
        <v>217159673</v>
      </c>
      <c r="F31" s="190" t="s">
        <v>76</v>
      </c>
      <c r="G31" s="191">
        <f>C31+C40</f>
        <v>285396383</v>
      </c>
      <c r="H31" s="188"/>
    </row>
    <row r="32" spans="2:8" ht="15" customHeight="1" x14ac:dyDescent="0.15">
      <c r="B32" s="4" t="s">
        <v>9</v>
      </c>
      <c r="C32" s="21">
        <f>C33-C31</f>
        <v>17305171626</v>
      </c>
      <c r="F32" s="192" t="s">
        <v>74</v>
      </c>
      <c r="G32" s="193">
        <f>G35+G40</f>
        <v>51420385832</v>
      </c>
      <c r="H32" s="188">
        <f>H35+H40</f>
        <v>24055562576.199997</v>
      </c>
    </row>
    <row r="33" spans="2:8" ht="15" customHeight="1" x14ac:dyDescent="0.15">
      <c r="B33" s="83" t="s">
        <v>4</v>
      </c>
      <c r="C33" s="84">
        <v>17522331299</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28488416376</v>
      </c>
      <c r="H35" s="200">
        <f>D12+D24</f>
        <v>5119255394.3000002</v>
      </c>
    </row>
    <row r="36" spans="2:8" ht="15" customHeight="1" x14ac:dyDescent="0.15">
      <c r="B36" s="4" t="s">
        <v>13</v>
      </c>
      <c r="C36" s="19">
        <v>0</v>
      </c>
      <c r="F36" s="190" t="s">
        <v>197</v>
      </c>
      <c r="G36" s="191">
        <f>C4+C15</f>
        <v>185704725</v>
      </c>
      <c r="H36" s="195"/>
    </row>
    <row r="37" spans="2:8" ht="15" customHeight="1" x14ac:dyDescent="0.15">
      <c r="B37" s="4" t="s">
        <v>14</v>
      </c>
      <c r="C37" s="19">
        <v>68236710</v>
      </c>
      <c r="F37" s="190" t="s">
        <v>198</v>
      </c>
      <c r="G37" s="191">
        <f>C6</f>
        <v>3576387537</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12649900327</v>
      </c>
      <c r="H39" s="188">
        <f>C7*D7+C17*D17+C19*D19+C20*D20</f>
        <v>1264990032.7</v>
      </c>
    </row>
    <row r="40" spans="2:8" ht="15" customHeight="1" x14ac:dyDescent="0.15">
      <c r="B40" s="80" t="s">
        <v>204</v>
      </c>
      <c r="C40" s="81">
        <f>SUM(C36:C39)</f>
        <v>68236710</v>
      </c>
      <c r="F40" s="199" t="s">
        <v>138</v>
      </c>
      <c r="G40" s="193">
        <f>G12+G24</f>
        <v>22931969456</v>
      </c>
      <c r="H40" s="200">
        <f>H12+H24</f>
        <v>18936307181.899998</v>
      </c>
    </row>
    <row r="41" spans="2:8" ht="15" customHeight="1" x14ac:dyDescent="0.15">
      <c r="B41" s="4" t="s">
        <v>17</v>
      </c>
      <c r="C41" s="21">
        <f>C42-C40</f>
        <v>3970275812</v>
      </c>
      <c r="F41" s="190" t="s">
        <v>191</v>
      </c>
      <c r="G41" s="191">
        <f>C70</f>
        <v>17978772896</v>
      </c>
      <c r="H41" s="200">
        <f>H40-H42</f>
        <v>16180895606.399998</v>
      </c>
    </row>
    <row r="42" spans="2:8" ht="15" customHeight="1" x14ac:dyDescent="0.15">
      <c r="B42" s="83" t="s">
        <v>22</v>
      </c>
      <c r="C42" s="84">
        <v>4038512522</v>
      </c>
      <c r="F42" s="201" t="s">
        <v>192</v>
      </c>
      <c r="G42" s="202">
        <f>C82</f>
        <v>4953196560</v>
      </c>
      <c r="H42" s="203">
        <f>D82</f>
        <v>2755411575.5</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29060384527</v>
      </c>
      <c r="D46" s="76">
        <f>H29</f>
        <v>1695561271.1999969</v>
      </c>
      <c r="F46" s="253"/>
    </row>
    <row r="47" spans="2:8" ht="15" customHeight="1" x14ac:dyDescent="0.15">
      <c r="B47" s="1" t="str">
        <f>"Equity per share ("&amp;Market_currency&amp;")"</f>
        <v>Equity per share (HKD)</v>
      </c>
      <c r="C47" s="147">
        <f>C46*H1/Common_Shares*Exchange_Rate</f>
        <v>23.196098492037315</v>
      </c>
      <c r="D47" s="147">
        <f>D46*H1/Common_Shares*Exchange_Rate</f>
        <v>1.3534028157644387</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7.3592411949940734E-2</v>
      </c>
      <c r="D50" s="95">
        <f>G31/Normalized_FCF!G8</f>
        <v>6.3593933566061064E-2</v>
      </c>
      <c r="F50" s="253"/>
    </row>
    <row r="51" spans="2:8" ht="15" customHeight="1" x14ac:dyDescent="0.15">
      <c r="B51" s="1" t="s">
        <v>176</v>
      </c>
      <c r="C51" s="181"/>
      <c r="D51" s="92">
        <f>G29/G32</f>
        <v>0.56515298469260233</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0.1361278920921285</v>
      </c>
      <c r="D54" s="92">
        <f>Normalized_FCF!G8/G35</f>
        <v>0.15753043334415495</v>
      </c>
      <c r="F54" s="253"/>
    </row>
    <row r="55" spans="2:8" ht="15" customHeight="1" x14ac:dyDescent="0.15">
      <c r="B55" s="1" t="s">
        <v>141</v>
      </c>
      <c r="C55" s="92">
        <f>Normalized_FCF!C11/G40</f>
        <v>0</v>
      </c>
      <c r="D55" s="92">
        <f>Normalized_FCF!G11/G40</f>
        <v>2.1050212495974641E-3</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9.4175111360938715E-2</v>
      </c>
      <c r="F58" s="5"/>
    </row>
    <row r="59" spans="2:8" ht="15" customHeight="1" x14ac:dyDescent="0.15">
      <c r="B59" s="1" t="s">
        <v>92</v>
      </c>
      <c r="C59" s="98"/>
      <c r="D59" s="92">
        <f>G39/G32</f>
        <v>0.24600944007556819</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2.749989365273205E-2</v>
      </c>
      <c r="D62" s="92">
        <f>G28/G29</f>
        <v>2.749989365273205E-2</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17978772896</v>
      </c>
      <c r="D66" s="76">
        <f>C66-D75</f>
        <v>12815222476.665077</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17978772896</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-2533852263.0889406</v>
      </c>
      <c r="D73" s="349">
        <f>(Normalized_FCF!C25+Normalized_FCF!C35-Normalized_FCF!C91)/12</f>
        <v>-2581775209.6674609</v>
      </c>
      <c r="F73" s="1" t="s">
        <v>351</v>
      </c>
    </row>
    <row r="74" spans="2:6" ht="15" customHeight="1" x14ac:dyDescent="0.15">
      <c r="B74" s="257" t="s">
        <v>321</v>
      </c>
      <c r="C74" s="258">
        <f>-$C$66/C73</f>
        <v>7.09543060497246</v>
      </c>
      <c r="D74" s="258">
        <f>-$C$66/D73</f>
        <v>6.9637251255176897</v>
      </c>
      <c r="F74" s="253" t="s">
        <v>319</v>
      </c>
    </row>
    <row r="75" spans="2:6" ht="15" customHeight="1" x14ac:dyDescent="0.15">
      <c r="B75" s="80" t="s">
        <v>320</v>
      </c>
      <c r="C75" s="320"/>
      <c r="D75" s="321">
        <f>MAX(-D73*D76,G5)</f>
        <v>5163550419.3349218</v>
      </c>
      <c r="F75" s="253" t="s">
        <v>352</v>
      </c>
    </row>
    <row r="76" spans="2:6" ht="15" customHeight="1" x14ac:dyDescent="0.15">
      <c r="B76" s="259" t="s">
        <v>322</v>
      </c>
      <c r="C76" s="260"/>
      <c r="D76" s="290">
        <f>IF(D74&lt;=3,1,IF(D74&gt;18,6,2))</f>
        <v>2</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4520183839</v>
      </c>
      <c r="D79" s="76">
        <f>G7*H7+G17*H17</f>
        <v>2712110303.3999996</v>
      </c>
      <c r="F79" s="253"/>
    </row>
    <row r="80" spans="2:6" ht="15" customHeight="1" x14ac:dyDescent="0.15">
      <c r="B80" s="105" t="s">
        <v>182</v>
      </c>
      <c r="C80" s="20">
        <f>G19</f>
        <v>391873803</v>
      </c>
      <c r="D80" s="76">
        <f>G19*H19</f>
        <v>39187380.300000004</v>
      </c>
      <c r="F80" s="253"/>
    </row>
    <row r="81" spans="2:8" ht="15" customHeight="1" x14ac:dyDescent="0.15">
      <c r="B81" s="105" t="s">
        <v>180</v>
      </c>
      <c r="C81" s="20">
        <f>G9+G21</f>
        <v>41138918</v>
      </c>
      <c r="D81" s="76">
        <f>G9*H9+G21*H21</f>
        <v>4113891.8000000003</v>
      </c>
      <c r="F81" s="253"/>
    </row>
    <row r="82" spans="2:8" ht="15" customHeight="1" x14ac:dyDescent="0.15">
      <c r="B82" s="80" t="s">
        <v>189</v>
      </c>
      <c r="C82" s="81">
        <f>SUM(C79:C81)</f>
        <v>4953196560</v>
      </c>
      <c r="D82" s="81">
        <f>SUM(D79:D81)</f>
        <v>2755411575.5</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-310769990.7950086</v>
      </c>
      <c r="D86" s="223">
        <f>C86*scaling_factor/Common_Shares</f>
        <v>-0.22780437069538725</v>
      </c>
      <c r="E86" s="240" t="str">
        <f>Market_currency</f>
        <v>HKD</v>
      </c>
    </row>
    <row r="87" spans="2:8" ht="15" customHeight="1" x14ac:dyDescent="0.15">
      <c r="B87" s="238" t="s">
        <v>287</v>
      </c>
      <c r="C87" s="76">
        <f>DCF!C8*Exchange_Rate</f>
        <v>13954579694.547823</v>
      </c>
      <c r="D87" s="223">
        <f>C87*scaling_factor/Common_Shares</f>
        <v>10.229154486579706</v>
      </c>
      <c r="E87" s="240" t="str">
        <f>Market_currency</f>
        <v>HKD</v>
      </c>
    </row>
    <row r="88" spans="2:8" ht="15" customHeight="1" x14ac:dyDescent="0.15">
      <c r="B88" s="239" t="s">
        <v>189</v>
      </c>
      <c r="C88" s="76">
        <f>DCF!C9*Exchange_Rate</f>
        <v>3000385712.5077691</v>
      </c>
      <c r="D88" s="223">
        <f>C88*scaling_factor/Common_Shares</f>
        <v>2.1993789597661544</v>
      </c>
      <c r="E88" s="240" t="str">
        <f>Market_currency</f>
        <v>HKD</v>
      </c>
    </row>
    <row r="89" spans="2:8" ht="15" customHeight="1" x14ac:dyDescent="0.15">
      <c r="B89" s="80" t="s">
        <v>291</v>
      </c>
      <c r="C89" s="180">
        <f>SUM(C86:C88)</f>
        <v>16644195416.260584</v>
      </c>
      <c r="D89" s="242">
        <f>SUM(D86:D88)</f>
        <v>12.200729075650472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x14ac:dyDescent="0.15">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x14ac:dyDescent="0.15">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68</v>
      </c>
      <c r="C12" s="328">
        <f>C50</f>
        <v>155301241.63430637</v>
      </c>
      <c r="E12" s="268"/>
      <c r="G12" s="328">
        <f>G50</f>
        <v>155301241.63430637</v>
      </c>
      <c r="H12" s="328">
        <f t="shared" ref="H12:Q12" si="6">H50</f>
        <v>129001917.42176744</v>
      </c>
      <c r="I12" s="328">
        <f t="shared" si="6"/>
        <v>122778225.24936773</v>
      </c>
      <c r="J12" s="328">
        <f t="shared" si="6"/>
        <v>67969649.190500289</v>
      </c>
      <c r="K12" s="328">
        <f t="shared" si="6"/>
        <v>136839909.80384955</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164</v>
      </c>
      <c r="C13" s="329">
        <f>SUM(C8:C12)</f>
        <v>4033369311.9420609</v>
      </c>
      <c r="E13" s="268"/>
      <c r="G13" s="329">
        <f>IF(G$4="","",SUM(G8:G12))</f>
        <v>4691366101.634306</v>
      </c>
      <c r="H13" s="329">
        <f t="shared" ref="H13:Q13" si="7">IF(H$4="","",SUM(H8:H12))</f>
        <v>4549669709.4217672</v>
      </c>
      <c r="I13" s="329">
        <f t="shared" si="7"/>
        <v>3869731433.2493677</v>
      </c>
      <c r="J13" s="329">
        <f t="shared" si="7"/>
        <v>3025060649.1905003</v>
      </c>
      <c r="K13" s="329">
        <f t="shared" si="7"/>
        <v>2470899781.8038497</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63</v>
      </c>
      <c r="C14" s="328">
        <f>-SUM(C8+C11,C12)*C43</f>
        <v>-1008342327.9855152</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x14ac:dyDescent="0.15">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x14ac:dyDescent="0.15">
      <c r="A16" s="10"/>
      <c r="B16" s="41" t="s">
        <v>154</v>
      </c>
      <c r="C16" s="332">
        <f>SUM(C13:C15)</f>
        <v>2878392419.484869</v>
      </c>
      <c r="D16" s="61"/>
      <c r="E16" s="276"/>
      <c r="F16" s="61"/>
      <c r="G16" s="329">
        <f>IF(G$4="","",SUM(G13:G15))</f>
        <v>3154856959.634306</v>
      </c>
      <c r="H16" s="329">
        <f t="shared" ref="H16:Q16" si="8">IF(H$4="","",SUM(H13:H15))</f>
        <v>3071113813.4217672</v>
      </c>
      <c r="I16" s="329">
        <f t="shared" si="8"/>
        <v>2574218740.2493677</v>
      </c>
      <c r="J16" s="329">
        <f t="shared" si="8"/>
        <v>1701540994.1905003</v>
      </c>
      <c r="K16" s="329">
        <f t="shared" si="8"/>
        <v>1432674013.8038497</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2878392419.484869</v>
      </c>
      <c r="D19" s="27"/>
      <c r="E19" s="265"/>
      <c r="F19" s="27"/>
      <c r="G19" s="334">
        <f>IF(G$4="","",G16+G17)</f>
        <v>3154856959.634306</v>
      </c>
      <c r="H19" s="334">
        <f t="shared" ref="H19:Q19" si="9">IF(H$4="","",H16+H17)</f>
        <v>3071113813.4217672</v>
      </c>
      <c r="I19" s="334">
        <f t="shared" si="9"/>
        <v>2574218740.2493677</v>
      </c>
      <c r="J19" s="334">
        <f t="shared" si="9"/>
        <v>1701540994.1905003</v>
      </c>
      <c r="K19" s="334">
        <f t="shared" si="9"/>
        <v>1432674013.8038497</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x14ac:dyDescent="0.2">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x14ac:dyDescent="0.15">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x14ac:dyDescent="0.15">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x14ac:dyDescent="0.15">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0.29622849376770488</v>
      </c>
      <c r="H43" s="6">
        <f t="shared" si="18"/>
        <v>0.30732085344667864</v>
      </c>
      <c r="I43" s="6">
        <f t="shared" si="18"/>
        <v>0.31046594026582924</v>
      </c>
      <c r="J43" s="6">
        <f t="shared" si="18"/>
        <v>0.40420068778693752</v>
      </c>
      <c r="K43" s="6">
        <f t="shared" si="18"/>
        <v>0.36933125565043434</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x14ac:dyDescent="0.15">
      <c r="A48" s="10"/>
      <c r="B48" s="2" t="s">
        <v>345</v>
      </c>
      <c r="C48" s="328">
        <f>BS!D75*C53</f>
        <v>177138295.63430637</v>
      </c>
      <c r="E48" s="268"/>
      <c r="G48" s="337">
        <f>IFERROR(IF(G$4="","",($C$48/$C$49)*G49),0)</f>
        <v>177138295.63430637</v>
      </c>
      <c r="H48" s="337">
        <f t="shared" ref="H48:Q48" si="19">IFERROR(IF(H$4="","",($C$48/$C$49)*H49),0)</f>
        <v>145432507.42176744</v>
      </c>
      <c r="I48" s="337">
        <f t="shared" si="19"/>
        <v>132016025.24936773</v>
      </c>
      <c r="J48" s="337">
        <f t="shared" si="19"/>
        <v>90655016.190500289</v>
      </c>
      <c r="K48" s="337">
        <f t="shared" si="19"/>
        <v>150502591.80384955</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x14ac:dyDescent="0.15">
      <c r="A50" s="10"/>
      <c r="B50" s="70" t="s">
        <v>68</v>
      </c>
      <c r="C50" s="329">
        <f>C47+C48</f>
        <v>155301241.63430637</v>
      </c>
      <c r="E50" s="268"/>
      <c r="G50" s="329">
        <f>IF(G$4="","",(G47+G48))</f>
        <v>155301241.63430637</v>
      </c>
      <c r="H50" s="329">
        <f t="shared" ref="H50:Q50" si="20">IF(H$4="","",(H47+H48))</f>
        <v>129001917.42176744</v>
      </c>
      <c r="I50" s="329">
        <f t="shared" si="20"/>
        <v>122778225.24936773</v>
      </c>
      <c r="J50" s="329">
        <f t="shared" si="20"/>
        <v>67969649.190500289</v>
      </c>
      <c r="K50" s="329">
        <f t="shared" si="20"/>
        <v>136839909.80384955</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x14ac:dyDescent="0.15">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x14ac:dyDescent="0.15">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x14ac:dyDescent="0.15">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x14ac:dyDescent="0.15">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x14ac:dyDescent="0.15">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463</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4.8375655300976839E-3</v>
      </c>
      <c r="D80" s="27"/>
      <c r="E80" s="265"/>
      <c r="F80" s="27"/>
      <c r="G80" s="6">
        <f t="shared" ref="G80:Q80" si="31">IF(G$4="","",ABS(G12/G$4))</f>
        <v>4.8323499470224194E-3</v>
      </c>
      <c r="H80" s="6">
        <f t="shared" si="31"/>
        <v>3.8012709318010159E-3</v>
      </c>
      <c r="I80" s="6">
        <f t="shared" si="31"/>
        <v>3.8163584167559173E-3</v>
      </c>
      <c r="J80" s="6">
        <f t="shared" si="31"/>
        <v>2.2531271820489885E-3</v>
      </c>
      <c r="K80" s="6">
        <f t="shared" si="31"/>
        <v>4.9294428954475902E-3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164</v>
      </c>
      <c r="C81" s="78">
        <f>C13/C4</f>
        <v>0.12563768420827973</v>
      </c>
      <c r="D81" s="27"/>
      <c r="E81" s="265"/>
      <c r="F81" s="27"/>
      <c r="G81" s="65">
        <f t="shared" ref="G81:Q81" si="32">IF(G$4="","",G13/G$4)</f>
        <v>0.14597644226230957</v>
      </c>
      <c r="H81" s="65">
        <f t="shared" si="32"/>
        <v>0.13406410975409508</v>
      </c>
      <c r="I81" s="65">
        <f t="shared" si="32"/>
        <v>0.12028421241528098</v>
      </c>
      <c r="J81" s="65">
        <f t="shared" si="32"/>
        <v>0.10027779247373968</v>
      </c>
      <c r="K81" s="65">
        <f t="shared" si="32"/>
        <v>8.9010285027485009E-2</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3.1409421052069932E-2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154</v>
      </c>
      <c r="C84" s="78">
        <f>ABS(C16/C$4)</f>
        <v>8.9660660816755153E-2</v>
      </c>
      <c r="D84" s="27"/>
      <c r="E84" s="265"/>
      <c r="F84" s="27"/>
      <c r="G84" s="65">
        <f t="shared" ref="G84:Q84" si="35">IF(G$4="","",ABS(G16/G$4))</f>
        <v>9.8166458305922619E-2</v>
      </c>
      <c r="H84" s="65">
        <f t="shared" si="35"/>
        <v>9.0495830608815969E-2</v>
      </c>
      <c r="I84" s="65">
        <f t="shared" si="35"/>
        <v>8.0015339332102614E-2</v>
      </c>
      <c r="J84" s="65">
        <f t="shared" si="35"/>
        <v>5.6404414485592226E-2</v>
      </c>
      <c r="K84" s="65">
        <f t="shared" si="35"/>
        <v>5.1609831875518347E-2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8.9660660816755153E-2</v>
      </c>
      <c r="D87" s="75"/>
      <c r="E87" s="265"/>
      <c r="F87" s="75"/>
      <c r="G87" s="65">
        <f t="shared" ref="G87:Q87" si="36">IF(G$4="","",ABS(G19/G$4))</f>
        <v>9.8166458305922619E-2</v>
      </c>
      <c r="H87" s="65">
        <f t="shared" si="36"/>
        <v>9.0495830608815969E-2</v>
      </c>
      <c r="I87" s="65">
        <f t="shared" si="36"/>
        <v>8.0015339332102614E-2</v>
      </c>
      <c r="J87" s="65">
        <f t="shared" si="36"/>
        <v>5.6404414485592226E-2</v>
      </c>
      <c r="K87" s="65">
        <f t="shared" si="36"/>
        <v>5.1609831875518347E-2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2.0203753940133802</v>
      </c>
      <c r="E90" s="268"/>
      <c r="G90" s="112">
        <f>Data!C65</f>
        <v>2.0203753940133802</v>
      </c>
      <c r="H90" s="112">
        <f>Data!D65</f>
        <v>1.8367049036485272</v>
      </c>
      <c r="I90" s="112">
        <f>Data!E65</f>
        <v>1.1938581873715428</v>
      </c>
      <c r="J90" s="112">
        <f>Data!F65</f>
        <v>1.0101876970066901</v>
      </c>
      <c r="K90" s="112">
        <f>Data!G65</f>
        <v>0.68876433886819766</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2756189623.0672874</v>
      </c>
      <c r="E91" s="268"/>
      <c r="G91" s="74">
        <f t="shared" ref="G91:Q91" si="37">IF(G$4="","",G90*Common_Shares/scaling_factor)</f>
        <v>2756189623.0672874</v>
      </c>
      <c r="H91" s="74">
        <f t="shared" si="37"/>
        <v>2505626930.0611701</v>
      </c>
      <c r="I91" s="74">
        <f t="shared" si="37"/>
        <v>1628657504.5397608</v>
      </c>
      <c r="J91" s="74">
        <f t="shared" si="37"/>
        <v>1378094811.5336437</v>
      </c>
      <c r="K91" s="74">
        <f t="shared" si="37"/>
        <v>939610098.77293885</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213</v>
      </c>
      <c r="C92" s="23">
        <f>C90/(C19*scaling_factor/Common_Shares)</f>
        <v>0.95754477548288863</v>
      </c>
      <c r="E92" s="268"/>
      <c r="G92" s="170">
        <f t="shared" ref="G92:Q92" si="38">IF(G$4="","",G90/(G19*scaling_factor/Common_Shares))</f>
        <v>0.87363378382352086</v>
      </c>
      <c r="H92" s="170">
        <f t="shared" si="38"/>
        <v>0.81586912185109028</v>
      </c>
      <c r="I92" s="170">
        <f t="shared" si="38"/>
        <v>0.63268030765015359</v>
      </c>
      <c r="J92" s="170">
        <f t="shared" si="38"/>
        <v>0.80990985009401173</v>
      </c>
      <c r="K92" s="170">
        <f t="shared" si="38"/>
        <v>0.65584361112142209</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309</v>
      </c>
      <c r="C93" s="23">
        <f>C90/Market_Price</f>
        <v>3.6175029436228828E-2</v>
      </c>
      <c r="E93" s="268"/>
      <c r="G93" s="23">
        <f t="shared" ref="G93:Q93" si="39">IF(G$4="","",G90/Market_Price)</f>
        <v>3.6175029436228828E-2</v>
      </c>
      <c r="H93" s="23">
        <f t="shared" si="39"/>
        <v>3.2886390396571659E-2</v>
      </c>
      <c r="I93" s="23">
        <f t="shared" si="39"/>
        <v>2.137615375777158E-2</v>
      </c>
      <c r="J93" s="23">
        <f t="shared" si="39"/>
        <v>1.8087514718114414E-2</v>
      </c>
      <c r="K93" s="23">
        <f t="shared" si="39"/>
        <v>1.2332396398714371E-2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164</v>
      </c>
      <c r="C97" s="77">
        <f>C13/G13-1</f>
        <v>-0.14025696895900364</v>
      </c>
      <c r="D97" s="27"/>
      <c r="E97" s="265"/>
      <c r="F97" s="27"/>
      <c r="G97" s="6">
        <f t="shared" ref="G97:Q97" si="41">IF(H5="","",G13/H13-1)</f>
        <v>3.1144325030694864E-2</v>
      </c>
      <c r="H97" s="6">
        <f t="shared" si="41"/>
        <v>0.17570683854963631</v>
      </c>
      <c r="I97" s="6">
        <f t="shared" si="41"/>
        <v>0.27922441299975254</v>
      </c>
      <c r="J97" s="6">
        <f t="shared" si="41"/>
        <v>0.22427492667553373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x14ac:dyDescent="0.15">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x14ac:dyDescent="0.15">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x14ac:dyDescent="0.15">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x14ac:dyDescent="0.15">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392</v>
      </c>
      <c r="C114" s="169"/>
      <c r="E114" s="268"/>
      <c r="G114" s="295">
        <f>IF(G$4="","",Data!C$22/G19)</f>
        <v>1.6338810912674471</v>
      </c>
      <c r="H114" s="295">
        <f>IF(H$4="","",Data!D$22/H19)</f>
        <v>0.90441686917011255</v>
      </c>
      <c r="I114" s="295">
        <f>IF(I$4="","",Data!E$22/I19)</f>
        <v>1.895243494936016</v>
      </c>
      <c r="J114" s="295">
        <f>IF(J$4="","",Data!F$22/J19)</f>
        <v>3.5515520787525783</v>
      </c>
      <c r="K114" s="295">
        <f>IF(K$4="","",Data!G$22/K19)</f>
        <v>3.4574664677893594</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0.12563768420827973</v>
      </c>
      <c r="E117" s="268"/>
      <c r="G117" s="23">
        <f t="shared" ref="G117:Q117" si="45">IF(G4="","",IF(valuation_method="DDM",G13/(G4+G12),G81))</f>
        <v>0.14597644226230957</v>
      </c>
      <c r="H117" s="23">
        <f t="shared" si="45"/>
        <v>0.13406410975409508</v>
      </c>
      <c r="I117" s="23">
        <f t="shared" si="45"/>
        <v>0.12028421241528098</v>
      </c>
      <c r="J117" s="23">
        <f t="shared" si="45"/>
        <v>0.10027779247373968</v>
      </c>
      <c r="K117" s="23">
        <f t="shared" si="45"/>
        <v>8.9010285027485009E-2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222</v>
      </c>
      <c r="C120" s="102">
        <f>C13/C105</f>
        <v>0.13507807020135146</v>
      </c>
      <c r="D120" s="103"/>
      <c r="E120" s="271"/>
      <c r="F120" s="103"/>
      <c r="G120" s="102">
        <f>IF(G$4="","",G13/G105)</f>
        <v>0.15711446946862234</v>
      </c>
      <c r="H120" s="102">
        <f t="shared" ref="H120:Q120" si="48">IF(H$4="","",H13/H105)</f>
        <v>0.16102319660631567</v>
      </c>
      <c r="I120" s="102">
        <f t="shared" si="48"/>
        <v>0.14729314094806492</v>
      </c>
      <c r="J120" s="102">
        <f t="shared" si="48"/>
        <v>0.12713708880684446</v>
      </c>
      <c r="K120" s="102">
        <f t="shared" si="48"/>
        <v>0.11563523725084535</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2.2975426907744789</v>
      </c>
      <c r="D124" s="27"/>
      <c r="E124" s="265"/>
      <c r="F124" s="27"/>
      <c r="G124" s="177">
        <f t="shared" ref="G124:Q124" si="49">IF(G$4="","",G16*$C$3/Common_Shares*Exchange_Rate)</f>
        <v>2.518217633905528</v>
      </c>
      <c r="H124" s="177">
        <f t="shared" si="49"/>
        <v>2.4513735676897372</v>
      </c>
      <c r="I124" s="177">
        <f t="shared" si="49"/>
        <v>2.0547502178917934</v>
      </c>
      <c r="J124" s="177">
        <f t="shared" si="49"/>
        <v>1.358175851142341</v>
      </c>
      <c r="K124" s="177">
        <f t="shared" si="49"/>
        <v>1.1435653062436342</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269</v>
      </c>
      <c r="C125" s="77">
        <f>C19*Exchange_Rate*$C$3/(Market_Price*Common_Shares)</f>
        <v>4.1137738420312958E-2</v>
      </c>
      <c r="D125" s="27"/>
      <c r="E125" s="265"/>
      <c r="F125" s="27"/>
      <c r="G125" s="77">
        <f t="shared" ref="G125" si="50">IF(G$4="","",G124/Market_Price)</f>
        <v>4.5088945996517957E-2</v>
      </c>
      <c r="H125" s="77">
        <f t="shared" ref="H125" si="51">IF(H$4="","",H124/Market_Price)</f>
        <v>4.3892096109037368E-2</v>
      </c>
      <c r="I125" s="77">
        <f t="shared" ref="I125" si="52">IF(I$4="","",I124/Market_Price)</f>
        <v>3.679051419680919E-2</v>
      </c>
      <c r="J125" s="77">
        <f t="shared" ref="J125" si="53">IF(J$4="","",J124/Market_Price)</f>
        <v>2.4318278444804671E-2</v>
      </c>
      <c r="K125" s="77">
        <f t="shared" ref="K125" si="54">IF(K$4="","",K124/Market_Price)</f>
        <v>2.0475654543305893E-2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394</v>
      </c>
      <c r="C126" s="169"/>
      <c r="G126" s="23">
        <f>IF(G$4="","",(Data!C47*$C$3)/(Market_Price*Common_Shares))</f>
        <v>5.8954635224330303E-2</v>
      </c>
      <c r="H126" s="23">
        <f>IF(H$4="","",(Data!D47*$C$3)/(Market_Price*Common_Shares))</f>
        <v>5.7070174981367169E-2</v>
      </c>
      <c r="I126" s="23">
        <f>IF(I$4="","",(Data!E47*$C$3)/(Market_Price*Common_Shares))</f>
        <v>4.9937025490332861E-2</v>
      </c>
      <c r="J126" s="23">
        <f>IF(J$4="","",(Data!F47*$C$3)/(Market_Price*Common_Shares))</f>
        <v>4.2738248799333037E-2</v>
      </c>
      <c r="K126" s="23">
        <f>IF(K$4="","",(Data!G47*$C$3)/(Market_Price*Common_Shares))</f>
        <v>3.0541499871254017E-2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v>
      </c>
      <c r="E3" s="109" t="s">
        <v>124</v>
      </c>
      <c r="H3" s="120"/>
    </row>
    <row r="4" spans="2:8" x14ac:dyDescent="0.15">
      <c r="B4" s="100" t="s">
        <v>128</v>
      </c>
      <c r="C4" s="338">
        <f>Normalized_FCF!C19</f>
        <v>2878392419.484869</v>
      </c>
      <c r="D4" t="str">
        <f>Reporting_currency</f>
        <v>CNY</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38378565593.131592</v>
      </c>
      <c r="D6" t="str">
        <f>Reporting_currency</f>
        <v>CNY</v>
      </c>
      <c r="E6" s="364" t="s">
        <v>249</v>
      </c>
      <c r="F6" s="364"/>
      <c r="H6" s="120"/>
    </row>
    <row r="7" spans="2:8" x14ac:dyDescent="0.15">
      <c r="B7" s="148" t="s">
        <v>224</v>
      </c>
      <c r="C7" s="338">
        <f>BS!G31</f>
        <v>285396383</v>
      </c>
      <c r="D7" t="str">
        <f>Reporting_currency</f>
        <v>CNY</v>
      </c>
      <c r="E7" s="364"/>
      <c r="F7" s="364"/>
      <c r="H7" s="120"/>
    </row>
    <row r="8" spans="2:8" x14ac:dyDescent="0.15">
      <c r="B8" s="148" t="s">
        <v>225</v>
      </c>
      <c r="C8" s="338">
        <f>BS!D66</f>
        <v>12815222476.665077</v>
      </c>
      <c r="D8" t="str">
        <f>Reporting_currency</f>
        <v>CNY</v>
      </c>
      <c r="E8" s="364"/>
      <c r="F8" s="364"/>
      <c r="H8" s="120"/>
    </row>
    <row r="9" spans="2:8" x14ac:dyDescent="0.15">
      <c r="B9" s="205" t="s">
        <v>190</v>
      </c>
      <c r="C9" s="348">
        <f>BS!H42</f>
        <v>2755411575.5</v>
      </c>
      <c r="D9" t="str">
        <f>Reporting_currency</f>
        <v>CNY</v>
      </c>
      <c r="E9" s="364"/>
      <c r="F9" s="364"/>
      <c r="H9" s="120"/>
    </row>
    <row r="10" spans="2:8" x14ac:dyDescent="0.15">
      <c r="B10" s="149" t="s">
        <v>227</v>
      </c>
      <c r="C10" s="347">
        <f>C6-C7+C8+C9</f>
        <v>53663803262.296669</v>
      </c>
      <c r="D10" t="str">
        <f>Reporting_currency</f>
        <v>CNY</v>
      </c>
      <c r="H10" s="120"/>
    </row>
    <row r="11" spans="2:8" ht="14" thickBot="1" x14ac:dyDescent="0.2">
      <c r="B11" s="207" t="s">
        <v>166</v>
      </c>
      <c r="C11" s="208">
        <f>Exchange_Rate</f>
        <v>1.0889065499999999</v>
      </c>
      <c r="D11" t="str">
        <f>Thesis!C15</f>
        <v>CNY/HKD</v>
      </c>
      <c r="H11" s="120"/>
    </row>
    <row r="12" spans="2:8" ht="14" thickTop="1" x14ac:dyDescent="0.15">
      <c r="B12" s="149" t="s">
        <v>102</v>
      </c>
      <c r="C12" s="111">
        <f>(C10*scaling_factor)/Common_Shares*Exchange_Rate</f>
        <v>42.834631619310194</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6.1165848114484E-2</v>
      </c>
      <c r="H16" s="120"/>
    </row>
    <row r="17" spans="2:17" ht="13.25" customHeight="1" x14ac:dyDescent="0.15">
      <c r="B17" s="118" t="s">
        <v>134</v>
      </c>
      <c r="C17" s="162">
        <f>Scenarios!C64</f>
        <v>30</v>
      </c>
      <c r="H17" s="120"/>
    </row>
    <row r="18" spans="2:17" ht="13.25" customHeight="1" x14ac:dyDescent="0.15">
      <c r="B18" s="153" t="s">
        <v>106</v>
      </c>
      <c r="C18" s="140">
        <f>(F52-C7+C8+C9)*Exchange_Rate/Common_Shares*scaling_factor</f>
        <v>72.657799662329239</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3054451733.0289621</v>
      </c>
      <c r="D21" s="138">
        <f>IF($C$17&lt;B21,0,DCF!$C$16)</f>
        <v>6.1165848114484E-2</v>
      </c>
      <c r="E21" s="124">
        <f t="shared" ref="E21:E50" si="0">IF($C$17&lt;B21,0,1/(1+Equity_Cost)^B21)</f>
        <v>0.93023255813953487</v>
      </c>
      <c r="F21" s="125">
        <f t="shared" ref="F21:F51" si="1">C21*E21</f>
        <v>2841350449.329267</v>
      </c>
      <c r="H21" s="120"/>
    </row>
    <row r="22" spans="2:17" x14ac:dyDescent="0.15">
      <c r="B22" s="122">
        <v>2</v>
      </c>
      <c r="C22" s="123">
        <f t="shared" ref="C22:C50" si="2">IF(ROW()-ROW($C$21)&lt;$C$17, $C$21*(1+D22)^(ROW()-ROW($C$21)), 0)</f>
        <v>3241279863.8044338</v>
      </c>
      <c r="D22" s="138">
        <f>IF($C$17&lt;B22,0,DCF!$C$16)</f>
        <v>6.1165848114484E-2</v>
      </c>
      <c r="E22" s="124">
        <f t="shared" si="0"/>
        <v>0.86533261222282321</v>
      </c>
      <c r="F22" s="125">
        <f t="shared" si="1"/>
        <v>2804785171.4911275</v>
      </c>
      <c r="H22" s="120"/>
    </row>
    <row r="23" spans="2:17" x14ac:dyDescent="0.15">
      <c r="B23" s="122">
        <v>3</v>
      </c>
      <c r="C23" s="123">
        <f t="shared" si="2"/>
        <v>3439535495.6504307</v>
      </c>
      <c r="D23" s="138">
        <f>IF($C$17&lt;B23,0,DCF!$C$16)</f>
        <v>6.1165848114484E-2</v>
      </c>
      <c r="E23" s="124">
        <f t="shared" si="0"/>
        <v>0.80496056950960304</v>
      </c>
      <c r="F23" s="125">
        <f t="shared" si="1"/>
        <v>2768690451.4272656</v>
      </c>
      <c r="G23" s="338"/>
      <c r="H23" s="339"/>
      <c r="I23" s="338"/>
      <c r="J23" s="338"/>
      <c r="K23" s="338"/>
      <c r="L23" s="338"/>
      <c r="M23" s="338"/>
      <c r="N23" s="338"/>
      <c r="O23" s="338"/>
      <c r="P23" s="338"/>
      <c r="Q23" s="338"/>
    </row>
    <row r="24" spans="2:17" x14ac:dyDescent="0.15">
      <c r="B24" s="122">
        <v>4</v>
      </c>
      <c r="C24" s="123">
        <f t="shared" si="2"/>
        <v>3649917601.3617606</v>
      </c>
      <c r="D24" s="138">
        <f>IF($C$17&lt;B24,0,DCF!$C$16)</f>
        <v>6.1165848114484E-2</v>
      </c>
      <c r="E24" s="124">
        <f t="shared" si="0"/>
        <v>0.7488005297763749</v>
      </c>
      <c r="F24" s="125">
        <f t="shared" si="1"/>
        <v>2733060233.5398021</v>
      </c>
      <c r="G24" s="338"/>
      <c r="H24" s="339"/>
      <c r="I24" s="338"/>
      <c r="J24" s="338"/>
      <c r="K24" s="338"/>
      <c r="L24" s="338"/>
      <c r="M24" s="338"/>
      <c r="N24" s="338"/>
      <c r="O24" s="338"/>
      <c r="P24" s="338"/>
      <c r="Q24" s="338"/>
    </row>
    <row r="25" spans="2:17" x14ac:dyDescent="0.15">
      <c r="B25" s="122">
        <v>5</v>
      </c>
      <c r="C25" s="123">
        <f t="shared" si="2"/>
        <v>3873167906.9970355</v>
      </c>
      <c r="D25" s="138">
        <f>IF($C$17&lt;B25,0,DCF!$C$16)</f>
        <v>6.1165848114484E-2</v>
      </c>
      <c r="E25" s="124">
        <f t="shared" si="0"/>
        <v>0.69655863235011617</v>
      </c>
      <c r="F25" s="125">
        <f t="shared" si="1"/>
        <v>2697888540.1602168</v>
      </c>
      <c r="G25" s="338"/>
      <c r="H25" s="339"/>
      <c r="I25" s="338"/>
      <c r="J25" s="338"/>
      <c r="K25" s="338"/>
      <c r="L25" s="338"/>
      <c r="M25" s="338"/>
      <c r="N25" s="338"/>
      <c r="O25" s="338"/>
      <c r="P25" s="338"/>
      <c r="Q25" s="338"/>
    </row>
    <row r="26" spans="2:17" x14ac:dyDescent="0.15">
      <c r="B26" s="122">
        <v>6</v>
      </c>
      <c r="C26" s="123">
        <f t="shared" si="2"/>
        <v>4110073506.9183097</v>
      </c>
      <c r="D26" s="138">
        <f>IF($C$17&lt;B26,0,DCF!$C$16)</f>
        <v>6.1165848114484E-2</v>
      </c>
      <c r="E26" s="124">
        <f t="shared" si="0"/>
        <v>0.64796151846522443</v>
      </c>
      <c r="F26" s="125">
        <f t="shared" si="1"/>
        <v>2663169470.5464783</v>
      </c>
      <c r="H26" s="120"/>
    </row>
    <row r="27" spans="2:17" x14ac:dyDescent="0.15">
      <c r="B27" s="122">
        <v>7</v>
      </c>
      <c r="C27" s="123">
        <f t="shared" si="2"/>
        <v>4361469638.7818394</v>
      </c>
      <c r="D27" s="138">
        <f>IF($C$17&lt;B27,0,DCF!$C$16)</f>
        <v>6.1165848114484E-2</v>
      </c>
      <c r="E27" s="124">
        <f t="shared" si="0"/>
        <v>0.60275490089788319</v>
      </c>
      <c r="F27" s="125">
        <f t="shared" si="1"/>
        <v>2628897199.893074</v>
      </c>
      <c r="H27" s="120"/>
    </row>
    <row r="28" spans="2:17" x14ac:dyDescent="0.15">
      <c r="B28" s="122">
        <v>8</v>
      </c>
      <c r="C28" s="123">
        <f t="shared" si="2"/>
        <v>4628242628.2635012</v>
      </c>
      <c r="D28" s="138">
        <f>IF($C$17&lt;B28,0,DCF!$C$16)</f>
        <v>6.1165848114484E-2</v>
      </c>
      <c r="E28" s="124">
        <f t="shared" si="0"/>
        <v>0.56070223339337966</v>
      </c>
      <c r="F28" s="125">
        <f t="shared" si="1"/>
        <v>2595065978.3537903</v>
      </c>
      <c r="H28" s="120"/>
    </row>
    <row r="29" spans="2:17" x14ac:dyDescent="0.15">
      <c r="B29" s="122">
        <v>9</v>
      </c>
      <c r="C29" s="123">
        <f t="shared" si="2"/>
        <v>4911333013.9008474</v>
      </c>
      <c r="D29" s="138">
        <f>IF($C$17&lt;B29,0,DCF!$C$16)</f>
        <v>6.1165848114484E-2</v>
      </c>
      <c r="E29" s="124">
        <f t="shared" si="0"/>
        <v>0.52158347292407414</v>
      </c>
      <c r="F29" s="125">
        <f t="shared" si="1"/>
        <v>2561670130.077064</v>
      </c>
      <c r="H29" s="120"/>
    </row>
    <row r="30" spans="2:17" x14ac:dyDescent="0.15">
      <c r="B30" s="122">
        <v>10</v>
      </c>
      <c r="C30" s="123">
        <f t="shared" si="2"/>
        <v>5211738863.0687571</v>
      </c>
      <c r="D30" s="138">
        <f>IF($C$17&lt;B30,0,DCF!$C$16)</f>
        <v>6.1165848114484E-2</v>
      </c>
      <c r="E30" s="124">
        <f t="shared" si="0"/>
        <v>0.48519392830146441</v>
      </c>
      <c r="F30" s="125">
        <f t="shared" si="1"/>
        <v>2528704052.2537379</v>
      </c>
      <c r="H30" s="120"/>
    </row>
    <row r="31" spans="2:17" x14ac:dyDescent="0.15">
      <c r="B31" s="122">
        <v>11</v>
      </c>
      <c r="C31" s="123">
        <f t="shared" si="2"/>
        <v>5530519290.7795725</v>
      </c>
      <c r="D31" s="138">
        <f>IF($C$17&lt;B31,0,DCF!$C$16)</f>
        <v>6.1165848114484E-2</v>
      </c>
      <c r="E31" s="124">
        <f t="shared" si="0"/>
        <v>0.45134318911764126</v>
      </c>
      <c r="F31" s="125">
        <f t="shared" si="1"/>
        <v>2496162214.1770878</v>
      </c>
      <c r="H31" s="120"/>
    </row>
    <row r="32" spans="2:17" x14ac:dyDescent="0.15">
      <c r="B32" s="122">
        <v>12</v>
      </c>
      <c r="C32" s="123">
        <f t="shared" si="2"/>
        <v>5868798193.7136192</v>
      </c>
      <c r="D32" s="138">
        <f>IF($C$17&lt;B32,0,DCF!$C$16)</f>
        <v>6.1165848114484E-2</v>
      </c>
      <c r="E32" s="124">
        <f t="shared" si="0"/>
        <v>0.41985412941175931</v>
      </c>
      <c r="F32" s="125">
        <f t="shared" si="1"/>
        <v>2464039156.3149371</v>
      </c>
      <c r="H32" s="120"/>
    </row>
    <row r="33" spans="2:17" x14ac:dyDescent="0.15">
      <c r="B33" s="122">
        <v>13</v>
      </c>
      <c r="C33" s="341">
        <f t="shared" si="2"/>
        <v>6227768212.6448631</v>
      </c>
      <c r="D33" s="138">
        <f>IF($C$17&lt;B33,0,DCF!$C$16)</f>
        <v>6.1165848114484E-2</v>
      </c>
      <c r="E33" s="124">
        <f t="shared" si="0"/>
        <v>0.39056198084814819</v>
      </c>
      <c r="F33" s="125">
        <f t="shared" si="1"/>
        <v>2432329489.3937092</v>
      </c>
      <c r="G33" s="338"/>
      <c r="H33" s="339"/>
      <c r="I33" s="338"/>
      <c r="J33" s="338"/>
      <c r="K33" s="338"/>
      <c r="L33" s="338"/>
      <c r="M33" s="338"/>
      <c r="N33" s="338"/>
      <c r="O33" s="338"/>
      <c r="P33" s="338"/>
      <c r="Q33" s="338"/>
    </row>
    <row r="34" spans="2:17" x14ac:dyDescent="0.15">
      <c r="B34" s="122">
        <v>14</v>
      </c>
      <c r="C34" s="341">
        <f t="shared" si="2"/>
        <v>6608694937.2317104</v>
      </c>
      <c r="D34" s="138">
        <f>IF($C$17&lt;B34,0,DCF!$C$16)</f>
        <v>6.1165848114484E-2</v>
      </c>
      <c r="E34" s="124">
        <f t="shared" si="0"/>
        <v>0.36331347055641694</v>
      </c>
      <c r="F34" s="125">
        <f t="shared" si="1"/>
        <v>2401027893.4942746</v>
      </c>
      <c r="G34" s="338"/>
      <c r="H34" s="339"/>
      <c r="I34" s="338"/>
      <c r="J34" s="338"/>
      <c r="K34" s="338"/>
      <c r="L34" s="338"/>
      <c r="M34" s="338"/>
      <c r="N34" s="338"/>
      <c r="O34" s="338"/>
      <c r="P34" s="338"/>
      <c r="Q34" s="338"/>
    </row>
    <row r="35" spans="2:17" x14ac:dyDescent="0.15">
      <c r="B35" s="122">
        <v>15</v>
      </c>
      <c r="C35" s="341">
        <f t="shared" si="2"/>
        <v>7012921367.9973831</v>
      </c>
      <c r="D35" s="138">
        <f>IF($C$17&lt;B35,0,DCF!$C$16)</f>
        <v>6.1165848114484E-2</v>
      </c>
      <c r="E35" s="124">
        <f t="shared" si="0"/>
        <v>0.33796601912224833</v>
      </c>
      <c r="F35" s="125">
        <f t="shared" si="1"/>
        <v>2370129117.1594276</v>
      </c>
      <c r="G35" s="338"/>
      <c r="H35" s="339"/>
      <c r="I35" s="338"/>
      <c r="J35" s="338"/>
      <c r="K35" s="338"/>
      <c r="L35" s="338"/>
      <c r="M35" s="338"/>
      <c r="N35" s="338"/>
      <c r="O35" s="338"/>
      <c r="P35" s="338"/>
      <c r="Q35" s="338"/>
    </row>
    <row r="36" spans="2:17" x14ac:dyDescent="0.15">
      <c r="B36" s="122">
        <v>16</v>
      </c>
      <c r="C36" s="123">
        <f t="shared" si="2"/>
        <v>7441872651.2311287</v>
      </c>
      <c r="D36" s="138">
        <f>IF($C$17&lt;B36,0,DCF!$C$16)</f>
        <v>6.1165848114484E-2</v>
      </c>
      <c r="E36" s="124">
        <f t="shared" si="0"/>
        <v>0.31438699453232405</v>
      </c>
      <c r="F36" s="125">
        <f t="shared" si="1"/>
        <v>2339627976.5128527</v>
      </c>
      <c r="H36" s="120"/>
    </row>
    <row r="37" spans="2:17" x14ac:dyDescent="0.15">
      <c r="B37" s="122">
        <v>17</v>
      </c>
      <c r="C37" s="123">
        <f t="shared" si="2"/>
        <v>7897061103.503665</v>
      </c>
      <c r="D37" s="138">
        <f>IF($C$17&lt;B37,0,DCF!$C$16)</f>
        <v>6.1165848114484E-2</v>
      </c>
      <c r="E37" s="124">
        <f t="shared" si="0"/>
        <v>0.29245301816960378</v>
      </c>
      <c r="F37" s="125">
        <f t="shared" si="1"/>
        <v>2309519354.3894286</v>
      </c>
      <c r="H37" s="120"/>
    </row>
    <row r="38" spans="2:17" x14ac:dyDescent="0.15">
      <c r="B38" s="122">
        <v>18</v>
      </c>
      <c r="C38" s="123">
        <f t="shared" si="2"/>
        <v>8380091543.5113697</v>
      </c>
      <c r="D38" s="138">
        <f>IF($C$17&lt;B38,0,DCF!$C$16)</f>
        <v>6.1165848114484E-2</v>
      </c>
      <c r="E38" s="124">
        <f t="shared" si="0"/>
        <v>0.27204931922753844</v>
      </c>
      <c r="F38" s="125">
        <f t="shared" si="1"/>
        <v>2279798199.4767199</v>
      </c>
      <c r="H38" s="120"/>
    </row>
    <row r="39" spans="2:17" x14ac:dyDescent="0.15">
      <c r="B39" s="122">
        <v>19</v>
      </c>
      <c r="C39" s="123">
        <f t="shared" si="2"/>
        <v>8892666950.0472546</v>
      </c>
      <c r="D39" s="138">
        <f>IF($C$17&lt;B39,0,DCF!$C$16)</f>
        <v>6.1165848114484E-2</v>
      </c>
      <c r="E39" s="124">
        <f t="shared" si="0"/>
        <v>0.25306913416515198</v>
      </c>
      <c r="F39" s="125">
        <f t="shared" si="1"/>
        <v>2250459525.4675217</v>
      </c>
      <c r="H39" s="120"/>
    </row>
    <row r="40" spans="2:17" x14ac:dyDescent="0.15">
      <c r="B40" s="122">
        <v>20</v>
      </c>
      <c r="C40" s="123">
        <f t="shared" si="2"/>
        <v>9436594466.0465355</v>
      </c>
      <c r="D40" s="138">
        <f>IF($C$17&lt;B40,0,DCF!$C$16)</f>
        <v>6.1165848114484E-2</v>
      </c>
      <c r="E40" s="124">
        <f t="shared" si="0"/>
        <v>0.23541314806060654</v>
      </c>
      <c r="F40" s="125">
        <f t="shared" si="1"/>
        <v>2221498410.2233133</v>
      </c>
      <c r="H40" s="120"/>
    </row>
    <row r="41" spans="2:17" x14ac:dyDescent="0.15">
      <c r="B41" s="122">
        <v>21</v>
      </c>
      <c r="C41" s="123">
        <f t="shared" si="2"/>
        <v>10013791769.874718</v>
      </c>
      <c r="D41" s="138">
        <f>IF($C$17&lt;B41,0,DCF!$C$16)</f>
        <v>6.1165848114484E-2</v>
      </c>
      <c r="E41" s="124">
        <f t="shared" si="0"/>
        <v>0.21898897494009908</v>
      </c>
      <c r="F41" s="125">
        <f t="shared" si="1"/>
        <v>2192909994.9484649</v>
      </c>
      <c r="H41" s="120"/>
    </row>
    <row r="42" spans="2:17" x14ac:dyDescent="0.15">
      <c r="B42" s="122">
        <v>22</v>
      </c>
      <c r="C42" s="123">
        <f t="shared" si="2"/>
        <v>10626293836.320944</v>
      </c>
      <c r="D42" s="138">
        <f>IF($C$17&lt;B42,0,DCF!$C$16)</f>
        <v>6.1165848114484E-2</v>
      </c>
      <c r="E42" s="124">
        <f t="shared" si="0"/>
        <v>0.20371067436288287</v>
      </c>
      <c r="F42" s="125">
        <f t="shared" si="1"/>
        <v>2164689483.3750854</v>
      </c>
      <c r="H42" s="120"/>
    </row>
    <row r="43" spans="2:17" x14ac:dyDescent="0.15">
      <c r="B43" s="122">
        <v>23</v>
      </c>
      <c r="C43" s="123">
        <f t="shared" si="2"/>
        <v>11276260111.133226</v>
      </c>
      <c r="D43" s="138">
        <f>IF($C$17&lt;B43,0,DCF!$C$16)</f>
        <v>6.1165848114484E-2</v>
      </c>
      <c r="E43" s="124">
        <f t="shared" si="0"/>
        <v>0.18949830173291429</v>
      </c>
      <c r="F43" s="125">
        <f t="shared" si="1"/>
        <v>2136832140.9583497</v>
      </c>
      <c r="H43" s="120"/>
    </row>
    <row r="44" spans="2:17" x14ac:dyDescent="0.15">
      <c r="B44" s="122">
        <v>24</v>
      </c>
      <c r="C44" s="123">
        <f t="shared" si="2"/>
        <v>11965982124.390213</v>
      </c>
      <c r="D44" s="138">
        <f>IF($C$17&lt;B44,0,DCF!$C$16)</f>
        <v>6.1165848114484E-2</v>
      </c>
      <c r="E44" s="124">
        <f t="shared" si="0"/>
        <v>0.17627748998410636</v>
      </c>
      <c r="F44" s="125">
        <f t="shared" si="1"/>
        <v>2109333294.0821915</v>
      </c>
      <c r="H44" s="120"/>
    </row>
    <row r="45" spans="2:17" x14ac:dyDescent="0.15">
      <c r="B45" s="122">
        <v>25</v>
      </c>
      <c r="C45" s="123">
        <f t="shared" si="2"/>
        <v>12697891569.551296</v>
      </c>
      <c r="D45" s="138">
        <f>IF($C$17&lt;B45,0,DCF!$C$16)</f>
        <v>6.1165848114484E-2</v>
      </c>
      <c r="E45" s="124">
        <f t="shared" si="0"/>
        <v>0.16397906045033148</v>
      </c>
      <c r="F45" s="125">
        <f t="shared" si="1"/>
        <v>2082188329.2752063</v>
      </c>
      <c r="H45" s="120"/>
    </row>
    <row r="46" spans="2:17" x14ac:dyDescent="0.15">
      <c r="B46" s="122">
        <v>26</v>
      </c>
      <c r="C46" s="123">
        <f t="shared" si="2"/>
        <v>13474568876.668655</v>
      </c>
      <c r="D46" s="138">
        <f>IF($C$17&lt;B46,0,DCF!$C$16)</f>
        <v>6.1165848114484E-2</v>
      </c>
      <c r="E46" s="124">
        <f t="shared" si="0"/>
        <v>0.15253866088402931</v>
      </c>
      <c r="F46" s="125">
        <f t="shared" si="1"/>
        <v>2055392692.4366558</v>
      </c>
      <c r="H46" s="120"/>
    </row>
    <row r="47" spans="2:17" x14ac:dyDescent="0.15">
      <c r="B47" s="122">
        <v>27</v>
      </c>
      <c r="C47" s="341">
        <f t="shared" si="2"/>
        <v>14298752309.987122</v>
      </c>
      <c r="D47" s="138">
        <f>IF($C$17&lt;B47,0,DCF!$C$16)</f>
        <v>6.1165848114484E-2</v>
      </c>
      <c r="E47" s="124">
        <f t="shared" si="0"/>
        <v>0.14189642872932959</v>
      </c>
      <c r="F47" s="125">
        <f t="shared" si="1"/>
        <v>2028941888.0724244</v>
      </c>
      <c r="G47" s="338"/>
      <c r="H47" s="339"/>
      <c r="I47" s="338"/>
      <c r="J47" s="338"/>
      <c r="K47" s="338"/>
      <c r="L47" s="338"/>
      <c r="M47" s="338"/>
      <c r="N47" s="338"/>
      <c r="O47" s="338"/>
      <c r="P47" s="338"/>
      <c r="Q47" s="338"/>
    </row>
    <row r="48" spans="2:17" x14ac:dyDescent="0.15">
      <c r="B48" s="122">
        <v>28</v>
      </c>
      <c r="C48" s="341">
        <f t="shared" si="2"/>
        <v>15173347622.006418</v>
      </c>
      <c r="D48" s="138">
        <f>IF($C$17&lt;B48,0,DCF!$C$16)</f>
        <v>6.1165848114484E-2</v>
      </c>
      <c r="E48" s="124">
        <f t="shared" si="0"/>
        <v>0.13199667788774846</v>
      </c>
      <c r="F48" s="125">
        <f t="shared" si="1"/>
        <v>2002831478.5408154</v>
      </c>
      <c r="G48" s="338"/>
      <c r="H48" s="339"/>
      <c r="I48" s="338"/>
      <c r="J48" s="338"/>
      <c r="K48" s="338"/>
      <c r="L48" s="338"/>
      <c r="M48" s="338"/>
      <c r="N48" s="338"/>
      <c r="O48" s="338"/>
      <c r="P48" s="338"/>
      <c r="Q48" s="338"/>
    </row>
    <row r="49" spans="1:17" x14ac:dyDescent="0.15">
      <c r="B49" s="122">
        <v>29</v>
      </c>
      <c r="C49" s="341">
        <f t="shared" si="2"/>
        <v>16101438298.04233</v>
      </c>
      <c r="D49" s="138">
        <f>IF($C$17&lt;B49,0,DCF!$C$16)</f>
        <v>6.1165848114484E-2</v>
      </c>
      <c r="E49" s="124">
        <f t="shared" si="0"/>
        <v>0.1227876073374404</v>
      </c>
      <c r="F49" s="125">
        <f t="shared" si="1"/>
        <v>1977057083.3080463</v>
      </c>
      <c r="G49" s="338"/>
      <c r="H49" s="339"/>
      <c r="I49" s="338"/>
      <c r="J49" s="338"/>
      <c r="K49" s="338"/>
      <c r="L49" s="338"/>
      <c r="M49" s="338"/>
      <c r="N49" s="338"/>
      <c r="O49" s="338"/>
      <c r="P49" s="338"/>
      <c r="Q49" s="338"/>
    </row>
    <row r="50" spans="1:17" x14ac:dyDescent="0.15">
      <c r="B50" s="122">
        <v>30</v>
      </c>
      <c r="C50" s="341">
        <f t="shared" si="2"/>
        <v>17086296427.405121</v>
      </c>
      <c r="D50" s="138">
        <f>IF($C$17&lt;B50,0,DCF!$C$16)</f>
        <v>6.1165848114484E-2</v>
      </c>
      <c r="E50" s="124">
        <f t="shared" si="0"/>
        <v>0.11422103008133992</v>
      </c>
      <c r="F50" s="125">
        <f t="shared" si="1"/>
        <v>1951614378.2133312</v>
      </c>
      <c r="G50" s="338"/>
      <c r="H50" s="339"/>
      <c r="I50" s="338"/>
      <c r="J50" s="338"/>
      <c r="K50" s="338"/>
      <c r="L50" s="338"/>
      <c r="M50" s="338"/>
      <c r="N50" s="338"/>
      <c r="O50" s="338"/>
      <c r="P50" s="338"/>
      <c r="Q50" s="338"/>
    </row>
    <row r="51" spans="1:17" x14ac:dyDescent="0.15">
      <c r="B51" s="126" t="s">
        <v>131</v>
      </c>
      <c r="C51" s="123">
        <f>C$21*(1+Terminal_Growth)^$C$17/Equity_Cost</f>
        <v>40726023107.052834</v>
      </c>
      <c r="D51" s="139">
        <f>Terminal_Growth</f>
        <v>0</v>
      </c>
      <c r="E51" s="124">
        <f>1/(1+Equity_Cost)^C17</f>
        <v>0.11422103008133992</v>
      </c>
      <c r="F51" s="125">
        <f t="shared" si="1"/>
        <v>4651768310.404026</v>
      </c>
      <c r="H51" s="120"/>
    </row>
    <row r="52" spans="1:17" x14ac:dyDescent="0.15">
      <c r="C52" s="114"/>
      <c r="E52" s="127" t="s">
        <v>100</v>
      </c>
      <c r="F52" s="137">
        <f>SUM(F21:F51)</f>
        <v>75741432087.2957</v>
      </c>
      <c r="H52" s="120"/>
    </row>
    <row r="53" spans="1:17" x14ac:dyDescent="0.15">
      <c r="C53" s="114"/>
      <c r="H53" s="120"/>
    </row>
    <row r="54" spans="1:17" x14ac:dyDescent="0.15">
      <c r="B54" s="119" t="s">
        <v>129</v>
      </c>
      <c r="C54" s="136"/>
      <c r="D54" s="136"/>
      <c r="E54" s="117"/>
      <c r="F54" s="117"/>
      <c r="H54" s="120"/>
    </row>
    <row r="55" spans="1:17" x14ac:dyDescent="0.15">
      <c r="A55" s="133">
        <f>F52</f>
        <v>75741432087.2957</v>
      </c>
      <c r="B55" s="131">
        <f>C78</f>
        <v>0.02</v>
      </c>
      <c r="C55" s="131">
        <f>C77</f>
        <v>0.04</v>
      </c>
      <c r="D55" s="131">
        <f>C76</f>
        <v>0.06</v>
      </c>
      <c r="E55" s="131">
        <f>C75</f>
        <v>0.08</v>
      </c>
      <c r="F55" s="131">
        <f>C74</f>
        <v>0.1</v>
      </c>
      <c r="H55" s="120"/>
    </row>
    <row r="56" spans="1:17" x14ac:dyDescent="0.15">
      <c r="A56" s="143">
        <v>5</v>
      </c>
      <c r="B56" s="123">
        <f t="dataTable" ref="B56:F61" dt2D="1" dtr="1" r1="C16" r2="C17"/>
        <v>39595569224.610985</v>
      </c>
      <c r="C56" s="123">
        <v>40848026547.017502</v>
      </c>
      <c r="D56" s="123">
        <v>42137496107.03125</v>
      </c>
      <c r="E56" s="123">
        <v>43465584763.067429</v>
      </c>
      <c r="F56" s="123">
        <v>44833948455.184517</v>
      </c>
      <c r="H56" s="120"/>
    </row>
    <row r="57" spans="1:17" x14ac:dyDescent="0.15">
      <c r="A57" s="143">
        <v>10</v>
      </c>
      <c r="B57" s="123">
        <v>40802384487.878143</v>
      </c>
      <c r="C57" s="123">
        <v>43467592902.185104</v>
      </c>
      <c r="D57" s="123">
        <v>46403174066.793037</v>
      </c>
      <c r="E57" s="123">
        <v>49641358516.666718</v>
      </c>
      <c r="F57" s="123">
        <v>53217946111.691467</v>
      </c>
      <c r="H57" s="120"/>
    </row>
    <row r="58" spans="1:17" x14ac:dyDescent="0.15">
      <c r="A58" s="143">
        <v>15</v>
      </c>
      <c r="B58" s="123">
        <v>42330353936.964668</v>
      </c>
      <c r="C58" s="341">
        <v>46960738689.301979</v>
      </c>
      <c r="D58" s="123">
        <v>52405211721.274338</v>
      </c>
      <c r="E58" s="123">
        <v>58826137800.283333</v>
      </c>
      <c r="F58" s="123">
        <v>66417823017.246002</v>
      </c>
      <c r="G58" s="338"/>
      <c r="H58" s="339"/>
      <c r="I58" s="338"/>
      <c r="J58" s="338"/>
      <c r="K58" s="338"/>
      <c r="L58" s="338"/>
      <c r="M58" s="338"/>
      <c r="N58" s="338"/>
      <c r="O58" s="338"/>
      <c r="P58" s="338"/>
      <c r="Q58" s="338"/>
    </row>
    <row r="59" spans="1:17" x14ac:dyDescent="0.15">
      <c r="A59" s="144">
        <v>20</v>
      </c>
      <c r="B59" s="123">
        <v>43923287015.755989</v>
      </c>
      <c r="C59" s="341">
        <v>50807893058.255753</v>
      </c>
      <c r="D59" s="123">
        <v>59411097621.272781</v>
      </c>
      <c r="E59" s="123">
        <v>70221485062.863373</v>
      </c>
      <c r="F59" s="123">
        <v>83868789548.901031</v>
      </c>
      <c r="G59" s="338"/>
      <c r="H59" s="339"/>
      <c r="I59" s="338"/>
      <c r="J59" s="338"/>
      <c r="K59" s="338"/>
      <c r="L59" s="338"/>
      <c r="M59" s="338"/>
      <c r="N59" s="338"/>
      <c r="O59" s="338"/>
      <c r="P59" s="338"/>
      <c r="Q59" s="338"/>
    </row>
    <row r="60" spans="1:17" x14ac:dyDescent="0.15">
      <c r="A60" s="144">
        <v>25</v>
      </c>
      <c r="B60" s="123">
        <v>45439391660.430412</v>
      </c>
      <c r="C60" s="341">
        <v>54685961895.863274</v>
      </c>
      <c r="D60" s="123">
        <v>66924545929.238129</v>
      </c>
      <c r="E60" s="123">
        <v>83273932210.202362</v>
      </c>
      <c r="F60" s="123">
        <v>105286649216.25319</v>
      </c>
      <c r="G60" s="338"/>
      <c r="H60" s="339"/>
      <c r="I60" s="338"/>
      <c r="J60" s="338"/>
      <c r="K60" s="338"/>
      <c r="L60" s="338"/>
      <c r="M60" s="338"/>
      <c r="N60" s="338"/>
      <c r="O60" s="338"/>
      <c r="P60" s="338"/>
      <c r="Q60" s="338"/>
    </row>
    <row r="61" spans="1:17" x14ac:dyDescent="0.15">
      <c r="A61" s="144">
        <v>30</v>
      </c>
      <c r="B61" s="123">
        <v>46808094768.646149</v>
      </c>
      <c r="C61" s="341">
        <v>58402787833.999031</v>
      </c>
      <c r="D61" s="123">
        <v>74612869234.440369</v>
      </c>
      <c r="E61" s="123">
        <v>97600709891.850143</v>
      </c>
      <c r="F61" s="123">
        <v>130595958791.05421</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0.02</v>
      </c>
      <c r="C64" s="132">
        <f>C55</f>
        <v>0.04</v>
      </c>
      <c r="D64" s="132">
        <f>D55</f>
        <v>0.06</v>
      </c>
      <c r="E64" s="132">
        <f>E55</f>
        <v>0.08</v>
      </c>
      <c r="F64" s="132">
        <f>F55</f>
        <v>0.1</v>
      </c>
      <c r="H64" s="120"/>
    </row>
    <row r="65" spans="1:8" x14ac:dyDescent="0.15">
      <c r="A65" s="143">
        <v>0</v>
      </c>
      <c r="B65" s="124">
        <f>C12</f>
        <v>42.834631619310194</v>
      </c>
      <c r="C65" s="124">
        <f>C12</f>
        <v>42.834631619310194</v>
      </c>
      <c r="D65" s="124">
        <f>C12</f>
        <v>42.834631619310194</v>
      </c>
      <c r="E65" s="141">
        <f>C12</f>
        <v>42.834631619310194</v>
      </c>
      <c r="F65" s="124">
        <f>C12</f>
        <v>42.834631619310194</v>
      </c>
      <c r="H65" s="120"/>
    </row>
    <row r="66" spans="1:8" x14ac:dyDescent="0.15">
      <c r="A66" s="143">
        <f t="shared" ref="A66:A71" si="3">A56</f>
        <v>5</v>
      </c>
      <c r="B66" s="124">
        <f t="shared" ref="B66:F71" si="4">(B56-$C$7+$C$8+$C$9)/Common_Shares*$C$3*Exchange_Rate</f>
        <v>43.806048087483035</v>
      </c>
      <c r="C66" s="124">
        <f t="shared" si="4"/>
        <v>44.805763813220338</v>
      </c>
      <c r="D66" s="124">
        <f t="shared" si="4"/>
        <v>45.835022833821839</v>
      </c>
      <c r="E66" s="124">
        <f t="shared" si="4"/>
        <v>46.895107749179736</v>
      </c>
      <c r="F66" s="124">
        <f t="shared" si="4"/>
        <v>47.987340336322049</v>
      </c>
      <c r="H66" s="120"/>
    </row>
    <row r="67" spans="1:8" x14ac:dyDescent="0.15">
      <c r="A67" s="143">
        <f t="shared" si="3"/>
        <v>10</v>
      </c>
      <c r="B67" s="124">
        <f t="shared" si="4"/>
        <v>44.769332165242929</v>
      </c>
      <c r="C67" s="124">
        <f t="shared" si="4"/>
        <v>46.896710652703462</v>
      </c>
      <c r="D67" s="124">
        <f t="shared" si="4"/>
        <v>49.239901595767179</v>
      </c>
      <c r="E67" s="124">
        <f t="shared" si="4"/>
        <v>51.824631517866656</v>
      </c>
      <c r="F67" s="124">
        <f t="shared" si="4"/>
        <v>54.67947598981479</v>
      </c>
      <c r="H67" s="120"/>
    </row>
    <row r="68" spans="1:8" x14ac:dyDescent="0.15">
      <c r="A68" s="143">
        <f t="shared" si="3"/>
        <v>15</v>
      </c>
      <c r="B68" s="124">
        <f t="shared" si="4"/>
        <v>45.988962614416955</v>
      </c>
      <c r="C68" s="124">
        <f t="shared" si="4"/>
        <v>49.68495158770299</v>
      </c>
      <c r="D68" s="124">
        <f t="shared" si="4"/>
        <v>54.030748614908035</v>
      </c>
      <c r="E68" s="124">
        <f t="shared" si="4"/>
        <v>59.15595380964325</v>
      </c>
      <c r="F68" s="124">
        <f t="shared" si="4"/>
        <v>65.21566295938274</v>
      </c>
      <c r="H68" s="120"/>
    </row>
    <row r="69" spans="1:8" x14ac:dyDescent="0.15">
      <c r="A69" s="144">
        <f t="shared" si="3"/>
        <v>20</v>
      </c>
      <c r="B69" s="124">
        <f t="shared" si="4"/>
        <v>47.260447255390574</v>
      </c>
      <c r="C69" s="124">
        <f t="shared" si="4"/>
        <v>52.755763385578945</v>
      </c>
      <c r="D69" s="124">
        <f t="shared" si="4"/>
        <v>59.622870742863782</v>
      </c>
      <c r="E69" s="124">
        <f t="shared" si="4"/>
        <v>68.251759035764323</v>
      </c>
      <c r="F69" s="124">
        <f t="shared" si="4"/>
        <v>79.145084232987102</v>
      </c>
      <c r="H69" s="120"/>
    </row>
    <row r="70" spans="1:8" x14ac:dyDescent="0.15">
      <c r="A70" s="144">
        <f t="shared" si="3"/>
        <v>25</v>
      </c>
      <c r="B70" s="124">
        <f t="shared" si="4"/>
        <v>48.470607177033337</v>
      </c>
      <c r="C70" s="124">
        <f t="shared" si="4"/>
        <v>55.851251218249104</v>
      </c>
      <c r="D70" s="124">
        <f t="shared" si="4"/>
        <v>65.620130923797348</v>
      </c>
      <c r="E70" s="124">
        <f t="shared" si="4"/>
        <v>78.670267067221616</v>
      </c>
      <c r="F70" s="124">
        <f t="shared" si="4"/>
        <v>96.240893198314026</v>
      </c>
    </row>
    <row r="71" spans="1:8" x14ac:dyDescent="0.15">
      <c r="A71" s="144">
        <f t="shared" si="3"/>
        <v>30</v>
      </c>
      <c r="B71" s="124">
        <f t="shared" si="4"/>
        <v>49.563110687268455</v>
      </c>
      <c r="C71" s="124">
        <f t="shared" si="4"/>
        <v>58.818034416133258</v>
      </c>
      <c r="D71" s="124">
        <f t="shared" si="4"/>
        <v>71.75697692665743</v>
      </c>
      <c r="E71" s="124">
        <f t="shared" si="4"/>
        <v>90.105950097095516</v>
      </c>
      <c r="F71" s="124">
        <f t="shared" si="4"/>
        <v>116.44287081210281</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0.1</v>
      </c>
      <c r="D74" s="145">
        <f>Scenarios!C55</f>
        <v>30</v>
      </c>
      <c r="E74" s="135">
        <f>INDEX(B$65:F$71, MATCH(D74, A$65:A$71, 0), MATCH(C74, B$64:F$64, 0))</f>
        <v>116.44287081210281</v>
      </c>
      <c r="F74" s="142">
        <f>Scenarios!C58</f>
        <v>0.05</v>
      </c>
    </row>
    <row r="75" spans="1:8" x14ac:dyDescent="0.15">
      <c r="B75" s="127" t="str">
        <f>Scenarios!B36</f>
        <v>Optimistic</v>
      </c>
      <c r="C75" s="142">
        <f>Scenarios!C38</f>
        <v>0.08</v>
      </c>
      <c r="D75" s="145">
        <f>Scenarios!C37</f>
        <v>30</v>
      </c>
      <c r="E75" s="135">
        <f>INDEX(B$65:F$71, MATCH(D75, A$65:A$71, 0), MATCH(C75, B$64:F$64, 0))</f>
        <v>90.105950097095516</v>
      </c>
      <c r="F75" s="142">
        <f>Scenarios!C40*(1-F$74-F$78)</f>
        <v>0.18</v>
      </c>
      <c r="H75" s="120"/>
    </row>
    <row r="76" spans="1:8" x14ac:dyDescent="0.15">
      <c r="B76" s="127" t="str">
        <f>Scenarios!B24</f>
        <v>Base</v>
      </c>
      <c r="C76" s="142">
        <f>Scenarios!C26</f>
        <v>0.06</v>
      </c>
      <c r="D76" s="145">
        <f>Scenarios!C25</f>
        <v>30</v>
      </c>
      <c r="E76" s="135">
        <f>INDEX(B$65:F$71, MATCH(D76, A$65:A$71, 0), MATCH(C76, B$64:F$64, 0))</f>
        <v>71.75697692665743</v>
      </c>
      <c r="F76" s="142">
        <f>Scenarios!C28*(1-F$74-F$78)</f>
        <v>0.44999999999999996</v>
      </c>
      <c r="H76" s="120"/>
    </row>
    <row r="77" spans="1:8" x14ac:dyDescent="0.15">
      <c r="B77" s="127" t="str">
        <f>Scenarios!B30</f>
        <v>Pessimistic</v>
      </c>
      <c r="C77" s="142">
        <f>Scenarios!C32</f>
        <v>0.04</v>
      </c>
      <c r="D77" s="145">
        <f>Scenarios!C31</f>
        <v>30</v>
      </c>
      <c r="E77" s="135">
        <f>INDEX(B$65:F$71, MATCH(D77, A$65:A$71, 0), MATCH(C77, B$64:F$64, 0))</f>
        <v>58.818034416133258</v>
      </c>
      <c r="F77" s="142">
        <f>Scenarios!C34*(1-F$74-F$78)</f>
        <v>0.26999999999999996</v>
      </c>
      <c r="H77" s="120"/>
    </row>
    <row r="78" spans="1:8" x14ac:dyDescent="0.15">
      <c r="B78" s="127" t="str">
        <f>Scenarios!B48</f>
        <v>Devil's advocate</v>
      </c>
      <c r="C78" s="142">
        <f>Scenarios!C50</f>
        <v>0.02</v>
      </c>
      <c r="D78" s="145">
        <f>Scenarios!C49</f>
        <v>30</v>
      </c>
      <c r="E78" s="135">
        <f>INDEX(B$65:F$71, MATCH(D78, A$65:A$71, 0), MATCH(C78, B$64:F$64, 0))</f>
        <v>49.563110687268455</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v>
      </c>
      <c r="E3" s="109" t="s">
        <v>124</v>
      </c>
      <c r="H3" s="120"/>
    </row>
    <row r="4" spans="2:8" x14ac:dyDescent="0.15">
      <c r="B4" s="100" t="s">
        <v>440</v>
      </c>
      <c r="C4" s="114">
        <f>Normalized_FCF!C91</f>
        <v>2756189623.0672874</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441</v>
      </c>
      <c r="C6" s="319">
        <f>(C4*(1+Terminal_Growth))/(Equity_Cost-Terminal_Growth)</f>
        <v>36749194974.230499</v>
      </c>
      <c r="D6" t="str">
        <f>Reporting_currency</f>
        <v>CNY</v>
      </c>
      <c r="E6" s="364"/>
      <c r="F6" s="364"/>
      <c r="H6" s="120"/>
    </row>
    <row r="7" spans="2:8" x14ac:dyDescent="0.15">
      <c r="B7" s="149" t="s">
        <v>444</v>
      </c>
      <c r="C7" s="111">
        <f>(C6*scaling_factor)/Common_Shares*Exchange_Rate</f>
        <v>29.333333333333336</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6.1165848114484E-2</v>
      </c>
      <c r="H11" s="120"/>
    </row>
    <row r="12" spans="2:8" ht="13.25" customHeight="1" x14ac:dyDescent="0.15">
      <c r="B12" s="118" t="s">
        <v>134</v>
      </c>
      <c r="C12" s="162">
        <f>Scenarios!C64</f>
        <v>30</v>
      </c>
      <c r="H12" s="120"/>
    </row>
    <row r="13" spans="2:8" ht="13.25" customHeight="1" x14ac:dyDescent="0.15">
      <c r="B13" s="153" t="s">
        <v>106</v>
      </c>
      <c r="C13" s="140">
        <f>F47/Common_Shares*scaling_factor</f>
        <v>53.163746770808267</v>
      </c>
      <c r="D13" t="str">
        <f>Market_currency</f>
        <v>HKD</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2924774298.9265375</v>
      </c>
      <c r="D16" s="138">
        <f>IF($C$12&lt;B16,0,DDM!$C$11)</f>
        <v>6.1165848114484E-2</v>
      </c>
      <c r="E16" s="124">
        <f t="shared" ref="E16:E45" si="0">IF($C$12&lt;B16,0,1/(1+Equity_Cost)^B16)</f>
        <v>0.93023255813953487</v>
      </c>
      <c r="F16" s="125">
        <f t="shared" ref="F16:F46" si="1">C16*E16</f>
        <v>2720720278.0711975</v>
      </c>
      <c r="H16" s="120"/>
    </row>
    <row r="17" spans="2:8" x14ac:dyDescent="0.15">
      <c r="B17" s="122">
        <v>2</v>
      </c>
      <c r="C17" s="123">
        <f t="shared" ref="C17:C45" si="2">IF(ROW()-ROW($C$16)&lt;$C$12, $C$16*(1+D17)^(ROW()-ROW($C$16)), 0)</f>
        <v>3103670599.4638243</v>
      </c>
      <c r="D17" s="138">
        <f>IF($C$12&lt;B17,0,DDM!$C$11)</f>
        <v>6.1165848114484E-2</v>
      </c>
      <c r="E17" s="124">
        <f t="shared" si="0"/>
        <v>0.86533261222282321</v>
      </c>
      <c r="F17" s="125">
        <f t="shared" si="1"/>
        <v>2685707387.3132067</v>
      </c>
      <c r="H17" s="120"/>
    </row>
    <row r="18" spans="2:8" x14ac:dyDescent="0.15">
      <c r="B18" s="122">
        <v>3</v>
      </c>
      <c r="C18" s="123">
        <f t="shared" si="2"/>
        <v>3293509243.9480176</v>
      </c>
      <c r="D18" s="138">
        <f>IF($C$12&lt;B18,0,DDM!$C$11)</f>
        <v>6.1165848114484E-2</v>
      </c>
      <c r="E18" s="124">
        <f t="shared" si="0"/>
        <v>0.80496056950960304</v>
      </c>
      <c r="F18" s="125">
        <f t="shared" si="1"/>
        <v>2651145076.6935382</v>
      </c>
      <c r="H18" s="120"/>
    </row>
    <row r="19" spans="2:8" x14ac:dyDescent="0.15">
      <c r="B19" s="122">
        <v>4</v>
      </c>
      <c r="C19" s="123">
        <f t="shared" si="2"/>
        <v>3494959530.1269903</v>
      </c>
      <c r="D19" s="138">
        <f>IF($C$12&lt;B19,0,DDM!$C$11)</f>
        <v>6.1165848114484E-2</v>
      </c>
      <c r="E19" s="124">
        <f t="shared" si="0"/>
        <v>0.7488005297763749</v>
      </c>
      <c r="F19" s="125">
        <f t="shared" si="1"/>
        <v>2617027547.7060804</v>
      </c>
      <c r="H19" s="120"/>
    </row>
    <row r="20" spans="2:8" x14ac:dyDescent="0.15">
      <c r="B20" s="122">
        <v>5</v>
      </c>
      <c r="C20" s="123">
        <f t="shared" si="2"/>
        <v>3708731693.9130058</v>
      </c>
      <c r="D20" s="138">
        <f>IF($C$12&lt;B20,0,DDM!$C$11)</f>
        <v>6.1165848114484E-2</v>
      </c>
      <c r="E20" s="124">
        <f t="shared" si="0"/>
        <v>0.69655863235011617</v>
      </c>
      <c r="F20" s="125">
        <f t="shared" si="1"/>
        <v>2583349076.4655728</v>
      </c>
      <c r="H20" s="120"/>
    </row>
    <row r="21" spans="2:8" x14ac:dyDescent="0.15">
      <c r="B21" s="122">
        <v>6</v>
      </c>
      <c r="C21" s="123">
        <f t="shared" si="2"/>
        <v>3935579413.4002614</v>
      </c>
      <c r="D21" s="138">
        <f>IF($C$12&lt;B21,0,DDM!$C$11)</f>
        <v>6.1165848114484E-2</v>
      </c>
      <c r="E21" s="124">
        <f t="shared" si="0"/>
        <v>0.64796151846522443</v>
      </c>
      <c r="F21" s="125">
        <f t="shared" si="1"/>
        <v>2550104012.7473106</v>
      </c>
      <c r="H21" s="120"/>
    </row>
    <row r="22" spans="2:8" x14ac:dyDescent="0.15">
      <c r="B22" s="122">
        <v>7</v>
      </c>
      <c r="C22" s="123">
        <f t="shared" si="2"/>
        <v>4176302466.0427914</v>
      </c>
      <c r="D22" s="138">
        <f>IF($C$12&lt;B22,0,DDM!$C$11)</f>
        <v>6.1165848114484E-2</v>
      </c>
      <c r="E22" s="124">
        <f t="shared" si="0"/>
        <v>0.60275490089788319</v>
      </c>
      <c r="F22" s="125">
        <f t="shared" si="1"/>
        <v>2517286779.0392079</v>
      </c>
      <c r="H22" s="120"/>
    </row>
    <row r="23" spans="2:8" x14ac:dyDescent="0.15">
      <c r="B23" s="122">
        <v>8</v>
      </c>
      <c r="C23" s="123">
        <f t="shared" si="2"/>
        <v>4431749548.3609085</v>
      </c>
      <c r="D23" s="138">
        <f>IF($C$12&lt;B23,0,DDM!$C$11)</f>
        <v>6.1165848114484E-2</v>
      </c>
      <c r="E23" s="124">
        <f t="shared" si="0"/>
        <v>0.56070223339337966</v>
      </c>
      <c r="F23" s="125">
        <f t="shared" si="1"/>
        <v>2484891869.6060629</v>
      </c>
      <c r="H23" s="120"/>
    </row>
    <row r="24" spans="2:8" x14ac:dyDescent="0.15">
      <c r="B24" s="122">
        <v>9</v>
      </c>
      <c r="C24" s="123">
        <f t="shared" si="2"/>
        <v>4702821268.1173849</v>
      </c>
      <c r="D24" s="138">
        <f>IF($C$12&lt;B24,0,DDM!$C$11)</f>
        <v>6.1165848114484E-2</v>
      </c>
      <c r="E24" s="124">
        <f t="shared" si="0"/>
        <v>0.52158347292407414</v>
      </c>
      <c r="F24" s="125">
        <f t="shared" si="1"/>
        <v>2452913849.5658641</v>
      </c>
      <c r="H24" s="120"/>
    </row>
    <row r="25" spans="2:8" x14ac:dyDescent="0.15">
      <c r="B25" s="122">
        <v>10</v>
      </c>
      <c r="C25" s="123">
        <f t="shared" si="2"/>
        <v>4990473319.5126181</v>
      </c>
      <c r="D25" s="138">
        <f>IF($C$12&lt;B25,0,DDM!$C$11)</f>
        <v>6.1165848114484E-2</v>
      </c>
      <c r="E25" s="124">
        <f t="shared" si="0"/>
        <v>0.48519392830146441</v>
      </c>
      <c r="F25" s="125">
        <f t="shared" si="1"/>
        <v>2421347353.9779763</v>
      </c>
      <c r="H25" s="120"/>
    </row>
    <row r="26" spans="2:8" x14ac:dyDescent="0.15">
      <c r="B26" s="122">
        <v>11</v>
      </c>
      <c r="C26" s="123">
        <f t="shared" si="2"/>
        <v>5295719852.5933104</v>
      </c>
      <c r="D26" s="138">
        <f>IF($C$12&lt;B26,0,DDM!$C$11)</f>
        <v>6.1165848114484E-2</v>
      </c>
      <c r="E26" s="124">
        <f t="shared" si="0"/>
        <v>0.45134318911764126</v>
      </c>
      <c r="F26" s="125">
        <f t="shared" si="1"/>
        <v>2390187086.9430699</v>
      </c>
      <c r="H26" s="120"/>
    </row>
    <row r="27" spans="2:8" x14ac:dyDescent="0.15">
      <c r="B27" s="122">
        <v>12</v>
      </c>
      <c r="C27" s="123">
        <f t="shared" si="2"/>
        <v>5619637048.75389</v>
      </c>
      <c r="D27" s="138">
        <f>IF($C$12&lt;B27,0,DDM!$C$11)</f>
        <v>6.1165848114484E-2</v>
      </c>
      <c r="E27" s="124">
        <f t="shared" si="0"/>
        <v>0.41985412941175931</v>
      </c>
      <c r="F27" s="125">
        <f t="shared" si="1"/>
        <v>2359427820.714633</v>
      </c>
      <c r="H27" s="120"/>
    </row>
    <row r="28" spans="2:8" x14ac:dyDescent="0.15">
      <c r="B28" s="122">
        <v>13</v>
      </c>
      <c r="C28" s="123">
        <f t="shared" si="2"/>
        <v>5963366914.9364958</v>
      </c>
      <c r="D28" s="138">
        <f>IF($C$12&lt;B28,0,DDM!$C$11)</f>
        <v>6.1165848114484E-2</v>
      </c>
      <c r="E28" s="124">
        <f t="shared" si="0"/>
        <v>0.39056198084814819</v>
      </c>
      <c r="F28" s="125">
        <f t="shared" si="1"/>
        <v>2329064394.8219085</v>
      </c>
      <c r="H28" s="120"/>
    </row>
    <row r="29" spans="2:8" x14ac:dyDescent="0.15">
      <c r="B29" s="122">
        <v>14</v>
      </c>
      <c r="C29" s="123">
        <f t="shared" si="2"/>
        <v>6328121309.9064407</v>
      </c>
      <c r="D29" s="138">
        <f>IF($C$12&lt;B29,0,DDM!$C$11)</f>
        <v>6.1165848114484E-2</v>
      </c>
      <c r="E29" s="124">
        <f t="shared" si="0"/>
        <v>0.36331347055641694</v>
      </c>
      <c r="F29" s="125">
        <f t="shared" si="1"/>
        <v>2299091715.2041283</v>
      </c>
      <c r="H29" s="120"/>
    </row>
    <row r="30" spans="2:8" x14ac:dyDescent="0.15">
      <c r="B30" s="122">
        <v>15</v>
      </c>
      <c r="C30" s="123">
        <f t="shared" si="2"/>
        <v>6715186216.7982063</v>
      </c>
      <c r="D30" s="138">
        <f>IF($C$12&lt;B30,0,DDM!$C$11)</f>
        <v>6.1165848114484E-2</v>
      </c>
      <c r="E30" s="124">
        <f t="shared" si="0"/>
        <v>0.33796601912224833</v>
      </c>
      <c r="F30" s="125">
        <f t="shared" si="1"/>
        <v>2269504753.3558812</v>
      </c>
      <c r="H30" s="120"/>
    </row>
    <row r="31" spans="2:8" x14ac:dyDescent="0.15">
      <c r="B31" s="122">
        <v>16</v>
      </c>
      <c r="C31" s="123">
        <f t="shared" si="2"/>
        <v>7125926276.9953604</v>
      </c>
      <c r="D31" s="138">
        <f>IF($C$12&lt;B31,0,DDM!$C$11)</f>
        <v>6.1165848114484E-2</v>
      </c>
      <c r="E31" s="124">
        <f t="shared" si="0"/>
        <v>0.31438699453232405</v>
      </c>
      <c r="F31" s="125">
        <f t="shared" si="1"/>
        <v>2240298545.4834847</v>
      </c>
      <c r="H31" s="120"/>
    </row>
    <row r="32" spans="2:8" x14ac:dyDescent="0.15">
      <c r="B32" s="122">
        <v>17</v>
      </c>
      <c r="C32" s="123">
        <f t="shared" si="2"/>
        <v>7561789601.3290691</v>
      </c>
      <c r="D32" s="138">
        <f>IF($C$12&lt;B32,0,DDM!$C$11)</f>
        <v>6.1165848114484E-2</v>
      </c>
      <c r="E32" s="124">
        <f t="shared" si="0"/>
        <v>0.29245301816960378</v>
      </c>
      <c r="F32" s="125">
        <f t="shared" si="1"/>
        <v>2211468191.6722112</v>
      </c>
      <c r="H32" s="120"/>
    </row>
    <row r="33" spans="2:8" x14ac:dyDescent="0.15">
      <c r="B33" s="122">
        <v>18</v>
      </c>
      <c r="C33" s="123">
        <f t="shared" si="2"/>
        <v>8024312875.5576477</v>
      </c>
      <c r="D33" s="138">
        <f>IF($C$12&lt;B33,0,DDM!$C$11)</f>
        <v>6.1165848114484E-2</v>
      </c>
      <c r="E33" s="124">
        <f t="shared" si="0"/>
        <v>0.27204931922753844</v>
      </c>
      <c r="F33" s="125">
        <f t="shared" si="1"/>
        <v>2183008855.0642295</v>
      </c>
      <c r="H33" s="120"/>
    </row>
    <row r="34" spans="2:8" x14ac:dyDescent="0.15">
      <c r="B34" s="122">
        <v>19</v>
      </c>
      <c r="C34" s="123">
        <f t="shared" si="2"/>
        <v>8515126778.1271029</v>
      </c>
      <c r="D34" s="138">
        <f>IF($C$12&lt;B34,0,DDM!$C$11)</f>
        <v>6.1165848114484E-2</v>
      </c>
      <c r="E34" s="124">
        <f t="shared" si="0"/>
        <v>0.25306913416515198</v>
      </c>
      <c r="F34" s="125">
        <f t="shared" si="1"/>
        <v>2154915761.0471263</v>
      </c>
      <c r="H34" s="120"/>
    </row>
    <row r="35" spans="2:8" x14ac:dyDescent="0.15">
      <c r="B35" s="122">
        <v>20</v>
      </c>
      <c r="C35" s="123">
        <f t="shared" si="2"/>
        <v>9035961729.3135986</v>
      </c>
      <c r="D35" s="138">
        <f>IF($C$12&lt;B35,0,DDM!$C$11)</f>
        <v>6.1165848114484E-2</v>
      </c>
      <c r="E35" s="124">
        <f t="shared" si="0"/>
        <v>0.23541314806060654</v>
      </c>
      <c r="F35" s="125">
        <f t="shared" si="1"/>
        <v>2127184196.4528766</v>
      </c>
      <c r="H35" s="120"/>
    </row>
    <row r="36" spans="2:8" x14ac:dyDescent="0.15">
      <c r="B36" s="122">
        <v>21</v>
      </c>
      <c r="C36" s="123">
        <f t="shared" si="2"/>
        <v>9588653992.0170841</v>
      </c>
      <c r="D36" s="138">
        <f>IF($C$12&lt;B36,0,DDM!$C$11)</f>
        <v>6.1165848114484E-2</v>
      </c>
      <c r="E36" s="124">
        <f t="shared" si="0"/>
        <v>0.21898897494009908</v>
      </c>
      <c r="F36" s="125">
        <f t="shared" si="1"/>
        <v>2099809508.7671103</v>
      </c>
      <c r="H36" s="120"/>
    </row>
    <row r="37" spans="2:8" x14ac:dyDescent="0.15">
      <c r="B37" s="122">
        <v>22</v>
      </c>
      <c r="C37" s="123">
        <f t="shared" si="2"/>
        <v>10175152145.715141</v>
      </c>
      <c r="D37" s="138">
        <f>IF($C$12&lt;B37,0,DDM!$C$11)</f>
        <v>6.1165848114484E-2</v>
      </c>
      <c r="E37" s="124">
        <f t="shared" si="0"/>
        <v>0.20371067436288287</v>
      </c>
      <c r="F37" s="125">
        <f t="shared" si="1"/>
        <v>2072787105.3485661</v>
      </c>
      <c r="H37" s="120"/>
    </row>
    <row r="38" spans="2:8" x14ac:dyDescent="0.15">
      <c r="B38" s="122">
        <v>23</v>
      </c>
      <c r="C38" s="123">
        <f t="shared" si="2"/>
        <v>10797523956.401718</v>
      </c>
      <c r="D38" s="138">
        <f>IF($C$12&lt;B38,0,DDM!$C$11)</f>
        <v>6.1165848114484E-2</v>
      </c>
      <c r="E38" s="124">
        <f t="shared" si="0"/>
        <v>0.18949830173291429</v>
      </c>
      <c r="F38" s="125">
        <f t="shared" si="1"/>
        <v>2046112452.6585834</v>
      </c>
      <c r="H38" s="120"/>
    </row>
    <row r="39" spans="2:8" x14ac:dyDescent="0.15">
      <c r="B39" s="122">
        <v>24</v>
      </c>
      <c r="C39" s="123">
        <f t="shared" si="2"/>
        <v>11457963666.731485</v>
      </c>
      <c r="D39" s="138">
        <f>IF($C$12&lt;B39,0,DDM!$C$11)</f>
        <v>6.1165848114484E-2</v>
      </c>
      <c r="E39" s="124">
        <f t="shared" si="0"/>
        <v>0.17627748998410636</v>
      </c>
      <c r="F39" s="125">
        <f t="shared" si="1"/>
        <v>2019781075.500514</v>
      </c>
      <c r="H39" s="120"/>
    </row>
    <row r="40" spans="2:8" x14ac:dyDescent="0.15">
      <c r="B40" s="122">
        <v>25</v>
      </c>
      <c r="C40" s="123">
        <f t="shared" si="2"/>
        <v>12158799732.07206</v>
      </c>
      <c r="D40" s="138">
        <f>IF($C$12&lt;B40,0,DDM!$C$11)</f>
        <v>6.1165848114484E-2</v>
      </c>
      <c r="E40" s="124">
        <f t="shared" si="0"/>
        <v>0.16397906045033148</v>
      </c>
      <c r="F40" s="125">
        <f t="shared" si="1"/>
        <v>1993788556.2689185</v>
      </c>
      <c r="H40" s="120"/>
    </row>
    <row r="41" spans="2:8" x14ac:dyDescent="0.15">
      <c r="B41" s="122">
        <v>26</v>
      </c>
      <c r="C41" s="123">
        <f t="shared" si="2"/>
        <v>12902503029.738407</v>
      </c>
      <c r="D41" s="138">
        <f>IF($C$12&lt;B41,0,DDM!$C$11)</f>
        <v>6.1165848114484E-2</v>
      </c>
      <c r="E41" s="124">
        <f t="shared" si="0"/>
        <v>0.15253866088402931</v>
      </c>
      <c r="F41" s="125">
        <f t="shared" si="1"/>
        <v>1968130534.2084277</v>
      </c>
      <c r="H41" s="120"/>
    </row>
    <row r="42" spans="2:8" x14ac:dyDescent="0.15">
      <c r="B42" s="122">
        <v>27</v>
      </c>
      <c r="C42" s="123">
        <f t="shared" si="2"/>
        <v>13691695570.352055</v>
      </c>
      <c r="D42" s="138">
        <f>IF($C$12&lt;B42,0,DDM!$C$11)</f>
        <v>6.1165848114484E-2</v>
      </c>
      <c r="E42" s="124">
        <f t="shared" si="0"/>
        <v>0.14189642872932959</v>
      </c>
      <c r="F42" s="125">
        <f t="shared" si="1"/>
        <v>1942802704.682138</v>
      </c>
      <c r="H42" s="120"/>
    </row>
    <row r="43" spans="2:8" x14ac:dyDescent="0.15">
      <c r="B43" s="122">
        <v>28</v>
      </c>
      <c r="C43" s="123">
        <f t="shared" si="2"/>
        <v>14529159742.037958</v>
      </c>
      <c r="D43" s="138">
        <f>IF($C$12&lt;B43,0,DDM!$C$11)</f>
        <v>6.1165848114484E-2</v>
      </c>
      <c r="E43" s="124">
        <f t="shared" si="0"/>
        <v>0.13199667788774846</v>
      </c>
      <c r="F43" s="125">
        <f t="shared" si="1"/>
        <v>1917800818.4494269</v>
      </c>
      <c r="H43" s="120"/>
    </row>
    <row r="44" spans="2:8" x14ac:dyDescent="0.15">
      <c r="B44" s="122">
        <v>29</v>
      </c>
      <c r="C44" s="123">
        <f t="shared" si="2"/>
        <v>15417848120.050526</v>
      </c>
      <c r="D44" s="138">
        <f>IF($C$12&lt;B44,0,DDM!$C$11)</f>
        <v>6.1165848114484E-2</v>
      </c>
      <c r="E44" s="124">
        <f t="shared" si="0"/>
        <v>0.1227876073374404</v>
      </c>
      <c r="F44" s="125">
        <f t="shared" si="1"/>
        <v>1893120680.9530575</v>
      </c>
      <c r="H44" s="120"/>
    </row>
    <row r="45" spans="2:8" x14ac:dyDescent="0.15">
      <c r="B45" s="122">
        <v>30</v>
      </c>
      <c r="C45" s="123">
        <f t="shared" si="2"/>
        <v>16360893876.413717</v>
      </c>
      <c r="D45" s="138">
        <f>IF($C$12&lt;B45,0,DDM!$C$11)</f>
        <v>6.1165848114484E-2</v>
      </c>
      <c r="E45" s="124">
        <f t="shared" si="0"/>
        <v>0.11422103008133992</v>
      </c>
      <c r="F45" s="125">
        <f t="shared" si="1"/>
        <v>1868758151.6154613</v>
      </c>
      <c r="H45" s="120"/>
    </row>
    <row r="46" spans="2:8" x14ac:dyDescent="0.15">
      <c r="B46" s="126" t="s">
        <v>131</v>
      </c>
      <c r="C46" s="123">
        <f>C$16*(1+F4)^$C$12/Equity_Cost</f>
        <v>38996990652.353836</v>
      </c>
      <c r="D46" s="139">
        <f>Terminal_Growth</f>
        <v>0</v>
      </c>
      <c r="E46" s="124">
        <f>1/(1+Equity_Cost)^C12</f>
        <v>0.11422103008133992</v>
      </c>
      <c r="F46" s="125">
        <f t="shared" si="1"/>
        <v>4454276442.3842392</v>
      </c>
      <c r="H46" s="120"/>
    </row>
    <row r="47" spans="2:8" x14ac:dyDescent="0.15">
      <c r="C47" s="114"/>
      <c r="E47" s="127" t="s">
        <v>100</v>
      </c>
      <c r="F47" s="137">
        <f>SUM(F16:F46)</f>
        <v>72525812582.782013</v>
      </c>
      <c r="H47" s="120"/>
    </row>
    <row r="48" spans="2:8" x14ac:dyDescent="0.15">
      <c r="C48" s="114"/>
      <c r="H48" s="120"/>
    </row>
    <row r="49" spans="1:8" x14ac:dyDescent="0.15">
      <c r="B49" s="119" t="s">
        <v>129</v>
      </c>
      <c r="C49" s="136"/>
      <c r="D49" s="136"/>
      <c r="E49" s="117"/>
      <c r="F49" s="117"/>
      <c r="H49" s="120"/>
    </row>
    <row r="50" spans="1:8" x14ac:dyDescent="0.15">
      <c r="A50" s="133">
        <f>F47</f>
        <v>72525812582.782013</v>
      </c>
      <c r="B50" s="131">
        <f>C73</f>
        <v>0.02</v>
      </c>
      <c r="C50" s="131">
        <f>C72</f>
        <v>0.04</v>
      </c>
      <c r="D50" s="131">
        <f>C71</f>
        <v>0.06</v>
      </c>
      <c r="E50" s="131">
        <f>C70</f>
        <v>0.08</v>
      </c>
      <c r="F50" s="131">
        <f>C69</f>
        <v>0.1</v>
      </c>
      <c r="H50" s="120"/>
    </row>
    <row r="51" spans="1:8" x14ac:dyDescent="0.15">
      <c r="A51" s="143">
        <v>5</v>
      </c>
      <c r="B51" s="123">
        <f t="dataTable" ref="B51:F56" dt2D="1" dtr="1" r1="C11" r2="C12"/>
        <v>37914530443.297295</v>
      </c>
      <c r="C51" s="123">
        <v>39113814408.88295</v>
      </c>
      <c r="D51" s="123">
        <v>40348539249.21833</v>
      </c>
      <c r="E51" s="123">
        <v>41620243603.183868</v>
      </c>
      <c r="F51" s="123">
        <v>42930513107.531052</v>
      </c>
      <c r="H51" s="120"/>
    </row>
    <row r="52" spans="1:8" x14ac:dyDescent="0.15">
      <c r="A52" s="143">
        <v>10</v>
      </c>
      <c r="B52" s="123">
        <v>39070110093.611771</v>
      </c>
      <c r="C52" s="123">
        <v>41622166486.304451</v>
      </c>
      <c r="D52" s="123">
        <v>44433116893.480743</v>
      </c>
      <c r="E52" s="123">
        <v>47533823495.507217</v>
      </c>
      <c r="F52" s="123">
        <v>50958566261.180054</v>
      </c>
      <c r="H52" s="120"/>
    </row>
    <row r="53" spans="1:8" x14ac:dyDescent="0.15">
      <c r="A53" s="143">
        <v>15</v>
      </c>
      <c r="B53" s="123">
        <v>40533209256.682045</v>
      </c>
      <c r="C53" s="123">
        <v>44967009984.75827</v>
      </c>
      <c r="D53" s="123">
        <v>50180336691.780884</v>
      </c>
      <c r="E53" s="123">
        <v>56328660912.49778</v>
      </c>
      <c r="F53" s="123">
        <v>63598039429.111046</v>
      </c>
      <c r="H53" s="120"/>
    </row>
    <row r="54" spans="1:8" x14ac:dyDescent="0.15">
      <c r="A54" s="144">
        <v>20</v>
      </c>
      <c r="B54" s="123">
        <v>42058514003.972542</v>
      </c>
      <c r="C54" s="123">
        <v>48650832551.226128</v>
      </c>
      <c r="D54" s="123">
        <v>56888786132.953629</v>
      </c>
      <c r="E54" s="123">
        <v>67240216148.594543</v>
      </c>
      <c r="F54" s="123">
        <v>80308121258.624084</v>
      </c>
      <c r="H54" s="120"/>
    </row>
    <row r="55" spans="1:8" x14ac:dyDescent="0.15">
      <c r="A55" s="144">
        <v>25</v>
      </c>
      <c r="B55" s="123">
        <v>43510252085.56588</v>
      </c>
      <c r="C55" s="123">
        <v>52364257105.640205</v>
      </c>
      <c r="D55" s="123">
        <v>64083249306.106606</v>
      </c>
      <c r="E55" s="123">
        <v>79738518721.795517</v>
      </c>
      <c r="F55" s="123">
        <v>100816680885.1228</v>
      </c>
      <c r="H55" s="120"/>
    </row>
    <row r="56" spans="1:8" x14ac:dyDescent="0.15">
      <c r="A56" s="144">
        <v>30</v>
      </c>
      <c r="B56" s="123">
        <v>44820846596.025055</v>
      </c>
      <c r="C56" s="123">
        <v>55923284364.08139</v>
      </c>
      <c r="D56" s="123">
        <v>71445163119.226334</v>
      </c>
      <c r="E56" s="123">
        <v>93457049840.362228</v>
      </c>
      <c r="F56" s="123">
        <v>125051478039.55254</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0.02</v>
      </c>
      <c r="C59" s="132">
        <f>C50</f>
        <v>0.04</v>
      </c>
      <c r="D59" s="132">
        <f>D50</f>
        <v>0.06</v>
      </c>
      <c r="E59" s="132">
        <f>E50</f>
        <v>0.08</v>
      </c>
      <c r="F59" s="132">
        <f>F50</f>
        <v>0.1</v>
      </c>
      <c r="H59" s="120"/>
    </row>
    <row r="60" spans="1:8" x14ac:dyDescent="0.15">
      <c r="A60" s="143">
        <v>0</v>
      </c>
      <c r="B60" s="124">
        <f>C7</f>
        <v>29.333333333333336</v>
      </c>
      <c r="C60" s="124">
        <f>C7</f>
        <v>29.333333333333336</v>
      </c>
      <c r="D60" s="124">
        <f>C7</f>
        <v>29.333333333333336</v>
      </c>
      <c r="E60" s="141">
        <f>C7</f>
        <v>29.333333333333336</v>
      </c>
      <c r="F60" s="124">
        <f>C7</f>
        <v>29.333333333333336</v>
      </c>
      <c r="H60" s="120"/>
    </row>
    <row r="61" spans="1:8" x14ac:dyDescent="0.15">
      <c r="A61" s="143">
        <f t="shared" ref="A61:A66" si="3">A51</f>
        <v>5</v>
      </c>
      <c r="B61" s="124">
        <f t="shared" ref="B61:F66" si="4">B51/Common_Shares*$C$3*Exchange_Rate</f>
        <v>30.263508097250281</v>
      </c>
      <c r="C61" s="124">
        <f t="shared" si="4"/>
        <v>31.220780667398124</v>
      </c>
      <c r="D61" s="124">
        <f t="shared" si="4"/>
        <v>32.206342265193719</v>
      </c>
      <c r="E61" s="124">
        <f t="shared" si="4"/>
        <v>33.221421037462896</v>
      </c>
      <c r="F61" s="124">
        <f t="shared" si="4"/>
        <v>34.267282644893179</v>
      </c>
      <c r="H61" s="120"/>
    </row>
    <row r="62" spans="1:8" x14ac:dyDescent="0.15">
      <c r="A62" s="143">
        <f t="shared" si="3"/>
        <v>10</v>
      </c>
      <c r="B62" s="124">
        <f t="shared" si="4"/>
        <v>31.185895733215116</v>
      </c>
      <c r="C62" s="124">
        <f t="shared" si="4"/>
        <v>33.222955889357657</v>
      </c>
      <c r="D62" s="124">
        <f t="shared" si="4"/>
        <v>35.466666134847131</v>
      </c>
      <c r="E62" s="124">
        <f t="shared" si="4"/>
        <v>37.941660767787774</v>
      </c>
      <c r="F62" s="124">
        <f t="shared" si="4"/>
        <v>40.675302176717899</v>
      </c>
      <c r="H62" s="120"/>
    </row>
    <row r="63" spans="1:8" x14ac:dyDescent="0.15">
      <c r="A63" s="143">
        <f t="shared" si="3"/>
        <v>15</v>
      </c>
      <c r="B63" s="124">
        <f t="shared" si="4"/>
        <v>32.353746497841563</v>
      </c>
      <c r="C63" s="124">
        <f t="shared" si="4"/>
        <v>35.892821429453974</v>
      </c>
      <c r="D63" s="124">
        <f t="shared" si="4"/>
        <v>40.054116668163225</v>
      </c>
      <c r="E63" s="124">
        <f t="shared" si="4"/>
        <v>44.961730125659706</v>
      </c>
      <c r="F63" s="124">
        <f t="shared" si="4"/>
        <v>50.764172962938595</v>
      </c>
      <c r="H63" s="120"/>
    </row>
    <row r="64" spans="1:8" x14ac:dyDescent="0.15">
      <c r="A64" s="144">
        <f t="shared" si="3"/>
        <v>20</v>
      </c>
      <c r="B64" s="124">
        <f t="shared" si="4"/>
        <v>33.571249972912575</v>
      </c>
      <c r="C64" s="124">
        <f t="shared" si="4"/>
        <v>38.833261223001308</v>
      </c>
      <c r="D64" s="124">
        <f t="shared" si="4"/>
        <v>45.408823995649499</v>
      </c>
      <c r="E64" s="124">
        <f t="shared" si="4"/>
        <v>53.671370898741898</v>
      </c>
      <c r="F64" s="124">
        <f t="shared" si="4"/>
        <v>64.10221752897867</v>
      </c>
      <c r="H64" s="120"/>
    </row>
    <row r="65" spans="1:8" x14ac:dyDescent="0.15">
      <c r="A65" s="144">
        <f t="shared" si="3"/>
        <v>25</v>
      </c>
      <c r="B65" s="124">
        <f t="shared" si="4"/>
        <v>34.730032283380396</v>
      </c>
      <c r="C65" s="124">
        <f t="shared" si="4"/>
        <v>41.79732942474547</v>
      </c>
      <c r="D65" s="124">
        <f t="shared" si="4"/>
        <v>51.151469149114014</v>
      </c>
      <c r="E65" s="124">
        <f t="shared" si="4"/>
        <v>63.647558832590327</v>
      </c>
      <c r="F65" s="124">
        <f t="shared" si="4"/>
        <v>80.472220086380986</v>
      </c>
    </row>
    <row r="66" spans="1:8" x14ac:dyDescent="0.15">
      <c r="A66" s="144">
        <f t="shared" si="3"/>
        <v>30</v>
      </c>
      <c r="B66" s="124">
        <f t="shared" si="4"/>
        <v>35.776153311802751</v>
      </c>
      <c r="C66" s="124">
        <f t="shared" si="4"/>
        <v>44.63815717586985</v>
      </c>
      <c r="D66" s="124">
        <f t="shared" si="4"/>
        <v>57.027773977095734</v>
      </c>
      <c r="E66" s="124">
        <f t="shared" si="4"/>
        <v>74.597737371924438</v>
      </c>
      <c r="F66" s="124">
        <f t="shared" si="4"/>
        <v>99.816518204886663</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0.1</v>
      </c>
      <c r="D69" s="145">
        <f>Scenarios!C55</f>
        <v>30</v>
      </c>
      <c r="E69" s="135">
        <f>INDEX(B$60:F$66, MATCH(D69, A$60:A$66, 0), MATCH(C69, B$59:F$59, 0))</f>
        <v>99.816518204886663</v>
      </c>
      <c r="F69" s="142">
        <f>Scenarios!C58</f>
        <v>0.05</v>
      </c>
    </row>
    <row r="70" spans="1:8" x14ac:dyDescent="0.15">
      <c r="B70" s="127" t="str">
        <f>Scenarios!B36</f>
        <v>Optimistic</v>
      </c>
      <c r="C70" s="142">
        <f>Scenarios!C38</f>
        <v>0.08</v>
      </c>
      <c r="D70" s="145">
        <f>Scenarios!C37</f>
        <v>30</v>
      </c>
      <c r="E70" s="135">
        <f>INDEX(B$60:F$66, MATCH(D70, A$60:A$66, 0), MATCH(C70, B$59:F$59, 0))</f>
        <v>74.597737371924438</v>
      </c>
      <c r="F70" s="142">
        <f>Scenarios!C40*(1-F$69-F$73)</f>
        <v>0.18</v>
      </c>
      <c r="H70" s="120"/>
    </row>
    <row r="71" spans="1:8" x14ac:dyDescent="0.15">
      <c r="B71" s="127" t="str">
        <f>Scenarios!B24</f>
        <v>Base</v>
      </c>
      <c r="C71" s="142">
        <f>Scenarios!C26</f>
        <v>0.06</v>
      </c>
      <c r="D71" s="145">
        <f>Scenarios!C25</f>
        <v>30</v>
      </c>
      <c r="E71" s="135">
        <f>INDEX(B$60:F$66, MATCH(D71, A$60:A$66, 0), MATCH(C71, B$59:F$59, 0))</f>
        <v>57.027773977095734</v>
      </c>
      <c r="F71" s="142">
        <f>Scenarios!C28*(1-F$69-F$73)</f>
        <v>0.44999999999999996</v>
      </c>
      <c r="H71" s="120"/>
    </row>
    <row r="72" spans="1:8" x14ac:dyDescent="0.15">
      <c r="B72" s="127" t="str">
        <f>Scenarios!B30</f>
        <v>Pessimistic</v>
      </c>
      <c r="C72" s="142">
        <f>Scenarios!C32</f>
        <v>0.04</v>
      </c>
      <c r="D72" s="145">
        <f>Scenarios!C31</f>
        <v>30</v>
      </c>
      <c r="E72" s="135">
        <f>INDEX(B$60:F$66, MATCH(D72, A$60:A$66, 0), MATCH(C72, B$59:F$59, 0))</f>
        <v>44.63815717586985</v>
      </c>
      <c r="F72" s="142">
        <f>Scenarios!C34*(1-F$69-F$73)</f>
        <v>0.26999999999999996</v>
      </c>
      <c r="H72" s="120"/>
    </row>
    <row r="73" spans="1:8" x14ac:dyDescent="0.15">
      <c r="B73" s="127" t="str">
        <f>Scenarios!B48</f>
        <v>Devil's advocate</v>
      </c>
      <c r="C73" s="142">
        <f>Scenarios!C50</f>
        <v>0.02</v>
      </c>
      <c r="D73" s="145">
        <f>Scenarios!C49</f>
        <v>30</v>
      </c>
      <c r="E73" s="135">
        <f>INDEX(B$60:F$66, MATCH(D73, A$60:A$66, 0), MATCH(C73, B$59:F$59, 0))</f>
        <v>35.776153311802751</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-55.85</v>
      </c>
    </row>
    <row r="4" spans="2:9" x14ac:dyDescent="0.15">
      <c r="B4" s="152" t="s">
        <v>146</v>
      </c>
      <c r="C4" s="120">
        <v>3</v>
      </c>
      <c r="D4" s="120"/>
      <c r="E4" s="155" t="s">
        <v>150</v>
      </c>
      <c r="F4" s="155"/>
      <c r="H4" s="247">
        <v>1</v>
      </c>
      <c r="I4" s="124">
        <f t="shared" ref="I4:I13" si="0">IF(ROW()-3 &lt; $C$76, $C$77, IF(ROW()-3 = $C$76, $C$77 + $C$60, ""))</f>
        <v>2.0203753940133802</v>
      </c>
    </row>
    <row r="5" spans="2:9" x14ac:dyDescent="0.15">
      <c r="H5" s="247">
        <v>2</v>
      </c>
      <c r="I5" s="124">
        <f t="shared" si="0"/>
        <v>2.0203753940133802</v>
      </c>
    </row>
    <row r="6" spans="2:9" x14ac:dyDescent="0.15">
      <c r="B6" s="159" t="s">
        <v>95</v>
      </c>
      <c r="C6" s="107">
        <f>DCF!C3</f>
        <v>1</v>
      </c>
      <c r="E6" s="100" t="s">
        <v>279</v>
      </c>
      <c r="F6" s="100"/>
      <c r="H6" s="247">
        <v>3</v>
      </c>
      <c r="I6" s="124">
        <f t="shared" si="0"/>
        <v>74.711254395810968</v>
      </c>
    </row>
    <row r="7" spans="2:9" ht="12.75" customHeight="1" x14ac:dyDescent="0.15">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x14ac:dyDescent="0.15">
      <c r="B8" s="100" t="s">
        <v>66</v>
      </c>
      <c r="C8" s="338">
        <f>Normalized_FCF!G19</f>
        <v>3154856959.634306</v>
      </c>
      <c r="D8" t="str">
        <f>Reporting_currency</f>
        <v>CNY</v>
      </c>
      <c r="E8" s="366"/>
      <c r="F8" s="366"/>
      <c r="H8" s="247">
        <v>5</v>
      </c>
      <c r="I8" s="124" t="str">
        <f t="shared" si="0"/>
        <v/>
      </c>
    </row>
    <row r="9" spans="2:9" x14ac:dyDescent="0.15">
      <c r="B9" s="100" t="s">
        <v>57</v>
      </c>
      <c r="C9" s="338">
        <f>Normalized_FCF!C19</f>
        <v>2878392419.484869</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2.1321347914251776E-2</v>
      </c>
      <c r="D12" s="158"/>
      <c r="E12" s="366"/>
      <c r="F12" s="366"/>
      <c r="H12" s="247">
        <v>9</v>
      </c>
      <c r="I12" s="124" t="str">
        <f t="shared" si="0"/>
        <v/>
      </c>
    </row>
    <row r="13" spans="2:9" x14ac:dyDescent="0.15">
      <c r="B13" s="148" t="s">
        <v>152</v>
      </c>
      <c r="C13" s="158">
        <f ca="1">(Normalized_FCF!G8/OFFSET(Normalized_FCF!G8, 0, $C$4))^(1/$C$4) - 1</f>
        <v>0.15185942572632172</v>
      </c>
      <c r="E13" s="366"/>
      <c r="F13" s="366"/>
      <c r="H13" s="247">
        <v>10</v>
      </c>
      <c r="I13" s="124" t="str">
        <f t="shared" si="0"/>
        <v/>
      </c>
    </row>
    <row r="14" spans="2:9" x14ac:dyDescent="0.15">
      <c r="B14" s="100" t="s">
        <v>66</v>
      </c>
      <c r="C14" s="158">
        <f ca="1">(Normalized_FCF!G19/OFFSET(Normalized_FCF!G19, 0, $C$4))^(1/$C$4) - 1</f>
        <v>0.2285111018871242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30</v>
      </c>
      <c r="E18" s="366" t="s">
        <v>330</v>
      </c>
      <c r="F18" s="367"/>
    </row>
    <row r="19" spans="2:6" x14ac:dyDescent="0.15">
      <c r="E19" s="367"/>
      <c r="F19" s="367"/>
    </row>
    <row r="20" spans="2:6" x14ac:dyDescent="0.15">
      <c r="B20" s="159" t="s">
        <v>303</v>
      </c>
      <c r="E20" s="367"/>
      <c r="F20" s="367"/>
    </row>
    <row r="21" spans="2:6" x14ac:dyDescent="0.15">
      <c r="B21" s="100" t="s">
        <v>277</v>
      </c>
      <c r="C21" s="160">
        <f>Market_Price</f>
        <v>55.85</v>
      </c>
      <c r="D21" t="str">
        <f>Market_currency</f>
        <v>HKD</v>
      </c>
      <c r="E21" s="367"/>
      <c r="F21" s="367"/>
    </row>
    <row r="22" spans="2:6" x14ac:dyDescent="0.15">
      <c r="B22" s="100" t="s">
        <v>278</v>
      </c>
      <c r="C22" s="160">
        <f>IF(valuation_method="DCF",DCF!C12,DDM!C7)</f>
        <v>42.834631619310194</v>
      </c>
      <c r="D22" t="str">
        <f>Market_currency</f>
        <v>HKD</v>
      </c>
      <c r="E22" s="367"/>
      <c r="F22" s="367"/>
    </row>
    <row r="24" spans="2:6" x14ac:dyDescent="0.15">
      <c r="B24" s="159" t="s">
        <v>115</v>
      </c>
      <c r="E24" s="159" t="s">
        <v>149</v>
      </c>
      <c r="F24" s="159"/>
    </row>
    <row r="25" spans="2:6" x14ac:dyDescent="0.15">
      <c r="B25" s="152" t="s">
        <v>133</v>
      </c>
      <c r="C25" s="166">
        <f>C18</f>
        <v>30</v>
      </c>
      <c r="D25" s="163"/>
      <c r="E25" s="365"/>
      <c r="F25" s="365"/>
    </row>
    <row r="26" spans="2:6" ht="14" x14ac:dyDescent="0.15">
      <c r="B26" s="118" t="s">
        <v>134</v>
      </c>
      <c r="C26" s="164">
        <v>0.06</v>
      </c>
      <c r="D26" s="164"/>
      <c r="E26" s="365"/>
      <c r="F26" s="365"/>
    </row>
    <row r="27" spans="2:6" x14ac:dyDescent="0.15">
      <c r="B27" s="100" t="s">
        <v>113</v>
      </c>
      <c r="C27" s="160">
        <f>IF(valuation_method="DCF",DCF!E76,DDM!E71)</f>
        <v>71.75697692665743</v>
      </c>
      <c r="D27" s="160" t="str">
        <f>Market_currency</f>
        <v>HKD</v>
      </c>
      <c r="E27" s="365"/>
      <c r="F27" s="365"/>
    </row>
    <row r="28" spans="2:6" x14ac:dyDescent="0.15">
      <c r="B28" s="100" t="s">
        <v>147</v>
      </c>
      <c r="C28" s="165">
        <v>0.5</v>
      </c>
      <c r="D28" s="165"/>
      <c r="E28" s="365"/>
      <c r="F28" s="365"/>
    </row>
    <row r="30" spans="2:6" x14ac:dyDescent="0.15">
      <c r="B30" s="159" t="s">
        <v>116</v>
      </c>
      <c r="E30" s="159" t="s">
        <v>149</v>
      </c>
      <c r="F30" s="159"/>
    </row>
    <row r="31" spans="2:6" x14ac:dyDescent="0.15">
      <c r="B31" s="152" t="s">
        <v>133</v>
      </c>
      <c r="C31" s="166">
        <f>C18</f>
        <v>30</v>
      </c>
      <c r="D31" s="163"/>
      <c r="E31" s="365"/>
      <c r="F31" s="365"/>
    </row>
    <row r="32" spans="2:6" ht="14" x14ac:dyDescent="0.15">
      <c r="B32" s="118" t="s">
        <v>134</v>
      </c>
      <c r="C32" s="164">
        <v>0.04</v>
      </c>
      <c r="D32" s="164"/>
      <c r="E32" s="365"/>
      <c r="F32" s="365"/>
    </row>
    <row r="33" spans="2:6" x14ac:dyDescent="0.15">
      <c r="B33" s="100" t="s">
        <v>113</v>
      </c>
      <c r="C33" s="160">
        <f>IF(valuation_method="DCF",DCF!E77,DDM!E72)</f>
        <v>58.818034416133258</v>
      </c>
      <c r="D33" t="str">
        <f>Market_currency</f>
        <v>HKD</v>
      </c>
      <c r="E33" s="365"/>
      <c r="F33" s="365"/>
    </row>
    <row r="34" spans="2:6" x14ac:dyDescent="0.15">
      <c r="B34" s="100" t="s">
        <v>147</v>
      </c>
      <c r="C34" s="165">
        <v>0.3</v>
      </c>
      <c r="D34" s="165"/>
      <c r="E34" s="365"/>
      <c r="F34" s="365"/>
    </row>
    <row r="36" spans="2:6" x14ac:dyDescent="0.15">
      <c r="B36" s="159" t="s">
        <v>114</v>
      </c>
      <c r="E36" s="159" t="s">
        <v>149</v>
      </c>
      <c r="F36" s="159"/>
    </row>
    <row r="37" spans="2:6" x14ac:dyDescent="0.15">
      <c r="B37" s="152" t="s">
        <v>133</v>
      </c>
      <c r="C37" s="166">
        <f>C18</f>
        <v>30</v>
      </c>
      <c r="D37" s="163"/>
      <c r="E37" s="365"/>
      <c r="F37" s="365"/>
    </row>
    <row r="38" spans="2:6" ht="14" x14ac:dyDescent="0.15">
      <c r="B38" s="118" t="s">
        <v>134</v>
      </c>
      <c r="C38" s="164">
        <v>0.08</v>
      </c>
      <c r="D38" s="164"/>
      <c r="E38" s="365"/>
      <c r="F38" s="365"/>
    </row>
    <row r="39" spans="2:6" x14ac:dyDescent="0.15">
      <c r="B39" s="100" t="s">
        <v>113</v>
      </c>
      <c r="C39" s="160">
        <f>IF(valuation_method="DCF",DCF!E75,DDM!E70)</f>
        <v>90.105950097095516</v>
      </c>
      <c r="D39" t="str">
        <f>Market_currency</f>
        <v>HKD</v>
      </c>
      <c r="E39" s="365"/>
      <c r="F39" s="365"/>
    </row>
    <row r="40" spans="2:6" x14ac:dyDescent="0.15">
      <c r="B40" s="100" t="s">
        <v>147</v>
      </c>
      <c r="C40" s="167">
        <f>1-C28-C34</f>
        <v>0.2</v>
      </c>
      <c r="D40" s="165"/>
      <c r="E40" s="365"/>
      <c r="F40" s="365"/>
    </row>
    <row r="42" spans="2:6" x14ac:dyDescent="0.15">
      <c r="B42" s="100" t="s">
        <v>120</v>
      </c>
      <c r="C42" s="154">
        <f>C27*C28+C33*C34+C39*C40</f>
        <v>71.545088807587803</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30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30</v>
      </c>
      <c r="D49" s="163"/>
      <c r="E49" s="365"/>
      <c r="F49" s="365"/>
    </row>
    <row r="50" spans="2:6" ht="14" x14ac:dyDescent="0.15">
      <c r="B50" s="118" t="s">
        <v>134</v>
      </c>
      <c r="C50" s="164">
        <v>0.02</v>
      </c>
      <c r="D50" s="164"/>
      <c r="E50" s="365"/>
      <c r="F50" s="365"/>
    </row>
    <row r="51" spans="2:6" x14ac:dyDescent="0.15">
      <c r="B51" s="100" t="s">
        <v>113</v>
      </c>
      <c r="C51" s="160">
        <f>IF(valuation_method="DCF",DCF!E78,DDM!E73)</f>
        <v>49.563110687268455</v>
      </c>
      <c r="D51" t="str">
        <f>Market_currency</f>
        <v>HKD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30</v>
      </c>
      <c r="D55" s="163"/>
      <c r="E55" s="365"/>
      <c r="F55" s="365"/>
    </row>
    <row r="56" spans="2:6" ht="14" x14ac:dyDescent="0.15">
      <c r="B56" s="118" t="s">
        <v>134</v>
      </c>
      <c r="C56" s="164">
        <v>0.1</v>
      </c>
      <c r="D56" s="164"/>
      <c r="E56" s="365"/>
      <c r="F56" s="365"/>
    </row>
    <row r="57" spans="2:6" x14ac:dyDescent="0.15">
      <c r="B57" s="100" t="s">
        <v>113</v>
      </c>
      <c r="C57" s="160">
        <f>IF(valuation_method="DCF",DCF!E74,DDM!E69)</f>
        <v>116.44287081210281</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72.690879001797583</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30</v>
      </c>
      <c r="D64" s="150"/>
      <c r="E64" s="251" t="s">
        <v>395</v>
      </c>
    </row>
    <row r="65" spans="2:6" ht="14" x14ac:dyDescent="0.15">
      <c r="B65" s="118" t="s">
        <v>134</v>
      </c>
      <c r="C65" s="151">
        <v>6.1165848114484E-2</v>
      </c>
      <c r="D65" s="151"/>
      <c r="E65" s="251" t="s">
        <v>312</v>
      </c>
    </row>
    <row r="66" spans="2:6" x14ac:dyDescent="0.15">
      <c r="B66" s="100" t="s">
        <v>102</v>
      </c>
      <c r="C66" s="160">
        <f>IF(valuation_method="DCF",DCF!C18,DDM!C13)</f>
        <v>72.657799662329239</v>
      </c>
      <c r="D66" s="160" t="str">
        <f>Market_currency</f>
        <v>HKD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0.16784401623962694</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2.0203753940133802</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3.3482859503441227</v>
      </c>
      <c r="D81" s="116"/>
      <c r="E81" s="100"/>
      <c r="F81" s="100"/>
    </row>
    <row r="82" spans="2:8" x14ac:dyDescent="0.15">
      <c r="B82" s="100" t="s">
        <v>122</v>
      </c>
      <c r="C82" s="116">
        <f>C60/(1+C80)^C76</f>
        <v>28.431069293445443</v>
      </c>
      <c r="D82" s="116"/>
    </row>
    <row r="83" spans="2:8" x14ac:dyDescent="0.15">
      <c r="B83" s="110" t="s">
        <v>101</v>
      </c>
      <c r="C83" s="111">
        <f>C81+C82</f>
        <v>31.779355243789567</v>
      </c>
      <c r="D83" t="str">
        <f>Market_currency</f>
        <v>HKD</v>
      </c>
      <c r="E83" s="146" t="s">
        <v>126</v>
      </c>
      <c r="F83" s="291">
        <f>(1-C83/C60)</f>
        <v>0.56281509206947833</v>
      </c>
    </row>
    <row r="84" spans="2:8" x14ac:dyDescent="0.15">
      <c r="E84" s="120"/>
    </row>
    <row r="85" spans="2:8" x14ac:dyDescent="0.15">
      <c r="B85" s="109" t="s">
        <v>302</v>
      </c>
    </row>
    <row r="86" spans="2:8" x14ac:dyDescent="0.15">
      <c r="B86" s="148" t="s">
        <v>300</v>
      </c>
      <c r="C86" s="116">
        <f>Market_Price</f>
        <v>55.85</v>
      </c>
      <c r="D86" t="str">
        <f>Market_currency</f>
        <v>HKD</v>
      </c>
    </row>
    <row r="87" spans="2:8" x14ac:dyDescent="0.15">
      <c r="B87" s="100" t="s">
        <v>298</v>
      </c>
      <c r="C87" s="237">
        <f ca="1">IRR(OFFSET($I$3, 0, 0, $C$76 + 1, 1))</f>
        <v>0.12509933220846503</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4.1425793724014808</v>
      </c>
      <c r="D91" s="116"/>
      <c r="E91" s="100"/>
      <c r="F91" s="100"/>
    </row>
    <row r="92" spans="2:8" x14ac:dyDescent="0.15">
      <c r="B92" s="100" t="s">
        <v>122</v>
      </c>
      <c r="C92" s="116">
        <f>C60/(1+C90)^C76</f>
        <v>40.288400738693255</v>
      </c>
      <c r="D92" s="116"/>
    </row>
    <row r="93" spans="2:8" x14ac:dyDescent="0.15">
      <c r="B93" s="110" t="s">
        <v>101</v>
      </c>
      <c r="C93" s="111">
        <f>C91+C92</f>
        <v>44.430980111094733</v>
      </c>
      <c r="D93" t="str">
        <f>Market_currency</f>
        <v>HKD</v>
      </c>
      <c r="E93" s="146" t="s">
        <v>126</v>
      </c>
      <c r="F93" s="291">
        <f>(1-C93/C60)</f>
        <v>0.38876815466771297</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5.254038216335748</v>
      </c>
      <c r="D97" s="116"/>
      <c r="G97" s="2"/>
      <c r="H97" s="281"/>
    </row>
    <row r="98" spans="2:8" x14ac:dyDescent="0.15">
      <c r="B98" s="100" t="s">
        <v>122</v>
      </c>
      <c r="C98" s="116">
        <f>C60/(1+C96)^C76</f>
        <v>58.513291359440629</v>
      </c>
      <c r="D98" s="116"/>
      <c r="G98" s="2"/>
      <c r="H98" s="281"/>
    </row>
    <row r="99" spans="2:8" x14ac:dyDescent="0.15">
      <c r="B99" s="110" t="s">
        <v>398</v>
      </c>
      <c r="C99" s="111">
        <f>C97+C98</f>
        <v>63.76732957577638</v>
      </c>
      <c r="D99" t="s">
        <v>396</v>
      </c>
      <c r="E99" s="146" t="s">
        <v>126</v>
      </c>
      <c r="F99" s="291">
        <f>(1-C99/C60)</f>
        <v>0.12276023551456205</v>
      </c>
    </row>
    <row r="100" spans="2:8" x14ac:dyDescent="0.15">
      <c r="B100" s="100"/>
    </row>
    <row r="101" spans="2:8" x14ac:dyDescent="0.15">
      <c r="B101" s="109" t="s">
        <v>422</v>
      </c>
    </row>
    <row r="102" spans="2:8" x14ac:dyDescent="0.15">
      <c r="B102" s="148" t="s">
        <v>421</v>
      </c>
      <c r="C102" s="134">
        <f>Thesis!F32</f>
        <v>0.1174</v>
      </c>
    </row>
    <row r="103" spans="2:8" x14ac:dyDescent="0.15">
      <c r="B103" s="100" t="s">
        <v>121</v>
      </c>
      <c r="C103" s="116">
        <f>PV(C102, C76, -C77, 0)</f>
        <v>4.8743639911662111</v>
      </c>
      <c r="D103" s="116"/>
    </row>
    <row r="104" spans="2:8" x14ac:dyDescent="0.15">
      <c r="B104" s="100" t="s">
        <v>122</v>
      </c>
      <c r="C104" s="116">
        <f>C60/(1+C102)^C76</f>
        <v>52.101943001919899</v>
      </c>
      <c r="D104" s="116"/>
    </row>
    <row r="105" spans="2:8" x14ac:dyDescent="0.15">
      <c r="B105" s="110" t="s">
        <v>398</v>
      </c>
      <c r="C105" s="111">
        <f>C103+C104</f>
        <v>56.976306993086112</v>
      </c>
      <c r="D105" t="s">
        <v>396</v>
      </c>
      <c r="E105" s="146" t="s">
        <v>126</v>
      </c>
      <c r="F105" s="291">
        <f>(1-C105/C66)</f>
        <v>0.21582669365328278</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