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85B917-9C55-4FE8-A1A7-F832FD22994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<sst xmlns="http://schemas.openxmlformats.org/spreadsheetml/2006/main" count="836" uniqueCount="560">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</sst>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51.5</v>
      </c>
      <c r="D12" s="50"/>
      <c r="E12" s="48"/>
    </row>
    <row r="13" spans="1:10">
      <c r="B13" s="1" t="s">
        <v>486</v>
      </c>
      <c r="C13" s="32" t="str">
        <f>Market_currency</f>
        <v>HKD</v>
      </c>
      <c r="D13" s="48"/>
      <c r="E13" s="5"/>
    </row>
    <row r="14" spans="1:10">
      <c r="B14" s="4" t="s">
        <v>487</v>
      </c>
      <c r="C14" s="35">
        <f>投资主题!C12*Common_Shares/1000000</f>
        <v>70256.134581999999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73.04804428838618</v>
      </c>
      <c r="D26" s="1" t="s">
        <v>447</v>
      </c>
      <c r="E26" s="301">
        <f ca="1">Scenarios!C87</f>
        <v>0.15505076181670585</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32.758430148152833</v>
      </c>
      <c r="D29" s="310" t="str">
        <f>D149</f>
        <v/>
      </c>
      <c r="E29" s="306" t="s">
        <v>456</v>
      </c>
      <c r="F29" s="362">
        <f>Thesis!F29</f>
        <v>0.35</v>
      </c>
    </row>
    <row r="30" spans="2:6">
      <c r="B30" s="1" t="s">
        <v>451</v>
      </c>
      <c r="C30" s="311">
        <f>C157</f>
        <v>40.932667607219138</v>
      </c>
      <c r="D30" s="311" t="str">
        <f>D157</f>
        <v/>
      </c>
      <c r="E30" s="307" t="s">
        <v>455</v>
      </c>
      <c r="F30" s="224">
        <f>Thesis!F30</f>
        <v>0.25</v>
      </c>
    </row>
    <row r="31" spans="2:6">
      <c r="B31" s="1" t="s">
        <v>452</v>
      </c>
      <c r="C31" s="311">
        <f>C165</f>
        <v>63.506346649328265</v>
      </c>
      <c r="D31" s="311" t="str">
        <f>D165</f>
        <v/>
      </c>
      <c r="E31" s="307" t="s">
        <v>492</v>
      </c>
      <c r="F31" s="224">
        <f>Thesis!F31</f>
        <v>7.4999999999999997E-2</v>
      </c>
    </row>
    <row r="32" spans="2:6">
      <c r="B32" s="1" t="s">
        <v>453</v>
      </c>
      <c r="C32" s="311">
        <f>C173</f>
        <v>56.723457507555921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177061368.44728369</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155224314.44728369</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-1008323096.1887596</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3154780032.4472837</v>
      </c>
      <c r="D67" s="1" t="str">
        <f>Reporting_currency</f>
        <v>CNY</v>
      </c>
    </row>
    <row r="68" spans="1:6">
      <c r="B68" s="47" t="s">
        <v>244</v>
      </c>
      <c r="C68" s="349">
        <f>Normalized_FCF!C19</f>
        <v>2878334724.0946016</v>
      </c>
      <c r="D68" s="1" t="str">
        <f>Reporting_currency</f>
        <v>CNY</v>
      </c>
    </row>
    <row r="69" spans="1:6">
      <c r="B69" s="227" t="s">
        <v>371</v>
      </c>
      <c r="C69" s="92">
        <f>Normalized_FCF!C126</f>
        <v>4.4830427293081794E-2</v>
      </c>
      <c r="F69" s="314"/>
    </row>
    <row r="70" spans="1:6">
      <c r="B70" s="227" t="s">
        <v>435</v>
      </c>
      <c r="C70" s="92">
        <f>Normalized_FCF!C94</f>
        <v>3.5135175588546626E-2</v>
      </c>
      <c r="E70" s="47" t="s">
        <v>504</v>
      </c>
      <c r="F70" s="315">
        <f>Normalized_FCF!C92</f>
        <v>0.95288957035067212</v>
      </c>
    </row>
    <row r="72" spans="1:6">
      <c r="B72" s="210" t="s">
        <v>514</v>
      </c>
      <c r="C72" s="323" t="s">
        <v>430</v>
      </c>
      <c r="D72" s="323" t="s">
        <v>505</v>
      </c>
    </row>
    <row r="73" spans="1:6">
      <c r="B73" s="47" t="s">
        <v>429</v>
      </c>
      <c r="C73" s="92">
        <f>Normalized_FCF!C121</f>
        <v>0.13507549389971246</v>
      </c>
      <c r="D73" s="92">
        <f>Normalized_FCF!G121</f>
        <v>0.15711189316698337</v>
      </c>
    </row>
    <row r="74" spans="1:6">
      <c r="B74" s="259" t="str">
        <f>Normalized_FCF!B118</f>
        <v>Pre-tax Profit/Sales</v>
      </c>
      <c r="C74" s="322">
        <f>Normalized_FCF!C118</f>
        <v>0.12563528796015994</v>
      </c>
      <c r="D74" s="322">
        <f>Normalized_FCF!G118</f>
        <v>0.14597404859768578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30.783560074582834</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0.22892186480967799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12817464890.748306</v>
      </c>
      <c r="D109" s="1" t="str">
        <f>Reporting_currency</f>
        <v>CNY</v>
      </c>
    </row>
    <row r="110" spans="2:6">
      <c r="B110" s="47" t="s">
        <v>277</v>
      </c>
      <c r="C110" s="223">
        <f>C109*scaling_factor*Exchange_Rate/Common_Shares</f>
        <v>10.281132276727831</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2.2101680110698281</v>
      </c>
      <c r="D114" s="1" t="str">
        <f>Market_currency</f>
        <v>HKD</v>
      </c>
    </row>
    <row r="116" spans="1:6">
      <c r="B116" s="374" t="s">
        <v>517</v>
      </c>
      <c r="C116" s="374"/>
      <c r="D116" s="374"/>
      <c r="E116" s="374"/>
      <c r="F116" s="374"/>
    </row>
    <row r="118" spans="1:6">
      <c r="B118" s="47" t="s">
        <v>518</v>
      </c>
      <c r="C118" s="223">
        <f>IF(valuation_method="DCF",DCF!C12,DDM!C7)</f>
        <v>43.045938497570816</v>
      </c>
      <c r="D118" s="1" t="str">
        <f>Market_currency</f>
        <v>HKD</v>
      </c>
    </row>
    <row r="119" spans="1:6">
      <c r="B119" s="296" t="s">
        <v>551</v>
      </c>
      <c r="C119" s="223">
        <f>BS!D47</f>
        <v>1.3600419319335644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117.01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73.04804428838618</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1.8094615428101513</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3.0686290859626508</v>
      </c>
    </row>
    <row r="148" spans="2:4">
      <c r="B148" s="212" t="str">
        <f>"+ PV(Equity Value realized at year "&amp;C141&amp;")"</f>
        <v>+ PV(Equity Value realized at year 3)</v>
      </c>
      <c r="C148" s="216">
        <f>Scenarios!C82</f>
        <v>29.689801062190181</v>
      </c>
    </row>
    <row r="149" spans="2:4">
      <c r="B149" s="80" t="s">
        <v>256</v>
      </c>
      <c r="C149" s="215">
        <f>Scenarios!C83</f>
        <v>32.758430148152833</v>
      </c>
      <c r="D149" s="300" t="str">
        <f>IF($D$11="","",C149*$E$25)</f>
        <v/>
      </c>
    </row>
    <row r="150" spans="2:4">
      <c r="B150" s="259" t="s">
        <v>533</v>
      </c>
      <c r="C150" s="298" t="str">
        <f>Market_currency</f>
        <v>HKD</v>
      </c>
      <c r="D150" s="298" t="str">
        <f>IF($D$11="","",D$13)</f>
        <v/>
      </c>
    </row>
    <row r="151" spans="2:4">
      <c r="B151" s="214" t="s">
        <v>534</v>
      </c>
      <c r="C151" s="92">
        <f>Scenarios!F83</f>
        <v>0.55154952514777933</v>
      </c>
    </row>
    <row r="153" spans="2:4">
      <c r="B153" s="210" t="s">
        <v>391</v>
      </c>
    </row>
    <row r="154" spans="2:4">
      <c r="B154" s="1" t="s">
        <v>390</v>
      </c>
      <c r="C154" s="297">
        <f>Scenarios!C90</f>
        <v>0.25</v>
      </c>
    </row>
    <row r="155" spans="2:4">
      <c r="B155" s="212" t="str">
        <f>"PV("&amp;C141&amp;" yrs of Dividends)"</f>
        <v>PV(3 yrs of Dividends)</v>
      </c>
      <c r="C155" s="216">
        <f>Scenarios!C91</f>
        <v>3.5320689315654152</v>
      </c>
    </row>
    <row r="156" spans="2:4">
      <c r="B156" s="212" t="str">
        <f>"+ PV(Equity Value realized at year "&amp;C141&amp;")"</f>
        <v>+ PV(Equity Value realized at year 3)</v>
      </c>
      <c r="C156" s="216">
        <f>Scenarios!C92</f>
        <v>37.400598675653725</v>
      </c>
    </row>
    <row r="157" spans="2:4">
      <c r="B157" s="80" t="s">
        <v>256</v>
      </c>
      <c r="C157" s="215">
        <f>Scenarios!C93</f>
        <v>40.932667607219138</v>
      </c>
      <c r="D157" s="300" t="str">
        <f>IF($D$11="","",C157*$E$25)</f>
        <v/>
      </c>
    </row>
    <row r="158" spans="2:4">
      <c r="B158" s="259" t="s">
        <v>533</v>
      </c>
      <c r="C158" s="298" t="str">
        <f>Market_currency</f>
        <v>HKD</v>
      </c>
      <c r="D158" s="298" t="str">
        <f>IF($D$11="","",D$13)</f>
        <v/>
      </c>
    </row>
    <row r="159" spans="2:4">
      <c r="B159" s="214" t="s">
        <v>534</v>
      </c>
      <c r="C159" s="92">
        <f>Scenarios!F93</f>
        <v>0.43964731696825221</v>
      </c>
    </row>
    <row r="161" spans="2:4">
      <c r="B161" s="210" t="s">
        <v>381</v>
      </c>
    </row>
    <row r="162" spans="2:4">
      <c r="B162" s="1" t="s">
        <v>389</v>
      </c>
      <c r="C162" s="92">
        <f>Scenarios!C96</f>
        <v>7.4999999999999997E-2</v>
      </c>
    </row>
    <row r="163" spans="2:4">
      <c r="B163" s="212" t="str">
        <f>"PV("&amp;C141&amp;" yrs of Dividends)"</f>
        <v>PV(3 yrs of Dividends)</v>
      </c>
      <c r="C163" s="216">
        <f>Scenarios!C97</f>
        <v>4.7055513173862265</v>
      </c>
    </row>
    <row r="164" spans="2:4">
      <c r="B164" s="212" t="str">
        <f>"+ PV(Equity Value realized at year "&amp;C141&amp;")"</f>
        <v>+ PV(Equity Value realized at year 3)</v>
      </c>
      <c r="C164" s="216">
        <f>Scenarios!C98</f>
        <v>58.800795331942041</v>
      </c>
    </row>
    <row r="165" spans="2:4">
      <c r="B165" s="80" t="s">
        <v>382</v>
      </c>
      <c r="C165" s="215">
        <f>Scenarios!C99</f>
        <v>63.506346649328265</v>
      </c>
      <c r="D165" s="300" t="str">
        <f>IF($D$11="","",C165*$E$25)</f>
        <v/>
      </c>
    </row>
    <row r="166" spans="2:4">
      <c r="B166" s="259" t="s">
        <v>533</v>
      </c>
      <c r="C166" s="298" t="str">
        <f>Market_currency</f>
        <v>HKD</v>
      </c>
      <c r="D166" s="298" t="str">
        <f>IF($D$11="","",D$13)</f>
        <v/>
      </c>
    </row>
    <row r="167" spans="2:4">
      <c r="B167" s="214" t="s">
        <v>534</v>
      </c>
      <c r="C167" s="92">
        <f>Scenarios!F99</f>
        <v>0.13062221900682613</v>
      </c>
    </row>
    <row r="169" spans="2:4">
      <c r="B169" s="210" t="s">
        <v>409</v>
      </c>
    </row>
    <row r="170" spans="2:4">
      <c r="B170" s="1" t="s">
        <v>400</v>
      </c>
      <c r="C170" s="92">
        <f>F32</f>
        <v>0.1174</v>
      </c>
    </row>
    <row r="171" spans="2:4">
      <c r="B171" s="212" t="str">
        <f>"PV("&amp;C141&amp;" yrs of Dividends)"</f>
        <v>PV(3 yrs of Dividends)</v>
      </c>
      <c r="C171" s="216">
        <f>Scenarios!C103</f>
        <v>4.365512574449542</v>
      </c>
    </row>
    <row r="172" spans="2:4">
      <c r="B172" s="212" t="str">
        <f>"+ PV(Equity Value realized at year "&amp;C141&amp;")"</f>
        <v>+ PV(Equity Value realized at year 3)</v>
      </c>
      <c r="C172" s="216">
        <f>Scenarios!C104</f>
        <v>52.357944933106381</v>
      </c>
    </row>
    <row r="173" spans="2:4">
      <c r="B173" s="80" t="s">
        <v>382</v>
      </c>
      <c r="C173" s="215">
        <f>Scenarios!C105</f>
        <v>56.723457507555921</v>
      </c>
      <c r="D173" s="300" t="str">
        <f>IF($D$11="","",C173*$E$25)</f>
        <v/>
      </c>
    </row>
    <row r="174" spans="2:4">
      <c r="B174" s="259" t="s">
        <v>533</v>
      </c>
      <c r="C174" s="298" t="str">
        <f>Market_currency</f>
        <v>HKD</v>
      </c>
      <c r="D174" s="298" t="str">
        <f>IF($D$11="","",D$13)</f>
        <v/>
      </c>
    </row>
    <row r="175" spans="2:4">
      <c r="B175" s="214" t="s">
        <v>534</v>
      </c>
      <c r="C175" s="92">
        <f>Scenarios!F105</f>
        <v>0.2231238747589509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51.5</v>
      </c>
      <c r="D12" s="50"/>
      <c r="E12" s="48"/>
    </row>
    <row r="13" spans="1:10">
      <c r="B13" s="1" t="s">
        <v>465</v>
      </c>
      <c r="C13" s="48" t="s">
        <v>377</v>
      </c>
      <c r="D13" s="48"/>
      <c r="E13" s="5"/>
    </row>
    <row r="14" spans="1:10">
      <c r="B14" s="4" t="s">
        <v>466</v>
      </c>
      <c r="C14" s="35">
        <f>Thesis!C12*Common_Shares/1000000</f>
        <v>70256.134581999999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1.0942481800000001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73.04804428838618</v>
      </c>
      <c r="D26" s="1" t="s">
        <v>380</v>
      </c>
      <c r="E26" s="301">
        <f ca="1">Scenarios!C87</f>
        <v>0.15505076181670585</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32.758430148152833</v>
      </c>
      <c r="D29" s="310" t="str">
        <f>D149</f>
        <v/>
      </c>
      <c r="E29" s="306" t="s">
        <v>401</v>
      </c>
      <c r="F29" s="302">
        <v>0.35</v>
      </c>
    </row>
    <row r="30" spans="2:6">
      <c r="B30" s="1" t="s">
        <v>403</v>
      </c>
      <c r="C30" s="311">
        <f>C157</f>
        <v>40.932667607219138</v>
      </c>
      <c r="D30" s="311" t="str">
        <f>D157</f>
        <v/>
      </c>
      <c r="E30" s="307" t="s">
        <v>414</v>
      </c>
      <c r="F30" s="312">
        <v>0.25</v>
      </c>
    </row>
    <row r="31" spans="2:6">
      <c r="B31" s="1" t="s">
        <v>404</v>
      </c>
      <c r="C31" s="311">
        <f>C165</f>
        <v>63.506346649328265</v>
      </c>
      <c r="D31" s="311" t="str">
        <f>D165</f>
        <v/>
      </c>
      <c r="E31" s="307" t="s">
        <v>413</v>
      </c>
      <c r="F31" s="312">
        <v>7.4999999999999997E-2</v>
      </c>
    </row>
    <row r="32" spans="2:6">
      <c r="B32" s="1" t="s">
        <v>405</v>
      </c>
      <c r="C32" s="311">
        <f>C173</f>
        <v>56.723457507555921</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177061368.44728369</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155224314.44728369</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-1008323096.1887596</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3154780032.4472837</v>
      </c>
      <c r="D67" s="1" t="str">
        <f>Reporting_currency</f>
        <v>CNY</v>
      </c>
    </row>
    <row r="68" spans="1:6">
      <c r="B68" s="47" t="s">
        <v>244</v>
      </c>
      <c r="C68" s="349">
        <f>Normalized_FCF!C19</f>
        <v>2878334724.0946016</v>
      </c>
      <c r="D68" s="1" t="str">
        <f>Reporting_currency</f>
        <v>CNY</v>
      </c>
    </row>
    <row r="69" spans="1:6">
      <c r="B69" s="227" t="s">
        <v>371</v>
      </c>
      <c r="C69" s="92">
        <f>Normalized_FCF!C126</f>
        <v>4.4830427293081794E-2</v>
      </c>
      <c r="F69" s="314"/>
    </row>
    <row r="70" spans="1:6">
      <c r="B70" s="227" t="s">
        <v>435</v>
      </c>
      <c r="C70" s="92">
        <f>Normalized_FCF!C94</f>
        <v>3.5135175588546626E-2</v>
      </c>
      <c r="E70" s="47" t="s">
        <v>425</v>
      </c>
      <c r="F70" s="315">
        <f>Normalized_FCF!C92</f>
        <v>0.95288957035067212</v>
      </c>
    </row>
    <row r="72" spans="1:6">
      <c r="B72" s="210" t="s">
        <v>428</v>
      </c>
      <c r="C72" s="323" t="s">
        <v>430</v>
      </c>
      <c r="D72" s="323" t="s">
        <v>431</v>
      </c>
    </row>
    <row r="73" spans="1:6">
      <c r="B73" s="47" t="s">
        <v>429</v>
      </c>
      <c r="C73" s="92">
        <f>Normalized_FCF!C121</f>
        <v>0.13507549389971246</v>
      </c>
      <c r="D73" s="92">
        <f>Normalized_FCF!G121</f>
        <v>0.15711189316698337</v>
      </c>
    </row>
    <row r="74" spans="1:6">
      <c r="B74" s="259" t="str">
        <f>Normalized_FCF!B118</f>
        <v>Pre-tax Profit/Sales</v>
      </c>
      <c r="C74" s="322">
        <f>Normalized_FCF!C118</f>
        <v>0.12563528796015994</v>
      </c>
      <c r="D74" s="322">
        <f>Normalized_FCF!G118</f>
        <v>0.14597404859768578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30.783560074582834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0.22892186480967799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12817464890.748306</v>
      </c>
      <c r="D109" s="1" t="str">
        <f>Reporting_currency</f>
        <v>CNY</v>
      </c>
    </row>
    <row r="110" spans="2:6">
      <c r="B110" s="47" t="s">
        <v>277</v>
      </c>
      <c r="C110" s="223">
        <f>C109*scaling_factor*Exchange_Rate/Common_Shares</f>
        <v>10.281132276727831</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2.2101680110698281</v>
      </c>
      <c r="D114" s="1" t="str">
        <f>Market_currency</f>
        <v>HKD</v>
      </c>
    </row>
    <row r="116" spans="1:6" ht="24.6" customHeight="1">
      <c r="B116" s="374" t="s">
        <v>352</v>
      </c>
      <c r="C116" s="374"/>
      <c r="D116" s="374"/>
      <c r="E116" s="374"/>
      <c r="F116" s="374"/>
    </row>
    <row r="118" spans="1:6">
      <c r="B118" s="47" t="s">
        <v>426</v>
      </c>
      <c r="C118" s="223">
        <f>IF(valuation_method="DCF",DCF!C12,DDM!C7)</f>
        <v>43.045938497570816</v>
      </c>
      <c r="D118" s="1" t="str">
        <f>Market_currency</f>
        <v>HKD</v>
      </c>
    </row>
    <row r="119" spans="1:6">
      <c r="B119" s="296" t="s">
        <v>550</v>
      </c>
      <c r="C119" s="223">
        <f>BS!D47</f>
        <v>1.3600419319335644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117.01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73.04804428838618</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1.8094615428101513</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3.0686290859626508</v>
      </c>
    </row>
    <row r="148" spans="2:4">
      <c r="B148" s="212" t="str">
        <f>"+ PV(Equity Value realized at year "&amp;C141&amp;")"</f>
        <v>+ PV(Equity Value realized at year 3)</v>
      </c>
      <c r="C148" s="216">
        <f>Scenarios!C82</f>
        <v>29.689801062190181</v>
      </c>
    </row>
    <row r="149" spans="2:4">
      <c r="B149" s="80" t="s">
        <v>256</v>
      </c>
      <c r="C149" s="215">
        <f>Scenarios!C83</f>
        <v>32.758430148152833</v>
      </c>
      <c r="D149" s="300" t="str">
        <f>IF($D$11="","",C149*$E$25)</f>
        <v/>
      </c>
    </row>
    <row r="150" spans="2:4">
      <c r="B150" s="259" t="s">
        <v>396</v>
      </c>
      <c r="C150" s="298" t="str">
        <f>Market_currency</f>
        <v>HKD</v>
      </c>
      <c r="D150" s="298" t="str">
        <f>IF($D$11="","",D$13)</f>
        <v/>
      </c>
    </row>
    <row r="151" spans="2:4">
      <c r="B151" s="214" t="s">
        <v>258</v>
      </c>
      <c r="C151" s="92">
        <f>Scenarios!F83</f>
        <v>0.55154952514777933</v>
      </c>
    </row>
    <row r="153" spans="2:4">
      <c r="B153" s="210" t="s">
        <v>391</v>
      </c>
    </row>
    <row r="154" spans="2:4">
      <c r="B154" s="1" t="s">
        <v>390</v>
      </c>
      <c r="C154" s="297">
        <f>Scenarios!C90</f>
        <v>0.25</v>
      </c>
    </row>
    <row r="155" spans="2:4">
      <c r="B155" s="212" t="str">
        <f>"PV("&amp;C141&amp;" yrs of Dividends)"</f>
        <v>PV(3 yrs of Dividends)</v>
      </c>
      <c r="C155" s="216">
        <f>Scenarios!C91</f>
        <v>3.5320689315654152</v>
      </c>
    </row>
    <row r="156" spans="2:4">
      <c r="B156" s="212" t="str">
        <f>"+ PV(Equity Value realized at year "&amp;C141&amp;")"</f>
        <v>+ PV(Equity Value realized at year 3)</v>
      </c>
      <c r="C156" s="216">
        <f>Scenarios!C92</f>
        <v>37.400598675653725</v>
      </c>
    </row>
    <row r="157" spans="2:4">
      <c r="B157" s="80" t="s">
        <v>256</v>
      </c>
      <c r="C157" s="215">
        <f>Scenarios!C93</f>
        <v>40.932667607219138</v>
      </c>
      <c r="D157" s="300" t="str">
        <f>IF($D$11="","",C157*$E$25)</f>
        <v/>
      </c>
    </row>
    <row r="158" spans="2:4">
      <c r="B158" s="259" t="s">
        <v>396</v>
      </c>
      <c r="C158" s="298" t="str">
        <f>Market_currency</f>
        <v>HKD</v>
      </c>
      <c r="D158" s="298" t="str">
        <f>IF($D$11="","",D$13)</f>
        <v/>
      </c>
    </row>
    <row r="159" spans="2:4">
      <c r="B159" s="214" t="s">
        <v>258</v>
      </c>
      <c r="C159" s="92">
        <f>Scenarios!F93</f>
        <v>0.43964731696825221</v>
      </c>
    </row>
    <row r="161" spans="2:4">
      <c r="B161" s="210" t="s">
        <v>381</v>
      </c>
    </row>
    <row r="162" spans="2:4">
      <c r="B162" s="1" t="s">
        <v>389</v>
      </c>
      <c r="C162" s="92">
        <f>Scenarios!C96</f>
        <v>7.4999999999999997E-2</v>
      </c>
    </row>
    <row r="163" spans="2:4">
      <c r="B163" s="212" t="str">
        <f>"PV("&amp;C141&amp;" yrs of Dividends)"</f>
        <v>PV(3 yrs of Dividends)</v>
      </c>
      <c r="C163" s="216">
        <f>Scenarios!C97</f>
        <v>4.7055513173862265</v>
      </c>
    </row>
    <row r="164" spans="2:4">
      <c r="B164" s="212" t="str">
        <f>"+ PV(Equity Value realized at year "&amp;C141&amp;")"</f>
        <v>+ PV(Equity Value realized at year 3)</v>
      </c>
      <c r="C164" s="216">
        <f>Scenarios!C98</f>
        <v>58.800795331942041</v>
      </c>
    </row>
    <row r="165" spans="2:4">
      <c r="B165" s="80" t="s">
        <v>382</v>
      </c>
      <c r="C165" s="215">
        <f>Scenarios!C99</f>
        <v>63.506346649328265</v>
      </c>
      <c r="D165" s="300" t="str">
        <f>IF($D$11="","",C165*$E$25)</f>
        <v/>
      </c>
    </row>
    <row r="166" spans="2:4">
      <c r="B166" s="259" t="s">
        <v>396</v>
      </c>
      <c r="C166" s="298" t="str">
        <f>Market_currency</f>
        <v>HKD</v>
      </c>
      <c r="D166" s="298" t="str">
        <f>IF($D$11="","",D$13)</f>
        <v/>
      </c>
    </row>
    <row r="167" spans="2:4">
      <c r="B167" s="214" t="s">
        <v>258</v>
      </c>
      <c r="C167" s="92">
        <f>Scenarios!F99</f>
        <v>0.13062221900682613</v>
      </c>
    </row>
    <row r="169" spans="2:4">
      <c r="B169" s="210" t="s">
        <v>409</v>
      </c>
    </row>
    <row r="170" spans="2:4">
      <c r="B170" s="1" t="s">
        <v>400</v>
      </c>
      <c r="C170" s="92">
        <f>F32</f>
        <v>0.1174</v>
      </c>
    </row>
    <row r="171" spans="2:4">
      <c r="B171" s="212" t="str">
        <f>"PV("&amp;C141&amp;" yrs of Dividends)"</f>
        <v>PV(3 yrs of Dividends)</v>
      </c>
      <c r="C171" s="216">
        <f>Scenarios!C103</f>
        <v>4.365512574449542</v>
      </c>
    </row>
    <row r="172" spans="2:4">
      <c r="B172" s="212" t="str">
        <f>"+ PV(Equity Value realized at year "&amp;C141&amp;")"</f>
        <v>+ PV(Equity Value realized at year 3)</v>
      </c>
      <c r="C172" s="216">
        <f>Scenarios!C104</f>
        <v>52.357944933106381</v>
      </c>
    </row>
    <row r="173" spans="2:4">
      <c r="B173" s="80" t="s">
        <v>382</v>
      </c>
      <c r="C173" s="215">
        <f>Scenarios!C105</f>
        <v>56.723457507555921</v>
      </c>
      <c r="D173" s="300" t="str">
        <f>IF($D$11="","",C173*$E$25)</f>
        <v/>
      </c>
    </row>
    <row r="174" spans="2:4">
      <c r="B174" s="259" t="s">
        <v>396</v>
      </c>
      <c r="C174" s="298" t="str">
        <f>Market_currency</f>
        <v>HKD</v>
      </c>
      <c r="D174" s="298" t="str">
        <f>IF($D$11="","",D$13)</f>
        <v/>
      </c>
    </row>
    <row r="175" spans="2:4">
      <c r="B175" s="214" t="s">
        <v>258</v>
      </c>
      <c r="C175" s="92">
        <f>Scenarios!F105</f>
        <v>0.2231238747589509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2.0105128253446125</v>
      </c>
      <c r="D25" s="39">
        <f>2/Exchange_Rate</f>
        <v>1.8277389321314657</v>
      </c>
      <c r="E25" s="39">
        <f>1.3/Exchange_Rate</f>
        <v>1.1880303058854527</v>
      </c>
      <c r="F25" s="39">
        <f>1.1/Exchange_Rate</f>
        <v>1.0052564126723063</v>
      </c>
      <c r="G25" s="39">
        <f>0.75/Exchange_Rate</f>
        <v>0.68540209954929965</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2.0105128253446125</v>
      </c>
      <c r="D65" s="73">
        <f t="shared" ref="D65:M65" si="33">IF(D$4="","",D25)</f>
        <v>1.8277389321314657</v>
      </c>
      <c r="E65" s="73">
        <f t="shared" si="33"/>
        <v>1.1880303058854527</v>
      </c>
      <c r="F65" s="73">
        <f t="shared" si="33"/>
        <v>1.0052564126723063</v>
      </c>
      <c r="G65" s="73">
        <f t="shared" si="33"/>
        <v>0.68540209954929965</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23.309886930161802</v>
      </c>
      <c r="D47" s="147">
        <f>D46*H1/Common_Shares*Exchange_Rate</f>
        <v>1.3600419319335644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12817464890.748306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-2532731056.047327</v>
      </c>
      <c r="D73" s="349">
        <f>(Normalized_FCF!C25+Normalized_FCF!C35-Normalized_FCF!C91)/12</f>
        <v>-2580654002.6258473</v>
      </c>
      <c r="F73" s="1" t="s">
        <v>342</v>
      </c>
    </row>
    <row r="74" spans="2:6" ht="15" customHeight="1">
      <c r="B74" s="257" t="s">
        <v>312</v>
      </c>
      <c r="C74" s="258">
        <f>-$C$66/C73</f>
        <v>7.0985716596606716</v>
      </c>
      <c r="D74" s="258">
        <f>-$C$66/D73</f>
        <v>6.9667506289903169</v>
      </c>
      <c r="F74" s="253" t="s">
        <v>310</v>
      </c>
    </row>
    <row r="75" spans="2:6" ht="15" customHeight="1">
      <c r="B75" s="80" t="s">
        <v>311</v>
      </c>
      <c r="C75" s="320"/>
      <c r="D75" s="321">
        <f>MAX(-D73*D76,G5)</f>
        <v>5161308005.2516947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-312294472.67633295</v>
      </c>
      <c r="D86" s="223">
        <f>C86*scaling_factor/Common_Shares</f>
        <v>-0.22892186480967799</v>
      </c>
      <c r="E86" s="240" t="str">
        <f>Market_currency</f>
        <v>HKD</v>
      </c>
    </row>
    <row r="87" spans="2:8" ht="15" customHeight="1">
      <c r="B87" s="238" t="s">
        <v>282</v>
      </c>
      <c r="C87" s="76">
        <f>DCF!C8*Exchange_Rate</f>
        <v>14025487628.915236</v>
      </c>
      <c r="D87" s="223">
        <f>C87*scaling_factor/Common_Shares</f>
        <v>10.281132276727831</v>
      </c>
      <c r="E87" s="240" t="str">
        <f>Market_currency</f>
        <v>HKD</v>
      </c>
    </row>
    <row r="88" spans="2:8" ht="15" customHeight="1">
      <c r="B88" s="239" t="s">
        <v>185</v>
      </c>
      <c r="C88" s="76">
        <f>DCF!C9*Exchange_Rate</f>
        <v>3015104101.641808</v>
      </c>
      <c r="D88" s="223">
        <f>C88*scaling_factor/Common_Shares</f>
        <v>2.2101680110698281</v>
      </c>
      <c r="E88" s="240" t="str">
        <f>Market_currency</f>
        <v>HKD</v>
      </c>
    </row>
    <row r="89" spans="2:8" ht="15" customHeight="1">
      <c r="B89" s="80" t="s">
        <v>286</v>
      </c>
      <c r="C89" s="180">
        <f>SUM(C86:C88)</f>
        <v>16728297257.880711</v>
      </c>
      <c r="D89" s="242">
        <f>SUM(D86:D88)</f>
        <v>12.262378422987982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155224314.44728369</v>
      </c>
      <c r="E12" s="268"/>
      <c r="G12" s="328">
        <f>G50</f>
        <v>155224314.44728369</v>
      </c>
      <c r="H12" s="328">
        <f t="shared" ref="H12:Q12" si="6">H50</f>
        <v>128938759.34712553</v>
      </c>
      <c r="I12" s="328">
        <f t="shared" si="6"/>
        <v>122720893.6518835</v>
      </c>
      <c r="J12" s="328">
        <f t="shared" si="6"/>
        <v>67930279.751158804</v>
      </c>
      <c r="K12" s="328">
        <f t="shared" si="6"/>
        <v>136774549.90532711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4033292384.7550383</v>
      </c>
      <c r="E13" s="268"/>
      <c r="G13" s="329">
        <f>IF(G$4="","",SUM(G8:G12))</f>
        <v>4691289174.4472837</v>
      </c>
      <c r="H13" s="329">
        <f t="shared" ref="H13:Q13" si="7">IF(H$4="","",SUM(H8:H12))</f>
        <v>4549606551.347126</v>
      </c>
      <c r="I13" s="329">
        <f t="shared" si="7"/>
        <v>3869674101.6518836</v>
      </c>
      <c r="J13" s="329">
        <f t="shared" si="7"/>
        <v>3025021279.7511587</v>
      </c>
      <c r="K13" s="329">
        <f t="shared" si="7"/>
        <v>2470834421.9053273</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-1008323096.1887596</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2878334724.0946016</v>
      </c>
      <c r="D16" s="61"/>
      <c r="E16" s="276"/>
      <c r="F16" s="61"/>
      <c r="G16" s="329">
        <f>IF(G$4="","",SUM(G13:G15))</f>
        <v>3154780032.4472837</v>
      </c>
      <c r="H16" s="329">
        <f t="shared" ref="H16:Q16" si="8">IF(H$4="","",SUM(H13:H15))</f>
        <v>3071050655.347126</v>
      </c>
      <c r="I16" s="329">
        <f t="shared" si="8"/>
        <v>2574161408.6518836</v>
      </c>
      <c r="J16" s="329">
        <f t="shared" si="8"/>
        <v>1701501624.7511587</v>
      </c>
      <c r="K16" s="329">
        <f t="shared" si="8"/>
        <v>1432608653.9053273</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2878334724.0946016</v>
      </c>
      <c r="D19" s="27"/>
      <c r="E19" s="265"/>
      <c r="F19" s="27"/>
      <c r="G19" s="334">
        <f>IF(G$4="","",G16+G17)</f>
        <v>3154780032.4472837</v>
      </c>
      <c r="H19" s="334">
        <f t="shared" ref="H19:Q19" si="9">IF(H$4="","",H16+H17)</f>
        <v>3071050655.347126</v>
      </c>
      <c r="I19" s="334">
        <f t="shared" si="9"/>
        <v>2574161408.6518836</v>
      </c>
      <c r="J19" s="334">
        <f t="shared" si="9"/>
        <v>1701501624.7511587</v>
      </c>
      <c r="K19" s="334">
        <f t="shared" si="9"/>
        <v>1432608653.9053273</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0.29623335128637279</v>
      </c>
      <c r="H43" s="6">
        <f t="shared" si="18"/>
        <v>0.30732511970425097</v>
      </c>
      <c r="I43" s="6">
        <f t="shared" si="18"/>
        <v>0.31047054000933538</v>
      </c>
      <c r="J43" s="6">
        <f t="shared" si="18"/>
        <v>0.40420594829686063</v>
      </c>
      <c r="K43" s="6">
        <f t="shared" si="18"/>
        <v>0.36934102540804187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177061368.44728369</v>
      </c>
      <c r="E48" s="268"/>
      <c r="G48" s="337">
        <f>IFERROR(IF(G$4="","",($C$48/$C$49)*G49),0)</f>
        <v>177061368.44728369</v>
      </c>
      <c r="H48" s="337">
        <f t="shared" ref="H48:Q48" si="19">IFERROR(IF(H$4="","",($C$48/$C$49)*H49),0)</f>
        <v>145369349.34712553</v>
      </c>
      <c r="I48" s="337">
        <f t="shared" si="19"/>
        <v>131958693.6518835</v>
      </c>
      <c r="J48" s="337">
        <f t="shared" si="19"/>
        <v>90615646.751158804</v>
      </c>
      <c r="K48" s="337">
        <f t="shared" si="19"/>
        <v>150437231.90532711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155224314.44728369</v>
      </c>
      <c r="E50" s="268"/>
      <c r="G50" s="329">
        <f>IF(G$4="","",(G47+G48))</f>
        <v>155224314.44728369</v>
      </c>
      <c r="H50" s="329">
        <f t="shared" ref="H50:Q50" si="20">IF(H$4="","",(H47+H48))</f>
        <v>128938759.34712553</v>
      </c>
      <c r="I50" s="329">
        <f t="shared" si="20"/>
        <v>122720893.6518835</v>
      </c>
      <c r="J50" s="329">
        <f t="shared" si="20"/>
        <v>67930279.751158804</v>
      </c>
      <c r="K50" s="329">
        <f t="shared" si="20"/>
        <v>136774549.90532711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4.8351692819778875E-3</v>
      </c>
      <c r="D80" s="27"/>
      <c r="E80" s="265"/>
      <c r="F80" s="27"/>
      <c r="G80" s="6">
        <f t="shared" ref="G80:Q80" si="31">IF(G$4="","",ABS(G12/G$4))</f>
        <v>4.8299562823986104E-3</v>
      </c>
      <c r="H80" s="6">
        <f t="shared" si="31"/>
        <v>3.7994098668025799E-3</v>
      </c>
      <c r="I80" s="6">
        <f t="shared" si="31"/>
        <v>3.8145763587064492E-3</v>
      </c>
      <c r="J80" s="6">
        <f t="shared" si="31"/>
        <v>2.2518221237622566E-3</v>
      </c>
      <c r="K80" s="6">
        <f t="shared" si="31"/>
        <v>4.9270884077262786E-3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0.12563528796015994</v>
      </c>
      <c r="D81" s="27"/>
      <c r="E81" s="265"/>
      <c r="F81" s="27"/>
      <c r="G81" s="65">
        <f t="shared" ref="G81:Q81" si="32">IF(G$4="","",G13/G$4)</f>
        <v>0.14597404859768578</v>
      </c>
      <c r="H81" s="65">
        <f t="shared" si="32"/>
        <v>0.13406224868909666</v>
      </c>
      <c r="I81" s="65">
        <f t="shared" si="32"/>
        <v>0.12028243035723152</v>
      </c>
      <c r="J81" s="65">
        <f t="shared" si="32"/>
        <v>0.10027648741545295</v>
      </c>
      <c r="K81" s="65">
        <f t="shared" si="32"/>
        <v>8.9007930539763691E-2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3.1408821990039984E-2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8.9658863630665289E-2</v>
      </c>
      <c r="D84" s="27"/>
      <c r="E84" s="265"/>
      <c r="F84" s="27"/>
      <c r="G84" s="65">
        <f t="shared" ref="G84:Q84" si="35">IF(G$4="","",ABS(G16/G$4))</f>
        <v>9.8164064641298829E-2</v>
      </c>
      <c r="H84" s="65">
        <f t="shared" si="35"/>
        <v>9.0493969543817554E-2</v>
      </c>
      <c r="I84" s="65">
        <f t="shared" si="35"/>
        <v>8.0013557274053154E-2</v>
      </c>
      <c r="J84" s="65">
        <f t="shared" si="35"/>
        <v>5.6403109427305489E-2</v>
      </c>
      <c r="K84" s="65">
        <f t="shared" si="35"/>
        <v>5.1607477387797036E-2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8.9658863630665289E-2</v>
      </c>
      <c r="D87" s="75"/>
      <c r="E87" s="265"/>
      <c r="F87" s="75"/>
      <c r="G87" s="65">
        <f t="shared" ref="G87:Q87" si="36">IF(G$4="","",ABS(G19/G$4))</f>
        <v>9.8164064641298829E-2</v>
      </c>
      <c r="H87" s="65">
        <f t="shared" si="36"/>
        <v>9.0493969543817554E-2</v>
      </c>
      <c r="I87" s="65">
        <f t="shared" si="36"/>
        <v>8.0013557274053154E-2</v>
      </c>
      <c r="J87" s="65">
        <f t="shared" si="36"/>
        <v>5.6403109427305489E-2</v>
      </c>
      <c r="K87" s="65">
        <f t="shared" si="36"/>
        <v>5.1607477387797036E-2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2.0105128253446125</v>
      </c>
      <c r="E90" s="268"/>
      <c r="G90" s="112">
        <f>Data!C65</f>
        <v>2.0105128253446125</v>
      </c>
      <c r="H90" s="112">
        <f>Data!D65</f>
        <v>1.8277389321314657</v>
      </c>
      <c r="I90" s="112">
        <f>Data!E65</f>
        <v>1.1880303058854527</v>
      </c>
      <c r="J90" s="112">
        <f>Data!F65</f>
        <v>1.0052564126723063</v>
      </c>
      <c r="K90" s="112">
        <f>Data!G65</f>
        <v>0.68540209954929965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2742735138.5679255</v>
      </c>
      <c r="E91" s="268"/>
      <c r="G91" s="74">
        <f t="shared" ref="G91:Q91" si="37">IF(G$4="","",G90*Common_Shares/scaling_factor)</f>
        <v>2742735138.5679255</v>
      </c>
      <c r="H91" s="74">
        <f t="shared" si="37"/>
        <v>2493395580.5162954</v>
      </c>
      <c r="I91" s="74">
        <f t="shared" si="37"/>
        <v>1620707127.335592</v>
      </c>
      <c r="J91" s="74">
        <f t="shared" si="37"/>
        <v>1371367569.2839627</v>
      </c>
      <c r="K91" s="74">
        <f t="shared" si="37"/>
        <v>935023342.69361079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0.95288957035067212</v>
      </c>
      <c r="E92" s="268"/>
      <c r="G92" s="170">
        <f t="shared" ref="G92:Q92" si="38">IF(G$4="","",G90/(G19*scaling_factor/Common_Shares))</f>
        <v>0.86939029357310871</v>
      </c>
      <c r="H92" s="170">
        <f t="shared" si="38"/>
        <v>0.81190311080507493</v>
      </c>
      <c r="I92" s="170">
        <f t="shared" si="38"/>
        <v>0.6296058677161096</v>
      </c>
      <c r="J92" s="170">
        <f t="shared" si="38"/>
        <v>0.80597488085532842</v>
      </c>
      <c r="K92" s="170">
        <f t="shared" si="38"/>
        <v>0.65267185155186203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3.5135175588546626E-2</v>
      </c>
      <c r="E94" s="268"/>
      <c r="G94" s="23">
        <f t="shared" ref="G94:Q94" si="39">IF(G$4="","",(G90*(1-dividend_tax_rate))/Market_Price)</f>
        <v>3.5135175588546626E-2</v>
      </c>
      <c r="H94" s="23">
        <f t="shared" si="39"/>
        <v>3.1941068716860567E-2</v>
      </c>
      <c r="I94" s="23">
        <f t="shared" si="39"/>
        <v>2.0761694665959368E-2</v>
      </c>
      <c r="J94" s="23">
        <f t="shared" si="39"/>
        <v>1.7567587794273313E-2</v>
      </c>
      <c r="K94" s="23">
        <f t="shared" si="39"/>
        <v>1.1977900768822713E-2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-0.14025926887565376</v>
      </c>
      <c r="D98" s="27"/>
      <c r="E98" s="265"/>
      <c r="F98" s="27"/>
      <c r="G98" s="6">
        <f t="shared" ref="G98:Q98" si="41">IF(H5="","",G13/H13-1)</f>
        <v>3.1141730938954781E-2</v>
      </c>
      <c r="H98" s="6">
        <f t="shared" si="41"/>
        <v>0.17570793607787105</v>
      </c>
      <c r="I98" s="6">
        <f t="shared" si="41"/>
        <v>0.27922210913180967</v>
      </c>
      <c r="J98" s="6">
        <f t="shared" si="41"/>
        <v>0.22429137822132295</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1.6339209323577886</v>
      </c>
      <c r="H115" s="295">
        <f>IF(H$4="","",Data!D$22/H19)</f>
        <v>0.904435469067848</v>
      </c>
      <c r="I115" s="295">
        <f>IF(I$4="","",Data!E$22/I19)</f>
        <v>1.8952857057068018</v>
      </c>
      <c r="J115" s="295">
        <f>IF(J$4="","",Data!F$22/J19)</f>
        <v>3.5516342547623445</v>
      </c>
      <c r="K115" s="295">
        <f>IF(K$4="","",Data!G$22/K19)</f>
        <v>3.4576242077673101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0.12563528796015994</v>
      </c>
      <c r="E118" s="268"/>
      <c r="G118" s="23">
        <f t="shared" ref="G118:Q118" si="45">IF(G4="","",IF(valuation_method="DDM",G13/(G4+G12),G81))</f>
        <v>0.14597404859768578</v>
      </c>
      <c r="H118" s="23">
        <f t="shared" si="45"/>
        <v>0.13406224868909666</v>
      </c>
      <c r="I118" s="23">
        <f t="shared" si="45"/>
        <v>0.12028243035723152</v>
      </c>
      <c r="J118" s="23">
        <f t="shared" si="45"/>
        <v>0.10027648741545295</v>
      </c>
      <c r="K118" s="23">
        <f t="shared" si="45"/>
        <v>8.9007930539763691E-2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0.13507549389971246</v>
      </c>
      <c r="D121" s="103"/>
      <c r="E121" s="271"/>
      <c r="F121" s="103"/>
      <c r="G121" s="102">
        <f t="shared" ref="G121:Q121" si="48">IF(G$4="","",G13/G106)</f>
        <v>0.15711189316698337</v>
      </c>
      <c r="H121" s="102">
        <f t="shared" si="48"/>
        <v>0.16102096129788238</v>
      </c>
      <c r="I121" s="102">
        <f t="shared" si="48"/>
        <v>0.14729095874208636</v>
      </c>
      <c r="J121" s="102">
        <f t="shared" si="48"/>
        <v>0.12713543419013218</v>
      </c>
      <c r="K121" s="102">
        <f t="shared" si="48"/>
        <v>0.11563217848357846</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2.3087670055937122</v>
      </c>
      <c r="D125" s="27"/>
      <c r="E125" s="265"/>
      <c r="F125" s="27"/>
      <c r="G125" s="177">
        <f t="shared" ref="G125:Q125" si="49">IF(G$4="","",G16*$C$3/Common_Shares*Exchange_Rate)</f>
        <v>2.5305090432493977</v>
      </c>
      <c r="H125" s="177">
        <f t="shared" si="49"/>
        <v>2.463348117999967</v>
      </c>
      <c r="I125" s="177">
        <f t="shared" si="49"/>
        <v>2.0647838062814441</v>
      </c>
      <c r="J125" s="177">
        <f t="shared" si="49"/>
        <v>1.3648068024559801</v>
      </c>
      <c r="K125" s="177">
        <f t="shared" si="49"/>
        <v>1.1491226383008861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4.4830427293081794E-2</v>
      </c>
      <c r="D126" s="27"/>
      <c r="E126" s="265"/>
      <c r="F126" s="27"/>
      <c r="G126" s="77">
        <f t="shared" ref="G126" si="50">IF(G$4="","",G125/Market_Price)</f>
        <v>4.9136097927172773E-2</v>
      </c>
      <c r="H126" s="77">
        <f t="shared" ref="H126" si="51">IF(H$4="","",H125/Market_Price)</f>
        <v>4.7832002291261493E-2</v>
      </c>
      <c r="I126" s="77">
        <f t="shared" ref="I126" si="52">IF(I$4="","",I125/Market_Price)</f>
        <v>4.0092889442358136E-2</v>
      </c>
      <c r="J126" s="77">
        <f t="shared" ref="J126" si="53">IF(J$4="","",J125/Market_Price)</f>
        <v>2.6501102960310292E-2</v>
      </c>
      <c r="K126" s="77">
        <f t="shared" ref="K126" si="54">IF(K$4="","",K125/Market_Price)</f>
        <v>2.2313060937881286E-2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6.3934298587938782E-2</v>
      </c>
      <c r="H127" s="23">
        <f>IF(H$4="","",(Data!D47*$C$3)/(Market_Price*Common_Shares))</f>
        <v>6.1890665489502068E-2</v>
      </c>
      <c r="I127" s="23">
        <f>IF(I$4="","",(Data!E47*$C$3)/(Market_Price*Common_Shares))</f>
        <v>5.4155007255050298E-2</v>
      </c>
      <c r="J127" s="23">
        <f>IF(J$4="","",(Data!F47*$C$3)/(Market_Price*Common_Shares))</f>
        <v>4.6348178552286408E-2</v>
      </c>
      <c r="K127" s="23">
        <f>IF(K$4="","",(Data!G47*$C$3)/(Market_Price*Common_Shares))</f>
        <v>3.3121218792418194E-2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2878334724.0946016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38377796321.26136</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12817464890.748306</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53665276404.509666</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43.045938497570816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73.014803344556086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3054390508.651217</v>
      </c>
      <c r="D21" s="138">
        <f>IF($C$17&lt;B21,0,DCF!$C$16)</f>
        <v>6.1165848114484E-2</v>
      </c>
      <c r="E21" s="124">
        <f t="shared" ref="E21:E50" si="0">IF($C$17&lt;B21,0,1/(1+Equity_Cost)^B21)</f>
        <v>0.93023255813953487</v>
      </c>
      <c r="F21" s="125">
        <f t="shared" ref="F21:F51" si="1">C21*E21</f>
        <v>2841293496.4197369</v>
      </c>
      <c r="H21" s="120"/>
    </row>
    <row r="22" spans="2:17">
      <c r="B22" s="122">
        <v>2</v>
      </c>
      <c r="C22" s="123">
        <f t="shared" ref="C22:C50" si="2">IF(ROW()-ROW($C$21)&lt;$C$17, $C$21*(1+D22)^(ROW()-ROW($C$21)), 0)</f>
        <v>3241214894.5856986</v>
      </c>
      <c r="D22" s="138">
        <f>IF($C$17&lt;B22,0,DCF!$C$16)</f>
        <v>6.1165848114484E-2</v>
      </c>
      <c r="E22" s="124">
        <f t="shared" si="0"/>
        <v>0.86533261222282321</v>
      </c>
      <c r="F22" s="125">
        <f t="shared" si="1"/>
        <v>2804728951.5073652</v>
      </c>
      <c r="H22" s="120"/>
    </row>
    <row r="23" spans="2:17">
      <c r="B23" s="122">
        <v>3</v>
      </c>
      <c r="C23" s="123">
        <f t="shared" si="2"/>
        <v>3439466552.5343299</v>
      </c>
      <c r="D23" s="138">
        <f>IF($C$17&lt;B23,0,DCF!$C$16)</f>
        <v>6.1165848114484E-2</v>
      </c>
      <c r="E23" s="124">
        <f t="shared" si="0"/>
        <v>0.80496056950960304</v>
      </c>
      <c r="F23" s="125">
        <f t="shared" si="1"/>
        <v>2768634954.9372654</v>
      </c>
      <c r="G23" s="338"/>
      <c r="H23" s="339"/>
      <c r="I23" s="338"/>
      <c r="J23" s="338"/>
      <c r="K23" s="338"/>
      <c r="L23" s="338"/>
      <c r="M23" s="338"/>
      <c r="N23" s="338"/>
      <c r="O23" s="338"/>
      <c r="P23" s="338"/>
      <c r="Q23" s="338"/>
    </row>
    <row r="24" spans="2:17">
      <c r="B24" s="122">
        <v>4</v>
      </c>
      <c r="C24" s="123">
        <f t="shared" si="2"/>
        <v>3649844441.2814922</v>
      </c>
      <c r="D24" s="138">
        <f>IF($C$17&lt;B24,0,DCF!$C$16)</f>
        <v>6.1165848114484E-2</v>
      </c>
      <c r="E24" s="124">
        <f t="shared" si="0"/>
        <v>0.7488005297763749</v>
      </c>
      <c r="F24" s="125">
        <f t="shared" si="1"/>
        <v>2733005451.2329383</v>
      </c>
      <c r="G24" s="338"/>
      <c r="H24" s="339"/>
      <c r="I24" s="338"/>
      <c r="J24" s="338"/>
      <c r="K24" s="338"/>
      <c r="L24" s="338"/>
      <c r="M24" s="338"/>
      <c r="N24" s="338"/>
      <c r="O24" s="338"/>
      <c r="P24" s="338"/>
      <c r="Q24" s="338"/>
    </row>
    <row r="25" spans="2:17">
      <c r="B25" s="122">
        <v>5</v>
      </c>
      <c r="C25" s="123">
        <f t="shared" si="2"/>
        <v>3873090272.0184093</v>
      </c>
      <c r="D25" s="138">
        <f>IF($C$17&lt;B25,0,DCF!$C$16)</f>
        <v>6.1165848114484E-2</v>
      </c>
      <c r="E25" s="124">
        <f t="shared" si="0"/>
        <v>0.69655863235011617</v>
      </c>
      <c r="F25" s="125">
        <f t="shared" si="1"/>
        <v>2697834462.8456826</v>
      </c>
      <c r="G25" s="338"/>
      <c r="H25" s="339"/>
      <c r="I25" s="338"/>
      <c r="J25" s="338"/>
      <c r="K25" s="338"/>
      <c r="L25" s="338"/>
      <c r="M25" s="338"/>
      <c r="N25" s="338"/>
      <c r="O25" s="338"/>
      <c r="P25" s="338"/>
      <c r="Q25" s="338"/>
    </row>
    <row r="26" spans="2:17">
      <c r="B26" s="122">
        <v>6</v>
      </c>
      <c r="C26" s="123">
        <f t="shared" si="2"/>
        <v>4109991123.3303728</v>
      </c>
      <c r="D26" s="138">
        <f>IF($C$17&lt;B26,0,DCF!$C$16)</f>
        <v>6.1165848114484E-2</v>
      </c>
      <c r="E26" s="124">
        <f t="shared" si="0"/>
        <v>0.64796151846522443</v>
      </c>
      <c r="F26" s="125">
        <f t="shared" si="1"/>
        <v>2663116089.151742</v>
      </c>
      <c r="H26" s="120"/>
    </row>
    <row r="27" spans="2:17">
      <c r="B27" s="122">
        <v>7</v>
      </c>
      <c r="C27" s="123">
        <f t="shared" si="2"/>
        <v>4361382216.131875</v>
      </c>
      <c r="D27" s="138">
        <f>IF($C$17&lt;B27,0,DCF!$C$16)</f>
        <v>6.1165848114484E-2</v>
      </c>
      <c r="E27" s="124">
        <f t="shared" si="0"/>
        <v>0.60275490089788319</v>
      </c>
      <c r="F27" s="125">
        <f t="shared" si="1"/>
        <v>2628844505.4623585</v>
      </c>
      <c r="H27" s="120"/>
    </row>
    <row r="28" spans="2:17">
      <c r="B28" s="122">
        <v>8</v>
      </c>
      <c r="C28" s="123">
        <f t="shared" si="2"/>
        <v>4628149858.3330078</v>
      </c>
      <c r="D28" s="138">
        <f>IF($C$17&lt;B28,0,DCF!$C$16)</f>
        <v>6.1165848114484E-2</v>
      </c>
      <c r="E28" s="124">
        <f t="shared" si="0"/>
        <v>0.56070223339337966</v>
      </c>
      <c r="F28" s="125">
        <f t="shared" si="1"/>
        <v>2595013962.0465713</v>
      </c>
      <c r="H28" s="120"/>
    </row>
    <row r="29" spans="2:17">
      <c r="B29" s="122">
        <v>9</v>
      </c>
      <c r="C29" s="123">
        <f t="shared" si="2"/>
        <v>4911234569.6188755</v>
      </c>
      <c r="D29" s="138">
        <f>IF($C$17&lt;B29,0,DCF!$C$16)</f>
        <v>6.1165848114484E-2</v>
      </c>
      <c r="E29" s="124">
        <f t="shared" si="0"/>
        <v>0.52158347292407414</v>
      </c>
      <c r="F29" s="125">
        <f t="shared" si="1"/>
        <v>2561618783.1665835</v>
      </c>
      <c r="H29" s="120"/>
    </row>
    <row r="30" spans="2:17">
      <c r="B30" s="122">
        <v>10</v>
      </c>
      <c r="C30" s="123">
        <f t="shared" si="2"/>
        <v>5211634397.3587856</v>
      </c>
      <c r="D30" s="138">
        <f>IF($C$17&lt;B30,0,DCF!$C$16)</f>
        <v>6.1165848114484E-2</v>
      </c>
      <c r="E30" s="124">
        <f t="shared" si="0"/>
        <v>0.48519392830146441</v>
      </c>
      <c r="F30" s="125">
        <f t="shared" si="1"/>
        <v>2528653366.1255441</v>
      </c>
      <c r="H30" s="120"/>
    </row>
    <row r="31" spans="2:17">
      <c r="B31" s="122">
        <v>11</v>
      </c>
      <c r="C31" s="123">
        <f t="shared" si="2"/>
        <v>5530408435.3358526</v>
      </c>
      <c r="D31" s="138">
        <f>IF($C$17&lt;B31,0,DCF!$C$16)</f>
        <v>6.1165848114484E-2</v>
      </c>
      <c r="E31" s="124">
        <f t="shared" si="0"/>
        <v>0.45134318911764126</v>
      </c>
      <c r="F31" s="125">
        <f t="shared" si="1"/>
        <v>2496112180.3275881</v>
      </c>
      <c r="H31" s="120"/>
    </row>
    <row r="32" spans="2:17">
      <c r="B32" s="122">
        <v>12</v>
      </c>
      <c r="C32" s="123">
        <f t="shared" si="2"/>
        <v>5868680557.7026663</v>
      </c>
      <c r="D32" s="138">
        <f>IF($C$17&lt;B32,0,DCF!$C$16)</f>
        <v>6.1165848114484E-2</v>
      </c>
      <c r="E32" s="124">
        <f t="shared" si="0"/>
        <v>0.41985412941175931</v>
      </c>
      <c r="F32" s="125">
        <f t="shared" si="1"/>
        <v>2463989766.3499713</v>
      </c>
      <c r="H32" s="120"/>
    </row>
    <row r="33" spans="2:17">
      <c r="B33" s="122">
        <v>13</v>
      </c>
      <c r="C33" s="341">
        <f t="shared" si="2"/>
        <v>6227643381.3275318</v>
      </c>
      <c r="D33" s="138">
        <f>IF($C$17&lt;B33,0,DCF!$C$16)</f>
        <v>6.1165848114484E-2</v>
      </c>
      <c r="E33" s="124">
        <f t="shared" si="0"/>
        <v>0.39056198084814819</v>
      </c>
      <c r="F33" s="125">
        <f t="shared" si="1"/>
        <v>2432280735.0271401</v>
      </c>
      <c r="G33" s="338"/>
      <c r="H33" s="339"/>
      <c r="I33" s="338"/>
      <c r="J33" s="338"/>
      <c r="K33" s="338"/>
      <c r="L33" s="338"/>
      <c r="M33" s="338"/>
      <c r="N33" s="338"/>
      <c r="O33" s="338"/>
      <c r="P33" s="338"/>
      <c r="Q33" s="338"/>
    </row>
    <row r="34" spans="2:17">
      <c r="B34" s="122">
        <v>14</v>
      </c>
      <c r="C34" s="341">
        <f t="shared" si="2"/>
        <v>6608562470.5009832</v>
      </c>
      <c r="D34" s="138">
        <f>IF($C$17&lt;B34,0,DCF!$C$16)</f>
        <v>6.1165848114484E-2</v>
      </c>
      <c r="E34" s="124">
        <f t="shared" si="0"/>
        <v>0.36331347055641694</v>
      </c>
      <c r="F34" s="125">
        <f t="shared" si="1"/>
        <v>2400979766.5466008</v>
      </c>
      <c r="G34" s="338"/>
      <c r="H34" s="339"/>
      <c r="I34" s="338"/>
      <c r="J34" s="338"/>
      <c r="K34" s="338"/>
      <c r="L34" s="338"/>
      <c r="M34" s="338"/>
      <c r="N34" s="338"/>
      <c r="O34" s="338"/>
      <c r="P34" s="338"/>
      <c r="Q34" s="338"/>
    </row>
    <row r="35" spans="2:17">
      <c r="B35" s="122">
        <v>15</v>
      </c>
      <c r="C35" s="341">
        <f t="shared" si="2"/>
        <v>7012780798.8267241</v>
      </c>
      <c r="D35" s="138">
        <f>IF($C$17&lt;B35,0,DCF!$C$16)</f>
        <v>6.1165848114484E-2</v>
      </c>
      <c r="E35" s="124">
        <f t="shared" si="0"/>
        <v>0.33796601912224833</v>
      </c>
      <c r="F35" s="125">
        <f t="shared" si="1"/>
        <v>2370081609.5564084</v>
      </c>
      <c r="G35" s="338"/>
      <c r="H35" s="339"/>
      <c r="I35" s="338"/>
      <c r="J35" s="338"/>
      <c r="K35" s="338"/>
      <c r="L35" s="338"/>
      <c r="M35" s="338"/>
      <c r="N35" s="338"/>
      <c r="O35" s="338"/>
      <c r="P35" s="338"/>
      <c r="Q35" s="338"/>
    </row>
    <row r="36" spans="2:17">
      <c r="B36" s="122">
        <v>16</v>
      </c>
      <c r="C36" s="123">
        <f t="shared" si="2"/>
        <v>7441723484.0279274</v>
      </c>
      <c r="D36" s="138">
        <f>IF($C$17&lt;B36,0,DCF!$C$16)</f>
        <v>6.1165848114484E-2</v>
      </c>
      <c r="E36" s="124">
        <f t="shared" si="0"/>
        <v>0.31438699453232405</v>
      </c>
      <c r="F36" s="125">
        <f t="shared" si="1"/>
        <v>2339581080.2841554</v>
      </c>
      <c r="H36" s="120"/>
    </row>
    <row r="37" spans="2:17">
      <c r="B37" s="122">
        <v>17</v>
      </c>
      <c r="C37" s="123">
        <f t="shared" si="2"/>
        <v>7896902812.361969</v>
      </c>
      <c r="D37" s="138">
        <f>IF($C$17&lt;B37,0,DCF!$C$16)</f>
        <v>6.1165848114484E-2</v>
      </c>
      <c r="E37" s="124">
        <f t="shared" si="0"/>
        <v>0.29245301816960378</v>
      </c>
      <c r="F37" s="125">
        <f t="shared" si="1"/>
        <v>2309473061.6672902</v>
      </c>
      <c r="H37" s="120"/>
    </row>
    <row r="38" spans="2:17">
      <c r="B38" s="122">
        <v>18</v>
      </c>
      <c r="C38" s="123">
        <f t="shared" si="2"/>
        <v>8379923570.3577423</v>
      </c>
      <c r="D38" s="138">
        <f>IF($C$17&lt;B38,0,DCF!$C$16)</f>
        <v>6.1165848114484E-2</v>
      </c>
      <c r="E38" s="124">
        <f t="shared" si="0"/>
        <v>0.27204931922753844</v>
      </c>
      <c r="F38" s="125">
        <f t="shared" si="1"/>
        <v>2279752502.494627</v>
      </c>
      <c r="H38" s="120"/>
    </row>
    <row r="39" spans="2:17">
      <c r="B39" s="122">
        <v>19</v>
      </c>
      <c r="C39" s="123">
        <f t="shared" si="2"/>
        <v>8892488702.6732254</v>
      </c>
      <c r="D39" s="138">
        <f>IF($C$17&lt;B39,0,DCF!$C$16)</f>
        <v>6.1165848114484E-2</v>
      </c>
      <c r="E39" s="124">
        <f t="shared" si="0"/>
        <v>0.25306913416515198</v>
      </c>
      <c r="F39" s="125">
        <f t="shared" si="1"/>
        <v>2250414416.5589089</v>
      </c>
      <c r="H39" s="120"/>
    </row>
    <row r="40" spans="2:17">
      <c r="B40" s="122">
        <v>20</v>
      </c>
      <c r="C40" s="123">
        <f t="shared" si="2"/>
        <v>9436405316.0207005</v>
      </c>
      <c r="D40" s="138">
        <f>IF($C$17&lt;B40,0,DCF!$C$16)</f>
        <v>6.1165848114484E-2</v>
      </c>
      <c r="E40" s="124">
        <f t="shared" si="0"/>
        <v>0.23541314806060654</v>
      </c>
      <c r="F40" s="125">
        <f t="shared" si="1"/>
        <v>2221453881.8202758</v>
      </c>
      <c r="H40" s="120"/>
    </row>
    <row r="41" spans="2:17">
      <c r="B41" s="122">
        <v>21</v>
      </c>
      <c r="C41" s="123">
        <f t="shared" si="2"/>
        <v>10013591050.327131</v>
      </c>
      <c r="D41" s="138">
        <f>IF($C$17&lt;B41,0,DCF!$C$16)</f>
        <v>6.1165848114484E-2</v>
      </c>
      <c r="E41" s="124">
        <f t="shared" si="0"/>
        <v>0.21898897494009908</v>
      </c>
      <c r="F41" s="125">
        <f t="shared" si="1"/>
        <v>2192866039.5804887</v>
      </c>
      <c r="H41" s="120"/>
    </row>
    <row r="42" spans="2:17">
      <c r="B42" s="122">
        <v>22</v>
      </c>
      <c r="C42" s="123">
        <f t="shared" si="2"/>
        <v>10626080839.591995</v>
      </c>
      <c r="D42" s="138">
        <f>IF($C$17&lt;B42,0,DCF!$C$16)</f>
        <v>6.1165848114484E-2</v>
      </c>
      <c r="E42" s="124">
        <f t="shared" si="0"/>
        <v>0.20371067436288287</v>
      </c>
      <c r="F42" s="125">
        <f t="shared" si="1"/>
        <v>2164646093.6677938</v>
      </c>
      <c r="H42" s="120"/>
    </row>
    <row r="43" spans="2:17">
      <c r="B43" s="122">
        <v>23</v>
      </c>
      <c r="C43" s="123">
        <f t="shared" si="2"/>
        <v>11276034086.278706</v>
      </c>
      <c r="D43" s="138">
        <f>IF($C$17&lt;B43,0,DCF!$C$16)</f>
        <v>6.1165848114484E-2</v>
      </c>
      <c r="E43" s="124">
        <f t="shared" si="0"/>
        <v>0.18949830173291429</v>
      </c>
      <c r="F43" s="125">
        <f t="shared" si="1"/>
        <v>2136789309.6322687</v>
      </c>
      <c r="H43" s="120"/>
    </row>
    <row r="44" spans="2:17">
      <c r="B44" s="122">
        <v>24</v>
      </c>
      <c r="C44" s="123">
        <f t="shared" si="2"/>
        <v>11965742274.533772</v>
      </c>
      <c r="D44" s="138">
        <f>IF($C$17&lt;B44,0,DCF!$C$16)</f>
        <v>6.1165848114484E-2</v>
      </c>
      <c r="E44" s="124">
        <f t="shared" si="0"/>
        <v>0.17627748998410636</v>
      </c>
      <c r="F44" s="125">
        <f t="shared" si="1"/>
        <v>2109291013.951525</v>
      </c>
      <c r="H44" s="120"/>
    </row>
    <row r="45" spans="2:17">
      <c r="B45" s="122">
        <v>25</v>
      </c>
      <c r="C45" s="123">
        <f t="shared" si="2"/>
        <v>12697637049.074965</v>
      </c>
      <c r="D45" s="138">
        <f>IF($C$17&lt;B45,0,DCF!$C$16)</f>
        <v>6.1165848114484E-2</v>
      </c>
      <c r="E45" s="124">
        <f t="shared" si="0"/>
        <v>0.16397906045033148</v>
      </c>
      <c r="F45" s="125">
        <f t="shared" si="1"/>
        <v>2082146593.2466321</v>
      </c>
      <c r="H45" s="120"/>
    </row>
    <row r="46" spans="2:17">
      <c r="B46" s="122">
        <v>26</v>
      </c>
      <c r="C46" s="123">
        <f t="shared" si="2"/>
        <v>13474298788.231527</v>
      </c>
      <c r="D46" s="138">
        <f>IF($C$17&lt;B46,0,DCF!$C$16)</f>
        <v>6.1165848114484E-2</v>
      </c>
      <c r="E46" s="124">
        <f t="shared" si="0"/>
        <v>0.15253866088402931</v>
      </c>
      <c r="F46" s="125">
        <f t="shared" si="1"/>
        <v>2055351493.508136</v>
      </c>
      <c r="H46" s="120"/>
    </row>
    <row r="47" spans="2:17">
      <c r="B47" s="122">
        <v>27</v>
      </c>
      <c r="C47" s="341">
        <f t="shared" si="2"/>
        <v>14298465701.361671</v>
      </c>
      <c r="D47" s="138">
        <f>IF($C$17&lt;B47,0,DCF!$C$16)</f>
        <v>6.1165848114484E-2</v>
      </c>
      <c r="E47" s="124">
        <f t="shared" si="0"/>
        <v>0.14189642872932959</v>
      </c>
      <c r="F47" s="125">
        <f t="shared" si="1"/>
        <v>2028901219.3320301</v>
      </c>
      <c r="G47" s="338"/>
      <c r="H47" s="339"/>
      <c r="I47" s="338"/>
      <c r="J47" s="338"/>
      <c r="K47" s="338"/>
      <c r="L47" s="338"/>
      <c r="M47" s="338"/>
      <c r="N47" s="338"/>
      <c r="O47" s="338"/>
      <c r="P47" s="338"/>
      <c r="Q47" s="338"/>
    </row>
    <row r="48" spans="2:17">
      <c r="B48" s="122">
        <v>28</v>
      </c>
      <c r="C48" s="341">
        <f t="shared" si="2"/>
        <v>15173043482.721313</v>
      </c>
      <c r="D48" s="138">
        <f>IF($C$17&lt;B48,0,DCF!$C$16)</f>
        <v>6.1165848114484E-2</v>
      </c>
      <c r="E48" s="124">
        <f t="shared" si="0"/>
        <v>0.13199667788774846</v>
      </c>
      <c r="F48" s="125">
        <f t="shared" si="1"/>
        <v>2002791333.1655664</v>
      </c>
      <c r="G48" s="338"/>
      <c r="H48" s="339"/>
      <c r="I48" s="338"/>
      <c r="J48" s="338"/>
      <c r="K48" s="338"/>
      <c r="L48" s="338"/>
      <c r="M48" s="338"/>
      <c r="N48" s="338"/>
      <c r="O48" s="338"/>
      <c r="P48" s="338"/>
      <c r="Q48" s="338"/>
    </row>
    <row r="49" spans="1:17">
      <c r="B49" s="122">
        <v>29</v>
      </c>
      <c r="C49" s="341">
        <f t="shared" si="2"/>
        <v>16101115555.819906</v>
      </c>
      <c r="D49" s="138">
        <f>IF($C$17&lt;B49,0,DCF!$C$16)</f>
        <v>6.1165848114484E-2</v>
      </c>
      <c r="E49" s="124">
        <f t="shared" si="0"/>
        <v>0.1227876073374404</v>
      </c>
      <c r="F49" s="125">
        <f t="shared" si="1"/>
        <v>1977017454.5627682</v>
      </c>
      <c r="G49" s="338"/>
      <c r="H49" s="339"/>
      <c r="I49" s="338"/>
      <c r="J49" s="338"/>
      <c r="K49" s="338"/>
      <c r="L49" s="338"/>
      <c r="M49" s="338"/>
      <c r="N49" s="338"/>
      <c r="O49" s="338"/>
      <c r="P49" s="338"/>
      <c r="Q49" s="338"/>
    </row>
    <row r="50" spans="1:17">
      <c r="B50" s="122">
        <v>30</v>
      </c>
      <c r="C50" s="341">
        <f t="shared" si="2"/>
        <v>17085953944.380941</v>
      </c>
      <c r="D50" s="138">
        <f>IF($C$17&lt;B50,0,DCF!$C$16)</f>
        <v>6.1165848114484E-2</v>
      </c>
      <c r="E50" s="124">
        <f t="shared" si="0"/>
        <v>0.11422103008133992</v>
      </c>
      <c r="F50" s="125">
        <f t="shared" si="1"/>
        <v>1951575259.4495239</v>
      </c>
      <c r="G50" s="338"/>
      <c r="H50" s="339"/>
      <c r="I50" s="338"/>
      <c r="J50" s="338"/>
      <c r="K50" s="338"/>
      <c r="L50" s="338"/>
      <c r="M50" s="338"/>
      <c r="N50" s="338"/>
      <c r="O50" s="338"/>
      <c r="P50" s="338"/>
      <c r="Q50" s="338"/>
    </row>
    <row r="51" spans="1:17">
      <c r="B51" s="126" t="s">
        <v>127</v>
      </c>
      <c r="C51" s="123">
        <f>C$21*(1+Terminal_Growth)^$C$17/Equity_Cost</f>
        <v>40725206782.016228</v>
      </c>
      <c r="D51" s="139">
        <f>Terminal_Growth</f>
        <v>0</v>
      </c>
      <c r="E51" s="124">
        <f>1/(1+Equity_Cost)^C17</f>
        <v>0.11422103008133992</v>
      </c>
      <c r="F51" s="125">
        <f t="shared" si="1"/>
        <v>4651675068.9174643</v>
      </c>
      <c r="H51" s="120"/>
    </row>
    <row r="52" spans="1:17">
      <c r="C52" s="114"/>
      <c r="E52" s="127" t="s">
        <v>97</v>
      </c>
      <c r="F52" s="137">
        <f>SUM(F21:F51)</f>
        <v>75739913902.542969</v>
      </c>
      <c r="H52" s="120"/>
    </row>
    <row r="53" spans="1:17">
      <c r="C53" s="114"/>
      <c r="H53" s="120"/>
    </row>
    <row r="54" spans="1:17" ht="13.15">
      <c r="B54" s="119" t="s">
        <v>125</v>
      </c>
      <c r="C54" s="136"/>
      <c r="D54" s="136"/>
      <c r="E54" s="117"/>
      <c r="F54" s="117"/>
      <c r="H54" s="120"/>
    </row>
    <row r="55" spans="1:17" ht="13.15">
      <c r="A55" s="133">
        <f>F52</f>
        <v>75739913902.542969</v>
      </c>
      <c r="B55" s="131">
        <f>C78</f>
        <v>0.02</v>
      </c>
      <c r="C55" s="131">
        <f>C77</f>
        <v>0.04</v>
      </c>
      <c r="D55" s="131">
        <f>C76</f>
        <v>0.06</v>
      </c>
      <c r="E55" s="131">
        <f>C75</f>
        <v>0.08</v>
      </c>
      <c r="F55" s="131">
        <f>C74</f>
        <v>0.1</v>
      </c>
      <c r="H55" s="120"/>
    </row>
    <row r="56" spans="1:17" ht="13.15">
      <c r="A56" s="143">
        <v>5</v>
      </c>
      <c r="B56" s="123">
        <f t="dataTable" ref="B56:F61" dt2D="1" dtr="1" r1="C16" r2="C17"/>
        <v>39594775558.742561</v>
      </c>
      <c r="C56" s="123">
        <v>40847207776.506119</v>
      </c>
      <c r="D56" s="123">
        <v>42136651489.992126</v>
      </c>
      <c r="E56" s="123">
        <v>43464713525.40744</v>
      </c>
      <c r="F56" s="123">
        <v>44833049789.618332</v>
      </c>
      <c r="H56" s="120"/>
    </row>
    <row r="57" spans="1:17" ht="13.15">
      <c r="A57" s="143">
        <v>10</v>
      </c>
      <c r="B57" s="123">
        <v>40801566632.230339</v>
      </c>
      <c r="C57" s="123">
        <v>43466721624.273361</v>
      </c>
      <c r="D57" s="123">
        <v>46402243947.182083</v>
      </c>
      <c r="E57" s="123">
        <v>49640363489.882462</v>
      </c>
      <c r="F57" s="123">
        <v>53216879394.676315</v>
      </c>
      <c r="H57" s="120"/>
    </row>
    <row r="58" spans="1:17" ht="13.15">
      <c r="A58" s="143">
        <v>15</v>
      </c>
      <c r="B58" s="123">
        <v>42329505454.223404</v>
      </c>
      <c r="C58" s="341">
        <v>46959797393.692818</v>
      </c>
      <c r="D58" s="123">
        <v>52404161294.959366</v>
      </c>
      <c r="E58" s="123">
        <v>58824958670.934853</v>
      </c>
      <c r="F58" s="123">
        <v>66416491717.804779</v>
      </c>
      <c r="G58" s="338"/>
      <c r="H58" s="339"/>
      <c r="I58" s="338"/>
      <c r="J58" s="338"/>
      <c r="K58" s="338"/>
      <c r="L58" s="338"/>
      <c r="M58" s="338"/>
      <c r="N58" s="338"/>
      <c r="O58" s="338"/>
      <c r="P58" s="338"/>
      <c r="Q58" s="338"/>
    </row>
    <row r="59" spans="1:17" ht="13.15">
      <c r="A59" s="144">
        <v>20</v>
      </c>
      <c r="B59" s="123">
        <v>43922406603.770103</v>
      </c>
      <c r="C59" s="341">
        <v>50806874649.091393</v>
      </c>
      <c r="D59" s="123">
        <v>59409906766.80825</v>
      </c>
      <c r="E59" s="123">
        <v>70220077521.640579</v>
      </c>
      <c r="F59" s="123">
        <v>83867108456.874985</v>
      </c>
      <c r="G59" s="338"/>
      <c r="H59" s="339"/>
      <c r="I59" s="338"/>
      <c r="J59" s="338"/>
      <c r="K59" s="338"/>
      <c r="L59" s="338"/>
      <c r="M59" s="338"/>
      <c r="N59" s="338"/>
      <c r="O59" s="338"/>
      <c r="P59" s="338"/>
      <c r="Q59" s="338"/>
    </row>
    <row r="60" spans="1:17" ht="13.15">
      <c r="A60" s="144">
        <v>25</v>
      </c>
      <c r="B60" s="123">
        <v>45438480859.172882</v>
      </c>
      <c r="C60" s="341">
        <v>54684865753.48452</v>
      </c>
      <c r="D60" s="123">
        <v>66923204472.885735</v>
      </c>
      <c r="E60" s="123">
        <v>83272263041.681274</v>
      </c>
      <c r="F60" s="123">
        <v>105284538818.0061</v>
      </c>
      <c r="G60" s="338"/>
      <c r="H60" s="339"/>
      <c r="I60" s="338"/>
      <c r="J60" s="338"/>
      <c r="K60" s="338"/>
      <c r="L60" s="338"/>
      <c r="M60" s="338"/>
      <c r="N60" s="338"/>
      <c r="O60" s="338"/>
      <c r="P60" s="338"/>
      <c r="Q60" s="338"/>
    </row>
    <row r="61" spans="1:17" ht="13.15">
      <c r="A61" s="144">
        <v>30</v>
      </c>
      <c r="B61" s="123">
        <v>46807156532.67907</v>
      </c>
      <c r="C61" s="341">
        <v>58401617190.408554</v>
      </c>
      <c r="D61" s="123">
        <v>74611373670.951416</v>
      </c>
      <c r="E61" s="123">
        <v>97598753552.954361</v>
      </c>
      <c r="F61" s="123">
        <v>130593341085.15742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43.045938497570816</v>
      </c>
      <c r="C65" s="124">
        <f>C12</f>
        <v>43.045938497570816</v>
      </c>
      <c r="D65" s="124">
        <f>C12</f>
        <v>43.045938497570816</v>
      </c>
      <c r="E65" s="141">
        <f>C12</f>
        <v>43.045938497570816</v>
      </c>
      <c r="F65" s="124">
        <f>C12</f>
        <v>43.045938497570816</v>
      </c>
      <c r="H65" s="120"/>
    </row>
    <row r="66" spans="1:8" ht="13.15">
      <c r="A66" s="143">
        <f t="shared" ref="A66:A71" si="3">A56</f>
        <v>5</v>
      </c>
      <c r="B66" s="124">
        <f t="shared" ref="B66:F71" si="4">(B56-$C$7+$C$8+$C$9)/Common_Shares*$C$3*Exchange_Rate</f>
        <v>44.022100681374162</v>
      </c>
      <c r="C66" s="124">
        <f t="shared" si="4"/>
        <v>45.026700374700177</v>
      </c>
      <c r="D66" s="124">
        <f t="shared" si="4"/>
        <v>46.060987692414123</v>
      </c>
      <c r="E66" s="124">
        <f t="shared" si="4"/>
        <v>47.12625150036579</v>
      </c>
      <c r="F66" s="124">
        <f t="shared" si="4"/>
        <v>48.223820032934988</v>
      </c>
      <c r="H66" s="120"/>
    </row>
    <row r="67" spans="1:8" ht="13.15">
      <c r="A67" s="143">
        <f t="shared" si="3"/>
        <v>10</v>
      </c>
      <c r="B67" s="124">
        <f t="shared" si="4"/>
        <v>44.990090745139256</v>
      </c>
      <c r="C67" s="124">
        <f t="shared" si="4"/>
        <v>47.127862234644461</v>
      </c>
      <c r="D67" s="124">
        <f t="shared" si="4"/>
        <v>49.482500500507498</v>
      </c>
      <c r="E67" s="124">
        <f t="shared" si="4"/>
        <v>52.079857749396083</v>
      </c>
      <c r="F67" s="124">
        <f t="shared" si="4"/>
        <v>54.948649153969988</v>
      </c>
      <c r="H67" s="120"/>
    </row>
    <row r="68" spans="1:8" ht="13.15">
      <c r="A68" s="143">
        <f t="shared" si="3"/>
        <v>15</v>
      </c>
      <c r="B68" s="124">
        <f t="shared" si="4"/>
        <v>46.215679523696949</v>
      </c>
      <c r="C68" s="124">
        <f t="shared" si="4"/>
        <v>49.929724720256282</v>
      </c>
      <c r="D68" s="124">
        <f t="shared" si="4"/>
        <v>54.296752514649988</v>
      </c>
      <c r="E68" s="124">
        <f t="shared" si="4"/>
        <v>59.446996163229791</v>
      </c>
      <c r="F68" s="124">
        <f t="shared" si="4"/>
        <v>65.536309151663005</v>
      </c>
      <c r="H68" s="120"/>
    </row>
    <row r="69" spans="1:8" ht="13.15">
      <c r="A69" s="144">
        <f t="shared" si="3"/>
        <v>20</v>
      </c>
      <c r="B69" s="124">
        <f t="shared" si="4"/>
        <v>47.493375820260418</v>
      </c>
      <c r="C69" s="124">
        <f t="shared" si="4"/>
        <v>53.015538528109417</v>
      </c>
      <c r="D69" s="124">
        <f t="shared" si="4"/>
        <v>59.916194152064165</v>
      </c>
      <c r="E69" s="124">
        <f t="shared" si="4"/>
        <v>68.587237639350633</v>
      </c>
      <c r="F69" s="124">
        <f t="shared" si="4"/>
        <v>79.533780612213832</v>
      </c>
      <c r="H69" s="120"/>
    </row>
    <row r="70" spans="1:8" ht="13.15">
      <c r="A70" s="144">
        <f t="shared" si="3"/>
        <v>25</v>
      </c>
      <c r="B70" s="124">
        <f t="shared" si="4"/>
        <v>48.709447804384858</v>
      </c>
      <c r="C70" s="124">
        <f t="shared" si="4"/>
        <v>56.126148921980509</v>
      </c>
      <c r="D70" s="124">
        <f t="shared" si="4"/>
        <v>65.942753086223945</v>
      </c>
      <c r="E70" s="124">
        <f t="shared" si="4"/>
        <v>79.056643795383081</v>
      </c>
      <c r="F70" s="124">
        <f t="shared" si="4"/>
        <v>96.713108696766156</v>
      </c>
    </row>
    <row r="71" spans="1:8" ht="13.15">
      <c r="A71" s="144">
        <f t="shared" si="3"/>
        <v>30</v>
      </c>
      <c r="B71" s="124">
        <f t="shared" si="4"/>
        <v>49.80728858360272</v>
      </c>
      <c r="C71" s="124">
        <f t="shared" si="4"/>
        <v>59.107425913058222</v>
      </c>
      <c r="D71" s="124">
        <f t="shared" si="4"/>
        <v>72.109579768794489</v>
      </c>
      <c r="E71" s="124">
        <f t="shared" si="4"/>
        <v>90.548194212189827</v>
      </c>
      <c r="F71" s="124">
        <f t="shared" si="4"/>
        <v>117.01378017057277</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117.01378017057277</v>
      </c>
      <c r="F74" s="142">
        <f>Scenarios!C58</f>
        <v>0.05</v>
      </c>
    </row>
    <row r="75" spans="1:8">
      <c r="B75" s="127" t="str">
        <f>Scenarios!B36</f>
        <v>Optimistic</v>
      </c>
      <c r="C75" s="142">
        <f>Scenarios!C38</f>
        <v>0.08</v>
      </c>
      <c r="D75" s="145">
        <f>Scenarios!C37</f>
        <v>30</v>
      </c>
      <c r="E75" s="135">
        <f>INDEX(B$65:F$71, MATCH(D75, A$65:A$71, 0), MATCH(C75, B$64:F$64, 0))</f>
        <v>90.548194212189827</v>
      </c>
      <c r="F75" s="142">
        <f>Scenarios!C40*(1-F$74-F$78)</f>
        <v>0.18</v>
      </c>
      <c r="H75" s="120"/>
    </row>
    <row r="76" spans="1:8">
      <c r="B76" s="127" t="str">
        <f>Scenarios!B24</f>
        <v>Base</v>
      </c>
      <c r="C76" s="142">
        <f>Scenarios!C26</f>
        <v>0.06</v>
      </c>
      <c r="D76" s="145">
        <f>Scenarios!C25</f>
        <v>30</v>
      </c>
      <c r="E76" s="135">
        <f>INDEX(B$65:F$71, MATCH(D76, A$65:A$71, 0), MATCH(C76, B$64:F$64, 0))</f>
        <v>72.109579768794489</v>
      </c>
      <c r="F76" s="142">
        <f>Scenarios!C28*(1-F$74-F$78)</f>
        <v>0.44999999999999996</v>
      </c>
      <c r="H76" s="120"/>
    </row>
    <row r="77" spans="1:8">
      <c r="B77" s="127" t="str">
        <f>Scenarios!B30</f>
        <v>Pessimistic</v>
      </c>
      <c r="C77" s="142">
        <f>Scenarios!C32</f>
        <v>0.04</v>
      </c>
      <c r="D77" s="145">
        <f>Scenarios!C31</f>
        <v>30</v>
      </c>
      <c r="E77" s="135">
        <f>INDEX(B$65:F$71, MATCH(D77, A$65:A$71, 0), MATCH(C77, B$64:F$64, 0))</f>
        <v>59.107425913058222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49.80728858360272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2468461624.711133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32912821662.815109</v>
      </c>
      <c r="D6" t="str">
        <f>Reporting_currency</f>
        <v>CNY</v>
      </c>
      <c r="E6" s="378"/>
      <c r="F6" s="378"/>
      <c r="H6" s="120"/>
    </row>
    <row r="7" spans="2:8" ht="13.15">
      <c r="B7" s="149" t="s">
        <v>421</v>
      </c>
      <c r="C7" s="111">
        <f>(C6*scaling_factor)/Common_Shares*Exchange_Rate</f>
        <v>26.400000000000009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47.613802632184424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2619447173.5246463</v>
      </c>
      <c r="D16" s="138">
        <f>IF($C$12&lt;B16,0,DDM!$C$11)</f>
        <v>6.1165848114484E-2</v>
      </c>
      <c r="E16" s="124">
        <f t="shared" ref="E16:E45" si="0">IF($C$12&lt;B16,0,1/(1+Equity_Cost)^B16)</f>
        <v>0.93023255813953487</v>
      </c>
      <c r="F16" s="125">
        <f t="shared" ref="F16:F46" si="1">C16*E16</f>
        <v>2436695045.1392059</v>
      </c>
      <c r="H16" s="120"/>
    </row>
    <row r="17" spans="2:8">
      <c r="B17" s="122">
        <v>2</v>
      </c>
      <c r="C17" s="123">
        <f t="shared" ref="C17:C45" si="2">IF(ROW()-ROW($C$16)&lt;$C$12, $C$16*(1+D17)^(ROW()-ROW($C$16)), 0)</f>
        <v>2779667881.4843688</v>
      </c>
      <c r="D17" s="138">
        <f>IF($C$12&lt;B17,0,DDM!$C$11)</f>
        <v>6.1165848114484E-2</v>
      </c>
      <c r="E17" s="124">
        <f t="shared" si="0"/>
        <v>0.86533261222282321</v>
      </c>
      <c r="F17" s="125">
        <f t="shared" si="1"/>
        <v>2405337268.9967499</v>
      </c>
      <c r="H17" s="120"/>
    </row>
    <row r="18" spans="2:8">
      <c r="B18" s="122">
        <v>3</v>
      </c>
      <c r="C18" s="123">
        <f t="shared" si="2"/>
        <v>2949688624.931951</v>
      </c>
      <c r="D18" s="138">
        <f>IF($C$12&lt;B18,0,DDM!$C$11)</f>
        <v>6.1165848114484E-2</v>
      </c>
      <c r="E18" s="124">
        <f t="shared" si="0"/>
        <v>0.80496056950960304</v>
      </c>
      <c r="F18" s="125">
        <f t="shared" si="1"/>
        <v>2374383035.4012213</v>
      </c>
      <c r="H18" s="120"/>
    </row>
    <row r="19" spans="2:8">
      <c r="B19" s="122">
        <v>4</v>
      </c>
      <c r="C19" s="123">
        <f t="shared" si="2"/>
        <v>3130108831.3495593</v>
      </c>
      <c r="D19" s="138">
        <f>IF($C$12&lt;B19,0,DDM!$C$11)</f>
        <v>6.1165848114484E-2</v>
      </c>
      <c r="E19" s="124">
        <f t="shared" si="0"/>
        <v>0.7488005297763749</v>
      </c>
      <c r="F19" s="125">
        <f t="shared" si="1"/>
        <v>2343827151.1722598</v>
      </c>
      <c r="H19" s="120"/>
    </row>
    <row r="20" spans="2:8">
      <c r="B20" s="122">
        <v>5</v>
      </c>
      <c r="C20" s="123">
        <f t="shared" si="2"/>
        <v>3321564592.709691</v>
      </c>
      <c r="D20" s="138">
        <f>IF($C$12&lt;B20,0,DDM!$C$11)</f>
        <v>6.1165848114484E-2</v>
      </c>
      <c r="E20" s="124">
        <f t="shared" si="0"/>
        <v>0.69655863235011617</v>
      </c>
      <c r="F20" s="125">
        <f t="shared" si="1"/>
        <v>2313664489.960433</v>
      </c>
      <c r="H20" s="120"/>
    </row>
    <row r="21" spans="2:8">
      <c r="B21" s="122">
        <v>6</v>
      </c>
      <c r="C21" s="123">
        <f t="shared" si="2"/>
        <v>3524730908.0898199</v>
      </c>
      <c r="D21" s="138">
        <f>IF($C$12&lt;B21,0,DDM!$C$11)</f>
        <v>6.1165848114484E-2</v>
      </c>
      <c r="E21" s="124">
        <f t="shared" si="0"/>
        <v>0.64796151846522443</v>
      </c>
      <c r="F21" s="125">
        <f t="shared" si="1"/>
        <v>2283889991.3871889</v>
      </c>
      <c r="H21" s="120"/>
    </row>
    <row r="22" spans="2:8">
      <c r="B22" s="122">
        <v>7</v>
      </c>
      <c r="C22" s="123">
        <f t="shared" si="2"/>
        <v>3740324063.4584684</v>
      </c>
      <c r="D22" s="138">
        <f>IF($C$12&lt;B22,0,DDM!$C$11)</f>
        <v>6.1165848114484E-2</v>
      </c>
      <c r="E22" s="124">
        <f t="shared" si="0"/>
        <v>0.60275490089788319</v>
      </c>
      <c r="F22" s="125">
        <f t="shared" si="1"/>
        <v>2254498660.1958771</v>
      </c>
      <c r="H22" s="120"/>
    </row>
    <row r="23" spans="2:8">
      <c r="B23" s="122">
        <v>8</v>
      </c>
      <c r="C23" s="123">
        <f t="shared" si="2"/>
        <v>3969104157.0229177</v>
      </c>
      <c r="D23" s="138">
        <f>IF($C$12&lt;B23,0,DDM!$C$11)</f>
        <v>6.1165848114484E-2</v>
      </c>
      <c r="E23" s="124">
        <f t="shared" si="0"/>
        <v>0.56070223339337966</v>
      </c>
      <c r="F23" s="125">
        <f t="shared" si="1"/>
        <v>2225485565.4136972</v>
      </c>
      <c r="H23" s="120"/>
    </row>
    <row r="24" spans="2:8">
      <c r="B24" s="122">
        <v>9</v>
      </c>
      <c r="C24" s="123">
        <f t="shared" si="2"/>
        <v>4211877779.0419488</v>
      </c>
      <c r="D24" s="138">
        <f>IF($C$12&lt;B24,0,DDM!$C$11)</f>
        <v>6.1165848114484E-2</v>
      </c>
      <c r="E24" s="124">
        <f t="shared" si="0"/>
        <v>0.52158347292407414</v>
      </c>
      <c r="F24" s="125">
        <f t="shared" si="1"/>
        <v>2196845839.524436</v>
      </c>
      <c r="H24" s="120"/>
    </row>
    <row r="25" spans="2:8">
      <c r="B25" s="122">
        <v>10</v>
      </c>
      <c r="C25" s="123">
        <f t="shared" si="2"/>
        <v>4469500855.5515985</v>
      </c>
      <c r="D25" s="138">
        <f>IF($C$12&lt;B25,0,DDM!$C$11)</f>
        <v>6.1165848114484E-2</v>
      </c>
      <c r="E25" s="124">
        <f t="shared" si="0"/>
        <v>0.48519392830146441</v>
      </c>
      <c r="F25" s="125">
        <f t="shared" si="1"/>
        <v>2168574677.6518359</v>
      </c>
      <c r="H25" s="120"/>
    </row>
    <row r="26" spans="2:8">
      <c r="B26" s="122">
        <v>11</v>
      </c>
      <c r="C26" s="123">
        <f t="shared" si="2"/>
        <v>4742881666.0298223</v>
      </c>
      <c r="D26" s="138">
        <f>IF($C$12&lt;B26,0,DDM!$C$11)</f>
        <v>6.1165848114484E-2</v>
      </c>
      <c r="E26" s="124">
        <f t="shared" si="0"/>
        <v>0.45134318911764126</v>
      </c>
      <c r="F26" s="125">
        <f t="shared" si="1"/>
        <v>2140667336.7534916</v>
      </c>
      <c r="H26" s="120"/>
    </row>
    <row r="27" spans="2:8">
      <c r="B27" s="122">
        <v>12</v>
      </c>
      <c r="C27" s="123">
        <f t="shared" si="2"/>
        <v>5032984045.6391735</v>
      </c>
      <c r="D27" s="138">
        <f>IF($C$12&lt;B27,0,DDM!$C$11)</f>
        <v>6.1165848114484E-2</v>
      </c>
      <c r="E27" s="124">
        <f t="shared" si="0"/>
        <v>0.41985412941175931</v>
      </c>
      <c r="F27" s="125">
        <f t="shared" si="1"/>
        <v>2113119134.8251095</v>
      </c>
      <c r="H27" s="120"/>
    </row>
    <row r="28" spans="2:8">
      <c r="B28" s="122">
        <v>13</v>
      </c>
      <c r="C28" s="123">
        <f t="shared" si="2"/>
        <v>5340830783.3373594</v>
      </c>
      <c r="D28" s="138">
        <f>IF($C$12&lt;B28,0,DDM!$C$11)</f>
        <v>6.1165848114484E-2</v>
      </c>
      <c r="E28" s="124">
        <f t="shared" si="0"/>
        <v>0.39056198084814819</v>
      </c>
      <c r="F28" s="125">
        <f t="shared" si="1"/>
        <v>2085925450.115006</v>
      </c>
      <c r="H28" s="120"/>
    </row>
    <row r="29" spans="2:8">
      <c r="B29" s="122">
        <v>14</v>
      </c>
      <c r="C29" s="123">
        <f t="shared" si="2"/>
        <v>5667507227.836133</v>
      </c>
      <c r="D29" s="138">
        <f>IF($C$12&lt;B29,0,DDM!$C$11)</f>
        <v>6.1165848114484E-2</v>
      </c>
      <c r="E29" s="124">
        <f t="shared" si="0"/>
        <v>0.36331347055641694</v>
      </c>
      <c r="F29" s="125">
        <f t="shared" si="1"/>
        <v>2059081720.3487232</v>
      </c>
      <c r="H29" s="120"/>
    </row>
    <row r="30" spans="2:8">
      <c r="B30" s="122">
        <v>15</v>
      </c>
      <c r="C30" s="123">
        <f t="shared" si="2"/>
        <v>6014165114.1216965</v>
      </c>
      <c r="D30" s="138">
        <f>IF($C$12&lt;B30,0,DDM!$C$11)</f>
        <v>6.1165848114484E-2</v>
      </c>
      <c r="E30" s="124">
        <f t="shared" si="0"/>
        <v>0.33796601912224833</v>
      </c>
      <c r="F30" s="125">
        <f t="shared" si="1"/>
        <v>2032583441.9636121</v>
      </c>
      <c r="H30" s="120"/>
    </row>
    <row r="31" spans="2:8">
      <c r="B31" s="122">
        <v>16</v>
      </c>
      <c r="C31" s="123">
        <f t="shared" si="2"/>
        <v>6382026624.0274906</v>
      </c>
      <c r="D31" s="138">
        <f>IF($C$12&lt;B31,0,DDM!$C$11)</f>
        <v>6.1165848114484E-2</v>
      </c>
      <c r="E31" s="124">
        <f t="shared" si="0"/>
        <v>0.31438699453232405</v>
      </c>
      <c r="F31" s="125">
        <f t="shared" si="1"/>
        <v>2006426169.3532772</v>
      </c>
      <c r="H31" s="120"/>
    </row>
    <row r="32" spans="2:8">
      <c r="B32" s="122">
        <v>17</v>
      </c>
      <c r="C32" s="123">
        <f t="shared" si="2"/>
        <v>6772388695.1753502</v>
      </c>
      <c r="D32" s="138">
        <f>IF($C$12&lt;B32,0,DDM!$C$11)</f>
        <v>6.1165848114484E-2</v>
      </c>
      <c r="E32" s="124">
        <f t="shared" si="0"/>
        <v>0.29245301816960378</v>
      </c>
      <c r="F32" s="125">
        <f t="shared" si="1"/>
        <v>1980605514.121736</v>
      </c>
      <c r="H32" s="120"/>
    </row>
    <row r="33" spans="2:8">
      <c r="B33" s="122">
        <v>18</v>
      </c>
      <c r="C33" s="123">
        <f t="shared" si="2"/>
        <v>7186627593.4766941</v>
      </c>
      <c r="D33" s="138">
        <f>IF($C$12&lt;B33,0,DDM!$C$11)</f>
        <v>6.1165848114484E-2</v>
      </c>
      <c r="E33" s="124">
        <f t="shared" si="0"/>
        <v>0.27204931922753844</v>
      </c>
      <c r="F33" s="125">
        <f t="shared" si="1"/>
        <v>1955117144.3471775</v>
      </c>
      <c r="H33" s="120"/>
    </row>
    <row r="34" spans="2:8">
      <c r="B34" s="122">
        <v>19</v>
      </c>
      <c r="C34" s="123">
        <f t="shared" si="2"/>
        <v>7626203765.3146467</v>
      </c>
      <c r="D34" s="138">
        <f>IF($C$12&lt;B34,0,DDM!$C$11)</f>
        <v>6.1165848114484E-2</v>
      </c>
      <c r="E34" s="124">
        <f t="shared" si="0"/>
        <v>0.25306913416515198</v>
      </c>
      <c r="F34" s="125">
        <f t="shared" si="1"/>
        <v>1929956783.8551996</v>
      </c>
      <c r="H34" s="120"/>
    </row>
    <row r="35" spans="2:8">
      <c r="B35" s="122">
        <v>20</v>
      </c>
      <c r="C35" s="123">
        <f t="shared" si="2"/>
        <v>8092666986.5139875</v>
      </c>
      <c r="D35" s="138">
        <f>IF($C$12&lt;B35,0,DDM!$C$11)</f>
        <v>6.1165848114484E-2</v>
      </c>
      <c r="E35" s="124">
        <f t="shared" si="0"/>
        <v>0.23541314806060654</v>
      </c>
      <c r="F35" s="125">
        <f t="shared" si="1"/>
        <v>1905120211.5013998</v>
      </c>
      <c r="H35" s="120"/>
    </row>
    <row r="36" spans="2:8">
      <c r="B36" s="122">
        <v>21</v>
      </c>
      <c r="C36" s="123">
        <f t="shared" si="2"/>
        <v>8587661826.2522011</v>
      </c>
      <c r="D36" s="138">
        <f>IF($C$12&lt;B36,0,DDM!$C$11)</f>
        <v>6.1165848114484E-2</v>
      </c>
      <c r="E36" s="124">
        <f t="shared" si="0"/>
        <v>0.21898897494009908</v>
      </c>
      <c r="F36" s="125">
        <f t="shared" si="1"/>
        <v>1880603260.4631889</v>
      </c>
      <c r="H36" s="120"/>
    </row>
    <row r="37" spans="2:8">
      <c r="B37" s="122">
        <v>22</v>
      </c>
      <c r="C37" s="123">
        <f t="shared" si="2"/>
        <v>9112933445.1752949</v>
      </c>
      <c r="D37" s="138">
        <f>IF($C$12&lt;B37,0,DDM!$C$11)</f>
        <v>6.1165848114484E-2</v>
      </c>
      <c r="E37" s="124">
        <f t="shared" si="0"/>
        <v>0.20371067436288287</v>
      </c>
      <c r="F37" s="125">
        <f t="shared" si="1"/>
        <v>1856401817.5407288</v>
      </c>
      <c r="H37" s="120"/>
    </row>
    <row r="38" spans="2:8">
      <c r="B38" s="122">
        <v>23</v>
      </c>
      <c r="C38" s="123">
        <f t="shared" si="2"/>
        <v>9670333748.1602859</v>
      </c>
      <c r="D38" s="138">
        <f>IF($C$12&lt;B38,0,DDM!$C$11)</f>
        <v>6.1165848114484E-2</v>
      </c>
      <c r="E38" s="124">
        <f t="shared" si="0"/>
        <v>0.18949830173291429</v>
      </c>
      <c r="F38" s="125">
        <f t="shared" si="1"/>
        <v>1832511822.466862</v>
      </c>
      <c r="H38" s="120"/>
    </row>
    <row r="39" spans="2:8">
      <c r="B39" s="122">
        <v>24</v>
      </c>
      <c r="C39" s="123">
        <f t="shared" si="2"/>
        <v>10261827913.416624</v>
      </c>
      <c r="D39" s="138">
        <f>IF($C$12&lt;B39,0,DDM!$C$11)</f>
        <v>6.1165848114484E-2</v>
      </c>
      <c r="E39" s="124">
        <f t="shared" si="0"/>
        <v>0.17627748998410636</v>
      </c>
      <c r="F39" s="125">
        <f t="shared" si="1"/>
        <v>1808929267.2259221</v>
      </c>
      <c r="H39" s="120"/>
    </row>
    <row r="40" spans="2:8">
      <c r="B40" s="122">
        <v>25</v>
      </c>
      <c r="C40" s="123">
        <f t="shared" si="2"/>
        <v>10889501320.945639</v>
      </c>
      <c r="D40" s="138">
        <f>IF($C$12&lt;B40,0,DDM!$C$11)</f>
        <v>6.1165848114484E-2</v>
      </c>
      <c r="E40" s="124">
        <f t="shared" si="0"/>
        <v>0.16397906045033148</v>
      </c>
      <c r="F40" s="125">
        <f t="shared" si="1"/>
        <v>1785650195.3813093</v>
      </c>
      <c r="H40" s="120"/>
    </row>
    <row r="41" spans="2:8">
      <c r="B41" s="122">
        <v>26</v>
      </c>
      <c r="C41" s="123">
        <f t="shared" si="2"/>
        <v>11555566904.78507</v>
      </c>
      <c r="D41" s="138">
        <f>IF($C$12&lt;B41,0,DDM!$C$11)</f>
        <v>6.1165848114484E-2</v>
      </c>
      <c r="E41" s="124">
        <f t="shared" si="0"/>
        <v>0.15253866088402931</v>
      </c>
      <c r="F41" s="125">
        <f t="shared" si="1"/>
        <v>1762670701.4117222</v>
      </c>
      <c r="H41" s="120"/>
    </row>
    <row r="42" spans="2:8">
      <c r="B42" s="122">
        <v>27</v>
      </c>
      <c r="C42" s="123">
        <f t="shared" si="2"/>
        <v>12262372954.959911</v>
      </c>
      <c r="D42" s="138">
        <f>IF($C$12&lt;B42,0,DDM!$C$11)</f>
        <v>6.1165848114484E-2</v>
      </c>
      <c r="E42" s="124">
        <f t="shared" si="0"/>
        <v>0.14189642872932959</v>
      </c>
      <c r="F42" s="125">
        <f t="shared" si="1"/>
        <v>1739986930.0559278</v>
      </c>
      <c r="H42" s="120"/>
    </row>
    <row r="43" spans="2:8">
      <c r="B43" s="122">
        <v>28</v>
      </c>
      <c r="C43" s="123">
        <f t="shared" si="2"/>
        <v>13012411396.646141</v>
      </c>
      <c r="D43" s="138">
        <f>IF($C$12&lt;B43,0,DDM!$C$11)</f>
        <v>6.1165848114484E-2</v>
      </c>
      <c r="E43" s="124">
        <f t="shared" si="0"/>
        <v>0.13199667788774846</v>
      </c>
      <c r="F43" s="125">
        <f t="shared" si="1"/>
        <v>1717595075.6659677</v>
      </c>
      <c r="H43" s="120"/>
    </row>
    <row r="44" spans="2:8">
      <c r="B44" s="122">
        <v>29</v>
      </c>
      <c r="C44" s="123">
        <f t="shared" si="2"/>
        <v>13808326575.73658</v>
      </c>
      <c r="D44" s="138">
        <f>IF($C$12&lt;B44,0,DDM!$C$11)</f>
        <v>6.1165848114484E-2</v>
      </c>
      <c r="E44" s="124">
        <f t="shared" si="0"/>
        <v>0.1227876073374404</v>
      </c>
      <c r="F44" s="125">
        <f t="shared" si="1"/>
        <v>1695491381.5686862</v>
      </c>
      <c r="H44" s="120"/>
    </row>
    <row r="45" spans="2:8">
      <c r="B45" s="122">
        <v>30</v>
      </c>
      <c r="C45" s="123">
        <f t="shared" si="2"/>
        <v>14652924581.783276</v>
      </c>
      <c r="D45" s="138">
        <f>IF($C$12&lt;B45,0,DDM!$C$11)</f>
        <v>6.1165848114484E-2</v>
      </c>
      <c r="E45" s="124">
        <f t="shared" si="0"/>
        <v>0.11422103008133992</v>
      </c>
      <c r="F45" s="125">
        <f t="shared" si="1"/>
        <v>1673672139.4354727</v>
      </c>
      <c r="H45" s="120"/>
    </row>
    <row r="46" spans="2:8">
      <c r="B46" s="126" t="s">
        <v>127</v>
      </c>
      <c r="C46" s="123">
        <f>C$16*(1+F4)^$C$12/Equity_Cost</f>
        <v>34925962313.661949</v>
      </c>
      <c r="D46" s="139">
        <f>Terminal_Growth</f>
        <v>0</v>
      </c>
      <c r="E46" s="124">
        <f>1/(1+Equity_Cost)^C12</f>
        <v>0.11422103008133992</v>
      </c>
      <c r="F46" s="125">
        <f t="shared" si="1"/>
        <v>3989279392.0485258</v>
      </c>
      <c r="H46" s="120"/>
    </row>
    <row r="47" spans="2:8">
      <c r="C47" s="114"/>
      <c r="E47" s="127" t="s">
        <v>97</v>
      </c>
      <c r="F47" s="137">
        <f>SUM(F16:F46)</f>
        <v>64954596615.291939</v>
      </c>
      <c r="H47" s="120"/>
    </row>
    <row r="48" spans="2:8">
      <c r="C48" s="114"/>
      <c r="H48" s="120"/>
    </row>
    <row r="49" spans="1:8" ht="13.15">
      <c r="B49" s="119" t="s">
        <v>125</v>
      </c>
      <c r="C49" s="136"/>
      <c r="D49" s="136"/>
      <c r="E49" s="117"/>
      <c r="F49" s="117"/>
      <c r="H49" s="120"/>
    </row>
    <row r="50" spans="1:8" ht="13.15">
      <c r="A50" s="133">
        <f>F47</f>
        <v>64954596615.291939</v>
      </c>
      <c r="B50" s="131">
        <f>C73</f>
        <v>0.02</v>
      </c>
      <c r="C50" s="131">
        <f>C72</f>
        <v>0.04</v>
      </c>
      <c r="D50" s="131">
        <f>C71</f>
        <v>0.06</v>
      </c>
      <c r="E50" s="131">
        <f>C70</f>
        <v>0.08</v>
      </c>
      <c r="F50" s="131">
        <f>C69</f>
        <v>0.1</v>
      </c>
      <c r="H50" s="120"/>
    </row>
    <row r="51" spans="1:8" ht="13.15">
      <c r="A51" s="143">
        <v>5</v>
      </c>
      <c r="B51" s="123">
        <f t="dataTable" ref="B51:F56" dt2D="1" dtr="1" r1="C11" r2="C12"/>
        <v>33956503803.271347</v>
      </c>
      <c r="C51" s="123">
        <v>35030590441.361595</v>
      </c>
      <c r="D51" s="123">
        <v>36136418160.883148</v>
      </c>
      <c r="E51" s="123">
        <v>37275364976.976494</v>
      </c>
      <c r="F51" s="123">
        <v>38448850996.385742</v>
      </c>
      <c r="H51" s="120"/>
    </row>
    <row r="52" spans="1:8" ht="13.15">
      <c r="A52" s="143">
        <v>10</v>
      </c>
      <c r="B52" s="123">
        <v>34991448568.038269</v>
      </c>
      <c r="C52" s="123">
        <v>37277087123.795494</v>
      </c>
      <c r="D52" s="123">
        <v>39794592868.323662</v>
      </c>
      <c r="E52" s="123">
        <v>42571606174.132767</v>
      </c>
      <c r="F52" s="123">
        <v>45638828407.616989</v>
      </c>
      <c r="H52" s="120"/>
    </row>
    <row r="53" spans="1:8" ht="13.15">
      <c r="A53" s="143">
        <v>15</v>
      </c>
      <c r="B53" s="123">
        <v>36301809838.888237</v>
      </c>
      <c r="C53" s="123">
        <v>40272751046.007507</v>
      </c>
      <c r="D53" s="123">
        <v>44941840866.847015</v>
      </c>
      <c r="E53" s="123">
        <v>50448320634.458847</v>
      </c>
      <c r="F53" s="123">
        <v>56958824031.460175</v>
      </c>
      <c r="H53" s="120"/>
    </row>
    <row r="54" spans="1:8" ht="13.15">
      <c r="A54" s="144">
        <v>20</v>
      </c>
      <c r="B54" s="123">
        <v>37667882841.690628</v>
      </c>
      <c r="C54" s="123">
        <v>43572006859.709824</v>
      </c>
      <c r="D54" s="123">
        <v>50949972480.23764</v>
      </c>
      <c r="E54" s="123">
        <v>60220781549.628304</v>
      </c>
      <c r="F54" s="123">
        <v>71924483649.622345</v>
      </c>
      <c r="H54" s="120"/>
    </row>
    <row r="55" spans="1:8" ht="13.15">
      <c r="A55" s="144">
        <v>25</v>
      </c>
      <c r="B55" s="123">
        <v>38968069052.956039</v>
      </c>
      <c r="C55" s="123">
        <v>46897774409.269821</v>
      </c>
      <c r="D55" s="123">
        <v>57393381200.992416</v>
      </c>
      <c r="E55" s="123">
        <v>71414343856.724274</v>
      </c>
      <c r="F55" s="123">
        <v>90292085062.972641</v>
      </c>
      <c r="H55" s="120"/>
    </row>
    <row r="56" spans="1:8" ht="13.15">
      <c r="A56" s="144">
        <v>30</v>
      </c>
      <c r="B56" s="123">
        <v>40141846149.985107</v>
      </c>
      <c r="C56" s="123">
        <v>50085262721.117538</v>
      </c>
      <c r="D56" s="123">
        <v>63986759820.527695</v>
      </c>
      <c r="E56" s="123">
        <v>83700750905.85228</v>
      </c>
      <c r="F56" s="123">
        <v>111996929409.56497</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26.400000000000009</v>
      </c>
      <c r="C60" s="124">
        <f>C7</f>
        <v>26.400000000000009</v>
      </c>
      <c r="D60" s="124">
        <f>C7</f>
        <v>26.400000000000009</v>
      </c>
      <c r="E60" s="141">
        <f>C7</f>
        <v>26.400000000000009</v>
      </c>
      <c r="F60" s="124">
        <f>C7</f>
        <v>26.400000000000009</v>
      </c>
      <c r="H60" s="120"/>
    </row>
    <row r="61" spans="1:8" ht="13.15">
      <c r="A61" s="143">
        <f t="shared" ref="A61:A66" si="3">A51</f>
        <v>5</v>
      </c>
      <c r="B61" s="124">
        <f t="shared" ref="B61:F66" si="4">B51/Common_Shares*$C$3*Exchange_Rate</f>
        <v>27.23715728752526</v>
      </c>
      <c r="C61" s="124">
        <f t="shared" si="4"/>
        <v>28.098702600658321</v>
      </c>
      <c r="D61" s="124">
        <f t="shared" si="4"/>
        <v>28.985708038674357</v>
      </c>
      <c r="E61" s="124">
        <f t="shared" si="4"/>
        <v>29.899278933716616</v>
      </c>
      <c r="F61" s="124">
        <f t="shared" si="4"/>
        <v>30.840554380403869</v>
      </c>
      <c r="H61" s="120"/>
    </row>
    <row r="62" spans="1:8" ht="13.15">
      <c r="A62" s="143">
        <f t="shared" si="3"/>
        <v>10</v>
      </c>
      <c r="B62" s="124">
        <f t="shared" si="4"/>
        <v>28.067306159893619</v>
      </c>
      <c r="C62" s="124">
        <f t="shared" si="4"/>
        <v>29.90066030042189</v>
      </c>
      <c r="D62" s="124">
        <f t="shared" si="4"/>
        <v>31.919999521362421</v>
      </c>
      <c r="E62" s="124">
        <f t="shared" si="4"/>
        <v>34.147494691009015</v>
      </c>
      <c r="F62" s="124">
        <f t="shared" si="4"/>
        <v>36.607771959046126</v>
      </c>
      <c r="H62" s="120"/>
    </row>
    <row r="63" spans="1:8" ht="13.15">
      <c r="A63" s="143">
        <f t="shared" si="3"/>
        <v>15</v>
      </c>
      <c r="B63" s="124">
        <f t="shared" si="4"/>
        <v>29.118371848057418</v>
      </c>
      <c r="C63" s="124">
        <f t="shared" si="4"/>
        <v>32.303539286508581</v>
      </c>
      <c r="D63" s="124">
        <f t="shared" si="4"/>
        <v>36.048705001346896</v>
      </c>
      <c r="E63" s="124">
        <f t="shared" si="4"/>
        <v>40.465557113093752</v>
      </c>
      <c r="F63" s="124">
        <f t="shared" si="4"/>
        <v>45.687755666644748</v>
      </c>
      <c r="H63" s="120"/>
    </row>
    <row r="64" spans="1:8" ht="13.15">
      <c r="A64" s="144">
        <f t="shared" si="3"/>
        <v>20</v>
      </c>
      <c r="B64" s="124">
        <f t="shared" si="4"/>
        <v>30.214124975621331</v>
      </c>
      <c r="C64" s="124">
        <f t="shared" si="4"/>
        <v>34.949935100701175</v>
      </c>
      <c r="D64" s="124">
        <f t="shared" si="4"/>
        <v>40.867941596084542</v>
      </c>
      <c r="E64" s="124">
        <f t="shared" si="4"/>
        <v>48.304233808867728</v>
      </c>
      <c r="F64" s="124">
        <f t="shared" si="4"/>
        <v>57.691995776080823</v>
      </c>
      <c r="H64" s="120"/>
    </row>
    <row r="65" spans="1:8" ht="13.15">
      <c r="A65" s="144">
        <f t="shared" si="3"/>
        <v>25</v>
      </c>
      <c r="B65" s="124">
        <f t="shared" si="4"/>
        <v>31.25702905504237</v>
      </c>
      <c r="C65" s="124">
        <f t="shared" si="4"/>
        <v>37.617596482270919</v>
      </c>
      <c r="D65" s="124">
        <f t="shared" si="4"/>
        <v>46.036322234202608</v>
      </c>
      <c r="E65" s="124">
        <f t="shared" si="4"/>
        <v>57.282802949331327</v>
      </c>
      <c r="F65" s="124">
        <f t="shared" si="4"/>
        <v>72.424998077742885</v>
      </c>
    </row>
    <row r="66" spans="1:8" ht="13.15">
      <c r="A66" s="144">
        <f t="shared" si="3"/>
        <v>30</v>
      </c>
      <c r="B66" s="124">
        <f t="shared" si="4"/>
        <v>32.198537980622497</v>
      </c>
      <c r="C66" s="124">
        <f t="shared" si="4"/>
        <v>40.174341458282868</v>
      </c>
      <c r="D66" s="124">
        <f t="shared" si="4"/>
        <v>51.324996579386145</v>
      </c>
      <c r="E66" s="124">
        <f t="shared" si="4"/>
        <v>67.137963634732017</v>
      </c>
      <c r="F66" s="124">
        <f t="shared" si="4"/>
        <v>89.834866384398012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67.137963634732017</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-51.5</v>
      </c>
    </row>
    <row r="4" spans="2:9">
      <c r="B4" s="152" t="s">
        <v>142</v>
      </c>
      <c r="C4" s="120">
        <v>3</v>
      </c>
      <c r="D4" s="120"/>
      <c r="E4" s="155" t="s">
        <v>146</v>
      </c>
      <c r="F4" s="155"/>
      <c r="H4" s="247">
        <v>1</v>
      </c>
      <c r="I4" s="124">
        <f t="shared" ref="I4:I13" si="0">IF(ROW()-3 &lt; $C$76, $C$77, IF(ROW()-3 = $C$76, $C$77 + $C$60, ""))</f>
        <v>1.8094615428101513</v>
      </c>
    </row>
    <row r="5" spans="2:9">
      <c r="H5" s="247">
        <v>2</v>
      </c>
      <c r="I5" s="124">
        <f t="shared" si="0"/>
        <v>1.8094615428101513</v>
      </c>
    </row>
    <row r="6" spans="2:9" ht="13.15">
      <c r="B6" s="159" t="s">
        <v>92</v>
      </c>
      <c r="C6" s="107">
        <f>DCF!C3</f>
        <v>1</v>
      </c>
      <c r="E6" s="100" t="s">
        <v>274</v>
      </c>
      <c r="F6" s="100"/>
      <c r="H6" s="247">
        <v>3</v>
      </c>
      <c r="I6" s="124">
        <f t="shared" si="0"/>
        <v>74.857505831196335</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3154780032.4472837</v>
      </c>
      <c r="D8" t="str">
        <f>Reporting_currency</f>
        <v>CNY</v>
      </c>
      <c r="E8" s="380"/>
      <c r="F8" s="380"/>
      <c r="H8" s="247">
        <v>5</v>
      </c>
      <c r="I8" s="124" t="str">
        <f t="shared" si="0"/>
        <v/>
      </c>
    </row>
    <row r="9" spans="2:9">
      <c r="B9" s="100" t="s">
        <v>55</v>
      </c>
      <c r="C9" s="338">
        <f>Normalized_FCF!C19</f>
        <v>2878334724.0946016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0.22851059154675801</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51.5</v>
      </c>
      <c r="D21" t="str">
        <f>Market_currency</f>
        <v>HKD</v>
      </c>
      <c r="E21" s="381"/>
      <c r="F21" s="381"/>
    </row>
    <row r="22" spans="2:6">
      <c r="B22" s="100" t="s">
        <v>273</v>
      </c>
      <c r="C22" s="160">
        <f>IF(valuation_method="DCF",DCF!C12,DDM!C7)</f>
        <v>43.045938497570816</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72.109579768794489</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59.107425913058222</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90.548194212189827</v>
      </c>
      <c r="D39" t="str">
        <f>Market_currency</f>
        <v>HKD</v>
      </c>
      <c r="E39" s="379"/>
      <c r="F39" s="379"/>
    </row>
    <row r="40" spans="2:6">
      <c r="B40" s="100" t="s">
        <v>143</v>
      </c>
      <c r="C40" s="167">
        <f>1-C28-C34</f>
        <v>0.2</v>
      </c>
      <c r="D40" s="165"/>
      <c r="E40" s="379"/>
      <c r="F40" s="379"/>
    </row>
    <row r="42" spans="2:6" ht="13.15">
      <c r="B42" s="100" t="s">
        <v>116</v>
      </c>
      <c r="C42" s="154">
        <f>C27*C28+C33*C34+C39*C40</f>
        <v>71.89665650075267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49.80728858360272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117.01378017057277</v>
      </c>
      <c r="D57" t="str">
        <f>Market_currency</f>
        <v>HKD</v>
      </c>
      <c r="E57" s="379"/>
      <c r="F57" s="379"/>
    </row>
    <row r="58" spans="2:6">
      <c r="B58" s="100" t="s">
        <v>143</v>
      </c>
      <c r="C58" s="165">
        <v>0.05</v>
      </c>
      <c r="D58" s="165"/>
      <c r="E58" s="379"/>
      <c r="F58" s="379"/>
    </row>
    <row r="60" spans="2:6" ht="13.15">
      <c r="B60" s="100" t="s">
        <v>116</v>
      </c>
      <c r="C60" s="154">
        <f>C51*C52+C57*C58+C42*(1-C52-C58)</f>
        <v>73.04804428838618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73.014803344556086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0.16786730627006757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1.8094615428101513</v>
      </c>
      <c r="D77" t="str">
        <f>Market_currency</f>
        <v>HKD</v>
      </c>
    </row>
    <row r="79" spans="2:6" ht="13.15">
      <c r="B79" s="109" t="s">
        <v>296</v>
      </c>
    </row>
    <row r="80" spans="2:6">
      <c r="B80" s="148" t="s">
        <v>294</v>
      </c>
      <c r="C80" s="167">
        <f>Thesis!F29</f>
        <v>0.35</v>
      </c>
    </row>
    <row r="81" spans="2:8">
      <c r="B81" s="100" t="s">
        <v>117</v>
      </c>
      <c r="C81" s="116">
        <f>PV(C80, C76, -C77, 0)</f>
        <v>3.0686290859626508</v>
      </c>
      <c r="D81" s="116"/>
      <c r="E81" s="100"/>
      <c r="F81" s="100"/>
    </row>
    <row r="82" spans="2:8">
      <c r="B82" s="100" t="s">
        <v>118</v>
      </c>
      <c r="C82" s="116">
        <f>C60/(1+C80)^C76</f>
        <v>29.689801062190181</v>
      </c>
      <c r="D82" s="116"/>
    </row>
    <row r="83" spans="2:8" ht="13.15">
      <c r="B83" s="110" t="s">
        <v>98</v>
      </c>
      <c r="C83" s="111">
        <f>C81+C82</f>
        <v>32.758430148152833</v>
      </c>
      <c r="D83" t="str">
        <f>Market_currency</f>
        <v>HKD</v>
      </c>
      <c r="E83" s="146" t="s">
        <v>122</v>
      </c>
      <c r="F83" s="291">
        <f>(1-C83/C60)</f>
        <v>0.55154952514777933</v>
      </c>
    </row>
    <row r="84" spans="2:8">
      <c r="E84" s="120"/>
    </row>
    <row r="85" spans="2:8" ht="13.15">
      <c r="B85" s="109" t="s">
        <v>297</v>
      </c>
    </row>
    <row r="86" spans="2:8">
      <c r="B86" s="148" t="s">
        <v>295</v>
      </c>
      <c r="C86" s="116">
        <f>Market_Price</f>
        <v>51.5</v>
      </c>
      <c r="D86" t="str">
        <f>Market_currency</f>
        <v>HKD</v>
      </c>
    </row>
    <row r="87" spans="2:8" ht="13.15">
      <c r="B87" s="100" t="s">
        <v>293</v>
      </c>
      <c r="C87" s="237">
        <f ca="1">IRR(OFFSET($I$3, 0, 0, $C$76 + 1, 1))</f>
        <v>0.15505076181670585</v>
      </c>
    </row>
    <row r="88" spans="2:8">
      <c r="B88" s="100"/>
    </row>
    <row r="89" spans="2:8" ht="13.15">
      <c r="B89" s="109" t="s">
        <v>392</v>
      </c>
    </row>
    <row r="90" spans="2:8">
      <c r="B90" s="148" t="s">
        <v>393</v>
      </c>
      <c r="C90" s="167">
        <f>Thesis!F30</f>
        <v>0.25</v>
      </c>
    </row>
    <row r="91" spans="2:8">
      <c r="B91" s="100" t="s">
        <v>117</v>
      </c>
      <c r="C91" s="116">
        <f>PV(C90, C76, -C77, 0)</f>
        <v>3.5320689315654152</v>
      </c>
      <c r="D91" s="116"/>
      <c r="E91" s="100"/>
      <c r="F91" s="100"/>
    </row>
    <row r="92" spans="2:8">
      <c r="B92" s="100" t="s">
        <v>118</v>
      </c>
      <c r="C92" s="116">
        <f>C60/(1+C90)^C76</f>
        <v>37.400598675653725</v>
      </c>
      <c r="D92" s="116"/>
    </row>
    <row r="93" spans="2:8" ht="13.15">
      <c r="B93" s="110" t="s">
        <v>98</v>
      </c>
      <c r="C93" s="111">
        <f>C91+C92</f>
        <v>40.932667607219138</v>
      </c>
      <c r="D93" t="str">
        <f>Market_currency</f>
        <v>HKD</v>
      </c>
      <c r="E93" s="146" t="s">
        <v>122</v>
      </c>
      <c r="F93" s="291">
        <f>(1-C93/C60)</f>
        <v>0.43964731696825221</v>
      </c>
    </row>
    <row r="95" spans="2:8" ht="13.15">
      <c r="B95" s="109" t="s">
        <v>378</v>
      </c>
      <c r="G95" s="2"/>
      <c r="H95" s="281"/>
    </row>
    <row r="96" spans="2:8">
      <c r="B96" s="148" t="s">
        <v>383</v>
      </c>
      <c r="C96" s="134">
        <f>Thesis!F31</f>
        <v>7.4999999999999997E-2</v>
      </c>
      <c r="G96" s="2"/>
      <c r="H96" s="281"/>
    </row>
    <row r="97" spans="2:8">
      <c r="B97" s="100" t="s">
        <v>117</v>
      </c>
      <c r="C97" s="116">
        <f>PV(C96, C76, -C77, 0)</f>
        <v>4.7055513173862265</v>
      </c>
      <c r="D97" s="116"/>
      <c r="G97" s="2"/>
      <c r="H97" s="281"/>
    </row>
    <row r="98" spans="2:8">
      <c r="B98" s="100" t="s">
        <v>118</v>
      </c>
      <c r="C98" s="116">
        <f>C60/(1+C96)^C76</f>
        <v>58.800795331942041</v>
      </c>
      <c r="D98" s="116"/>
      <c r="G98" s="2"/>
      <c r="H98" s="281"/>
    </row>
    <row r="99" spans="2:8" ht="13.15">
      <c r="B99" s="110" t="s">
        <v>379</v>
      </c>
      <c r="C99" s="111">
        <f>C97+C98</f>
        <v>63.506346649328265</v>
      </c>
      <c r="D99" t="s">
        <v>377</v>
      </c>
      <c r="E99" s="146" t="s">
        <v>122</v>
      </c>
      <c r="F99" s="291">
        <f>(1-C99/C60)</f>
        <v>0.13062221900682613</v>
      </c>
    </row>
    <row r="100" spans="2:8">
      <c r="B100" s="100"/>
    </row>
    <row r="101" spans="2:8" ht="13.15">
      <c r="B101" s="109" t="s">
        <v>399</v>
      </c>
    </row>
    <row r="102" spans="2:8">
      <c r="B102" s="148" t="s">
        <v>398</v>
      </c>
      <c r="C102" s="134">
        <f>Thesis!F32</f>
        <v>0.1174</v>
      </c>
    </row>
    <row r="103" spans="2:8">
      <c r="B103" s="100" t="s">
        <v>117</v>
      </c>
      <c r="C103" s="116">
        <f>PV(C102, C76, -C77, 0)</f>
        <v>4.365512574449542</v>
      </c>
      <c r="D103" s="116"/>
    </row>
    <row r="104" spans="2:8">
      <c r="B104" s="100" t="s">
        <v>118</v>
      </c>
      <c r="C104" s="116">
        <f>C60/(1+C102)^C76</f>
        <v>52.357944933106381</v>
      </c>
      <c r="D104" s="116"/>
    </row>
    <row r="105" spans="2:8" ht="13.15">
      <c r="B105" s="110" t="s">
        <v>379</v>
      </c>
      <c r="C105" s="111">
        <f>C103+C104</f>
        <v>56.723457507555921</v>
      </c>
      <c r="D105" t="s">
        <v>377</v>
      </c>
      <c r="E105" s="146" t="s">
        <v>122</v>
      </c>
      <c r="F105" s="291">
        <f>(1-C105/C66)</f>
        <v>0.2231238747589509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