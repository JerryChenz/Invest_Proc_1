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043A676-2102-4DFF-9939-278191EEF3EA}"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P126" i="2"/>
  <c r="P92" i="2"/>
  <c r="P48" i="2"/>
  <c r="P91" i="2"/>
  <c r="O126" i="2"/>
  <c r="O91" i="2"/>
  <c r="O92" i="2"/>
  <c r="O48" i="2"/>
  <c r="D69" i="4"/>
  <c r="K126" i="2"/>
  <c r="K91" i="2"/>
  <c r="Q126" i="2"/>
  <c r="Q48" i="2"/>
  <c r="Q92" i="2"/>
  <c r="Q91" i="2"/>
  <c r="J91" i="2"/>
  <c r="L126" i="2"/>
  <c r="L48" i="2"/>
  <c r="L91" i="2"/>
  <c r="L92"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K50" i="2" s="1"/>
  <c r="K12" i="2" s="1"/>
  <c r="K43" i="2" s="1"/>
  <c r="H48" i="2"/>
  <c r="H50" i="2" s="1"/>
  <c r="H12" i="2" s="1"/>
  <c r="H80"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38" i="8"/>
  <c r="F38" i="8" s="1"/>
  <c r="C50" i="8"/>
  <c r="F50" i="8" s="1"/>
  <c r="C47" i="8"/>
  <c r="F47" i="8" s="1"/>
  <c r="C40" i="8"/>
  <c r="F40" i="8" s="1"/>
  <c r="C46" i="8"/>
  <c r="F46" i="8" s="1"/>
  <c r="C43" i="8"/>
  <c r="F43" i="8" s="1"/>
  <c r="C39" i="8"/>
  <c r="F39" i="8" s="1"/>
  <c r="C36" i="8"/>
  <c r="F36" i="8" s="1"/>
  <c r="C44" i="8"/>
  <c r="F44" i="8" s="1"/>
  <c r="C48" i="8"/>
  <c r="F48" i="8" s="1"/>
  <c r="C42" i="8"/>
  <c r="F42" i="8" s="1"/>
  <c r="C45" i="8"/>
  <c r="F45" i="8" s="1"/>
  <c r="C41" i="8"/>
  <c r="F41"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<sst xmlns="http://schemas.openxmlformats.org/spreadsheetml/2006/main" count="616" uniqueCount="432">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</sst>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425</v>
      </c>
      <c r="D5" s="49" t="s">
        <v>426</v>
      </c>
    </row>
    <row r="6" spans="1:10">
      <c r="B6" s="4" t="s">
        <v>95</v>
      </c>
      <c r="C6" s="50">
        <v>53.55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73052.737997399992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1.0742246600000001</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34.394984382396515</v>
      </c>
      <c r="D20" s="1" t="s">
        <v>315</v>
      </c>
      <c r="E20" s="330">
        <v>3</v>
      </c>
    </row>
    <row r="21" spans="1:6">
      <c r="B21" s="1" t="s">
        <v>407</v>
      </c>
      <c r="C21" s="280">
        <f ca="1">Scenarios!C87</f>
        <v>0.11521291318800975</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3878068070.3077545</v>
      </c>
      <c r="D30" s="1" t="str">
        <f>Reporting_currency</f>
        <v>CNY</v>
      </c>
    </row>
    <row r="31" spans="1:6">
      <c r="B31" s="47"/>
      <c r="C31" s="76"/>
    </row>
    <row r="32" spans="1:6" ht="24.4" customHeight="1">
      <c r="B32" s="343" t="s">
        <v>234</v>
      </c>
      <c r="C32" s="343"/>
      <c r="D32" s="343"/>
      <c r="E32" s="343"/>
      <c r="F32" s="343"/>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177353677.29966182</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155516623.29966182</v>
      </c>
      <c r="D42" s="1" t="str">
        <f>Reporting_currency</f>
        <v>CNY</v>
      </c>
    </row>
    <row r="44" spans="2:6">
      <c r="B44" s="1" t="s">
        <v>247</v>
      </c>
    </row>
    <row r="45" spans="2:6">
      <c r="B45" s="47" t="s">
        <v>266</v>
      </c>
      <c r="C45" s="188">
        <f>Normalized_FCF!C15</f>
        <v>-146634564.47167698</v>
      </c>
      <c r="D45" s="1" t="str">
        <f>Reporting_currency</f>
        <v>CNY</v>
      </c>
    </row>
    <row r="47" spans="2:6">
      <c r="B47" s="343" t="s">
        <v>242</v>
      </c>
      <c r="C47" s="343"/>
      <c r="D47" s="343"/>
      <c r="E47" s="343"/>
      <c r="F47" s="343"/>
    </row>
    <row r="48" spans="2:6">
      <c r="B48" s="47" t="s">
        <v>240</v>
      </c>
      <c r="C48" s="188">
        <f>Normalized_FCF!C14</f>
        <v>-1008396173.401854</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3155072341.2996616</v>
      </c>
      <c r="D56" s="1" t="str">
        <f>Reporting_currency</f>
        <v>CNY</v>
      </c>
    </row>
    <row r="57" spans="1:6">
      <c r="B57" s="47" t="s">
        <v>249</v>
      </c>
      <c r="C57" s="188">
        <f>Normalized_FCF!C19</f>
        <v>2878553955.7338853</v>
      </c>
      <c r="D57" s="1" t="str">
        <f>Reporting_currency</f>
        <v>CNY</v>
      </c>
    </row>
    <row r="58" spans="1:6">
      <c r="B58" s="254" t="s">
        <v>398</v>
      </c>
      <c r="C58" s="92">
        <f>Normalized_FCF!C125</f>
        <v>4.2328511280438831E-2</v>
      </c>
    </row>
    <row r="59" spans="1:6">
      <c r="B59" s="254" t="s">
        <v>316</v>
      </c>
      <c r="C59" s="92">
        <f>Normalized_FCF!C93</f>
        <v>3.8244420777520896E-2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28.333647238343744</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285396383</v>
      </c>
      <c r="D86" s="1" t="str">
        <f>Reporting_currency</f>
        <v>CNY</v>
      </c>
    </row>
    <row r="87" spans="2:6">
      <c r="B87" s="47" t="s">
        <v>285</v>
      </c>
      <c r="C87" s="248">
        <f>C86*scaling_factor*Exchange_Rate/Common_Shares</f>
        <v>0.22473285026779055</v>
      </c>
      <c r="D87" s="1" t="str">
        <f>Market_currency</f>
        <v>HKD</v>
      </c>
    </row>
    <row r="88" spans="2:6">
      <c r="B88" s="336" t="s">
        <v>412</v>
      </c>
      <c r="C88" s="337">
        <f>BS!G30/BS!G27</f>
        <v>0.72207550313588764</v>
      </c>
    </row>
    <row r="89" spans="2:6">
      <c r="B89" s="336" t="s">
        <v>413</v>
      </c>
      <c r="C89" s="337">
        <f>BS!G31/BS!G27</f>
        <v>9.5579625064196368E-3</v>
      </c>
    </row>
    <row r="90" spans="2:6">
      <c r="B90" s="336" t="s">
        <v>415</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12808944138.689201</v>
      </c>
      <c r="D94" s="1" t="str">
        <f>Reporting_currency</f>
        <v>CNY</v>
      </c>
    </row>
    <row r="95" spans="2:6">
      <c r="B95" s="47" t="s">
        <v>286</v>
      </c>
      <c r="C95" s="248">
        <f>C94*scaling_factor*Exchange_Rate/Common_Shares</f>
        <v>10.086289443999483</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2.1697244040509736</v>
      </c>
      <c r="D99" s="1" t="str">
        <f>Market_currency</f>
        <v>HKD</v>
      </c>
    </row>
    <row r="101" spans="1:6" ht="24.4" customHeight="1">
      <c r="B101" s="342" t="s">
        <v>374</v>
      </c>
      <c r="C101" s="342"/>
      <c r="D101" s="342"/>
      <c r="E101" s="342"/>
      <c r="F101" s="342"/>
    </row>
    <row r="103" spans="1:6">
      <c r="B103" s="47" t="s">
        <v>283</v>
      </c>
      <c r="C103" s="248">
        <f>Valuation_Model!C12</f>
        <v>40.364928236126403</v>
      </c>
      <c r="D103" s="1" t="str">
        <f>Market_currency</f>
        <v>HKD</v>
      </c>
    </row>
    <row r="104" spans="1:6">
      <c r="B104" s="336" t="s">
        <v>414</v>
      </c>
      <c r="C104" s="248">
        <f>BS!D47</f>
        <v>1.3351546830236229</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106.64 HKD</v>
      </c>
      <c r="F111" s="259">
        <f>Valuation_Model!F74</f>
        <v>0.05</v>
      </c>
    </row>
    <row r="112" spans="1:6">
      <c r="B112" s="242" t="str">
        <f>Valuation_Model!B75</f>
        <v>Optimistic</v>
      </c>
      <c r="C112" s="243">
        <f>Valuation_Model!C75</f>
        <v>0.08</v>
      </c>
      <c r="D112" s="244">
        <f>Valuation_Model!D75</f>
        <v>30</v>
      </c>
      <c r="E112" s="245" t="str">
        <f>ROUND(Valuation_Model!E75,2)&amp;" "&amp;Market_currency</f>
        <v>83.07 HKD</v>
      </c>
      <c r="F112" s="246">
        <f>Valuation_Model!F75</f>
        <v>0.18</v>
      </c>
    </row>
    <row r="113" spans="1:6">
      <c r="B113" s="242" t="str">
        <f>Valuation_Model!B76</f>
        <v>Base</v>
      </c>
      <c r="C113" s="243">
        <f>Valuation_Model!C76</f>
        <v>0.06</v>
      </c>
      <c r="D113" s="244">
        <f>Valuation_Model!D76</f>
        <v>30</v>
      </c>
      <c r="E113" s="245" t="str">
        <f>ROUND(Valuation_Model!E76,2)&amp;" "&amp;Market_currency</f>
        <v>66.58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54.9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46.5 HKD</v>
      </c>
      <c r="F115" s="246">
        <f>Valuation_Model!F78</f>
        <v>0.05</v>
      </c>
    </row>
    <row r="117" spans="1:6">
      <c r="B117" s="235" t="s">
        <v>259</v>
      </c>
      <c r="C117" s="241">
        <f>Scenarios!C60</f>
        <v>67.394305644906538</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2.0479887326362438</v>
      </c>
      <c r="D128" s="236" t="str">
        <f>Market_currency</f>
        <v>HKD</v>
      </c>
    </row>
    <row r="130" spans="2:4">
      <c r="B130" s="234" t="s">
        <v>418</v>
      </c>
      <c r="C130" s="337">
        <f>C19</f>
        <v>0.3</v>
      </c>
      <c r="D130" s="1" t="s">
        <v>416</v>
      </c>
    </row>
    <row r="131" spans="2:4">
      <c r="B131" s="236" t="str">
        <f>"PV("&amp;C126&amp;" yrs of Dividends)"</f>
        <v>PV(3 yrs of Dividends)</v>
      </c>
      <c r="C131" s="240">
        <f>Scenarios!C81</f>
        <v>3.7193787178965021</v>
      </c>
    </row>
    <row r="132" spans="2:4">
      <c r="B132" s="236" t="str">
        <f>"+ PV(Equity Value realized at year "&amp;C126&amp;")"</f>
        <v>+ PV(Equity Value realized at year 3)</v>
      </c>
      <c r="C132" s="240">
        <f>Scenarios!C82</f>
        <v>30.675605664500011</v>
      </c>
    </row>
    <row r="133" spans="2:4">
      <c r="B133" s="80" t="s">
        <v>261</v>
      </c>
      <c r="C133" s="239">
        <f>Scenarios!C83</f>
        <v>34.394984382396515</v>
      </c>
      <c r="D133" s="47" t="str">
        <f>Reporting_currency</f>
        <v>CNY</v>
      </c>
    </row>
    <row r="134" spans="2:4">
      <c r="B134" s="238" t="s">
        <v>263</v>
      </c>
      <c r="C134" s="92">
        <f>Scenarios!F83</f>
        <v>0.48964554121797699</v>
      </c>
    </row>
    <row r="136" spans="2:4">
      <c r="B136" s="234" t="s">
        <v>421</v>
      </c>
      <c r="C136" s="337">
        <f>Scenarios!C90</f>
        <v>0.2</v>
      </c>
      <c r="D136" s="1" t="s">
        <v>420</v>
      </c>
    </row>
    <row r="137" spans="2:4">
      <c r="B137" s="236" t="str">
        <f>"PV("&amp;C126&amp;" yrs of Dividends)"</f>
        <v>PV(3 yrs of Dividends)</v>
      </c>
      <c r="C137" s="240">
        <f>Scenarios!C91</f>
        <v>4.3140503395809766</v>
      </c>
    </row>
    <row r="138" spans="2:4">
      <c r="B138" s="236" t="str">
        <f>"+ PV(Equity Value realized at year "&amp;C126&amp;")"</f>
        <v>+ PV(Equity Value realized at year 3)</v>
      </c>
      <c r="C138" s="240">
        <f>Scenarios!C92</f>
        <v>39.001334285246841</v>
      </c>
    </row>
    <row r="139" spans="2:4">
      <c r="B139" s="80" t="s">
        <v>261</v>
      </c>
      <c r="C139" s="239">
        <f>Scenarios!C93</f>
        <v>43.315384624827814</v>
      </c>
      <c r="D139" s="47" t="str">
        <f>Reporting_currency</f>
        <v>CNY</v>
      </c>
    </row>
    <row r="140" spans="2:4">
      <c r="B140" s="238" t="s">
        <v>263</v>
      </c>
      <c r="C140" s="92">
        <f>Scenarios!F93</f>
        <v>0.35728420657596816</v>
      </c>
    </row>
    <row r="142" spans="2:4">
      <c r="B142" s="234" t="s">
        <v>408</v>
      </c>
      <c r="C142" s="92">
        <f>Scenarios!C96</f>
        <v>0.08</v>
      </c>
      <c r="D142" s="1" t="s">
        <v>419</v>
      </c>
    </row>
    <row r="143" spans="2:4">
      <c r="B143" s="236" t="str">
        <f>"PV("&amp;C126&amp;" yrs of Dividends)"</f>
        <v>PV(3 yrs of Dividends)</v>
      </c>
      <c r="C143" s="240">
        <f>Scenarios!C97</f>
        <v>5.2778655927944689</v>
      </c>
    </row>
    <row r="144" spans="2:4">
      <c r="B144" s="236" t="str">
        <f>"+ PV(Equity Value realized at year "&amp;C126&amp;")"</f>
        <v>+ PV(Equity Value realized at year 3)</v>
      </c>
      <c r="C144" s="240">
        <f>Scenarios!C98</f>
        <v>53.499772682094424</v>
      </c>
    </row>
    <row r="145" spans="1:6">
      <c r="B145" s="80" t="s">
        <v>409</v>
      </c>
      <c r="C145" s="239">
        <f>Scenarios!C99</f>
        <v>58.777638274888893</v>
      </c>
      <c r="D145" s="101" t="str">
        <f>Reporting_currency</f>
        <v>CNY</v>
      </c>
    </row>
    <row r="146" spans="1:6">
      <c r="B146" s="238" t="s">
        <v>263</v>
      </c>
      <c r="C146" s="92">
        <f>Scenarios!F99</f>
        <v>0.12785453144094927</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2.0479887326362438</v>
      </c>
      <c r="D25" s="39">
        <f>2/Exchange_Rate</f>
        <v>1.8618079387602215</v>
      </c>
      <c r="E25" s="39">
        <f>1.3/Exchange_Rate</f>
        <v>1.2101751601941442</v>
      </c>
      <c r="F25" s="39">
        <f>1.1/Exchange_Rate</f>
        <v>1.0239943663181219</v>
      </c>
      <c r="G25" s="39">
        <f>0.75/Exchange_Rate</f>
        <v>0.69817797703508311</v>
      </c>
      <c r="H25" s="39"/>
      <c r="I25" s="39"/>
      <c r="J25" s="39"/>
      <c r="K25" s="39"/>
      <c r="L25" s="39"/>
      <c r="M25" s="39"/>
    </row>
    <row r="27" spans="2:13">
      <c r="B27" s="16" t="s">
        <v>28</v>
      </c>
      <c r="C27" s="97" t="s">
        <v>429</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2.0479887326362438</v>
      </c>
      <c r="D65" s="73">
        <f t="shared" ref="D65:M65" si="33">IF(D$4="","",D25)</f>
        <v>1.8618079387602215</v>
      </c>
      <c r="E65" s="73">
        <f t="shared" si="33"/>
        <v>1.2101751601941442</v>
      </c>
      <c r="F65" s="73">
        <f t="shared" si="33"/>
        <v>1.0239943663181219</v>
      </c>
      <c r="G65" s="73">
        <f t="shared" si="33"/>
        <v>0.69817797703508311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22.883342024102344</v>
      </c>
      <c r="D47" s="148">
        <f>D46*H1/Common_Shares*Exchange_Rate</f>
        <v>1.3351546830236229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12808944138.689201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-2536991432.0768795</v>
      </c>
      <c r="D73" s="188">
        <f>(Normalized_FCF!C25+Normalized_FCF!C35-Normalized_FCF!C91)/12</f>
        <v>-2584914378.6553998</v>
      </c>
      <c r="F73" s="1" t="s">
        <v>359</v>
      </c>
    </row>
    <row r="74" spans="2:6" ht="15" customHeight="1">
      <c r="B74" s="288" t="s">
        <v>329</v>
      </c>
      <c r="C74" s="289">
        <f>-$C$66/C73</f>
        <v>7.0866510105956015</v>
      </c>
      <c r="D74" s="289">
        <f>-$C$66/D73</f>
        <v>6.9552682458101591</v>
      </c>
      <c r="F74" s="283" t="s">
        <v>327</v>
      </c>
    </row>
    <row r="75" spans="2:6" ht="15" customHeight="1">
      <c r="B75" s="80" t="s">
        <v>328</v>
      </c>
      <c r="C75" s="293"/>
      <c r="D75" s="292">
        <f>MAX(-D73*D76,G5)</f>
        <v>5169828757.3107996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-306579832.49340481</v>
      </c>
      <c r="D86" s="248">
        <f>C86*scaling_factor/Common_Shares</f>
        <v>-0.22473285026779055</v>
      </c>
      <c r="E86" s="269" t="str">
        <f>Market_currency</f>
        <v>HKD</v>
      </c>
    </row>
    <row r="87" spans="2:8" ht="15" customHeight="1">
      <c r="B87" s="267" t="s">
        <v>294</v>
      </c>
      <c r="C87" s="188">
        <f>Valuation_Model!C8*Exchange_Rate</f>
        <v>13759683662.342402</v>
      </c>
      <c r="D87" s="248">
        <f>C87*scaling_factor/Common_Shares</f>
        <v>10.086289443999483</v>
      </c>
      <c r="E87" s="269" t="str">
        <f>Market_currency</f>
        <v>HKD</v>
      </c>
    </row>
    <row r="88" spans="2:8" ht="15" customHeight="1">
      <c r="B88" s="268" t="s">
        <v>190</v>
      </c>
      <c r="C88" s="188">
        <f>Valuation_Model!C9*Exchange_Rate</f>
        <v>2959931062.851552</v>
      </c>
      <c r="D88" s="248">
        <f>C88*scaling_factor/Common_Shares</f>
        <v>2.1697244040509736</v>
      </c>
      <c r="E88" s="269" t="str">
        <f>Market_currency</f>
        <v>HKD</v>
      </c>
    </row>
    <row r="89" spans="2:8" ht="15" customHeight="1">
      <c r="B89" s="80" t="s">
        <v>298</v>
      </c>
      <c r="C89" s="187">
        <f>SUM(C86:C88)</f>
        <v>16413034892.70055</v>
      </c>
      <c r="D89" s="271">
        <f>SUM(D86:D88)</f>
        <v>12.031280997782666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155516623.29966182</v>
      </c>
      <c r="E12" s="302"/>
      <c r="G12" s="191">
        <f>G50</f>
        <v>155516623.29966182</v>
      </c>
      <c r="H12" s="191">
        <f t="shared" ref="H12:Q12" si="6">H50</f>
        <v>129178748.16033334</v>
      </c>
      <c r="I12" s="191">
        <f t="shared" si="6"/>
        <v>122938742.94696665</v>
      </c>
      <c r="J12" s="191">
        <f t="shared" si="6"/>
        <v>68079876.221250579</v>
      </c>
      <c r="K12" s="191">
        <f t="shared" si="6"/>
        <v>137022905.23545256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4033584693.6074162</v>
      </c>
      <c r="E13" s="302"/>
      <c r="G13" s="184">
        <f>IF(G$4="","",SUM(G8:G12))</f>
        <v>4691581483.2996616</v>
      </c>
      <c r="H13" s="184">
        <f t="shared" ref="H13:Q13" si="7">IF(H$4="","",SUM(H8:H12))</f>
        <v>4549846540.1603336</v>
      </c>
      <c r="I13" s="184">
        <f t="shared" si="7"/>
        <v>3869891950.9469666</v>
      </c>
      <c r="J13" s="184">
        <f t="shared" si="7"/>
        <v>3025170876.2212505</v>
      </c>
      <c r="K13" s="184">
        <f t="shared" si="7"/>
        <v>2471082777.2354527</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-1008396173.401854</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2878553955.7338853</v>
      </c>
      <c r="D16" s="61"/>
      <c r="E16" s="310"/>
      <c r="F16" s="61"/>
      <c r="G16" s="184">
        <f>IF(G$4="","",SUM(G13:G15))</f>
        <v>3155072341.2996616</v>
      </c>
      <c r="H16" s="184">
        <f t="shared" ref="H16:Q16" si="8">IF(H$4="","",SUM(H13:H15))</f>
        <v>3071290644.1603336</v>
      </c>
      <c r="I16" s="184">
        <f t="shared" si="8"/>
        <v>2574379257.9469666</v>
      </c>
      <c r="J16" s="184">
        <f t="shared" si="8"/>
        <v>1701651221.2212505</v>
      </c>
      <c r="K16" s="184">
        <f t="shared" si="8"/>
        <v>1432857009.2354527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2878553955.7338853</v>
      </c>
      <c r="D19" s="27"/>
      <c r="E19" s="299"/>
      <c r="F19" s="27"/>
      <c r="G19" s="186">
        <f>IF(G$4="","",G16+G17)</f>
        <v>3155072341.2996616</v>
      </c>
      <c r="H19" s="186">
        <f t="shared" ref="H19:Q19" si="9">IF(H$4="","",H16+H17)</f>
        <v>3071290644.1603336</v>
      </c>
      <c r="I19" s="186">
        <f t="shared" si="9"/>
        <v>2574379257.9469666</v>
      </c>
      <c r="J19" s="186">
        <f t="shared" si="9"/>
        <v>1701651221.2212505</v>
      </c>
      <c r="K19" s="186">
        <f t="shared" si="9"/>
        <v>1432857009.2354527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0.29621489447575172</v>
      </c>
      <c r="H43" s="6">
        <f t="shared" si="18"/>
        <v>0.30730890935735339</v>
      </c>
      <c r="I43" s="6">
        <f t="shared" si="18"/>
        <v>0.31045306257349414</v>
      </c>
      <c r="J43" s="6">
        <f t="shared" si="18"/>
        <v>0.40418596007618501</v>
      </c>
      <c r="K43" s="6">
        <f t="shared" si="18"/>
        <v>0.36930390491449183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177353677.29966182</v>
      </c>
      <c r="E48" s="302"/>
      <c r="G48" s="328">
        <f>IFERROR(IF(G$4="","",($C$48/$C$49)*G49),0)</f>
        <v>177353677.29966182</v>
      </c>
      <c r="H48" s="328">
        <f t="shared" ref="H48:Q48" si="19">IFERROR(IF(H$4="","",($C$48/$C$49)*H49),0)</f>
        <v>145609338.16033334</v>
      </c>
      <c r="I48" s="328">
        <f t="shared" si="19"/>
        <v>132176542.94696665</v>
      </c>
      <c r="J48" s="328">
        <f t="shared" si="19"/>
        <v>90765243.221250579</v>
      </c>
      <c r="K48" s="328">
        <f t="shared" si="19"/>
        <v>150685587.23545256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155516623.29966182</v>
      </c>
      <c r="E50" s="302"/>
      <c r="G50" s="184">
        <f>IF(G$4="","",(G47+G48))</f>
        <v>155516623.29966182</v>
      </c>
      <c r="H50" s="184">
        <f t="shared" ref="H50:Q50" si="20">IF(H$4="","",(H47+H48))</f>
        <v>129178748.16033334</v>
      </c>
      <c r="I50" s="184">
        <f t="shared" si="20"/>
        <v>122938742.94696665</v>
      </c>
      <c r="J50" s="184">
        <f t="shared" si="20"/>
        <v>68079876.221250579</v>
      </c>
      <c r="K50" s="184">
        <f t="shared" si="20"/>
        <v>137022905.23545256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431</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4.8442745744631628E-3</v>
      </c>
      <c r="D80" s="27"/>
      <c r="E80" s="299"/>
      <c r="F80" s="27"/>
      <c r="G80" s="6">
        <f t="shared" ref="G80:Q80" si="31">IF(G$4="","",ABS(G12/G$4))</f>
        <v>4.8390517580846953E-3</v>
      </c>
      <c r="H80" s="6">
        <f t="shared" si="31"/>
        <v>3.8064815640132628E-3</v>
      </c>
      <c r="I80" s="6">
        <f t="shared" si="31"/>
        <v>3.8213478443602476E-3</v>
      </c>
      <c r="J80" s="6">
        <f t="shared" si="31"/>
        <v>2.2567810999687935E-3</v>
      </c>
      <c r="K80" s="6">
        <f t="shared" si="31"/>
        <v>4.9360350185460918E-3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0.1256443932526452</v>
      </c>
      <c r="D81" s="27"/>
      <c r="E81" s="299"/>
      <c r="F81" s="27"/>
      <c r="G81" s="65">
        <f t="shared" ref="G81:Q81" si="32">IF(G$4="","",G13/G$4)</f>
        <v>0.14598314407337187</v>
      </c>
      <c r="H81" s="65">
        <f t="shared" si="32"/>
        <v>0.13406932038630734</v>
      </c>
      <c r="I81" s="65">
        <f t="shared" si="32"/>
        <v>0.12028920184288532</v>
      </c>
      <c r="J81" s="65">
        <f t="shared" si="32"/>
        <v>0.10028144639165948</v>
      </c>
      <c r="K81" s="65">
        <f t="shared" si="32"/>
        <v>8.9016877150583498E-2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3.1411098313161301E-2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8.966569260002924E-2</v>
      </c>
      <c r="D84" s="27"/>
      <c r="E84" s="299"/>
      <c r="F84" s="27"/>
      <c r="G84" s="65">
        <f t="shared" ref="G84:Q84" si="35">IF(G$4="","",ABS(G16/G$4))</f>
        <v>9.8173160116984903E-2</v>
      </c>
      <c r="H84" s="65">
        <f t="shared" si="35"/>
        <v>9.0501041241028243E-2</v>
      </c>
      <c r="I84" s="65">
        <f t="shared" si="35"/>
        <v>8.0020328759706952E-2</v>
      </c>
      <c r="J84" s="65">
        <f t="shared" si="35"/>
        <v>5.6408068403512028E-2</v>
      </c>
      <c r="K84" s="65">
        <f t="shared" si="35"/>
        <v>5.1616423998616844E-2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8.966569260002924E-2</v>
      </c>
      <c r="D87" s="75"/>
      <c r="E87" s="299"/>
      <c r="F87" s="75"/>
      <c r="G87" s="65">
        <f t="shared" ref="G87:Q87" si="36">IF(G$4="","",ABS(G19/G$4))</f>
        <v>9.8173160116984903E-2</v>
      </c>
      <c r="H87" s="65">
        <f t="shared" si="36"/>
        <v>9.0501041241028243E-2</v>
      </c>
      <c r="I87" s="65">
        <f t="shared" si="36"/>
        <v>8.0020328759706952E-2</v>
      </c>
      <c r="J87" s="65">
        <f t="shared" si="36"/>
        <v>5.6408068403512028E-2</v>
      </c>
      <c r="K87" s="65">
        <f t="shared" si="36"/>
        <v>5.1616423998616844E-2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2.0479887326362438</v>
      </c>
      <c r="E90" s="302"/>
      <c r="G90" s="113">
        <f>Data!C65</f>
        <v>2.0479887326362438</v>
      </c>
      <c r="H90" s="113">
        <f>Data!D65</f>
        <v>1.8618079387602215</v>
      </c>
      <c r="I90" s="113">
        <f>Data!E65</f>
        <v>1.2101751601941442</v>
      </c>
      <c r="J90" s="113">
        <f>Data!F65</f>
        <v>1.0239943663181219</v>
      </c>
      <c r="K90" s="113">
        <f>Data!G65</f>
        <v>0.69817797703508311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2793859650.9225545</v>
      </c>
      <c r="E91" s="302"/>
      <c r="G91" s="74">
        <f t="shared" ref="G91:Q91" si="37">IF(G$4="","",G90*Common_Shares/scaling_factor)</f>
        <v>2793859650.9225545</v>
      </c>
      <c r="H91" s="74">
        <f t="shared" si="37"/>
        <v>2539872409.929595</v>
      </c>
      <c r="I91" s="74">
        <f t="shared" si="37"/>
        <v>1650917066.454237</v>
      </c>
      <c r="J91" s="74">
        <f t="shared" si="37"/>
        <v>1396929825.4612772</v>
      </c>
      <c r="K91" s="74">
        <f t="shared" si="37"/>
        <v>952452153.72359812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0.97057748226583507</v>
      </c>
      <c r="E92" s="302"/>
      <c r="G92" s="171">
        <f t="shared" ref="G92:Q92" si="38">IF(G$4="","",G90/(G19*scaling_factor/Common_Shares))</f>
        <v>0.88551365822936612</v>
      </c>
      <c r="H92" s="171">
        <f t="shared" si="38"/>
        <v>0.8269723397096389</v>
      </c>
      <c r="I92" s="171">
        <f t="shared" si="38"/>
        <v>0.64128743321635584</v>
      </c>
      <c r="J92" s="171">
        <f t="shared" si="38"/>
        <v>0.82092605584516964</v>
      </c>
      <c r="K92" s="171">
        <f t="shared" si="38"/>
        <v>0.66472240257372917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3.8244420777520896E-2</v>
      </c>
      <c r="E93" s="302"/>
      <c r="G93" s="23">
        <f t="shared" ref="G93:Q93" si="39">IF(G$4="","",G90/Market_Price)</f>
        <v>3.8244420777520896E-2</v>
      </c>
      <c r="H93" s="23">
        <f t="shared" si="39"/>
        <v>3.4767655252291724E-2</v>
      </c>
      <c r="I93" s="23">
        <f t="shared" si="39"/>
        <v>2.259897591398962E-2</v>
      </c>
      <c r="J93" s="23">
        <f t="shared" si="39"/>
        <v>1.9122210388760448E-2</v>
      </c>
      <c r="K93" s="23">
        <f t="shared" si="39"/>
        <v>1.3037870719609396E-2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-0.14025053002585097</v>
      </c>
      <c r="D97" s="27"/>
      <c r="E97" s="299"/>
      <c r="F97" s="27"/>
      <c r="G97" s="6">
        <f t="shared" ref="G97:Q97" si="41">IF(H5="","",G13/H13-1)</f>
        <v>3.1151587616916165E-2</v>
      </c>
      <c r="H97" s="6">
        <f t="shared" si="41"/>
        <v>0.17570376584984015</v>
      </c>
      <c r="I97" s="6">
        <f t="shared" si="41"/>
        <v>0.27923086307800893</v>
      </c>
      <c r="J97" s="6">
        <f t="shared" si="41"/>
        <v>0.22422887006872716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1.63376955403712</v>
      </c>
      <c r="H114" s="334">
        <f>IF(H$4="","",Data!D$22/H19)</f>
        <v>0.90436479702146999</v>
      </c>
      <c r="I114" s="334">
        <f>IF(I$4="","",Data!E$22/I19)</f>
        <v>1.8951253227120683</v>
      </c>
      <c r="J114" s="334">
        <f>IF(J$4="","",Data!F$22/J19)</f>
        <v>3.5513220215967323</v>
      </c>
      <c r="K114" s="334">
        <f>IF(K$4="","",Data!G$22/K19)</f>
        <v>3.4570249020473156</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0.1256443932526452</v>
      </c>
      <c r="E117" s="302"/>
      <c r="G117" s="23">
        <f t="shared" ref="G117:Q117" si="45">G81</f>
        <v>0.14598314407337187</v>
      </c>
      <c r="H117" s="23">
        <f t="shared" si="45"/>
        <v>0.13406932038630734</v>
      </c>
      <c r="I117" s="23">
        <f t="shared" si="45"/>
        <v>0.12028920184288532</v>
      </c>
      <c r="J117" s="23">
        <f t="shared" si="45"/>
        <v>0.10028144639165948</v>
      </c>
      <c r="K117" s="23">
        <f t="shared" si="45"/>
        <v>8.9016877150583498E-2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2.2666917790674992</v>
      </c>
      <c r="D124" s="27"/>
      <c r="E124" s="299"/>
      <c r="F124" s="27"/>
      <c r="G124" s="178">
        <f t="shared" ref="G124:Q124" si="49">IF(G$4="","",G16*$C$3/Common_Shares*Exchange_Rate)</f>
        <v>2.4844337290054028</v>
      </c>
      <c r="H124" s="178">
        <f t="shared" si="49"/>
        <v>2.4184605747542012</v>
      </c>
      <c r="I124" s="178">
        <f t="shared" si="49"/>
        <v>2.0271721113883259</v>
      </c>
      <c r="J124" s="178">
        <f t="shared" si="49"/>
        <v>1.3399501601487296</v>
      </c>
      <c r="K124" s="178">
        <f t="shared" si="49"/>
        <v>1.1282905421813463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4.2328511280438831E-2</v>
      </c>
      <c r="D125" s="27"/>
      <c r="E125" s="299"/>
      <c r="F125" s="27"/>
      <c r="G125" s="77">
        <f t="shared" ref="G125" si="50">IF(G$4="","",G124/Market_Price)</f>
        <v>4.6394654136422089E-2</v>
      </c>
      <c r="H125" s="77">
        <f t="shared" ref="H125" si="51">IF(H$4="","",H124/Market_Price)</f>
        <v>4.5162662460395915E-2</v>
      </c>
      <c r="I125" s="77">
        <f t="shared" ref="I125" si="52">IF(I$4="","",I124/Market_Price)</f>
        <v>3.7855688354590585E-2</v>
      </c>
      <c r="J125" s="77">
        <f t="shared" ref="J125" si="53">IF(J$4="","",J124/Market_Price)</f>
        <v>2.5022411954224645E-2</v>
      </c>
      <c r="K125" s="77">
        <f t="shared" ref="K125" si="54">IF(K$4="","",K124/Market_Price)</f>
        <v>2.1069851394609641E-2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6.148676708270491E-2</v>
      </c>
      <c r="H126" s="23">
        <f>IF(H$4="","",(Data!D47*$C$3)/(Market_Price*Common_Shares))</f>
        <v>5.9521368304563151E-2</v>
      </c>
      <c r="I126" s="23">
        <f>IF(I$4="","",(Data!E47*$C$3)/(Market_Price*Common_Shares))</f>
        <v>5.2081846379740254E-2</v>
      </c>
      <c r="J126" s="23">
        <f>IF(J$4="","",(Data!F47*$C$3)/(Market_Price*Common_Shares))</f>
        <v>4.4573878533011209E-2</v>
      </c>
      <c r="K126" s="23">
        <f>IF(K$4="","",(Data!G47*$C$3)/(Market_Price*Common_Shares))</f>
        <v>3.1853272974968011E-2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2878553955.7338853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35981924446.673569</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12808944138.689201</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51260883777.86277</v>
      </c>
      <c r="D10" t="str">
        <f>Reporting_currency</f>
        <v>CNY</v>
      </c>
      <c r="H10" s="121"/>
    </row>
    <row r="11" spans="2:8" ht="13.15" thickBot="1">
      <c r="B11" s="230" t="s">
        <v>167</v>
      </c>
      <c r="C11" s="231">
        <f>Exchange_Rate</f>
        <v>1.0742246600000001</v>
      </c>
      <c r="D11" t="str">
        <f>Thesis!D17</f>
        <v>CNY/HKD</v>
      </c>
      <c r="H11" s="121"/>
    </row>
    <row r="12" spans="2:8" ht="13.5" thickTop="1">
      <c r="B12" s="150" t="s">
        <v>103</v>
      </c>
      <c r="C12" s="112">
        <f>(C10*scaling_factor)/Common_Shares*Exchange_Rate</f>
        <v>40.364928236126403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67.392482076101331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3054623149.7796507</v>
      </c>
      <c r="D21" s="139">
        <f>IF($C$17&lt;B21,0,Valuation_Model!$C$16)</f>
        <v>6.1165848114484E-2</v>
      </c>
      <c r="E21" s="125">
        <f t="shared" ref="E21:E50" si="0">IF($C$17&lt;B21,0,1/(1+Equity_Cost)^B21)</f>
        <v>0.92592592592592582</v>
      </c>
      <c r="F21" s="126">
        <f t="shared" ref="F21:F51" si="1">C21*E21</f>
        <v>2828354768.3144913</v>
      </c>
      <c r="H21" s="121"/>
    </row>
    <row r="22" spans="2:8">
      <c r="B22" s="123">
        <v>2</v>
      </c>
      <c r="C22" s="124">
        <f t="shared" ref="C22:C50" si="2">IF(ROW()-ROW($C$21)&lt;$C$17, $C$21*(1+D22)^(ROW()-ROW($C$21)), 0)</f>
        <v>3241461765.4060593</v>
      </c>
      <c r="D22" s="139">
        <f>IF($C$17&lt;B22,0,Valuation_Model!$C$16)</f>
        <v>6.1165848114484E-2</v>
      </c>
      <c r="E22" s="125">
        <f t="shared" si="0"/>
        <v>0.85733882030178321</v>
      </c>
      <c r="F22" s="126">
        <f t="shared" si="1"/>
        <v>2779031006.0065665</v>
      </c>
      <c r="H22" s="121"/>
    </row>
    <row r="23" spans="2:8">
      <c r="B23" s="123">
        <v>3</v>
      </c>
      <c r="C23" s="124">
        <f t="shared" si="2"/>
        <v>3439728523.4177928</v>
      </c>
      <c r="D23" s="139">
        <f>IF($C$17&lt;B23,0,Valuation_Model!$C$16)</f>
        <v>6.1165848114484E-2</v>
      </c>
      <c r="E23" s="125">
        <f t="shared" si="0"/>
        <v>0.79383224102016958</v>
      </c>
      <c r="F23" s="126">
        <f t="shared" si="1"/>
        <v>2730567402.2457452</v>
      </c>
      <c r="H23" s="121"/>
    </row>
    <row r="24" spans="2:8">
      <c r="B24" s="123">
        <v>4</v>
      </c>
      <c r="C24" s="124">
        <f t="shared" si="2"/>
        <v>3650122435.8362231</v>
      </c>
      <c r="D24" s="139">
        <f>IF($C$17&lt;B24,0,Valuation_Model!$C$16)</f>
        <v>6.1165848114484E-2</v>
      </c>
      <c r="E24" s="125">
        <f t="shared" si="0"/>
        <v>0.73502985279645328</v>
      </c>
      <c r="F24" s="126">
        <f t="shared" si="1"/>
        <v>2682948956.7017307</v>
      </c>
      <c r="H24" s="121"/>
    </row>
    <row r="25" spans="2:8">
      <c r="B25" s="123">
        <v>5</v>
      </c>
      <c r="C25" s="124">
        <f t="shared" si="2"/>
        <v>3873385270.3458519</v>
      </c>
      <c r="D25" s="139">
        <f>IF($C$17&lt;B25,0,Valuation_Model!$C$16)</f>
        <v>6.1165848114484E-2</v>
      </c>
      <c r="E25" s="125">
        <f t="shared" si="0"/>
        <v>0.68058319703375303</v>
      </c>
      <c r="F25" s="126">
        <f t="shared" si="1"/>
        <v>2636160930.6354275</v>
      </c>
      <c r="H25" s="121"/>
    </row>
    <row r="26" spans="2:8">
      <c r="B26" s="123">
        <v>6</v>
      </c>
      <c r="C26" s="124">
        <f t="shared" si="2"/>
        <v>4110304165.4807053</v>
      </c>
      <c r="D26" s="139">
        <f>IF($C$17&lt;B26,0,Valuation_Model!$C$16)</f>
        <v>6.1165848114484E-2</v>
      </c>
      <c r="E26" s="125">
        <f t="shared" si="0"/>
        <v>0.63016962688310452</v>
      </c>
      <c r="F26" s="126">
        <f t="shared" si="1"/>
        <v>2590188842.3370461</v>
      </c>
      <c r="H26" s="121"/>
    </row>
    <row r="27" spans="2:8">
      <c r="B27" s="123">
        <v>7</v>
      </c>
      <c r="C27" s="124">
        <f t="shared" si="2"/>
        <v>4361714405.7708282</v>
      </c>
      <c r="D27" s="139">
        <f>IF($C$17&lt;B27,0,Valuation_Model!$C$16)</f>
        <v>6.1165848114484E-2</v>
      </c>
      <c r="E27" s="125">
        <f t="shared" si="0"/>
        <v>0.58349039526213387</v>
      </c>
      <c r="F27" s="126">
        <f t="shared" si="1"/>
        <v>2545018462.643764</v>
      </c>
      <c r="H27" s="121"/>
    </row>
    <row r="28" spans="2:8">
      <c r="B28" s="123">
        <v>8</v>
      </c>
      <c r="C28" s="124">
        <f t="shared" si="2"/>
        <v>4628502366.6329622</v>
      </c>
      <c r="D28" s="139">
        <f>IF($C$17&lt;B28,0,Valuation_Model!$C$16)</f>
        <v>6.1165848114484E-2</v>
      </c>
      <c r="E28" s="125">
        <f t="shared" si="0"/>
        <v>0.54026888450197574</v>
      </c>
      <c r="F28" s="126">
        <f t="shared" si="1"/>
        <v>2500635810.5355453</v>
      </c>
      <c r="H28" s="121"/>
    </row>
    <row r="29" spans="2:8">
      <c r="B29" s="123">
        <v>9</v>
      </c>
      <c r="C29" s="124">
        <f t="shared" si="2"/>
        <v>4911608639.3879642</v>
      </c>
      <c r="D29" s="139">
        <f>IF($C$17&lt;B29,0,Valuation_Model!$C$16)</f>
        <v>6.1165848114484E-2</v>
      </c>
      <c r="E29" s="125">
        <f t="shared" si="0"/>
        <v>0.50024896713145905</v>
      </c>
      <c r="F29" s="126">
        <f t="shared" si="1"/>
        <v>2457027148.8077803</v>
      </c>
      <c r="H29" s="121"/>
    </row>
    <row r="30" spans="2:8">
      <c r="B30" s="123">
        <v>10</v>
      </c>
      <c r="C30" s="124">
        <f t="shared" si="2"/>
        <v>5212031347.422555</v>
      </c>
      <c r="D30" s="139">
        <f>IF($C$17&lt;B30,0,Valuation_Model!$C$16)</f>
        <v>6.1165848114484E-2</v>
      </c>
      <c r="E30" s="125">
        <f t="shared" si="0"/>
        <v>0.46319348808468425</v>
      </c>
      <c r="F30" s="126">
        <f t="shared" si="1"/>
        <v>2414178979.8193698</v>
      </c>
      <c r="H30" s="121"/>
    </row>
    <row r="31" spans="2:8">
      <c r="B31" s="123">
        <v>11</v>
      </c>
      <c r="C31" s="124">
        <f t="shared" si="2"/>
        <v>5530829665.1869316</v>
      </c>
      <c r="D31" s="139">
        <f>IF($C$17&lt;B31,0,Valuation_Model!$C$16)</f>
        <v>6.1165848114484E-2</v>
      </c>
      <c r="E31" s="125">
        <f t="shared" si="0"/>
        <v>0.42888285933767062</v>
      </c>
      <c r="F31" s="126">
        <f t="shared" si="1"/>
        <v>2372078041.3149829</v>
      </c>
      <c r="H31" s="121"/>
    </row>
    <row r="32" spans="2:8">
      <c r="B32" s="123">
        <v>12</v>
      </c>
      <c r="C32" s="124">
        <f t="shared" si="2"/>
        <v>5869127552.4348373</v>
      </c>
      <c r="D32" s="139">
        <f>IF($C$17&lt;B32,0,Valuation_Model!$C$16)</f>
        <v>6.1165848114484E-2</v>
      </c>
      <c r="E32" s="125">
        <f t="shared" si="0"/>
        <v>0.39711375864599124</v>
      </c>
      <c r="F32" s="126">
        <f t="shared" si="1"/>
        <v>2330711302.3201451</v>
      </c>
      <c r="H32" s="121"/>
    </row>
    <row r="33" spans="2:8">
      <c r="B33" s="123">
        <v>13</v>
      </c>
      <c r="C33" s="124">
        <f t="shared" si="2"/>
        <v>6228117716.8715992</v>
      </c>
      <c r="D33" s="139">
        <f>IF($C$17&lt;B33,0,Valuation_Model!$C$16)</f>
        <v>6.1165848114484E-2</v>
      </c>
      <c r="E33" s="125">
        <f t="shared" si="0"/>
        <v>0.36769792467221413</v>
      </c>
      <c r="F33" s="126">
        <f t="shared" si="1"/>
        <v>2290065959.1079354</v>
      </c>
      <c r="H33" s="121"/>
    </row>
    <row r="34" spans="2:8">
      <c r="B34" s="123">
        <v>14</v>
      </c>
      <c r="C34" s="124">
        <f t="shared" si="2"/>
        <v>6609065819.1808939</v>
      </c>
      <c r="D34" s="139">
        <f>IF($C$17&lt;B34,0,Valuation_Model!$C$16)</f>
        <v>6.1165848114484E-2</v>
      </c>
      <c r="E34" s="125">
        <f t="shared" si="0"/>
        <v>0.34046104136316119</v>
      </c>
      <c r="F34" s="126">
        <f t="shared" si="1"/>
        <v>2250129431.236001</v>
      </c>
      <c r="H34" s="121"/>
    </row>
    <row r="35" spans="2:8">
      <c r="B35" s="123">
        <v>15</v>
      </c>
      <c r="C35" s="124">
        <f t="shared" si="2"/>
        <v>7013314935.2555389</v>
      </c>
      <c r="D35" s="139">
        <f>IF($C$17&lt;B35,0,Valuation_Model!$C$16)</f>
        <v>6.1165848114484E-2</v>
      </c>
      <c r="E35" s="125">
        <f t="shared" si="0"/>
        <v>0.31524170496588994</v>
      </c>
      <c r="F35" s="126">
        <f t="shared" si="1"/>
        <v>2210889357.6526961</v>
      </c>
      <c r="H35" s="121"/>
    </row>
    <row r="36" spans="2:8">
      <c r="B36" s="123">
        <v>16</v>
      </c>
      <c r="C36" s="124">
        <f t="shared" si="2"/>
        <v>7442290291.3644199</v>
      </c>
      <c r="D36" s="139">
        <f>IF($C$17&lt;B36,0,Valuation_Model!$C$16)</f>
        <v>6.1165848114484E-2</v>
      </c>
      <c r="E36" s="125">
        <f t="shared" si="0"/>
        <v>0.29189046756100923</v>
      </c>
      <c r="F36" s="126">
        <f t="shared" si="1"/>
        <v>2172333592.87112</v>
      </c>
      <c r="H36" s="121"/>
    </row>
    <row r="37" spans="2:8">
      <c r="B37" s="123">
        <v>17</v>
      </c>
      <c r="C37" s="124">
        <f t="shared" si="2"/>
        <v>7897504288.9499149</v>
      </c>
      <c r="D37" s="139">
        <f>IF($C$17&lt;B37,0,Valuation_Model!$C$16)</f>
        <v>6.1165848114484E-2</v>
      </c>
      <c r="E37" s="125">
        <f t="shared" si="0"/>
        <v>0.27026895144537894</v>
      </c>
      <c r="F37" s="126">
        <f t="shared" si="1"/>
        <v>2134450203.2098765</v>
      </c>
      <c r="H37" s="121"/>
    </row>
    <row r="38" spans="2:8">
      <c r="B38" s="123">
        <v>18</v>
      </c>
      <c r="C38" s="124">
        <f t="shared" si="2"/>
        <v>8380561836.7713108</v>
      </c>
      <c r="D38" s="139">
        <f>IF($C$17&lt;B38,0,Valuation_Model!$C$16)</f>
        <v>6.1165848114484E-2</v>
      </c>
      <c r="E38" s="125">
        <f t="shared" si="0"/>
        <v>0.25024902911609154</v>
      </c>
      <c r="F38" s="126">
        <f t="shared" si="1"/>
        <v>2097227463.0993893</v>
      </c>
      <c r="H38" s="121"/>
    </row>
    <row r="39" spans="2:8">
      <c r="B39" s="123">
        <v>19</v>
      </c>
      <c r="C39" s="124">
        <f t="shared" si="2"/>
        <v>8893166009.1933041</v>
      </c>
      <c r="D39" s="139">
        <f>IF($C$17&lt;B39,0,Valuation_Model!$C$16)</f>
        <v>6.1165848114484E-2</v>
      </c>
      <c r="E39" s="125">
        <f t="shared" si="0"/>
        <v>0.23171206399638106</v>
      </c>
      <c r="F39" s="126">
        <f t="shared" si="1"/>
        <v>2060653851.4526396</v>
      </c>
      <c r="H39" s="121"/>
    </row>
    <row r="40" spans="2:8">
      <c r="B40" s="123">
        <v>20</v>
      </c>
      <c r="C40" s="124">
        <f t="shared" si="2"/>
        <v>9437124050.568512</v>
      </c>
      <c r="D40" s="139">
        <f>IF($C$17&lt;B40,0,Valuation_Model!$C$16)</f>
        <v>6.1165848114484E-2</v>
      </c>
      <c r="E40" s="125">
        <f t="shared" si="0"/>
        <v>0.21454820740405653</v>
      </c>
      <c r="F40" s="126">
        <f t="shared" si="1"/>
        <v>2024718048.0991831</v>
      </c>
      <c r="H40" s="121"/>
    </row>
    <row r="41" spans="2:8">
      <c r="B41" s="123">
        <v>21</v>
      </c>
      <c r="C41" s="124">
        <f t="shared" si="2"/>
        <v>10014353746.883129</v>
      </c>
      <c r="D41" s="139">
        <f>IF($C$17&lt;B41,0,Valuation_Model!$C$16)</f>
        <v>6.1165848114484E-2</v>
      </c>
      <c r="E41" s="125">
        <f t="shared" si="0"/>
        <v>0.19865574759634863</v>
      </c>
      <c r="F41" s="126">
        <f t="shared" si="1"/>
        <v>1989408930.281363</v>
      </c>
      <c r="H41" s="121"/>
    </row>
    <row r="42" spans="2:8">
      <c r="B42" s="123">
        <v>22</v>
      </c>
      <c r="C42" s="124">
        <f t="shared" si="2"/>
        <v>10626890187.129696</v>
      </c>
      <c r="D42" s="139">
        <f>IF($C$17&lt;B42,0,Valuation_Model!$C$16)</f>
        <v>6.1165848114484E-2</v>
      </c>
      <c r="E42" s="125">
        <f t="shared" si="0"/>
        <v>0.18394050703365611</v>
      </c>
      <c r="F42" s="126">
        <f t="shared" si="1"/>
        <v>1954715569.2116208</v>
      </c>
      <c r="H42" s="121"/>
    </row>
    <row r="43" spans="2:8">
      <c r="B43" s="123">
        <v>23</v>
      </c>
      <c r="C43" s="124">
        <f t="shared" si="2"/>
        <v>11276892938.244968</v>
      </c>
      <c r="D43" s="139">
        <f>IF($C$17&lt;B43,0,Valuation_Model!$C$16)</f>
        <v>6.1165848114484E-2</v>
      </c>
      <c r="E43" s="125">
        <f t="shared" si="0"/>
        <v>0.17031528429042234</v>
      </c>
      <c r="F43" s="126">
        <f t="shared" si="1"/>
        <v>1920627226.6898479</v>
      </c>
      <c r="H43" s="121"/>
    </row>
    <row r="44" spans="2:8">
      <c r="B44" s="123">
        <v>24</v>
      </c>
      <c r="C44" s="124">
        <f t="shared" si="2"/>
        <v>11966653658.908955</v>
      </c>
      <c r="D44" s="139">
        <f>IF($C$17&lt;B44,0,Valuation_Model!$C$16)</f>
        <v>6.1165848114484E-2</v>
      </c>
      <c r="E44" s="125">
        <f t="shared" si="0"/>
        <v>0.1576993373059466</v>
      </c>
      <c r="F44" s="126">
        <f t="shared" si="1"/>
        <v>1887133351.7797232</v>
      </c>
      <c r="H44" s="121"/>
    </row>
    <row r="45" spans="2:8">
      <c r="B45" s="123">
        <v>25</v>
      </c>
      <c r="C45" s="124">
        <f t="shared" si="2"/>
        <v>12698604179.048414</v>
      </c>
      <c r="D45" s="139">
        <f>IF($C$17&lt;B45,0,Valuation_Model!$C$16)</f>
        <v>6.1165848114484E-2</v>
      </c>
      <c r="E45" s="125">
        <f t="shared" si="0"/>
        <v>0.1460179049129135</v>
      </c>
      <c r="F45" s="126">
        <f t="shared" si="1"/>
        <v>1854223577.5430174</v>
      </c>
      <c r="H45" s="121"/>
    </row>
    <row r="46" spans="2:8">
      <c r="B46" s="123">
        <v>26</v>
      </c>
      <c r="C46" s="124">
        <f t="shared" si="2"/>
        <v>13475325073.530041</v>
      </c>
      <c r="D46" s="139">
        <f>IF($C$17&lt;B46,0,Valuation_Model!$C$16)</f>
        <v>6.1165848114484E-2</v>
      </c>
      <c r="E46" s="125">
        <f t="shared" si="0"/>
        <v>0.13520176380825324</v>
      </c>
      <c r="F46" s="126">
        <f t="shared" si="1"/>
        <v>1821887717.8308413</v>
      </c>
      <c r="H46" s="121"/>
    </row>
    <row r="47" spans="2:8">
      <c r="B47" s="123">
        <v>27</v>
      </c>
      <c r="C47" s="124">
        <f t="shared" si="2"/>
        <v>14299554760.270876</v>
      </c>
      <c r="D47" s="139">
        <f>IF($C$17&lt;B47,0,Valuation_Model!$C$16)</f>
        <v>6.1165848114484E-2</v>
      </c>
      <c r="E47" s="125">
        <f t="shared" si="0"/>
        <v>0.12518681834097523</v>
      </c>
      <c r="F47" s="126">
        <f t="shared" si="1"/>
        <v>1790115764.1308577</v>
      </c>
      <c r="H47" s="121"/>
    </row>
    <row r="48" spans="2:8">
      <c r="B48" s="123">
        <v>28</v>
      </c>
      <c r="C48" s="124">
        <f t="shared" si="2"/>
        <v>15174199154.842346</v>
      </c>
      <c r="D48" s="139">
        <f>IF($C$17&lt;B48,0,Valuation_Model!$C$16)</f>
        <v>6.1165848114484E-2</v>
      </c>
      <c r="E48" s="125">
        <f t="shared" si="0"/>
        <v>0.11591372068608817</v>
      </c>
      <c r="F48" s="126">
        <f t="shared" si="1"/>
        <v>1758897882.469471</v>
      </c>
      <c r="H48" s="121"/>
    </row>
    <row r="49" spans="1:8">
      <c r="B49" s="123">
        <v>29</v>
      </c>
      <c r="C49" s="124">
        <f t="shared" si="2"/>
        <v>16102341915.606363</v>
      </c>
      <c r="D49" s="139">
        <f>IF($C$17&lt;B49,0,Valuation_Model!$C$16)</f>
        <v>6.1165848114484E-2</v>
      </c>
      <c r="E49" s="125">
        <f t="shared" si="0"/>
        <v>0.10732751915378534</v>
      </c>
      <c r="F49" s="126">
        <f t="shared" si="1"/>
        <v>1728224410.3680425</v>
      </c>
      <c r="H49" s="121"/>
    </row>
    <row r="50" spans="1:8">
      <c r="B50" s="123">
        <v>30</v>
      </c>
      <c r="C50" s="124">
        <f t="shared" si="2"/>
        <v>17087255315.503832</v>
      </c>
      <c r="D50" s="139">
        <f>IF($C$17&lt;B50,0,Valuation_Model!$C$16)</f>
        <v>6.1165848114484E-2</v>
      </c>
      <c r="E50" s="125">
        <f t="shared" si="0"/>
        <v>9.9377332549801231E-2</v>
      </c>
      <c r="F50" s="126">
        <f t="shared" si="1"/>
        <v>1698085853.8521831</v>
      </c>
      <c r="H50" s="121"/>
    </row>
    <row r="51" spans="1:8">
      <c r="B51" s="127" t="s">
        <v>132</v>
      </c>
      <c r="C51" s="124">
        <f>C$21*(1+Terminal_Growth)^$C$17/Equity_Cost</f>
        <v>38182789372.245636</v>
      </c>
      <c r="D51" s="140">
        <f>Terminal_Growth</f>
        <v>0</v>
      </c>
      <c r="E51" s="125">
        <f>1/(1+Equity_Cost)^C17</f>
        <v>9.9377332549801231E-2</v>
      </c>
      <c r="F51" s="126">
        <f t="shared" si="1"/>
        <v>3794503757.124671</v>
      </c>
      <c r="H51" s="121"/>
    </row>
    <row r="52" spans="1:8">
      <c r="C52" s="115"/>
      <c r="E52" s="128" t="s">
        <v>101</v>
      </c>
      <c r="F52" s="138">
        <f>SUM(F21:F51)</f>
        <v>70305193599.693069</v>
      </c>
      <c r="H52" s="121"/>
    </row>
    <row r="53" spans="1:8">
      <c r="C53" s="115"/>
      <c r="H53" s="121"/>
    </row>
    <row r="54" spans="1:8" ht="13.15">
      <c r="B54" s="120" t="s">
        <v>130</v>
      </c>
      <c r="C54" s="137"/>
      <c r="D54" s="137"/>
      <c r="E54" s="118"/>
      <c r="F54" s="118"/>
      <c r="H54" s="121"/>
    </row>
    <row r="55" spans="1:8" ht="13.15">
      <c r="A55" s="134">
        <f>F52</f>
        <v>70305193599.693069</v>
      </c>
      <c r="B55" s="132">
        <f>C78</f>
        <v>0.02</v>
      </c>
      <c r="C55" s="132">
        <f>C77</f>
        <v>0.04</v>
      </c>
      <c r="D55" s="132">
        <f>C76</f>
        <v>0.06</v>
      </c>
      <c r="E55" s="132">
        <f>C75</f>
        <v>0.08</v>
      </c>
      <c r="F55" s="132">
        <f>C74</f>
        <v>0.1</v>
      </c>
      <c r="H55" s="121"/>
    </row>
    <row r="56" spans="1:8" ht="13.15">
      <c r="A56" s="144">
        <v>5</v>
      </c>
      <c r="B56" s="124">
        <f t="dataTable" ref="B56:F61" dt2D="1" dtr="1" r1="C16" r2="C17"/>
        <v>37142889685.047958</v>
      </c>
      <c r="C56" s="124">
        <v>38338625325.68676</v>
      </c>
      <c r="D56" s="124">
        <v>39570657206.166153</v>
      </c>
      <c r="E56" s="124">
        <v>40840558408.041</v>
      </c>
      <c r="F56" s="124">
        <v>42149950009.137527</v>
      </c>
      <c r="H56" s="121"/>
    </row>
    <row r="57" spans="1:8" ht="13.15">
      <c r="A57" s="144">
        <v>10</v>
      </c>
      <c r="B57" s="124">
        <v>38304923988.94548</v>
      </c>
      <c r="C57" s="124">
        <v>40860750982.9702</v>
      </c>
      <c r="D57" s="124">
        <v>43677269772.820816</v>
      </c>
      <c r="E57" s="124">
        <v>46785460097.189507</v>
      </c>
      <c r="F57" s="124">
        <v>50219725580.411713</v>
      </c>
      <c r="H57" s="121"/>
    </row>
    <row r="58" spans="1:8" ht="13.15">
      <c r="A58" s="144">
        <v>15</v>
      </c>
      <c r="B58" s="124">
        <v>39743263641.938789</v>
      </c>
      <c r="C58" s="124">
        <v>44148661620.958511</v>
      </c>
      <c r="D58" s="124">
        <v>49326073796.059967</v>
      </c>
      <c r="E58" s="124">
        <v>55428752803.37336</v>
      </c>
      <c r="F58" s="124">
        <v>62640009312.281334</v>
      </c>
      <c r="H58" s="121"/>
    </row>
    <row r="59" spans="1:8" ht="13.15">
      <c r="A59" s="145">
        <v>20</v>
      </c>
      <c r="B59" s="124">
        <v>41208701085.342056</v>
      </c>
      <c r="C59" s="124">
        <v>47687525506.916924</v>
      </c>
      <c r="D59" s="124">
        <v>55769823762.271301</v>
      </c>
      <c r="E59" s="124">
        <v>65908525094.778305</v>
      </c>
      <c r="F59" s="124">
        <v>78686872412.497101</v>
      </c>
      <c r="H59" s="121"/>
    </row>
    <row r="60" spans="1:8" ht="13.15">
      <c r="A60" s="145">
        <v>25</v>
      </c>
      <c r="B60" s="124">
        <v>42571639224.844902</v>
      </c>
      <c r="C60" s="124">
        <v>51173426824.192696</v>
      </c>
      <c r="D60" s="124">
        <v>62522677805.301147</v>
      </c>
      <c r="E60" s="124">
        <v>77638174533.580215</v>
      </c>
      <c r="F60" s="124">
        <v>97931585263.946564</v>
      </c>
      <c r="H60" s="121"/>
    </row>
    <row r="61" spans="1:8" ht="13.15">
      <c r="A61" s="145">
        <v>30</v>
      </c>
      <c r="B61" s="124">
        <v>43773940259.729683</v>
      </c>
      <c r="C61" s="124">
        <v>54438004300.662155</v>
      </c>
      <c r="D61" s="124">
        <v>69274673692.763107</v>
      </c>
      <c r="E61" s="124">
        <v>90218469357.257004</v>
      </c>
      <c r="F61" s="124">
        <v>120152471910.52258</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40.364928236126403</v>
      </c>
      <c r="C65" s="125">
        <f>C12</f>
        <v>40.364928236126403</v>
      </c>
      <c r="D65" s="125">
        <f>C12</f>
        <v>40.364928236126403</v>
      </c>
      <c r="E65" s="142">
        <f>C12</f>
        <v>40.364928236126403</v>
      </c>
      <c r="F65" s="125">
        <f>C12</f>
        <v>40.364928236126403</v>
      </c>
      <c r="H65" s="121"/>
    </row>
    <row r="66" spans="1:8" ht="13.15">
      <c r="A66" s="144">
        <f t="shared" ref="A66:A71" si="3">A56</f>
        <v>5</v>
      </c>
      <c r="B66" s="125">
        <f t="shared" ref="B66:F71" si="4">(B56-$C$7+$C$8+$C$9)/Common_Shares*$C$3*Exchange_Rate</f>
        <v>41.279120015080039</v>
      </c>
      <c r="C66" s="125">
        <f t="shared" si="4"/>
        <v>42.220691438876045</v>
      </c>
      <c r="D66" s="125">
        <f t="shared" si="4"/>
        <v>43.190844014779287</v>
      </c>
      <c r="E66" s="125">
        <f t="shared" si="4"/>
        <v>44.190816451906592</v>
      </c>
      <c r="F66" s="125">
        <f t="shared" si="4"/>
        <v>45.221885253612918</v>
      </c>
      <c r="H66" s="121"/>
    </row>
    <row r="67" spans="1:8" ht="13.15">
      <c r="A67" s="144">
        <f t="shared" si="3"/>
        <v>10</v>
      </c>
      <c r="B67" s="125">
        <f t="shared" si="4"/>
        <v>42.194153620197028</v>
      </c>
      <c r="C67" s="125">
        <f t="shared" si="4"/>
        <v>44.206716915922236</v>
      </c>
      <c r="D67" s="125">
        <f t="shared" si="4"/>
        <v>46.42455965387984</v>
      </c>
      <c r="E67" s="125">
        <f t="shared" si="4"/>
        <v>48.872076554506236</v>
      </c>
      <c r="F67" s="125">
        <f t="shared" si="4"/>
        <v>51.576358446617036</v>
      </c>
      <c r="H67" s="121"/>
    </row>
    <row r="68" spans="1:8" ht="13.15">
      <c r="A68" s="144">
        <f t="shared" si="3"/>
        <v>15</v>
      </c>
      <c r="B68" s="125">
        <f t="shared" si="4"/>
        <v>43.326761421573295</v>
      </c>
      <c r="C68" s="125">
        <f t="shared" si="4"/>
        <v>46.795752983351662</v>
      </c>
      <c r="D68" s="125">
        <f t="shared" si="4"/>
        <v>50.872660275907336</v>
      </c>
      <c r="E68" s="125">
        <f t="shared" si="4"/>
        <v>55.678160728178128</v>
      </c>
      <c r="F68" s="125">
        <f t="shared" si="4"/>
        <v>61.356600700765469</v>
      </c>
      <c r="H68" s="121"/>
    </row>
    <row r="69" spans="1:8" ht="13.15">
      <c r="A69" s="145">
        <f t="shared" si="3"/>
        <v>20</v>
      </c>
      <c r="B69" s="125">
        <f t="shared" si="4"/>
        <v>44.480707137644828</v>
      </c>
      <c r="C69" s="125">
        <f t="shared" si="4"/>
        <v>49.582399959887397</v>
      </c>
      <c r="D69" s="125">
        <f t="shared" si="4"/>
        <v>55.946734029391642</v>
      </c>
      <c r="E69" s="125">
        <f t="shared" si="4"/>
        <v>63.930364461274657</v>
      </c>
      <c r="F69" s="125">
        <f t="shared" si="4"/>
        <v>73.9925607100012</v>
      </c>
      <c r="H69" s="121"/>
    </row>
    <row r="70" spans="1:8" ht="13.15">
      <c r="A70" s="145">
        <f t="shared" si="3"/>
        <v>25</v>
      </c>
      <c r="B70" s="125">
        <f t="shared" si="4"/>
        <v>45.553940686050225</v>
      </c>
      <c r="C70" s="125">
        <f t="shared" si="4"/>
        <v>52.327342031503029</v>
      </c>
      <c r="D70" s="125">
        <f t="shared" si="4"/>
        <v>61.26420904634891</v>
      </c>
      <c r="E70" s="125">
        <f t="shared" si="4"/>
        <v>73.166772867417436</v>
      </c>
      <c r="F70" s="125">
        <f t="shared" si="4"/>
        <v>89.146639140250329</v>
      </c>
    </row>
    <row r="71" spans="1:8" ht="13.15">
      <c r="A71" s="145">
        <f t="shared" si="3"/>
        <v>30</v>
      </c>
      <c r="B71" s="125">
        <f t="shared" si="4"/>
        <v>46.500681971308808</v>
      </c>
      <c r="C71" s="125">
        <f t="shared" si="4"/>
        <v>54.898004607864458</v>
      </c>
      <c r="D71" s="125">
        <f t="shared" si="4"/>
        <v>66.581008316316257</v>
      </c>
      <c r="E71" s="125">
        <f t="shared" si="4"/>
        <v>83.073014436477592</v>
      </c>
      <c r="F71" s="125">
        <f t="shared" si="4"/>
        <v>106.64427922618833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106.64427922618833</v>
      </c>
      <c r="F74" s="143">
        <f>Scenarios!C58</f>
        <v>0.05</v>
      </c>
    </row>
    <row r="75" spans="1:8">
      <c r="B75" s="128" t="str">
        <f>Scenarios!B36</f>
        <v>Optimistic</v>
      </c>
      <c r="C75" s="143">
        <f>Scenarios!C38</f>
        <v>0.08</v>
      </c>
      <c r="D75" s="146">
        <f>Scenarios!C37</f>
        <v>30</v>
      </c>
      <c r="E75" s="136">
        <f>INDEX(B$65:F$71, MATCH(D75, A$65:A$71, 0), MATCH(C75, B$64:F$64, 0))</f>
        <v>83.073014436477592</v>
      </c>
      <c r="F75" s="143">
        <f>Scenarios!C40*(1-F$74-F$78)</f>
        <v>0.18</v>
      </c>
      <c r="H75" s="121"/>
    </row>
    <row r="76" spans="1:8">
      <c r="B76" s="128" t="str">
        <f>Scenarios!B24</f>
        <v>Base</v>
      </c>
      <c r="C76" s="143">
        <f>Scenarios!C26</f>
        <v>0.06</v>
      </c>
      <c r="D76" s="146">
        <f>Scenarios!C25</f>
        <v>30</v>
      </c>
      <c r="E76" s="136">
        <f>INDEX(B$65:F$71, MATCH(D76, A$65:A$71, 0), MATCH(C76, B$64:F$64, 0))</f>
        <v>66.581008316316257</v>
      </c>
      <c r="F76" s="143">
        <f>Scenarios!C28*(1-F$74-F$78)</f>
        <v>0.44999999999999996</v>
      </c>
      <c r="H76" s="121"/>
    </row>
    <row r="77" spans="1:8">
      <c r="B77" s="128" t="str">
        <f>Scenarios!B30</f>
        <v>Pessimistic</v>
      </c>
      <c r="C77" s="143">
        <f>Scenarios!C32</f>
        <v>0.04</v>
      </c>
      <c r="D77" s="146">
        <f>Scenarios!C31</f>
        <v>30</v>
      </c>
      <c r="E77" s="136">
        <f>INDEX(B$65:F$71, MATCH(D77, A$65:A$71, 0), MATCH(C77, B$64:F$64, 0))</f>
        <v>54.898004607864458</v>
      </c>
      <c r="F77" s="143">
        <f>Scenarios!C34*(1-F$74-F$78)</f>
        <v>0.26999999999999996</v>
      </c>
      <c r="H77" s="121"/>
    </row>
    <row r="78" spans="1:8">
      <c r="B78" s="128" t="str">
        <f>Scenarios!B48</f>
        <v>Devil's advocate</v>
      </c>
      <c r="C78" s="143">
        <f>Scenarios!C50</f>
        <v>0.02</v>
      </c>
      <c r="D78" s="146">
        <f>Scenarios!C49</f>
        <v>30</v>
      </c>
      <c r="E78" s="136">
        <f>INDEX(B$65:F$71, MATCH(D78, A$65:A$71, 0), MATCH(C78, B$64:F$64, 0))</f>
        <v>46.500681971308808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-53.55</v>
      </c>
    </row>
    <row r="4" spans="2:9">
      <c r="B4" s="153" t="s">
        <v>147</v>
      </c>
      <c r="C4" s="121">
        <v>3</v>
      </c>
      <c r="D4" s="121"/>
      <c r="E4" s="156" t="s">
        <v>151</v>
      </c>
      <c r="F4" s="156"/>
      <c r="H4" s="276">
        <v>1</v>
      </c>
      <c r="I4" s="264">
        <f t="shared" ref="I4:I13" si="0">IF(ROW()-3 &lt; $C$76, $C$77, IF(ROW()-3 = $C$76, $C$77 + $C$60, ""))</f>
        <v>2.0479887326362438</v>
      </c>
    </row>
    <row r="5" spans="2:9">
      <c r="H5" s="276">
        <v>2</v>
      </c>
      <c r="I5" s="264">
        <f t="shared" si="0"/>
        <v>2.0479887326362438</v>
      </c>
    </row>
    <row r="6" spans="2:9" ht="13.15">
      <c r="B6" s="160" t="s">
        <v>96</v>
      </c>
      <c r="C6" s="107">
        <f>Valuation_Model!C3</f>
        <v>1</v>
      </c>
      <c r="E6" s="100" t="s">
        <v>282</v>
      </c>
      <c r="F6" s="100"/>
      <c r="H6" s="276">
        <v>3</v>
      </c>
      <c r="I6" s="264">
        <f t="shared" si="0"/>
        <v>69.44229437754278</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3155072341.2996616</v>
      </c>
      <c r="D8" t="str">
        <f>Reporting_currency</f>
        <v>CNY</v>
      </c>
      <c r="E8" s="350"/>
      <c r="F8" s="350"/>
      <c r="H8" s="276">
        <v>5</v>
      </c>
      <c r="I8" s="264" t="str">
        <f t="shared" si="0"/>
        <v/>
      </c>
    </row>
    <row r="9" spans="2:9">
      <c r="B9" s="100" t="s">
        <v>57</v>
      </c>
      <c r="C9" s="201">
        <f>Normalized_FCF!C19</f>
        <v>2878553955.7338853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0.22851253061636267</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53.55</v>
      </c>
      <c r="D21" t="str">
        <f>Market_currency</f>
        <v>HKD</v>
      </c>
      <c r="E21" s="351"/>
      <c r="F21" s="351"/>
    </row>
    <row r="22" spans="2:6">
      <c r="B22" s="100" t="s">
        <v>281</v>
      </c>
      <c r="C22" s="161">
        <f>Valuation_Model!C12</f>
        <v>40.364928236126403</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66.581008316316257</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54.898004607864458</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83.073014436477592</v>
      </c>
      <c r="D39" t="str">
        <f>Market_currency</f>
        <v>HKD</v>
      </c>
      <c r="E39" s="349"/>
      <c r="F39" s="349"/>
    </row>
    <row r="40" spans="2:6">
      <c r="B40" s="100" t="s">
        <v>148</v>
      </c>
      <c r="C40" s="168">
        <f>1-C28-C34</f>
        <v>0.2</v>
      </c>
      <c r="D40" s="166"/>
      <c r="E40" s="349"/>
      <c r="F40" s="349"/>
    </row>
    <row r="42" spans="2:6" ht="13.15">
      <c r="B42" s="100" t="s">
        <v>121</v>
      </c>
      <c r="C42" s="155">
        <f>C27*C28+C33*C34+C39*C40</f>
        <v>66.374508427812984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46.500681971308808</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106.64427922618833</v>
      </c>
      <c r="D57" t="str">
        <f>Market_currency</f>
        <v>HKD</v>
      </c>
      <c r="E57" s="349"/>
      <c r="F57" s="349"/>
    </row>
    <row r="58" spans="2:6">
      <c r="B58" s="100" t="s">
        <v>148</v>
      </c>
      <c r="C58" s="166">
        <v>0.05</v>
      </c>
      <c r="D58" s="166"/>
      <c r="E58" s="349"/>
      <c r="F58" s="349"/>
    </row>
    <row r="60" spans="2:6" ht="13.15">
      <c r="B60" s="100" t="s">
        <v>121</v>
      </c>
      <c r="C60" s="155">
        <f>C51*C52+C57*C58+C42*(1-C52-C58)</f>
        <v>67.394305644906538</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67.392482076101331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0.17852073528547371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2.0479887326362438</v>
      </c>
      <c r="D77" t="str">
        <f>Market_currency</f>
        <v>HKD</v>
      </c>
    </row>
    <row r="79" spans="2:6" ht="13.15">
      <c r="B79" s="109" t="s">
        <v>308</v>
      </c>
    </row>
    <row r="80" spans="2:6">
      <c r="B80" s="149" t="s">
        <v>306</v>
      </c>
      <c r="C80" s="168">
        <f>Thesis!C127</f>
        <v>0.3</v>
      </c>
    </row>
    <row r="81" spans="2:8">
      <c r="B81" s="100" t="s">
        <v>122</v>
      </c>
      <c r="C81" s="117">
        <f>PV(C80, C76, -C77, 0)</f>
        <v>3.7193787178965021</v>
      </c>
      <c r="D81" s="117"/>
      <c r="E81" s="100"/>
      <c r="F81" s="100"/>
    </row>
    <row r="82" spans="2:8">
      <c r="B82" s="100" t="s">
        <v>123</v>
      </c>
      <c r="C82" s="117">
        <f>C60/(1+C80)^C76</f>
        <v>30.675605664500011</v>
      </c>
      <c r="D82" s="117"/>
    </row>
    <row r="83" spans="2:8" ht="13.15">
      <c r="B83" s="111" t="s">
        <v>102</v>
      </c>
      <c r="C83" s="112">
        <f>C81+C82</f>
        <v>34.394984382396515</v>
      </c>
      <c r="D83" t="str">
        <f>Market_currency</f>
        <v>HKD</v>
      </c>
      <c r="E83" s="147" t="s">
        <v>127</v>
      </c>
      <c r="F83" s="329">
        <f>(1-C83/C60)</f>
        <v>0.48964554121797699</v>
      </c>
    </row>
    <row r="84" spans="2:8">
      <c r="E84" s="121"/>
    </row>
    <row r="85" spans="2:8" ht="13.15">
      <c r="B85" s="109" t="s">
        <v>309</v>
      </c>
    </row>
    <row r="86" spans="2:8">
      <c r="B86" s="149" t="s">
        <v>307</v>
      </c>
      <c r="C86" s="266">
        <f>Market_Price</f>
        <v>53.55</v>
      </c>
      <c r="D86" t="str">
        <f>Market_currency</f>
        <v>HKD</v>
      </c>
    </row>
    <row r="87" spans="2:8" ht="13.15">
      <c r="B87" s="100" t="s">
        <v>305</v>
      </c>
      <c r="C87" s="265">
        <f ca="1">IRR(OFFSET($I$3, 0, 0, $C$76 + 1, 1))</f>
        <v>0.11521291318800975</v>
      </c>
    </row>
    <row r="88" spans="2:8">
      <c r="B88" s="100"/>
    </row>
    <row r="89" spans="2:8" ht="13.15">
      <c r="B89" s="109" t="s">
        <v>422</v>
      </c>
    </row>
    <row r="90" spans="2:8">
      <c r="B90" s="149" t="s">
        <v>423</v>
      </c>
      <c r="C90" s="168">
        <f>Thesis!E19</f>
        <v>0.2</v>
      </c>
    </row>
    <row r="91" spans="2:8">
      <c r="B91" s="100" t="s">
        <v>122</v>
      </c>
      <c r="C91" s="117">
        <f>PV(C90, C76, -C77, 0)</f>
        <v>4.3140503395809766</v>
      </c>
      <c r="D91" s="117"/>
      <c r="E91" s="100"/>
      <c r="F91" s="100"/>
    </row>
    <row r="92" spans="2:8">
      <c r="B92" s="100" t="s">
        <v>123</v>
      </c>
      <c r="C92" s="117">
        <f>C60/(1+C90)^C76</f>
        <v>39.001334285246841</v>
      </c>
      <c r="D92" s="117"/>
    </row>
    <row r="93" spans="2:8" ht="13.15">
      <c r="B93" s="111" t="s">
        <v>102</v>
      </c>
      <c r="C93" s="112">
        <f>C91+C92</f>
        <v>43.315384624827814</v>
      </c>
      <c r="D93" t="str">
        <f>Market_currency</f>
        <v>HKD</v>
      </c>
      <c r="E93" s="147" t="s">
        <v>127</v>
      </c>
      <c r="F93" s="329">
        <f>(1-C93/C60)</f>
        <v>0.35728420657596816</v>
      </c>
    </row>
    <row r="95" spans="2:8" ht="13.15">
      <c r="B95" s="109" t="s">
        <v>405</v>
      </c>
      <c r="G95" s="2"/>
      <c r="H95" s="316"/>
    </row>
    <row r="96" spans="2:8">
      <c r="B96" s="149" t="s">
        <v>411</v>
      </c>
      <c r="C96" s="135">
        <f>Thesis!C67</f>
        <v>0.08</v>
      </c>
      <c r="G96" s="2"/>
      <c r="H96" s="316"/>
    </row>
    <row r="97" spans="2:8">
      <c r="B97" s="100" t="s">
        <v>122</v>
      </c>
      <c r="C97" s="117">
        <f>PV(C96, C76, -C77, 0)</f>
        <v>5.2778655927944689</v>
      </c>
      <c r="D97" s="117"/>
      <c r="G97" s="2"/>
      <c r="H97" s="316"/>
    </row>
    <row r="98" spans="2:8">
      <c r="B98" s="100" t="s">
        <v>123</v>
      </c>
      <c r="C98" s="117">
        <f>C60/(1+C96)^C76</f>
        <v>53.499772682094424</v>
      </c>
      <c r="D98" s="117"/>
      <c r="G98" s="2"/>
      <c r="H98" s="316"/>
    </row>
    <row r="99" spans="2:8" ht="13.15">
      <c r="B99" s="111" t="s">
        <v>406</v>
      </c>
      <c r="C99" s="112">
        <f>C97+C98</f>
        <v>58.777638274888893</v>
      </c>
      <c r="D99" t="s">
        <v>404</v>
      </c>
      <c r="E99" s="147" t="s">
        <v>127</v>
      </c>
      <c r="F99" s="329">
        <f>(1-C99/C60)</f>
        <v>0.12785453144094927</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