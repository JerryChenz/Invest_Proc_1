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3C4CA05-93B2-4BCF-9063-8E591D30FE5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48" i="2"/>
  <c r="N91" i="2"/>
  <c r="N92" i="2"/>
  <c r="I91" i="2"/>
  <c r="D70" i="4"/>
  <c r="P126" i="2"/>
  <c r="P92" i="2"/>
  <c r="P48" i="2"/>
  <c r="P91" i="2"/>
  <c r="F69" i="4"/>
  <c r="O126" i="2"/>
  <c r="O48" i="2"/>
  <c r="O91" i="2"/>
  <c r="O92" i="2"/>
  <c r="Q126" i="2"/>
  <c r="Q92" i="2"/>
  <c r="Q48" i="2"/>
  <c r="Q91" i="2"/>
  <c r="D69" i="4"/>
  <c r="J91" i="2"/>
  <c r="K126" i="2"/>
  <c r="K91" i="2"/>
  <c r="L126" i="2"/>
  <c r="L92" i="2"/>
  <c r="L48" i="2"/>
  <c r="L91" i="2"/>
  <c r="M126" i="2"/>
  <c r="M91" i="2"/>
  <c r="M92" i="2"/>
  <c r="M48"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D71" i="4"/>
  <c r="E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H48" i="2"/>
  <c r="H50" i="2" s="1"/>
  <c r="H12" i="2" s="1"/>
  <c r="H80" i="2" s="1"/>
  <c r="J48" i="2"/>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49" i="8" l="1"/>
  <c r="F49" i="8" s="1"/>
  <c r="C37" i="8"/>
  <c r="F37" i="8" s="1"/>
  <c r="C48" i="8"/>
  <c r="F48" i="8" s="1"/>
  <c r="C39" i="8"/>
  <c r="F39" i="8" s="1"/>
  <c r="C36" i="8"/>
  <c r="F36" i="8" s="1"/>
  <c r="C50" i="8"/>
  <c r="F50" i="8" s="1"/>
  <c r="C47" i="8"/>
  <c r="F47" i="8" s="1"/>
  <c r="C41" i="8"/>
  <c r="F41" i="8" s="1"/>
  <c r="C46" i="8"/>
  <c r="F46" i="8" s="1"/>
  <c r="C43" i="8"/>
  <c r="F43" i="8" s="1"/>
  <c r="C40" i="8"/>
  <c r="F40" i="8" s="1"/>
  <c r="C38" i="8"/>
  <c r="F38" i="8" s="1"/>
  <c r="C44" i="8"/>
  <c r="F44" i="8" s="1"/>
  <c r="C42" i="8"/>
  <c r="F42"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<sst xmlns="http://schemas.openxmlformats.org/spreadsheetml/2006/main" count="612" uniqueCount="430">
  <si>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</si>
  <si>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</si>
  <si>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</si>
  <si>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</si>
  <si>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</si>
  <si>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</si>
  <si>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</si>
  <si>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</si>
  <si>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</si>
  <si>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</si>
  <si>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</si>
  <si>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</si>
  <si>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</si>
  <si>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</si>
  <si>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</si>
  <si>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</si>
  <si>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</si>
  <si>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</si>
  <si>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</si>
  <si>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</si>
  <si>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</si>
  <si>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</si>
  <si>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</si>
  <si>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</si>
  <si>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</si>
  <si>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</si>
  <si>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</si>
  <si>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</si>
  <si>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</si>
  <si>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</si>
  <si>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</si>
  <si>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</si>
  <si>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</si>
  <si>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</si>
  <si>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</si>
  <si>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</si>
  <si>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</si>
  <si>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</si>
  <si>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</si>
  <si>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</si>
  <si>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</si>
  <si>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</si>
  <si>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</si>
  <si>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</si>
  <si>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</si>
  <si>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</si>
  <si>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</si>
  <si>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</si>
  <si>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</si>
  <si>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</si>
  <si>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</si>
  <si>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</si>
  <si>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</si>
  <si>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</si>
  <si>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</si>
  <si>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</si>
  <si>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</si>
  <si>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</si>
  <si>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</si>
  <si>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</si>
  <si>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</si>
  <si>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</si>
  <si>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</si>
  <si>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</si>
  <si>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</si>
  <si>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</si>
  <si>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</si>
  <si>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</si>
  <si>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</si>
  <si>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</si>
  <si>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</si>
  <si>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</si>
  <si>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</si>
  <si>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</si>
  <si>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</si>
  <si>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</si>
  <si>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</si>
  <si>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</si>
  <si>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</si>
  <si>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</si>
  <si>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</si>
  <si>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</si>
  <si>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</si>
  <si>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</si>
  <si>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</si>
  <si>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</si>
  <si>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</si>
  <si>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</si>
  <si>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</si>
  <si>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</si>
  <si>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</si>
  <si>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</si>
  <si>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</si>
  <si>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</si>
  <si>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</si>
  <si>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</si>
  <si>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</si>
  <si>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</si>
  <si>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</si>
  <si>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</si>
  <si>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</si>
  <si>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</si>
  <si>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</si>
  <si>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</si>
  <si>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</si>
  <si>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</si>
  <si>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</si>
  <si>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</si>
  <si>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</si>
  <si>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</si>
  <si>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</si>
  <si>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</si>
  <si>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</si>
  <si>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</si>
  <si>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</si>
  <si>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</si>
  <si>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</si>
  <si>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</si>
  <si>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</si>
  <si>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</si>
  <si>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</si>
  <si>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</si>
  <si>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</si>
  <si>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</si>
  <si>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</si>
  <si>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</si>
  <si>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</si>
  <si>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</si>
  <si>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</si>
  <si>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</si>
  <si>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</si>
  <si>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</si>
  <si>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</si>
  <si>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</si>
  <si>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</si>
  <si>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</si>
  <si>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</si>
  <si>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</si>
  <si>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</si>
  <si>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</si>
  <si>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</si>
  <si>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</si>
  <si>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</si>
  <si>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</si>
  <si>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</si>
  <si>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</si>
  <si>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</si>
  <si>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</si>
  <si>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</si>
  <si>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</si>
  <si>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</si>
  <si>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</si>
  <si>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</si>
  <si>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</si>
  <si>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</si>
  <si>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</si>
  <si>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</si>
  <si>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</si>
  <si>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</si>
  <si>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</si>
  <si>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</si>
  <si>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</si>
  <si>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</si>
  <si>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</si>
  <si>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</si>
  <si>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</si>
  <si>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</si>
  <si>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</si>
  <si>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</si>
  <si>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</si>
  <si>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</si>
  <si>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</si>
  <si>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</si>
  <si>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</si>
  <si>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</si>
  <si>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</si>
  <si>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</si>
  <si>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</si>
  <si>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</si>
  <si>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</si>
  <si>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</si>
  <si>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</si>
  <si>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</si>
  <si>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</si>
  <si>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</si>
  <si>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</si>
  <si>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</si>
  <si>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</si>
  <si>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</si>
  <si>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</si>
  <si>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</si>
  <si>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</si>
  <si>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</si>
  <si>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</si>
  <si>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</si>
  <si>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</si>
  <si>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</si>
  <si>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</si>
  <si>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</si>
  <si>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</si>
  <si>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</si>
  <si>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</si>
  <si>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</si>
  <si>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</si>
  <si>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</si>
  <si>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</si>
  <si>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</si>
  <si>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</si>
  <si>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</si>
  <si>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</si>
  <si>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</si>
  <si>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</si>
  <si>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</si>
  <si>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</si>
  <si>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</si>
  <si>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</si>
  <si>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</si>
  <si>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</si>
  <si>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</si>
  <si>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</si>
  <si>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</si>
  <si>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</si>
  <si>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</si>
  <si>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</si>
  <si>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</si>
  <si>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</si>
  <si>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</si>
  <si>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</si>
  <si>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</si>
  <si>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</si>
  <si>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</si>
  <si>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</si>
  <si>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</si>
  <si>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</si>
  <si>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</si>
  <si>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</si>
  <si>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</si>
  <si>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</si>
  <si>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</si>
  <si>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</si>
  <si>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</si>
  <si>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</si>
  <si>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</si>
  <si>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</si>
  <si>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</si>
  <si>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</si>
  <si>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</si>
  <si>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</si>
  <si>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</si>
  <si>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</si>
  <si>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</si>
  <si>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</si>
  <si>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</si>
  <si>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</si>
  <si>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</si>
  <si>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</si>
  <si>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</si>
  <si>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</si>
  <si>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</si>
  <si>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</si>
  <si>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</si>
  <si>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</si>
  <si>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</si>
  <si>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</si>
  <si>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</si>
  <si>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</si>
  <si>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</si>
  <si>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</si>
  <si>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</si>
  <si>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</si>
  <si>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</si>
  <si>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</si>
  <si>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</si>
  <si>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</si>
  <si>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</si>
  <si>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</si>
  <si>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</si>
  <si>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</si>
  <si>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</si>
  <si>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</si>
  <si>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</si>
  <si>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</si>
  <si>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</si>
  <si>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</si>
  <si>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</si>
  <si>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</si>
  <si>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</si>
  <si>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</si>
  <si>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</si>
  <si>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</si>
  <si>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</si>
  <si>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</si>
  <si>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</si>
  <si>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</si>
  <si>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</si>
  <si>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</si>
  <si>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</si>
  <si>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</si>
  <si>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</si>
  <si>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</si>
  <si>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</si>
  <si>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</si>
  <si>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</si>
  <si>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</si>
  <si>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</si>
  <si>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</si>
  <si>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</si>
  <si>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</si>
  <si>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</si>
  <si>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</si>
  <si>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</si>
  <si>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</si>
  <si>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</si>
  <si>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</si>
  <si>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</si>
  <si>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</si>
  <si>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</si>
  <si>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</si>
  <si>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</si>
  <si>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</si>
  <si>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</si>
  <si>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</si>
  <si>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</si>
  <si>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</si>
  <si>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</si>
  <si>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</si>
  <si>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</si>
  <si>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</si>
  <si>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</si>
  <si>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</si>
  <si>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</si>
  <si>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</si>
  <si>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</si>
  <si>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</si>
  <si>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</si>
  <si>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</si>
  <si>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</si>
  <si>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</si>
  <si>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</si>
  <si>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</si>
  <si>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</si>
  <si>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</si>
  <si>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</si>
  <si>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</si>
  <si>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</si>
  <si>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</si>
  <si>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</si>
  <si>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</si>
  <si>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</si>
  <si>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</si>
  <si>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</si>
  <si>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</si>
  <si>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</si>
  <si>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</si>
  <si>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</si>
  <si>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</si>
  <si>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</si>
  <si>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</si>
  <si>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</si>
  <si>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</si>
  <si>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</si>
  <si>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</si>
  <si>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</si>
  <si>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</si>
  <si>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</si>
  <si>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</si>
  <si>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</si>
  <si>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</si>
  <si>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</si>
  <si>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</si>
  <si>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</si>
  <si>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</si>
  <si>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</si>
  <si>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</si>
  <si>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</si>
  <si>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</si>
  <si>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</si>
  <si>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</si>
  <si>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</si>
  <si>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</si>
  <si>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</si>
  <si>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</si>
  <si>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</si>
  <si>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</si>
  <si>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</si>
  <si>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</si>
  <si>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</si>
  <si>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</si>
  <si>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</si>
  <si>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</si>
  <si>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</si>
  <si>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</si>
  <si>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</si>
  <si>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</si>
  <si>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</si>
  <si>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</si>
  <si>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</si>
  <si>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</si>
  <si>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</si>
  <si>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</si>
  <si>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</si>
  <si>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</si>
  <si>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</si>
  <si>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</si>
  <si>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</si>
  <si>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</si>
  <si>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</si>
  <si>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</si>
  <si>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</si>
  <si>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</si>
  <si>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</si>
  <si>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</si>
  <si>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</si>
  <si>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</si>
  <si>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</si>
  <si>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</si>
  <si>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</si>
  <si>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</si>
  <si>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</si>
  <si>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</si>
  <si>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</si>
  <si>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</si>
  <si>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N</t>
  </si>
  <si>
    <t>青島啤酒股份</t>
  </si>
  <si>
    <t>0168.HK</t>
  </si>
  <si>
    <t>CNY</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</si>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</sst>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0168.HK Stock Information</v>
      </c>
      <c r="C4" s="46"/>
      <c r="D4" s="5"/>
      <c r="E4" s="2"/>
      <c r="F4" s="2"/>
    </row>
    <row r="5" spans="1:10" ht="12.4">
      <c r="B5" s="4" t="s">
        <v>323</v>
      </c>
      <c r="C5" s="333" t="s">
        <v>423</v>
      </c>
      <c r="D5" s="49" t="s">
        <v>424</v>
      </c>
    </row>
    <row r="6" spans="1:10">
      <c r="B6" s="4" t="s">
        <v>95</v>
      </c>
      <c r="C6" s="50">
        <v>54.25</v>
      </c>
      <c r="D6" s="48" t="s">
        <v>404</v>
      </c>
      <c r="E6" s="48"/>
    </row>
    <row r="7" spans="1:10">
      <c r="B7" s="4" t="s">
        <v>0</v>
      </c>
      <c r="C7" s="51">
        <v>1364196788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74007.675749000002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1.0671017599999999</v>
      </c>
      <c r="D17" s="32" t="str">
        <f>IF(C16=D6,D6,C16&amp;"/"&amp;D6)</f>
        <v>CNY/HKD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(HKD):</v>
      </c>
      <c r="C20" s="252">
        <f>C133</f>
        <v>34.215998183334875</v>
      </c>
      <c r="D20" s="1" t="s">
        <v>315</v>
      </c>
      <c r="E20" s="330">
        <v>3</v>
      </c>
    </row>
    <row r="21" spans="1:6">
      <c r="B21" s="1" t="s">
        <v>407</v>
      </c>
      <c r="C21" s="280">
        <f ca="1">Scenarios!C87</f>
        <v>0.10815463230293121</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v>
      </c>
    </row>
    <row r="29" spans="1:6" ht="24.4" customHeight="1">
      <c r="B29" s="343" t="s">
        <v>232</v>
      </c>
      <c r="C29" s="343"/>
      <c r="D29" s="343"/>
      <c r="E29" s="343"/>
      <c r="F29" s="343"/>
    </row>
    <row r="30" spans="1:6">
      <c r="B30" s="47" t="s">
        <v>233</v>
      </c>
      <c r="C30" s="188">
        <f>Normalized_FCF!C8</f>
        <v>3878068070.3077545</v>
      </c>
      <c r="D30" s="1" t="str">
        <f>Reporting_currency</f>
        <v>CNY</v>
      </c>
    </row>
    <row r="31" spans="1:6">
      <c r="B31" s="47"/>
      <c r="C31" s="76"/>
    </row>
    <row r="32" spans="1:6" ht="24.4" customHeight="1">
      <c r="B32" s="343" t="s">
        <v>234</v>
      </c>
      <c r="C32" s="343"/>
      <c r="D32" s="343"/>
      <c r="E32" s="343"/>
      <c r="F32" s="343"/>
    </row>
    <row r="33" spans="2:6">
      <c r="B33" s="47" t="s">
        <v>235</v>
      </c>
      <c r="C33" s="188">
        <f>Normalized_FCF!C9</f>
        <v>1191305772</v>
      </c>
      <c r="D33" s="1" t="str">
        <f>Reporting_currency</f>
        <v>CNY</v>
      </c>
    </row>
    <row r="34" spans="2:6">
      <c r="B34" s="52" t="s">
        <v>236</v>
      </c>
      <c r="C34" s="188">
        <f>Normalized_FCF!C10</f>
        <v>-1191305772</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177460304.59321538</v>
      </c>
      <c r="D40" s="1" t="str">
        <f>Reporting_currency</f>
        <v>CNY</v>
      </c>
      <c r="E40" s="321"/>
      <c r="F40" s="321"/>
    </row>
    <row r="41" spans="2:6">
      <c r="B41" s="47" t="s">
        <v>349</v>
      </c>
      <c r="C41" s="322">
        <f>Normalized_FCF!C47</f>
        <v>-21837054</v>
      </c>
      <c r="D41" s="1" t="str">
        <f>Reporting_currency</f>
        <v>CNY</v>
      </c>
      <c r="E41" s="321"/>
      <c r="F41" s="321"/>
    </row>
    <row r="42" spans="2:6">
      <c r="B42" s="47" t="s">
        <v>239</v>
      </c>
      <c r="C42" s="188">
        <f>Normalized_FCF!C12</f>
        <v>155623250.59321538</v>
      </c>
      <c r="D42" s="1" t="str">
        <f>Reporting_currency</f>
        <v>CNY</v>
      </c>
    </row>
    <row r="44" spans="2:6">
      <c r="B44" s="1" t="s">
        <v>247</v>
      </c>
    </row>
    <row r="45" spans="2:6">
      <c r="B45" s="47" t="s">
        <v>266</v>
      </c>
      <c r="C45" s="188">
        <f>Normalized_FCF!C15</f>
        <v>-146634564.47167698</v>
      </c>
      <c r="D45" s="1" t="str">
        <f>Reporting_currency</f>
        <v>CNY</v>
      </c>
    </row>
    <row r="47" spans="2:6">
      <c r="B47" s="343" t="s">
        <v>242</v>
      </c>
      <c r="C47" s="343"/>
      <c r="D47" s="343"/>
      <c r="E47" s="343"/>
      <c r="F47" s="343"/>
    </row>
    <row r="48" spans="2:6">
      <c r="B48" s="47" t="s">
        <v>240</v>
      </c>
      <c r="C48" s="188">
        <f>Normalized_FCF!C14</f>
        <v>-1008422830.2252425</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3155178968.593215</v>
      </c>
      <c r="D56" s="1" t="str">
        <f>Reporting_currency</f>
        <v>CNY</v>
      </c>
    </row>
    <row r="57" spans="1:6">
      <c r="B57" s="47" t="s">
        <v>249</v>
      </c>
      <c r="C57" s="188">
        <f>Normalized_FCF!C19</f>
        <v>2878633926.2040505</v>
      </c>
      <c r="D57" s="1" t="str">
        <f>Reporting_currency</f>
        <v>CNY</v>
      </c>
    </row>
    <row r="58" spans="1:6">
      <c r="B58" s="254" t="s">
        <v>398</v>
      </c>
      <c r="C58" s="92">
        <f>Normalized_FCF!C125</f>
        <v>4.1506442378573941E-2</v>
      </c>
    </row>
    <row r="59" spans="1:6">
      <c r="B59" s="254" t="s">
        <v>316</v>
      </c>
      <c r="C59" s="92">
        <f>Normalized_FCF!C93</f>
        <v>3.8002931783848878E-2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422</v>
      </c>
    </row>
    <row r="69" spans="1:6">
      <c r="B69" s="1" t="s">
        <v>289</v>
      </c>
      <c r="C69" s="263">
        <f>IF(D69="Y",1%,0)</f>
        <v>0</v>
      </c>
      <c r="D69" s="286" t="s">
        <v>422</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28.146556237970447</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285396383</v>
      </c>
      <c r="D86" s="1" t="str">
        <f>Reporting_currency</f>
        <v>CNY</v>
      </c>
    </row>
    <row r="87" spans="2:6">
      <c r="B87" s="47" t="s">
        <v>285</v>
      </c>
      <c r="C87" s="248">
        <f>C86*scaling_factor*Exchange_Rate/Common_Shares</f>
        <v>0.2232427060933192</v>
      </c>
      <c r="D87" s="1" t="str">
        <f>Market_currency</f>
        <v>HKD</v>
      </c>
    </row>
    <row r="88" spans="2:6">
      <c r="B88" s="336" t="s">
        <v>413</v>
      </c>
      <c r="C88" s="337">
        <f>BS!G30/BS!G27</f>
        <v>0.72207550313588764</v>
      </c>
    </row>
    <row r="89" spans="2:6">
      <c r="B89" s="336" t="s">
        <v>414</v>
      </c>
      <c r="C89" s="337">
        <f>BS!G31/BS!G27</f>
        <v>9.5579625064196368E-3</v>
      </c>
    </row>
    <row r="90" spans="2:6">
      <c r="B90" s="336" t="s">
        <v>416</v>
      </c>
      <c r="C90" s="338">
        <f>BS!C50</f>
        <v>7.3592411949940734E-2</v>
      </c>
    </row>
    <row r="92" spans="2:6">
      <c r="B92" s="1" t="s">
        <v>255</v>
      </c>
    </row>
    <row r="93" spans="2:6">
      <c r="B93" s="47" t="s">
        <v>265</v>
      </c>
      <c r="C93" s="188">
        <f>BS!C66</f>
        <v>17978772896</v>
      </c>
      <c r="D93" s="1" t="str">
        <f>Reporting_currency</f>
        <v>CNY</v>
      </c>
    </row>
    <row r="94" spans="2:6">
      <c r="B94" s="47" t="s">
        <v>267</v>
      </c>
      <c r="C94" s="188">
        <f>Valuation_Model!C8</f>
        <v>12805835971.681217</v>
      </c>
      <c r="D94" s="1" t="str">
        <f>Reporting_currency</f>
        <v>CNY</v>
      </c>
    </row>
    <row r="95" spans="2:6">
      <c r="B95" s="47" t="s">
        <v>286</v>
      </c>
      <c r="C95" s="248">
        <f>C94*scaling_factor*Exchange_Rate/Common_Shares</f>
        <v>10.016978652827861</v>
      </c>
      <c r="D95" s="1" t="str">
        <f>Market_currency</f>
        <v>HKD</v>
      </c>
    </row>
    <row r="97" spans="1:6">
      <c r="B97" s="1" t="s">
        <v>257</v>
      </c>
    </row>
    <row r="98" spans="1:6">
      <c r="B98" s="47" t="s">
        <v>258</v>
      </c>
      <c r="C98" s="188">
        <f>Valuation_Model!C9</f>
        <v>2755411575.5</v>
      </c>
      <c r="D98" s="1" t="str">
        <f>Reporting_currency</f>
        <v>CNY</v>
      </c>
    </row>
    <row r="99" spans="1:6">
      <c r="B99" s="47" t="s">
        <v>287</v>
      </c>
      <c r="C99" s="248">
        <f>C98*scaling_factor*Exchange_Rate/Common_Shares</f>
        <v>2.1553375345877317</v>
      </c>
      <c r="D99" s="1" t="str">
        <f>Market_currency</f>
        <v>HKD</v>
      </c>
    </row>
    <row r="101" spans="1:6" ht="24.4" customHeight="1">
      <c r="B101" s="342" t="s">
        <v>374</v>
      </c>
      <c r="C101" s="342"/>
      <c r="D101" s="342"/>
      <c r="E101" s="342"/>
      <c r="F101" s="342"/>
    </row>
    <row r="103" spans="1:6">
      <c r="B103" s="47" t="s">
        <v>283</v>
      </c>
      <c r="C103" s="248">
        <f>Valuation_Model!C12</f>
        <v>40.095629719292724</v>
      </c>
      <c r="D103" s="1" t="str">
        <f>Market_currency</f>
        <v>HKD</v>
      </c>
    </row>
    <row r="104" spans="1:6">
      <c r="B104" s="336" t="s">
        <v>415</v>
      </c>
      <c r="C104" s="248">
        <f>BS!D47</f>
        <v>1.3263016249568782</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105.94 HKD</v>
      </c>
      <c r="F111" s="259">
        <f>Valuation_Model!F74</f>
        <v>0.05</v>
      </c>
    </row>
    <row r="112" spans="1:6">
      <c r="B112" s="242" t="str">
        <f>Valuation_Model!B75</f>
        <v>Optimistic</v>
      </c>
      <c r="C112" s="243">
        <f>Valuation_Model!C75</f>
        <v>0.08</v>
      </c>
      <c r="D112" s="244">
        <f>Valuation_Model!D75</f>
        <v>30</v>
      </c>
      <c r="E112" s="245" t="str">
        <f>ROUND(Valuation_Model!E75,2)&amp;" "&amp;Market_currency</f>
        <v>82.52 HKD</v>
      </c>
      <c r="F112" s="246">
        <f>Valuation_Model!F75</f>
        <v>0.18</v>
      </c>
    </row>
    <row r="113" spans="1:6">
      <c r="B113" s="242" t="str">
        <f>Valuation_Model!B76</f>
        <v>Base</v>
      </c>
      <c r="C113" s="243">
        <f>Valuation_Model!C76</f>
        <v>0.06</v>
      </c>
      <c r="D113" s="244">
        <f>Valuation_Model!D76</f>
        <v>30</v>
      </c>
      <c r="E113" s="245" t="str">
        <f>ROUND(Valuation_Model!E76,2)&amp;" "&amp;Market_currency</f>
        <v>66.14 HKD</v>
      </c>
      <c r="F113" s="246">
        <f>Valuation_Model!F76</f>
        <v>0.44999999999999996</v>
      </c>
    </row>
    <row r="114" spans="1:6">
      <c r="B114" s="242" t="str">
        <f>Valuation_Model!B77</f>
        <v>Pessimistic</v>
      </c>
      <c r="C114" s="243">
        <f>Valuation_Model!C77</f>
        <v>0.04</v>
      </c>
      <c r="D114" s="244">
        <f>Valuation_Model!D77</f>
        <v>30</v>
      </c>
      <c r="E114" s="245" t="str">
        <f>ROUND(Valuation_Model!E77,2)&amp;" "&amp;Market_currency</f>
        <v>54.53 HKD</v>
      </c>
      <c r="F114" s="246">
        <f>Valuation_Model!F77</f>
        <v>0.26999999999999996</v>
      </c>
    </row>
    <row r="115" spans="1:6">
      <c r="B115" s="242" t="str">
        <f>Valuation_Model!B78</f>
        <v>Devil's advocate</v>
      </c>
      <c r="C115" s="243">
        <f>Valuation_Model!C78</f>
        <v>0.02</v>
      </c>
      <c r="D115" s="244">
        <f>Valuation_Model!D78</f>
        <v>30</v>
      </c>
      <c r="E115" s="245" t="str">
        <f>ROUND(Valuation_Model!E78,2)&amp;" "&amp;Market_currency</f>
        <v>46.19 HKD</v>
      </c>
      <c r="F115" s="246">
        <f>Valuation_Model!F78</f>
        <v>0.05</v>
      </c>
    </row>
    <row r="117" spans="1:6">
      <c r="B117" s="235" t="s">
        <v>259</v>
      </c>
      <c r="C117" s="241">
        <f>Scenarios!C60</f>
        <v>66.946528402184271</v>
      </c>
      <c r="D117" s="236" t="str">
        <f>Market_currency</f>
        <v>HKD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2.0616590492738016</v>
      </c>
      <c r="D128" s="236" t="str">
        <f>Market_currency</f>
        <v>HKD</v>
      </c>
    </row>
    <row r="130" spans="1:6">
      <c r="B130" s="234" t="s">
        <v>408</v>
      </c>
      <c r="C130" s="337">
        <f>C19</f>
        <v>0.3</v>
      </c>
      <c r="D130" s="1" t="s">
        <v>418</v>
      </c>
    </row>
    <row r="131" spans="1:6">
      <c r="B131" s="236" t="str">
        <f>"PV("&amp;C126&amp;" yrs of Dividends)"</f>
        <v>PV(3 yrs of Dividends)</v>
      </c>
      <c r="C131" s="240">
        <f>Scenarios!C81</f>
        <v>3.7442055560320755</v>
      </c>
    </row>
    <row r="132" spans="1:6">
      <c r="B132" s="236" t="str">
        <f>"+ PV(Equity Value realized at year "&amp;C126&amp;")"</f>
        <v>+ PV(Equity Value realized at year 3)</v>
      </c>
      <c r="C132" s="240">
        <f>Scenarios!C82</f>
        <v>30.471792627302801</v>
      </c>
    </row>
    <row r="133" spans="1:6">
      <c r="B133" s="80" t="s">
        <v>261</v>
      </c>
      <c r="C133" s="239">
        <f>Scenarios!C83</f>
        <v>34.215998183334875</v>
      </c>
      <c r="D133" s="47" t="str">
        <f>Reporting_currency</f>
        <v>CNY</v>
      </c>
    </row>
    <row r="134" spans="1:6">
      <c r="B134" s="238" t="s">
        <v>263</v>
      </c>
      <c r="C134" s="92">
        <f>Scenarios!F83</f>
        <v>0.48890556388853013</v>
      </c>
    </row>
    <row r="136" spans="1:6">
      <c r="B136" s="234" t="s">
        <v>409</v>
      </c>
      <c r="C136" s="92">
        <f>Scenarios!C96</f>
        <v>0.08</v>
      </c>
      <c r="D136" s="1" t="s">
        <v>417</v>
      </c>
    </row>
    <row r="137" spans="1:6">
      <c r="B137" s="236" t="str">
        <f>"PV("&amp;C126&amp;" yrs of Dividends)"</f>
        <v>PV(3 yrs of Dividends)</v>
      </c>
      <c r="C137" s="240">
        <f>Scenarios!C97</f>
        <v>5.3130953246158432</v>
      </c>
    </row>
    <row r="138" spans="1:6">
      <c r="B138" s="236" t="str">
        <f>"+ PV(Equity Value realized at year "&amp;C126&amp;")"</f>
        <v>+ PV(Equity Value realized at year 3)</v>
      </c>
      <c r="C138" s="240">
        <f>Scenarios!C98</f>
        <v>53.144312670026373</v>
      </c>
    </row>
    <row r="139" spans="1:6">
      <c r="B139" s="80" t="s">
        <v>410</v>
      </c>
      <c r="C139" s="239">
        <f>Scenarios!C99</f>
        <v>58.457407994642217</v>
      </c>
      <c r="D139" s="101" t="str">
        <f>Reporting_currency</f>
        <v>CNY</v>
      </c>
    </row>
    <row r="140" spans="1:6">
      <c r="B140" s="238" t="s">
        <v>263</v>
      </c>
      <c r="C140" s="92">
        <f>Scenarios!F99</f>
        <v>0.12680449024247054</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2.0616590492738016</v>
      </c>
      <c r="D25" s="39">
        <f>2/Exchange_Rate</f>
        <v>1.8742354993398194</v>
      </c>
      <c r="E25" s="39">
        <f>1.3/Exchange_Rate</f>
        <v>1.2182530745708826</v>
      </c>
      <c r="F25" s="39">
        <f>1.1/Exchange_Rate</f>
        <v>1.0308295246369008</v>
      </c>
      <c r="G25" s="39">
        <f>0.75/Exchange_Rate</f>
        <v>0.70283831225243232</v>
      </c>
      <c r="H25" s="39"/>
      <c r="I25" s="39"/>
      <c r="J25" s="39"/>
      <c r="K25" s="39"/>
      <c r="L25" s="39"/>
      <c r="M25" s="39"/>
    </row>
    <row r="27" spans="2:13">
      <c r="B27" s="16" t="s">
        <v>28</v>
      </c>
      <c r="C27" s="97" t="s">
        <v>427</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2.0616590492738016</v>
      </c>
      <c r="D65" s="73">
        <f t="shared" ref="D65:M65" si="33">IF(D$4="","",D25)</f>
        <v>1.8742354993398194</v>
      </c>
      <c r="E65" s="73">
        <f t="shared" si="33"/>
        <v>1.2182530745708826</v>
      </c>
      <c r="F65" s="73">
        <f t="shared" si="33"/>
        <v>1.0308295246369008</v>
      </c>
      <c r="G65" s="73">
        <f t="shared" si="33"/>
        <v>0.70283831225243232</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81">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22.731608627008775</v>
      </c>
      <c r="D47" s="148">
        <f>D46*H1/Common_Shares*Exchange_Rate</f>
        <v>1.3263016249568782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12805835971.681217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-2538545515.5808711</v>
      </c>
      <c r="D73" s="188">
        <f>(Normalized_FCF!C25+Normalized_FCF!C35-Normalized_FCF!C91)/12</f>
        <v>-2586468462.1593919</v>
      </c>
      <c r="F73" s="1" t="s">
        <v>359</v>
      </c>
    </row>
    <row r="74" spans="2:6" ht="15" customHeight="1">
      <c r="B74" s="288" t="s">
        <v>329</v>
      </c>
      <c r="C74" s="289">
        <f>-$C$66/C73</f>
        <v>7.0823126020988791</v>
      </c>
      <c r="D74" s="289">
        <f>-$C$66/D73</f>
        <v>6.9510891623205309</v>
      </c>
      <c r="F74" s="283" t="s">
        <v>327</v>
      </c>
    </row>
    <row r="75" spans="2:6" ht="15" customHeight="1">
      <c r="B75" s="80" t="s">
        <v>328</v>
      </c>
      <c r="C75" s="293"/>
      <c r="D75" s="292">
        <f>MAX(-D73*D76,G5)</f>
        <v>5172936924.3187838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-304546982.59693408</v>
      </c>
      <c r="D86" s="248">
        <f>C86*scaling_factor/Common_Shares</f>
        <v>-0.2232427060933192</v>
      </c>
      <c r="E86" s="269" t="str">
        <f>Market_currency</f>
        <v>HKD</v>
      </c>
    </row>
    <row r="87" spans="2:8" ht="15" customHeight="1">
      <c r="B87" s="267" t="s">
        <v>294</v>
      </c>
      <c r="C87" s="188">
        <f>Valuation_Model!C8*Exchange_Rate</f>
        <v>13665130103.652336</v>
      </c>
      <c r="D87" s="248">
        <f>C87*scaling_factor/Common_Shares</f>
        <v>10.016978652827861</v>
      </c>
      <c r="E87" s="269" t="str">
        <f>Market_currency</f>
        <v>HKD</v>
      </c>
    </row>
    <row r="88" spans="2:8" ht="15" customHeight="1">
      <c r="B88" s="268" t="s">
        <v>190</v>
      </c>
      <c r="C88" s="188">
        <f>Valuation_Model!C9*Exchange_Rate</f>
        <v>2940304541.7404227</v>
      </c>
      <c r="D88" s="248">
        <f>C88*scaling_factor/Common_Shares</f>
        <v>2.1553375345877317</v>
      </c>
      <c r="E88" s="269" t="str">
        <f>Market_currency</f>
        <v>HKD</v>
      </c>
    </row>
    <row r="89" spans="2:8" ht="15" customHeight="1">
      <c r="B89" s="80" t="s">
        <v>298</v>
      </c>
      <c r="C89" s="187">
        <f>SUM(C86:C88)</f>
        <v>16300887662.795826</v>
      </c>
      <c r="D89" s="271">
        <f>SUM(D86:D88)</f>
        <v>11.949073481322273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155623250.59321538</v>
      </c>
      <c r="E12" s="302"/>
      <c r="G12" s="191">
        <f>G50</f>
        <v>155623250.59321538</v>
      </c>
      <c r="H12" s="191">
        <f t="shared" ref="H12:Q12" si="6">H50</f>
        <v>129266290.35218722</v>
      </c>
      <c r="I12" s="191">
        <f t="shared" si="6"/>
        <v>123018209.1709564</v>
      </c>
      <c r="J12" s="191">
        <f t="shared" si="6"/>
        <v>68134445.443500534</v>
      </c>
      <c r="K12" s="191">
        <f t="shared" si="6"/>
        <v>137113499.33301559</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4033691320.90097</v>
      </c>
      <c r="E13" s="302"/>
      <c r="G13" s="184">
        <f>IF(G$4="","",SUM(G8:G12))</f>
        <v>4691688110.593215</v>
      </c>
      <c r="H13" s="184">
        <f t="shared" ref="H13:Q13" si="7">IF(H$4="","",SUM(H8:H12))</f>
        <v>4549934082.3521872</v>
      </c>
      <c r="I13" s="184">
        <f t="shared" si="7"/>
        <v>3869971417.1709566</v>
      </c>
      <c r="J13" s="184">
        <f t="shared" si="7"/>
        <v>3025225445.4435005</v>
      </c>
      <c r="K13" s="184">
        <f t="shared" si="7"/>
        <v>2471173371.3330154</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-1008422830.2252425</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2878633926.2040505</v>
      </c>
      <c r="D16" s="61"/>
      <c r="E16" s="310"/>
      <c r="F16" s="61"/>
      <c r="G16" s="184">
        <f>IF(G$4="","",SUM(G13:G15))</f>
        <v>3155178968.593215</v>
      </c>
      <c r="H16" s="184">
        <f t="shared" ref="H16:Q16" si="8">IF(H$4="","",SUM(H13:H15))</f>
        <v>3071378186.3521872</v>
      </c>
      <c r="I16" s="184">
        <f t="shared" si="8"/>
        <v>2574458724.1709566</v>
      </c>
      <c r="J16" s="184">
        <f t="shared" si="8"/>
        <v>1701705790.4435005</v>
      </c>
      <c r="K16" s="184">
        <f t="shared" si="8"/>
        <v>1432947603.3330154</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2878633926.2040505</v>
      </c>
      <c r="D19" s="27"/>
      <c r="E19" s="299"/>
      <c r="F19" s="27"/>
      <c r="G19" s="186">
        <f>IF(G$4="","",G16+G17)</f>
        <v>3155178968.593215</v>
      </c>
      <c r="H19" s="186">
        <f t="shared" ref="H19:Q19" si="9">IF(H$4="","",H16+H17)</f>
        <v>3071378186.3521872</v>
      </c>
      <c r="I19" s="186">
        <f t="shared" si="9"/>
        <v>2574458724.1709566</v>
      </c>
      <c r="J19" s="186">
        <f t="shared" si="9"/>
        <v>1701705790.4435005</v>
      </c>
      <c r="K19" s="186">
        <f t="shared" si="9"/>
        <v>1432947603.3330154</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0.29620816244417508</v>
      </c>
      <c r="H43" s="6">
        <f t="shared" si="18"/>
        <v>0.30730299663531957</v>
      </c>
      <c r="I43" s="6">
        <f t="shared" si="18"/>
        <v>0.31044668771178346</v>
      </c>
      <c r="J43" s="6">
        <f t="shared" si="18"/>
        <v>0.40417866934235924</v>
      </c>
      <c r="K43" s="6">
        <f t="shared" si="18"/>
        <v>0.3692903661015618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177460304.59321538</v>
      </c>
      <c r="E48" s="302"/>
      <c r="G48" s="328">
        <f>IFERROR(IF(G$4="","",($C$48/$C$49)*G49),0)</f>
        <v>177460304.59321538</v>
      </c>
      <c r="H48" s="328">
        <f t="shared" ref="H48:Q48" si="19">IFERROR(IF(H$4="","",($C$48/$C$49)*H49),0)</f>
        <v>145696880.35218722</v>
      </c>
      <c r="I48" s="328">
        <f t="shared" si="19"/>
        <v>132256009.1709564</v>
      </c>
      <c r="J48" s="328">
        <f t="shared" si="19"/>
        <v>90819812.443500534</v>
      </c>
      <c r="K48" s="328">
        <f t="shared" si="19"/>
        <v>150776181.33301559</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155623250.59321538</v>
      </c>
      <c r="E50" s="302"/>
      <c r="G50" s="184">
        <f>IF(G$4="","",(G47+G48))</f>
        <v>155623250.59321538</v>
      </c>
      <c r="H50" s="184">
        <f t="shared" ref="H50:Q50" si="20">IF(H$4="","",(H47+H48))</f>
        <v>129266290.35218722</v>
      </c>
      <c r="I50" s="184">
        <f t="shared" si="20"/>
        <v>123018209.1709564</v>
      </c>
      <c r="J50" s="184">
        <f t="shared" si="20"/>
        <v>68134445.443500534</v>
      </c>
      <c r="K50" s="184">
        <f t="shared" si="20"/>
        <v>137113499.33301559</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429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4.8475959678688707E-3</v>
      </c>
      <c r="D80" s="27"/>
      <c r="E80" s="299"/>
      <c r="F80" s="27"/>
      <c r="G80" s="6">
        <f t="shared" ref="G80:Q80" si="31">IF(G$4="","",ABS(G12/G$4))</f>
        <v>4.8423695705563305E-3</v>
      </c>
      <c r="H80" s="6">
        <f t="shared" si="31"/>
        <v>3.8090611503934584E-3</v>
      </c>
      <c r="I80" s="6">
        <f t="shared" si="31"/>
        <v>3.8238179207288805E-3</v>
      </c>
      <c r="J80" s="6">
        <f t="shared" si="31"/>
        <v>2.2585900161456308E-3</v>
      </c>
      <c r="K80" s="6">
        <f t="shared" si="31"/>
        <v>4.9392985286670918E-3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0.12564771464605093</v>
      </c>
      <c r="D81" s="27"/>
      <c r="E81" s="299"/>
      <c r="F81" s="27"/>
      <c r="G81" s="65">
        <f t="shared" ref="G81:Q81" si="32">IF(G$4="","",G13/G$4)</f>
        <v>0.14598646188584349</v>
      </c>
      <c r="H81" s="65">
        <f t="shared" si="32"/>
        <v>0.13407189997268751</v>
      </c>
      <c r="I81" s="65">
        <f t="shared" si="32"/>
        <v>0.12029167191925395</v>
      </c>
      <c r="J81" s="65">
        <f t="shared" si="32"/>
        <v>0.10028325530783633</v>
      </c>
      <c r="K81" s="65">
        <f t="shared" si="32"/>
        <v>8.9020140660704489E-2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3.1411928661512732E-2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8.9668183645083527E-2</v>
      </c>
      <c r="D84" s="27"/>
      <c r="E84" s="299"/>
      <c r="F84" s="27"/>
      <c r="G84" s="65">
        <f t="shared" ref="G84:Q84" si="35">IF(G$4="","",ABS(G16/G$4))</f>
        <v>9.8176477929456524E-2</v>
      </c>
      <c r="H84" s="65">
        <f t="shared" si="35"/>
        <v>9.0503620827408426E-2</v>
      </c>
      <c r="I84" s="65">
        <f t="shared" si="35"/>
        <v>8.002279883607559E-2</v>
      </c>
      <c r="J84" s="65">
        <f t="shared" si="35"/>
        <v>5.640987731968887E-2</v>
      </c>
      <c r="K84" s="65">
        <f t="shared" si="35"/>
        <v>5.1619687508737834E-2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8.9668183645083527E-2</v>
      </c>
      <c r="D87" s="75"/>
      <c r="E87" s="299"/>
      <c r="F87" s="75"/>
      <c r="G87" s="65">
        <f t="shared" ref="G87:Q87" si="36">IF(G$4="","",ABS(G19/G$4))</f>
        <v>9.8176477929456524E-2</v>
      </c>
      <c r="H87" s="65">
        <f t="shared" si="36"/>
        <v>9.0503620827408426E-2</v>
      </c>
      <c r="I87" s="65">
        <f t="shared" si="36"/>
        <v>8.002279883607559E-2</v>
      </c>
      <c r="J87" s="65">
        <f t="shared" si="36"/>
        <v>5.640987731968887E-2</v>
      </c>
      <c r="K87" s="65">
        <f t="shared" si="36"/>
        <v>5.1619687508737834E-2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2.0616590492738016</v>
      </c>
      <c r="E90" s="302"/>
      <c r="G90" s="113">
        <f>Data!C65</f>
        <v>2.0616590492738016</v>
      </c>
      <c r="H90" s="113">
        <f>Data!D65</f>
        <v>1.8742354993398194</v>
      </c>
      <c r="I90" s="113">
        <f>Data!E65</f>
        <v>1.2182530745708826</v>
      </c>
      <c r="J90" s="113">
        <f>Data!F65</f>
        <v>1.0308295246369008</v>
      </c>
      <c r="K90" s="113">
        <f>Data!G65</f>
        <v>0.70283831225243232</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2812508652.9704537</v>
      </c>
      <c r="E91" s="302"/>
      <c r="G91" s="74">
        <f t="shared" ref="G91:Q91" si="37">IF(G$4="","",G90*Common_Shares/scaling_factor)</f>
        <v>2812508652.9704537</v>
      </c>
      <c r="H91" s="74">
        <f t="shared" si="37"/>
        <v>2556826048.1549578</v>
      </c>
      <c r="I91" s="74">
        <f t="shared" si="37"/>
        <v>1661936931.3007226</v>
      </c>
      <c r="J91" s="74">
        <f t="shared" si="37"/>
        <v>1406254326.4852269</v>
      </c>
      <c r="K91" s="74">
        <f t="shared" si="37"/>
        <v>958809768.05810916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0.97702893979270444</v>
      </c>
      <c r="E92" s="302"/>
      <c r="G92" s="171">
        <f t="shared" ref="G92:Q92" si="38">IF(G$4="","",G90/(G19*scaling_factor/Common_Shares))</f>
        <v>0.89139433324267314</v>
      </c>
      <c r="H92" s="171">
        <f t="shared" si="38"/>
        <v>0.8324686486074343</v>
      </c>
      <c r="I92" s="171">
        <f t="shared" si="38"/>
        <v>0.64554809743003738</v>
      </c>
      <c r="J92" s="171">
        <f t="shared" si="38"/>
        <v>0.82637923334487062</v>
      </c>
      <c r="K92" s="171">
        <f t="shared" si="38"/>
        <v>0.66911711623504688</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3.8002931783848878E-2</v>
      </c>
      <c r="E93" s="302"/>
      <c r="G93" s="23">
        <f t="shared" ref="G93:Q93" si="39">IF(G$4="","",G90/Market_Price)</f>
        <v>3.8002931783848878E-2</v>
      </c>
      <c r="H93" s="23">
        <f t="shared" si="39"/>
        <v>3.4548119803498978E-2</v>
      </c>
      <c r="I93" s="23">
        <f t="shared" si="39"/>
        <v>2.2456277872274333E-2</v>
      </c>
      <c r="J93" s="23">
        <f t="shared" si="39"/>
        <v>1.9001465891924439E-2</v>
      </c>
      <c r="K93" s="23">
        <f t="shared" si="39"/>
        <v>1.2955544926312117E-2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-0.14024734257304416</v>
      </c>
      <c r="D97" s="27"/>
      <c r="E97" s="299"/>
      <c r="F97" s="27"/>
      <c r="G97" s="6">
        <f t="shared" ref="G97:Q97" si="41">IF(H5="","",G13/H13-1)</f>
        <v>3.1155182838988438E-2</v>
      </c>
      <c r="H97" s="6">
        <f t="shared" si="41"/>
        <v>0.17570224476704266</v>
      </c>
      <c r="I97" s="6">
        <f t="shared" si="41"/>
        <v>0.27923405609317009</v>
      </c>
      <c r="J97" s="6">
        <f t="shared" si="41"/>
        <v>0.22420607171386564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1.6337143418201361</v>
      </c>
      <c r="H114" s="334">
        <f>IF(H$4="","",Data!D$22/H19)</f>
        <v>0.90433902029461877</v>
      </c>
      <c r="I114" s="334">
        <f>IF(I$4="","",Data!E$22/I19)</f>
        <v>1.8950668255794594</v>
      </c>
      <c r="J114" s="334">
        <f>IF(J$4="","",Data!F$22/J19)</f>
        <v>3.5512081400540088</v>
      </c>
      <c r="K114" s="334">
        <f>IF(K$4="","",Data!G$22/K19)</f>
        <v>3.4568063413333543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0.12564771464605093</v>
      </c>
      <c r="E117" s="302"/>
      <c r="G117" s="23">
        <f t="shared" ref="G117:Q117" si="45">G81</f>
        <v>0.14598646188584349</v>
      </c>
      <c r="H117" s="23">
        <f t="shared" si="45"/>
        <v>0.13407189997268751</v>
      </c>
      <c r="I117" s="23">
        <f t="shared" si="45"/>
        <v>0.12029167191925395</v>
      </c>
      <c r="J117" s="23">
        <f t="shared" si="45"/>
        <v>0.10028325530783633</v>
      </c>
      <c r="K117" s="23">
        <f t="shared" si="45"/>
        <v>8.9020140660704489E-2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2.2517244990376364</v>
      </c>
      <c r="D124" s="27"/>
      <c r="E124" s="299"/>
      <c r="F124" s="27"/>
      <c r="G124" s="178">
        <f t="shared" ref="G124:Q124" si="49">IF(G$4="","",G16*$C$3/Common_Shares*Exchange_Rate)</f>
        <v>2.4680435111102197</v>
      </c>
      <c r="H124" s="178">
        <f t="shared" si="49"/>
        <v>2.4024928786755262</v>
      </c>
      <c r="I124" s="178">
        <f t="shared" si="49"/>
        <v>2.0137926285823964</v>
      </c>
      <c r="J124" s="178">
        <f t="shared" si="49"/>
        <v>1.3311079896667009</v>
      </c>
      <c r="K124" s="178">
        <f t="shared" si="49"/>
        <v>1.1208800100945866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4.1506442378573941E-2</v>
      </c>
      <c r="D125" s="27"/>
      <c r="E125" s="299"/>
      <c r="F125" s="27"/>
      <c r="G125" s="77">
        <f t="shared" ref="G125" si="50">IF(G$4="","",G124/Market_Price)</f>
        <v>4.5493889605718332E-2</v>
      </c>
      <c r="H125" s="77">
        <f t="shared" ref="H125" si="51">IF(H$4="","",H124/Market_Price)</f>
        <v>4.4285583017060391E-2</v>
      </c>
      <c r="I125" s="77">
        <f t="shared" ref="I125" si="52">IF(I$4="","",I124/Market_Price)</f>
        <v>3.7120601448523437E-2</v>
      </c>
      <c r="J125" s="77">
        <f t="shared" ref="J125" si="53">IF(J$4="","",J124/Market_Price)</f>
        <v>2.4536552804916144E-2</v>
      </c>
      <c r="K125" s="77">
        <f t="shared" ref="K125" si="54">IF(K$4="","",K124/Market_Price)</f>
        <v>2.0661382674554592E-2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2878633926.2040505</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35982924077.550629</v>
      </c>
      <c r="D6" t="str">
        <f>Reporting_currency</f>
        <v>CNY</v>
      </c>
      <c r="E6" s="348" t="s">
        <v>250</v>
      </c>
      <c r="F6" s="348"/>
      <c r="H6" s="121"/>
    </row>
    <row r="7" spans="2:8">
      <c r="B7" s="149" t="s">
        <v>225</v>
      </c>
      <c r="C7" s="226">
        <f>BS!G31</f>
        <v>285396383</v>
      </c>
      <c r="D7" t="str">
        <f>Reporting_currency</f>
        <v>CNY</v>
      </c>
      <c r="E7" s="348"/>
      <c r="F7" s="348"/>
      <c r="H7" s="121"/>
    </row>
    <row r="8" spans="2:8">
      <c r="B8" s="149" t="s">
        <v>226</v>
      </c>
      <c r="C8" s="201">
        <f>BS!D66</f>
        <v>12805835971.681217</v>
      </c>
      <c r="D8" t="str">
        <f>Reporting_currency</f>
        <v>CNY</v>
      </c>
      <c r="E8" s="348"/>
      <c r="F8" s="348"/>
      <c r="H8" s="121"/>
    </row>
    <row r="9" spans="2:8">
      <c r="B9" s="227" t="s">
        <v>191</v>
      </c>
      <c r="C9" s="229">
        <f>BS!H42</f>
        <v>2755411575.5</v>
      </c>
      <c r="D9" t="str">
        <f>Reporting_currency</f>
        <v>CNY</v>
      </c>
      <c r="E9" s="348"/>
      <c r="F9" s="348"/>
      <c r="H9" s="121"/>
    </row>
    <row r="10" spans="2:8" ht="13.15">
      <c r="B10" s="150" t="s">
        <v>228</v>
      </c>
      <c r="C10" s="232">
        <f>C6-C7+C8+C9</f>
        <v>51258775241.731842</v>
      </c>
      <c r="D10" t="str">
        <f>Reporting_currency</f>
        <v>CNY</v>
      </c>
      <c r="H10" s="121"/>
    </row>
    <row r="11" spans="2:8" ht="13.15" thickBot="1">
      <c r="B11" s="230" t="s">
        <v>167</v>
      </c>
      <c r="C11" s="231">
        <f>Exchange_Rate</f>
        <v>1.0671017599999999</v>
      </c>
      <c r="D11" t="str">
        <f>Thesis!D17</f>
        <v>CNY/HKD</v>
      </c>
      <c r="H11" s="121"/>
    </row>
    <row r="12" spans="2:8" ht="13.5" thickTop="1">
      <c r="B12" s="150" t="s">
        <v>103</v>
      </c>
      <c r="C12" s="112">
        <f>(C10*scaling_factor)/Common_Shares*Exchange_Rate</f>
        <v>40.095629719292724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66.944716874656692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3054708011.7114477</v>
      </c>
      <c r="D21" s="139">
        <f>IF($C$17&lt;B21,0,Valuation_Model!$C$16)</f>
        <v>6.1165848114484E-2</v>
      </c>
      <c r="E21" s="125">
        <f t="shared" ref="E21:E50" si="0">IF($C$17&lt;B21,0,1/(1+Equity_Cost)^B21)</f>
        <v>0.92592592592592582</v>
      </c>
      <c r="F21" s="126">
        <f t="shared" ref="F21:F51" si="1">C21*E21</f>
        <v>2828433344.1772661</v>
      </c>
      <c r="H21" s="121"/>
    </row>
    <row r="22" spans="2:8">
      <c r="B22" s="123">
        <v>2</v>
      </c>
      <c r="C22" s="124">
        <f t="shared" ref="C22:C50" si="2">IF(ROW()-ROW($C$21)&lt;$C$17, $C$21*(1+D22)^(ROW()-ROW($C$21)), 0)</f>
        <v>3241551817.9898872</v>
      </c>
      <c r="D22" s="139">
        <f>IF($C$17&lt;B22,0,Valuation_Model!$C$16)</f>
        <v>6.1165848114484E-2</v>
      </c>
      <c r="E22" s="125">
        <f t="shared" si="0"/>
        <v>0.85733882030178321</v>
      </c>
      <c r="F22" s="126">
        <f t="shared" si="1"/>
        <v>2779108211.5825505</v>
      </c>
      <c r="H22" s="121"/>
    </row>
    <row r="23" spans="2:8">
      <c r="B23" s="123">
        <v>3</v>
      </c>
      <c r="C23" s="124">
        <f t="shared" si="2"/>
        <v>3439824084.1442857</v>
      </c>
      <c r="D23" s="139">
        <f>IF($C$17&lt;B23,0,Valuation_Model!$C$16)</f>
        <v>6.1165848114484E-2</v>
      </c>
      <c r="E23" s="125">
        <f t="shared" si="0"/>
        <v>0.79383224102016958</v>
      </c>
      <c r="F23" s="126">
        <f t="shared" si="1"/>
        <v>2730643261.4314108</v>
      </c>
      <c r="H23" s="121"/>
    </row>
    <row r="24" spans="2:8">
      <c r="B24" s="123">
        <v>4</v>
      </c>
      <c r="C24" s="124">
        <f t="shared" si="2"/>
        <v>3650223841.6155987</v>
      </c>
      <c r="D24" s="139">
        <f>IF($C$17&lt;B24,0,Valuation_Model!$C$16)</f>
        <v>6.1165848114484E-2</v>
      </c>
      <c r="E24" s="125">
        <f t="shared" si="0"/>
        <v>0.73502985279645328</v>
      </c>
      <c r="F24" s="126">
        <f t="shared" si="1"/>
        <v>2683023492.9768176</v>
      </c>
      <c r="H24" s="121"/>
    </row>
    <row r="25" spans="2:8">
      <c r="B25" s="123">
        <v>5</v>
      </c>
      <c r="C25" s="124">
        <f t="shared" si="2"/>
        <v>3873492878.6957259</v>
      </c>
      <c r="D25" s="139">
        <f>IF($C$17&lt;B25,0,Valuation_Model!$C$16)</f>
        <v>6.1165848114484E-2</v>
      </c>
      <c r="E25" s="125">
        <f t="shared" si="0"/>
        <v>0.68058319703375303</v>
      </c>
      <c r="F25" s="126">
        <f t="shared" si="1"/>
        <v>2636234167.0702124</v>
      </c>
      <c r="H25" s="121"/>
    </row>
    <row r="26" spans="2:8">
      <c r="B26" s="123">
        <v>6</v>
      </c>
      <c r="C26" s="124">
        <f t="shared" si="2"/>
        <v>4110418355.7865639</v>
      </c>
      <c r="D26" s="139">
        <f>IF($C$17&lt;B26,0,Valuation_Model!$C$16)</f>
        <v>6.1165848114484E-2</v>
      </c>
      <c r="E26" s="125">
        <f t="shared" si="0"/>
        <v>0.63016962688310452</v>
      </c>
      <c r="F26" s="126">
        <f t="shared" si="1"/>
        <v>2590260801.599483</v>
      </c>
      <c r="H26" s="121"/>
    </row>
    <row r="27" spans="2:8">
      <c r="B27" s="123">
        <v>7</v>
      </c>
      <c r="C27" s="124">
        <f t="shared" si="2"/>
        <v>4361835580.6235914</v>
      </c>
      <c r="D27" s="139">
        <f>IF($C$17&lt;B27,0,Valuation_Model!$C$16)</f>
        <v>6.1165848114484E-2</v>
      </c>
      <c r="E27" s="125">
        <f t="shared" si="0"/>
        <v>0.58349039526213387</v>
      </c>
      <c r="F27" s="126">
        <f t="shared" si="1"/>
        <v>2545089167.0064983</v>
      </c>
      <c r="H27" s="121"/>
    </row>
    <row r="28" spans="2:8">
      <c r="B28" s="123">
        <v>8</v>
      </c>
      <c r="C28" s="124">
        <f t="shared" si="2"/>
        <v>4628630953.2483654</v>
      </c>
      <c r="D28" s="139">
        <f>IF($C$17&lt;B28,0,Valuation_Model!$C$16)</f>
        <v>6.1165848114484E-2</v>
      </c>
      <c r="E28" s="125">
        <f t="shared" si="0"/>
        <v>0.54026888450197574</v>
      </c>
      <c r="F28" s="126">
        <f t="shared" si="1"/>
        <v>2500705281.8828111</v>
      </c>
      <c r="H28" s="121"/>
    </row>
    <row r="29" spans="2:8">
      <c r="B29" s="123">
        <v>9</v>
      </c>
      <c r="C29" s="124">
        <f t="shared" si="2"/>
        <v>4911745091.1127539</v>
      </c>
      <c r="D29" s="139">
        <f>IF($C$17&lt;B29,0,Valuation_Model!$C$16)</f>
        <v>6.1165848114484E-2</v>
      </c>
      <c r="E29" s="125">
        <f t="shared" si="0"/>
        <v>0.50024896713145905</v>
      </c>
      <c r="F29" s="126">
        <f t="shared" si="1"/>
        <v>2457095408.6421695</v>
      </c>
      <c r="H29" s="121"/>
    </row>
    <row r="30" spans="2:8">
      <c r="B30" s="123">
        <v>10</v>
      </c>
      <c r="C30" s="124">
        <f t="shared" si="2"/>
        <v>5212176145.332818</v>
      </c>
      <c r="D30" s="139">
        <f>IF($C$17&lt;B30,0,Valuation_Model!$C$16)</f>
        <v>6.1165848114484E-2</v>
      </c>
      <c r="E30" s="125">
        <f t="shared" si="0"/>
        <v>0.46319348808468425</v>
      </c>
      <c r="F30" s="126">
        <f t="shared" si="1"/>
        <v>2414246049.2684922</v>
      </c>
      <c r="H30" s="121"/>
    </row>
    <row r="31" spans="2:8">
      <c r="B31" s="123">
        <v>11</v>
      </c>
      <c r="C31" s="124">
        <f t="shared" si="2"/>
        <v>5530983319.7841816</v>
      </c>
      <c r="D31" s="139">
        <f>IF($C$17&lt;B31,0,Valuation_Model!$C$16)</f>
        <v>6.1165848114484E-2</v>
      </c>
      <c r="E31" s="125">
        <f t="shared" si="0"/>
        <v>0.42888285933767062</v>
      </c>
      <c r="F31" s="126">
        <f t="shared" si="1"/>
        <v>2372143941.1380014</v>
      </c>
      <c r="H31" s="121"/>
    </row>
    <row r="32" spans="2:8">
      <c r="B32" s="123">
        <v>12</v>
      </c>
      <c r="C32" s="124">
        <f t="shared" si="2"/>
        <v>5869290605.4458447</v>
      </c>
      <c r="D32" s="139">
        <f>IF($C$17&lt;B32,0,Valuation_Model!$C$16)</f>
        <v>6.1165848114484E-2</v>
      </c>
      <c r="E32" s="125">
        <f t="shared" si="0"/>
        <v>0.39711375864599124</v>
      </c>
      <c r="F32" s="126">
        <f t="shared" si="1"/>
        <v>2330776052.9142051</v>
      </c>
      <c r="H32" s="121"/>
    </row>
    <row r="33" spans="2:8">
      <c r="B33" s="123">
        <v>13</v>
      </c>
      <c r="C33" s="124">
        <f t="shared" si="2"/>
        <v>6228290743.1583118</v>
      </c>
      <c r="D33" s="139">
        <f>IF($C$17&lt;B33,0,Valuation_Model!$C$16)</f>
        <v>6.1165848114484E-2</v>
      </c>
      <c r="E33" s="125">
        <f t="shared" si="0"/>
        <v>0.36769792467221413</v>
      </c>
      <c r="F33" s="126">
        <f t="shared" si="1"/>
        <v>2290129580.5144734</v>
      </c>
      <c r="H33" s="121"/>
    </row>
    <row r="34" spans="2:8">
      <c r="B34" s="123">
        <v>14</v>
      </c>
      <c r="C34" s="124">
        <f t="shared" si="2"/>
        <v>6609249428.7671795</v>
      </c>
      <c r="D34" s="139">
        <f>IF($C$17&lt;B34,0,Valuation_Model!$C$16)</f>
        <v>6.1165848114484E-2</v>
      </c>
      <c r="E34" s="125">
        <f t="shared" si="0"/>
        <v>0.34046104136316119</v>
      </c>
      <c r="F34" s="126">
        <f t="shared" si="1"/>
        <v>2250191943.1469522</v>
      </c>
      <c r="H34" s="121"/>
    </row>
    <row r="35" spans="2:8">
      <c r="B35" s="123">
        <v>15</v>
      </c>
      <c r="C35" s="124">
        <f t="shared" si="2"/>
        <v>7013509775.477891</v>
      </c>
      <c r="D35" s="139">
        <f>IF($C$17&lt;B35,0,Valuation_Model!$C$16)</f>
        <v>6.1165848114484E-2</v>
      </c>
      <c r="E35" s="125">
        <f t="shared" si="0"/>
        <v>0.31524170496588994</v>
      </c>
      <c r="F35" s="126">
        <f t="shared" si="1"/>
        <v>2210950779.4165864</v>
      </c>
      <c r="H35" s="121"/>
    </row>
    <row r="36" spans="2:8">
      <c r="B36" s="123">
        <v>16</v>
      </c>
      <c r="C36" s="124">
        <f t="shared" si="2"/>
        <v>7442497049.1542196</v>
      </c>
      <c r="D36" s="139">
        <f>IF($C$17&lt;B36,0,Valuation_Model!$C$16)</f>
        <v>6.1165848114484E-2</v>
      </c>
      <c r="E36" s="125">
        <f t="shared" si="0"/>
        <v>0.29189046756100923</v>
      </c>
      <c r="F36" s="126">
        <f t="shared" si="1"/>
        <v>2172393943.4990568</v>
      </c>
      <c r="H36" s="121"/>
    </row>
    <row r="37" spans="2:8">
      <c r="B37" s="123">
        <v>17</v>
      </c>
      <c r="C37" s="124">
        <f t="shared" si="2"/>
        <v>7897723693.2552824</v>
      </c>
      <c r="D37" s="139">
        <f>IF($C$17&lt;B37,0,Valuation_Model!$C$16)</f>
        <v>6.1165848114484E-2</v>
      </c>
      <c r="E37" s="125">
        <f t="shared" si="0"/>
        <v>0.27026895144537894</v>
      </c>
      <c r="F37" s="126">
        <f t="shared" si="1"/>
        <v>2134509501.3814306</v>
      </c>
      <c r="H37" s="121"/>
    </row>
    <row r="38" spans="2:8">
      <c r="B38" s="123">
        <v>18</v>
      </c>
      <c r="C38" s="124">
        <f t="shared" si="2"/>
        <v>8380794661.1270962</v>
      </c>
      <c r="D38" s="139">
        <f>IF($C$17&lt;B38,0,Valuation_Model!$C$16)</f>
        <v>6.1165848114484E-2</v>
      </c>
      <c r="E38" s="125">
        <f t="shared" si="0"/>
        <v>0.25024902911609154</v>
      </c>
      <c r="F38" s="126">
        <f t="shared" si="1"/>
        <v>2097285727.1683793</v>
      </c>
      <c r="H38" s="121"/>
    </row>
    <row r="39" spans="2:8">
      <c r="B39" s="123">
        <v>19</v>
      </c>
      <c r="C39" s="124">
        <f t="shared" si="2"/>
        <v>8893413074.4482727</v>
      </c>
      <c r="D39" s="139">
        <f>IF($C$17&lt;B39,0,Valuation_Model!$C$16)</f>
        <v>6.1165848114484E-2</v>
      </c>
      <c r="E39" s="125">
        <f t="shared" si="0"/>
        <v>0.23171206399638106</v>
      </c>
      <c r="F39" s="126">
        <f t="shared" si="1"/>
        <v>2060711099.4528103</v>
      </c>
      <c r="H39" s="121"/>
    </row>
    <row r="40" spans="2:8">
      <c r="B40" s="123">
        <v>20</v>
      </c>
      <c r="C40" s="124">
        <f t="shared" si="2"/>
        <v>9437386227.7793407</v>
      </c>
      <c r="D40" s="139">
        <f>IF($C$17&lt;B40,0,Valuation_Model!$C$16)</f>
        <v>6.1165848114484E-2</v>
      </c>
      <c r="E40" s="125">
        <f t="shared" si="0"/>
        <v>0.21454820740405653</v>
      </c>
      <c r="F40" s="126">
        <f t="shared" si="1"/>
        <v>2024774297.7497888</v>
      </c>
      <c r="H40" s="121"/>
    </row>
    <row r="41" spans="2:8">
      <c r="B41" s="123">
        <v>21</v>
      </c>
      <c r="C41" s="124">
        <f t="shared" si="2"/>
        <v>10014631960.385414</v>
      </c>
      <c r="D41" s="139">
        <f>IF($C$17&lt;B41,0,Valuation_Model!$C$16)</f>
        <v>6.1165848114484E-2</v>
      </c>
      <c r="E41" s="125">
        <f t="shared" si="0"/>
        <v>0.19865574759634863</v>
      </c>
      <c r="F41" s="126">
        <f t="shared" si="1"/>
        <v>1989464198.992651</v>
      </c>
      <c r="H41" s="121"/>
    </row>
    <row r="42" spans="2:8">
      <c r="B42" s="123">
        <v>22</v>
      </c>
      <c r="C42" s="124">
        <f t="shared" si="2"/>
        <v>10627185417.796804</v>
      </c>
      <c r="D42" s="139">
        <f>IF($C$17&lt;B42,0,Valuation_Model!$C$16)</f>
        <v>6.1165848114484E-2</v>
      </c>
      <c r="E42" s="125">
        <f t="shared" si="0"/>
        <v>0.18394050703365611</v>
      </c>
      <c r="F42" s="126">
        <f t="shared" si="1"/>
        <v>1954769874.0902207</v>
      </c>
      <c r="H42" s="121"/>
    </row>
    <row r="43" spans="2:8">
      <c r="B43" s="123">
        <v>23</v>
      </c>
      <c r="C43" s="124">
        <f t="shared" si="2"/>
        <v>11277206226.94622</v>
      </c>
      <c r="D43" s="139">
        <f>IF($C$17&lt;B43,0,Valuation_Model!$C$16)</f>
        <v>6.1165848114484E-2</v>
      </c>
      <c r="E43" s="125">
        <f t="shared" si="0"/>
        <v>0.17031528429042234</v>
      </c>
      <c r="F43" s="126">
        <f t="shared" si="1"/>
        <v>1920680584.5440667</v>
      </c>
      <c r="H43" s="121"/>
    </row>
    <row r="44" spans="2:8">
      <c r="B44" s="123">
        <v>24</v>
      </c>
      <c r="C44" s="124">
        <f t="shared" si="2"/>
        <v>11966986110.179323</v>
      </c>
      <c r="D44" s="139">
        <f>IF($C$17&lt;B44,0,Valuation_Model!$C$16)</f>
        <v>6.1165848114484E-2</v>
      </c>
      <c r="E44" s="125">
        <f t="shared" si="0"/>
        <v>0.1576993373059466</v>
      </c>
      <c r="F44" s="126">
        <f t="shared" si="1"/>
        <v>1887185779.1247468</v>
      </c>
      <c r="H44" s="121"/>
    </row>
    <row r="45" spans="2:8">
      <c r="B45" s="123">
        <v>25</v>
      </c>
      <c r="C45" s="124">
        <f t="shared" si="2"/>
        <v>12698956964.982693</v>
      </c>
      <c r="D45" s="139">
        <f>IF($C$17&lt;B45,0,Valuation_Model!$C$16)</f>
        <v>6.1165848114484E-2</v>
      </c>
      <c r="E45" s="125">
        <f t="shared" si="0"/>
        <v>0.1460179049129135</v>
      </c>
      <c r="F45" s="126">
        <f t="shared" si="1"/>
        <v>1854275090.6060233</v>
      </c>
      <c r="H45" s="121"/>
    </row>
    <row r="46" spans="2:8">
      <c r="B46" s="123">
        <v>26</v>
      </c>
      <c r="C46" s="124">
        <f t="shared" si="2"/>
        <v>13475699437.915192</v>
      </c>
      <c r="D46" s="139">
        <f>IF($C$17&lt;B46,0,Valuation_Model!$C$16)</f>
        <v>6.1165848114484E-2</v>
      </c>
      <c r="E46" s="125">
        <f t="shared" si="0"/>
        <v>0.13520176380825324</v>
      </c>
      <c r="F46" s="126">
        <f t="shared" si="1"/>
        <v>1821938332.5560207</v>
      </c>
      <c r="H46" s="121"/>
    </row>
    <row r="47" spans="2:8">
      <c r="B47" s="123">
        <v>27</v>
      </c>
      <c r="C47" s="124">
        <f t="shared" si="2"/>
        <v>14299952022.971148</v>
      </c>
      <c r="D47" s="139">
        <f>IF($C$17&lt;B47,0,Valuation_Model!$C$16)</f>
        <v>6.1165848114484E-2</v>
      </c>
      <c r="E47" s="125">
        <f t="shared" si="0"/>
        <v>0.12518681834097523</v>
      </c>
      <c r="F47" s="126">
        <f t="shared" si="1"/>
        <v>1790165496.1843503</v>
      </c>
      <c r="H47" s="121"/>
    </row>
    <row r="48" spans="2:8">
      <c r="B48" s="123">
        <v>28</v>
      </c>
      <c r="C48" s="124">
        <f t="shared" si="2"/>
        <v>15174620716.452604</v>
      </c>
      <c r="D48" s="139">
        <f>IF($C$17&lt;B48,0,Valuation_Model!$C$16)</f>
        <v>6.1165848114484E-2</v>
      </c>
      <c r="E48" s="125">
        <f t="shared" si="0"/>
        <v>0.11591372068608817</v>
      </c>
      <c r="F48" s="126">
        <f t="shared" si="1"/>
        <v>1758946747.2442143</v>
      </c>
      <c r="H48" s="121"/>
    </row>
    <row r="49" spans="1:8">
      <c r="B49" s="123">
        <v>29</v>
      </c>
      <c r="C49" s="124">
        <f t="shared" si="2"/>
        <v>16102789262.390047</v>
      </c>
      <c r="D49" s="139">
        <f>IF($C$17&lt;B49,0,Valuation_Model!$C$16)</f>
        <v>6.1165848114484E-2</v>
      </c>
      <c r="E49" s="125">
        <f t="shared" si="0"/>
        <v>0.10732751915378534</v>
      </c>
      <c r="F49" s="126">
        <f t="shared" si="1"/>
        <v>1728272422.9885366</v>
      </c>
      <c r="H49" s="121"/>
    </row>
    <row r="50" spans="1:8">
      <c r="B50" s="123">
        <v>30</v>
      </c>
      <c r="C50" s="124">
        <f t="shared" si="2"/>
        <v>17087730024.632938</v>
      </c>
      <c r="D50" s="139">
        <f>IF($C$17&lt;B50,0,Valuation_Model!$C$16)</f>
        <v>6.1165848114484E-2</v>
      </c>
      <c r="E50" s="125">
        <f t="shared" si="0"/>
        <v>9.9377332549801231E-2</v>
      </c>
      <c r="F50" s="126">
        <f t="shared" si="1"/>
        <v>1698133029.1791706</v>
      </c>
      <c r="H50" s="121"/>
    </row>
    <row r="51" spans="1:8">
      <c r="B51" s="127" t="s">
        <v>132</v>
      </c>
      <c r="C51" s="124">
        <f>C$21*(1+Terminal_Growth)^$C$17/Equity_Cost</f>
        <v>38183850146.393097</v>
      </c>
      <c r="D51" s="140">
        <f>Terminal_Growth</f>
        <v>0</v>
      </c>
      <c r="E51" s="125">
        <f>1/(1+Equity_Cost)^C17</f>
        <v>9.9377332549801231E-2</v>
      </c>
      <c r="F51" s="126">
        <f t="shared" si="1"/>
        <v>3794609174.0298834</v>
      </c>
      <c r="H51" s="121"/>
    </row>
    <row r="52" spans="1:8">
      <c r="C52" s="115"/>
      <c r="E52" s="128" t="s">
        <v>101</v>
      </c>
      <c r="F52" s="138">
        <f>SUM(F21:F51)</f>
        <v>70307146781.55928</v>
      </c>
      <c r="H52" s="121"/>
    </row>
    <row r="53" spans="1:8">
      <c r="C53" s="115"/>
      <c r="H53" s="121"/>
    </row>
    <row r="54" spans="1:8" ht="13.15">
      <c r="B54" s="120" t="s">
        <v>130</v>
      </c>
      <c r="C54" s="137"/>
      <c r="D54" s="137"/>
      <c r="E54" s="118"/>
      <c r="F54" s="118"/>
      <c r="H54" s="121"/>
    </row>
    <row r="55" spans="1:8" ht="13.15">
      <c r="A55" s="134">
        <f>F52</f>
        <v>70307146781.55928</v>
      </c>
      <c r="B55" s="132">
        <f>C78</f>
        <v>0.02</v>
      </c>
      <c r="C55" s="132">
        <f>C77</f>
        <v>0.04</v>
      </c>
      <c r="D55" s="132">
        <f>C76</f>
        <v>0.06</v>
      </c>
      <c r="E55" s="132">
        <f>C75</f>
        <v>0.08</v>
      </c>
      <c r="F55" s="132">
        <f>C74</f>
        <v>0.1</v>
      </c>
      <c r="H55" s="121"/>
    </row>
    <row r="56" spans="1:8" ht="13.15">
      <c r="A56" s="144">
        <v>5</v>
      </c>
      <c r="B56" s="124">
        <f t="dataTable" ref="B56:F61" dt2D="1" dtr="1" r1="C16" r2="C17"/>
        <v>37143921569.249916</v>
      </c>
      <c r="C56" s="124">
        <v>38339690429.186615</v>
      </c>
      <c r="D56" s="124">
        <v>39571756537.326935</v>
      </c>
      <c r="E56" s="124">
        <v>40841693018.928253</v>
      </c>
      <c r="F56" s="124">
        <v>42151120996.852715</v>
      </c>
      <c r="H56" s="121"/>
    </row>
    <row r="57" spans="1:8" ht="13.15">
      <c r="A57" s="144">
        <v>10</v>
      </c>
      <c r="B57" s="124">
        <v>38305988156.172546</v>
      </c>
      <c r="C57" s="124">
        <v>40861886154.836929</v>
      </c>
      <c r="D57" s="124">
        <v>43678483191.729401</v>
      </c>
      <c r="E57" s="124">
        <v>46786759866.204926</v>
      </c>
      <c r="F57" s="124">
        <v>50221120758.382324</v>
      </c>
      <c r="H57" s="121"/>
    </row>
    <row r="58" spans="1:8" ht="13.15">
      <c r="A58" s="144">
        <v>15</v>
      </c>
      <c r="B58" s="124">
        <v>39744367768.360672</v>
      </c>
      <c r="C58" s="124">
        <v>44149888135.827179</v>
      </c>
      <c r="D58" s="124">
        <v>49327444147.067284</v>
      </c>
      <c r="E58" s="124">
        <v>55430292695.795212</v>
      </c>
      <c r="F58" s="124">
        <v>62641749544.034134</v>
      </c>
      <c r="H58" s="121"/>
    </row>
    <row r="59" spans="1:8" ht="13.15">
      <c r="A59" s="145">
        <v>20</v>
      </c>
      <c r="B59" s="124">
        <v>41209845923.775299</v>
      </c>
      <c r="C59" s="124">
        <v>47688850336.638535</v>
      </c>
      <c r="D59" s="124">
        <v>55771373130.146935</v>
      </c>
      <c r="E59" s="124">
        <v>65910356130.715332</v>
      </c>
      <c r="F59" s="124">
        <v>78689058449.750336</v>
      </c>
      <c r="H59" s="121"/>
    </row>
    <row r="60" spans="1:8" ht="13.15">
      <c r="A60" s="145">
        <v>25</v>
      </c>
      <c r="B60" s="124">
        <v>42572821927.707817</v>
      </c>
      <c r="C60" s="124">
        <v>51174848497.389038</v>
      </c>
      <c r="D60" s="124">
        <v>62524414777.411758</v>
      </c>
      <c r="E60" s="124">
        <v>77640331436.461182</v>
      </c>
      <c r="F60" s="124">
        <v>97934305947.67804</v>
      </c>
      <c r="H60" s="121"/>
    </row>
    <row r="61" spans="1:8" ht="13.15">
      <c r="A61" s="145">
        <v>30</v>
      </c>
      <c r="B61" s="124">
        <v>43775156364.286819</v>
      </c>
      <c r="C61" s="124">
        <v>54439516668.630852</v>
      </c>
      <c r="D61" s="124">
        <v>69276598245.267883</v>
      </c>
      <c r="E61" s="124">
        <v>90220975759.264053</v>
      </c>
      <c r="F61" s="124">
        <v>120155809923.22545</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40.095629719292724</v>
      </c>
      <c r="C65" s="125">
        <f>C12</f>
        <v>40.095629719292724</v>
      </c>
      <c r="D65" s="125">
        <f>C12</f>
        <v>40.095629719292724</v>
      </c>
      <c r="E65" s="142">
        <f>C12</f>
        <v>40.095629719292724</v>
      </c>
      <c r="F65" s="125">
        <f>C12</f>
        <v>40.095629719292724</v>
      </c>
      <c r="H65" s="121"/>
    </row>
    <row r="66" spans="1:8" ht="13.15">
      <c r="A66" s="144">
        <f t="shared" ref="A66:A71" si="3">A56</f>
        <v>5</v>
      </c>
      <c r="B66" s="125">
        <f t="shared" ref="B66:F71" si="4">(B56-$C$7+$C$8+$C$9)/Common_Shares*$C$3*Exchange_Rate</f>
        <v>41.003784963203103</v>
      </c>
      <c r="C66" s="125">
        <f t="shared" si="4"/>
        <v>41.939139060365541</v>
      </c>
      <c r="D66" s="125">
        <f t="shared" si="4"/>
        <v>42.902885584325901</v>
      </c>
      <c r="E66" s="125">
        <f t="shared" si="4"/>
        <v>43.896255064832964</v>
      </c>
      <c r="F66" s="125">
        <f t="shared" si="4"/>
        <v>44.920515576313107</v>
      </c>
      <c r="H66" s="121"/>
    </row>
    <row r="67" spans="1:8" ht="13.15">
      <c r="A67" s="144">
        <f t="shared" si="3"/>
        <v>10</v>
      </c>
      <c r="B67" s="125">
        <f t="shared" si="4"/>
        <v>41.912776474581975</v>
      </c>
      <c r="C67" s="125">
        <f t="shared" si="4"/>
        <v>43.912050535880553</v>
      </c>
      <c r="D67" s="125">
        <f t="shared" si="4"/>
        <v>46.115248550798292</v>
      </c>
      <c r="E67" s="125">
        <f t="shared" si="4"/>
        <v>48.546604158050883</v>
      </c>
      <c r="F67" s="125">
        <f t="shared" si="4"/>
        <v>51.233029301955909</v>
      </c>
      <c r="H67" s="121"/>
    </row>
    <row r="68" spans="1:8" ht="13.15">
      <c r="A68" s="144">
        <f t="shared" si="3"/>
        <v>15</v>
      </c>
      <c r="B68" s="125">
        <f t="shared" si="4"/>
        <v>43.037905509641739</v>
      </c>
      <c r="C68" s="125">
        <f t="shared" si="4"/>
        <v>46.483990839260144</v>
      </c>
      <c r="D68" s="125">
        <f t="shared" si="4"/>
        <v>50.533977747815236</v>
      </c>
      <c r="E68" s="125">
        <f t="shared" si="4"/>
        <v>55.307746814453012</v>
      </c>
      <c r="F68" s="125">
        <f t="shared" si="4"/>
        <v>60.948691260746351</v>
      </c>
      <c r="H68" s="121"/>
    </row>
    <row r="69" spans="1:8" ht="13.15">
      <c r="A69" s="145">
        <f t="shared" si="3"/>
        <v>20</v>
      </c>
      <c r="B69" s="125">
        <f t="shared" si="4"/>
        <v>44.184231562188131</v>
      </c>
      <c r="C69" s="125">
        <f t="shared" si="4"/>
        <v>49.252237199520067</v>
      </c>
      <c r="D69" s="125">
        <f t="shared" si="4"/>
        <v>55.574546688928521</v>
      </c>
      <c r="E69" s="125">
        <f t="shared" si="4"/>
        <v>63.505460102365326</v>
      </c>
      <c r="F69" s="125">
        <f t="shared" si="4"/>
        <v>73.50121427442275</v>
      </c>
      <c r="H69" s="121"/>
    </row>
    <row r="70" spans="1:8" ht="13.15">
      <c r="A70" s="145">
        <f t="shared" si="3"/>
        <v>25</v>
      </c>
      <c r="B70" s="125">
        <f t="shared" si="4"/>
        <v>45.250378400699937</v>
      </c>
      <c r="C70" s="125">
        <f t="shared" si="4"/>
        <v>51.979054038128268</v>
      </c>
      <c r="D70" s="125">
        <f t="shared" si="4"/>
        <v>60.85690968123135</v>
      </c>
      <c r="E70" s="125">
        <f t="shared" si="4"/>
        <v>72.680879223435667</v>
      </c>
      <c r="F70" s="125">
        <f t="shared" si="4"/>
        <v>88.555228224112724</v>
      </c>
    </row>
    <row r="71" spans="1:8" ht="13.15">
      <c r="A71" s="145">
        <f t="shared" si="3"/>
        <v>30</v>
      </c>
      <c r="B71" s="125">
        <f t="shared" si="4"/>
        <v>46.190868222013052</v>
      </c>
      <c r="C71" s="125">
        <f t="shared" si="4"/>
        <v>54.532742173148371</v>
      </c>
      <c r="D71" s="125">
        <f t="shared" si="4"/>
        <v>66.138601388595319</v>
      </c>
      <c r="E71" s="125">
        <f t="shared" si="4"/>
        <v>82.521708506195239</v>
      </c>
      <c r="F71" s="125">
        <f t="shared" si="4"/>
        <v>105.93732896701056</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105.93732896701056</v>
      </c>
      <c r="F74" s="143">
        <f>Scenarios!C58</f>
        <v>0.05</v>
      </c>
    </row>
    <row r="75" spans="1:8">
      <c r="B75" s="128" t="str">
        <f>Scenarios!B36</f>
        <v>Optimistic</v>
      </c>
      <c r="C75" s="143">
        <f>Scenarios!C38</f>
        <v>0.08</v>
      </c>
      <c r="D75" s="146">
        <f>Scenarios!C37</f>
        <v>30</v>
      </c>
      <c r="E75" s="136">
        <f>INDEX(B$65:F$71, MATCH(D75, A$65:A$71, 0), MATCH(C75, B$64:F$64, 0))</f>
        <v>82.521708506195239</v>
      </c>
      <c r="F75" s="143">
        <f>Scenarios!C40*(1-F$74-F$78)</f>
        <v>0.18</v>
      </c>
      <c r="H75" s="121"/>
    </row>
    <row r="76" spans="1:8">
      <c r="B76" s="128" t="str">
        <f>Scenarios!B24</f>
        <v>Base</v>
      </c>
      <c r="C76" s="143">
        <f>Scenarios!C26</f>
        <v>0.06</v>
      </c>
      <c r="D76" s="146">
        <f>Scenarios!C25</f>
        <v>30</v>
      </c>
      <c r="E76" s="136">
        <f>INDEX(B$65:F$71, MATCH(D76, A$65:A$71, 0), MATCH(C76, B$64:F$64, 0))</f>
        <v>66.138601388595319</v>
      </c>
      <c r="F76" s="143">
        <f>Scenarios!C28*(1-F$74-F$78)</f>
        <v>0.44999999999999996</v>
      </c>
      <c r="H76" s="121"/>
    </row>
    <row r="77" spans="1:8">
      <c r="B77" s="128" t="str">
        <f>Scenarios!B30</f>
        <v>Pessimistic</v>
      </c>
      <c r="C77" s="143">
        <f>Scenarios!C32</f>
        <v>0.04</v>
      </c>
      <c r="D77" s="146">
        <f>Scenarios!C31</f>
        <v>30</v>
      </c>
      <c r="E77" s="136">
        <f>INDEX(B$65:F$71, MATCH(D77, A$65:A$71, 0), MATCH(C77, B$64:F$64, 0))</f>
        <v>54.532742173148371</v>
      </c>
      <c r="F77" s="143">
        <f>Scenarios!C34*(1-F$74-F$78)</f>
        <v>0.26999999999999996</v>
      </c>
      <c r="H77" s="121"/>
    </row>
    <row r="78" spans="1:8">
      <c r="B78" s="128" t="str">
        <f>Scenarios!B48</f>
        <v>Devil's advocate</v>
      </c>
      <c r="C78" s="143">
        <f>Scenarios!C50</f>
        <v>0.02</v>
      </c>
      <c r="D78" s="146">
        <f>Scenarios!C49</f>
        <v>30</v>
      </c>
      <c r="E78" s="136">
        <f>INDEX(B$65:F$71, MATCH(D78, A$65:A$71, 0), MATCH(C78, B$64:F$64, 0))</f>
        <v>46.190868222013052</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-54.25</v>
      </c>
    </row>
    <row r="4" spans="2:9">
      <c r="B4" s="153" t="s">
        <v>147</v>
      </c>
      <c r="C4" s="121">
        <v>3</v>
      </c>
      <c r="D4" s="121"/>
      <c r="E4" s="156" t="s">
        <v>151</v>
      </c>
      <c r="F4" s="156"/>
      <c r="H4" s="276">
        <v>1</v>
      </c>
      <c r="I4" s="264">
        <f t="shared" ref="I4:I13" si="0">IF(ROW()-3 &lt; $C$76, $C$77, IF(ROW()-3 = $C$76, $C$77 + $C$60, ""))</f>
        <v>2.0616590492738016</v>
      </c>
    </row>
    <row r="5" spans="2:9">
      <c r="H5" s="276">
        <v>2</v>
      </c>
      <c r="I5" s="264">
        <f t="shared" si="0"/>
        <v>2.0616590492738016</v>
      </c>
    </row>
    <row r="6" spans="2:9" ht="13.15">
      <c r="B6" s="160" t="s">
        <v>96</v>
      </c>
      <c r="C6" s="107">
        <f>Valuation_Model!C3</f>
        <v>1</v>
      </c>
      <c r="E6" s="100" t="s">
        <v>282</v>
      </c>
      <c r="F6" s="100"/>
      <c r="H6" s="276">
        <v>3</v>
      </c>
      <c r="I6" s="264">
        <f t="shared" si="0"/>
        <v>69.00818745145807</v>
      </c>
    </row>
    <row r="7" spans="2:9" ht="12.75" customHeight="1">
      <c r="B7" s="100" t="s">
        <v>276</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66</v>
      </c>
      <c r="C8" s="115">
        <f>Normalized_FCF!G19</f>
        <v>3155178968.593215</v>
      </c>
      <c r="D8" t="str">
        <f>Reporting_currency</f>
        <v>CNY</v>
      </c>
      <c r="E8" s="350"/>
      <c r="F8" s="350"/>
      <c r="H8" s="276">
        <v>5</v>
      </c>
      <c r="I8" s="264" t="str">
        <f t="shared" si="0"/>
        <v/>
      </c>
    </row>
    <row r="9" spans="2:9">
      <c r="B9" s="100" t="s">
        <v>57</v>
      </c>
      <c r="C9" s="201">
        <f>Normalized_FCF!C19</f>
        <v>2878633926.2040505</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2.1321347914251776E-2</v>
      </c>
      <c r="D12" s="159"/>
      <c r="E12" s="350"/>
      <c r="F12" s="350"/>
      <c r="H12" s="276">
        <v>9</v>
      </c>
      <c r="I12" s="264" t="str">
        <f t="shared" si="0"/>
        <v/>
      </c>
    </row>
    <row r="13" spans="2:9">
      <c r="B13" s="149" t="s">
        <v>153</v>
      </c>
      <c r="C13" s="159">
        <f ca="1">(Normalized_FCF!G8/OFFSET(Normalized_FCF!G8, 0, $C$4))^(1/$C$4) - 1</f>
        <v>0.15185942572632172</v>
      </c>
      <c r="E13" s="350"/>
      <c r="F13" s="350"/>
      <c r="H13" s="276">
        <v>10</v>
      </c>
      <c r="I13" s="264" t="str">
        <f t="shared" si="0"/>
        <v/>
      </c>
    </row>
    <row r="14" spans="2:9">
      <c r="B14" s="100" t="s">
        <v>66</v>
      </c>
      <c r="C14" s="159">
        <f ca="1">(Normalized_FCF!G19/OFFSET(Normalized_FCF!G19, 0, $C$4))^(1/$C$4) - 1</f>
        <v>0.22851323785629307</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54.25</v>
      </c>
      <c r="D21" t="str">
        <f>Market_currency</f>
        <v>HKD</v>
      </c>
      <c r="E21" s="351"/>
      <c r="F21" s="351"/>
    </row>
    <row r="22" spans="2:6">
      <c r="B22" s="100" t="s">
        <v>281</v>
      </c>
      <c r="C22" s="161">
        <f>Valuation_Model!C12</f>
        <v>40.095629719292724</v>
      </c>
      <c r="D22" t="str">
        <f>Market_currency</f>
        <v>HKD</v>
      </c>
      <c r="E22" s="351"/>
      <c r="F22" s="351"/>
    </row>
    <row r="24" spans="2:6" ht="13.15">
      <c r="B24" s="160" t="s">
        <v>116</v>
      </c>
      <c r="E24" s="160" t="s">
        <v>150</v>
      </c>
      <c r="F24" s="160"/>
    </row>
    <row r="25" spans="2:6">
      <c r="B25" s="153" t="s">
        <v>134</v>
      </c>
      <c r="C25" s="167">
        <f>C18</f>
        <v>30</v>
      </c>
      <c r="D25" s="164"/>
      <c r="E25" s="349"/>
      <c r="F25" s="349"/>
    </row>
    <row r="26" spans="2:6">
      <c r="B26" s="119" t="s">
        <v>135</v>
      </c>
      <c r="C26" s="165">
        <v>0.06</v>
      </c>
      <c r="D26" s="165"/>
      <c r="E26" s="349"/>
      <c r="F26" s="349"/>
    </row>
    <row r="27" spans="2:6">
      <c r="B27" s="100" t="s">
        <v>114</v>
      </c>
      <c r="C27" s="161">
        <f>Valuation_Model!E76</f>
        <v>66.138601388595319</v>
      </c>
      <c r="D27" s="161" t="str">
        <f>Market_currency</f>
        <v>HKD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0.04</v>
      </c>
      <c r="D32" s="165"/>
      <c r="E32" s="349"/>
      <c r="F32" s="349"/>
    </row>
    <row r="33" spans="2:6">
      <c r="B33" s="100" t="s">
        <v>114</v>
      </c>
      <c r="C33" s="161">
        <f>Valuation_Model!E77</f>
        <v>54.532742173148371</v>
      </c>
      <c r="D33" t="str">
        <f>Market_currency</f>
        <v>HKD</v>
      </c>
      <c r="E33" s="349"/>
      <c r="F33" s="349"/>
    </row>
    <row r="34" spans="2:6">
      <c r="B34" s="100" t="s">
        <v>148</v>
      </c>
      <c r="C34" s="166">
        <v>0.3</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0.08</v>
      </c>
      <c r="D38" s="165"/>
      <c r="E38" s="349"/>
      <c r="F38" s="349"/>
    </row>
    <row r="39" spans="2:6">
      <c r="B39" s="100" t="s">
        <v>114</v>
      </c>
      <c r="C39" s="161">
        <f>Valuation_Model!E75</f>
        <v>82.521708506195239</v>
      </c>
      <c r="D39" t="str">
        <f>Market_currency</f>
        <v>HKD</v>
      </c>
      <c r="E39" s="349"/>
      <c r="F39" s="349"/>
    </row>
    <row r="40" spans="2:6">
      <c r="B40" s="100" t="s">
        <v>148</v>
      </c>
      <c r="C40" s="168">
        <f>1-C28-C34</f>
        <v>0.2</v>
      </c>
      <c r="D40" s="166"/>
      <c r="E40" s="349"/>
      <c r="F40" s="349"/>
    </row>
    <row r="42" spans="2:6" ht="13.15">
      <c r="B42" s="100" t="s">
        <v>121</v>
      </c>
      <c r="C42" s="155">
        <f>C27*C28+C33*C34+C39*C40</f>
        <v>65.933465047481221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0.02</v>
      </c>
      <c r="D50" s="165"/>
      <c r="E50" s="349"/>
      <c r="F50" s="349"/>
    </row>
    <row r="51" spans="2:6">
      <c r="B51" s="100" t="s">
        <v>114</v>
      </c>
      <c r="C51" s="161">
        <f>Valuation_Model!E78</f>
        <v>46.190868222013052</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105.93732896701056</v>
      </c>
      <c r="D57" t="str">
        <f>Market_currency</f>
        <v>HKD</v>
      </c>
      <c r="E57" s="349"/>
      <c r="F57" s="349"/>
    </row>
    <row r="58" spans="2:6">
      <c r="B58" s="100" t="s">
        <v>148</v>
      </c>
      <c r="C58" s="166">
        <v>0.05</v>
      </c>
      <c r="D58" s="166"/>
      <c r="E58" s="349"/>
      <c r="F58" s="349"/>
    </row>
    <row r="60" spans="2:6" ht="13.15">
      <c r="B60" s="100" t="s">
        <v>121</v>
      </c>
      <c r="C60" s="155">
        <f>C51*C52+C57*C58+C42*(1-C52-C58)</f>
        <v>66.946528402184271</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66.944716874656692</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0.17848682771924601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2.0616590492738016</v>
      </c>
      <c r="D77" t="str">
        <f>Market_currency</f>
        <v>HKD</v>
      </c>
    </row>
    <row r="79" spans="2:6" ht="13.15">
      <c r="B79" s="109" t="s">
        <v>308</v>
      </c>
    </row>
    <row r="80" spans="2:6">
      <c r="B80" s="149" t="s">
        <v>306</v>
      </c>
      <c r="C80" s="168">
        <f>Thesis!C127</f>
        <v>0.3</v>
      </c>
    </row>
    <row r="81" spans="2:8">
      <c r="B81" s="100" t="s">
        <v>122</v>
      </c>
      <c r="C81" s="117">
        <f>PV(C80, C76, -C77, 0)</f>
        <v>3.7442055560320755</v>
      </c>
      <c r="D81" s="117"/>
      <c r="E81" s="100"/>
      <c r="F81" s="100"/>
    </row>
    <row r="82" spans="2:8">
      <c r="B82" s="100" t="s">
        <v>123</v>
      </c>
      <c r="C82" s="117">
        <f>C60/(1+C80)^C76</f>
        <v>30.471792627302801</v>
      </c>
      <c r="D82" s="117"/>
    </row>
    <row r="83" spans="2:8" ht="13.15">
      <c r="B83" s="111" t="s">
        <v>102</v>
      </c>
      <c r="C83" s="112">
        <f>C81+C82</f>
        <v>34.215998183334875</v>
      </c>
      <c r="D83" t="str">
        <f>Market_currency</f>
        <v>HKD</v>
      </c>
      <c r="E83" s="147" t="s">
        <v>127</v>
      </c>
      <c r="F83" s="329">
        <f>(1-C83/C60)</f>
        <v>0.48890556388853013</v>
      </c>
    </row>
    <row r="84" spans="2:8">
      <c r="E84" s="121"/>
    </row>
    <row r="85" spans="2:8" ht="13.15">
      <c r="B85" s="109" t="s">
        <v>309</v>
      </c>
    </row>
    <row r="86" spans="2:8">
      <c r="B86" s="149" t="s">
        <v>307</v>
      </c>
      <c r="C86" s="266">
        <f>Market_Price</f>
        <v>54.25</v>
      </c>
      <c r="D86" t="str">
        <f>Market_currency</f>
        <v>HKD</v>
      </c>
    </row>
    <row r="87" spans="2:8" ht="13.15">
      <c r="B87" s="100" t="s">
        <v>305</v>
      </c>
      <c r="C87" s="265">
        <f ca="1">IRR(OFFSET($I$3, 0, 0, $C$76 + 1, 1))</f>
        <v>0.10815463230293121</v>
      </c>
    </row>
    <row r="88" spans="2:8">
      <c r="B88" s="100"/>
    </row>
    <row r="89" spans="2:8" ht="13.15">
      <c r="B89" s="109" t="s">
        <v>420</v>
      </c>
    </row>
    <row r="90" spans="2:8">
      <c r="B90" s="149" t="s">
        <v>421</v>
      </c>
      <c r="C90" s="168">
        <f>Thesis!E19</f>
        <v>0.2</v>
      </c>
    </row>
    <row r="91" spans="2:8">
      <c r="B91" s="100" t="s">
        <v>122</v>
      </c>
      <c r="C91" s="117">
        <f>PV(C90, C76, -C77, 0)</f>
        <v>4.3428466084239803</v>
      </c>
      <c r="D91" s="117"/>
      <c r="E91" s="100"/>
      <c r="F91" s="100"/>
    </row>
    <row r="92" spans="2:8">
      <c r="B92" s="100" t="s">
        <v>123</v>
      </c>
      <c r="C92" s="117">
        <f>C60/(1+C90)^C76</f>
        <v>38.742203936449229</v>
      </c>
      <c r="D92" s="117"/>
    </row>
    <row r="93" spans="2:8" ht="13.15">
      <c r="B93" s="111" t="s">
        <v>102</v>
      </c>
      <c r="C93" s="112">
        <f>C91+C92</f>
        <v>43.085050544873212</v>
      </c>
      <c r="D93" t="str">
        <f>Market_currency</f>
        <v>HKD</v>
      </c>
      <c r="E93" s="147" t="s">
        <v>127</v>
      </c>
      <c r="F93" s="329">
        <f>(1-C93/C60)</f>
        <v>0.35642591821882319</v>
      </c>
    </row>
    <row r="95" spans="2:8" ht="13.15">
      <c r="B95" s="109" t="s">
        <v>405</v>
      </c>
      <c r="G95" s="2"/>
      <c r="H95" s="316"/>
    </row>
    <row r="96" spans="2:8">
      <c r="B96" s="149" t="s">
        <v>412</v>
      </c>
      <c r="C96" s="135">
        <f>Thesis!C67</f>
        <v>0.08</v>
      </c>
      <c r="G96" s="2"/>
      <c r="H96" s="316"/>
    </row>
    <row r="97" spans="2:8">
      <c r="B97" s="100" t="s">
        <v>122</v>
      </c>
      <c r="C97" s="117">
        <f>PV(C96, C76, -C77, 0)</f>
        <v>5.3130953246158432</v>
      </c>
      <c r="D97" s="117"/>
      <c r="G97" s="2"/>
      <c r="H97" s="316"/>
    </row>
    <row r="98" spans="2:8">
      <c r="B98" s="100" t="s">
        <v>123</v>
      </c>
      <c r="C98" s="117">
        <f>C60/(1+C96)^C76</f>
        <v>53.144312670026373</v>
      </c>
      <c r="D98" s="117"/>
      <c r="G98" s="2"/>
      <c r="H98" s="316"/>
    </row>
    <row r="99" spans="2:8" ht="13.15">
      <c r="B99" s="111" t="s">
        <v>406</v>
      </c>
      <c r="C99" s="112">
        <f>C97+C98</f>
        <v>58.457407994642217</v>
      </c>
      <c r="D99" t="s">
        <v>404</v>
      </c>
      <c r="E99" s="147" t="s">
        <v>127</v>
      </c>
      <c r="F99" s="329">
        <f>(1-C99/C60)</f>
        <v>0.12680449024247054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