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7FF9773-9637-4853-B8D6-D51386A9B88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<sst xmlns="http://schemas.openxmlformats.org/spreadsheetml/2006/main" count="686" uniqueCount="465">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</sst>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53.1</v>
      </c>
      <c r="D12" s="50"/>
      <c r="E12" s="48"/>
    </row>
    <row r="13" spans="1:10">
      <c r="B13" s="1" t="s">
        <v>413</v>
      </c>
      <c r="C13" s="48" t="s">
        <v>393</v>
      </c>
      <c r="D13" s="48"/>
      <c r="E13" s="5"/>
    </row>
    <row r="14" spans="1:10">
      <c r="B14" s="4" t="s">
        <v>417</v>
      </c>
      <c r="C14" s="35">
        <f>Thesis!C12*Common_Shares/1000000</f>
        <v>72438.849442799998</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1.0924694399999999</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72.929109771793577</v>
      </c>
      <c r="D26" s="1" t="s">
        <v>396</v>
      </c>
      <c r="E26" s="301">
        <f ca="1">Scenarios!C87</f>
        <v>0.14244678639546038</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31.527876322566858</v>
      </c>
      <c r="D29" s="310" t="str">
        <f>D149</f>
        <v/>
      </c>
      <c r="E29" s="306" t="s">
        <v>421</v>
      </c>
      <c r="F29" s="302">
        <v>0.3674</v>
      </c>
    </row>
    <row r="30" spans="2:6">
      <c r="B30" s="1" t="s">
        <v>423</v>
      </c>
      <c r="C30" s="311">
        <f>C157</f>
        <v>44.136600636413526</v>
      </c>
      <c r="D30" s="311" t="str">
        <f>D157</f>
        <v/>
      </c>
      <c r="E30" s="307" t="s">
        <v>434</v>
      </c>
      <c r="F30" s="312">
        <v>0.21740000000000001</v>
      </c>
    </row>
    <row r="31" spans="2:6">
      <c r="B31" s="1" t="s">
        <v>424</v>
      </c>
      <c r="C31" s="311">
        <f>C165</f>
        <v>63.418270551044927</v>
      </c>
      <c r="D31" s="311" t="str">
        <f>D165</f>
        <v/>
      </c>
      <c r="E31" s="307" t="s">
        <v>433</v>
      </c>
      <c r="F31" s="312">
        <v>7.4999999999999997E-2</v>
      </c>
    </row>
    <row r="32" spans="2:6">
      <c r="B32" s="1" t="s">
        <v>425</v>
      </c>
      <c r="C32" s="311">
        <f>C173</f>
        <v>56.645317809379762</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3878068070.3077545</v>
      </c>
      <c r="D41" s="1" t="str">
        <f>Reporting_currency</f>
        <v>CNY</v>
      </c>
    </row>
    <row r="42" spans="1:6">
      <c r="B42" s="47"/>
      <c r="C42" s="76"/>
    </row>
    <row r="43" spans="1:6" ht="24.6" customHeight="1">
      <c r="B43" s="361" t="s">
        <v>232</v>
      </c>
      <c r="C43" s="361"/>
      <c r="D43" s="361"/>
      <c r="E43" s="361"/>
      <c r="F43" s="361"/>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177086901.32905102</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155249847.32905102</v>
      </c>
      <c r="D53" s="1" t="str">
        <f>Reporting_currency</f>
        <v>CNY</v>
      </c>
    </row>
    <row r="55" spans="2:6">
      <c r="B55" s="1" t="s">
        <v>245</v>
      </c>
    </row>
    <row r="56" spans="2:6">
      <c r="B56" s="47" t="s">
        <v>264</v>
      </c>
      <c r="C56" s="349">
        <f>Normalized_FCF!C15</f>
        <v>-146634564.47167698</v>
      </c>
      <c r="D56" s="1" t="str">
        <f>Reporting_currency</f>
        <v>CNY</v>
      </c>
    </row>
    <row r="58" spans="2:6">
      <c r="B58" s="361" t="s">
        <v>240</v>
      </c>
      <c r="C58" s="361"/>
      <c r="D58" s="361"/>
      <c r="E58" s="361"/>
      <c r="F58" s="361"/>
    </row>
    <row r="59" spans="2:6">
      <c r="B59" s="47" t="s">
        <v>238</v>
      </c>
      <c r="C59" s="349">
        <f>Normalized_FCF!C14</f>
        <v>-1008329479.4092014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3154805565.329051</v>
      </c>
      <c r="D67" s="1" t="str">
        <f>Reporting_currency</f>
        <v>CNY</v>
      </c>
    </row>
    <row r="68" spans="1:6">
      <c r="B68" s="47" t="s">
        <v>247</v>
      </c>
      <c r="C68" s="349">
        <f>Normalized_FCF!C19</f>
        <v>2878353873.7559271</v>
      </c>
      <c r="D68" s="1" t="str">
        <f>Reporting_currency</f>
        <v>CNY</v>
      </c>
    </row>
    <row r="69" spans="1:6">
      <c r="B69" s="227" t="s">
        <v>387</v>
      </c>
      <c r="C69" s="92">
        <f>Normalized_FCF!C126</f>
        <v>4.3409215756069888E-2</v>
      </c>
      <c r="F69" s="314"/>
    </row>
    <row r="70" spans="1:6">
      <c r="B70" s="227" t="s">
        <v>455</v>
      </c>
      <c r="C70" s="92">
        <f>Normalized_FCF!C94</f>
        <v>3.4131971319234657E-2</v>
      </c>
      <c r="E70" s="47" t="s">
        <v>445</v>
      </c>
      <c r="F70" s="315">
        <f>Normalized_FCF!C92</f>
        <v>0.95443469891417054</v>
      </c>
    </row>
    <row r="72" spans="1:6">
      <c r="B72" s="210" t="s">
        <v>448</v>
      </c>
      <c r="C72" s="323" t="s">
        <v>450</v>
      </c>
      <c r="D72" s="323" t="s">
        <v>451</v>
      </c>
    </row>
    <row r="73" spans="1:6">
      <c r="B73" s="47" t="s">
        <v>449</v>
      </c>
      <c r="C73" s="92">
        <f>Normalized_FCF!C121</f>
        <v>0.13507634899929027</v>
      </c>
      <c r="D73" s="92">
        <f>Normalized_FCF!G121</f>
        <v>0.15711274826656119</v>
      </c>
    </row>
    <row r="74" spans="1:6">
      <c r="B74" s="259" t="str">
        <f>Normalized_FCF!B118</f>
        <v>Pre-tax Profit/Sales</v>
      </c>
      <c r="C74" s="322">
        <f>Normalized_FCF!C118</f>
        <v>0.12563608329822304</v>
      </c>
      <c r="D74" s="322">
        <f>Normalized_FCF!G118</f>
        <v>0.14597484307826145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30.733724755297484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285396383</v>
      </c>
      <c r="D102" s="1" t="str">
        <f>Reporting_currency</f>
        <v>CNY</v>
      </c>
    </row>
    <row r="103" spans="2:6">
      <c r="B103" s="47" t="s">
        <v>280</v>
      </c>
      <c r="C103" s="223">
        <f>C102*scaling_factor*Exchange_Rate/Common_Shares</f>
        <v>0.22854974403739434</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12816720611.698513</v>
      </c>
      <c r="D109" s="1" t="str">
        <f>Reporting_currency</f>
        <v>CNY</v>
      </c>
    </row>
    <row r="110" spans="2:6">
      <c r="B110" s="47" t="s">
        <v>281</v>
      </c>
      <c r="C110" s="223">
        <f>C109*scaling_factor*Exchange_Rate/Common_Shares</f>
        <v>10.263823894371118</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2.2065753030170616</v>
      </c>
      <c r="D114" s="1" t="str">
        <f>Market_currency</f>
        <v>HKD</v>
      </c>
    </row>
    <row r="116" spans="1:6" ht="24.6" customHeight="1">
      <c r="B116" s="360" t="s">
        <v>363</v>
      </c>
      <c r="C116" s="360"/>
      <c r="D116" s="360"/>
      <c r="E116" s="360"/>
      <c r="F116" s="360"/>
    </row>
    <row r="118" spans="1:6">
      <c r="B118" s="47" t="s">
        <v>446</v>
      </c>
      <c r="C118" s="223">
        <f>IF(valuation_method="DCF",DCF!C12,DDM!C7)</f>
        <v>42.975574208648268</v>
      </c>
      <c r="D118" s="1" t="str">
        <f>Market_currency</f>
        <v>HKD</v>
      </c>
    </row>
    <row r="119" spans="1:6">
      <c r="B119" s="296" t="s">
        <v>402</v>
      </c>
      <c r="C119" s="223">
        <f>BS!D47</f>
        <v>1.3578311345749545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116.82 HKD</v>
      </c>
      <c r="F126" s="232">
        <f>DCF!F74</f>
        <v>0.05</v>
      </c>
    </row>
    <row r="127" spans="1:6">
      <c r="B127" s="218" t="str">
        <f>DCF!B75</f>
        <v>Optimistic</v>
      </c>
      <c r="C127" s="219">
        <f>DCF!C75</f>
        <v>0.08</v>
      </c>
      <c r="D127" s="220">
        <f>DCF!D75</f>
        <v>30</v>
      </c>
      <c r="E127" s="231" t="str">
        <f>ROUND(IF(valuation_method="DCF",DCF!E75,DDM!E70),2)&amp;" "&amp;Market_currency</f>
        <v>90.4 HKD</v>
      </c>
      <c r="F127" s="221">
        <f>DCF!F75</f>
        <v>0.18</v>
      </c>
    </row>
    <row r="128" spans="1:6">
      <c r="B128" s="218" t="str">
        <f>DCF!B76</f>
        <v>Base</v>
      </c>
      <c r="C128" s="219">
        <f>DCF!C76</f>
        <v>0.06</v>
      </c>
      <c r="D128" s="220">
        <f>DCF!D76</f>
        <v>30</v>
      </c>
      <c r="E128" s="231" t="str">
        <f>ROUND(IF(valuation_method="DCF",DCF!E76,DDM!E71),2)&amp;" "&amp;Market_currency</f>
        <v>71.99 HKD</v>
      </c>
      <c r="F128" s="221">
        <f>DCF!F76</f>
        <v>0.44999999999999996</v>
      </c>
    </row>
    <row r="129" spans="1:6">
      <c r="B129" s="218" t="str">
        <f>DCF!B77</f>
        <v>Pessimistic</v>
      </c>
      <c r="C129" s="219">
        <f>DCF!C77</f>
        <v>0.04</v>
      </c>
      <c r="D129" s="220">
        <f>DCF!D77</f>
        <v>30</v>
      </c>
      <c r="E129" s="231" t="str">
        <f>ROUND(IF(valuation_method="DCF",DCF!E77,DDM!E72),2)&amp;" "&amp;Market_currency</f>
        <v>59.01 HKD</v>
      </c>
      <c r="F129" s="221">
        <f>DCF!F77</f>
        <v>0.26999999999999996</v>
      </c>
    </row>
    <row r="130" spans="1:6">
      <c r="B130" s="218" t="str">
        <f>DCF!B78</f>
        <v>Devil's advocate</v>
      </c>
      <c r="C130" s="219">
        <f>DCF!C78</f>
        <v>0.02</v>
      </c>
      <c r="D130" s="220">
        <f>DCF!D78</f>
        <v>30</v>
      </c>
      <c r="E130" s="231" t="str">
        <f>ROUND(IF(valuation_method="DCF",DCF!E78,DDM!E73),2)&amp;" "&amp;Market_currency</f>
        <v>49.73 HKD</v>
      </c>
      <c r="F130" s="221">
        <f>DCF!F78</f>
        <v>0.05</v>
      </c>
    </row>
    <row r="132" spans="1:6">
      <c r="B132" s="211" t="s">
        <v>257</v>
      </c>
      <c r="C132" s="217">
        <f>Scenarios!C60</f>
        <v>72.929109771793577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1.8124076770513604</v>
      </c>
      <c r="D143" s="212" t="str">
        <f>Market_currency</f>
        <v>HKD</v>
      </c>
    </row>
    <row r="145" spans="2:4">
      <c r="B145" s="210" t="s">
        <v>405</v>
      </c>
      <c r="C145" s="241" t="str">
        <f>C11</f>
        <v>0168.HK</v>
      </c>
      <c r="D145" s="241" t="str">
        <f>IF(D11="","",D11)</f>
        <v/>
      </c>
    </row>
    <row r="146" spans="2:4">
      <c r="B146" s="1" t="s">
        <v>404</v>
      </c>
      <c r="C146" s="297">
        <f>F29</f>
        <v>0.3674</v>
      </c>
    </row>
    <row r="147" spans="2:4">
      <c r="B147" s="212" t="str">
        <f>"PV("&amp;C141&amp;" yrs of Dividends)"</f>
        <v>PV(3 yrs of Dividends)</v>
      </c>
      <c r="C147" s="216">
        <f>Scenarios!C81</f>
        <v>3.0036295132817825</v>
      </c>
    </row>
    <row r="148" spans="2:4">
      <c r="B148" s="212" t="str">
        <f>"+ PV(Equity Value realized at year "&amp;C141&amp;")"</f>
        <v>+ PV(Equity Value realized at year 3)</v>
      </c>
      <c r="C148" s="216">
        <f>Scenarios!C82</f>
        <v>28.524246809285074</v>
      </c>
    </row>
    <row r="149" spans="2:4">
      <c r="B149" s="80" t="s">
        <v>259</v>
      </c>
      <c r="C149" s="215">
        <f>Scenarios!C83</f>
        <v>31.527876322566858</v>
      </c>
      <c r="D149" s="300" t="str">
        <f>IF($D$11="","",C149*$E$25)</f>
        <v/>
      </c>
    </row>
    <row r="150" spans="2:4">
      <c r="B150" s="259" t="s">
        <v>413</v>
      </c>
      <c r="C150" s="298" t="str">
        <f>Market_currency</f>
        <v>HKD</v>
      </c>
      <c r="D150" s="298" t="str">
        <f>IF($D$11="","",D$13)</f>
        <v/>
      </c>
    </row>
    <row r="151" spans="2:4">
      <c r="B151" s="214" t="s">
        <v>261</v>
      </c>
      <c r="C151" s="92">
        <f>Scenarios!F83</f>
        <v>0.56769146886308586</v>
      </c>
    </row>
    <row r="153" spans="2:4">
      <c r="B153" s="210" t="s">
        <v>408</v>
      </c>
    </row>
    <row r="154" spans="2:4">
      <c r="B154" s="1" t="s">
        <v>407</v>
      </c>
      <c r="C154" s="297">
        <f>Scenarios!C90</f>
        <v>0.21740000000000001</v>
      </c>
    </row>
    <row r="155" spans="2:4">
      <c r="B155" s="212" t="str">
        <f>"PV("&amp;C141&amp;" yrs of Dividends)"</f>
        <v>PV(3 yrs of Dividends)</v>
      </c>
      <c r="C155" s="216">
        <f>Scenarios!C91</f>
        <v>3.7161621942052459</v>
      </c>
    </row>
    <row r="156" spans="2:4">
      <c r="B156" s="212" t="str">
        <f>"+ PV(Equity Value realized at year "&amp;C141&amp;")"</f>
        <v>+ PV(Equity Value realized at year 3)</v>
      </c>
      <c r="C156" s="216">
        <f>Scenarios!C92</f>
        <v>40.42043844220828</v>
      </c>
    </row>
    <row r="157" spans="2:4">
      <c r="B157" s="80" t="s">
        <v>259</v>
      </c>
      <c r="C157" s="215">
        <f>Scenarios!C93</f>
        <v>44.136600636413526</v>
      </c>
      <c r="D157" s="300" t="str">
        <f>IF($D$11="","",C157*$E$25)</f>
        <v/>
      </c>
    </row>
    <row r="158" spans="2:4">
      <c r="B158" s="259" t="s">
        <v>413</v>
      </c>
      <c r="C158" s="298" t="str">
        <f>Market_currency</f>
        <v>HKD</v>
      </c>
      <c r="D158" s="298" t="str">
        <f>IF($D$11="","",D$13)</f>
        <v/>
      </c>
    </row>
    <row r="159" spans="2:4">
      <c r="B159" s="214" t="s">
        <v>261</v>
      </c>
      <c r="C159" s="92">
        <f>Scenarios!F93</f>
        <v>0.39480132453935401</v>
      </c>
    </row>
    <row r="161" spans="2:4">
      <c r="B161" s="210" t="s">
        <v>397</v>
      </c>
    </row>
    <row r="162" spans="2:4">
      <c r="B162" s="1" t="s">
        <v>406</v>
      </c>
      <c r="C162" s="92">
        <f>Scenarios!C96</f>
        <v>7.4999999999999997E-2</v>
      </c>
    </row>
    <row r="163" spans="2:4">
      <c r="B163" s="212" t="str">
        <f>"PV("&amp;C141&amp;" yrs of Dividends)"</f>
        <v>PV(3 yrs of Dividends)</v>
      </c>
      <c r="C163" s="216">
        <f>Scenarios!C97</f>
        <v>4.713212815313609</v>
      </c>
    </row>
    <row r="164" spans="2:4">
      <c r="B164" s="212" t="str">
        <f>"+ PV(Equity Value realized at year "&amp;C141&amp;")"</f>
        <v>+ PV(Equity Value realized at year 3)</v>
      </c>
      <c r="C164" s="216">
        <f>Scenarios!C98</f>
        <v>58.705057735731316</v>
      </c>
    </row>
    <row r="165" spans="2:4">
      <c r="B165" s="80" t="s">
        <v>398</v>
      </c>
      <c r="C165" s="215">
        <f>Scenarios!C99</f>
        <v>63.418270551044927</v>
      </c>
      <c r="D165" s="300" t="str">
        <f>IF($D$11="","",C165*$E$25)</f>
        <v/>
      </c>
    </row>
    <row r="166" spans="2:4">
      <c r="B166" s="259" t="s">
        <v>413</v>
      </c>
      <c r="C166" s="298" t="str">
        <f>Market_currency</f>
        <v>HKD</v>
      </c>
      <c r="D166" s="298" t="str">
        <f>IF($D$11="","",D$13)</f>
        <v/>
      </c>
    </row>
    <row r="167" spans="2:4">
      <c r="B167" s="214" t="s">
        <v>261</v>
      </c>
      <c r="C167" s="92">
        <f>Scenarios!F99</f>
        <v>0.13041211185094037</v>
      </c>
    </row>
    <row r="169" spans="2:4">
      <c r="B169" s="210" t="s">
        <v>429</v>
      </c>
    </row>
    <row r="170" spans="2:4">
      <c r="B170" s="1" t="s">
        <v>420</v>
      </c>
      <c r="C170" s="92">
        <f>F32</f>
        <v>0.1174</v>
      </c>
    </row>
    <row r="171" spans="2:4">
      <c r="B171" s="212" t="str">
        <f>"PV("&amp;C141&amp;" yrs of Dividends)"</f>
        <v>PV(3 yrs of Dividends)</v>
      </c>
      <c r="C171" s="216">
        <f>Scenarios!C103</f>
        <v>4.3726204271293181</v>
      </c>
    </row>
    <row r="172" spans="2:4">
      <c r="B172" s="212" t="str">
        <f>"+ PV(Equity Value realized at year "&amp;C141&amp;")"</f>
        <v>+ PV(Equity Value realized at year 3)</v>
      </c>
      <c r="C172" s="216">
        <f>Scenarios!C104</f>
        <v>52.272697382250442</v>
      </c>
    </row>
    <row r="173" spans="2:4">
      <c r="B173" s="80" t="s">
        <v>398</v>
      </c>
      <c r="C173" s="215">
        <f>Scenarios!C105</f>
        <v>56.645317809379762</v>
      </c>
      <c r="D173" s="300" t="str">
        <f>IF($D$11="","",C173*$E$25)</f>
        <v/>
      </c>
    </row>
    <row r="174" spans="2:4">
      <c r="B174" s="259" t="s">
        <v>413</v>
      </c>
      <c r="C174" s="298" t="str">
        <f>Market_currency</f>
        <v>HKD</v>
      </c>
      <c r="D174" s="298" t="str">
        <f>IF($D$11="","",D$13)</f>
        <v/>
      </c>
    </row>
    <row r="175" spans="2:4">
      <c r="B175" s="214" t="s">
        <v>261</v>
      </c>
      <c r="C175" s="92">
        <f>Scenarios!F105</f>
        <v>0.22292885861477851</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2.0137863078348448</v>
      </c>
      <c r="D25" s="39">
        <f>2/Exchange_Rate</f>
        <v>1.8307148253044041</v>
      </c>
      <c r="E25" s="39">
        <f>1.3/Exchange_Rate</f>
        <v>1.1899646364478627</v>
      </c>
      <c r="F25" s="39">
        <f>1.1/Exchange_Rate</f>
        <v>1.0068931539174224</v>
      </c>
      <c r="G25" s="39">
        <f>0.75/Exchange_Rate</f>
        <v>0.68651805948915157</v>
      </c>
      <c r="H25" s="39"/>
      <c r="I25" s="39"/>
      <c r="J25" s="39"/>
      <c r="K25" s="39"/>
      <c r="L25" s="39"/>
      <c r="M25" s="39"/>
    </row>
    <row r="27" spans="2:13">
      <c r="B27" s="16" t="s">
        <v>28</v>
      </c>
      <c r="C27" s="97" t="s">
        <v>463</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2.0137863078348448</v>
      </c>
      <c r="D65" s="73">
        <f t="shared" ref="D65:M65" si="33">IF(D$4="","",D25)</f>
        <v>1.8307148253044041</v>
      </c>
      <c r="E65" s="73">
        <f t="shared" si="33"/>
        <v>1.1899646364478627</v>
      </c>
      <c r="F65" s="73">
        <f t="shared" si="33"/>
        <v>1.0068931539174224</v>
      </c>
      <c r="G65" s="73">
        <f t="shared" si="33"/>
        <v>0.68651805948915157</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23.271995865743346</v>
      </c>
      <c r="D47" s="147">
        <f>D46*H1/Common_Shares*Exchange_Rate</f>
        <v>1.3578311345749545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12816720611.698513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-2533103195.5722232</v>
      </c>
      <c r="D73" s="349">
        <f>(Normalized_FCF!C25+Normalized_FCF!C35-Normalized_FCF!C91)/12</f>
        <v>-2581026142.1507435</v>
      </c>
      <c r="F73" s="1" t="s">
        <v>348</v>
      </c>
    </row>
    <row r="74" spans="2:6" ht="15" customHeight="1">
      <c r="B74" s="257" t="s">
        <v>318</v>
      </c>
      <c r="C74" s="258">
        <f>-$C$66/C73</f>
        <v>7.0975288047586353</v>
      </c>
      <c r="D74" s="258">
        <f>-$C$66/D73</f>
        <v>6.9657461435157986</v>
      </c>
      <c r="F74" s="253" t="s">
        <v>316</v>
      </c>
    </row>
    <row r="75" spans="2:6" ht="15" customHeight="1">
      <c r="B75" s="80" t="s">
        <v>317</v>
      </c>
      <c r="C75" s="320"/>
      <c r="D75" s="321">
        <f>MAX(-D73*D76,G5)</f>
        <v>5162052284.301487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-311786826.71403551</v>
      </c>
      <c r="D86" s="223">
        <f>C86*scaling_factor/Common_Shares</f>
        <v>-0.22854974403739434</v>
      </c>
      <c r="E86" s="240" t="str">
        <f>Market_currency</f>
        <v>HKD</v>
      </c>
    </row>
    <row r="87" spans="2:8" ht="15" customHeight="1">
      <c r="B87" s="238" t="s">
        <v>286</v>
      </c>
      <c r="C87" s="76">
        <f>DCF!C8*Exchange_Rate</f>
        <v>14001875589.298731</v>
      </c>
      <c r="D87" s="223">
        <f>C87*scaling_factor/Common_Shares</f>
        <v>10.263823894371118</v>
      </c>
      <c r="E87" s="240" t="str">
        <f>Market_currency</f>
        <v>HKD</v>
      </c>
    </row>
    <row r="88" spans="2:8" ht="15" customHeight="1">
      <c r="B88" s="239" t="s">
        <v>188</v>
      </c>
      <c r="C88" s="76">
        <f>DCF!C9*Exchange_Rate</f>
        <v>3010202940.8560023</v>
      </c>
      <c r="D88" s="223">
        <f>C88*scaling_factor/Common_Shares</f>
        <v>2.2065753030170616</v>
      </c>
      <c r="E88" s="240" t="str">
        <f>Market_currency</f>
        <v>HKD</v>
      </c>
    </row>
    <row r="89" spans="2:8" ht="15" customHeight="1">
      <c r="B89" s="80" t="s">
        <v>290</v>
      </c>
      <c r="C89" s="180">
        <f>SUM(C86:C88)</f>
        <v>16700291703.440699</v>
      </c>
      <c r="D89" s="242">
        <f>SUM(D86:D88)</f>
        <v>12.241849453350785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155249847.32905102</v>
      </c>
      <c r="E12" s="268"/>
      <c r="G12" s="328">
        <f>G50</f>
        <v>155249847.32905102</v>
      </c>
      <c r="H12" s="328">
        <f t="shared" ref="H12:Q12" si="6">H50</f>
        <v>128959722.12653938</v>
      </c>
      <c r="I12" s="328">
        <f t="shared" si="6"/>
        <v>122739922.56684519</v>
      </c>
      <c r="J12" s="328">
        <f t="shared" si="6"/>
        <v>67943346.85108611</v>
      </c>
      <c r="K12" s="328">
        <f t="shared" si="6"/>
        <v>136796243.49150759</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4033317917.6368055</v>
      </c>
      <c r="E13" s="268"/>
      <c r="G13" s="329">
        <f>IF(G$4="","",SUM(G8:G12))</f>
        <v>4691314707.329051</v>
      </c>
      <c r="H13" s="329">
        <f t="shared" ref="H13:Q13" si="7">IF(H$4="","",SUM(H8:H12))</f>
        <v>4549627514.1265392</v>
      </c>
      <c r="I13" s="329">
        <f t="shared" si="7"/>
        <v>3869693130.5668454</v>
      </c>
      <c r="J13" s="329">
        <f t="shared" si="7"/>
        <v>3025034346.8510861</v>
      </c>
      <c r="K13" s="329">
        <f t="shared" si="7"/>
        <v>2470856115.4915075</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-1008329479.4092014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2878353873.7559271</v>
      </c>
      <c r="D16" s="61"/>
      <c r="E16" s="276"/>
      <c r="F16" s="61"/>
      <c r="G16" s="329">
        <f>IF(G$4="","",SUM(G13:G15))</f>
        <v>3154805565.329051</v>
      </c>
      <c r="H16" s="329">
        <f t="shared" ref="H16:Q16" si="8">IF(H$4="","",SUM(H13:H15))</f>
        <v>3071071618.1265392</v>
      </c>
      <c r="I16" s="329">
        <f t="shared" si="8"/>
        <v>2574180437.5668454</v>
      </c>
      <c r="J16" s="329">
        <f t="shared" si="8"/>
        <v>1701514691.8510861</v>
      </c>
      <c r="K16" s="329">
        <f t="shared" si="8"/>
        <v>1432630347.4915075</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2878353873.7559271</v>
      </c>
      <c r="D19" s="27"/>
      <c r="E19" s="265"/>
      <c r="F19" s="27"/>
      <c r="G19" s="334">
        <f>IF(G$4="","",G16+G17)</f>
        <v>3154805565.329051</v>
      </c>
      <c r="H19" s="334">
        <f t="shared" ref="H19:Q19" si="9">IF(H$4="","",H16+H17)</f>
        <v>3071071618.1265392</v>
      </c>
      <c r="I19" s="334">
        <f t="shared" si="9"/>
        <v>2574180437.5668454</v>
      </c>
      <c r="J19" s="334">
        <f t="shared" si="9"/>
        <v>1701514691.8510861</v>
      </c>
      <c r="K19" s="334">
        <f t="shared" si="9"/>
        <v>1432630347.4915075</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0.29623173901100741</v>
      </c>
      <c r="H43" s="6">
        <f t="shared" si="18"/>
        <v>0.30732370367872525</v>
      </c>
      <c r="I43" s="6">
        <f t="shared" si="18"/>
        <v>0.31046901329460513</v>
      </c>
      <c r="J43" s="6">
        <f t="shared" si="18"/>
        <v>0.40420420226725828</v>
      </c>
      <c r="K43" s="6">
        <f t="shared" si="18"/>
        <v>0.36933778267313949</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177086901.32905102</v>
      </c>
      <c r="E48" s="268"/>
      <c r="G48" s="337">
        <f>IFERROR(IF(G$4="","",($C$48/$C$49)*G49),0)</f>
        <v>177086901.32905102</v>
      </c>
      <c r="H48" s="337">
        <f t="shared" ref="H48:Q48" si="19">IFERROR(IF(H$4="","",($C$48/$C$49)*H49),0)</f>
        <v>145390312.12653938</v>
      </c>
      <c r="I48" s="337">
        <f t="shared" si="19"/>
        <v>131977722.56684519</v>
      </c>
      <c r="J48" s="337">
        <f t="shared" si="19"/>
        <v>90628713.85108611</v>
      </c>
      <c r="K48" s="337">
        <f t="shared" si="19"/>
        <v>150458925.49150759</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155249847.32905102</v>
      </c>
      <c r="E50" s="268"/>
      <c r="G50" s="329">
        <f>IF(G$4="","",(G47+G48))</f>
        <v>155249847.32905102</v>
      </c>
      <c r="H50" s="329">
        <f t="shared" ref="H50:Q50" si="20">IF(H$4="","",(H47+H48))</f>
        <v>128959722.12653938</v>
      </c>
      <c r="I50" s="329">
        <f t="shared" si="20"/>
        <v>122739922.56684519</v>
      </c>
      <c r="J50" s="329">
        <f t="shared" si="20"/>
        <v>67943346.85108611</v>
      </c>
      <c r="K50" s="329">
        <f t="shared" si="20"/>
        <v>136796243.49150759</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4.835964620041008E-3</v>
      </c>
      <c r="D80" s="27"/>
      <c r="E80" s="265"/>
      <c r="F80" s="27"/>
      <c r="G80" s="6">
        <f t="shared" ref="G80:Q80" si="31">IF(G$4="","",ABS(G12/G$4))</f>
        <v>4.8307507629742792E-3</v>
      </c>
      <c r="H80" s="6">
        <f t="shared" si="31"/>
        <v>3.8000275723811339E-3</v>
      </c>
      <c r="I80" s="6">
        <f t="shared" si="31"/>
        <v>3.8151678411100132E-3</v>
      </c>
      <c r="J80" s="6">
        <f t="shared" si="31"/>
        <v>2.2522552853040242E-3</v>
      </c>
      <c r="K80" s="6">
        <f t="shared" si="31"/>
        <v>4.927869885106872E-3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0.12563608329822304</v>
      </c>
      <c r="D81" s="27"/>
      <c r="E81" s="265"/>
      <c r="F81" s="27"/>
      <c r="G81" s="65">
        <f t="shared" ref="G81:Q81" si="32">IF(G$4="","",G13/G$4)</f>
        <v>0.14597484307826145</v>
      </c>
      <c r="H81" s="65">
        <f t="shared" si="32"/>
        <v>0.13406286639467518</v>
      </c>
      <c r="I81" s="65">
        <f t="shared" si="32"/>
        <v>0.12028302183963509</v>
      </c>
      <c r="J81" s="65">
        <f t="shared" si="32"/>
        <v>0.10027692057699472</v>
      </c>
      <c r="K81" s="65">
        <f t="shared" si="32"/>
        <v>8.9008712017144276E-2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3.140902082455576E-2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8.9659460134212624E-2</v>
      </c>
      <c r="D84" s="27"/>
      <c r="E84" s="265"/>
      <c r="F84" s="27"/>
      <c r="G84" s="65">
        <f t="shared" ref="G84:Q84" si="35">IF(G$4="","",ABS(G16/G$4))</f>
        <v>9.816485912187449E-2</v>
      </c>
      <c r="H84" s="65">
        <f t="shared" si="35"/>
        <v>9.0494587249396102E-2</v>
      </c>
      <c r="I84" s="65">
        <f t="shared" si="35"/>
        <v>8.0014148756456724E-2</v>
      </c>
      <c r="J84" s="65">
        <f t="shared" si="35"/>
        <v>5.6403542588847264E-2</v>
      </c>
      <c r="K84" s="65">
        <f t="shared" si="35"/>
        <v>5.1608258865177621E-2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8.9659460134212624E-2</v>
      </c>
      <c r="D87" s="75"/>
      <c r="E87" s="265"/>
      <c r="F87" s="75"/>
      <c r="G87" s="65">
        <f t="shared" ref="G87:Q87" si="36">IF(G$4="","",ABS(G19/G$4))</f>
        <v>9.816485912187449E-2</v>
      </c>
      <c r="H87" s="65">
        <f t="shared" si="36"/>
        <v>9.0494587249396102E-2</v>
      </c>
      <c r="I87" s="65">
        <f t="shared" si="36"/>
        <v>8.0014148756456724E-2</v>
      </c>
      <c r="J87" s="65">
        <f t="shared" si="36"/>
        <v>5.6403542588847264E-2</v>
      </c>
      <c r="K87" s="65">
        <f t="shared" si="36"/>
        <v>5.1608258865177621E-2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2.0137863078348448</v>
      </c>
      <c r="E90" s="268"/>
      <c r="G90" s="112">
        <f>Data!C65</f>
        <v>2.0137863078348448</v>
      </c>
      <c r="H90" s="112">
        <f>Data!D65</f>
        <v>1.8307148253044041</v>
      </c>
      <c r="I90" s="112">
        <f>Data!E65</f>
        <v>1.1899646364478627</v>
      </c>
      <c r="J90" s="112">
        <f>Data!F65</f>
        <v>1.0068931539174224</v>
      </c>
      <c r="K90" s="112">
        <f>Data!G65</f>
        <v>0.68651805948915157</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2747200812.8666744</v>
      </c>
      <c r="E91" s="268"/>
      <c r="G91" s="74">
        <f t="shared" ref="G91:Q91" si="37">IF(G$4="","",G90*Common_Shares/scaling_factor)</f>
        <v>2747200812.8666744</v>
      </c>
      <c r="H91" s="74">
        <f t="shared" si="37"/>
        <v>2497455284.4242492</v>
      </c>
      <c r="I91" s="74">
        <f t="shared" si="37"/>
        <v>1623345934.875762</v>
      </c>
      <c r="J91" s="74">
        <f t="shared" si="37"/>
        <v>1373600406.4333372</v>
      </c>
      <c r="K91" s="74">
        <f t="shared" si="37"/>
        <v>936545731.6590935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0.95443469891417054</v>
      </c>
      <c r="E92" s="268"/>
      <c r="G92" s="170">
        <f t="shared" ref="G92:Q92" si="38">IF(G$4="","",G90/(G19*scaling_factor/Common_Shares))</f>
        <v>0.87079877221534485</v>
      </c>
      <c r="H92" s="170">
        <f t="shared" si="38"/>
        <v>0.81321948654124321</v>
      </c>
      <c r="I92" s="170">
        <f t="shared" si="38"/>
        <v>0.63062631942389136</v>
      </c>
      <c r="J92" s="170">
        <f t="shared" si="38"/>
        <v>0.80728095561666335</v>
      </c>
      <c r="K92" s="170">
        <f t="shared" si="38"/>
        <v>0.65372462149706434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3.4131971319234657E-2</v>
      </c>
      <c r="E94" s="268"/>
      <c r="G94" s="23">
        <f t="shared" ref="G94:Q94" si="39">IF(G$4="","",(G90*(1-dividend_tax_rate))/Market_Price)</f>
        <v>3.4131971319234657E-2</v>
      </c>
      <c r="H94" s="23">
        <f t="shared" si="39"/>
        <v>3.1029064835667863E-2</v>
      </c>
      <c r="I94" s="23">
        <f t="shared" si="39"/>
        <v>2.0168892143184115E-2</v>
      </c>
      <c r="J94" s="23">
        <f t="shared" si="39"/>
        <v>1.7065985659617328E-2</v>
      </c>
      <c r="K94" s="23">
        <f t="shared" si="39"/>
        <v>1.1635899313375449E-2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-0.1402585055025799</v>
      </c>
      <c r="D98" s="27"/>
      <c r="E98" s="265"/>
      <c r="F98" s="27"/>
      <c r="G98" s="6">
        <f t="shared" ref="G98:Q98" si="41">IF(H5="","",G13/H13-1)</f>
        <v>3.1142591951225596E-2</v>
      </c>
      <c r="H98" s="6">
        <f t="shared" si="41"/>
        <v>0.17570757179396668</v>
      </c>
      <c r="I98" s="6">
        <f t="shared" si="41"/>
        <v>0.27922287381464206</v>
      </c>
      <c r="J98" s="6">
        <f t="shared" si="41"/>
        <v>0.22428591769672535</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1.633907708496882</v>
      </c>
      <c r="H115" s="295">
        <f>IF(H$4="","",Data!D$22/H19)</f>
        <v>0.90442929549601736</v>
      </c>
      <c r="I115" s="295">
        <f>IF(I$4="","",Data!E$22/I19)</f>
        <v>1.8952716953328606</v>
      </c>
      <c r="J115" s="295">
        <f>IF(J$4="","",Data!F$22/J19)</f>
        <v>3.5516069793236222</v>
      </c>
      <c r="K115" s="295">
        <f>IF(K$4="","",Data!G$22/K19)</f>
        <v>3.4575718507382542</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0.12563608329822304</v>
      </c>
      <c r="E118" s="268"/>
      <c r="G118" s="23">
        <f t="shared" ref="G118:Q118" si="45">IF(G4="","",IF(valuation_method="DDM",G13/(G4+G12),G81))</f>
        <v>0.14597484307826145</v>
      </c>
      <c r="H118" s="23">
        <f t="shared" si="45"/>
        <v>0.13406286639467518</v>
      </c>
      <c r="I118" s="23">
        <f t="shared" si="45"/>
        <v>0.12028302183963509</v>
      </c>
      <c r="J118" s="23">
        <f t="shared" si="45"/>
        <v>0.10027692057699472</v>
      </c>
      <c r="K118" s="23">
        <f t="shared" si="45"/>
        <v>8.9008712017144276E-2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0.13507634899929027</v>
      </c>
      <c r="D121" s="103"/>
      <c r="E121" s="271"/>
      <c r="F121" s="103"/>
      <c r="G121" s="102">
        <f t="shared" ref="G121:Q121" si="48">IF(G$4="","",G13/G106)</f>
        <v>0.15711274826656119</v>
      </c>
      <c r="H121" s="102">
        <f t="shared" si="48"/>
        <v>0.16102170321849779</v>
      </c>
      <c r="I121" s="102">
        <f t="shared" si="48"/>
        <v>0.1472916830374805</v>
      </c>
      <c r="J121" s="102">
        <f t="shared" si="48"/>
        <v>0.12713598337351611</v>
      </c>
      <c r="K121" s="102">
        <f t="shared" si="48"/>
        <v>0.11563319371819188</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2.3050293566473106</v>
      </c>
      <c r="D125" s="27"/>
      <c r="E125" s="265"/>
      <c r="F125" s="27"/>
      <c r="G125" s="177">
        <f t="shared" ref="G125:Q125" si="49">IF(G$4="","",G16*$C$3/Common_Shares*Exchange_Rate)</f>
        <v>2.5264160563790385</v>
      </c>
      <c r="H125" s="177">
        <f t="shared" si="49"/>
        <v>2.4593606438359346</v>
      </c>
      <c r="I125" s="177">
        <f t="shared" si="49"/>
        <v>2.0614426641558743</v>
      </c>
      <c r="J125" s="177">
        <f t="shared" si="49"/>
        <v>1.362598723959412</v>
      </c>
      <c r="K125" s="177">
        <f t="shared" si="49"/>
        <v>1.147272070436111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4.3409215756069888E-2</v>
      </c>
      <c r="D126" s="27"/>
      <c r="E126" s="265"/>
      <c r="F126" s="27"/>
      <c r="G126" s="77">
        <f t="shared" ref="G126" si="50">IF(G$4="","",G125/Market_Price)</f>
        <v>4.7578456805631608E-2</v>
      </c>
      <c r="H126" s="77">
        <f t="shared" ref="H126" si="51">IF(H$4="","",H125/Market_Price)</f>
        <v>4.631564301009293E-2</v>
      </c>
      <c r="I126" s="77">
        <f t="shared" ref="I126" si="52">IF(I$4="","",I125/Market_Price)</f>
        <v>3.8821895746814959E-2</v>
      </c>
      <c r="J126" s="77">
        <f t="shared" ref="J126" si="53">IF(J$4="","",J125/Market_Price)</f>
        <v>2.5660992918256346E-2</v>
      </c>
      <c r="K126" s="77">
        <f t="shared" ref="K126" si="54">IF(K$4="","",K125/Market_Price)</f>
        <v>2.1605877032695123E-2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6.2007841380015957E-2</v>
      </c>
      <c r="H127" s="23">
        <f>IF(H$4="","",(Data!D47*$C$3)/(Market_Price*Common_Shares))</f>
        <v>6.002578668002554E-2</v>
      </c>
      <c r="I127" s="23">
        <f>IF(I$4="","",(Data!E47*$C$3)/(Market_Price*Common_Shares))</f>
        <v>5.2523217959229568E-2</v>
      </c>
      <c r="J127" s="23">
        <f>IF(J$4="","",(Data!F47*$C$3)/(Market_Price*Common_Shares))</f>
        <v>4.4951623266341806E-2</v>
      </c>
      <c r="K127" s="23">
        <f>IF(K$4="","",(Data!G47*$C$3)/(Market_Price*Common_Shares))</f>
        <v>3.2123215966281295E-2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2878353873.7559271</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38378051650.079033</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12816720611.698513</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53664787454.277542</v>
      </c>
      <c r="D10" t="str">
        <f>Reporting_currency</f>
        <v>CNY</v>
      </c>
      <c r="H10" s="120"/>
    </row>
    <row r="11" spans="2:8" ht="13.15" thickBot="1">
      <c r="B11" s="207" t="s">
        <v>165</v>
      </c>
      <c r="C11" s="208">
        <f>Exchange_Rate</f>
        <v>1.0924694399999999</v>
      </c>
      <c r="D11" t="str">
        <f>Thesis!C15</f>
        <v>CNY/HKD</v>
      </c>
      <c r="H11" s="120"/>
    </row>
    <row r="12" spans="2:8" ht="13.5" thickTop="1">
      <c r="B12" s="149" t="s">
        <v>102</v>
      </c>
      <c r="C12" s="111">
        <f>(C10*scaling_factor)/Common_Shares*Exchange_Rate</f>
        <v>42.975574208648268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72.89592264152644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3054410829.6178184</v>
      </c>
      <c r="D21" s="138">
        <f>IF($C$17&lt;B21,0,DCF!$C$16)</f>
        <v>6.1165848114484E-2</v>
      </c>
      <c r="E21" s="124">
        <f t="shared" ref="E21:E50" si="0">IF($C$17&lt;B21,0,1/(1+Equity_Cost)^B21)</f>
        <v>0.93023255813953487</v>
      </c>
      <c r="F21" s="125">
        <f t="shared" ref="F21:F51" si="1">C21*E21</f>
        <v>2841312399.6444821</v>
      </c>
      <c r="H21" s="120"/>
    </row>
    <row r="22" spans="2:17">
      <c r="B22" s="122">
        <v>2</v>
      </c>
      <c r="C22" s="123">
        <f t="shared" ref="C22:C50" si="2">IF(ROW()-ROW($C$21)&lt;$C$17, $C$21*(1+D22)^(ROW()-ROW($C$21)), 0)</f>
        <v>3241236458.5014567</v>
      </c>
      <c r="D22" s="138">
        <f>IF($C$17&lt;B22,0,DCF!$C$16)</f>
        <v>6.1165848114484E-2</v>
      </c>
      <c r="E22" s="124">
        <f t="shared" si="0"/>
        <v>0.86533261222282321</v>
      </c>
      <c r="F22" s="125">
        <f t="shared" si="1"/>
        <v>2804747611.466918</v>
      </c>
      <c r="H22" s="120"/>
    </row>
    <row r="23" spans="2:17">
      <c r="B23" s="122">
        <v>3</v>
      </c>
      <c r="C23" s="123">
        <f t="shared" si="2"/>
        <v>3439489435.4252839</v>
      </c>
      <c r="D23" s="138">
        <f>IF($C$17&lt;B23,0,DCF!$C$16)</f>
        <v>6.1165848114484E-2</v>
      </c>
      <c r="E23" s="124">
        <f t="shared" si="0"/>
        <v>0.80496056950960304</v>
      </c>
      <c r="F23" s="125">
        <f t="shared" si="1"/>
        <v>2768653374.7621994</v>
      </c>
      <c r="G23" s="338"/>
      <c r="H23" s="339"/>
      <c r="I23" s="338"/>
      <c r="J23" s="338"/>
      <c r="K23" s="338"/>
      <c r="L23" s="338"/>
      <c r="M23" s="338"/>
      <c r="N23" s="338"/>
      <c r="O23" s="338"/>
      <c r="P23" s="338"/>
      <c r="Q23" s="338"/>
    </row>
    <row r="24" spans="2:17">
      <c r="B24" s="122">
        <v>4</v>
      </c>
      <c r="C24" s="123">
        <f t="shared" si="2"/>
        <v>3649868723.8238788</v>
      </c>
      <c r="D24" s="138">
        <f>IF($C$17&lt;B24,0,DCF!$C$16)</f>
        <v>6.1165848114484E-2</v>
      </c>
      <c r="E24" s="124">
        <f t="shared" si="0"/>
        <v>0.7488005297763749</v>
      </c>
      <c r="F24" s="125">
        <f t="shared" si="1"/>
        <v>2733023634.0135417</v>
      </c>
      <c r="G24" s="338"/>
      <c r="H24" s="339"/>
      <c r="I24" s="338"/>
      <c r="J24" s="338"/>
      <c r="K24" s="338"/>
      <c r="L24" s="338"/>
      <c r="M24" s="338"/>
      <c r="N24" s="338"/>
      <c r="O24" s="338"/>
      <c r="P24" s="338"/>
      <c r="Q24" s="338"/>
    </row>
    <row r="25" spans="2:17">
      <c r="B25" s="122">
        <v>5</v>
      </c>
      <c r="C25" s="123">
        <f t="shared" si="2"/>
        <v>3873116039.8230953</v>
      </c>
      <c r="D25" s="138">
        <f>IF($C$17&lt;B25,0,DCF!$C$16)</f>
        <v>6.1165848114484E-2</v>
      </c>
      <c r="E25" s="124">
        <f t="shared" si="0"/>
        <v>0.69655863235011617</v>
      </c>
      <c r="F25" s="125">
        <f t="shared" si="1"/>
        <v>2697852411.6324735</v>
      </c>
      <c r="G25" s="338"/>
      <c r="H25" s="339"/>
      <c r="I25" s="338"/>
      <c r="J25" s="338"/>
      <c r="K25" s="338"/>
      <c r="L25" s="338"/>
      <c r="M25" s="338"/>
      <c r="N25" s="338"/>
      <c r="O25" s="338"/>
      <c r="P25" s="338"/>
      <c r="Q25" s="338"/>
    </row>
    <row r="26" spans="2:17">
      <c r="B26" s="122">
        <v>6</v>
      </c>
      <c r="C26" s="123">
        <f t="shared" si="2"/>
        <v>4110018467.2446861</v>
      </c>
      <c r="D26" s="138">
        <f>IF($C$17&lt;B26,0,DCF!$C$16)</f>
        <v>6.1165848114484E-2</v>
      </c>
      <c r="E26" s="124">
        <f t="shared" si="0"/>
        <v>0.64796151846522443</v>
      </c>
      <c r="F26" s="125">
        <f t="shared" si="1"/>
        <v>2663133806.9559813</v>
      </c>
      <c r="H26" s="120"/>
    </row>
    <row r="27" spans="2:17">
      <c r="B27" s="122">
        <v>7</v>
      </c>
      <c r="C27" s="123">
        <f t="shared" si="2"/>
        <v>4361411232.5598984</v>
      </c>
      <c r="D27" s="138">
        <f>IF($C$17&lt;B27,0,DCF!$C$16)</f>
        <v>6.1165848114484E-2</v>
      </c>
      <c r="E27" s="124">
        <f t="shared" si="0"/>
        <v>0.60275490089788319</v>
      </c>
      <c r="F27" s="125">
        <f t="shared" si="1"/>
        <v>2628861995.256556</v>
      </c>
      <c r="H27" s="120"/>
    </row>
    <row r="28" spans="2:17">
      <c r="B28" s="122">
        <v>8</v>
      </c>
      <c r="C28" s="123">
        <f t="shared" si="2"/>
        <v>4628180649.5754604</v>
      </c>
      <c r="D28" s="138">
        <f>IF($C$17&lt;B28,0,DCF!$C$16)</f>
        <v>6.1165848114484E-2</v>
      </c>
      <c r="E28" s="124">
        <f t="shared" si="0"/>
        <v>0.56070223339337966</v>
      </c>
      <c r="F28" s="125">
        <f t="shared" si="1"/>
        <v>2595031226.7649832</v>
      </c>
      <c r="H28" s="120"/>
    </row>
    <row r="29" spans="2:17">
      <c r="B29" s="122">
        <v>9</v>
      </c>
      <c r="C29" s="123">
        <f t="shared" si="2"/>
        <v>4911267244.2337875</v>
      </c>
      <c r="D29" s="138">
        <f>IF($C$17&lt;B29,0,DCF!$C$16)</f>
        <v>6.1165848114484E-2</v>
      </c>
      <c r="E29" s="124">
        <f t="shared" si="0"/>
        <v>0.52158347292407414</v>
      </c>
      <c r="F29" s="125">
        <f t="shared" si="1"/>
        <v>2561635825.7057061</v>
      </c>
      <c r="H29" s="120"/>
    </row>
    <row r="30" spans="2:17">
      <c r="B30" s="122">
        <v>10</v>
      </c>
      <c r="C30" s="123">
        <f t="shared" si="2"/>
        <v>5211669070.5442305</v>
      </c>
      <c r="D30" s="138">
        <f>IF($C$17&lt;B30,0,DCF!$C$16)</f>
        <v>6.1165848114484E-2</v>
      </c>
      <c r="E30" s="124">
        <f t="shared" si="0"/>
        <v>0.48519392830146441</v>
      </c>
      <c r="F30" s="125">
        <f t="shared" si="1"/>
        <v>2528670189.3445969</v>
      </c>
      <c r="H30" s="120"/>
    </row>
    <row r="31" spans="2:17">
      <c r="B31" s="122">
        <v>11</v>
      </c>
      <c r="C31" s="123">
        <f t="shared" si="2"/>
        <v>5530445229.336092</v>
      </c>
      <c r="D31" s="138">
        <f>IF($C$17&lt;B31,0,DCF!$C$16)</f>
        <v>6.1165848114484E-2</v>
      </c>
      <c r="E31" s="124">
        <f t="shared" si="0"/>
        <v>0.45134318911764126</v>
      </c>
      <c r="F31" s="125">
        <f t="shared" si="1"/>
        <v>2496128787.0489964</v>
      </c>
      <c r="H31" s="120"/>
    </row>
    <row r="32" spans="2:17">
      <c r="B32" s="122">
        <v>12</v>
      </c>
      <c r="C32" s="123">
        <f t="shared" si="2"/>
        <v>5868719602.2391357</v>
      </c>
      <c r="D32" s="138">
        <f>IF($C$17&lt;B32,0,DCF!$C$16)</f>
        <v>6.1165848114484E-2</v>
      </c>
      <c r="E32" s="124">
        <f t="shared" si="0"/>
        <v>0.41985412941175931</v>
      </c>
      <c r="F32" s="125">
        <f t="shared" si="1"/>
        <v>2464006159.359839</v>
      </c>
      <c r="H32" s="120"/>
    </row>
    <row r="33" spans="2:17">
      <c r="B33" s="122">
        <v>13</v>
      </c>
      <c r="C33" s="341">
        <f t="shared" si="2"/>
        <v>6227684814.0561886</v>
      </c>
      <c r="D33" s="138">
        <f>IF($C$17&lt;B33,0,DCF!$C$16)</f>
        <v>6.1165848114484E-2</v>
      </c>
      <c r="E33" s="124">
        <f t="shared" si="0"/>
        <v>0.39056198084814819</v>
      </c>
      <c r="F33" s="125">
        <f t="shared" si="1"/>
        <v>2432296917.0757165</v>
      </c>
      <c r="G33" s="338"/>
      <c r="H33" s="339"/>
      <c r="I33" s="338"/>
      <c r="J33" s="338"/>
      <c r="K33" s="338"/>
      <c r="L33" s="338"/>
      <c r="M33" s="338"/>
      <c r="N33" s="338"/>
      <c r="O33" s="338"/>
      <c r="P33" s="338"/>
      <c r="Q33" s="338"/>
    </row>
    <row r="34" spans="2:17">
      <c r="B34" s="122">
        <v>14</v>
      </c>
      <c r="C34" s="341">
        <f t="shared" si="2"/>
        <v>6608606437.4976282</v>
      </c>
      <c r="D34" s="138">
        <f>IF($C$17&lt;B34,0,DCF!$C$16)</f>
        <v>6.1165848114484E-2</v>
      </c>
      <c r="E34" s="124">
        <f t="shared" si="0"/>
        <v>0.36331347055641694</v>
      </c>
      <c r="F34" s="125">
        <f t="shared" si="1"/>
        <v>2400995740.348742</v>
      </c>
      <c r="G34" s="338"/>
      <c r="H34" s="339"/>
      <c r="I34" s="338"/>
      <c r="J34" s="338"/>
      <c r="K34" s="338"/>
      <c r="L34" s="338"/>
      <c r="M34" s="338"/>
      <c r="N34" s="338"/>
      <c r="O34" s="338"/>
      <c r="P34" s="338"/>
      <c r="Q34" s="338"/>
    </row>
    <row r="35" spans="2:17">
      <c r="B35" s="122">
        <v>15</v>
      </c>
      <c r="C35" s="341">
        <f t="shared" si="2"/>
        <v>7012827455.1020079</v>
      </c>
      <c r="D35" s="138">
        <f>IF($C$17&lt;B35,0,DCF!$C$16)</f>
        <v>6.1165848114484E-2</v>
      </c>
      <c r="E35" s="124">
        <f t="shared" si="0"/>
        <v>0.33796601912224833</v>
      </c>
      <c r="F35" s="125">
        <f t="shared" si="1"/>
        <v>2370097377.7920332</v>
      </c>
      <c r="G35" s="338"/>
      <c r="H35" s="339"/>
      <c r="I35" s="338"/>
      <c r="J35" s="338"/>
      <c r="K35" s="338"/>
      <c r="L35" s="338"/>
      <c r="M35" s="338"/>
      <c r="N35" s="338"/>
      <c r="O35" s="338"/>
      <c r="P35" s="338"/>
      <c r="Q35" s="338"/>
    </row>
    <row r="36" spans="2:17">
      <c r="B36" s="122">
        <v>16</v>
      </c>
      <c r="C36" s="123">
        <f t="shared" si="2"/>
        <v>7441772994.0738583</v>
      </c>
      <c r="D36" s="138">
        <f>IF($C$17&lt;B36,0,DCF!$C$16)</f>
        <v>6.1165848114484E-2</v>
      </c>
      <c r="E36" s="124">
        <f t="shared" si="0"/>
        <v>0.31438699453232405</v>
      </c>
      <c r="F36" s="125">
        <f t="shared" si="1"/>
        <v>2339596645.5986948</v>
      </c>
      <c r="H36" s="120"/>
    </row>
    <row r="37" spans="2:17">
      <c r="B37" s="122">
        <v>17</v>
      </c>
      <c r="C37" s="123">
        <f t="shared" si="2"/>
        <v>7896955350.7318497</v>
      </c>
      <c r="D37" s="138">
        <f>IF($C$17&lt;B37,0,DCF!$C$16)</f>
        <v>6.1165848114484E-2</v>
      </c>
      <c r="E37" s="124">
        <f t="shared" si="0"/>
        <v>0.29245301816960378</v>
      </c>
      <c r="F37" s="125">
        <f t="shared" si="1"/>
        <v>2309488426.6721315</v>
      </c>
      <c r="H37" s="120"/>
    </row>
    <row r="38" spans="2:17">
      <c r="B38" s="122">
        <v>18</v>
      </c>
      <c r="C38" s="123">
        <f t="shared" si="2"/>
        <v>8379979322.2815752</v>
      </c>
      <c r="D38" s="138">
        <f>IF($C$17&lt;B38,0,DCF!$C$16)</f>
        <v>6.1165848114484E-2</v>
      </c>
      <c r="E38" s="124">
        <f t="shared" si="0"/>
        <v>0.27204931922753844</v>
      </c>
      <c r="F38" s="125">
        <f t="shared" si="1"/>
        <v>2279767669.7675514</v>
      </c>
      <c r="H38" s="120"/>
    </row>
    <row r="39" spans="2:17">
      <c r="B39" s="122">
        <v>19</v>
      </c>
      <c r="C39" s="123">
        <f t="shared" si="2"/>
        <v>8892547864.7107639</v>
      </c>
      <c r="D39" s="138">
        <f>IF($C$17&lt;B39,0,DCF!$C$16)</f>
        <v>6.1165848114484E-2</v>
      </c>
      <c r="E39" s="124">
        <f t="shared" si="0"/>
        <v>0.25306913416515198</v>
      </c>
      <c r="F39" s="125">
        <f t="shared" si="1"/>
        <v>2250429388.6445241</v>
      </c>
      <c r="H39" s="120"/>
    </row>
    <row r="40" spans="2:17">
      <c r="B40" s="122">
        <v>20</v>
      </c>
      <c r="C40" s="123">
        <f t="shared" si="2"/>
        <v>9436468096.7544403</v>
      </c>
      <c r="D40" s="138">
        <f>IF($C$17&lt;B40,0,DCF!$C$16)</f>
        <v>6.1165848114484E-2</v>
      </c>
      <c r="E40" s="124">
        <f t="shared" si="0"/>
        <v>0.23541314806060654</v>
      </c>
      <c r="F40" s="125">
        <f t="shared" si="1"/>
        <v>2221468661.230443</v>
      </c>
      <c r="H40" s="120"/>
    </row>
    <row r="41" spans="2:17">
      <c r="B41" s="122">
        <v>21</v>
      </c>
      <c r="C41" s="123">
        <f t="shared" si="2"/>
        <v>10013657671.097696</v>
      </c>
      <c r="D41" s="138">
        <f>IF($C$17&lt;B41,0,DCF!$C$16)</f>
        <v>6.1165848114484E-2</v>
      </c>
      <c r="E41" s="124">
        <f t="shared" si="0"/>
        <v>0.21898897494009908</v>
      </c>
      <c r="F41" s="125">
        <f t="shared" si="1"/>
        <v>2192880628.7947445</v>
      </c>
      <c r="H41" s="120"/>
    </row>
    <row r="42" spans="2:17">
      <c r="B42" s="122">
        <v>22</v>
      </c>
      <c r="C42" s="123">
        <f t="shared" si="2"/>
        <v>10626151535.278494</v>
      </c>
      <c r="D42" s="138">
        <f>IF($C$17&lt;B42,0,DCF!$C$16)</f>
        <v>6.1165848114484E-2</v>
      </c>
      <c r="E42" s="124">
        <f t="shared" si="0"/>
        <v>0.20371067436288287</v>
      </c>
      <c r="F42" s="125">
        <f t="shared" si="1"/>
        <v>2164660495.1337652</v>
      </c>
      <c r="H42" s="120"/>
    </row>
    <row r="43" spans="2:17">
      <c r="B43" s="122">
        <v>23</v>
      </c>
      <c r="C43" s="123">
        <f t="shared" si="2"/>
        <v>11276109106.126827</v>
      </c>
      <c r="D43" s="138">
        <f>IF($C$17&lt;B43,0,DCF!$C$16)</f>
        <v>6.1165848114484E-2</v>
      </c>
      <c r="E43" s="124">
        <f t="shared" si="0"/>
        <v>0.18949830173291429</v>
      </c>
      <c r="F43" s="125">
        <f t="shared" si="1"/>
        <v>2136803525.766084</v>
      </c>
      <c r="H43" s="120"/>
    </row>
    <row r="44" spans="2:17">
      <c r="B44" s="122">
        <v>24</v>
      </c>
      <c r="C44" s="123">
        <f t="shared" si="2"/>
        <v>11965821883.034529</v>
      </c>
      <c r="D44" s="138">
        <f>IF($C$17&lt;B44,0,DCF!$C$16)</f>
        <v>6.1165848114484E-2</v>
      </c>
      <c r="E44" s="124">
        <f t="shared" si="0"/>
        <v>0.17627748998410636</v>
      </c>
      <c r="F44" s="125">
        <f t="shared" si="1"/>
        <v>2109305047.1382198</v>
      </c>
      <c r="H44" s="120"/>
    </row>
    <row r="45" spans="2:17">
      <c r="B45" s="122">
        <v>25</v>
      </c>
      <c r="C45" s="123">
        <f t="shared" si="2"/>
        <v>12697721526.897188</v>
      </c>
      <c r="D45" s="138">
        <f>IF($C$17&lt;B45,0,DCF!$C$16)</f>
        <v>6.1165848114484E-2</v>
      </c>
      <c r="E45" s="124">
        <f t="shared" si="0"/>
        <v>0.16397906045033148</v>
      </c>
      <c r="F45" s="125">
        <f t="shared" si="1"/>
        <v>2082160445.8405492</v>
      </c>
      <c r="H45" s="120"/>
    </row>
    <row r="46" spans="2:17">
      <c r="B46" s="122">
        <v>26</v>
      </c>
      <c r="C46" s="123">
        <f t="shared" si="2"/>
        <v>13474388433.211393</v>
      </c>
      <c r="D46" s="138">
        <f>IF($C$17&lt;B46,0,DCF!$C$16)</f>
        <v>6.1165848114484E-2</v>
      </c>
      <c r="E46" s="124">
        <f t="shared" si="0"/>
        <v>0.15253866088402931</v>
      </c>
      <c r="F46" s="125">
        <f t="shared" si="1"/>
        <v>2055365167.8333199</v>
      </c>
      <c r="H46" s="120"/>
    </row>
    <row r="47" spans="2:17">
      <c r="B47" s="122">
        <v>27</v>
      </c>
      <c r="C47" s="341">
        <f t="shared" si="2"/>
        <v>14298560829.552761</v>
      </c>
      <c r="D47" s="138">
        <f>IF($C$17&lt;B47,0,DCF!$C$16)</f>
        <v>6.1165848114484E-2</v>
      </c>
      <c r="E47" s="124">
        <f t="shared" si="0"/>
        <v>0.14189642872932959</v>
      </c>
      <c r="F47" s="125">
        <f t="shared" si="1"/>
        <v>2028914717.6826172</v>
      </c>
      <c r="G47" s="338"/>
      <c r="H47" s="339"/>
      <c r="I47" s="338"/>
      <c r="J47" s="338"/>
      <c r="K47" s="338"/>
      <c r="L47" s="338"/>
      <c r="M47" s="338"/>
      <c r="N47" s="338"/>
      <c r="O47" s="338"/>
      <c r="P47" s="338"/>
      <c r="Q47" s="338"/>
    </row>
    <row r="48" spans="2:17">
      <c r="B48" s="122">
        <v>28</v>
      </c>
      <c r="C48" s="341">
        <f t="shared" si="2"/>
        <v>15173144429.50889</v>
      </c>
      <c r="D48" s="138">
        <f>IF($C$17&lt;B48,0,DCF!$C$16)</f>
        <v>6.1165848114484E-2</v>
      </c>
      <c r="E48" s="124">
        <f t="shared" si="0"/>
        <v>0.13199667788774846</v>
      </c>
      <c r="F48" s="125">
        <f t="shared" si="1"/>
        <v>2002804657.80617</v>
      </c>
      <c r="G48" s="338"/>
      <c r="H48" s="339"/>
      <c r="I48" s="338"/>
      <c r="J48" s="338"/>
      <c r="K48" s="338"/>
      <c r="L48" s="338"/>
      <c r="M48" s="338"/>
      <c r="N48" s="338"/>
      <c r="O48" s="338"/>
      <c r="P48" s="338"/>
      <c r="Q48" s="338"/>
    </row>
    <row r="49" spans="1:17">
      <c r="B49" s="122">
        <v>29</v>
      </c>
      <c r="C49" s="341">
        <f t="shared" si="2"/>
        <v>16101222677.103359</v>
      </c>
      <c r="D49" s="138">
        <f>IF($C$17&lt;B49,0,DCF!$C$16)</f>
        <v>6.1165848114484E-2</v>
      </c>
      <c r="E49" s="124">
        <f t="shared" si="0"/>
        <v>0.1227876073374404</v>
      </c>
      <c r="F49" s="125">
        <f t="shared" si="1"/>
        <v>1977030607.7288582</v>
      </c>
      <c r="G49" s="338"/>
      <c r="H49" s="339"/>
      <c r="I49" s="338"/>
      <c r="J49" s="338"/>
      <c r="K49" s="338"/>
      <c r="L49" s="338"/>
      <c r="M49" s="338"/>
      <c r="N49" s="338"/>
      <c r="O49" s="338"/>
      <c r="P49" s="338"/>
      <c r="Q49" s="338"/>
    </row>
    <row r="50" spans="1:17">
      <c r="B50" s="122">
        <v>30</v>
      </c>
      <c r="C50" s="341">
        <f t="shared" si="2"/>
        <v>17086067617.828548</v>
      </c>
      <c r="D50" s="138">
        <f>IF($C$17&lt;B50,0,DCF!$C$16)</f>
        <v>6.1165848114484E-2</v>
      </c>
      <c r="E50" s="124">
        <f t="shared" si="0"/>
        <v>0.11422103008133992</v>
      </c>
      <c r="F50" s="125">
        <f t="shared" si="1"/>
        <v>1951588243.3478026</v>
      </c>
      <c r="G50" s="338"/>
      <c r="H50" s="339"/>
      <c r="I50" s="338"/>
      <c r="J50" s="338"/>
      <c r="K50" s="338"/>
      <c r="L50" s="338"/>
      <c r="M50" s="338"/>
      <c r="N50" s="338"/>
      <c r="O50" s="338"/>
      <c r="P50" s="338"/>
      <c r="Q50" s="338"/>
    </row>
    <row r="51" spans="1:17">
      <c r="B51" s="126" t="s">
        <v>130</v>
      </c>
      <c r="C51" s="123">
        <f>C$21*(1+Terminal_Growth)^$C$17/Equity_Cost</f>
        <v>40725477728.237579</v>
      </c>
      <c r="D51" s="139">
        <f>Terminal_Growth</f>
        <v>0</v>
      </c>
      <c r="E51" s="124">
        <f>1/(1+Equity_Cost)^C17</f>
        <v>0.11422103008133992</v>
      </c>
      <c r="F51" s="125">
        <f t="shared" si="1"/>
        <v>4651706016.6739635</v>
      </c>
      <c r="H51" s="120"/>
    </row>
    <row r="52" spans="1:17">
      <c r="C52" s="114"/>
      <c r="E52" s="127" t="s">
        <v>100</v>
      </c>
      <c r="F52" s="137">
        <f>SUM(F21:F51)</f>
        <v>75740417802.832214</v>
      </c>
      <c r="H52" s="120"/>
    </row>
    <row r="53" spans="1:17">
      <c r="C53" s="114"/>
      <c r="H53" s="120"/>
    </row>
    <row r="54" spans="1:17" ht="13.15">
      <c r="B54" s="119" t="s">
        <v>128</v>
      </c>
      <c r="C54" s="136"/>
      <c r="D54" s="136"/>
      <c r="E54" s="117"/>
      <c r="F54" s="117"/>
      <c r="H54" s="120"/>
    </row>
    <row r="55" spans="1:17" ht="13.15">
      <c r="A55" s="133">
        <f>F52</f>
        <v>75740417802.832214</v>
      </c>
      <c r="B55" s="131">
        <f>C78</f>
        <v>0.02</v>
      </c>
      <c r="C55" s="131">
        <f>C77</f>
        <v>0.04</v>
      </c>
      <c r="D55" s="131">
        <f>C76</f>
        <v>0.06</v>
      </c>
      <c r="E55" s="131">
        <f>C75</f>
        <v>0.08</v>
      </c>
      <c r="F55" s="131">
        <f>C74</f>
        <v>0.1</v>
      </c>
      <c r="H55" s="120"/>
    </row>
    <row r="56" spans="1:17" ht="13.15">
      <c r="A56" s="143">
        <v>5</v>
      </c>
      <c r="B56" s="123">
        <f t="dataTable" ref="B56:F61" dt2D="1" dtr="1" r1="C16" r2="C17"/>
        <v>39595038984.165558</v>
      </c>
      <c r="C56" s="123">
        <v>40847479534.404343</v>
      </c>
      <c r="D56" s="123">
        <v>42136931826.604362</v>
      </c>
      <c r="E56" s="123">
        <v>43465002697.66272</v>
      </c>
      <c r="F56" s="123">
        <v>44833348065.462517</v>
      </c>
      <c r="H56" s="120"/>
    </row>
    <row r="57" spans="1:17" ht="13.15">
      <c r="A57" s="143">
        <v>10</v>
      </c>
      <c r="B57" s="123">
        <v>40801838086.47644</v>
      </c>
      <c r="C57" s="123">
        <v>43467010809.888588</v>
      </c>
      <c r="D57" s="123">
        <v>46402552662.929733</v>
      </c>
      <c r="E57" s="123">
        <v>49640693748.952377</v>
      </c>
      <c r="F57" s="123">
        <v>53217233448.431305</v>
      </c>
      <c r="H57" s="120"/>
    </row>
    <row r="58" spans="1:17" ht="13.15">
      <c r="A58" s="143">
        <v>15</v>
      </c>
      <c r="B58" s="123">
        <v>42329787073.89978</v>
      </c>
      <c r="C58" s="341">
        <v>46960109818.862999</v>
      </c>
      <c r="D58" s="123">
        <v>52404509941.672485</v>
      </c>
      <c r="E58" s="123">
        <v>58825350035.436897</v>
      </c>
      <c r="F58" s="123">
        <v>66416933589.041008</v>
      </c>
      <c r="G58" s="338"/>
      <c r="H58" s="339"/>
      <c r="I58" s="338"/>
      <c r="J58" s="338"/>
      <c r="K58" s="338"/>
      <c r="L58" s="338"/>
      <c r="M58" s="338"/>
      <c r="N58" s="338"/>
      <c r="O58" s="338"/>
      <c r="P58" s="338"/>
      <c r="Q58" s="338"/>
    </row>
    <row r="59" spans="1:17" ht="13.15">
      <c r="A59" s="144">
        <v>20</v>
      </c>
      <c r="B59" s="123">
        <v>43922698821.073402</v>
      </c>
      <c r="C59" s="341">
        <v>50807212669.000748</v>
      </c>
      <c r="D59" s="123">
        <v>59410302022.990387</v>
      </c>
      <c r="E59" s="123">
        <v>70220544698.265854</v>
      </c>
      <c r="F59" s="123">
        <v>83867666427.673111</v>
      </c>
      <c r="G59" s="338"/>
      <c r="H59" s="339"/>
      <c r="I59" s="338"/>
      <c r="J59" s="338"/>
      <c r="K59" s="338"/>
      <c r="L59" s="338"/>
      <c r="M59" s="338"/>
      <c r="N59" s="338"/>
      <c r="O59" s="338"/>
      <c r="P59" s="338"/>
      <c r="Q59" s="338"/>
    </row>
    <row r="60" spans="1:17" ht="13.15">
      <c r="A60" s="144">
        <v>25</v>
      </c>
      <c r="B60" s="123">
        <v>45438783162.971092</v>
      </c>
      <c r="C60" s="341">
        <v>54685229573.803978</v>
      </c>
      <c r="D60" s="123">
        <v>66923649715.299599</v>
      </c>
      <c r="E60" s="123">
        <v>83272817054.952133</v>
      </c>
      <c r="F60" s="123">
        <v>105285239279.71556</v>
      </c>
      <c r="G60" s="338"/>
      <c r="H60" s="339"/>
      <c r="I60" s="338"/>
      <c r="J60" s="338"/>
      <c r="K60" s="338"/>
      <c r="L60" s="338"/>
      <c r="M60" s="338"/>
      <c r="N60" s="338"/>
      <c r="O60" s="338"/>
      <c r="P60" s="338"/>
      <c r="Q60" s="338"/>
    </row>
    <row r="61" spans="1:17" ht="13.15">
      <c r="A61" s="144">
        <v>30</v>
      </c>
      <c r="B61" s="123">
        <v>46807467942.32428</v>
      </c>
      <c r="C61" s="341">
        <v>58402005738.404976</v>
      </c>
      <c r="D61" s="123">
        <v>74611870063.023148</v>
      </c>
      <c r="E61" s="123">
        <v>97599402880.866348</v>
      </c>
      <c r="F61" s="123">
        <v>130594209927.2112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42.975574208648268</v>
      </c>
      <c r="C65" s="124">
        <f>C12</f>
        <v>42.975574208648268</v>
      </c>
      <c r="D65" s="124">
        <f>C12</f>
        <v>42.975574208648268</v>
      </c>
      <c r="E65" s="141">
        <f>C12</f>
        <v>42.975574208648268</v>
      </c>
      <c r="F65" s="124">
        <f>C12</f>
        <v>42.975574208648268</v>
      </c>
      <c r="H65" s="120"/>
    </row>
    <row r="66" spans="1:8" ht="13.15">
      <c r="A66" s="143">
        <f t="shared" ref="A66:A71" si="3">A56</f>
        <v>5</v>
      </c>
      <c r="B66" s="124">
        <f t="shared" ref="B66:F71" si="4">(B56-$C$7+$C$8+$C$9)/Common_Shares*$C$3*Exchange_Rate</f>
        <v>43.950156089394206</v>
      </c>
      <c r="C66" s="124">
        <f t="shared" si="4"/>
        <v>44.953129442350566</v>
      </c>
      <c r="D66" s="124">
        <f t="shared" si="4"/>
        <v>45.98574235857923</v>
      </c>
      <c r="E66" s="124">
        <f t="shared" si="4"/>
        <v>47.049281617392857</v>
      </c>
      <c r="F66" s="124">
        <f t="shared" si="4"/>
        <v>48.145073302900641</v>
      </c>
      <c r="H66" s="120"/>
    </row>
    <row r="67" spans="1:8" ht="13.15">
      <c r="A67" s="143">
        <f t="shared" si="3"/>
        <v>10</v>
      </c>
      <c r="B67" s="124">
        <f t="shared" si="4"/>
        <v>44.916579079897588</v>
      </c>
      <c r="C67" s="124">
        <f t="shared" si="4"/>
        <v>47.050889744063539</v>
      </c>
      <c r="D67" s="124">
        <f t="shared" si="4"/>
        <v>49.401716100274271</v>
      </c>
      <c r="E67" s="124">
        <f t="shared" si="4"/>
        <v>51.994868503216416</v>
      </c>
      <c r="F67" s="124">
        <f t="shared" si="4"/>
        <v>54.859015638730355</v>
      </c>
      <c r="H67" s="120"/>
    </row>
    <row r="68" spans="1:8" ht="13.15">
      <c r="A68" s="143">
        <f t="shared" si="3"/>
        <v>15</v>
      </c>
      <c r="B68" s="124">
        <f t="shared" si="4"/>
        <v>46.140183760191661</v>
      </c>
      <c r="C68" s="124">
        <f t="shared" si="4"/>
        <v>49.848216311437653</v>
      </c>
      <c r="D68" s="124">
        <f t="shared" si="4"/>
        <v>54.208174350938336</v>
      </c>
      <c r="E68" s="124">
        <f t="shared" si="4"/>
        <v>59.350080301214149</v>
      </c>
      <c r="F68" s="124">
        <f t="shared" si="4"/>
        <v>65.429535337666763</v>
      </c>
      <c r="H68" s="120"/>
    </row>
    <row r="69" spans="1:8" ht="13.15">
      <c r="A69" s="144">
        <f t="shared" si="3"/>
        <v>20</v>
      </c>
      <c r="B69" s="124">
        <f t="shared" si="4"/>
        <v>47.41581160194567</v>
      </c>
      <c r="C69" s="124">
        <f t="shared" si="4"/>
        <v>52.92903451397428</v>
      </c>
      <c r="D69" s="124">
        <f t="shared" si="4"/>
        <v>59.81851870826123</v>
      </c>
      <c r="E69" s="124">
        <f t="shared" si="4"/>
        <v>68.475524695671808</v>
      </c>
      <c r="F69" s="124">
        <f t="shared" si="4"/>
        <v>79.404346376299742</v>
      </c>
      <c r="H69" s="120"/>
    </row>
    <row r="70" spans="1:8" ht="13.15">
      <c r="A70" s="144">
        <f t="shared" si="3"/>
        <v>25</v>
      </c>
      <c r="B70" s="124">
        <f t="shared" si="4"/>
        <v>48.629914894487456</v>
      </c>
      <c r="C70" s="124">
        <f t="shared" si="4"/>
        <v>56.03460915948569</v>
      </c>
      <c r="D70" s="124">
        <f t="shared" si="4"/>
        <v>65.835321282599438</v>
      </c>
      <c r="E70" s="124">
        <f t="shared" si="4"/>
        <v>78.927981993376974</v>
      </c>
      <c r="F70" s="124">
        <f t="shared" si="4"/>
        <v>96.555862950483316</v>
      </c>
    </row>
    <row r="71" spans="1:8" ht="13.15">
      <c r="A71" s="144">
        <f t="shared" si="3"/>
        <v>30</v>
      </c>
      <c r="B71" s="124">
        <f t="shared" si="4"/>
        <v>49.725978385905464</v>
      </c>
      <c r="C71" s="124">
        <f t="shared" si="4"/>
        <v>59.011059779267534</v>
      </c>
      <c r="D71" s="124">
        <f t="shared" si="4"/>
        <v>71.99216452673862</v>
      </c>
      <c r="E71" s="124">
        <f t="shared" si="4"/>
        <v>90.400928808692626</v>
      </c>
      <c r="F71" s="124">
        <f t="shared" si="4"/>
        <v>116.82366978998013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116.82366978998013</v>
      </c>
      <c r="F74" s="142">
        <f>Scenarios!C58</f>
        <v>0.05</v>
      </c>
    </row>
    <row r="75" spans="1:8">
      <c r="B75" s="127" t="str">
        <f>Scenarios!B36</f>
        <v>Optimistic</v>
      </c>
      <c r="C75" s="142">
        <f>Scenarios!C38</f>
        <v>0.08</v>
      </c>
      <c r="D75" s="145">
        <f>Scenarios!C37</f>
        <v>30</v>
      </c>
      <c r="E75" s="135">
        <f>INDEX(B$65:F$71, MATCH(D75, A$65:A$71, 0), MATCH(C75, B$64:F$64, 0))</f>
        <v>90.400928808692626</v>
      </c>
      <c r="F75" s="142">
        <f>Scenarios!C40*(1-F$74-F$78)</f>
        <v>0.18</v>
      </c>
      <c r="H75" s="120"/>
    </row>
    <row r="76" spans="1:8">
      <c r="B76" s="127" t="str">
        <f>Scenarios!B24</f>
        <v>Base</v>
      </c>
      <c r="C76" s="142">
        <f>Scenarios!C26</f>
        <v>0.06</v>
      </c>
      <c r="D76" s="145">
        <f>Scenarios!C25</f>
        <v>30</v>
      </c>
      <c r="E76" s="135">
        <f>INDEX(B$65:F$71, MATCH(D76, A$65:A$71, 0), MATCH(C76, B$64:F$64, 0))</f>
        <v>71.99216452673862</v>
      </c>
      <c r="F76" s="142">
        <f>Scenarios!C28*(1-F$74-F$78)</f>
        <v>0.44999999999999996</v>
      </c>
      <c r="H76" s="120"/>
    </row>
    <row r="77" spans="1:8">
      <c r="B77" s="127" t="str">
        <f>Scenarios!B30</f>
        <v>Pessimistic</v>
      </c>
      <c r="C77" s="142">
        <f>Scenarios!C32</f>
        <v>0.04</v>
      </c>
      <c r="D77" s="145">
        <f>Scenarios!C31</f>
        <v>30</v>
      </c>
      <c r="E77" s="135">
        <f>INDEX(B$65:F$71, MATCH(D77, A$65:A$71, 0), MATCH(C77, B$64:F$64, 0))</f>
        <v>59.011059779267534</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49.725978385905464</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2472480731.5800071</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32966409754.400097</v>
      </c>
      <c r="D6" t="str">
        <f>Reporting_currency</f>
        <v>CNY</v>
      </c>
      <c r="E6" s="366"/>
      <c r="F6" s="366"/>
      <c r="H6" s="120"/>
    </row>
    <row r="7" spans="2:8" ht="13.15">
      <c r="B7" s="149" t="s">
        <v>441</v>
      </c>
      <c r="C7" s="111">
        <f>(C6*scaling_factor)/Common_Shares*Exchange_Rate</f>
        <v>26.400000000000006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47.691326608776393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2623712112.4738178</v>
      </c>
      <c r="D16" s="138">
        <f>IF($C$12&lt;B16,0,DDM!$C$11)</f>
        <v>6.1165848114484E-2</v>
      </c>
      <c r="E16" s="124">
        <f t="shared" ref="E16:E45" si="0">IF($C$12&lt;B16,0,1/(1+Equity_Cost)^B16)</f>
        <v>0.93023255813953487</v>
      </c>
      <c r="F16" s="125">
        <f t="shared" ref="F16:F46" si="1">C16*E16</f>
        <v>2440662430.2082024</v>
      </c>
      <c r="H16" s="120"/>
    </row>
    <row r="17" spans="2:8">
      <c r="B17" s="122">
        <v>2</v>
      </c>
      <c r="C17" s="123">
        <f t="shared" ref="C17:C45" si="2">IF(ROW()-ROW($C$16)&lt;$C$12, $C$16*(1+D17)^(ROW()-ROW($C$16)), 0)</f>
        <v>2784193689.041523</v>
      </c>
      <c r="D17" s="138">
        <f>IF($C$12&lt;B17,0,DDM!$C$11)</f>
        <v>6.1165848114484E-2</v>
      </c>
      <c r="E17" s="124">
        <f t="shared" si="0"/>
        <v>0.86533261222282321</v>
      </c>
      <c r="F17" s="125">
        <f t="shared" si="1"/>
        <v>2409253597.8725996</v>
      </c>
      <c r="H17" s="120"/>
    </row>
    <row r="18" spans="2:8">
      <c r="B18" s="122">
        <v>3</v>
      </c>
      <c r="C18" s="123">
        <f t="shared" si="2"/>
        <v>2954491257.3467412</v>
      </c>
      <c r="D18" s="138">
        <f>IF($C$12&lt;B18,0,DDM!$C$11)</f>
        <v>6.1165848114484E-2</v>
      </c>
      <c r="E18" s="124">
        <f t="shared" si="0"/>
        <v>0.80496056950960304</v>
      </c>
      <c r="F18" s="125">
        <f t="shared" si="1"/>
        <v>2378248965.1249762</v>
      </c>
      <c r="H18" s="120"/>
    </row>
    <row r="19" spans="2:8">
      <c r="B19" s="122">
        <v>4</v>
      </c>
      <c r="C19" s="123">
        <f t="shared" si="2"/>
        <v>3135205220.8491826</v>
      </c>
      <c r="D19" s="138">
        <f>IF($C$12&lt;B19,0,DDM!$C$11)</f>
        <v>6.1165848114484E-2</v>
      </c>
      <c r="E19" s="124">
        <f t="shared" si="0"/>
        <v>0.7488005297763749</v>
      </c>
      <c r="F19" s="125">
        <f t="shared" si="1"/>
        <v>2347643330.3295245</v>
      </c>
      <c r="H19" s="120"/>
    </row>
    <row r="20" spans="2:8">
      <c r="B20" s="122">
        <v>5</v>
      </c>
      <c r="C20" s="123">
        <f t="shared" si="2"/>
        <v>3326972707.1953807</v>
      </c>
      <c r="D20" s="138">
        <f>IF($C$12&lt;B20,0,DDM!$C$11)</f>
        <v>6.1165848114484E-2</v>
      </c>
      <c r="E20" s="124">
        <f t="shared" si="0"/>
        <v>0.69655863235011617</v>
      </c>
      <c r="F20" s="125">
        <f t="shared" si="1"/>
        <v>2317431558.7901778</v>
      </c>
      <c r="H20" s="120"/>
    </row>
    <row r="21" spans="2:8">
      <c r="B21" s="122">
        <v>6</v>
      </c>
      <c r="C21" s="123">
        <f t="shared" si="2"/>
        <v>3530469814.4847264</v>
      </c>
      <c r="D21" s="138">
        <f>IF($C$12&lt;B21,0,DDM!$C$11)</f>
        <v>6.1165848114484E-2</v>
      </c>
      <c r="E21" s="124">
        <f t="shared" si="0"/>
        <v>0.64796151846522443</v>
      </c>
      <c r="F21" s="125">
        <f t="shared" si="1"/>
        <v>2287608581.8891625</v>
      </c>
      <c r="H21" s="120"/>
    </row>
    <row r="22" spans="2:8">
      <c r="B22" s="122">
        <v>7</v>
      </c>
      <c r="C22" s="123">
        <f t="shared" si="2"/>
        <v>3746413994.9302692</v>
      </c>
      <c r="D22" s="138">
        <f>IF($C$12&lt;B22,0,DDM!$C$11)</f>
        <v>6.1165848114484E-2</v>
      </c>
      <c r="E22" s="124">
        <f t="shared" si="0"/>
        <v>0.60275490089788319</v>
      </c>
      <c r="F22" s="125">
        <f t="shared" si="1"/>
        <v>2258169396.2366371</v>
      </c>
      <c r="H22" s="120"/>
    </row>
    <row r="23" spans="2:8">
      <c r="B23" s="122">
        <v>8</v>
      </c>
      <c r="C23" s="123">
        <f t="shared" si="2"/>
        <v>3975566584.3181505</v>
      </c>
      <c r="D23" s="138">
        <f>IF($C$12&lt;B23,0,DDM!$C$11)</f>
        <v>6.1165848114484E-2</v>
      </c>
      <c r="E23" s="124">
        <f t="shared" si="0"/>
        <v>0.56070223339337966</v>
      </c>
      <c r="F23" s="125">
        <f t="shared" si="1"/>
        <v>2229109062.8312769</v>
      </c>
      <c r="H23" s="120"/>
    </row>
    <row r="24" spans="2:8">
      <c r="B24" s="122">
        <v>9</v>
      </c>
      <c r="C24" s="123">
        <f t="shared" si="2"/>
        <v>4218735486.1835723</v>
      </c>
      <c r="D24" s="138">
        <f>IF($C$12&lt;B24,0,DDM!$C$11)</f>
        <v>6.1165848114484E-2</v>
      </c>
      <c r="E24" s="124">
        <f t="shared" si="0"/>
        <v>0.52158347292407414</v>
      </c>
      <c r="F24" s="125">
        <f t="shared" si="1"/>
        <v>2200422706.2316599</v>
      </c>
      <c r="H24" s="120"/>
    </row>
    <row r="25" spans="2:8">
      <c r="B25" s="122">
        <v>10</v>
      </c>
      <c r="C25" s="123">
        <f t="shared" si="2"/>
        <v>4476778020.1666603</v>
      </c>
      <c r="D25" s="138">
        <f>IF($C$12&lt;B25,0,DDM!$C$11)</f>
        <v>6.1165848114484E-2</v>
      </c>
      <c r="E25" s="124">
        <f t="shared" si="0"/>
        <v>0.48519392830146441</v>
      </c>
      <c r="F25" s="125">
        <f t="shared" si="1"/>
        <v>2172105513.7383142</v>
      </c>
      <c r="H25" s="120"/>
    </row>
    <row r="26" spans="2:8">
      <c r="B26" s="122">
        <v>11</v>
      </c>
      <c r="C26" s="123">
        <f t="shared" si="2"/>
        <v>4750603944.5904331</v>
      </c>
      <c r="D26" s="138">
        <f>IF($C$12&lt;B26,0,DDM!$C$11)</f>
        <v>6.1165848114484E-2</v>
      </c>
      <c r="E26" s="124">
        <f t="shared" si="0"/>
        <v>0.45134318911764126</v>
      </c>
      <c r="F26" s="125">
        <f t="shared" si="1"/>
        <v>2144152734.5862925</v>
      </c>
      <c r="H26" s="120"/>
    </row>
    <row r="27" spans="2:8">
      <c r="B27" s="122">
        <v>12</v>
      </c>
      <c r="C27" s="123">
        <f t="shared" si="2"/>
        <v>5041178663.9173203</v>
      </c>
      <c r="D27" s="138">
        <f>IF($C$12&lt;B27,0,DDM!$C$11)</f>
        <v>6.1165848114484E-2</v>
      </c>
      <c r="E27" s="124">
        <f t="shared" si="0"/>
        <v>0.41985412941175931</v>
      </c>
      <c r="F27" s="125">
        <f t="shared" si="1"/>
        <v>2116559679.1481426</v>
      </c>
      <c r="H27" s="120"/>
    </row>
    <row r="28" spans="2:8">
      <c r="B28" s="122">
        <v>13</v>
      </c>
      <c r="C28" s="123">
        <f t="shared" si="2"/>
        <v>5349526632.3924637</v>
      </c>
      <c r="D28" s="138">
        <f>IF($C$12&lt;B28,0,DDM!$C$11)</f>
        <v>6.1165848114484E-2</v>
      </c>
      <c r="E28" s="124">
        <f t="shared" si="0"/>
        <v>0.39056198084814819</v>
      </c>
      <c r="F28" s="125">
        <f t="shared" si="1"/>
        <v>2089321718.1471241</v>
      </c>
      <c r="H28" s="120"/>
    </row>
    <row r="29" spans="2:8">
      <c r="B29" s="122">
        <v>14</v>
      </c>
      <c r="C29" s="123">
        <f t="shared" si="2"/>
        <v>5676734965.8737679</v>
      </c>
      <c r="D29" s="138">
        <f>IF($C$12&lt;B29,0,DDM!$C$11)</f>
        <v>6.1165848114484E-2</v>
      </c>
      <c r="E29" s="124">
        <f t="shared" si="0"/>
        <v>0.36331347055641694</v>
      </c>
      <c r="F29" s="125">
        <f t="shared" si="1"/>
        <v>2062434281.8805616</v>
      </c>
      <c r="H29" s="120"/>
    </row>
    <row r="30" spans="2:8">
      <c r="B30" s="122">
        <v>15</v>
      </c>
      <c r="C30" s="123">
        <f t="shared" si="2"/>
        <v>6023957274.5825815</v>
      </c>
      <c r="D30" s="138">
        <f>IF($C$12&lt;B30,0,DDM!$C$11)</f>
        <v>6.1165848114484E-2</v>
      </c>
      <c r="E30" s="124">
        <f t="shared" si="0"/>
        <v>0.33796601912224833</v>
      </c>
      <c r="F30" s="125">
        <f t="shared" si="1"/>
        <v>2035892859.4531837</v>
      </c>
      <c r="H30" s="120"/>
    </row>
    <row r="31" spans="2:8">
      <c r="B31" s="122">
        <v>16</v>
      </c>
      <c r="C31" s="123">
        <f t="shared" si="2"/>
        <v>6392417730.2878399</v>
      </c>
      <c r="D31" s="138">
        <f>IF($C$12&lt;B31,0,DDM!$C$11)</f>
        <v>6.1165848114484E-2</v>
      </c>
      <c r="E31" s="124">
        <f t="shared" si="0"/>
        <v>0.31438699453232405</v>
      </c>
      <c r="F31" s="125">
        <f t="shared" si="1"/>
        <v>2009692998.0203345</v>
      </c>
      <c r="H31" s="120"/>
    </row>
    <row r="32" spans="2:8">
      <c r="B32" s="122">
        <v>17</v>
      </c>
      <c r="C32" s="123">
        <f t="shared" si="2"/>
        <v>6783415382.2629604</v>
      </c>
      <c r="D32" s="138">
        <f>IF($C$12&lt;B32,0,DDM!$C$11)</f>
        <v>6.1165848114484E-2</v>
      </c>
      <c r="E32" s="124">
        <f t="shared" si="0"/>
        <v>0.29245301816960378</v>
      </c>
      <c r="F32" s="125">
        <f t="shared" si="1"/>
        <v>1983830302.0409193</v>
      </c>
      <c r="H32" s="120"/>
    </row>
    <row r="33" spans="2:8">
      <c r="B33" s="122">
        <v>18</v>
      </c>
      <c r="C33" s="123">
        <f t="shared" si="2"/>
        <v>7198328737.2319107</v>
      </c>
      <c r="D33" s="138">
        <f>IF($C$12&lt;B33,0,DDM!$C$11)</f>
        <v>6.1165848114484E-2</v>
      </c>
      <c r="E33" s="124">
        <f t="shared" si="0"/>
        <v>0.27204931922753844</v>
      </c>
      <c r="F33" s="125">
        <f t="shared" si="1"/>
        <v>1958300432.5399678</v>
      </c>
      <c r="H33" s="120"/>
    </row>
    <row r="34" spans="2:8">
      <c r="B34" s="122">
        <v>19</v>
      </c>
      <c r="C34" s="123">
        <f t="shared" si="2"/>
        <v>7638620619.4515619</v>
      </c>
      <c r="D34" s="138">
        <f>IF($C$12&lt;B34,0,DDM!$C$11)</f>
        <v>6.1165848114484E-2</v>
      </c>
      <c r="E34" s="124">
        <f t="shared" si="0"/>
        <v>0.25306913416515198</v>
      </c>
      <c r="F34" s="125">
        <f t="shared" si="1"/>
        <v>1933099106.3806837</v>
      </c>
      <c r="H34" s="120"/>
    </row>
    <row r="35" spans="2:8">
      <c r="B35" s="122">
        <v>20</v>
      </c>
      <c r="C35" s="123">
        <f t="shared" si="2"/>
        <v>8105843328.0651007</v>
      </c>
      <c r="D35" s="138">
        <f>IF($C$12&lt;B35,0,DDM!$C$11)</f>
        <v>6.1165848114484E-2</v>
      </c>
      <c r="E35" s="124">
        <f t="shared" si="0"/>
        <v>0.23541314806060654</v>
      </c>
      <c r="F35" s="125">
        <f t="shared" si="1"/>
        <v>1908222095.5458691</v>
      </c>
      <c r="H35" s="120"/>
    </row>
    <row r="36" spans="2:8">
      <c r="B36" s="122">
        <v>21</v>
      </c>
      <c r="C36" s="123">
        <f t="shared" si="2"/>
        <v>8601644109.9093342</v>
      </c>
      <c r="D36" s="138">
        <f>IF($C$12&lt;B36,0,DDM!$C$11)</f>
        <v>6.1165848114484E-2</v>
      </c>
      <c r="E36" s="124">
        <f t="shared" si="0"/>
        <v>0.21898897494009908</v>
      </c>
      <c r="F36" s="125">
        <f t="shared" si="1"/>
        <v>1883665226.428586</v>
      </c>
      <c r="H36" s="120"/>
    </row>
    <row r="37" spans="2:8">
      <c r="B37" s="122">
        <v>22</v>
      </c>
      <c r="C37" s="123">
        <f t="shared" si="2"/>
        <v>9127770967.0708923</v>
      </c>
      <c r="D37" s="138">
        <f>IF($C$12&lt;B37,0,DDM!$C$11)</f>
        <v>6.1165848114484E-2</v>
      </c>
      <c r="E37" s="124">
        <f t="shared" si="0"/>
        <v>0.20371067436288287</v>
      </c>
      <c r="F37" s="125">
        <f t="shared" si="1"/>
        <v>1859424379.1319549</v>
      </c>
      <c r="H37" s="120"/>
    </row>
    <row r="38" spans="2:8">
      <c r="B38" s="122">
        <v>23</v>
      </c>
      <c r="C38" s="123">
        <f t="shared" si="2"/>
        <v>9686078819.6665459</v>
      </c>
      <c r="D38" s="138">
        <f>IF($C$12&lt;B38,0,DDM!$C$11)</f>
        <v>6.1165848114484E-2</v>
      </c>
      <c r="E38" s="124">
        <f t="shared" si="0"/>
        <v>0.18949830173291429</v>
      </c>
      <c r="F38" s="125">
        <f t="shared" si="1"/>
        <v>1835495486.7779615</v>
      </c>
      <c r="H38" s="120"/>
    </row>
    <row r="39" spans="2:8">
      <c r="B39" s="122">
        <v>24</v>
      </c>
      <c r="C39" s="123">
        <f t="shared" si="2"/>
        <v>10278536045.575188</v>
      </c>
      <c r="D39" s="138">
        <f>IF($C$12&lt;B39,0,DDM!$C$11)</f>
        <v>6.1165848114484E-2</v>
      </c>
      <c r="E39" s="124">
        <f t="shared" si="0"/>
        <v>0.17627748998410636</v>
      </c>
      <c r="F39" s="125">
        <f t="shared" si="1"/>
        <v>1811874534.8251565</v>
      </c>
      <c r="H39" s="120"/>
    </row>
    <row r="40" spans="2:8">
      <c r="B40" s="122">
        <v>25</v>
      </c>
      <c r="C40" s="123">
        <f t="shared" si="2"/>
        <v>10907231420.178089</v>
      </c>
      <c r="D40" s="138">
        <f>IF($C$12&lt;B40,0,DDM!$C$11)</f>
        <v>6.1165848114484E-2</v>
      </c>
      <c r="E40" s="124">
        <f t="shared" si="0"/>
        <v>0.16397906045033148</v>
      </c>
      <c r="F40" s="125">
        <f t="shared" si="1"/>
        <v>1788557560.3951378</v>
      </c>
      <c r="H40" s="120"/>
    </row>
    <row r="41" spans="2:8">
      <c r="B41" s="122">
        <v>26</v>
      </c>
      <c r="C41" s="123">
        <f t="shared" si="2"/>
        <v>11574381480.574228</v>
      </c>
      <c r="D41" s="138">
        <f>IF($C$12&lt;B41,0,DDM!$C$11)</f>
        <v>6.1165848114484E-2</v>
      </c>
      <c r="E41" s="124">
        <f t="shared" si="0"/>
        <v>0.15253866088402931</v>
      </c>
      <c r="F41" s="125">
        <f t="shared" si="1"/>
        <v>1765540651.6077013</v>
      </c>
      <c r="H41" s="120"/>
    </row>
    <row r="42" spans="2:8">
      <c r="B42" s="122">
        <v>27</v>
      </c>
      <c r="C42" s="123">
        <f t="shared" si="2"/>
        <v>12282338340.234127</v>
      </c>
      <c r="D42" s="138">
        <f>IF($C$12&lt;B42,0,DDM!$C$11)</f>
        <v>6.1165848114484E-2</v>
      </c>
      <c r="E42" s="124">
        <f t="shared" si="0"/>
        <v>0.14189642872932959</v>
      </c>
      <c r="F42" s="125">
        <f t="shared" si="1"/>
        <v>1742819946.9245441</v>
      </c>
      <c r="H42" s="120"/>
    </row>
    <row r="43" spans="2:8">
      <c r="B43" s="122">
        <v>28</v>
      </c>
      <c r="C43" s="123">
        <f t="shared" si="2"/>
        <v>13033597981.643587</v>
      </c>
      <c r="D43" s="138">
        <f>IF($C$12&lt;B43,0,DDM!$C$11)</f>
        <v>6.1165848114484E-2</v>
      </c>
      <c r="E43" s="124">
        <f t="shared" si="0"/>
        <v>0.13199667788774846</v>
      </c>
      <c r="F43" s="125">
        <f t="shared" si="1"/>
        <v>1720391634.5014172</v>
      </c>
      <c r="H43" s="120"/>
    </row>
    <row r="44" spans="2:8">
      <c r="B44" s="122">
        <v>29</v>
      </c>
      <c r="C44" s="123">
        <f t="shared" si="2"/>
        <v>13830809056.174044</v>
      </c>
      <c r="D44" s="138">
        <f>IF($C$12&lt;B44,0,DDM!$C$11)</f>
        <v>6.1165848114484E-2</v>
      </c>
      <c r="E44" s="124">
        <f t="shared" si="0"/>
        <v>0.1227876073374404</v>
      </c>
      <c r="F44" s="125">
        <f t="shared" si="1"/>
        <v>1698251951.5486131</v>
      </c>
      <c r="H44" s="120"/>
    </row>
    <row r="45" spans="2:8">
      <c r="B45" s="122">
        <v>30</v>
      </c>
      <c r="C45" s="123">
        <f t="shared" si="2"/>
        <v>14676782222.204414</v>
      </c>
      <c r="D45" s="138">
        <f>IF($C$12&lt;B45,0,DDM!$C$11)</f>
        <v>6.1165848114484E-2</v>
      </c>
      <c r="E45" s="124">
        <f t="shared" si="0"/>
        <v>0.11422103008133992</v>
      </c>
      <c r="F45" s="125">
        <f t="shared" si="1"/>
        <v>1676397183.6996853</v>
      </c>
      <c r="H45" s="120"/>
    </row>
    <row r="46" spans="2:8">
      <c r="B46" s="126" t="s">
        <v>130</v>
      </c>
      <c r="C46" s="123">
        <f>C$16*(1+F4)^$C$12/Equity_Cost</f>
        <v>34982828166.317574</v>
      </c>
      <c r="D46" s="139">
        <f>Terminal_Growth</f>
        <v>0</v>
      </c>
      <c r="E46" s="124">
        <f>1/(1+Equity_Cost)^C12</f>
        <v>0.11422103008133992</v>
      </c>
      <c r="F46" s="125">
        <f t="shared" si="1"/>
        <v>3995774668.3153052</v>
      </c>
      <c r="H46" s="120"/>
    </row>
    <row r="47" spans="2:8">
      <c r="C47" s="114"/>
      <c r="E47" s="127" t="s">
        <v>100</v>
      </c>
      <c r="F47" s="137">
        <f>SUM(F16:F46)</f>
        <v>65060354575.151688</v>
      </c>
      <c r="H47" s="120"/>
    </row>
    <row r="48" spans="2:8">
      <c r="C48" s="114"/>
      <c r="H48" s="120"/>
    </row>
    <row r="49" spans="1:8" ht="13.15">
      <c r="B49" s="119" t="s">
        <v>128</v>
      </c>
      <c r="C49" s="136"/>
      <c r="D49" s="136"/>
      <c r="E49" s="117"/>
      <c r="F49" s="117"/>
      <c r="H49" s="120"/>
    </row>
    <row r="50" spans="1:8" ht="13.15">
      <c r="A50" s="133">
        <f>F47</f>
        <v>65060354575.151688</v>
      </c>
      <c r="B50" s="131">
        <f>C73</f>
        <v>0.02</v>
      </c>
      <c r="C50" s="131">
        <f>C72</f>
        <v>0.04</v>
      </c>
      <c r="D50" s="131">
        <f>C71</f>
        <v>0.06</v>
      </c>
      <c r="E50" s="131">
        <f>C70</f>
        <v>0.08</v>
      </c>
      <c r="F50" s="131">
        <f>C69</f>
        <v>0.1</v>
      </c>
      <c r="H50" s="120"/>
    </row>
    <row r="51" spans="1:8" ht="13.15">
      <c r="A51" s="143">
        <v>5</v>
      </c>
      <c r="B51" s="123">
        <f t="dataTable" ref="B51:F56" dt2D="1" dtr="1" r1="C11" r2="C12"/>
        <v>34011791200.212208</v>
      </c>
      <c r="C51" s="123">
        <v>35087626647.739754</v>
      </c>
      <c r="D51" s="123">
        <v>36195254856.982864</v>
      </c>
      <c r="E51" s="123">
        <v>37336056086.742592</v>
      </c>
      <c r="F51" s="123">
        <v>38511452755.956528</v>
      </c>
      <c r="H51" s="120"/>
    </row>
    <row r="52" spans="1:8" ht="13.15">
      <c r="A52" s="143">
        <v>10</v>
      </c>
      <c r="B52" s="123">
        <v>35048421044.289795</v>
      </c>
      <c r="C52" s="123">
        <v>37337781037.531502</v>
      </c>
      <c r="D52" s="123">
        <v>39859385741.723045</v>
      </c>
      <c r="E52" s="123">
        <v>42640920532.954712</v>
      </c>
      <c r="F52" s="123">
        <v>45713136765.058792</v>
      </c>
      <c r="H52" s="120"/>
    </row>
    <row r="53" spans="1:8" ht="13.15">
      <c r="A53" s="143">
        <v>15</v>
      </c>
      <c r="B53" s="123">
        <v>36360915822.880638</v>
      </c>
      <c r="C53" s="123">
        <v>40338322448.348587</v>
      </c>
      <c r="D53" s="123">
        <v>45015014401.132347</v>
      </c>
      <c r="E53" s="123">
        <v>50530459724.633606</v>
      </c>
      <c r="F53" s="123">
        <v>57051563411.572922</v>
      </c>
      <c r="H53" s="120"/>
    </row>
    <row r="54" spans="1:8" ht="13.15">
      <c r="A54" s="144">
        <v>20</v>
      </c>
      <c r="B54" s="123">
        <v>37729213042.310089</v>
      </c>
      <c r="C54" s="123">
        <v>43642950053.76535</v>
      </c>
      <c r="D54" s="123">
        <v>51032928351.341476</v>
      </c>
      <c r="E54" s="123">
        <v>60318831993.010574</v>
      </c>
      <c r="F54" s="123">
        <v>72041589859.977234</v>
      </c>
      <c r="H54" s="120"/>
    </row>
    <row r="55" spans="1:8" ht="13.15">
      <c r="A55" s="144">
        <v>25</v>
      </c>
      <c r="B55" s="123">
        <v>39031516194.458931</v>
      </c>
      <c r="C55" s="123">
        <v>46974132560.993286</v>
      </c>
      <c r="D55" s="123">
        <v>57486828119.633438</v>
      </c>
      <c r="E55" s="123">
        <v>71530619466.22023</v>
      </c>
      <c r="F55" s="123">
        <v>90439097086.837509</v>
      </c>
      <c r="H55" s="120"/>
    </row>
    <row r="56" spans="1:8" ht="13.15">
      <c r="A56" s="144">
        <v>30</v>
      </c>
      <c r="B56" s="123">
        <v>40207204415.220261</v>
      </c>
      <c r="C56" s="123">
        <v>50166810686.626373</v>
      </c>
      <c r="D56" s="123">
        <v>64090941965.122231</v>
      </c>
      <c r="E56" s="123">
        <v>83837031032.522247</v>
      </c>
      <c r="F56" s="123">
        <v>112179280888.63057</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27.23715728752526</v>
      </c>
      <c r="C61" s="124">
        <f t="shared" si="4"/>
        <v>28.098702600658317</v>
      </c>
      <c r="D61" s="124">
        <f t="shared" si="4"/>
        <v>28.985708038674364</v>
      </c>
      <c r="E61" s="124">
        <f t="shared" si="4"/>
        <v>29.899278933716612</v>
      </c>
      <c r="F61" s="124">
        <f t="shared" si="4"/>
        <v>30.840554380403862</v>
      </c>
      <c r="H61" s="120"/>
    </row>
    <row r="62" spans="1:8" ht="13.15">
      <c r="A62" s="143">
        <f t="shared" si="3"/>
        <v>10</v>
      </c>
      <c r="B62" s="124">
        <f t="shared" si="4"/>
        <v>28.067306159893615</v>
      </c>
      <c r="C62" s="124">
        <f t="shared" si="4"/>
        <v>29.90066030042189</v>
      </c>
      <c r="D62" s="124">
        <f t="shared" si="4"/>
        <v>31.919999521362424</v>
      </c>
      <c r="E62" s="124">
        <f t="shared" si="4"/>
        <v>34.147494691009001</v>
      </c>
      <c r="F62" s="124">
        <f t="shared" si="4"/>
        <v>36.607771959046119</v>
      </c>
      <c r="H62" s="120"/>
    </row>
    <row r="63" spans="1:8" ht="13.15">
      <c r="A63" s="143">
        <f t="shared" si="3"/>
        <v>15</v>
      </c>
      <c r="B63" s="124">
        <f t="shared" si="4"/>
        <v>29.118371848057411</v>
      </c>
      <c r="C63" s="124">
        <f t="shared" si="4"/>
        <v>32.303539286508574</v>
      </c>
      <c r="D63" s="124">
        <f t="shared" si="4"/>
        <v>36.04870500134691</v>
      </c>
      <c r="E63" s="124">
        <f t="shared" si="4"/>
        <v>40.46555711309373</v>
      </c>
      <c r="F63" s="124">
        <f t="shared" si="4"/>
        <v>45.68775566664474</v>
      </c>
      <c r="H63" s="120"/>
    </row>
    <row r="64" spans="1:8" ht="13.15">
      <c r="A64" s="144">
        <f t="shared" si="3"/>
        <v>20</v>
      </c>
      <c r="B64" s="124">
        <f t="shared" si="4"/>
        <v>30.214124975621331</v>
      </c>
      <c r="C64" s="124">
        <f t="shared" si="4"/>
        <v>34.949935100701175</v>
      </c>
      <c r="D64" s="124">
        <f t="shared" si="4"/>
        <v>40.867941596084556</v>
      </c>
      <c r="E64" s="124">
        <f t="shared" si="4"/>
        <v>48.304233808867714</v>
      </c>
      <c r="F64" s="124">
        <f t="shared" si="4"/>
        <v>57.691995776080802</v>
      </c>
      <c r="H64" s="120"/>
    </row>
    <row r="65" spans="1:8" ht="13.15">
      <c r="A65" s="144">
        <f t="shared" si="3"/>
        <v>25</v>
      </c>
      <c r="B65" s="124">
        <f t="shared" si="4"/>
        <v>31.257029055042366</v>
      </c>
      <c r="C65" s="124">
        <f t="shared" si="4"/>
        <v>37.617596482270926</v>
      </c>
      <c r="D65" s="124">
        <f t="shared" si="4"/>
        <v>46.036322234202615</v>
      </c>
      <c r="E65" s="124">
        <f t="shared" si="4"/>
        <v>57.282802949331312</v>
      </c>
      <c r="F65" s="124">
        <f t="shared" si="4"/>
        <v>72.424998077742856</v>
      </c>
    </row>
    <row r="66" spans="1:8" ht="13.15">
      <c r="A66" s="144">
        <f t="shared" si="3"/>
        <v>30</v>
      </c>
      <c r="B66" s="124">
        <f t="shared" si="4"/>
        <v>32.19853798062249</v>
      </c>
      <c r="C66" s="124">
        <f t="shared" si="4"/>
        <v>40.174341458282868</v>
      </c>
      <c r="D66" s="124">
        <f t="shared" si="4"/>
        <v>51.324996579386152</v>
      </c>
      <c r="E66" s="124">
        <f t="shared" si="4"/>
        <v>67.137963634732003</v>
      </c>
      <c r="F66" s="124">
        <f t="shared" si="4"/>
        <v>89.834866384397998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89.834866384397998</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51.324996579386152</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-53.1</v>
      </c>
    </row>
    <row r="4" spans="2:9">
      <c r="B4" s="152" t="s">
        <v>145</v>
      </c>
      <c r="C4" s="120">
        <v>3</v>
      </c>
      <c r="D4" s="120"/>
      <c r="E4" s="155" t="s">
        <v>149</v>
      </c>
      <c r="F4" s="155"/>
      <c r="H4" s="247">
        <v>1</v>
      </c>
      <c r="I4" s="124">
        <f t="shared" ref="I4:I13" si="0">IF(ROW()-3 &lt; $C$76, $C$77, IF(ROW()-3 = $C$76, $C$77 + $C$60, ""))</f>
        <v>1.8124076770513604</v>
      </c>
    </row>
    <row r="5" spans="2:9">
      <c r="H5" s="247">
        <v>2</v>
      </c>
      <c r="I5" s="124">
        <f t="shared" si="0"/>
        <v>1.8124076770513604</v>
      </c>
    </row>
    <row r="6" spans="2:9" ht="13.15">
      <c r="B6" s="159" t="s">
        <v>95</v>
      </c>
      <c r="C6" s="107">
        <f>DCF!C3</f>
        <v>1</v>
      </c>
      <c r="E6" s="100" t="s">
        <v>278</v>
      </c>
      <c r="F6" s="100"/>
      <c r="H6" s="247">
        <v>3</v>
      </c>
      <c r="I6" s="124">
        <f t="shared" si="0"/>
        <v>74.741517448844931</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3154805565.329051</v>
      </c>
      <c r="D8" t="str">
        <f>Reporting_currency</f>
        <v>CNY</v>
      </c>
      <c r="E8" s="368"/>
      <c r="F8" s="368"/>
      <c r="H8" s="247">
        <v>5</v>
      </c>
      <c r="I8" s="124" t="str">
        <f t="shared" si="0"/>
        <v/>
      </c>
    </row>
    <row r="9" spans="2:9">
      <c r="B9" s="100" t="s">
        <v>57</v>
      </c>
      <c r="C9" s="338">
        <f>Normalized_FCF!C19</f>
        <v>2878353873.7559271</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0.22851076093635592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53.1</v>
      </c>
      <c r="D21" t="str">
        <f>Market_currency</f>
        <v>HKD</v>
      </c>
      <c r="E21" s="369"/>
      <c r="F21" s="369"/>
    </row>
    <row r="22" spans="2:6">
      <c r="B22" s="100" t="s">
        <v>277</v>
      </c>
      <c r="C22" s="160">
        <f>IF(valuation_method="DCF",DCF!C12,DDM!C7)</f>
        <v>42.975574208648268</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71.99216452673862</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59.011059779267534</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90.400928808692626</v>
      </c>
      <c r="D39" t="str">
        <f>Market_currency</f>
        <v>HKD</v>
      </c>
      <c r="E39" s="367"/>
      <c r="F39" s="367"/>
    </row>
    <row r="40" spans="2:6">
      <c r="B40" s="100" t="s">
        <v>146</v>
      </c>
      <c r="C40" s="167">
        <f>1-C28-C34</f>
        <v>0.2</v>
      </c>
      <c r="D40" s="165"/>
      <c r="E40" s="367"/>
      <c r="F40" s="367"/>
    </row>
    <row r="42" spans="2:6" ht="13.15">
      <c r="B42" s="100" t="s">
        <v>119</v>
      </c>
      <c r="C42" s="154">
        <f>C27*C28+C33*C34+C39*C40</f>
        <v>71.779585958888106</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49.725978385905464</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116.82366978998013</v>
      </c>
      <c r="D57" t="str">
        <f>Market_currency</f>
        <v>HKD</v>
      </c>
      <c r="E57" s="367"/>
      <c r="F57" s="367"/>
    </row>
    <row r="58" spans="2:6">
      <c r="B58" s="100" t="s">
        <v>146</v>
      </c>
      <c r="C58" s="165">
        <v>0.05</v>
      </c>
      <c r="D58" s="165"/>
      <c r="E58" s="367"/>
      <c r="F58" s="367"/>
    </row>
    <row r="60" spans="2:6" ht="13.15">
      <c r="B60" s="100" t="s">
        <v>119</v>
      </c>
      <c r="C60" s="154">
        <f>C51*C52+C57*C58+C42*(1-C52-C58)</f>
        <v>72.929109771793577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72.89592264152644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0.16785957612340832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1.8124076770513604</v>
      </c>
      <c r="D77" t="str">
        <f>Market_currency</f>
        <v>HKD</v>
      </c>
    </row>
    <row r="79" spans="2:6" ht="13.15">
      <c r="B79" s="109" t="s">
        <v>300</v>
      </c>
    </row>
    <row r="80" spans="2:6">
      <c r="B80" s="148" t="s">
        <v>298</v>
      </c>
      <c r="C80" s="167">
        <f>Thesis!F29</f>
        <v>0.3674</v>
      </c>
    </row>
    <row r="81" spans="2:8">
      <c r="B81" s="100" t="s">
        <v>120</v>
      </c>
      <c r="C81" s="116">
        <f>PV(C80, C76, -C77, 0)</f>
        <v>3.0036295132817825</v>
      </c>
      <c r="D81" s="116"/>
      <c r="E81" s="100"/>
      <c r="F81" s="100"/>
    </row>
    <row r="82" spans="2:8">
      <c r="B82" s="100" t="s">
        <v>121</v>
      </c>
      <c r="C82" s="116">
        <f>C60/(1+C80)^C76</f>
        <v>28.524246809285074</v>
      </c>
      <c r="D82" s="116"/>
    </row>
    <row r="83" spans="2:8" ht="13.15">
      <c r="B83" s="110" t="s">
        <v>101</v>
      </c>
      <c r="C83" s="111">
        <f>C81+C82</f>
        <v>31.527876322566858</v>
      </c>
      <c r="D83" t="str">
        <f>Market_currency</f>
        <v>HKD</v>
      </c>
      <c r="E83" s="146" t="s">
        <v>125</v>
      </c>
      <c r="F83" s="291">
        <f>(1-C83/C60)</f>
        <v>0.56769146886308586</v>
      </c>
    </row>
    <row r="84" spans="2:8">
      <c r="E84" s="120"/>
    </row>
    <row r="85" spans="2:8" ht="13.15">
      <c r="B85" s="109" t="s">
        <v>301</v>
      </c>
    </row>
    <row r="86" spans="2:8">
      <c r="B86" s="148" t="s">
        <v>299</v>
      </c>
      <c r="C86" s="116">
        <f>Market_Price</f>
        <v>53.1</v>
      </c>
      <c r="D86" t="str">
        <f>Market_currency</f>
        <v>HKD</v>
      </c>
    </row>
    <row r="87" spans="2:8" ht="13.15">
      <c r="B87" s="100" t="s">
        <v>297</v>
      </c>
      <c r="C87" s="237">
        <f ca="1">IRR(OFFSET($I$3, 0, 0, $C$76 + 1, 1))</f>
        <v>0.14244678639546038</v>
      </c>
    </row>
    <row r="88" spans="2:8">
      <c r="B88" s="100"/>
    </row>
    <row r="89" spans="2:8" ht="13.15">
      <c r="B89" s="109" t="s">
        <v>409</v>
      </c>
    </row>
    <row r="90" spans="2:8">
      <c r="B90" s="148" t="s">
        <v>410</v>
      </c>
      <c r="C90" s="167">
        <f>Thesis!F30</f>
        <v>0.21740000000000001</v>
      </c>
    </row>
    <row r="91" spans="2:8">
      <c r="B91" s="100" t="s">
        <v>120</v>
      </c>
      <c r="C91" s="116">
        <f>PV(C90, C76, -C77, 0)</f>
        <v>3.7161621942052459</v>
      </c>
      <c r="D91" s="116"/>
      <c r="E91" s="100"/>
      <c r="F91" s="100"/>
    </row>
    <row r="92" spans="2:8">
      <c r="B92" s="100" t="s">
        <v>121</v>
      </c>
      <c r="C92" s="116">
        <f>C60/(1+C90)^C76</f>
        <v>40.42043844220828</v>
      </c>
      <c r="D92" s="116"/>
    </row>
    <row r="93" spans="2:8" ht="13.15">
      <c r="B93" s="110" t="s">
        <v>101</v>
      </c>
      <c r="C93" s="111">
        <f>C91+C92</f>
        <v>44.136600636413526</v>
      </c>
      <c r="D93" t="str">
        <f>Market_currency</f>
        <v>HKD</v>
      </c>
      <c r="E93" s="146" t="s">
        <v>125</v>
      </c>
      <c r="F93" s="291">
        <f>(1-C93/C60)</f>
        <v>0.39480132453935401</v>
      </c>
    </row>
    <row r="95" spans="2:8" ht="13.15">
      <c r="B95" s="109" t="s">
        <v>394</v>
      </c>
      <c r="G95" s="2"/>
      <c r="H95" s="281"/>
    </row>
    <row r="96" spans="2:8">
      <c r="B96" s="148" t="s">
        <v>400</v>
      </c>
      <c r="C96" s="134">
        <f>Thesis!F31</f>
        <v>7.4999999999999997E-2</v>
      </c>
      <c r="G96" s="2"/>
      <c r="H96" s="281"/>
    </row>
    <row r="97" spans="2:8">
      <c r="B97" s="100" t="s">
        <v>120</v>
      </c>
      <c r="C97" s="116">
        <f>PV(C96, C76, -C77, 0)</f>
        <v>4.713212815313609</v>
      </c>
      <c r="D97" s="116"/>
      <c r="G97" s="2"/>
      <c r="H97" s="281"/>
    </row>
    <row r="98" spans="2:8">
      <c r="B98" s="100" t="s">
        <v>121</v>
      </c>
      <c r="C98" s="116">
        <f>C60/(1+C96)^C76</f>
        <v>58.705057735731316</v>
      </c>
      <c r="D98" s="116"/>
      <c r="G98" s="2"/>
      <c r="H98" s="281"/>
    </row>
    <row r="99" spans="2:8" ht="13.15">
      <c r="B99" s="110" t="s">
        <v>395</v>
      </c>
      <c r="C99" s="111">
        <f>C97+C98</f>
        <v>63.418270551044927</v>
      </c>
      <c r="D99" t="s">
        <v>393</v>
      </c>
      <c r="E99" s="146" t="s">
        <v>125</v>
      </c>
      <c r="F99" s="291">
        <f>(1-C99/C60)</f>
        <v>0.13041211185094037</v>
      </c>
    </row>
    <row r="100" spans="2:8">
      <c r="B100" s="100"/>
    </row>
    <row r="101" spans="2:8" ht="13.15">
      <c r="B101" s="109" t="s">
        <v>419</v>
      </c>
    </row>
    <row r="102" spans="2:8">
      <c r="B102" s="148" t="s">
        <v>418</v>
      </c>
      <c r="C102" s="134">
        <f>Thesis!F32</f>
        <v>0.1174</v>
      </c>
    </row>
    <row r="103" spans="2:8">
      <c r="B103" s="100" t="s">
        <v>120</v>
      </c>
      <c r="C103" s="116">
        <f>PV(C102, C76, -C77, 0)</f>
        <v>4.3726204271293181</v>
      </c>
      <c r="D103" s="116"/>
    </row>
    <row r="104" spans="2:8">
      <c r="B104" s="100" t="s">
        <v>121</v>
      </c>
      <c r="C104" s="116">
        <f>C60/(1+C102)^C76</f>
        <v>52.272697382250442</v>
      </c>
      <c r="D104" s="116"/>
    </row>
    <row r="105" spans="2:8" ht="13.15">
      <c r="B105" s="110" t="s">
        <v>395</v>
      </c>
      <c r="C105" s="111">
        <f>C103+C104</f>
        <v>56.645317809379762</v>
      </c>
      <c r="D105" t="s">
        <v>393</v>
      </c>
      <c r="E105" s="146" t="s">
        <v>125</v>
      </c>
      <c r="F105" s="291">
        <f>(1-C105/C66)</f>
        <v>0.22292885861477851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2025-06-11T01:49:52Z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