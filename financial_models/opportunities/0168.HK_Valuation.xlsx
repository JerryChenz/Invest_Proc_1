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266B897-D225-4181-A1DA-8AFBDB8BBC3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E20" i="4"/>
  <c r="F20" i="4"/>
  <c r="C25" i="4"/>
  <c r="D25" i="4"/>
  <c r="E25" i="4"/>
  <c r="F25" i="4"/>
  <c r="G25" i="4"/>
  <c r="C29" i="4"/>
  <c r="C30" i="4"/>
  <c r="C32" i="4"/>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E69" i="4"/>
  <c r="F70" i="4"/>
  <c r="D70" i="4"/>
  <c r="F69" i="4"/>
  <c r="D69" i="4"/>
  <c r="C69" i="4"/>
  <c r="G113" i="2"/>
  <c r="G126" i="2"/>
  <c r="H113" i="2"/>
  <c r="H126" i="2"/>
  <c r="J113" i="2"/>
  <c r="J126" i="2"/>
  <c r="I113" i="2"/>
  <c r="I126" i="2"/>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<sst xmlns="http://schemas.openxmlformats.org/spreadsheetml/2006/main" count="589" uniqueCount="416">
  <si>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</si>
  <si>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</si>
  <si>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</si>
  <si>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</si>
  <si>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</si>
  <si>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</si>
  <si>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</si>
  <si>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</si>
  <si>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</si>
  <si>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</si>
  <si>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</si>
  <si>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</si>
  <si>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</si>
  <si>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</si>
  <si>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</si>
  <si>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</si>
  <si>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</si>
  <si>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</si>
  <si>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</si>
  <si>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</si>
  <si>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</si>
  <si>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</si>
  <si>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</si>
  <si>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</si>
  <si>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</si>
  <si>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</si>
  <si>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</si>
  <si>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</si>
  <si>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</si>
  <si>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</si>
  <si>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</si>
  <si>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</si>
  <si>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</si>
  <si>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</si>
  <si>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</si>
  <si>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</si>
  <si>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</si>
  <si>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</si>
  <si>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</si>
  <si>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</si>
  <si>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</si>
  <si>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</si>
  <si>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</si>
  <si>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</si>
  <si>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</si>
  <si>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</si>
  <si>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</si>
  <si>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</si>
  <si>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</si>
  <si>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</si>
  <si>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</si>
  <si>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</si>
  <si>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</si>
  <si>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</si>
  <si>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</si>
  <si>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</si>
  <si>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</si>
  <si>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</si>
  <si>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</si>
  <si>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</si>
  <si>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</si>
  <si>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</si>
  <si>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</si>
  <si>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</si>
  <si>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</si>
  <si>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</si>
  <si>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</si>
  <si>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</si>
  <si>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</si>
  <si>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</si>
  <si>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</si>
  <si>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</si>
  <si>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</si>
  <si>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</si>
  <si>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</si>
  <si>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</si>
  <si>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</si>
  <si>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</si>
  <si>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</si>
  <si>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</si>
  <si>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</si>
  <si>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</si>
  <si>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</si>
  <si>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</si>
  <si>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</si>
  <si>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</si>
  <si>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</si>
  <si>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</si>
  <si>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</si>
  <si>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</si>
  <si>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</si>
  <si>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</si>
  <si>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</si>
  <si>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</si>
  <si>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</si>
  <si>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</si>
  <si>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</si>
  <si>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</si>
  <si>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</si>
  <si>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</si>
  <si>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</si>
  <si>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</si>
  <si>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</si>
  <si>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</si>
  <si>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</si>
  <si>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</si>
  <si>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</si>
  <si>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</si>
  <si>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</si>
  <si>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</si>
  <si>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</si>
  <si>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</si>
  <si>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</si>
  <si>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</si>
  <si>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</si>
  <si>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</si>
  <si>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</si>
  <si>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</si>
  <si>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</si>
  <si>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</si>
  <si>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</si>
  <si>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</si>
  <si>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</si>
  <si>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</si>
  <si>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</si>
  <si>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</si>
  <si>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</si>
  <si>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</si>
  <si>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</si>
  <si>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</si>
  <si>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</si>
  <si>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</si>
  <si>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</si>
  <si>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</si>
  <si>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</si>
  <si>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</si>
  <si>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</si>
  <si>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</si>
  <si>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</si>
  <si>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</si>
  <si>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</si>
  <si>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</si>
  <si>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</si>
  <si>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</si>
  <si>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</si>
  <si>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</si>
  <si>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</si>
  <si>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</si>
  <si>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</si>
  <si>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</si>
  <si>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</si>
  <si>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</si>
  <si>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</si>
  <si>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</si>
  <si>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</si>
  <si>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</si>
  <si>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</si>
  <si>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</si>
  <si>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</si>
  <si>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</si>
  <si>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</si>
  <si>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</si>
  <si>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</si>
  <si>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</si>
  <si>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</si>
  <si>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</si>
  <si>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</si>
  <si>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</si>
  <si>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</si>
  <si>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</si>
  <si>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</si>
  <si>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</si>
  <si>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</si>
  <si>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</si>
  <si>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</si>
  <si>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</si>
  <si>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</si>
  <si>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</si>
  <si>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</si>
  <si>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</si>
  <si>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</si>
  <si>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</si>
  <si>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</si>
  <si>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</si>
  <si>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</si>
  <si>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</si>
  <si>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</si>
  <si>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</si>
  <si>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</si>
  <si>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</si>
  <si>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</si>
  <si>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</si>
  <si>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</si>
  <si>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</si>
  <si>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</si>
  <si>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</si>
  <si>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</si>
  <si>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</si>
  <si>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</si>
  <si>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</si>
  <si>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</si>
  <si>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</si>
  <si>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</si>
  <si>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</si>
  <si>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</si>
  <si>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</si>
  <si>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</si>
  <si>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</si>
  <si>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</si>
  <si>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</si>
  <si>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</si>
  <si>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</si>
  <si>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</si>
  <si>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</si>
  <si>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</si>
  <si>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</si>
  <si>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</si>
  <si>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</si>
  <si>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</si>
  <si>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</si>
  <si>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</si>
  <si>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</si>
  <si>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</si>
  <si>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</si>
  <si>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</si>
  <si>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</si>
  <si>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</si>
  <si>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</si>
  <si>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</si>
  <si>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</si>
  <si>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</si>
  <si>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</si>
  <si>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</si>
  <si>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</si>
  <si>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</si>
  <si>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</si>
  <si>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</si>
  <si>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</si>
  <si>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</si>
  <si>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</si>
  <si>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</si>
  <si>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</si>
  <si>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</si>
  <si>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</si>
  <si>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</si>
  <si>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</si>
  <si>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</si>
  <si>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</si>
  <si>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</si>
  <si>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</si>
  <si>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</si>
  <si>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</si>
  <si>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</si>
  <si>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</si>
  <si>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</si>
  <si>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</si>
  <si>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</si>
  <si>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</si>
  <si>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</si>
  <si>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</si>
  <si>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</si>
  <si>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</si>
  <si>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</si>
  <si>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</si>
  <si>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</si>
  <si>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</si>
  <si>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</si>
  <si>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</si>
  <si>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</si>
  <si>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</si>
  <si>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</si>
  <si>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</si>
  <si>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</si>
  <si>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</si>
  <si>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</si>
  <si>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</si>
  <si>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</si>
  <si>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</si>
  <si>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</si>
  <si>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</si>
  <si>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</si>
  <si>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</si>
  <si>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</si>
  <si>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</si>
  <si>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</si>
  <si>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</si>
  <si>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</si>
  <si>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</si>
  <si>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</si>
  <si>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</si>
  <si>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</si>
  <si>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</si>
  <si>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</si>
  <si>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</si>
  <si>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</si>
  <si>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</si>
  <si>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</si>
  <si>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</si>
  <si>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</si>
  <si>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</si>
  <si>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</si>
  <si>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</si>
  <si>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</si>
  <si>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</si>
  <si>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</si>
  <si>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</si>
  <si>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</si>
  <si>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</si>
  <si>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</si>
  <si>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</si>
  <si>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</si>
  <si>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</si>
  <si>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</si>
  <si>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</si>
  <si>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</si>
  <si>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</si>
  <si>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</si>
  <si>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</si>
  <si>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</si>
  <si>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</si>
  <si>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</si>
  <si>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</si>
  <si>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</si>
  <si>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</si>
  <si>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</si>
  <si>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</si>
  <si>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</si>
  <si>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</si>
  <si>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</si>
  <si>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</si>
  <si>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</si>
  <si>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</si>
  <si>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</si>
  <si>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</si>
  <si>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</si>
  <si>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</si>
  <si>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</si>
  <si>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</si>
  <si>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</si>
  <si>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</si>
  <si>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</si>
  <si>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</si>
  <si>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</si>
  <si>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</si>
  <si>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</si>
  <si>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</si>
  <si>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</si>
  <si>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</si>
  <si>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</si>
  <si>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</si>
  <si>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</si>
  <si>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</si>
  <si>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</si>
  <si>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</si>
  <si>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</si>
  <si>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</si>
  <si>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</si>
  <si>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</si>
  <si>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</si>
  <si>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</si>
  <si>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</si>
  <si>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</si>
  <si>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</si>
  <si>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</si>
  <si>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</si>
  <si>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</si>
  <si>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</si>
  <si>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</si>
  <si>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</si>
  <si>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</si>
  <si>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</si>
  <si>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</si>
  <si>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</si>
  <si>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</si>
  <si>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</si>
  <si>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</si>
  <si>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</si>
  <si>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</si>
  <si>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</si>
  <si>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</si>
  <si>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</si>
  <si>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</si>
  <si>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</si>
  <si>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</si>
  <si>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</si>
  <si>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</si>
  <si>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</si>
  <si>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</si>
  <si>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</si>
  <si>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</si>
  <si>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</si>
  <si>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</si>
  <si>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</si>
  <si>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</si>
  <si>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</si>
  <si>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</si>
  <si>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</si>
  <si>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</si>
  <si>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</si>
  <si>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</si>
  <si>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</si>
  <si>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</si>
  <si>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</si>
  <si>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</si>
  <si>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</si>
  <si>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</si>
  <si>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</si>
  <si>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</si>
  <si>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</si>
  <si>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</si>
  <si>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</si>
  <si>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</si>
  <si>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</si>
  <si>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</si>
  <si>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CNS_03</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</si>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</sst>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opLeftCell="A3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366</v>
      </c>
      <c r="F1" s="284" t="s">
        <v>333</v>
      </c>
    </row>
    <row r="2" spans="1:10" ht="13.9" x14ac:dyDescent="0.45">
      <c r="A2" s="247" t="s">
        <v>270</v>
      </c>
      <c r="B2" s="36"/>
      <c r="C2" s="36"/>
      <c r="D2" s="36"/>
      <c r="E2" s="36"/>
      <c r="F2" s="36"/>
      <c r="G2" s="22"/>
      <c r="H2" s="22"/>
      <c r="I2" s="22"/>
      <c r="J2" s="22"/>
    </row>
    <row r="4" spans="1:10" x14ac:dyDescent="0.35">
      <c r="B4" s="45" t="str">
        <f>D5&amp;" Stock Information"</f>
        <v>0168.HK Stock Information</v>
      </c>
      <c r="C4" s="46"/>
      <c r="D4" s="5"/>
      <c r="E4" s="2"/>
      <c r="F4" s="2"/>
    </row>
    <row r="5" spans="1:10" ht="12.4" x14ac:dyDescent="0.4">
      <c r="B5" s="4" t="s">
        <v>327</v>
      </c>
      <c r="C5" s="333" t="s">
        <v>412</v>
      </c>
      <c r="D5" s="49" t="s">
        <v>411</v>
      </c>
    </row>
    <row r="6" spans="1:10" x14ac:dyDescent="0.35">
      <c r="B6" s="4" t="s">
        <v>96</v>
      </c>
      <c r="C6" s="50">
        <v>59.8</v>
      </c>
      <c r="D6" s="48" t="s">
        <v>41</v>
      </c>
      <c r="E6" s="48"/>
    </row>
    <row r="7" spans="1:10" x14ac:dyDescent="0.35">
      <c r="B7" s="4" t="s">
        <v>0</v>
      </c>
      <c r="C7" s="51">
        <v>1364196788</v>
      </c>
      <c r="D7" s="34"/>
      <c r="E7" s="34"/>
    </row>
    <row r="8" spans="1:10" x14ac:dyDescent="0.35">
      <c r="B8" s="2" t="s">
        <v>317</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81578.967922399999</v>
      </c>
      <c r="D10" s="32"/>
      <c r="E10" s="5"/>
    </row>
    <row r="11" spans="1:10" x14ac:dyDescent="0.35">
      <c r="D11" s="5"/>
      <c r="E11" s="5"/>
    </row>
    <row r="12" spans="1:10" ht="24.4" customHeight="1" x14ac:dyDescent="0.35">
      <c r="B12" s="338" t="s">
        <v>375</v>
      </c>
      <c r="C12" s="338"/>
      <c r="D12" s="338"/>
      <c r="E12" s="338"/>
      <c r="F12" s="338"/>
    </row>
    <row r="14" spans="1:10" x14ac:dyDescent="0.35">
      <c r="B14" s="45" t="s">
        <v>316</v>
      </c>
      <c r="C14" s="46"/>
      <c r="D14" s="5"/>
    </row>
    <row r="15" spans="1:10" x14ac:dyDescent="0.35">
      <c r="B15" s="2" t="s">
        <v>361</v>
      </c>
      <c r="C15" s="32" t="str">
        <f>IF(Scenarios!C69="Y",Scenarios!B69,"")&amp;IF(Scenarios!C70="Y",Scenarios!B70,"")&amp;IF(Scenarios!C71="Y",Scenarios!B71,"")&amp;" "&amp;IF(Scenarios!C72="Y",Scenarios!B72,"")</f>
        <v xml:space="preserve">Low Growth </v>
      </c>
      <c r="E15" s="5"/>
    </row>
    <row r="16" spans="1:10" x14ac:dyDescent="0.35">
      <c r="B16" s="4" t="s">
        <v>360</v>
      </c>
      <c r="C16" s="48" t="s">
        <v>407</v>
      </c>
      <c r="D16" s="32"/>
      <c r="E16" s="5"/>
    </row>
    <row r="17" spans="1:6" x14ac:dyDescent="0.35">
      <c r="B17" s="4" t="s">
        <v>1</v>
      </c>
      <c r="C17" s="50">
        <v>1.0562040500000001</v>
      </c>
      <c r="D17" s="32" t="str">
        <f>IF(C16=D6,D6,C16&amp;"/"&amp;D6)</f>
        <v>CNY/HKD</v>
      </c>
      <c r="E17" s="5"/>
    </row>
    <row r="18" spans="1:6" x14ac:dyDescent="0.35">
      <c r="B18" s="2" t="s">
        <v>57</v>
      </c>
      <c r="C18" s="48" t="s">
        <v>414</v>
      </c>
      <c r="E18" s="5"/>
    </row>
    <row r="19" spans="1:6" x14ac:dyDescent="0.35">
      <c r="B19" s="2" t="s">
        <v>280</v>
      </c>
      <c r="C19" s="249">
        <v>0.25</v>
      </c>
      <c r="E19" s="5"/>
    </row>
    <row r="20" spans="1:6" x14ac:dyDescent="0.35">
      <c r="B20" s="2" t="str">
        <f>"Target Buy Price ("&amp;Market_currency&amp;"):"</f>
        <v>Target Buy Price (HKD):</v>
      </c>
      <c r="C20" s="252">
        <f>C129</f>
        <v>26.67162630902984</v>
      </c>
      <c r="D20" s="1" t="s">
        <v>318</v>
      </c>
      <c r="E20" s="330">
        <v>3</v>
      </c>
    </row>
    <row r="21" spans="1:6" x14ac:dyDescent="0.35">
      <c r="B21" s="1" t="s">
        <v>374</v>
      </c>
      <c r="C21" s="280">
        <f ca="1">Scenarios!C87</f>
        <v>-5.7617735553175065E-2</v>
      </c>
      <c r="D21" s="5"/>
      <c r="E21" s="5"/>
    </row>
    <row r="22" spans="1:6" x14ac:dyDescent="0.35">
      <c r="D22" s="5"/>
      <c r="E22" s="5"/>
    </row>
    <row r="23" spans="1:6" ht="13.9" x14ac:dyDescent="0.45">
      <c r="A23" s="247" t="s">
        <v>368</v>
      </c>
      <c r="B23" s="36"/>
      <c r="C23" s="36"/>
      <c r="D23" s="36"/>
      <c r="E23" s="36"/>
      <c r="F23" s="36"/>
    </row>
    <row r="25" spans="1:6" ht="24.4" customHeight="1" x14ac:dyDescent="0.35">
      <c r="B25" s="338" t="s">
        <v>376</v>
      </c>
      <c r="C25" s="338"/>
      <c r="D25" s="338"/>
      <c r="E25" s="338"/>
      <c r="F25" s="338"/>
    </row>
    <row r="26" spans="1:6" ht="24.4" customHeight="1" x14ac:dyDescent="0.35">
      <c r="B26" s="341" t="s">
        <v>352</v>
      </c>
      <c r="C26" s="341"/>
      <c r="D26" s="341"/>
      <c r="E26" s="341"/>
      <c r="F26" s="341"/>
    </row>
    <row r="28" spans="1:6" x14ac:dyDescent="0.35">
      <c r="B28" s="234" t="s">
        <v>232</v>
      </c>
      <c r="C28" s="108">
        <f>Data!C3</f>
        <v>1</v>
      </c>
    </row>
    <row r="29" spans="1:6" ht="24.4" customHeight="1" x14ac:dyDescent="0.35">
      <c r="B29" s="339" t="s">
        <v>233</v>
      </c>
      <c r="C29" s="339"/>
      <c r="D29" s="339"/>
      <c r="E29" s="339"/>
      <c r="F29" s="339"/>
    </row>
    <row r="30" spans="1:6" x14ac:dyDescent="0.35">
      <c r="B30" s="47" t="s">
        <v>234</v>
      </c>
      <c r="C30" s="188">
        <f>Normalized_FCF!C8</f>
        <v>3878068070.3077545</v>
      </c>
      <c r="D30" s="1" t="str">
        <f>Reporting_currency</f>
        <v>CNY</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1191305772</v>
      </c>
      <c r="D33" s="1" t="str">
        <f>Reporting_currency</f>
        <v>CNY</v>
      </c>
    </row>
    <row r="34" spans="2:6" x14ac:dyDescent="0.35">
      <c r="B34" s="52" t="s">
        <v>237</v>
      </c>
      <c r="C34" s="188">
        <f>Normalized_FCF!C10</f>
        <v>-1191305772</v>
      </c>
      <c r="D34" s="1" t="str">
        <f>Reporting_currency</f>
        <v>CNY</v>
      </c>
    </row>
    <row r="36" spans="2:6" x14ac:dyDescent="0.35">
      <c r="B36" s="339" t="s">
        <v>238</v>
      </c>
      <c r="C36" s="339"/>
      <c r="D36" s="339"/>
      <c r="E36" s="339"/>
      <c r="F36" s="339"/>
    </row>
    <row r="37" spans="2:6" x14ac:dyDescent="0.35">
      <c r="B37" s="47" t="s">
        <v>239</v>
      </c>
      <c r="C37" s="188">
        <f>Normalized_FCF!C11</f>
        <v>0</v>
      </c>
      <c r="D37" s="1" t="str">
        <f>Reporting_currency</f>
        <v>CNY</v>
      </c>
    </row>
    <row r="39" spans="2:6" x14ac:dyDescent="0.35">
      <c r="B39" s="339" t="s">
        <v>242</v>
      </c>
      <c r="C39" s="339"/>
      <c r="D39" s="339"/>
      <c r="E39" s="339"/>
      <c r="F39" s="339"/>
    </row>
    <row r="40" spans="2:6" x14ac:dyDescent="0.35">
      <c r="B40" s="47" t="s">
        <v>353</v>
      </c>
      <c r="C40" s="322">
        <f>Normalized_FCF!C48</f>
        <v>177626222.81127352</v>
      </c>
      <c r="D40" s="1" t="str">
        <f>Reporting_currency</f>
        <v>CNY</v>
      </c>
      <c r="E40" s="321"/>
      <c r="F40" s="321"/>
    </row>
    <row r="41" spans="2:6" x14ac:dyDescent="0.35">
      <c r="B41" s="47" t="s">
        <v>354</v>
      </c>
      <c r="C41" s="322">
        <f>Normalized_FCF!C47</f>
        <v>-21837054</v>
      </c>
      <c r="D41" s="1" t="str">
        <f>Reporting_currency</f>
        <v>CNY</v>
      </c>
      <c r="E41" s="321"/>
      <c r="F41" s="321"/>
    </row>
    <row r="42" spans="2:6" x14ac:dyDescent="0.35">
      <c r="B42" s="47" t="s">
        <v>240</v>
      </c>
      <c r="C42" s="188">
        <f>Normalized_FCF!C12</f>
        <v>155789168.81127352</v>
      </c>
      <c r="D42" s="1" t="str">
        <f>Reporting_currency</f>
        <v>CNY</v>
      </c>
    </row>
    <row r="44" spans="2:6" x14ac:dyDescent="0.35">
      <c r="B44" s="1" t="s">
        <v>248</v>
      </c>
    </row>
    <row r="45" spans="2:6" x14ac:dyDescent="0.35">
      <c r="B45" s="47" t="s">
        <v>268</v>
      </c>
      <c r="C45" s="188">
        <f>Normalized_FCF!C15</f>
        <v>-146634564.47167698</v>
      </c>
      <c r="D45" s="1" t="str">
        <f>Reporting_currency</f>
        <v>CNY</v>
      </c>
    </row>
    <row r="47" spans="2:6" x14ac:dyDescent="0.35">
      <c r="B47" s="339" t="s">
        <v>243</v>
      </c>
      <c r="C47" s="339"/>
      <c r="D47" s="339"/>
      <c r="E47" s="339"/>
      <c r="F47" s="339"/>
    </row>
    <row r="48" spans="2:6" x14ac:dyDescent="0.35">
      <c r="B48" s="47" t="s">
        <v>241</v>
      </c>
      <c r="C48" s="188">
        <f>Normalized_FCF!C14</f>
        <v>-1008464309.779757</v>
      </c>
      <c r="D48" s="1" t="str">
        <f>Reporting_currency</f>
        <v>CNY</v>
      </c>
    </row>
    <row r="50" spans="1:6" x14ac:dyDescent="0.35">
      <c r="B50" s="339" t="s">
        <v>351</v>
      </c>
      <c r="C50" s="340"/>
      <c r="D50" s="340"/>
      <c r="E50" s="340"/>
      <c r="F50" s="340"/>
    </row>
    <row r="51" spans="1:6" x14ac:dyDescent="0.35">
      <c r="B51" s="47" t="s">
        <v>244</v>
      </c>
      <c r="C51" s="1">
        <f>Normalized_FCF!C17</f>
        <v>0</v>
      </c>
      <c r="D51" s="1" t="str">
        <f>Reporting_currency</f>
        <v>CNY</v>
      </c>
    </row>
    <row r="53" spans="1:6" ht="24.4" customHeight="1" x14ac:dyDescent="0.35">
      <c r="B53" s="338" t="s">
        <v>356</v>
      </c>
      <c r="C53" s="338"/>
      <c r="D53" s="338"/>
      <c r="E53" s="338"/>
      <c r="F53" s="338"/>
    </row>
    <row r="54" spans="1:6" ht="24.4" customHeight="1" x14ac:dyDescent="0.35">
      <c r="B54" s="338" t="s">
        <v>377</v>
      </c>
      <c r="C54" s="338"/>
      <c r="D54" s="338"/>
      <c r="E54" s="338"/>
      <c r="F54" s="338"/>
    </row>
    <row r="56" spans="1:6" x14ac:dyDescent="0.35">
      <c r="B56" s="47" t="s">
        <v>273</v>
      </c>
      <c r="C56" s="188">
        <f>Normalized_FCF!G19</f>
        <v>3155344886.8112736</v>
      </c>
      <c r="D56" s="1" t="str">
        <f>Reporting_currency</f>
        <v>CNY</v>
      </c>
    </row>
    <row r="57" spans="1:6" x14ac:dyDescent="0.35">
      <c r="B57" s="47" t="s">
        <v>250</v>
      </c>
      <c r="C57" s="188">
        <f>Normalized_FCF!C19</f>
        <v>2878758364.8675942</v>
      </c>
      <c r="D57" s="1" t="str">
        <f>Reporting_currency</f>
        <v>CNY</v>
      </c>
    </row>
    <row r="58" spans="1:6" x14ac:dyDescent="0.35">
      <c r="B58" s="254" t="s">
        <v>406</v>
      </c>
      <c r="C58" s="92">
        <f>Normalized_FCF!C125</f>
        <v>3.72713252126061E-2</v>
      </c>
    </row>
    <row r="59" spans="1:6" x14ac:dyDescent="0.35">
      <c r="B59" s="254" t="s">
        <v>319</v>
      </c>
      <c r="C59" s="92">
        <f>Normalized_FCF!C93</f>
        <v>3.4831619570918029E-2</v>
      </c>
    </row>
    <row r="61" spans="1:6" ht="13.9" x14ac:dyDescent="0.45">
      <c r="A61" s="247" t="s">
        <v>369</v>
      </c>
      <c r="B61" s="36"/>
      <c r="C61" s="36"/>
      <c r="D61" s="36"/>
      <c r="E61" s="36"/>
      <c r="F61" s="36"/>
    </row>
    <row r="62" spans="1:6" x14ac:dyDescent="0.35">
      <c r="A62" s="233"/>
    </row>
    <row r="63" spans="1:6" ht="24.4" customHeight="1" x14ac:dyDescent="0.35">
      <c r="A63" s="17"/>
      <c r="B63" s="338" t="s">
        <v>378</v>
      </c>
      <c r="C63" s="338"/>
      <c r="D63" s="338"/>
      <c r="E63" s="338"/>
      <c r="F63" s="338"/>
    </row>
    <row r="64" spans="1:6" x14ac:dyDescent="0.35">
      <c r="B64" s="341" t="s">
        <v>254</v>
      </c>
      <c r="C64" s="341"/>
      <c r="D64" s="341"/>
      <c r="E64" s="341"/>
      <c r="F64" s="341"/>
    </row>
    <row r="66" spans="1:6" x14ac:dyDescent="0.35">
      <c r="B66" s="234" t="s">
        <v>232</v>
      </c>
    </row>
    <row r="67" spans="1:6" x14ac:dyDescent="0.35">
      <c r="B67" s="1" t="s">
        <v>291</v>
      </c>
      <c r="C67" s="311">
        <v>0.08</v>
      </c>
    </row>
    <row r="68" spans="1:6" x14ac:dyDescent="0.35">
      <c r="B68" s="1" t="s">
        <v>293</v>
      </c>
      <c r="C68" s="263">
        <f>IF(D68="Y",1%,0)</f>
        <v>0</v>
      </c>
      <c r="D68" s="286" t="s">
        <v>333</v>
      </c>
    </row>
    <row r="69" spans="1:6" x14ac:dyDescent="0.35">
      <c r="B69" s="1" t="s">
        <v>292</v>
      </c>
      <c r="C69" s="263">
        <f>IF(D69="Y",1%,0)</f>
        <v>0</v>
      </c>
      <c r="D69" s="286" t="s">
        <v>333</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8" t="s">
        <v>379</v>
      </c>
      <c r="C73" s="338"/>
      <c r="D73" s="338"/>
      <c r="E73" s="338"/>
      <c r="F73" s="338"/>
    </row>
    <row r="74" spans="1:6" ht="24.4" customHeight="1" x14ac:dyDescent="0.35">
      <c r="B74" s="338" t="s">
        <v>380</v>
      </c>
      <c r="C74" s="338"/>
      <c r="D74" s="338"/>
      <c r="E74" s="338"/>
      <c r="F74" s="338"/>
    </row>
    <row r="76" spans="1:6" x14ac:dyDescent="0.35">
      <c r="B76" s="47" t="s">
        <v>253</v>
      </c>
      <c r="C76" s="263">
        <v>0</v>
      </c>
    </row>
    <row r="77" spans="1:6" x14ac:dyDescent="0.35">
      <c r="B77" s="47" t="s">
        <v>287</v>
      </c>
      <c r="C77" s="248">
        <f>Valuation_Model!C6*C28*Exchange_Rate/Common_Shares</f>
        <v>27.860315596423053</v>
      </c>
      <c r="D77" s="1" t="str">
        <f>Market_currency</f>
        <v>HKD</v>
      </c>
    </row>
    <row r="79" spans="1:6" ht="13.9" x14ac:dyDescent="0.45">
      <c r="A79" s="247" t="s">
        <v>371</v>
      </c>
      <c r="B79" s="36"/>
      <c r="C79" s="36"/>
      <c r="D79" s="36"/>
      <c r="E79" s="36"/>
      <c r="F79" s="36"/>
    </row>
    <row r="80" spans="1:6" x14ac:dyDescent="0.35">
      <c r="A80" s="233"/>
    </row>
    <row r="81" spans="2:6" x14ac:dyDescent="0.35">
      <c r="B81" s="338" t="s">
        <v>381</v>
      </c>
      <c r="C81" s="338"/>
      <c r="D81" s="338"/>
      <c r="E81" s="338"/>
      <c r="F81" s="338"/>
    </row>
    <row r="82" spans="2:6" x14ac:dyDescent="0.35">
      <c r="B82" s="1" t="s">
        <v>255</v>
      </c>
    </row>
    <row r="84" spans="2:6" x14ac:dyDescent="0.35">
      <c r="B84" s="234" t="s">
        <v>232</v>
      </c>
    </row>
    <row r="85" spans="2:6" ht="24.4" customHeight="1" x14ac:dyDescent="0.35">
      <c r="B85" s="338" t="s">
        <v>357</v>
      </c>
      <c r="C85" s="338"/>
      <c r="D85" s="338"/>
      <c r="E85" s="338"/>
      <c r="F85" s="338"/>
    </row>
    <row r="86" spans="2:6" x14ac:dyDescent="0.35">
      <c r="B86" s="47" t="s">
        <v>257</v>
      </c>
      <c r="C86" s="188">
        <f>Valuation_Model!C7</f>
        <v>285396383</v>
      </c>
      <c r="D86" s="1" t="str">
        <f>Reporting_currency</f>
        <v>CNY</v>
      </c>
    </row>
    <row r="87" spans="2:6" x14ac:dyDescent="0.35">
      <c r="B87" s="47" t="s">
        <v>288</v>
      </c>
      <c r="C87" s="248">
        <f>C86*C28*Exchange_Rate/Common_Shares</f>
        <v>0.22096285391631576</v>
      </c>
      <c r="D87" s="1" t="str">
        <f>Market_currency</f>
        <v>HKD</v>
      </c>
    </row>
    <row r="89" spans="2:6" x14ac:dyDescent="0.35">
      <c r="B89" s="1" t="s">
        <v>256</v>
      </c>
    </row>
    <row r="90" spans="2:6" x14ac:dyDescent="0.35">
      <c r="B90" s="47" t="s">
        <v>267</v>
      </c>
      <c r="C90" s="188">
        <f>BS!C66</f>
        <v>17978772896</v>
      </c>
      <c r="D90" s="1" t="str">
        <f>Reporting_currency</f>
        <v>CNY</v>
      </c>
    </row>
    <row r="91" spans="2:6" x14ac:dyDescent="0.35">
      <c r="B91" s="47" t="s">
        <v>269</v>
      </c>
      <c r="C91" s="188">
        <f>Valuation_Model!C8</f>
        <v>12800999484.566097</v>
      </c>
      <c r="D91" s="1" t="str">
        <f>Reporting_currency</f>
        <v>CNY</v>
      </c>
    </row>
    <row r="92" spans="2:6" x14ac:dyDescent="0.35">
      <c r="B92" s="47" t="s">
        <v>289</v>
      </c>
      <c r="C92" s="248">
        <f>C91*C28*Exchange_Rate/Common_Shares</f>
        <v>9.9109363242736404</v>
      </c>
      <c r="D92" s="1" t="str">
        <f>Market_currency</f>
        <v>HKD</v>
      </c>
    </row>
    <row r="94" spans="2:6" x14ac:dyDescent="0.35">
      <c r="B94" s="1" t="s">
        <v>258</v>
      </c>
    </row>
    <row r="95" spans="2:6" x14ac:dyDescent="0.35">
      <c r="B95" s="47" t="s">
        <v>259</v>
      </c>
      <c r="C95" s="188">
        <f>Valuation_Model!C9</f>
        <v>2755411575.5</v>
      </c>
      <c r="D95" s="1" t="str">
        <f>Reporting_currency</f>
        <v>CNY</v>
      </c>
    </row>
    <row r="96" spans="2:6" x14ac:dyDescent="0.35">
      <c r="B96" s="47" t="s">
        <v>290</v>
      </c>
      <c r="C96" s="248">
        <f>C95*C28*Exchange_Rate/Common_Shares</f>
        <v>2.1333262847852277</v>
      </c>
      <c r="D96" s="1" t="str">
        <f>Market_currency</f>
        <v>HKD</v>
      </c>
    </row>
    <row r="98" spans="1:6" ht="24.4" customHeight="1" x14ac:dyDescent="0.35">
      <c r="B98" s="338" t="s">
        <v>382</v>
      </c>
      <c r="C98" s="338"/>
      <c r="D98" s="338"/>
      <c r="E98" s="338"/>
      <c r="F98" s="338"/>
    </row>
    <row r="100" spans="1:6" x14ac:dyDescent="0.35">
      <c r="B100" s="47" t="s">
        <v>286</v>
      </c>
      <c r="C100" s="248">
        <f>Valuation_Model!C12</f>
        <v>39.683615351565606</v>
      </c>
      <c r="D100" s="1" t="str">
        <f>Market_currency</f>
        <v>HKD</v>
      </c>
    </row>
    <row r="102" spans="1:6" ht="13.9" x14ac:dyDescent="0.45">
      <c r="A102" s="247" t="s">
        <v>372</v>
      </c>
      <c r="B102" s="36"/>
      <c r="C102" s="36"/>
      <c r="D102" s="36"/>
      <c r="E102" s="36"/>
      <c r="F102" s="36"/>
    </row>
    <row r="104" spans="1:6" ht="24.4" customHeight="1" x14ac:dyDescent="0.35">
      <c r="B104" s="339" t="s">
        <v>383</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0.1</v>
      </c>
      <c r="D107" s="257">
        <f>Valuation_Model!D74</f>
        <v>15</v>
      </c>
      <c r="E107" s="258" t="str">
        <f>ROUND(Valuation_Model!E74,2)&amp;" "&amp;Market_currency</f>
        <v>60.32 HKD</v>
      </c>
      <c r="F107" s="259">
        <f>Valuation_Model!F74</f>
        <v>0.05</v>
      </c>
    </row>
    <row r="108" spans="1:6" x14ac:dyDescent="0.35">
      <c r="B108" s="242" t="str">
        <f>Valuation_Model!B75</f>
        <v>Optimistic</v>
      </c>
      <c r="C108" s="243">
        <f>Valuation_Model!C75</f>
        <v>0.06</v>
      </c>
      <c r="D108" s="244">
        <f>Valuation_Model!D75</f>
        <v>10</v>
      </c>
      <c r="E108" s="245" t="str">
        <f>ROUND(Valuation_Model!E75,2)&amp;" "&amp;Market_currency</f>
        <v>45.64 HKD</v>
      </c>
      <c r="F108" s="246">
        <f>Valuation_Model!F75</f>
        <v>0.18</v>
      </c>
    </row>
    <row r="109" spans="1:6" x14ac:dyDescent="0.35">
      <c r="B109" s="242" t="str">
        <f>Valuation_Model!B76</f>
        <v>Base</v>
      </c>
      <c r="C109" s="243">
        <f>Valuation_Model!C76</f>
        <v>0.04</v>
      </c>
      <c r="D109" s="244">
        <f>Valuation_Model!D76</f>
        <v>10</v>
      </c>
      <c r="E109" s="245" t="str">
        <f>ROUND(Valuation_Model!E76,2)&amp;" "&amp;Market_currency</f>
        <v>43.46 HKD</v>
      </c>
      <c r="F109" s="246">
        <f>Valuation_Model!F76</f>
        <v>0.53999999999999992</v>
      </c>
    </row>
    <row r="110" spans="1:6" x14ac:dyDescent="0.35">
      <c r="B110" s="242" t="str">
        <f>Valuation_Model!B77</f>
        <v>Pessimistic</v>
      </c>
      <c r="C110" s="243">
        <f>Valuation_Model!C77</f>
        <v>0.02</v>
      </c>
      <c r="D110" s="244">
        <f>Valuation_Model!D77</f>
        <v>10</v>
      </c>
      <c r="E110" s="245" t="str">
        <f>ROUND(Valuation_Model!E77,2)&amp;" "&amp;Market_currency</f>
        <v>41.48 HKD</v>
      </c>
      <c r="F110" s="246">
        <f>Valuation_Model!F77</f>
        <v>0.18</v>
      </c>
    </row>
    <row r="111" spans="1:6" x14ac:dyDescent="0.35">
      <c r="B111" s="242" t="str">
        <f>Valuation_Model!B78</f>
        <v>Devil's advocate</v>
      </c>
      <c r="C111" s="243">
        <f>Valuation_Model!C78</f>
        <v>0</v>
      </c>
      <c r="D111" s="244">
        <f>Valuation_Model!D78</f>
        <v>15</v>
      </c>
      <c r="E111" s="245" t="str">
        <f>ROUND(Valuation_Model!E78,2)&amp;" "&amp;Market_currency</f>
        <v>39.68 HKD</v>
      </c>
      <c r="F111" s="246">
        <f>Valuation_Model!F78</f>
        <v>0.05</v>
      </c>
    </row>
    <row r="113" spans="1:6" x14ac:dyDescent="0.35">
      <c r="B113" s="235" t="s">
        <v>260</v>
      </c>
      <c r="C113" s="241">
        <f>Scenarios!C60</f>
        <v>44.151846267899231</v>
      </c>
      <c r="D113" s="236" t="str">
        <f>Market_currency</f>
        <v>HKD</v>
      </c>
    </row>
    <row r="115" spans="1:6" ht="24.4" customHeight="1" x14ac:dyDescent="0.35">
      <c r="B115" s="342" t="s">
        <v>386</v>
      </c>
      <c r="C115" s="342"/>
      <c r="D115" s="342"/>
      <c r="E115" s="342"/>
      <c r="F115" s="342"/>
    </row>
    <row r="117" spans="1:6" ht="13.9" x14ac:dyDescent="0.45">
      <c r="A117" s="247" t="s">
        <v>373</v>
      </c>
      <c r="B117" s="36"/>
      <c r="C117" s="36"/>
      <c r="D117" s="36"/>
      <c r="E117" s="36"/>
      <c r="F117" s="36"/>
    </row>
    <row r="119" spans="1:6" x14ac:dyDescent="0.35">
      <c r="B119" s="343" t="s">
        <v>384</v>
      </c>
      <c r="C119" s="343"/>
      <c r="D119" s="343"/>
      <c r="E119" s="343"/>
      <c r="F119" s="343"/>
    </row>
    <row r="120" spans="1:6" ht="24.4" customHeight="1" x14ac:dyDescent="0.35">
      <c r="B120" s="338" t="s">
        <v>385</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2.0829308503408979</v>
      </c>
      <c r="D124" s="236" t="str">
        <f>Market_currency</f>
        <v>HKD</v>
      </c>
    </row>
    <row r="126" spans="1:6" x14ac:dyDescent="0.35">
      <c r="B126" s="234" t="s">
        <v>265</v>
      </c>
    </row>
    <row r="127" spans="1:6" x14ac:dyDescent="0.35">
      <c r="B127" s="236" t="str">
        <f>"PV("&amp;C122&amp;" yrs of Dividends)"</f>
        <v>PV(3 yrs of Dividends)</v>
      </c>
      <c r="C127" s="240">
        <f>Scenarios!C81</f>
        <v>4.0658810198654329</v>
      </c>
    </row>
    <row r="128" spans="1:6" x14ac:dyDescent="0.35">
      <c r="B128" s="236" t="str">
        <f>"+ PV(Equity Value realized at year "&amp;C122&amp;")"</f>
        <v>+ PV(Equity Value realized at year 3)</v>
      </c>
      <c r="C128" s="240">
        <f>Scenarios!C82</f>
        <v>22.605745289164407</v>
      </c>
    </row>
    <row r="129" spans="1:6" x14ac:dyDescent="0.35">
      <c r="B129" s="80" t="s">
        <v>262</v>
      </c>
      <c r="C129" s="239">
        <f>Scenarios!C83</f>
        <v>26.67162630902984</v>
      </c>
      <c r="D129" s="47" t="str">
        <f>Reporting_currency</f>
        <v>CNY</v>
      </c>
    </row>
    <row r="130" spans="1:6" x14ac:dyDescent="0.35">
      <c r="B130" s="238" t="s">
        <v>264</v>
      </c>
      <c r="C130" s="92">
        <f>Scenarios!F83</f>
        <v>0.39591141563605348</v>
      </c>
    </row>
    <row r="132" spans="1:6" ht="13.9" x14ac:dyDescent="0.45">
      <c r="A132" s="247" t="s">
        <v>390</v>
      </c>
      <c r="B132" s="36"/>
      <c r="C132" s="36"/>
      <c r="D132" s="36"/>
      <c r="E132" s="36"/>
      <c r="F132" s="36"/>
    </row>
    <row r="134" spans="1:6" x14ac:dyDescent="0.35">
      <c r="B134" s="337" t="s">
        <v>392</v>
      </c>
      <c r="C134" s="338"/>
      <c r="D134" s="338"/>
      <c r="E134" s="338"/>
      <c r="F134" s="338"/>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9" t="s">
        <v>397</v>
      </c>
      <c r="C143" s="339"/>
      <c r="D143" s="339"/>
      <c r="E143" s="339"/>
      <c r="F143" s="339"/>
    </row>
    <row r="145" spans="2:6" x14ac:dyDescent="0.35">
      <c r="B145" s="1" t="s">
        <v>401</v>
      </c>
    </row>
    <row r="146" spans="2:6" ht="24.4" customHeight="1" x14ac:dyDescent="0.35">
      <c r="B146" s="336" t="s">
        <v>398</v>
      </c>
      <c r="C146" s="336"/>
      <c r="D146" s="336"/>
      <c r="E146" s="336"/>
      <c r="F146" s="336"/>
    </row>
    <row r="147" spans="2:6" ht="24.4" customHeight="1" x14ac:dyDescent="0.35">
      <c r="B147" s="336" t="s">
        <v>399</v>
      </c>
      <c r="C147" s="336"/>
      <c r="D147" s="336"/>
      <c r="E147" s="336"/>
      <c r="F147" s="336"/>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C67" sqref="C67"/>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v>
      </c>
    </row>
    <row r="4" spans="2:13" x14ac:dyDescent="0.35">
      <c r="B4" s="32" t="s">
        <v>2</v>
      </c>
      <c r="C4" s="181">
        <v>32137830111</v>
      </c>
      <c r="D4" s="181">
        <v>33936522741</v>
      </c>
      <c r="E4" s="181">
        <v>32171565624</v>
      </c>
      <c r="F4" s="181">
        <v>30166805377</v>
      </c>
      <c r="G4" s="181">
        <v>27759710926</v>
      </c>
      <c r="H4" s="181"/>
      <c r="I4" s="181"/>
      <c r="J4" s="181"/>
      <c r="K4" s="181"/>
      <c r="L4" s="181"/>
      <c r="M4" s="181"/>
    </row>
    <row r="5" spans="2:13" x14ac:dyDescent="0.35">
      <c r="B5" s="40" t="s">
        <v>44</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x14ac:dyDescent="0.35">
      <c r="B6" s="40" t="s">
        <v>55</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x14ac:dyDescent="0.35">
      <c r="B7" s="69" t="s">
        <v>62</v>
      </c>
      <c r="C7" s="189">
        <v>4602519864</v>
      </c>
      <c r="D7" s="189">
        <v>4708402798</v>
      </c>
      <c r="E7" s="189">
        <v>4199502747</v>
      </c>
      <c r="F7" s="189">
        <v>4096874125</v>
      </c>
      <c r="G7" s="189">
        <v>4984549837</v>
      </c>
      <c r="H7" s="189"/>
      <c r="I7" s="189"/>
      <c r="J7" s="189"/>
      <c r="K7" s="189"/>
      <c r="L7" s="189"/>
      <c r="M7" s="189"/>
    </row>
    <row r="8" spans="2:13" x14ac:dyDescent="0.35">
      <c r="B8" s="40" t="s">
        <v>50</v>
      </c>
      <c r="C8" s="181">
        <v>102766675</v>
      </c>
      <c r="D8" s="181">
        <v>100637006</v>
      </c>
      <c r="E8" s="181">
        <v>62954899</v>
      </c>
      <c r="F8" s="181">
        <v>30890245</v>
      </c>
      <c r="G8" s="181">
        <v>21467092</v>
      </c>
      <c r="H8" s="181"/>
      <c r="I8" s="181"/>
      <c r="J8" s="181"/>
      <c r="K8" s="181"/>
      <c r="L8" s="181"/>
      <c r="M8" s="181"/>
    </row>
    <row r="9" spans="2:13" x14ac:dyDescent="0.35">
      <c r="B9" s="40" t="s">
        <v>161</v>
      </c>
      <c r="C9" s="181">
        <v>48272283</v>
      </c>
      <c r="D9" s="181">
        <v>15798284</v>
      </c>
      <c r="E9" s="181">
        <v>19873379</v>
      </c>
      <c r="F9" s="181">
        <v>20561728</v>
      </c>
      <c r="G9" s="181">
        <v>18098320</v>
      </c>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21837054</v>
      </c>
      <c r="D12" s="181">
        <v>16430590</v>
      </c>
      <c r="E12" s="181">
        <v>9237800</v>
      </c>
      <c r="F12" s="181">
        <v>22685367</v>
      </c>
      <c r="G12" s="181">
        <v>13662682</v>
      </c>
      <c r="H12" s="181"/>
      <c r="I12" s="181"/>
      <c r="J12" s="181"/>
      <c r="K12" s="181"/>
      <c r="L12" s="181"/>
      <c r="M12" s="181"/>
    </row>
    <row r="13" spans="2:13" x14ac:dyDescent="0.35">
      <c r="B13" s="40" t="s">
        <v>68</v>
      </c>
      <c r="C13" s="181">
        <v>616771200</v>
      </c>
      <c r="D13" s="181">
        <v>506376003</v>
      </c>
      <c r="E13" s="181">
        <v>459661656</v>
      </c>
      <c r="F13" s="181">
        <v>315648307</v>
      </c>
      <c r="G13" s="181">
        <v>524029340</v>
      </c>
      <c r="H13" s="181"/>
      <c r="I13" s="181"/>
      <c r="J13" s="181"/>
      <c r="K13" s="181"/>
      <c r="L13" s="181"/>
      <c r="M13" s="181"/>
    </row>
    <row r="14" spans="2:13" x14ac:dyDescent="0.35">
      <c r="B14" s="40" t="s">
        <v>51</v>
      </c>
      <c r="C14" s="181">
        <v>1389716314</v>
      </c>
      <c r="D14" s="181">
        <v>1398208378</v>
      </c>
      <c r="E14" s="181">
        <v>1201419808</v>
      </c>
      <c r="F14" s="181">
        <v>1222731595</v>
      </c>
      <c r="G14" s="181">
        <v>912580519</v>
      </c>
      <c r="H14" s="181"/>
      <c r="I14" s="181"/>
      <c r="J14" s="181"/>
      <c r="K14" s="181"/>
      <c r="L14" s="181"/>
      <c r="M14" s="181"/>
    </row>
    <row r="15" spans="2:13" x14ac:dyDescent="0.35">
      <c r="B15" s="43" t="s">
        <v>43</v>
      </c>
      <c r="C15" s="182">
        <v>4491776686</v>
      </c>
      <c r="D15" s="182">
        <v>4348198924</v>
      </c>
      <c r="E15" s="182">
        <v>3804721478</v>
      </c>
      <c r="F15" s="182">
        <v>3256243870</v>
      </c>
      <c r="G15" s="182">
        <v>2326968805</v>
      </c>
      <c r="H15" s="182"/>
      <c r="I15" s="182"/>
      <c r="J15" s="182"/>
      <c r="K15" s="182"/>
      <c r="L15" s="182"/>
      <c r="M15" s="182"/>
    </row>
    <row r="16" spans="2:13" x14ac:dyDescent="0.35">
      <c r="B16" s="28" t="s">
        <v>45</v>
      </c>
      <c r="C16" s="181">
        <v>146792828</v>
      </c>
      <c r="D16" s="181">
        <v>80347518</v>
      </c>
      <c r="E16" s="181">
        <v>94092885</v>
      </c>
      <c r="F16" s="181">
        <v>100788060</v>
      </c>
      <c r="G16" s="181">
        <v>125645249</v>
      </c>
      <c r="H16" s="181"/>
      <c r="I16" s="181"/>
      <c r="J16" s="181"/>
      <c r="K16" s="181"/>
      <c r="L16" s="181"/>
      <c r="M16" s="181"/>
    </row>
    <row r="18" spans="2:13" x14ac:dyDescent="0.35">
      <c r="B18" s="16" t="s">
        <v>52</v>
      </c>
      <c r="C18" s="9"/>
    </row>
    <row r="19" spans="2:13" x14ac:dyDescent="0.35">
      <c r="B19" s="27" t="s">
        <v>48</v>
      </c>
      <c r="C19" s="181">
        <v>1191305772</v>
      </c>
      <c r="D19" s="181">
        <v>1140399624</v>
      </c>
      <c r="E19" s="181">
        <v>1083856796</v>
      </c>
      <c r="F19" s="181">
        <v>1109733268</v>
      </c>
      <c r="G19" s="181"/>
      <c r="H19" s="181"/>
      <c r="I19" s="181"/>
      <c r="J19" s="181"/>
      <c r="K19" s="181"/>
      <c r="L19" s="181"/>
      <c r="M19" s="181"/>
    </row>
    <row r="20" spans="2:13" x14ac:dyDescent="0.35">
      <c r="B20" s="27" t="s">
        <v>54</v>
      </c>
      <c r="C20" s="181">
        <f>C19</f>
        <v>1191305772</v>
      </c>
      <c r="D20" s="181">
        <f>D19</f>
        <v>1140399624</v>
      </c>
      <c r="E20" s="181">
        <f>E19</f>
        <v>1083856796</v>
      </c>
      <c r="F20" s="181">
        <f>F19</f>
        <v>1109733268</v>
      </c>
      <c r="G20" s="181"/>
      <c r="H20" s="181"/>
      <c r="I20" s="181"/>
      <c r="J20" s="181"/>
      <c r="K20" s="181"/>
      <c r="L20" s="181"/>
      <c r="M20" s="181"/>
    </row>
    <row r="21" spans="2:13" x14ac:dyDescent="0.35">
      <c r="B21" s="27" t="s">
        <v>53</v>
      </c>
      <c r="C21" s="181">
        <v>583532518</v>
      </c>
      <c r="D21" s="181">
        <v>1575918543</v>
      </c>
      <c r="E21" s="181">
        <v>878667968</v>
      </c>
      <c r="F21" s="181">
        <v>2804548241</v>
      </c>
      <c r="G21" s="181"/>
      <c r="H21" s="181"/>
      <c r="I21" s="181"/>
      <c r="J21" s="181"/>
      <c r="K21" s="181"/>
      <c r="L21" s="181"/>
      <c r="M21" s="181"/>
    </row>
    <row r="22" spans="2:13" x14ac:dyDescent="0.35">
      <c r="B22" s="27" t="s">
        <v>387</v>
      </c>
      <c r="C22" s="181">
        <v>5154661132</v>
      </c>
      <c r="D22" s="181">
        <v>2777567140</v>
      </c>
      <c r="E22" s="181">
        <v>4878771322</v>
      </c>
      <c r="F22" s="181">
        <v>6043111455</v>
      </c>
      <c r="G22" s="181">
        <v>4953422362</v>
      </c>
      <c r="H22" s="181"/>
      <c r="I22" s="181"/>
      <c r="J22" s="181"/>
      <c r="K22" s="181"/>
      <c r="L22" s="181"/>
      <c r="M22" s="181"/>
    </row>
    <row r="23" spans="2:13" x14ac:dyDescent="0.35">
      <c r="B23" s="27" t="s">
        <v>389</v>
      </c>
      <c r="C23" s="181">
        <v>-7421783375</v>
      </c>
      <c r="D23" s="181">
        <v>-3462971412</v>
      </c>
      <c r="E23" s="181">
        <v>-2199108158</v>
      </c>
      <c r="F23" s="181">
        <v>-10249763562</v>
      </c>
      <c r="G23" s="181">
        <v>-1487738165</v>
      </c>
      <c r="H23" s="181"/>
      <c r="I23" s="181"/>
      <c r="J23" s="181"/>
      <c r="K23" s="181"/>
      <c r="L23" s="181"/>
      <c r="M23" s="181"/>
    </row>
    <row r="24" spans="2:13" x14ac:dyDescent="0.35">
      <c r="B24" s="27" t="s">
        <v>388</v>
      </c>
      <c r="C24" s="181">
        <v>-2983143705</v>
      </c>
      <c r="D24" s="181">
        <v>-2868065880</v>
      </c>
      <c r="E24" s="181">
        <v>-1675712527</v>
      </c>
      <c r="F24" s="181">
        <v>-1613622636</v>
      </c>
      <c r="G24" s="181">
        <v>-356090851</v>
      </c>
      <c r="H24" s="181"/>
      <c r="I24" s="181"/>
      <c r="J24" s="181"/>
      <c r="K24" s="181"/>
      <c r="L24" s="181"/>
      <c r="M24" s="181"/>
    </row>
    <row r="25" spans="2:13" x14ac:dyDescent="0.35">
      <c r="B25" s="24" t="str">
        <f>"Dividend per share ("&amp;Market_currency&amp;")"</f>
        <v>Dividend per share (HKD)</v>
      </c>
      <c r="C25" s="39">
        <f>2.2/Exchange_Rate</f>
        <v>2.0829308503408979</v>
      </c>
      <c r="D25" s="39">
        <f>2/Exchange_Rate</f>
        <v>1.8935735003099068</v>
      </c>
      <c r="E25" s="39">
        <f>1.3/Exchange_Rate</f>
        <v>1.2308227752014396</v>
      </c>
      <c r="F25" s="39">
        <f>1.1/Exchange_Rate</f>
        <v>1.0414654251704489</v>
      </c>
      <c r="G25" s="39">
        <f>0.75/Exchange_Rate</f>
        <v>0.7100900626162151</v>
      </c>
      <c r="H25" s="39"/>
      <c r="I25" s="39"/>
      <c r="J25" s="39"/>
      <c r="K25" s="39"/>
      <c r="L25" s="39"/>
      <c r="M25" s="39"/>
    </row>
    <row r="27" spans="2:13" x14ac:dyDescent="0.35">
      <c r="B27" s="16" t="s">
        <v>28</v>
      </c>
      <c r="C27" s="97" t="s">
        <v>415</v>
      </c>
    </row>
    <row r="28" spans="2:13" x14ac:dyDescent="0.35">
      <c r="B28" s="26" t="s">
        <v>24</v>
      </c>
      <c r="C28" s="183">
        <f>BS!C4</f>
        <v>185704725</v>
      </c>
      <c r="D28" s="181">
        <v>100391321</v>
      </c>
      <c r="E28" s="181">
        <v>124099728</v>
      </c>
      <c r="F28" s="181">
        <v>124929816</v>
      </c>
      <c r="G28" s="181">
        <v>125155008</v>
      </c>
      <c r="H28" s="181"/>
      <c r="I28" s="181"/>
      <c r="J28" s="181"/>
      <c r="K28" s="181"/>
      <c r="L28" s="181"/>
      <c r="M28" s="181"/>
    </row>
    <row r="29" spans="2:13" x14ac:dyDescent="0.35">
      <c r="B29" s="26" t="s">
        <v>32</v>
      </c>
      <c r="C29" s="183">
        <f>BS!C6</f>
        <v>3576387537</v>
      </c>
      <c r="D29" s="181">
        <v>3539828305</v>
      </c>
      <c r="E29" s="181">
        <v>4152187132</v>
      </c>
      <c r="F29" s="181">
        <v>3492997857</v>
      </c>
      <c r="G29" s="181">
        <v>3281033526</v>
      </c>
      <c r="H29" s="181"/>
      <c r="I29" s="181"/>
      <c r="J29" s="181"/>
      <c r="K29" s="181"/>
      <c r="L29" s="181"/>
      <c r="M29" s="181"/>
    </row>
    <row r="30" spans="2:13" x14ac:dyDescent="0.35">
      <c r="B30" s="29" t="s">
        <v>40</v>
      </c>
      <c r="C30" s="186">
        <f>BS!C33+BS!C42</f>
        <v>21560843821</v>
      </c>
      <c r="D30" s="182">
        <v>21001264174</v>
      </c>
      <c r="E30" s="182">
        <v>24039387261</v>
      </c>
      <c r="F30" s="182">
        <v>22769313149</v>
      </c>
      <c r="G30" s="182">
        <v>20146133669</v>
      </c>
      <c r="H30" s="182"/>
      <c r="I30" s="182"/>
      <c r="J30" s="182"/>
      <c r="K30" s="182"/>
      <c r="L30" s="182"/>
      <c r="M30" s="182"/>
    </row>
    <row r="31" spans="2:13" x14ac:dyDescent="0.35">
      <c r="B31" s="29" t="s">
        <v>30</v>
      </c>
      <c r="C31" s="186">
        <f>BS!G27</f>
        <v>29859542011</v>
      </c>
      <c r="D31" s="182">
        <v>28254747175</v>
      </c>
      <c r="E31" s="182">
        <v>26272312535</v>
      </c>
      <c r="F31" s="182">
        <v>23793691342</v>
      </c>
      <c r="G31" s="182">
        <v>21368052166</v>
      </c>
      <c r="H31" s="182"/>
      <c r="I31" s="182"/>
      <c r="J31" s="182"/>
      <c r="K31" s="182"/>
      <c r="L31" s="182"/>
      <c r="M31" s="182"/>
    </row>
    <row r="32" spans="2:13" x14ac:dyDescent="0.35">
      <c r="B32" s="26" t="s">
        <v>174</v>
      </c>
      <c r="C32" s="183">
        <f>BS!G28</f>
        <v>799157484</v>
      </c>
      <c r="D32" s="181">
        <v>805268959</v>
      </c>
      <c r="E32" s="181">
        <v>777490832</v>
      </c>
      <c r="F32" s="181">
        <v>791846744</v>
      </c>
      <c r="G32" s="182">
        <v>746091651</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410</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2.0829308503408979</v>
      </c>
      <c r="D65" s="73">
        <f t="shared" ref="D65:M65" si="33">IF(D$4="","",D25)</f>
        <v>1.8935735003099068</v>
      </c>
      <c r="E65" s="73">
        <f t="shared" si="33"/>
        <v>1.2308227752014396</v>
      </c>
      <c r="F65" s="73">
        <f t="shared" si="33"/>
        <v>1.0414654251704489</v>
      </c>
      <c r="G65" s="73">
        <f t="shared" si="33"/>
        <v>0.7100900626162151</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x14ac:dyDescent="0.35">
      <c r="B78" s="93" t="s">
        <v>88</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x14ac:dyDescent="0.35">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f>Normalized_FCF!G1</f>
        <v>45657</v>
      </c>
      <c r="F1" s="86" t="str">
        <f>IF(MONTH(C1)=MONTH(Normalized_FCF!G1),"FY","Quarter")&amp;" Report"</f>
        <v>FY Report</v>
      </c>
      <c r="H1" s="107">
        <f>Data!C3</f>
        <v>1</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102420347+83284378</f>
        <v>185704725</v>
      </c>
      <c r="D4" s="294">
        <v>0.6</v>
      </c>
      <c r="E4" s="25"/>
      <c r="F4" s="4" t="s">
        <v>79</v>
      </c>
      <c r="G4" s="19">
        <v>17978772896</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3576387537</v>
      </c>
      <c r="D6" s="294">
        <v>0.5</v>
      </c>
      <c r="E6" s="25"/>
      <c r="F6" s="4" t="s">
        <v>179</v>
      </c>
      <c r="G6" s="19">
        <v>0</v>
      </c>
      <c r="H6" s="294">
        <v>0.6</v>
      </c>
    </row>
    <row r="7" spans="2:8" ht="15" customHeight="1" x14ac:dyDescent="0.35">
      <c r="B7" s="1" t="s">
        <v>70</v>
      </c>
      <c r="C7" s="19">
        <v>0</v>
      </c>
      <c r="D7" s="294">
        <v>0.6</v>
      </c>
      <c r="E7" s="25"/>
      <c r="F7" s="4" t="s">
        <v>180</v>
      </c>
      <c r="G7" s="19">
        <v>2021804089</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241896760</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f>51713930+1132635624</f>
        <v>1184349554</v>
      </c>
      <c r="D11" s="294">
        <v>0.05</v>
      </c>
      <c r="H11" s="295"/>
    </row>
    <row r="12" spans="2:8" ht="15" customHeight="1" x14ac:dyDescent="0.35">
      <c r="B12" s="80" t="s">
        <v>73</v>
      </c>
      <c r="C12" s="81">
        <f>SUM(C4:C11)</f>
        <v>5188338576</v>
      </c>
      <c r="D12" s="20">
        <f>C4*D4+C5*D5+C9*D9+C6*D6+C8*D8+C7*D7+C10*D10+C11*D11</f>
        <v>1983023757.2</v>
      </c>
      <c r="F12" s="80" t="s">
        <v>71</v>
      </c>
      <c r="G12" s="81">
        <f>SUM(G4:G9)</f>
        <v>20000576985</v>
      </c>
      <c r="H12" s="20">
        <f>G4*H4+G5*H5+G6*H6+G7*H7+G8*H8+G9*H9</f>
        <v>17393978059.799999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2498379750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11817650634+630874619+115672625+85702449</f>
        <v>12649900327</v>
      </c>
      <c r="D19" s="294">
        <v>0.1</v>
      </c>
      <c r="F19" s="4" t="s">
        <v>184</v>
      </c>
      <c r="G19" s="19">
        <v>391873803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2684120584</v>
      </c>
      <c r="D21" s="294">
        <v>0.05</v>
      </c>
      <c r="F21" s="1" t="s">
        <v>182</v>
      </c>
      <c r="G21" s="19">
        <v>41138918</v>
      </c>
      <c r="H21" s="294">
        <v>0.1</v>
      </c>
    </row>
    <row r="22" spans="2:8" ht="15" customHeight="1" x14ac:dyDescent="0.35">
      <c r="B22" s="4" t="s">
        <v>20</v>
      </c>
      <c r="C22" s="19">
        <v>1930039528</v>
      </c>
      <c r="D22" s="294">
        <v>0.9</v>
      </c>
      <c r="H22" s="295"/>
    </row>
    <row r="23" spans="2:8" ht="15" customHeight="1" x14ac:dyDescent="0.35">
      <c r="B23" s="4" t="s">
        <v>21</v>
      </c>
      <c r="C23" s="19">
        <f>1307103982+4728913379</f>
        <v>6036017361</v>
      </c>
      <c r="D23" s="294">
        <v>0</v>
      </c>
      <c r="H23" s="295"/>
    </row>
    <row r="24" spans="2:8" ht="15" customHeight="1" x14ac:dyDescent="0.35">
      <c r="B24" s="80" t="s">
        <v>75</v>
      </c>
      <c r="C24" s="81">
        <f>SUM(C15:C23)</f>
        <v>23300077800</v>
      </c>
      <c r="D24" s="20">
        <f>C15*D15+C16*D16+C18*D18+C17*D17+C19*D19+C20*D20+C21*D21+C22*D22+C23*D23</f>
        <v>3136231637.1000004</v>
      </c>
      <c r="F24" s="80" t="s">
        <v>72</v>
      </c>
      <c r="G24" s="81">
        <f>SUM(G15:G21)</f>
        <v>2931392471</v>
      </c>
      <c r="H24" s="20">
        <f>G15*H15+G16*H16+G17*H17+G18*H18+G19*H19+G20*H20+G21*H21</f>
        <v>1542329122.0999999</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29859542011</v>
      </c>
      <c r="H27" s="209">
        <f>H32-G30</f>
        <v>2494718755.1999969</v>
      </c>
    </row>
    <row r="28" spans="2:8" ht="15" customHeight="1" x14ac:dyDescent="0.35">
      <c r="B28" s="4" t="s">
        <v>6</v>
      </c>
      <c r="C28" s="19">
        <v>0</v>
      </c>
      <c r="F28" s="210" t="s">
        <v>246</v>
      </c>
      <c r="G28" s="181">
        <v>799157484</v>
      </c>
      <c r="H28" s="209"/>
    </row>
    <row r="29" spans="2:8" ht="15" customHeight="1" x14ac:dyDescent="0.35">
      <c r="B29" s="4" t="s">
        <v>7</v>
      </c>
      <c r="C29" s="19">
        <v>0</v>
      </c>
      <c r="F29" s="211" t="s">
        <v>77</v>
      </c>
      <c r="G29" s="14">
        <f>G27-G28</f>
        <v>29060384527</v>
      </c>
      <c r="H29" s="209">
        <f>H27-G28</f>
        <v>1695561271.1999969</v>
      </c>
    </row>
    <row r="30" spans="2:8" ht="15" customHeight="1" x14ac:dyDescent="0.35">
      <c r="B30" s="2" t="s">
        <v>8</v>
      </c>
      <c r="C30" s="19">
        <v>217159673</v>
      </c>
      <c r="F30" s="208" t="s">
        <v>23</v>
      </c>
      <c r="G30" s="85">
        <f>C33+C42</f>
        <v>21560843821</v>
      </c>
      <c r="H30" s="209"/>
    </row>
    <row r="31" spans="2:8" ht="15" customHeight="1" x14ac:dyDescent="0.35">
      <c r="B31" s="80" t="s">
        <v>205</v>
      </c>
      <c r="C31" s="81">
        <f>SUM(C27:C30)</f>
        <v>217159673</v>
      </c>
      <c r="F31" s="211" t="s">
        <v>78</v>
      </c>
      <c r="G31" s="212">
        <f>C31+C40</f>
        <v>285396383</v>
      </c>
      <c r="H31" s="209"/>
    </row>
    <row r="32" spans="2:8" ht="15" customHeight="1" x14ac:dyDescent="0.35">
      <c r="B32" s="4" t="s">
        <v>9</v>
      </c>
      <c r="C32" s="21">
        <f>C33-C31</f>
        <v>17305171626</v>
      </c>
      <c r="F32" s="213" t="s">
        <v>76</v>
      </c>
      <c r="G32" s="214">
        <f>G35+G40</f>
        <v>51420385832</v>
      </c>
      <c r="H32" s="209">
        <f>H35+H40</f>
        <v>24055562576.199997</v>
      </c>
    </row>
    <row r="33" spans="2:8" ht="15" customHeight="1" x14ac:dyDescent="0.35">
      <c r="B33" s="83" t="s">
        <v>4</v>
      </c>
      <c r="C33" s="84">
        <v>17522331299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28488416376</v>
      </c>
      <c r="H35" s="221">
        <f>D12+D24</f>
        <v>5119255394.3000002</v>
      </c>
    </row>
    <row r="36" spans="2:8" ht="15" customHeight="1" x14ac:dyDescent="0.35">
      <c r="B36" s="4" t="s">
        <v>13</v>
      </c>
      <c r="C36" s="19">
        <v>0</v>
      </c>
      <c r="F36" s="211" t="s">
        <v>199</v>
      </c>
      <c r="G36" s="212">
        <f>C4+C15</f>
        <v>185704725</v>
      </c>
      <c r="H36" s="216"/>
    </row>
    <row r="37" spans="2:8" ht="15" customHeight="1" x14ac:dyDescent="0.35">
      <c r="B37" s="4" t="s">
        <v>14</v>
      </c>
      <c r="C37" s="19">
        <v>68236710</v>
      </c>
      <c r="F37" s="211" t="s">
        <v>200</v>
      </c>
      <c r="G37" s="212">
        <f>C6</f>
        <v>3576387537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12649900327</v>
      </c>
      <c r="H39" s="209">
        <f>C7*D7+C17*D17+C19*D19+C20*D20</f>
        <v>1264990032.7</v>
      </c>
    </row>
    <row r="40" spans="2:8" ht="15" customHeight="1" x14ac:dyDescent="0.35">
      <c r="B40" s="80" t="s">
        <v>206</v>
      </c>
      <c r="C40" s="81">
        <f>SUM(C36:C39)</f>
        <v>68236710</v>
      </c>
      <c r="F40" s="220" t="s">
        <v>140</v>
      </c>
      <c r="G40" s="214">
        <f>G12+G24</f>
        <v>22931969456</v>
      </c>
      <c r="H40" s="221">
        <f>H12+H24</f>
        <v>18936307181.899998</v>
      </c>
    </row>
    <row r="41" spans="2:8" ht="15" customHeight="1" x14ac:dyDescent="0.35">
      <c r="B41" s="4" t="s">
        <v>17</v>
      </c>
      <c r="C41" s="21">
        <f>C42-C40</f>
        <v>3970275812</v>
      </c>
      <c r="F41" s="211" t="s">
        <v>193</v>
      </c>
      <c r="G41" s="212">
        <f>C70</f>
        <v>17978772896</v>
      </c>
      <c r="H41" s="221">
        <f>H40-H42</f>
        <v>16180895606.399998</v>
      </c>
    </row>
    <row r="42" spans="2:8" ht="15" customHeight="1" x14ac:dyDescent="0.35">
      <c r="B42" s="83" t="s">
        <v>22</v>
      </c>
      <c r="C42" s="84">
        <v>4038512522</v>
      </c>
      <c r="F42" s="222" t="s">
        <v>194</v>
      </c>
      <c r="G42" s="223">
        <f>C82</f>
        <v>4953196560</v>
      </c>
      <c r="H42" s="224">
        <f>D82</f>
        <v>2755411575.5</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29060384527</v>
      </c>
      <c r="D46" s="188">
        <f>H29</f>
        <v>1695561271.1999969</v>
      </c>
      <c r="F46" s="283"/>
    </row>
    <row r="47" spans="2:8" ht="15" customHeight="1" x14ac:dyDescent="0.35">
      <c r="B47" s="1" t="str">
        <f>"Equity per share ("&amp;Market_currency&amp;")"</f>
        <v>Equity per share (HKD)</v>
      </c>
      <c r="C47" s="148">
        <f>C46*H1/Common_Shares*Exchange_Rate</f>
        <v>22.499463495273041</v>
      </c>
      <c r="D47" s="148">
        <f>D46*H1/Common_Shares*Exchange_Rate</f>
        <v>1.3127568525433189</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7.3592411949940734E-2</v>
      </c>
      <c r="D50" s="95">
        <f>G31/Normalized_FCF!G8</f>
        <v>6.3593933566061064E-2</v>
      </c>
      <c r="F50" s="283"/>
    </row>
    <row r="51" spans="2:8" ht="15" customHeight="1" x14ac:dyDescent="0.35">
      <c r="B51" s="1" t="s">
        <v>178</v>
      </c>
      <c r="C51" s="202"/>
      <c r="D51" s="92">
        <f>G29/G32</f>
        <v>0.56515298469260233</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0.1361278920921285</v>
      </c>
      <c r="D54" s="92">
        <f>Normalized_FCF!G8/G35</f>
        <v>0.15753043334415495</v>
      </c>
      <c r="F54" s="283"/>
    </row>
    <row r="55" spans="2:8" ht="15" customHeight="1" x14ac:dyDescent="0.35">
      <c r="B55" s="1" t="s">
        <v>143</v>
      </c>
      <c r="C55" s="92">
        <f>Normalized_FCF!C11/G40</f>
        <v>0</v>
      </c>
      <c r="D55" s="92">
        <f>Normalized_FCF!G11/G40</f>
        <v>2.1050212495974641E-3</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9.4175111360938715E-2</v>
      </c>
      <c r="F58" s="5"/>
    </row>
    <row r="59" spans="2:8" ht="15" customHeight="1" x14ac:dyDescent="0.35">
      <c r="B59" s="1" t="s">
        <v>94</v>
      </c>
      <c r="C59" s="98"/>
      <c r="D59" s="92">
        <f>G39/G32</f>
        <v>0.24600944007556819</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2.749989365273205E-2</v>
      </c>
      <c r="D62" s="92">
        <f>G28/G29</f>
        <v>2.749989365273205E-2</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17978772896</v>
      </c>
      <c r="D66" s="188">
        <f>C66-D75</f>
        <v>12800999484.566097</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17978772896</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-2540963759.1384301</v>
      </c>
      <c r="D73" s="188">
        <f>(Normalized_FCF!C25+Normalized_FCF!C35-Normalized_FCF!C91)/12</f>
        <v>-2588886705.7169509</v>
      </c>
      <c r="F73" s="1" t="s">
        <v>364</v>
      </c>
    </row>
    <row r="74" spans="2:6" ht="15" customHeight="1" x14ac:dyDescent="0.35">
      <c r="B74" s="288" t="s">
        <v>334</v>
      </c>
      <c r="C74" s="289">
        <f>-$C$66/C73</f>
        <v>7.0755723419274981</v>
      </c>
      <c r="D74" s="289">
        <f>-$C$66/D73</f>
        <v>6.944596245288789</v>
      </c>
      <c r="F74" s="283" t="s">
        <v>331</v>
      </c>
    </row>
    <row r="75" spans="2:6" ht="15" customHeight="1" x14ac:dyDescent="0.35">
      <c r="B75" s="80" t="s">
        <v>332</v>
      </c>
      <c r="C75" s="293"/>
      <c r="D75" s="292">
        <f>MAX(-D73*D76,G5)</f>
        <v>5177773411.4339018</v>
      </c>
      <c r="F75" s="283" t="s">
        <v>365</v>
      </c>
    </row>
    <row r="76" spans="2:6" ht="15" customHeight="1" x14ac:dyDescent="0.35">
      <c r="B76" s="290" t="s">
        <v>335</v>
      </c>
      <c r="C76" s="291"/>
      <c r="D76" s="327">
        <f>IF(D74&lt;=3,1,IF(D74&gt;18,6,2))</f>
        <v>2</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4520183839</v>
      </c>
      <c r="D79" s="188">
        <f>G7*H7+G17*H17</f>
        <v>2712110303.3999996</v>
      </c>
      <c r="F79" s="283"/>
    </row>
    <row r="80" spans="2:6" ht="15" customHeight="1" x14ac:dyDescent="0.35">
      <c r="B80" s="105" t="s">
        <v>184</v>
      </c>
      <c r="C80" s="20">
        <f>G19</f>
        <v>391873803</v>
      </c>
      <c r="D80" s="188">
        <f>G19*H19</f>
        <v>39187380.300000004</v>
      </c>
      <c r="F80" s="283"/>
    </row>
    <row r="81" spans="2:8" ht="15" customHeight="1" x14ac:dyDescent="0.35">
      <c r="B81" s="105" t="s">
        <v>182</v>
      </c>
      <c r="C81" s="20">
        <f>G9+G21</f>
        <v>41138918</v>
      </c>
      <c r="D81" s="188">
        <f>G9*H9+G21*H21</f>
        <v>4113891.8000000003</v>
      </c>
      <c r="F81" s="283"/>
    </row>
    <row r="82" spans="2:8" ht="15" customHeight="1" x14ac:dyDescent="0.35">
      <c r="B82" s="80" t="s">
        <v>191</v>
      </c>
      <c r="C82" s="81">
        <f>SUM(C79:C81)</f>
        <v>4953196560</v>
      </c>
      <c r="D82" s="81">
        <f>SUM(D79:D81)</f>
        <v>2755411575.5</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-301436815.57995117</v>
      </c>
      <c r="D86" s="248">
        <f>C86*$H$1/Common_Shares</f>
        <v>-0.22096285391631576</v>
      </c>
      <c r="E86" s="269" t="str">
        <f>Market_currency</f>
        <v>HKD</v>
      </c>
    </row>
    <row r="87" spans="2:8" ht="15" customHeight="1" x14ac:dyDescent="0.35">
      <c r="B87" s="267" t="s">
        <v>297</v>
      </c>
      <c r="C87" s="188">
        <f>Valuation_Model!C8*Exchange_Rate</f>
        <v>13520467499.646626</v>
      </c>
      <c r="D87" s="248">
        <f>C87*$H$1/Common_Shares</f>
        <v>9.9109363242736404</v>
      </c>
      <c r="E87" s="269" t="str">
        <f>Market_currency</f>
        <v>HKD</v>
      </c>
    </row>
    <row r="88" spans="2:8" ht="15" customHeight="1" x14ac:dyDescent="0.35">
      <c r="B88" s="268" t="s">
        <v>191</v>
      </c>
      <c r="C88" s="188">
        <f>Valuation_Model!C9*Exchange_Rate</f>
        <v>2910276865.459981</v>
      </c>
      <c r="D88" s="248">
        <f>C88*$H$1/Common_Shares</f>
        <v>2.1333262847852277</v>
      </c>
      <c r="E88" s="269" t="str">
        <f>Market_currency</f>
        <v>HKD</v>
      </c>
    </row>
    <row r="89" spans="2:8" ht="15" customHeight="1" x14ac:dyDescent="0.35">
      <c r="B89" s="80" t="s">
        <v>301</v>
      </c>
      <c r="C89" s="187">
        <f>SUM(C86:C88)</f>
        <v>16129307549.526657</v>
      </c>
      <c r="D89" s="271">
        <f>SUM(D86:D88)</f>
        <v>11.823299755142553</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v>
      </c>
      <c r="D3" s="9"/>
      <c r="E3" s="302"/>
      <c r="F3" s="9"/>
      <c r="G3" s="9"/>
    </row>
    <row r="4" spans="1:17" ht="15.75" customHeight="1" x14ac:dyDescent="0.35">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155789168.81127352</v>
      </c>
      <c r="E12" s="302"/>
      <c r="G12" s="191">
        <f>G50</f>
        <v>155789168.81127352</v>
      </c>
      <c r="H12" s="191">
        <f t="shared" ref="H12:Q12" si="6">H50</f>
        <v>129402511.05134627</v>
      </c>
      <c r="I12" s="191">
        <f t="shared" si="6"/>
        <v>123141863.19837074</v>
      </c>
      <c r="J12" s="191">
        <f t="shared" si="6"/>
        <v>68219358.300375998</v>
      </c>
      <c r="K12" s="191">
        <f t="shared" si="6"/>
        <v>137254468.97346407</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4033857239.1190281</v>
      </c>
      <c r="E13" s="302"/>
      <c r="G13" s="184">
        <f>IF(G$4="","",SUM(G8:G12))</f>
        <v>4691854028.8112736</v>
      </c>
      <c r="H13" s="184">
        <f t="shared" ref="H13:Q13" si="7">IF(H$4="","",SUM(H8:H12))</f>
        <v>4550070303.0513458</v>
      </c>
      <c r="I13" s="184">
        <f t="shared" si="7"/>
        <v>3870095071.1983709</v>
      </c>
      <c r="J13" s="184">
        <f t="shared" si="7"/>
        <v>3025310358.3003759</v>
      </c>
      <c r="K13" s="184">
        <f t="shared" si="7"/>
        <v>2471314340.973464</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-1008464309.779757</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2878758364.8675942</v>
      </c>
      <c r="D16" s="61"/>
      <c r="E16" s="310"/>
      <c r="F16" s="61"/>
      <c r="G16" s="184">
        <f>IF(G$4="","",SUM(G13:G15))</f>
        <v>3155344886.8112736</v>
      </c>
      <c r="H16" s="184">
        <f t="shared" ref="H16:Q16" si="8">IF(H$4="","",SUM(H13:H15))</f>
        <v>3071514407.0513458</v>
      </c>
      <c r="I16" s="184">
        <f t="shared" si="8"/>
        <v>2574582378.1983709</v>
      </c>
      <c r="J16" s="184">
        <f t="shared" si="8"/>
        <v>1701790703.3003759</v>
      </c>
      <c r="K16" s="184">
        <f t="shared" si="8"/>
        <v>1433088572.973464</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2878758364.8675942</v>
      </c>
      <c r="D19" s="27"/>
      <c r="E19" s="299"/>
      <c r="F19" s="27"/>
      <c r="G19" s="186">
        <f>IF(G$4="","",G16+G17)</f>
        <v>3155344886.8112736</v>
      </c>
      <c r="H19" s="186">
        <f t="shared" ref="H19:Q19" si="9">IF(H$4="","",H16+H17)</f>
        <v>3071514407.0513458</v>
      </c>
      <c r="I19" s="186">
        <f t="shared" si="9"/>
        <v>2574582378.1983709</v>
      </c>
      <c r="J19" s="186">
        <f t="shared" si="9"/>
        <v>1701790703.3003759</v>
      </c>
      <c r="K19" s="186">
        <f t="shared" si="9"/>
        <v>1433088572.973464</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0.69237393830888427</v>
      </c>
      <c r="D28" s="26"/>
      <c r="E28" s="300" t="s">
        <v>346</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0.13707383351548572</v>
      </c>
      <c r="D29" s="26"/>
      <c r="E29" s="300" t="s">
        <v>346</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-1522888768.25</v>
      </c>
      <c r="E33" s="300" t="s">
        <v>346</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-74312206.25</v>
      </c>
      <c r="D34" s="58"/>
      <c r="E34" s="300" t="s">
        <v>346</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0.29619768762330784</v>
      </c>
      <c r="H43" s="6">
        <f t="shared" si="18"/>
        <v>0.30729379655130612</v>
      </c>
      <c r="I43" s="6">
        <f t="shared" si="18"/>
        <v>0.31043676857994645</v>
      </c>
      <c r="J43" s="6">
        <f t="shared" si="18"/>
        <v>0.40416732506311603</v>
      </c>
      <c r="K43" s="6">
        <f t="shared" si="18"/>
        <v>0.36926930090185517</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177626222.81127352</v>
      </c>
      <c r="E48" s="302"/>
      <c r="G48" s="328">
        <f>IF(G$4="","",($C$48/$C$49)*G49)</f>
        <v>177626222.81127352</v>
      </c>
      <c r="H48" s="328">
        <f t="shared" ref="H48:Q48" si="19">IF(H$4="","",($C$48/$C$49)*H49)</f>
        <v>145833101.05134627</v>
      </c>
      <c r="I48" s="328">
        <f t="shared" si="19"/>
        <v>132379663.19837074</v>
      </c>
      <c r="J48" s="328">
        <f t="shared" si="19"/>
        <v>90904725.300375998</v>
      </c>
      <c r="K48" s="328">
        <f t="shared" si="19"/>
        <v>150917150.97346407</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155789168.81127352</v>
      </c>
      <c r="E50" s="302"/>
      <c r="G50" s="184">
        <f>IF(G$4="","",(G47+G48))</f>
        <v>155789168.81127352</v>
      </c>
      <c r="H50" s="184">
        <f t="shared" ref="H50:Q50" si="20">IF(H$4="","",(H47+H48))</f>
        <v>129402511.05134627</v>
      </c>
      <c r="I50" s="184">
        <f t="shared" si="20"/>
        <v>123141863.19837074</v>
      </c>
      <c r="J50" s="184">
        <f t="shared" si="20"/>
        <v>68219358.300375998</v>
      </c>
      <c r="K50" s="184">
        <f t="shared" si="20"/>
        <v>137254468.97346407</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3.430552260533988E-2</v>
      </c>
      <c r="E53" s="299" t="s">
        <v>348</v>
      </c>
      <c r="G53" s="6">
        <f>IF(Normalized_FCF!G4="","",Normalized_FCF!G49/BS!$C$66)</f>
        <v>3.430552260533988E-2</v>
      </c>
      <c r="H53" s="170"/>
      <c r="I53" s="170"/>
      <c r="J53" s="170"/>
      <c r="K53" s="170"/>
      <c r="L53" s="170"/>
      <c r="M53" s="170"/>
      <c r="N53" s="170"/>
      <c r="O53" s="170"/>
      <c r="P53" s="170"/>
      <c r="Q53" s="170"/>
    </row>
    <row r="54" spans="1:17" ht="15.75" customHeight="1" x14ac:dyDescent="0.35">
      <c r="A54" s="10"/>
      <c r="B54" s="8" t="s">
        <v>89</v>
      </c>
      <c r="C54" s="82">
        <f>G54</f>
        <v>7.6514823945754068E-2</v>
      </c>
      <c r="E54" s="299" t="s">
        <v>349</v>
      </c>
      <c r="G54" s="23">
        <f>IFERROR(ABS(Normalized_FCF!G47/BS!$G$31),0)</f>
        <v>7.6514823945754068E-2</v>
      </c>
      <c r="H54" s="170"/>
      <c r="I54" s="170"/>
      <c r="J54" s="170"/>
      <c r="K54" s="170"/>
      <c r="L54" s="170"/>
      <c r="M54" s="170"/>
      <c r="N54" s="170"/>
      <c r="O54" s="170"/>
      <c r="P54" s="170"/>
      <c r="Q54" s="170"/>
    </row>
    <row r="55" spans="1:17" ht="15.75" customHeight="1" x14ac:dyDescent="0.35">
      <c r="A55" s="10"/>
      <c r="B55" s="26" t="s">
        <v>92</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BS!$C79*C66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BS!$C81*C68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IFERROR(G60/BS!$C$81,0)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2.684959828973636E-3</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3.7108652048024243E-2</v>
      </c>
      <c r="D78" s="27"/>
      <c r="E78" s="300" t="s">
        <v>367</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4.8527642475557986E-3</v>
      </c>
      <c r="D80" s="27"/>
      <c r="E80" s="299"/>
      <c r="F80" s="27"/>
      <c r="G80" s="6">
        <f t="shared" ref="G80:Q80" si="31">IF(G$4="","",ABS(G12/G$4))</f>
        <v>4.8475322781033267E-3</v>
      </c>
      <c r="H80" s="6">
        <f t="shared" si="31"/>
        <v>3.8130751355680346E-3</v>
      </c>
      <c r="I80" s="6">
        <f t="shared" si="31"/>
        <v>3.8276615020099258E-3</v>
      </c>
      <c r="J80" s="6">
        <f t="shared" si="31"/>
        <v>2.2614047940385596E-3</v>
      </c>
      <c r="K80" s="6">
        <f t="shared" si="31"/>
        <v>4.9443767386248344E-3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0.12565288292573784</v>
      </c>
      <c r="D81" s="27"/>
      <c r="E81" s="299"/>
      <c r="F81" s="27"/>
      <c r="G81" s="65">
        <f t="shared" ref="G81:Q81" si="32">IF(G$4="","",G13/G$4)</f>
        <v>0.14599162459339052</v>
      </c>
      <c r="H81" s="65">
        <f t="shared" si="32"/>
        <v>0.13407591395786209</v>
      </c>
      <c r="I81" s="65">
        <f t="shared" si="32"/>
        <v>0.12029551550053499</v>
      </c>
      <c r="J81" s="65">
        <f t="shared" si="32"/>
        <v>0.10028607008572925</v>
      </c>
      <c r="K81" s="65">
        <f t="shared" si="32"/>
        <v>8.902521887066224E-2</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3.141322073143446E-2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8.9672059854848732E-2</v>
      </c>
      <c r="D84" s="27"/>
      <c r="E84" s="299"/>
      <c r="F84" s="27"/>
      <c r="G84" s="65">
        <f t="shared" ref="G84:Q84" si="35">IF(G$4="","",ABS(G16/G$4))</f>
        <v>9.8181640637003534E-2</v>
      </c>
      <c r="H84" s="65">
        <f t="shared" si="35"/>
        <v>9.050763481258299E-2</v>
      </c>
      <c r="I84" s="65">
        <f t="shared" si="35"/>
        <v>8.002664241735663E-2</v>
      </c>
      <c r="J84" s="65">
        <f t="shared" si="35"/>
        <v>5.6412692097581797E-2</v>
      </c>
      <c r="K84" s="65">
        <f t="shared" si="35"/>
        <v>5.1624765718695585E-2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8.9672059854848732E-2</v>
      </c>
      <c r="D87" s="75"/>
      <c r="E87" s="299"/>
      <c r="F87" s="75"/>
      <c r="G87" s="65">
        <f t="shared" ref="G87:Q87" si="36">IF(G$4="","",ABS(G19/G$4))</f>
        <v>9.8181640637003534E-2</v>
      </c>
      <c r="H87" s="65">
        <f t="shared" si="36"/>
        <v>9.050763481258299E-2</v>
      </c>
      <c r="I87" s="65">
        <f t="shared" si="36"/>
        <v>8.002664241735663E-2</v>
      </c>
      <c r="J87" s="65">
        <f t="shared" si="36"/>
        <v>5.6412692097581797E-2</v>
      </c>
      <c r="K87" s="65">
        <f t="shared" si="36"/>
        <v>5.1624765718695585E-2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2.0829308503408979</v>
      </c>
      <c r="E90" s="302"/>
      <c r="G90" s="113">
        <f>Data!C65</f>
        <v>2.0829308503408979</v>
      </c>
      <c r="H90" s="113">
        <f>Data!D65</f>
        <v>1.8935735003099068</v>
      </c>
      <c r="I90" s="113">
        <f>Data!E65</f>
        <v>1.2308227752014396</v>
      </c>
      <c r="J90" s="113">
        <f>Data!F65</f>
        <v>1.0414654251704489</v>
      </c>
      <c r="K90" s="113">
        <f>Data!G65</f>
        <v>0.7100900626162151</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2841527575.6611614</v>
      </c>
      <c r="E91" s="302"/>
      <c r="G91" s="74">
        <f t="shared" ref="G91:Q91" si="37">IF(G$4="","",G90*Common_Shares/$C$3)</f>
        <v>2841527575.6611614</v>
      </c>
      <c r="H91" s="74">
        <f t="shared" si="37"/>
        <v>2583206886.9646916</v>
      </c>
      <c r="I91" s="74">
        <f t="shared" si="37"/>
        <v>1679084476.52705</v>
      </c>
      <c r="J91" s="74">
        <f t="shared" si="37"/>
        <v>1420763787.8305807</v>
      </c>
      <c r="K91" s="74">
        <f t="shared" si="37"/>
        <v>968702582.61175954</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0.98706706694775148</v>
      </c>
      <c r="E92" s="302"/>
      <c r="G92" s="171">
        <f t="shared" ref="G92:Q92" si="38">IF(G$4="","",G90/(G19*$C$3/Common_Shares))</f>
        <v>0.90054421231041737</v>
      </c>
      <c r="H92" s="171">
        <f t="shared" si="38"/>
        <v>0.84102059916579408</v>
      </c>
      <c r="I92" s="171">
        <f t="shared" si="38"/>
        <v>0.65217741360524328</v>
      </c>
      <c r="J92" s="171">
        <f t="shared" si="38"/>
        <v>0.83486399653918408</v>
      </c>
      <c r="K92" s="171">
        <f t="shared" si="38"/>
        <v>0.67595443916061182</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320</v>
      </c>
      <c r="C93" s="23">
        <f>C90/Market_Price</f>
        <v>3.4831619570918029E-2</v>
      </c>
      <c r="E93" s="302"/>
      <c r="G93" s="23">
        <f t="shared" ref="G93:Q93" si="39">IF(G$4="","",G90/Market_Price)</f>
        <v>3.4831619570918029E-2</v>
      </c>
      <c r="H93" s="23">
        <f t="shared" si="39"/>
        <v>3.1665108700834561E-2</v>
      </c>
      <c r="I93" s="23">
        <f t="shared" si="39"/>
        <v>2.0582320655542469E-2</v>
      </c>
      <c r="J93" s="23">
        <f t="shared" si="39"/>
        <v>1.7415809785459015E-2</v>
      </c>
      <c r="K93" s="23">
        <f t="shared" si="39"/>
        <v>1.1874415762812961E-2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-0.14024238300076763</v>
      </c>
      <c r="D97" s="27"/>
      <c r="E97" s="299"/>
      <c r="F97" s="27"/>
      <c r="G97" s="6">
        <f t="shared" ref="G97:Q97" si="41">IF(H5="","",G13/H13-1)</f>
        <v>3.1160776936753232E-2</v>
      </c>
      <c r="H97" s="6">
        <f t="shared" si="41"/>
        <v>0.17569987799871312</v>
      </c>
      <c r="I97" s="6">
        <f t="shared" si="41"/>
        <v>0.27923902437983128</v>
      </c>
      <c r="J97" s="6">
        <f t="shared" si="41"/>
        <v>0.2241705994829819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408</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409</v>
      </c>
      <c r="C114" s="170"/>
      <c r="E114" s="302"/>
      <c r="G114" s="334">
        <f>IF(G$4="","",Data!C$22/G19)</f>
        <v>1.6336284358472124</v>
      </c>
      <c r="H114" s="334">
        <f>IF(H$4="","",Data!D$22/H19)</f>
        <v>0.90429891314313082</v>
      </c>
      <c r="I114" s="334">
        <f>IF(I$4="","",Data!E$22/I19)</f>
        <v>1.8949758078488999</v>
      </c>
      <c r="J114" s="334">
        <f>IF(J$4="","",Data!F$22/J19)</f>
        <v>3.5510309483300517</v>
      </c>
      <c r="K114" s="334">
        <f>IF(K$4="","",Data!G$22/K19)</f>
        <v>3.4564663032113372</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0.12565288292573784</v>
      </c>
      <c r="E117" s="302"/>
      <c r="G117" s="23">
        <f t="shared" ref="G117:Q117" si="45">G81</f>
        <v>0.14599162459339052</v>
      </c>
      <c r="H117" s="23">
        <f t="shared" si="45"/>
        <v>0.13407591395786209</v>
      </c>
      <c r="I117" s="23">
        <f t="shared" si="45"/>
        <v>0.12029551550053499</v>
      </c>
      <c r="J117" s="23">
        <f t="shared" si="45"/>
        <v>0.10028607008572925</v>
      </c>
      <c r="K117" s="23">
        <f t="shared" si="45"/>
        <v>8.902521887066224E-2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2.2288252477138446</v>
      </c>
      <c r="D124" s="27"/>
      <c r="E124" s="299"/>
      <c r="F124" s="27"/>
      <c r="G124" s="178">
        <f t="shared" ref="G124:Q124" si="49">IF(G$4="","",G16*$C$3/Common_Shares*Exchange_Rate)</f>
        <v>2.4429672301771022</v>
      </c>
      <c r="H124" s="178">
        <f t="shared" si="49"/>
        <v>2.3780630367244204</v>
      </c>
      <c r="I124" s="178">
        <f t="shared" si="49"/>
        <v>1.9933226341182027</v>
      </c>
      <c r="J124" s="178">
        <f t="shared" si="49"/>
        <v>1.3175798747579266</v>
      </c>
      <c r="K124" s="178">
        <f t="shared" si="49"/>
        <v>1.1095422362065357</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3.72713252126061E-2</v>
      </c>
      <c r="D125" s="27"/>
      <c r="E125" s="299"/>
      <c r="F125" s="27"/>
      <c r="G125" s="77">
        <f t="shared" ref="G125" si="50">IF(G$4="","",G124/Market_Price)</f>
        <v>4.0852294819015089E-2</v>
      </c>
      <c r="H125" s="77">
        <f t="shared" ref="H125" si="51">IF(H$4="","",H124/Market_Price)</f>
        <v>3.976694041345185E-2</v>
      </c>
      <c r="I125" s="77">
        <f t="shared" ref="I125" si="52">IF(I$4="","",I124/Market_Price)</f>
        <v>3.3333154416692351E-2</v>
      </c>
      <c r="J125" s="77">
        <f t="shared" ref="J125" si="53">IF(J$4="","",J124/Market_Price)</f>
        <v>2.2033108273543923E-2</v>
      </c>
      <c r="K125" s="77">
        <f t="shared" ref="K125" si="54">IF(K$4="","",K124/Market_Price)</f>
        <v>1.8554217996764811E-2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413</v>
      </c>
      <c r="C126" s="170"/>
      <c r="G126" s="23">
        <f>IF(G$4="","",(Data!C47*$C$3)/(Market_Price*Common_Shares))</f>
        <v>5.5060474536435582E-2</v>
      </c>
      <c r="H126" s="23">
        <f>IF(H$4="","",(Data!D47*$C$3)/(Market_Price*Common_Shares))</f>
        <v>5.3300489510189911E-2</v>
      </c>
      <c r="I126" s="23">
        <f>IF(I$4="","",(Data!E47*$C$3)/(Market_Price*Common_Shares))</f>
        <v>4.6638509592560044E-2</v>
      </c>
      <c r="J126" s="23">
        <f>IF(J$4="","",(Data!F47*$C$3)/(Market_Price*Common_Shares))</f>
        <v>3.9915237381985789E-2</v>
      </c>
      <c r="K126" s="23">
        <f>IF(K$4="","",(Data!G47*$C$3)/(Market_Price*Common_Shares))</f>
        <v>2.8524126551998947E-2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v>
      </c>
      <c r="E3" s="109" t="s">
        <v>126</v>
      </c>
      <c r="H3" s="121"/>
    </row>
    <row r="4" spans="2:8" x14ac:dyDescent="0.35">
      <c r="B4" s="100" t="s">
        <v>130</v>
      </c>
      <c r="C4" s="110">
        <f>Normalized_FCF!C19</f>
        <v>2878758364.8675942</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35984479560.844925</v>
      </c>
      <c r="D6" t="str">
        <f>Reporting_currency</f>
        <v>CNY</v>
      </c>
      <c r="E6" s="344" t="s">
        <v>251</v>
      </c>
      <c r="F6" s="344"/>
      <c r="H6" s="121"/>
    </row>
    <row r="7" spans="2:8" x14ac:dyDescent="0.35">
      <c r="B7" s="149" t="s">
        <v>226</v>
      </c>
      <c r="C7" s="226">
        <f>BS!G31</f>
        <v>285396383</v>
      </c>
      <c r="D7" t="str">
        <f>Reporting_currency</f>
        <v>CNY</v>
      </c>
      <c r="E7" s="344"/>
      <c r="F7" s="344"/>
      <c r="H7" s="121"/>
    </row>
    <row r="8" spans="2:8" x14ac:dyDescent="0.35">
      <c r="B8" s="149" t="s">
        <v>227</v>
      </c>
      <c r="C8" s="201">
        <f>BS!D66</f>
        <v>12800999484.566097</v>
      </c>
      <c r="D8" t="str">
        <f>Reporting_currency</f>
        <v>CNY</v>
      </c>
      <c r="E8" s="344"/>
      <c r="F8" s="344"/>
      <c r="H8" s="121"/>
    </row>
    <row r="9" spans="2:8" x14ac:dyDescent="0.35">
      <c r="B9" s="227" t="s">
        <v>192</v>
      </c>
      <c r="C9" s="229">
        <f>BS!H42</f>
        <v>2755411575.5</v>
      </c>
      <c r="D9" t="str">
        <f>Reporting_currency</f>
        <v>CNY</v>
      </c>
      <c r="E9" s="344"/>
      <c r="F9" s="344"/>
      <c r="H9" s="121"/>
    </row>
    <row r="10" spans="2:8" ht="13.15" x14ac:dyDescent="0.4">
      <c r="B10" s="150" t="s">
        <v>229</v>
      </c>
      <c r="C10" s="232">
        <f>C6-C7+C8+C9</f>
        <v>51255494237.911026</v>
      </c>
      <c r="D10" t="str">
        <f>Reporting_currency</f>
        <v>CNY</v>
      </c>
      <c r="H10" s="121"/>
    </row>
    <row r="11" spans="2:8" ht="13.15" thickBot="1" x14ac:dyDescent="0.4">
      <c r="B11" s="230" t="s">
        <v>168</v>
      </c>
      <c r="C11" s="231">
        <f>Exchange_Rate</f>
        <v>1.0562040500000001</v>
      </c>
      <c r="D11" t="str">
        <f>Thesis!D17</f>
        <v>CNY/HKD</v>
      </c>
      <c r="H11" s="121"/>
    </row>
    <row r="12" spans="2:8" ht="13.5" thickTop="1" x14ac:dyDescent="0.4">
      <c r="B12" s="150" t="s">
        <v>104</v>
      </c>
      <c r="C12" s="112">
        <f>(C10*C3)/Common_Shares*C11</f>
        <v>39.683615351565606</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4.6574870890079501E-2</v>
      </c>
      <c r="H16" s="121"/>
    </row>
    <row r="17" spans="2:8" ht="13.25" customHeight="1" x14ac:dyDescent="0.35">
      <c r="B17" s="119" t="s">
        <v>136</v>
      </c>
      <c r="C17" s="163">
        <f>Scenarios!C64</f>
        <v>10</v>
      </c>
      <c r="H17" s="121"/>
    </row>
    <row r="18" spans="2:8" ht="13.25" customHeight="1" x14ac:dyDescent="0.4">
      <c r="B18" s="154" t="s">
        <v>108</v>
      </c>
      <c r="C18" s="141">
        <f>(F52-C7+C8+C9)*Exchange_Rate/Common_Shares*C3</f>
        <v>44.154753829984472</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3012836164.0350389</v>
      </c>
      <c r="D21" s="139">
        <f>IF($C$17&lt;B21,0,Valuation_Model!$C$16)</f>
        <v>4.6574870890079501E-2</v>
      </c>
      <c r="E21" s="125">
        <f t="shared" ref="E21:E50" si="0">IF($C$17&lt;B21,0,1/(1+Equity_Cost)^B21)</f>
        <v>0.92592592592592582</v>
      </c>
      <c r="F21" s="126">
        <f t="shared" ref="F21:F51" si="1">C21*E21</f>
        <v>2789663114.8472581</v>
      </c>
      <c r="H21" s="121"/>
    </row>
    <row r="22" spans="2:8" x14ac:dyDescent="0.35">
      <c r="B22" s="123">
        <v>2</v>
      </c>
      <c r="C22" s="124">
        <f t="shared" ref="C22:C50" si="2">IF(ROW()-ROW($C$21)&lt;$C$17, $C$21*(1+D22)^(ROW()-ROW($C$21)), 0)</f>
        <v>3153158619.3879333</v>
      </c>
      <c r="D22" s="139">
        <f>IF($C$17&lt;B22,0,Valuation_Model!$C$16)</f>
        <v>4.6574870890079501E-2</v>
      </c>
      <c r="E22" s="125">
        <f t="shared" si="0"/>
        <v>0.85733882030178321</v>
      </c>
      <c r="F22" s="126">
        <f t="shared" si="1"/>
        <v>2703325290.9704499</v>
      </c>
      <c r="H22" s="121"/>
    </row>
    <row r="23" spans="2:8" x14ac:dyDescent="0.35">
      <c r="B23" s="123">
        <v>3</v>
      </c>
      <c r="C23" s="124">
        <f t="shared" si="2"/>
        <v>3300016574.9818678</v>
      </c>
      <c r="D23" s="139">
        <f>IF($C$17&lt;B23,0,Valuation_Model!$C$16)</f>
        <v>4.6574870890079501E-2</v>
      </c>
      <c r="E23" s="125">
        <f t="shared" si="0"/>
        <v>0.79383224102016958</v>
      </c>
      <c r="F23" s="126">
        <f t="shared" si="1"/>
        <v>2619659553.1215606</v>
      </c>
      <c r="H23" s="121"/>
    </row>
    <row r="24" spans="2:8" x14ac:dyDescent="0.35">
      <c r="B24" s="123">
        <v>4</v>
      </c>
      <c r="C24" s="124">
        <f t="shared" si="2"/>
        <v>3453714420.896771</v>
      </c>
      <c r="D24" s="139">
        <f>IF($C$17&lt;B24,0,Valuation_Model!$C$16)</f>
        <v>4.6574870890079501E-2</v>
      </c>
      <c r="E24" s="125">
        <f t="shared" si="0"/>
        <v>0.73502985279645328</v>
      </c>
      <c r="F24" s="126">
        <f t="shared" si="1"/>
        <v>2538583202.3927412</v>
      </c>
      <c r="H24" s="121"/>
    </row>
    <row r="25" spans="2:8" x14ac:dyDescent="0.35">
      <c r="B25" s="123">
        <v>5</v>
      </c>
      <c r="C25" s="124">
        <f t="shared" si="2"/>
        <v>3614570724.1412439</v>
      </c>
      <c r="D25" s="139">
        <f>IF($C$17&lt;B25,0,Valuation_Model!$C$16)</f>
        <v>4.6574870890079501E-2</v>
      </c>
      <c r="E25" s="125">
        <f t="shared" si="0"/>
        <v>0.68058319703375303</v>
      </c>
      <c r="F25" s="126">
        <f t="shared" si="1"/>
        <v>2460016099.3406558</v>
      </c>
      <c r="H25" s="121"/>
    </row>
    <row r="26" spans="2:8" x14ac:dyDescent="0.35">
      <c r="B26" s="123">
        <v>6</v>
      </c>
      <c r="C26" s="124">
        <f t="shared" si="2"/>
        <v>3782918888.9411836</v>
      </c>
      <c r="D26" s="139">
        <f>IF($C$17&lt;B26,0,Valuation_Model!$C$16)</f>
        <v>4.6574870890079501E-2</v>
      </c>
      <c r="E26" s="125">
        <f t="shared" si="0"/>
        <v>0.63016962688310452</v>
      </c>
      <c r="F26" s="126">
        <f t="shared" si="1"/>
        <v>2383880584.7731137</v>
      </c>
      <c r="H26" s="121"/>
    </row>
    <row r="27" spans="2:8" x14ac:dyDescent="0.35">
      <c r="B27" s="123">
        <v>7</v>
      </c>
      <c r="C27" s="124">
        <f t="shared" si="2"/>
        <v>3959107847.7812629</v>
      </c>
      <c r="D27" s="139">
        <f>IF($C$17&lt;B27,0,Valuation_Model!$C$16)</f>
        <v>4.6574870890079501E-2</v>
      </c>
      <c r="E27" s="125">
        <f t="shared" si="0"/>
        <v>0.58349039526213387</v>
      </c>
      <c r="F27" s="126">
        <f t="shared" si="1"/>
        <v>2310101402.9873052</v>
      </c>
      <c r="H27" s="121"/>
    </row>
    <row r="28" spans="2:8" x14ac:dyDescent="0.35">
      <c r="B28" s="123">
        <v>8</v>
      </c>
      <c r="C28" s="124">
        <f t="shared" si="2"/>
        <v>4143502784.6315756</v>
      </c>
      <c r="D28" s="139">
        <f>IF($C$17&lt;B28,0,Valuation_Model!$C$16)</f>
        <v>4.6574870890079501E-2</v>
      </c>
      <c r="E28" s="125">
        <f t="shared" si="0"/>
        <v>0.54026888450197574</v>
      </c>
      <c r="F28" s="126">
        <f t="shared" si="1"/>
        <v>2238605627.3837314</v>
      </c>
      <c r="H28" s="121"/>
    </row>
    <row r="29" spans="2:8" x14ac:dyDescent="0.35">
      <c r="B29" s="123">
        <v>9</v>
      </c>
      <c r="C29" s="124">
        <f t="shared" si="2"/>
        <v>4336485891.8584766</v>
      </c>
      <c r="D29" s="139">
        <f>IF($C$17&lt;B29,0,Valuation_Model!$C$16)</f>
        <v>4.6574870890079501E-2</v>
      </c>
      <c r="E29" s="125">
        <f t="shared" si="0"/>
        <v>0.50024896713145905</v>
      </c>
      <c r="F29" s="126">
        <f t="shared" si="1"/>
        <v>2169322588.3823471</v>
      </c>
      <c r="H29" s="121"/>
    </row>
    <row r="30" spans="2:8" x14ac:dyDescent="0.35">
      <c r="B30" s="123">
        <v>10</v>
      </c>
      <c r="C30" s="124">
        <f t="shared" si="2"/>
        <v>4538457162.3884363</v>
      </c>
      <c r="D30" s="139">
        <f>IF($C$17&lt;B30,0,Valuation_Model!$C$16)</f>
        <v>4.6574870890079501E-2</v>
      </c>
      <c r="E30" s="125">
        <f t="shared" si="0"/>
        <v>0.46319348808468425</v>
      </c>
      <c r="F30" s="126">
        <f t="shared" si="1"/>
        <v>2102183803.569618</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37660452050.437988</v>
      </c>
      <c r="D51" s="140">
        <f>Terminal_Growth</f>
        <v>0</v>
      </c>
      <c r="E51" s="125">
        <f>1/(1+Equity_Cost)^C17</f>
        <v>0.46319348808468425</v>
      </c>
      <c r="F51" s="126">
        <f t="shared" si="1"/>
        <v>17444076148.088371</v>
      </c>
      <c r="H51" s="121"/>
    </row>
    <row r="52" spans="1:8" x14ac:dyDescent="0.35">
      <c r="C52" s="115"/>
      <c r="E52" s="128" t="s">
        <v>102</v>
      </c>
      <c r="F52" s="138">
        <f>SUM(F21:F51)</f>
        <v>41759417415.857147</v>
      </c>
      <c r="H52" s="121"/>
    </row>
    <row r="53" spans="1:8" x14ac:dyDescent="0.35">
      <c r="C53" s="115"/>
      <c r="H53" s="121"/>
    </row>
    <row r="54" spans="1:8" ht="13.15" x14ac:dyDescent="0.35">
      <c r="B54" s="120" t="s">
        <v>131</v>
      </c>
      <c r="C54" s="137"/>
      <c r="D54" s="137"/>
      <c r="E54" s="118"/>
      <c r="F54" s="118"/>
      <c r="H54" s="121"/>
    </row>
    <row r="55" spans="1:8" ht="13.15" x14ac:dyDescent="0.4">
      <c r="A55" s="134">
        <f>F52</f>
        <v>41759417415.857147</v>
      </c>
      <c r="B55" s="132">
        <f>C78</f>
        <v>0</v>
      </c>
      <c r="C55" s="132">
        <f>C77</f>
        <v>0.02</v>
      </c>
      <c r="D55" s="132">
        <f>C76</f>
        <v>0.04</v>
      </c>
      <c r="E55" s="132">
        <f>C75</f>
        <v>0.06</v>
      </c>
      <c r="F55" s="132">
        <f>C74</f>
        <v>0.1</v>
      </c>
      <c r="H55" s="121"/>
    </row>
    <row r="56" spans="1:8" ht="13.15" x14ac:dyDescent="0.4">
      <c r="A56" s="144">
        <v>5</v>
      </c>
      <c r="B56" s="124">
        <f t="dataTable" ref="B56:F61" dt2D="1" dtr="1" r1="C16" r2="C17"/>
        <v>35984479560.844925</v>
      </c>
      <c r="C56" s="124">
        <v>37145527240.57782</v>
      </c>
      <c r="D56" s="124">
        <v>38341347791.657852</v>
      </c>
      <c r="E56" s="124">
        <v>39573467160.012497</v>
      </c>
      <c r="F56" s="124">
        <v>42152943121.269424</v>
      </c>
      <c r="H56" s="121"/>
    </row>
    <row r="57" spans="1:8" ht="13.15" x14ac:dyDescent="0.4">
      <c r="A57" s="144">
        <v>10</v>
      </c>
      <c r="B57" s="124">
        <v>35984479560.84491</v>
      </c>
      <c r="C57" s="124">
        <v>38307644061.749313</v>
      </c>
      <c r="D57" s="124">
        <v>40863652547.727921</v>
      </c>
      <c r="E57" s="124">
        <v>43680371341.530075</v>
      </c>
      <c r="F57" s="124">
        <v>50223291735.765717</v>
      </c>
      <c r="H57" s="121"/>
    </row>
    <row r="58" spans="1:8" ht="13.15" x14ac:dyDescent="0.4">
      <c r="A58" s="144">
        <v>15</v>
      </c>
      <c r="B58" s="124">
        <v>35984479560.84491</v>
      </c>
      <c r="C58" s="124">
        <v>39746085852.749054</v>
      </c>
      <c r="D58" s="124">
        <v>44151796663.697029</v>
      </c>
      <c r="E58" s="124">
        <v>49329576492.264023</v>
      </c>
      <c r="F58" s="124">
        <v>62644457445.002136</v>
      </c>
      <c r="H58" s="121"/>
    </row>
    <row r="59" spans="1:8" ht="13.15" x14ac:dyDescent="0.4">
      <c r="A59" s="145">
        <v>20</v>
      </c>
      <c r="B59" s="124">
        <v>35984479560.84491</v>
      </c>
      <c r="C59" s="124">
        <v>41211627358.401245</v>
      </c>
      <c r="D59" s="124">
        <v>47690911848.089432</v>
      </c>
      <c r="E59" s="124">
        <v>55773784035.914818</v>
      </c>
      <c r="F59" s="124">
        <v>78692460049.787003</v>
      </c>
      <c r="H59" s="121"/>
    </row>
    <row r="60" spans="1:8" ht="13.15" x14ac:dyDescent="0.4">
      <c r="A60" s="145">
        <v>25</v>
      </c>
      <c r="B60" s="124">
        <v>35984479560.844902</v>
      </c>
      <c r="C60" s="124">
        <v>42574662281.570023</v>
      </c>
      <c r="D60" s="124">
        <v>51177060702.871681</v>
      </c>
      <c r="E60" s="124">
        <v>62527117606.188622</v>
      </c>
      <c r="F60" s="124">
        <v>97938539488.46846</v>
      </c>
      <c r="H60" s="121"/>
    </row>
    <row r="61" spans="1:8" ht="13.15" x14ac:dyDescent="0.4">
      <c r="A61" s="145">
        <v>30</v>
      </c>
      <c r="B61" s="124">
        <v>35984479560.844902</v>
      </c>
      <c r="C61" s="124">
        <v>43777048693.111542</v>
      </c>
      <c r="D61" s="124">
        <v>54441870000.409698</v>
      </c>
      <c r="E61" s="124">
        <v>69279592959.956009</v>
      </c>
      <c r="F61" s="124">
        <v>120161004063.49727</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0.02</v>
      </c>
      <c r="D64" s="133">
        <f>D55</f>
        <v>0.04</v>
      </c>
      <c r="E64" s="133">
        <f>E55</f>
        <v>0.06</v>
      </c>
      <c r="F64" s="133">
        <f>F55</f>
        <v>0.1</v>
      </c>
      <c r="H64" s="121"/>
    </row>
    <row r="65" spans="1:8" ht="13.15" x14ac:dyDescent="0.4">
      <c r="A65" s="144">
        <v>0</v>
      </c>
      <c r="B65" s="125">
        <f>C12</f>
        <v>39.683615351565606</v>
      </c>
      <c r="C65" s="125">
        <f>C12</f>
        <v>39.683615351565606</v>
      </c>
      <c r="D65" s="125">
        <f>C12</f>
        <v>39.683615351565606</v>
      </c>
      <c r="E65" s="142">
        <f>C12</f>
        <v>39.683615351565606</v>
      </c>
      <c r="F65" s="125">
        <f>C12</f>
        <v>39.683615351565606</v>
      </c>
      <c r="H65" s="121"/>
    </row>
    <row r="66" spans="1:8" ht="13.15" x14ac:dyDescent="0.4">
      <c r="A66" s="144">
        <f t="shared" ref="A66:A71" si="3">A56</f>
        <v>5</v>
      </c>
      <c r="B66" s="125">
        <f t="shared" ref="B66:F71" si="4">(B56-$C$7+$C$8+$C$9)/Common_Shares*$C$3*Exchange_Rate</f>
        <v>39.683615351565606</v>
      </c>
      <c r="C66" s="125">
        <f t="shared" si="4"/>
        <v>40.582534973986675</v>
      </c>
      <c r="D66" s="125">
        <f t="shared" si="4"/>
        <v>41.508376846826472</v>
      </c>
      <c r="E66" s="125">
        <f t="shared" si="4"/>
        <v>42.462322405404947</v>
      </c>
      <c r="F66" s="125">
        <f t="shared" si="4"/>
        <v>44.459433805404231</v>
      </c>
      <c r="H66" s="121"/>
    </row>
    <row r="67" spans="1:8" ht="13.15" x14ac:dyDescent="0.4">
      <c r="A67" s="144">
        <f t="shared" si="3"/>
        <v>10</v>
      </c>
      <c r="B67" s="125">
        <f t="shared" si="4"/>
        <v>39.683615351565599</v>
      </c>
      <c r="C67" s="125">
        <f t="shared" si="4"/>
        <v>41.482282359328302</v>
      </c>
      <c r="D67" s="125">
        <f t="shared" si="4"/>
        <v>43.461224502039883</v>
      </c>
      <c r="E67" s="125">
        <f t="shared" si="4"/>
        <v>45.64201676302045</v>
      </c>
      <c r="F67" s="125">
        <f t="shared" si="4"/>
        <v>50.707751472270687</v>
      </c>
      <c r="H67" s="121"/>
    </row>
    <row r="68" spans="1:8" ht="13.15" x14ac:dyDescent="0.4">
      <c r="A68" s="144">
        <f t="shared" si="3"/>
        <v>15</v>
      </c>
      <c r="B68" s="125">
        <f t="shared" si="4"/>
        <v>39.683615351565599</v>
      </c>
      <c r="C68" s="125">
        <f t="shared" si="4"/>
        <v>42.595969225261008</v>
      </c>
      <c r="D68" s="125">
        <f t="shared" si="4"/>
        <v>46.007009071260143</v>
      </c>
      <c r="E68" s="125">
        <f t="shared" si="4"/>
        <v>50.015809028162529</v>
      </c>
      <c r="F68" s="125">
        <f t="shared" si="4"/>
        <v>60.324608543932861</v>
      </c>
      <c r="H68" s="121"/>
    </row>
    <row r="69" spans="1:8" ht="13.15" x14ac:dyDescent="0.4">
      <c r="A69" s="145">
        <f t="shared" si="3"/>
        <v>20</v>
      </c>
      <c r="B69" s="125">
        <f t="shared" si="4"/>
        <v>39.683615351565599</v>
      </c>
      <c r="C69" s="125">
        <f t="shared" si="4"/>
        <v>43.730637542419466</v>
      </c>
      <c r="D69" s="125">
        <f t="shared" si="4"/>
        <v>48.74710333335846</v>
      </c>
      <c r="E69" s="125">
        <f t="shared" si="4"/>
        <v>55.00511714449604</v>
      </c>
      <c r="F69" s="125">
        <f t="shared" si="4"/>
        <v>72.749476784851424</v>
      </c>
      <c r="H69" s="121"/>
    </row>
    <row r="70" spans="1:8" ht="13.15" x14ac:dyDescent="0.4">
      <c r="A70" s="145">
        <f t="shared" si="3"/>
        <v>25</v>
      </c>
      <c r="B70" s="125">
        <f t="shared" si="4"/>
        <v>39.683615351565585</v>
      </c>
      <c r="C70" s="125">
        <f t="shared" si="4"/>
        <v>44.785942040132674</v>
      </c>
      <c r="D70" s="125">
        <f t="shared" si="4"/>
        <v>51.446189397563344</v>
      </c>
      <c r="E70" s="125">
        <f t="shared" si="4"/>
        <v>60.233760351009849</v>
      </c>
      <c r="F70" s="125">
        <f t="shared" si="4"/>
        <v>87.650396673072933</v>
      </c>
    </row>
    <row r="71" spans="1:8" ht="13.15" x14ac:dyDescent="0.4">
      <c r="A71" s="145">
        <f t="shared" si="3"/>
        <v>30</v>
      </c>
      <c r="B71" s="125">
        <f t="shared" si="4"/>
        <v>39.683615351565585</v>
      </c>
      <c r="C71" s="125">
        <f t="shared" si="4"/>
        <v>45.716867408603136</v>
      </c>
      <c r="D71" s="125">
        <f t="shared" si="4"/>
        <v>53.973907416598379</v>
      </c>
      <c r="E71" s="125">
        <f t="shared" si="4"/>
        <v>65.461739099318052</v>
      </c>
      <c r="F71" s="125">
        <f t="shared" si="4"/>
        <v>104.85572752533042</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0.1</v>
      </c>
      <c r="D74" s="146">
        <f>Scenarios!C55</f>
        <v>15</v>
      </c>
      <c r="E74" s="136">
        <f>INDEX(B$65:F$71, MATCH(D74, A$65:A$71, 0), MATCH(C74, B$64:F$64, 0))</f>
        <v>60.324608543932861</v>
      </c>
      <c r="F74" s="143">
        <f>Scenarios!C58</f>
        <v>0.05</v>
      </c>
    </row>
    <row r="75" spans="1:8" x14ac:dyDescent="0.35">
      <c r="B75" s="128" t="str">
        <f>Scenarios!B36</f>
        <v>Optimistic</v>
      </c>
      <c r="C75" s="143">
        <f>Scenarios!C38</f>
        <v>0.06</v>
      </c>
      <c r="D75" s="146">
        <f>Scenarios!C37</f>
        <v>10</v>
      </c>
      <c r="E75" s="136">
        <f>INDEX(B$65:F$71, MATCH(D75, A$65:A$71, 0), MATCH(C75, B$64:F$64, 0))</f>
        <v>45.64201676302045</v>
      </c>
      <c r="F75" s="143">
        <f>Scenarios!C40*(1-F$74-F$78)</f>
        <v>0.18</v>
      </c>
      <c r="H75" s="121"/>
    </row>
    <row r="76" spans="1:8" x14ac:dyDescent="0.35">
      <c r="B76" s="128" t="str">
        <f>Scenarios!B24</f>
        <v>Base</v>
      </c>
      <c r="C76" s="143">
        <f>Scenarios!C26</f>
        <v>0.04</v>
      </c>
      <c r="D76" s="146">
        <f>Scenarios!C25</f>
        <v>10</v>
      </c>
      <c r="E76" s="136">
        <f>INDEX(B$65:F$71, MATCH(D76, A$65:A$71, 0), MATCH(C76, B$64:F$64, 0))</f>
        <v>43.461224502039883</v>
      </c>
      <c r="F76" s="143">
        <f>Scenarios!C28*(1-F$74-F$78)</f>
        <v>0.53999999999999992</v>
      </c>
      <c r="H76" s="121"/>
    </row>
    <row r="77" spans="1:8" x14ac:dyDescent="0.35">
      <c r="B77" s="128" t="str">
        <f>Scenarios!B30</f>
        <v>Pessimistic</v>
      </c>
      <c r="C77" s="143">
        <f>Scenarios!C32</f>
        <v>0.02</v>
      </c>
      <c r="D77" s="146">
        <f>Scenarios!C31</f>
        <v>10</v>
      </c>
      <c r="E77" s="136">
        <f>INDEX(B$65:F$71, MATCH(D77, A$65:A$71, 0), MATCH(C77, B$64:F$64, 0))</f>
        <v>41.482282359328302</v>
      </c>
      <c r="F77" s="143">
        <f>Scenarios!C34*(1-F$74-F$78)</f>
        <v>0.18</v>
      </c>
      <c r="H77" s="121"/>
    </row>
    <row r="78" spans="1:8" x14ac:dyDescent="0.35">
      <c r="B78" s="128" t="str">
        <f>Scenarios!B48</f>
        <v>Devil's advocate</v>
      </c>
      <c r="C78" s="143">
        <f>Scenarios!C50</f>
        <v>0</v>
      </c>
      <c r="D78" s="146">
        <f>Scenarios!C49</f>
        <v>15</v>
      </c>
      <c r="E78" s="136">
        <f>INDEX(B$65:F$71, MATCH(D78, A$65:A$71, 0), MATCH(C78, B$64:F$64, 0))</f>
        <v>39.683615351565599</v>
      </c>
      <c r="F78" s="143">
        <f>Scenarios!C52</f>
        <v>0.05</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9" zoomScale="75" zoomScaleNormal="100" workbookViewId="0">
      <selection activeCell="E71" sqref="E7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-59.8</v>
      </c>
    </row>
    <row r="4" spans="2:9" x14ac:dyDescent="0.35">
      <c r="B4" s="153" t="s">
        <v>148</v>
      </c>
      <c r="C4" s="121">
        <v>3</v>
      </c>
      <c r="D4" s="121"/>
      <c r="E4" s="156" t="s">
        <v>152</v>
      </c>
      <c r="F4" s="156"/>
      <c r="H4" s="276">
        <v>1</v>
      </c>
      <c r="I4" s="264">
        <f t="shared" ref="I4:I13" si="0">IF(ROW()-3 &lt; $C$76, $C$77, IF(ROW()-3 = $C$76, $C$77 + $C$60, ""))</f>
        <v>2.0829308503408979</v>
      </c>
    </row>
    <row r="5" spans="2:9" x14ac:dyDescent="0.35">
      <c r="H5" s="276">
        <v>2</v>
      </c>
      <c r="I5" s="264">
        <f t="shared" si="0"/>
        <v>2.0829308503408979</v>
      </c>
    </row>
    <row r="6" spans="2:9" ht="13.15" x14ac:dyDescent="0.4">
      <c r="B6" s="160" t="s">
        <v>97</v>
      </c>
      <c r="C6" s="107">
        <f>Valuation_Model!C3</f>
        <v>1</v>
      </c>
      <c r="E6" s="100" t="s">
        <v>285</v>
      </c>
      <c r="F6" s="100"/>
      <c r="H6" s="276">
        <v>3</v>
      </c>
      <c r="I6" s="264">
        <f t="shared" si="0"/>
        <v>46.234777118240132</v>
      </c>
    </row>
    <row r="7" spans="2:9" ht="12.75" customHeight="1" x14ac:dyDescent="0.35">
      <c r="B7" s="100" t="s">
        <v>279</v>
      </c>
      <c r="C7" s="115">
        <f>Normalized_FCF!G8</f>
        <v>4487792577</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青島啤酒股份(0168.HK). Each scenario should include the Compound Growth Rate, the Probability Assessment, and the Business Narrative.</v>
      </c>
      <c r="F7" s="346"/>
      <c r="H7" s="276">
        <v>4</v>
      </c>
      <c r="I7" s="264" t="str">
        <f t="shared" si="0"/>
        <v/>
      </c>
    </row>
    <row r="8" spans="2:9" x14ac:dyDescent="0.35">
      <c r="B8" s="100" t="s">
        <v>67</v>
      </c>
      <c r="C8" s="115">
        <f>Normalized_FCF!G19</f>
        <v>3155344886.8112736</v>
      </c>
      <c r="D8" t="str">
        <f>Reporting_currency</f>
        <v>CNY</v>
      </c>
      <c r="E8" s="346"/>
      <c r="F8" s="346"/>
      <c r="H8" s="276">
        <v>5</v>
      </c>
      <c r="I8" s="264" t="str">
        <f t="shared" si="0"/>
        <v/>
      </c>
    </row>
    <row r="9" spans="2:9" x14ac:dyDescent="0.35">
      <c r="B9" s="100" t="s">
        <v>58</v>
      </c>
      <c r="C9" s="201">
        <f>Normalized_FCF!C19</f>
        <v>2878758364.8675942</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2.1321347914251776E-2</v>
      </c>
      <c r="D12" s="159"/>
      <c r="E12" s="346"/>
      <c r="F12" s="346"/>
      <c r="H12" s="276">
        <v>9</v>
      </c>
      <c r="I12" s="264" t="str">
        <f t="shared" si="0"/>
        <v/>
      </c>
    </row>
    <row r="13" spans="2:9" x14ac:dyDescent="0.35">
      <c r="B13" s="149" t="s">
        <v>154</v>
      </c>
      <c r="C13" s="159">
        <f ca="1">(Normalized_FCF!G8/OFFSET(Normalized_FCF!G8, 0, $C$4))^(1/$C$4) - 1</f>
        <v>0.15185942572632172</v>
      </c>
      <c r="E13" s="346"/>
      <c r="F13" s="346"/>
      <c r="H13" s="276">
        <v>10</v>
      </c>
      <c r="I13" s="264" t="str">
        <f t="shared" si="0"/>
        <v/>
      </c>
    </row>
    <row r="14" spans="2:9" x14ac:dyDescent="0.35">
      <c r="B14" s="100" t="s">
        <v>67</v>
      </c>
      <c r="C14" s="159">
        <f ca="1">(Normalized_FCF!G19/OFFSET(Normalized_FCF!G19, 0, $C$4))^(1/$C$4) - 1</f>
        <v>0.22851433827059342</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10</v>
      </c>
      <c r="E18" s="346" t="s">
        <v>343</v>
      </c>
      <c r="F18" s="347"/>
    </row>
    <row r="19" spans="2:6" x14ac:dyDescent="0.35">
      <c r="E19" s="347"/>
      <c r="F19" s="347"/>
    </row>
    <row r="20" spans="2:6" ht="13.15" x14ac:dyDescent="0.4">
      <c r="B20" s="160" t="s">
        <v>313</v>
      </c>
      <c r="E20" s="347"/>
      <c r="F20" s="347"/>
    </row>
    <row r="21" spans="2:6" x14ac:dyDescent="0.35">
      <c r="B21" s="100" t="s">
        <v>283</v>
      </c>
      <c r="C21" s="161">
        <f>Market_Price</f>
        <v>59.8</v>
      </c>
      <c r="D21" t="str">
        <f>Market_currency</f>
        <v>HKD</v>
      </c>
      <c r="E21" s="347"/>
      <c r="F21" s="347"/>
    </row>
    <row r="22" spans="2:6" x14ac:dyDescent="0.35">
      <c r="B22" s="100" t="s">
        <v>284</v>
      </c>
      <c r="C22" s="161">
        <f>Valuation_Model!C12</f>
        <v>39.683615351565606</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0.04</v>
      </c>
      <c r="D26" s="165"/>
      <c r="E26" s="345"/>
      <c r="F26" s="345"/>
    </row>
    <row r="27" spans="2:6" x14ac:dyDescent="0.35">
      <c r="B27" s="100" t="s">
        <v>115</v>
      </c>
      <c r="C27" s="161">
        <f>Valuation_Model!E76</f>
        <v>43.461224502039883</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0.02</v>
      </c>
      <c r="D32" s="165"/>
      <c r="E32" s="345"/>
      <c r="F32" s="345"/>
    </row>
    <row r="33" spans="2:6" x14ac:dyDescent="0.35">
      <c r="B33" s="100" t="s">
        <v>115</v>
      </c>
      <c r="C33" s="161">
        <f>Valuation_Model!E77</f>
        <v>41.482282359328302</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0.06</v>
      </c>
      <c r="D38" s="165"/>
      <c r="E38" s="345"/>
      <c r="F38" s="345"/>
    </row>
    <row r="39" spans="2:6" x14ac:dyDescent="0.35">
      <c r="B39" s="100" t="s">
        <v>115</v>
      </c>
      <c r="C39" s="161">
        <f>Valuation_Model!E75</f>
        <v>45.64201676302045</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43.501594525693683</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v>
      </c>
      <c r="D50" s="165"/>
      <c r="E50" s="345"/>
      <c r="F50" s="345"/>
    </row>
    <row r="51" spans="2:6" x14ac:dyDescent="0.35">
      <c r="B51" s="100" t="s">
        <v>115</v>
      </c>
      <c r="C51" s="161">
        <f>Valuation_Model!E78</f>
        <v>39.683615351565599</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15</v>
      </c>
      <c r="D55" s="164"/>
      <c r="E55" s="345"/>
      <c r="F55" s="345"/>
    </row>
    <row r="56" spans="2:6" x14ac:dyDescent="0.35">
      <c r="B56" s="119" t="s">
        <v>136</v>
      </c>
      <c r="C56" s="165">
        <v>0.1</v>
      </c>
      <c r="D56" s="165"/>
      <c r="E56" s="345"/>
      <c r="F56" s="345"/>
    </row>
    <row r="57" spans="2:6" x14ac:dyDescent="0.35">
      <c r="B57" s="100" t="s">
        <v>115</v>
      </c>
      <c r="C57" s="161">
        <f>Valuation_Model!E74</f>
        <v>60.324608543932861</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44.151846267899231</v>
      </c>
      <c r="D60" t="str">
        <f>Market_currency</f>
        <v>HKD</v>
      </c>
      <c r="E60" s="100" t="s">
        <v>306</v>
      </c>
      <c r="F60" s="312">
        <f>Thesis!E20</f>
        <v>3</v>
      </c>
    </row>
    <row r="62" spans="2:6" ht="13.9" x14ac:dyDescent="0.45">
      <c r="B62" s="36" t="s">
        <v>362</v>
      </c>
      <c r="C62" s="37"/>
      <c r="D62" s="37"/>
      <c r="E62" s="37"/>
      <c r="F62" s="37"/>
    </row>
    <row r="63" spans="2:6" ht="13.15" x14ac:dyDescent="0.4">
      <c r="B63" s="109" t="s">
        <v>314</v>
      </c>
      <c r="E63" s="282" t="s">
        <v>322</v>
      </c>
    </row>
    <row r="64" spans="2:6" x14ac:dyDescent="0.35">
      <c r="B64" s="153" t="s">
        <v>135</v>
      </c>
      <c r="C64" s="167">
        <v>10</v>
      </c>
      <c r="D64" s="151"/>
      <c r="E64" s="281" t="s">
        <v>323</v>
      </c>
    </row>
    <row r="65" spans="2:6" x14ac:dyDescent="0.35">
      <c r="B65" s="119" t="s">
        <v>136</v>
      </c>
      <c r="C65" s="152">
        <v>4.6574870890079501E-2</v>
      </c>
      <c r="D65" s="152"/>
      <c r="E65" s="281" t="s">
        <v>324</v>
      </c>
    </row>
    <row r="66" spans="2:6" x14ac:dyDescent="0.35">
      <c r="B66" s="100" t="s">
        <v>104</v>
      </c>
      <c r="C66" s="161">
        <f>Valuation_Model!C18</f>
        <v>44.154753829984472</v>
      </c>
      <c r="D66" s="161" t="str">
        <f>Market_currency</f>
        <v>HKD</v>
      </c>
      <c r="E66" s="281" t="s">
        <v>325</v>
      </c>
    </row>
    <row r="68" spans="2:6" ht="13.15" x14ac:dyDescent="0.4">
      <c r="B68" s="109" t="s">
        <v>363</v>
      </c>
      <c r="E68" s="282" t="s">
        <v>326</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N</v>
      </c>
      <c r="E72" s="135" t="s">
        <v>359</v>
      </c>
      <c r="F72" s="329">
        <f>BS!D89/C60</f>
        <v>0.26778721060502353</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2.0829308503408979</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4.0658810198654329</v>
      </c>
      <c r="D81" s="117"/>
      <c r="E81" s="100"/>
      <c r="F81" s="100"/>
    </row>
    <row r="82" spans="2:8" x14ac:dyDescent="0.35">
      <c r="B82" s="100" t="s">
        <v>124</v>
      </c>
      <c r="C82" s="117">
        <f>C60/(1+C80)^C76</f>
        <v>22.605745289164407</v>
      </c>
      <c r="D82" s="117"/>
    </row>
    <row r="83" spans="2:8" ht="13.15" x14ac:dyDescent="0.4">
      <c r="B83" s="111" t="s">
        <v>103</v>
      </c>
      <c r="C83" s="112">
        <f>C81+C82</f>
        <v>26.67162630902984</v>
      </c>
      <c r="D83" t="str">
        <f>Market_currency</f>
        <v>HKD</v>
      </c>
      <c r="E83" s="147" t="s">
        <v>128</v>
      </c>
      <c r="F83" s="329">
        <f>(1-C83/C60)</f>
        <v>0.39591141563605348</v>
      </c>
    </row>
    <row r="84" spans="2:8" x14ac:dyDescent="0.35">
      <c r="E84" s="121"/>
    </row>
    <row r="85" spans="2:8" ht="13.15" x14ac:dyDescent="0.4">
      <c r="B85" s="109" t="s">
        <v>312</v>
      </c>
    </row>
    <row r="86" spans="2:8" x14ac:dyDescent="0.35">
      <c r="B86" s="149" t="s">
        <v>310</v>
      </c>
      <c r="C86" s="266">
        <f>Market_Price</f>
        <v>59.8</v>
      </c>
      <c r="D86" t="str">
        <f>Market_currency</f>
        <v>HKD</v>
      </c>
    </row>
    <row r="87" spans="2:8" ht="13.15" x14ac:dyDescent="0.4">
      <c r="B87" s="100" t="s">
        <v>308</v>
      </c>
      <c r="C87" s="265">
        <f ca="1">IRR(OFFSET($I$3, 0, 0, $C$76 + 1, 1))</f>
        <v>-5.7617735553175065E-2</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2025-04-10T02:10:24Z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