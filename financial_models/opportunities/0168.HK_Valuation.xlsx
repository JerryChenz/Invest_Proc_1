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F73A8F0-C669-4AB4-8DE2-5321E113DCAB}"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D62" i="4" s="1"/>
  <c r="E20" i="4"/>
  <c r="E62" i="4" s="1"/>
  <c r="F20" i="4"/>
  <c r="F62" i="4" s="1"/>
  <c r="C25" i="4"/>
  <c r="D25" i="4"/>
  <c r="E25" i="4"/>
  <c r="F25" i="4"/>
  <c r="G25" i="4"/>
  <c r="C28" i="4"/>
  <c r="C29" i="4"/>
  <c r="C30" i="4"/>
  <c r="C3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C67" i="8"/>
  <c r="C70" i="8"/>
  <c r="E66" i="8"/>
  <c r="E67" i="8"/>
  <c r="B70" i="8"/>
  <c r="C66" i="8"/>
  <c r="E70" i="8"/>
  <c r="F71" i="8"/>
  <c r="B68" i="8"/>
  <c r="B66" i="8"/>
  <c r="G54" i="2"/>
  <c r="E68" i="8" l="1"/>
  <c r="D66" i="8"/>
  <c r="D70" i="8"/>
  <c r="B69" i="8"/>
  <c r="B67" i="8"/>
  <c r="D71" i="8"/>
  <c r="F69" i="8"/>
  <c r="C69" i="8"/>
  <c r="C68" i="8"/>
  <c r="D67" i="8"/>
  <c r="E71" i="8"/>
  <c r="F70" i="8"/>
  <c r="F67"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49" i="8" l="1"/>
  <c r="F49" i="8" s="1"/>
  <c r="C37" i="8"/>
  <c r="F37" i="8" s="1"/>
  <c r="C41" i="8"/>
  <c r="F41" i="8" s="1"/>
  <c r="C38" i="8"/>
  <c r="F38" i="8" s="1"/>
  <c r="C50" i="8"/>
  <c r="F50" i="8" s="1"/>
  <c r="C47" i="8"/>
  <c r="F47" i="8" s="1"/>
  <c r="C45" i="8"/>
  <c r="F45" i="8" s="1"/>
  <c r="C42" i="8"/>
  <c r="F42" i="8" s="1"/>
  <c r="C43" i="8"/>
  <c r="F43" i="8" s="1"/>
  <c r="C48" i="8"/>
  <c r="F48" i="8" s="1"/>
  <c r="C39" i="8"/>
  <c r="F39" i="8" s="1"/>
  <c r="C40" i="8"/>
  <c r="F40" i="8" s="1"/>
  <c r="C46" i="8"/>
  <c r="F46" i="8" s="1"/>
  <c r="C44" i="8"/>
  <c r="F44"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<sst xmlns="http://schemas.openxmlformats.org/spreadsheetml/2006/main" count="626" uniqueCount="439">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</sst>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1364196788</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54.25</v>
      </c>
      <c r="D12" s="50"/>
      <c r="E12" s="48"/>
    </row>
    <row r="13" spans="1:10">
      <c r="B13" s="1" t="s">
        <v>426</v>
      </c>
      <c r="C13" s="48" t="s">
        <v>404</v>
      </c>
      <c r="D13" s="48"/>
      <c r="E13" s="5"/>
    </row>
    <row r="14" spans="1:10">
      <c r="B14" s="4" t="s">
        <v>430</v>
      </c>
      <c r="C14" s="35">
        <f>Thesis!C12*Common_Shares/1000000</f>
        <v>74007.675749000002</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1.08281703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27.985727390895594</v>
      </c>
      <c r="D25" s="1" t="s">
        <v>315</v>
      </c>
      <c r="E25" s="330">
        <v>3</v>
      </c>
    </row>
    <row r="26" spans="1:6">
      <c r="B26" s="1" t="s">
        <v>407</v>
      </c>
      <c r="C26" s="280">
        <f ca="1">Scenarios!C87</f>
        <v>0.11272920573653655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v>
      </c>
    </row>
    <row r="34" spans="2:6" ht="24.4" customHeight="1">
      <c r="B34" s="344" t="s">
        <v>232</v>
      </c>
      <c r="C34" s="344"/>
      <c r="D34" s="344"/>
      <c r="E34" s="344"/>
      <c r="F34" s="344"/>
    </row>
    <row r="35" spans="2:6">
      <c r="B35" s="47" t="s">
        <v>233</v>
      </c>
      <c r="C35" s="188">
        <f>Normalized_FCF!C8</f>
        <v>3878068070.3077545</v>
      </c>
      <c r="D35" s="1" t="str">
        <f>Reporting_currency</f>
        <v>CNY</v>
      </c>
    </row>
    <row r="36" spans="2:6">
      <c r="B36" s="47"/>
      <c r="C36" s="76"/>
    </row>
    <row r="37" spans="2:6" ht="24.4" customHeight="1">
      <c r="B37" s="344" t="s">
        <v>234</v>
      </c>
      <c r="C37" s="344"/>
      <c r="D37" s="344"/>
      <c r="E37" s="344"/>
      <c r="F37" s="344"/>
    </row>
    <row r="38" spans="2:6">
      <c r="B38" s="47" t="s">
        <v>235</v>
      </c>
      <c r="C38" s="188">
        <f>Normalized_FCF!C9</f>
        <v>1191305772</v>
      </c>
      <c r="D38" s="1" t="str">
        <f>Reporting_currency</f>
        <v>CNY</v>
      </c>
    </row>
    <row r="39" spans="2:6">
      <c r="B39" s="52" t="s">
        <v>236</v>
      </c>
      <c r="C39" s="188">
        <f>Normalized_FCF!C10</f>
        <v>-1191305772</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177226919.33197579</v>
      </c>
      <c r="D45" s="1" t="str">
        <f>Reporting_currency</f>
        <v>CNY</v>
      </c>
      <c r="E45" s="321"/>
      <c r="F45" s="321"/>
    </row>
    <row r="46" spans="2:6">
      <c r="B46" s="47" t="s">
        <v>349</v>
      </c>
      <c r="C46" s="322">
        <f>Normalized_FCF!C47</f>
        <v>-21837054</v>
      </c>
      <c r="D46" s="1" t="str">
        <f>Reporting_currency</f>
        <v>CNY</v>
      </c>
      <c r="E46" s="321"/>
      <c r="F46" s="321"/>
    </row>
    <row r="47" spans="2:6">
      <c r="B47" s="47" t="s">
        <v>239</v>
      </c>
      <c r="C47" s="188">
        <f>Normalized_FCF!C12</f>
        <v>155389865.33197579</v>
      </c>
      <c r="D47" s="1" t="str">
        <f>Reporting_currency</f>
        <v>CNY</v>
      </c>
    </row>
    <row r="49" spans="2:6">
      <c r="B49" s="1" t="s">
        <v>247</v>
      </c>
    </row>
    <row r="50" spans="2:6">
      <c r="B50" s="47" t="s">
        <v>266</v>
      </c>
      <c r="C50" s="188">
        <f>Normalized_FCF!C15</f>
        <v>-146634564.47167698</v>
      </c>
      <c r="D50" s="1" t="str">
        <f>Reporting_currency</f>
        <v>CNY</v>
      </c>
    </row>
    <row r="52" spans="2:6">
      <c r="B52" s="344" t="s">
        <v>242</v>
      </c>
      <c r="C52" s="344"/>
      <c r="D52" s="344"/>
      <c r="E52" s="344"/>
      <c r="F52" s="344"/>
    </row>
    <row r="53" spans="2:6">
      <c r="B53" s="47" t="s">
        <v>240</v>
      </c>
      <c r="C53" s="188">
        <f>Normalized_FCF!C14</f>
        <v>-1008364483.9099326</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3154945583.3319759</v>
      </c>
      <c r="D61" s="1" t="str">
        <f>Reporting_currency</f>
        <v>CNY</v>
      </c>
    </row>
    <row r="62" spans="2:6">
      <c r="B62" s="47" t="s">
        <v>249</v>
      </c>
      <c r="C62" s="188">
        <f>Normalized_FCF!C19</f>
        <v>2878458887.258121</v>
      </c>
      <c r="D62" s="1" t="str">
        <f>Reporting_currency</f>
        <v>CNY</v>
      </c>
    </row>
    <row r="63" spans="2:6">
      <c r="B63" s="254" t="s">
        <v>398</v>
      </c>
      <c r="C63" s="92">
        <f>Normalized_FCF!C125</f>
        <v>4.2115149161674061E-2</v>
      </c>
    </row>
    <row r="64" spans="2:6">
      <c r="B64" s="254" t="s">
        <v>316</v>
      </c>
      <c r="C64" s="92">
        <f>Normalized_FCF!C93</f>
        <v>3.7451383075961665E-2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28.559335525260224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285396383</v>
      </c>
      <c r="D91" s="1" t="str">
        <f>Reporting_currency</f>
        <v>CNY</v>
      </c>
    </row>
    <row r="92" spans="1:6">
      <c r="B92" s="47" t="s">
        <v>285</v>
      </c>
      <c r="C92" s="248">
        <f>C91*scaling_factor*Exchange_Rate/Common_Shares</f>
        <v>0.22653041447624528</v>
      </c>
      <c r="D92" s="1" t="str">
        <f>Market_currency</f>
        <v>HKD</v>
      </c>
    </row>
    <row r="93" spans="1:6">
      <c r="B93" s="336" t="s">
        <v>412</v>
      </c>
      <c r="C93" s="337">
        <f>BS!G30/BS!G27</f>
        <v>0.72207550313588764</v>
      </c>
    </row>
    <row r="94" spans="1:6">
      <c r="B94" s="336" t="s">
        <v>413</v>
      </c>
      <c r="C94" s="337">
        <f>BS!G31/BS!G27</f>
        <v>9.5579625064196368E-3</v>
      </c>
    </row>
    <row r="95" spans="1:6">
      <c r="B95" s="336" t="s">
        <v>415</v>
      </c>
      <c r="C95" s="338">
        <f>BS!C50</f>
        <v>7.3592411949940734E-2</v>
      </c>
    </row>
    <row r="97" spans="1:6">
      <c r="B97" s="1" t="s">
        <v>255</v>
      </c>
    </row>
    <row r="98" spans="1:6">
      <c r="B98" s="47" t="s">
        <v>265</v>
      </c>
      <c r="C98" s="188">
        <f>BS!C66</f>
        <v>17978772896</v>
      </c>
      <c r="D98" s="1" t="str">
        <f>Reporting_currency</f>
        <v>CNY</v>
      </c>
    </row>
    <row r="99" spans="1:6">
      <c r="B99" s="47" t="s">
        <v>267</v>
      </c>
      <c r="C99" s="188">
        <f>Valuation_Model!C8</f>
        <v>12812639111.336733</v>
      </c>
      <c r="D99" s="1" t="str">
        <f>Reporting_currency</f>
        <v>CNY</v>
      </c>
    </row>
    <row r="100" spans="1:6">
      <c r="B100" s="47" t="s">
        <v>286</v>
      </c>
      <c r="C100" s="248">
        <f>C99*scaling_factor*Exchange_Rate/Common_Shares</f>
        <v>10.16989920445369</v>
      </c>
      <c r="D100" s="1" t="str">
        <f>Market_currency</f>
        <v>HKD</v>
      </c>
    </row>
    <row r="102" spans="1:6">
      <c r="B102" s="1" t="s">
        <v>257</v>
      </c>
    </row>
    <row r="103" spans="1:6">
      <c r="B103" s="47" t="s">
        <v>258</v>
      </c>
      <c r="C103" s="188">
        <f>Valuation_Model!C9</f>
        <v>2755411575.5</v>
      </c>
      <c r="D103" s="1" t="str">
        <f>Reporting_currency</f>
        <v>CNY</v>
      </c>
    </row>
    <row r="104" spans="1:6">
      <c r="B104" s="47" t="s">
        <v>287</v>
      </c>
      <c r="C104" s="248">
        <f>C103*scaling_factor*Exchange_Rate/Common_Shares</f>
        <v>2.1870793164560149</v>
      </c>
      <c r="D104" s="1" t="str">
        <f>Market_currency</f>
        <v>HKD</v>
      </c>
    </row>
    <row r="106" spans="1:6" ht="24.4" customHeight="1">
      <c r="B106" s="343" t="s">
        <v>374</v>
      </c>
      <c r="C106" s="343"/>
      <c r="D106" s="343"/>
      <c r="E106" s="343"/>
      <c r="F106" s="343"/>
    </row>
    <row r="108" spans="1:6">
      <c r="B108" s="47" t="s">
        <v>283</v>
      </c>
      <c r="C108" s="248">
        <f>Valuation_Model!C12</f>
        <v>40.689783631693679</v>
      </c>
      <c r="D108" s="1" t="str">
        <f>Market_currency</f>
        <v>HKD</v>
      </c>
    </row>
    <row r="109" spans="1:6">
      <c r="B109" s="336" t="s">
        <v>414</v>
      </c>
      <c r="C109" s="248">
        <f>BS!D47</f>
        <v>1.3458341465203663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30</v>
      </c>
      <c r="E116" s="258" t="str">
        <f>ROUND(Valuation_Model!E74,2)&amp;" "&amp;Market_currency</f>
        <v>107.5 HKD</v>
      </c>
      <c r="F116" s="259">
        <f>Valuation_Model!F74</f>
        <v>0.05</v>
      </c>
    </row>
    <row r="117" spans="1:6">
      <c r="B117" s="242" t="str">
        <f>Valuation_Model!B75</f>
        <v>Optimistic</v>
      </c>
      <c r="C117" s="243">
        <f>Valuation_Model!C75</f>
        <v>0.08</v>
      </c>
      <c r="D117" s="244">
        <f>Valuation_Model!D75</f>
        <v>30</v>
      </c>
      <c r="E117" s="245" t="str">
        <f>ROUND(Valuation_Model!E75,2)&amp;" "&amp;Market_currency</f>
        <v>83.74 HKD</v>
      </c>
      <c r="F117" s="246">
        <f>Valuation_Model!F75</f>
        <v>0.18</v>
      </c>
    </row>
    <row r="118" spans="1:6">
      <c r="B118" s="242" t="str">
        <f>Valuation_Model!B76</f>
        <v>Base</v>
      </c>
      <c r="C118" s="243">
        <f>Valuation_Model!C76</f>
        <v>0.06</v>
      </c>
      <c r="D118" s="244">
        <f>Valuation_Model!D76</f>
        <v>30</v>
      </c>
      <c r="E118" s="245" t="str">
        <f>ROUND(Valuation_Model!E76,2)&amp;" "&amp;Market_currency</f>
        <v>67.11 HKD</v>
      </c>
      <c r="F118" s="246">
        <f>Valuation_Model!F76</f>
        <v>0.44999999999999996</v>
      </c>
    </row>
    <row r="119" spans="1:6">
      <c r="B119" s="242" t="str">
        <f>Valuation_Model!B77</f>
        <v>Pessimistic</v>
      </c>
      <c r="C119" s="243">
        <f>Valuation_Model!C77</f>
        <v>0.04</v>
      </c>
      <c r="D119" s="244">
        <f>Valuation_Model!D77</f>
        <v>30</v>
      </c>
      <c r="E119" s="245" t="str">
        <f>ROUND(Valuation_Model!E77,2)&amp;" "&amp;Market_currency</f>
        <v>55.34 HKD</v>
      </c>
      <c r="F119" s="246">
        <f>Valuation_Model!F77</f>
        <v>0.26999999999999996</v>
      </c>
    </row>
    <row r="120" spans="1:6">
      <c r="B120" s="242" t="str">
        <f>Valuation_Model!B78</f>
        <v>Devil's advocate</v>
      </c>
      <c r="C120" s="243">
        <f>Valuation_Model!C78</f>
        <v>0.02</v>
      </c>
      <c r="D120" s="244">
        <f>Valuation_Model!D78</f>
        <v>30</v>
      </c>
      <c r="E120" s="245" t="str">
        <f>ROUND(Valuation_Model!E78,2)&amp;" "&amp;Market_currency</f>
        <v>46.87 HKD</v>
      </c>
      <c r="F120" s="246">
        <f>Valuation_Model!F78</f>
        <v>0.05</v>
      </c>
    </row>
    <row r="122" spans="1:6">
      <c r="B122" s="235" t="s">
        <v>259</v>
      </c>
      <c r="C122" s="241">
        <f>Scenarios!C60</f>
        <v>67.934460321660282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2.0317375318709203</v>
      </c>
      <c r="D133" s="236" t="str">
        <f>Market_currency</f>
        <v>HKD</v>
      </c>
    </row>
    <row r="135" spans="2:6">
      <c r="B135" s="234" t="s">
        <v>418</v>
      </c>
      <c r="C135" s="270" t="str">
        <f>C11</f>
        <v>0168.HK</v>
      </c>
      <c r="D135" s="270" t="str">
        <f>IF(D11="","",D11)</f>
        <v/>
      </c>
    </row>
    <row r="136" spans="2:6">
      <c r="B136" s="1" t="s">
        <v>416</v>
      </c>
      <c r="C136" s="337">
        <f>C24</f>
        <v>0.4</v>
      </c>
    </row>
    <row r="137" spans="2:6">
      <c r="B137" s="236" t="str">
        <f>"PV("&amp;C131&amp;" yrs of Dividends)"</f>
        <v>PV(3 yrs of Dividends)</v>
      </c>
      <c r="C137" s="240">
        <f>Scenarios!C81</f>
        <v>3.2282710054508783</v>
      </c>
    </row>
    <row r="138" spans="2:6">
      <c r="B138" s="236" t="str">
        <f>"+ PV(Equity Value realized at year "&amp;C131&amp;")"</f>
        <v>+ PV(Equity Value realized at year 3)</v>
      </c>
      <c r="C138" s="240">
        <f>Scenarios!C82</f>
        <v>24.757456385444716</v>
      </c>
    </row>
    <row r="139" spans="2:6">
      <c r="B139" s="80" t="s">
        <v>261</v>
      </c>
      <c r="C139" s="239">
        <f>Scenarios!C83</f>
        <v>27.985727390895594</v>
      </c>
      <c r="D139" s="342" t="str">
        <f>IF($D$11="","",C139*$E$22)</f>
        <v/>
      </c>
    </row>
    <row r="140" spans="2:6">
      <c r="B140" s="290" t="s">
        <v>426</v>
      </c>
      <c r="C140" s="340" t="str">
        <f>Market_currency</f>
        <v>HKD</v>
      </c>
      <c r="D140" s="340" t="str">
        <f>IF($D$11="","",D$13)</f>
        <v/>
      </c>
    </row>
    <row r="141" spans="2:6">
      <c r="B141" s="238" t="s">
        <v>263</v>
      </c>
      <c r="C141" s="92">
        <f>Scenarios!F83</f>
        <v>0.58804813847954274</v>
      </c>
    </row>
    <row r="143" spans="2:6">
      <c r="B143" s="234" t="s">
        <v>421</v>
      </c>
    </row>
    <row r="144" spans="2:6">
      <c r="B144" s="1" t="s">
        <v>420</v>
      </c>
      <c r="C144" s="337">
        <f>Scenarios!C90</f>
        <v>0.2</v>
      </c>
    </row>
    <row r="145" spans="1:6">
      <c r="B145" s="236" t="str">
        <f>"PV("&amp;C131&amp;" yrs of Dividends)"</f>
        <v>PV(3 yrs of Dividends)</v>
      </c>
      <c r="C145" s="240">
        <f>Scenarios!C91</f>
        <v>4.2798174861169844</v>
      </c>
    </row>
    <row r="146" spans="1:6">
      <c r="B146" s="236" t="str">
        <f>"+ PV(Equity Value realized at year "&amp;C131&amp;")"</f>
        <v>+ PV(Equity Value realized at year 3)</v>
      </c>
      <c r="C146" s="240">
        <f>Scenarios!C92</f>
        <v>39.313923797257111</v>
      </c>
    </row>
    <row r="147" spans="1:6">
      <c r="B147" s="80" t="s">
        <v>261</v>
      </c>
      <c r="C147" s="239">
        <f>Scenarios!C93</f>
        <v>43.593741283374094</v>
      </c>
      <c r="D147" s="342" t="str">
        <f>IF($D$11="","",C147*$E$22)</f>
        <v/>
      </c>
    </row>
    <row r="148" spans="1:6">
      <c r="B148" s="290" t="s">
        <v>426</v>
      </c>
      <c r="C148" s="340" t="str">
        <f>Market_currency</f>
        <v>HKD</v>
      </c>
      <c r="D148" s="340" t="str">
        <f>IF($D$11="","",D$13)</f>
        <v/>
      </c>
    </row>
    <row r="149" spans="1:6">
      <c r="B149" s="238" t="s">
        <v>263</v>
      </c>
      <c r="C149" s="92">
        <f>Scenarios!F93</f>
        <v>0.35829708402828619</v>
      </c>
    </row>
    <row r="151" spans="1:6">
      <c r="B151" s="234" t="s">
        <v>408</v>
      </c>
    </row>
    <row r="152" spans="1:6">
      <c r="B152" s="1" t="s">
        <v>419</v>
      </c>
      <c r="C152" s="92">
        <f>Scenarios!C96</f>
        <v>0.08</v>
      </c>
    </row>
    <row r="153" spans="1:6">
      <c r="B153" s="236" t="str">
        <f>"PV("&amp;C131&amp;" yrs of Dividends)"</f>
        <v>PV(3 yrs of Dividends)</v>
      </c>
      <c r="C153" s="240">
        <f>Scenarios!C97</f>
        <v>5.235984672262993</v>
      </c>
    </row>
    <row r="154" spans="1:6">
      <c r="B154" s="236" t="str">
        <f>"+ PV(Equity Value realized at year "&amp;C131&amp;")"</f>
        <v>+ PV(Equity Value realized at year 3)</v>
      </c>
      <c r="C154" s="240">
        <f>Scenarios!C98</f>
        <v>53.928564879639374</v>
      </c>
    </row>
    <row r="155" spans="1:6">
      <c r="B155" s="80" t="s">
        <v>409</v>
      </c>
      <c r="C155" s="239">
        <f>Scenarios!C99</f>
        <v>59.164549551902368</v>
      </c>
      <c r="D155" s="342" t="str">
        <f>IF($D$11="","",C155*$E$22)</f>
        <v/>
      </c>
    </row>
    <row r="156" spans="1:6">
      <c r="B156" s="290" t="s">
        <v>426</v>
      </c>
      <c r="C156" s="340" t="str">
        <f>Market_currency</f>
        <v>HKD</v>
      </c>
      <c r="D156" s="340" t="str">
        <f>IF($D$11="","",D$13)</f>
        <v/>
      </c>
    </row>
    <row r="157" spans="1:6">
      <c r="B157" s="238" t="s">
        <v>263</v>
      </c>
      <c r="C157" s="92">
        <f>Scenarios!F99</f>
        <v>0.1290936989597562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379</v>
      </c>
      <c r="C22" s="181">
        <v>5154661132</v>
      </c>
      <c r="D22" s="181">
        <v>2777567140</v>
      </c>
      <c r="E22" s="181">
        <v>4878771322</v>
      </c>
      <c r="F22" s="181">
        <v>6043111455</v>
      </c>
      <c r="G22" s="181">
        <v>4953422362</v>
      </c>
      <c r="H22" s="181"/>
      <c r="I22" s="181"/>
      <c r="J22" s="181"/>
      <c r="K22" s="181"/>
      <c r="L22" s="181"/>
      <c r="M22" s="181"/>
    </row>
    <row r="23" spans="2:13">
      <c r="B23" s="27" t="s">
        <v>381</v>
      </c>
      <c r="C23" s="181">
        <v>-7421783375</v>
      </c>
      <c r="D23" s="181">
        <v>-3462971412</v>
      </c>
      <c r="E23" s="181">
        <v>-2199108158</v>
      </c>
      <c r="F23" s="181">
        <v>-10249763562</v>
      </c>
      <c r="G23" s="181">
        <v>-1487738165</v>
      </c>
      <c r="H23" s="181"/>
      <c r="I23" s="181"/>
      <c r="J23" s="181"/>
      <c r="K23" s="181"/>
      <c r="L23" s="181"/>
      <c r="M23" s="181"/>
    </row>
    <row r="24" spans="2:13">
      <c r="B24" s="27" t="s">
        <v>380</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2.0317375318709203</v>
      </c>
      <c r="D25" s="39">
        <f>2/Exchange_Rate</f>
        <v>1.8470341198826548</v>
      </c>
      <c r="E25" s="39">
        <f>1.3/Exchange_Rate</f>
        <v>1.2005721779237255</v>
      </c>
      <c r="F25" s="39">
        <f>1.1/Exchange_Rate</f>
        <v>1.0158687659354602</v>
      </c>
      <c r="G25" s="39">
        <f>0.75/Exchange_Rate</f>
        <v>0.69263779495599553</v>
      </c>
      <c r="H25" s="39"/>
      <c r="I25" s="39"/>
      <c r="J25" s="39"/>
      <c r="K25" s="39"/>
      <c r="L25" s="39"/>
      <c r="M25" s="39"/>
    </row>
    <row r="27" spans="2:13">
      <c r="B27" s="16" t="s">
        <v>28</v>
      </c>
      <c r="C27" s="97" t="s">
        <v>436</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2.0317375318709203</v>
      </c>
      <c r="D65" s="73">
        <f t="shared" ref="D65:M65" si="33">IF(D$4="","",D25)</f>
        <v>1.8470341198826548</v>
      </c>
      <c r="E65" s="73">
        <f t="shared" si="33"/>
        <v>1.2005721779237255</v>
      </c>
      <c r="F65" s="73">
        <f t="shared" si="33"/>
        <v>1.0158687659354602</v>
      </c>
      <c r="G65" s="73">
        <f t="shared" si="33"/>
        <v>0.69263779495599553</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4">
        <v>0.6</v>
      </c>
      <c r="E4" s="25"/>
      <c r="F4" s="4" t="s">
        <v>78</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178</v>
      </c>
      <c r="G6" s="19">
        <v>0</v>
      </c>
      <c r="H6" s="294">
        <v>0.6</v>
      </c>
    </row>
    <row r="7" spans="2:8" ht="15" customHeight="1">
      <c r="B7" s="1" t="s">
        <v>69</v>
      </c>
      <c r="C7" s="19">
        <v>0</v>
      </c>
      <c r="D7" s="294">
        <v>0.6</v>
      </c>
      <c r="E7" s="25"/>
      <c r="F7" s="4" t="s">
        <v>179</v>
      </c>
      <c r="G7" s="19">
        <v>2021804089</v>
      </c>
      <c r="H7" s="294">
        <v>0.6</v>
      </c>
    </row>
    <row r="8" spans="2:8" ht="15" customHeight="1">
      <c r="B8" s="1" t="s">
        <v>174</v>
      </c>
      <c r="C8" s="19">
        <v>0</v>
      </c>
      <c r="D8" s="294">
        <v>0.6</v>
      </c>
      <c r="E8" s="25"/>
      <c r="F8" s="1" t="s">
        <v>180</v>
      </c>
      <c r="G8" s="19">
        <v>0</v>
      </c>
      <c r="H8" s="294">
        <v>0.6</v>
      </c>
    </row>
    <row r="9" spans="2:8" ht="15" customHeight="1">
      <c r="B9" s="4" t="s">
        <v>25</v>
      </c>
      <c r="C9" s="19">
        <v>241896760</v>
      </c>
      <c r="D9" s="294">
        <v>0.1</v>
      </c>
      <c r="E9" s="25"/>
      <c r="F9" s="4" t="s">
        <v>181</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2498379750</v>
      </c>
      <c r="H17" s="294">
        <v>0.6</v>
      </c>
    </row>
    <row r="18" spans="2:8" ht="15" customHeight="1">
      <c r="B18" s="4" t="s">
        <v>174</v>
      </c>
      <c r="C18" s="19">
        <v>0</v>
      </c>
      <c r="D18" s="294">
        <v>0.6</v>
      </c>
      <c r="F18" s="4" t="s">
        <v>182</v>
      </c>
      <c r="G18" s="19">
        <v>0</v>
      </c>
      <c r="H18" s="294">
        <v>0.1</v>
      </c>
    </row>
    <row r="19" spans="2:8" ht="15" customHeight="1">
      <c r="B19" s="4" t="s">
        <v>26</v>
      </c>
      <c r="C19" s="19">
        <f>11817650634+630874619+115672625+85702449</f>
        <v>12649900327</v>
      </c>
      <c r="D19" s="294">
        <v>0.1</v>
      </c>
      <c r="F19" s="4" t="s">
        <v>183</v>
      </c>
      <c r="G19" s="19">
        <v>391873803</v>
      </c>
      <c r="H19" s="294">
        <v>0.1</v>
      </c>
    </row>
    <row r="20" spans="2:8" ht="15" customHeight="1">
      <c r="B20" s="4" t="s">
        <v>18</v>
      </c>
      <c r="C20" s="19">
        <v>0</v>
      </c>
      <c r="D20" s="294">
        <v>0.05</v>
      </c>
      <c r="F20" s="4" t="s">
        <v>180</v>
      </c>
      <c r="G20" s="19">
        <v>0</v>
      </c>
      <c r="H20" s="294">
        <v>0.2</v>
      </c>
    </row>
    <row r="21" spans="2:8" ht="15" customHeight="1">
      <c r="B21" s="4" t="s">
        <v>19</v>
      </c>
      <c r="C21" s="19">
        <v>2684120584</v>
      </c>
      <c r="D21" s="294">
        <v>0.05</v>
      </c>
      <c r="F21" s="1" t="s">
        <v>181</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29060384527</v>
      </c>
      <c r="D46" s="188">
        <f>H29</f>
        <v>1695561271.1999969</v>
      </c>
      <c r="F46" s="283"/>
    </row>
    <row r="47" spans="2:8" ht="15" customHeight="1">
      <c r="B47" s="1" t="str">
        <f>"Equity per share ("&amp;Market_currency&amp;")"</f>
        <v>Equity per share (HKD)</v>
      </c>
      <c r="C47" s="148">
        <f>C46*H1/Common_Shares*Exchange_Rate</f>
        <v>23.066378356099818</v>
      </c>
      <c r="D47" s="148">
        <f>D46*H1/Common_Shares*Exchange_Rate</f>
        <v>1.3458341465203663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7.3592411949940734E-2</v>
      </c>
      <c r="D50" s="95">
        <f>G31/Normalized_FCF!G8</f>
        <v>6.3593933566061064E-2</v>
      </c>
      <c r="F50" s="283"/>
    </row>
    <row r="51" spans="2:8" ht="15" customHeight="1">
      <c r="B51" s="1" t="s">
        <v>177</v>
      </c>
      <c r="C51" s="202"/>
      <c r="D51" s="92">
        <f>G29/G32</f>
        <v>0.56515298469260233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0.1361278920921285</v>
      </c>
      <c r="D54" s="92">
        <f>Normalized_FCF!G8/G35</f>
        <v>0.15753043334415495</v>
      </c>
      <c r="F54" s="283"/>
    </row>
    <row r="55" spans="2:8" ht="15" customHeight="1">
      <c r="B55" s="1" t="s">
        <v>142</v>
      </c>
      <c r="C55" s="92">
        <f>Normalized_FCF!C11/G40</f>
        <v>0</v>
      </c>
      <c r="D55" s="92">
        <f>Normalized_FCF!G11/G40</f>
        <v>2.1050212495974641E-3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9.4175111360938715E-2</v>
      </c>
      <c r="F58" s="5"/>
    </row>
    <row r="59" spans="2:8" ht="15" customHeight="1">
      <c r="B59" s="1" t="s">
        <v>93</v>
      </c>
      <c r="C59" s="98"/>
      <c r="D59" s="92">
        <f>G39/G32</f>
        <v>0.24600944007556819</v>
      </c>
      <c r="F59" s="283"/>
    </row>
    <row r="60" spans="2:8" ht="15" customHeight="1">
      <c r="F60" s="283"/>
    </row>
    <row r="61" spans="2:8" ht="15" customHeight="1">
      <c r="B61" s="158" t="s">
        <v>275</v>
      </c>
      <c r="C61" s="262" t="s">
        <v>138</v>
      </c>
      <c r="D61" s="218" t="s">
        <v>96</v>
      </c>
      <c r="F61" s="283"/>
    </row>
    <row r="62" spans="2:8" ht="15" customHeight="1">
      <c r="B62" s="1" t="s">
        <v>246</v>
      </c>
      <c r="C62" s="92">
        <f>IF(G28&lt;=0,0,G28/G29)</f>
        <v>2.749989365273205E-2</v>
      </c>
      <c r="D62" s="92">
        <f>G28/G29</f>
        <v>2.749989365273205E-2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17978772896</v>
      </c>
      <c r="D66" s="188">
        <f>C66-D75</f>
        <v>12812639111.336733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17978772896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-2535143945.7531133</v>
      </c>
      <c r="D73" s="188">
        <f>(Normalized_FCF!C25+Normalized_FCF!C35-Normalized_FCF!C91)/12</f>
        <v>-2583066892.3316336</v>
      </c>
      <c r="F73" s="1" t="s">
        <v>359</v>
      </c>
    </row>
    <row r="74" spans="2:6" ht="15" customHeight="1">
      <c r="B74" s="288" t="s">
        <v>329</v>
      </c>
      <c r="C74" s="289">
        <f>-$C$66/C73</f>
        <v>7.0918154080040061</v>
      </c>
      <c r="D74" s="289">
        <f>-$C$66/D73</f>
        <v>6.9602428606760798</v>
      </c>
      <c r="F74" s="283" t="s">
        <v>327</v>
      </c>
    </row>
    <row r="75" spans="2:6" ht="15" customHeight="1">
      <c r="B75" s="80" t="s">
        <v>328</v>
      </c>
      <c r="C75" s="293"/>
      <c r="D75" s="292">
        <f>MAX(-D73*D76,G5)</f>
        <v>5166133784.6632671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4520183839</v>
      </c>
      <c r="D79" s="188">
        <f>G7*H7+G17*H17</f>
        <v>2712110303.3999996</v>
      </c>
      <c r="F79" s="283"/>
    </row>
    <row r="80" spans="2:6" ht="15" customHeight="1">
      <c r="B80" s="105" t="s">
        <v>183</v>
      </c>
      <c r="C80" s="20">
        <f>G19</f>
        <v>391873803</v>
      </c>
      <c r="D80" s="188">
        <f>G19*H19</f>
        <v>39187380.300000004</v>
      </c>
      <c r="F80" s="283"/>
    </row>
    <row r="81" spans="2:8" ht="15" customHeight="1">
      <c r="B81" s="105" t="s">
        <v>181</v>
      </c>
      <c r="C81" s="20">
        <f>G9+G21</f>
        <v>41138918</v>
      </c>
      <c r="D81" s="188">
        <f>G9*H9+G21*H21</f>
        <v>4113891.8000000003</v>
      </c>
      <c r="F81" s="283"/>
    </row>
    <row r="82" spans="2:8" ht="15" customHeight="1">
      <c r="B82" s="80" t="s">
        <v>190</v>
      </c>
      <c r="C82" s="81">
        <f>SUM(C79:C81)</f>
        <v>4953196560</v>
      </c>
      <c r="D82" s="81">
        <f>SUM(D79:D81)</f>
        <v>2755411575.5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-309032063.81280249</v>
      </c>
      <c r="D86" s="248">
        <f>C86*scaling_factor/Common_Shares</f>
        <v>-0.22653041447624528</v>
      </c>
      <c r="E86" s="269" t="str">
        <f>Market_currency</f>
        <v>HKD</v>
      </c>
    </row>
    <row r="87" spans="2:8" ht="15" customHeight="1">
      <c r="B87" s="267" t="s">
        <v>294</v>
      </c>
      <c r="C87" s="188">
        <f>Valuation_Model!C8*Exchange_Rate</f>
        <v>13873743828.999479</v>
      </c>
      <c r="D87" s="248">
        <f>C87*scaling_factor/Common_Shares</f>
        <v>10.16989920445369</v>
      </c>
      <c r="E87" s="269" t="str">
        <f>Market_currency</f>
        <v>HKD</v>
      </c>
    </row>
    <row r="88" spans="2:8" ht="15" customHeight="1">
      <c r="B88" s="268" t="s">
        <v>190</v>
      </c>
      <c r="C88" s="188">
        <f>Valuation_Model!C9*Exchange_Rate</f>
        <v>2983606578.6105309</v>
      </c>
      <c r="D88" s="248">
        <f>C88*scaling_factor/Common_Shares</f>
        <v>2.1870793164560149</v>
      </c>
      <c r="E88" s="269" t="str">
        <f>Market_currency</f>
        <v>HKD</v>
      </c>
    </row>
    <row r="89" spans="2:8" ht="15" customHeight="1">
      <c r="B89" s="80" t="s">
        <v>298</v>
      </c>
      <c r="C89" s="187">
        <f>SUM(C86:C88)</f>
        <v>16548318343.797207</v>
      </c>
      <c r="D89" s="271">
        <f>SUM(D86:D88)</f>
        <v>12.130448106433459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155389865.33197579</v>
      </c>
      <c r="E12" s="302"/>
      <c r="G12" s="191">
        <f>G50</f>
        <v>155389865.33197579</v>
      </c>
      <c r="H12" s="191">
        <f t="shared" ref="H12:Q12" si="6">H50</f>
        <v>129074678.46151268</v>
      </c>
      <c r="I12" s="191">
        <f t="shared" si="6"/>
        <v>122844273.91641244</v>
      </c>
      <c r="J12" s="191">
        <f t="shared" si="6"/>
        <v>68015004.615866184</v>
      </c>
      <c r="K12" s="191">
        <f t="shared" si="6"/>
        <v>136915207.44712156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4033457935.6397305</v>
      </c>
      <c r="E13" s="302"/>
      <c r="G13" s="184">
        <f>IF(G$4="","",SUM(G8:G12))</f>
        <v>4691454725.3319759</v>
      </c>
      <c r="H13" s="184">
        <f t="shared" ref="H13:Q13" si="7">IF(H$4="","",SUM(H8:H12))</f>
        <v>4549742470.4615126</v>
      </c>
      <c r="I13" s="184">
        <f t="shared" si="7"/>
        <v>3869797481.9164124</v>
      </c>
      <c r="J13" s="184">
        <f t="shared" si="7"/>
        <v>3025106004.6158662</v>
      </c>
      <c r="K13" s="184">
        <f t="shared" si="7"/>
        <v>2470975079.4471216</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-1008364483.9099326</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2878458887.258121</v>
      </c>
      <c r="D16" s="61"/>
      <c r="E16" s="310"/>
      <c r="F16" s="61"/>
      <c r="G16" s="184">
        <f>IF(G$4="","",SUM(G13:G15))</f>
        <v>3154945583.3319759</v>
      </c>
      <c r="H16" s="184">
        <f t="shared" ref="H16:Q16" si="8">IF(H$4="","",SUM(H13:H15))</f>
        <v>3071186574.4615126</v>
      </c>
      <c r="I16" s="184">
        <f t="shared" si="8"/>
        <v>2574284788.9164124</v>
      </c>
      <c r="J16" s="184">
        <f t="shared" si="8"/>
        <v>1701586349.6158662</v>
      </c>
      <c r="K16" s="184">
        <f t="shared" si="8"/>
        <v>1432749311.4471216</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2878458887.258121</v>
      </c>
      <c r="D19" s="27"/>
      <c r="E19" s="299"/>
      <c r="F19" s="27"/>
      <c r="G19" s="186">
        <f>IF(G$4="","",G16+G17)</f>
        <v>3154945583.3319759</v>
      </c>
      <c r="H19" s="186">
        <f t="shared" ref="H19:Q19" si="9">IF(H$4="","",H16+H17)</f>
        <v>3071186574.4615126</v>
      </c>
      <c r="I19" s="186">
        <f t="shared" si="9"/>
        <v>2574284788.9164124</v>
      </c>
      <c r="J19" s="186">
        <f t="shared" si="9"/>
        <v>1701586349.6158662</v>
      </c>
      <c r="K19" s="186">
        <f t="shared" si="9"/>
        <v>1432749311.4471216</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0.69237393830888427</v>
      </c>
      <c r="D28" s="26"/>
      <c r="E28" s="300" t="s">
        <v>341</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300" t="s">
        <v>341</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-1522888768.25</v>
      </c>
      <c r="E33" s="300" t="s">
        <v>341</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300" t="s">
        <v>341</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0.29622289787772832</v>
      </c>
      <c r="H43" s="6">
        <f t="shared" si="18"/>
        <v>0.30731593866634166</v>
      </c>
      <c r="I43" s="6">
        <f t="shared" si="18"/>
        <v>0.31046064131630718</v>
      </c>
      <c r="J43" s="6">
        <f t="shared" si="18"/>
        <v>0.4041946276045506</v>
      </c>
      <c r="K43" s="6">
        <f t="shared" si="18"/>
        <v>0.36932000107592711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177226919.33197579</v>
      </c>
      <c r="E48" s="302"/>
      <c r="G48" s="328">
        <f>IFERROR(IF(G$4="","",($C$48/$C$49)*G49),0)</f>
        <v>177226919.33197579</v>
      </c>
      <c r="H48" s="328">
        <f t="shared" ref="H48:Q48" si="19">IFERROR(IF(H$4="","",($C$48/$C$49)*H49),0)</f>
        <v>145505268.46151268</v>
      </c>
      <c r="I48" s="328">
        <f t="shared" si="19"/>
        <v>132082073.91641244</v>
      </c>
      <c r="J48" s="328">
        <f t="shared" si="19"/>
        <v>90700371.615866184</v>
      </c>
      <c r="K48" s="328">
        <f t="shared" si="19"/>
        <v>150577889.44712156</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155389865.33197579</v>
      </c>
      <c r="E50" s="302"/>
      <c r="G50" s="184">
        <f>IF(G$4="","",(G47+G48))</f>
        <v>155389865.33197579</v>
      </c>
      <c r="H50" s="184">
        <f t="shared" ref="H50:Q50" si="20">IF(H$4="","",(H47+H48))</f>
        <v>129074678.46151268</v>
      </c>
      <c r="I50" s="184">
        <f t="shared" si="20"/>
        <v>122844273.91641244</v>
      </c>
      <c r="J50" s="184">
        <f t="shared" si="20"/>
        <v>68015004.615866184</v>
      </c>
      <c r="K50" s="184">
        <f t="shared" si="20"/>
        <v>136915207.44712156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3.430552260533988E-2</v>
      </c>
      <c r="E53" s="299" t="s">
        <v>343</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9" t="s">
        <v>344</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300" t="s">
        <v>438</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4.8403261193916509E-3</v>
      </c>
      <c r="D80" s="27"/>
      <c r="E80" s="299"/>
      <c r="F80" s="27"/>
      <c r="G80" s="6">
        <f t="shared" ref="G80:Q80" si="31">IF(G$4="","",ABS(G12/G$4))</f>
        <v>4.8351075600088387E-3</v>
      </c>
      <c r="H80" s="6">
        <f t="shared" si="31"/>
        <v>3.8034149652454718E-3</v>
      </c>
      <c r="I80" s="6">
        <f t="shared" si="31"/>
        <v>3.8184114305202035E-3</v>
      </c>
      <c r="J80" s="6">
        <f t="shared" si="31"/>
        <v>2.2546306698992625E-3</v>
      </c>
      <c r="K80" s="6">
        <f t="shared" si="31"/>
        <v>4.9321553748200428E-3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0.12564044479757369</v>
      </c>
      <c r="D81" s="27"/>
      <c r="E81" s="299"/>
      <c r="F81" s="27"/>
      <c r="G81" s="65">
        <f t="shared" ref="G81:Q81" si="32">IF(G$4="","",G13/G$4)</f>
        <v>0.14597919987529603</v>
      </c>
      <c r="H81" s="65">
        <f t="shared" si="32"/>
        <v>0.13406625378753953</v>
      </c>
      <c r="I81" s="65">
        <f t="shared" si="32"/>
        <v>0.12028626542904527</v>
      </c>
      <c r="J81" s="65">
        <f t="shared" si="32"/>
        <v>0.10027929596158995</v>
      </c>
      <c r="K81" s="65">
        <f t="shared" si="32"/>
        <v>8.9012997506857455E-2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3.1410111199393423E-2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8.966273125872562E-2</v>
      </c>
      <c r="D84" s="27"/>
      <c r="E84" s="299"/>
      <c r="F84" s="27"/>
      <c r="G84" s="65">
        <f t="shared" ref="G84:Q84" si="35">IF(G$4="","",ABS(G16/G$4))</f>
        <v>9.816921591890905E-2</v>
      </c>
      <c r="H84" s="65">
        <f t="shared" si="35"/>
        <v>9.0497974642260434E-2</v>
      </c>
      <c r="I84" s="65">
        <f t="shared" si="35"/>
        <v>8.0017392345866897E-2</v>
      </c>
      <c r="J84" s="65">
        <f t="shared" si="35"/>
        <v>5.64059179734425E-2</v>
      </c>
      <c r="K84" s="65">
        <f t="shared" si="35"/>
        <v>5.1612544354890794E-2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8.966273125872562E-2</v>
      </c>
      <c r="D87" s="75"/>
      <c r="E87" s="299"/>
      <c r="F87" s="75"/>
      <c r="G87" s="65">
        <f t="shared" ref="G87:Q87" si="36">IF(G$4="","",ABS(G19/G$4))</f>
        <v>9.816921591890905E-2</v>
      </c>
      <c r="H87" s="65">
        <f t="shared" si="36"/>
        <v>9.0497974642260434E-2</v>
      </c>
      <c r="I87" s="65">
        <f t="shared" si="36"/>
        <v>8.0017392345866897E-2</v>
      </c>
      <c r="J87" s="65">
        <f t="shared" si="36"/>
        <v>5.64059179734425E-2</v>
      </c>
      <c r="K87" s="65">
        <f t="shared" si="36"/>
        <v>5.1612544354890794E-2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2.0317375318709203</v>
      </c>
      <c r="E90" s="302"/>
      <c r="G90" s="113">
        <f>Data!C65</f>
        <v>2.0317375318709203</v>
      </c>
      <c r="H90" s="113">
        <f>Data!D65</f>
        <v>1.8470341198826548</v>
      </c>
      <c r="I90" s="113">
        <f>Data!E65</f>
        <v>1.2005721779237255</v>
      </c>
      <c r="J90" s="113">
        <f>Data!F65</f>
        <v>1.0158687659354602</v>
      </c>
      <c r="K90" s="113">
        <f>Data!G65</f>
        <v>0.69263779495599553</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2771689815.0373573</v>
      </c>
      <c r="E91" s="302"/>
      <c r="G91" s="74">
        <f t="shared" ref="G91:Q91" si="37">IF(G$4="","",G90*Common_Shares/scaling_factor)</f>
        <v>2771689815.0373573</v>
      </c>
      <c r="H91" s="74">
        <f t="shared" si="37"/>
        <v>2519718013.6703243</v>
      </c>
      <c r="I91" s="74">
        <f t="shared" si="37"/>
        <v>1637816708.885711</v>
      </c>
      <c r="J91" s="74">
        <f t="shared" si="37"/>
        <v>1385844907.5186787</v>
      </c>
      <c r="K91" s="74">
        <f t="shared" si="37"/>
        <v>944894255.12637174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0.96290755699399044</v>
      </c>
      <c r="E92" s="302"/>
      <c r="G92" s="171">
        <f t="shared" ref="G92:Q92" si="38">IF(G$4="","",G90/(G19*scaling_factor/Common_Shares))</f>
        <v>0.87852222544838388</v>
      </c>
      <c r="H92" s="171">
        <f t="shared" si="38"/>
        <v>0.82043794884461563</v>
      </c>
      <c r="I92" s="171">
        <f t="shared" si="38"/>
        <v>0.63622203570379376</v>
      </c>
      <c r="J92" s="171">
        <f t="shared" si="38"/>
        <v>0.81444289197050368</v>
      </c>
      <c r="K92" s="171">
        <f t="shared" si="38"/>
        <v>0.65949726695174526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3.7451383075961665E-2</v>
      </c>
      <c r="E93" s="302"/>
      <c r="G93" s="23">
        <f t="shared" ref="G93:Q93" si="39">IF(G$4="","",G90/Market_Price)</f>
        <v>3.7451383075961665E-2</v>
      </c>
      <c r="H93" s="23">
        <f t="shared" si="39"/>
        <v>3.4046711887237874E-2</v>
      </c>
      <c r="I93" s="23">
        <f t="shared" si="39"/>
        <v>2.2130362726704617E-2</v>
      </c>
      <c r="J93" s="23">
        <f t="shared" si="39"/>
        <v>1.8725691537980833E-2</v>
      </c>
      <c r="K93" s="23">
        <f t="shared" si="39"/>
        <v>1.2767516957714203E-2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-0.14025431944154265</v>
      </c>
      <c r="D97" s="27"/>
      <c r="E97" s="299"/>
      <c r="F97" s="27"/>
      <c r="G97" s="6">
        <f t="shared" ref="G97:Q97" si="41">IF(H5="","",G13/H13-1)</f>
        <v>3.1147313455763159E-2</v>
      </c>
      <c r="H97" s="6">
        <f t="shared" si="41"/>
        <v>0.17570557418637223</v>
      </c>
      <c r="I97" s="6">
        <f t="shared" si="41"/>
        <v>0.27922706708844958</v>
      </c>
      <c r="J97" s="6">
        <f t="shared" si="41"/>
        <v>0.22425597480842696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1.6338351948866581</v>
      </c>
      <c r="H114" s="334">
        <f>IF(H$4="","",Data!D$22/H19)</f>
        <v>0.90439544217107859</v>
      </c>
      <c r="I114" s="334">
        <f>IF(I$4="","",Data!E$22/I19)</f>
        <v>1.8951948684953424</v>
      </c>
      <c r="J114" s="334">
        <f>IF(J$4="","",Data!F$22/J19)</f>
        <v>3.5514574128807714</v>
      </c>
      <c r="K114" s="334">
        <f>IF(K$4="","",Data!G$22/K19)</f>
        <v>3.4572847618379856</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0.12564044479757369</v>
      </c>
      <c r="E117" s="302"/>
      <c r="G117" s="23">
        <f t="shared" ref="G117:Q117" si="45">G81</f>
        <v>0.14597919987529603</v>
      </c>
      <c r="H117" s="23">
        <f t="shared" si="45"/>
        <v>0.13406625378753953</v>
      </c>
      <c r="I117" s="23">
        <f t="shared" si="45"/>
        <v>0.12028626542904527</v>
      </c>
      <c r="J117" s="23">
        <f t="shared" si="45"/>
        <v>0.10027929596158995</v>
      </c>
      <c r="K117" s="23">
        <f t="shared" si="45"/>
        <v>8.9012997506857455E-2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2.2847468420208177</v>
      </c>
      <c r="D124" s="27"/>
      <c r="E124" s="299"/>
      <c r="F124" s="27"/>
      <c r="G124" s="178">
        <f t="shared" ref="G124:Q124" si="49">IF(G$4="","",G16*$C$3/Common_Shares*Exchange_Rate)</f>
        <v>2.5042052850480303</v>
      </c>
      <c r="H124" s="178">
        <f t="shared" si="49"/>
        <v>2.43772244179649</v>
      </c>
      <c r="I124" s="178">
        <f t="shared" si="49"/>
        <v>2.0433118110439699</v>
      </c>
      <c r="J124" s="178">
        <f t="shared" si="49"/>
        <v>1.3506164899279867</v>
      </c>
      <c r="K124" s="178">
        <f t="shared" si="49"/>
        <v>1.1372298834028023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4.2115149161674061E-2</v>
      </c>
      <c r="D125" s="27"/>
      <c r="E125" s="299"/>
      <c r="F125" s="27"/>
      <c r="G125" s="77">
        <f t="shared" ref="G125" si="50">IF(G$4="","",G124/Market_Price)</f>
        <v>4.6160466083834659E-2</v>
      </c>
      <c r="H125" s="77">
        <f t="shared" ref="H125" si="51">IF(H$4="","",H124/Market_Price)</f>
        <v>4.4934975885649583E-2</v>
      </c>
      <c r="I125" s="77">
        <f t="shared" ref="I125" si="52">IF(I$4="","",I124/Market_Price)</f>
        <v>3.7664733844128474E-2</v>
      </c>
      <c r="J125" s="77">
        <f t="shared" ref="J125" si="53">IF(J$4="","",J124/Market_Price)</f>
        <v>2.4896156496368418E-2</v>
      </c>
      <c r="K125" s="77">
        <f t="shared" ref="K125" si="54">IF(K$4="","",K124/Market_Price)</f>
        <v>2.0962762827701424E-2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2878458887.258121</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35980736090.726509</v>
      </c>
      <c r="D6" t="str">
        <f>Reporting_currency</f>
        <v>CNY</v>
      </c>
      <c r="E6" s="351" t="s">
        <v>250</v>
      </c>
      <c r="F6" s="351"/>
      <c r="H6" s="121"/>
    </row>
    <row r="7" spans="2:8">
      <c r="B7" s="149" t="s">
        <v>225</v>
      </c>
      <c r="C7" s="226">
        <f>BS!G31</f>
        <v>285396383</v>
      </c>
      <c r="D7" t="str">
        <f>Reporting_currency</f>
        <v>CNY</v>
      </c>
      <c r="E7" s="351"/>
      <c r="F7" s="351"/>
      <c r="H7" s="121"/>
    </row>
    <row r="8" spans="2:8">
      <c r="B8" s="149" t="s">
        <v>226</v>
      </c>
      <c r="C8" s="201">
        <f>BS!D66</f>
        <v>12812639111.336733</v>
      </c>
      <c r="D8" t="str">
        <f>Reporting_currency</f>
        <v>CNY</v>
      </c>
      <c r="E8" s="351"/>
      <c r="F8" s="351"/>
      <c r="H8" s="121"/>
    </row>
    <row r="9" spans="2:8">
      <c r="B9" s="227" t="s">
        <v>191</v>
      </c>
      <c r="C9" s="229">
        <f>BS!H42</f>
        <v>2755411575.5</v>
      </c>
      <c r="D9" t="str">
        <f>Reporting_currency</f>
        <v>CNY</v>
      </c>
      <c r="E9" s="351"/>
      <c r="F9" s="351"/>
      <c r="H9" s="121"/>
    </row>
    <row r="10" spans="2:8" ht="13.15">
      <c r="B10" s="150" t="s">
        <v>228</v>
      </c>
      <c r="C10" s="232">
        <f>C6-C7+C8+C9</f>
        <v>51263390394.56324</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40.689783631693679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6.1165848114484E-2</v>
      </c>
      <c r="H16" s="121"/>
    </row>
    <row r="17" spans="2:8" ht="13.25" customHeight="1">
      <c r="B17" s="119" t="s">
        <v>135</v>
      </c>
      <c r="C17" s="163">
        <f>Scenarios!C64</f>
        <v>30</v>
      </c>
      <c r="H17" s="121"/>
    </row>
    <row r="18" spans="2:8" ht="13.25" customHeight="1">
      <c r="B18" s="154" t="s">
        <v>107</v>
      </c>
      <c r="C18" s="141">
        <f>(F52-C7+C8+C9)*Exchange_Rate/Common_Shares*scaling_factor</f>
        <v>67.932622227435317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3054522266.3599377</v>
      </c>
      <c r="D21" s="139">
        <f>IF($C$17&lt;B21,0,Valuation_Model!$C$16)</f>
        <v>6.1165848114484E-2</v>
      </c>
      <c r="E21" s="125">
        <f t="shared" ref="E21:E50" si="0">IF($C$17&lt;B21,0,1/(1+Equity_Cost)^B21)</f>
        <v>0.92592592592592582</v>
      </c>
      <c r="F21" s="126">
        <f t="shared" ref="F21:F51" si="1">C21*E21</f>
        <v>2828261357.7406826</v>
      </c>
      <c r="H21" s="121"/>
    </row>
    <row r="22" spans="2:8">
      <c r="B22" s="123">
        <v>2</v>
      </c>
      <c r="C22" s="124">
        <f t="shared" ref="C22:C50" si="2">IF(ROW()-ROW($C$21)&lt;$C$17, $C$21*(1+D22)^(ROW()-ROW($C$21)), 0)</f>
        <v>3241354711.3664188</v>
      </c>
      <c r="D22" s="139">
        <f>IF($C$17&lt;B22,0,Valuation_Model!$C$16)</f>
        <v>6.1165848114484E-2</v>
      </c>
      <c r="E22" s="125">
        <f t="shared" si="0"/>
        <v>0.85733882030178321</v>
      </c>
      <c r="F22" s="126">
        <f t="shared" si="1"/>
        <v>2778939224.4225125</v>
      </c>
      <c r="H22" s="121"/>
    </row>
    <row r="23" spans="2:8">
      <c r="B23" s="123">
        <v>3</v>
      </c>
      <c r="C23" s="124">
        <f t="shared" si="2"/>
        <v>3439614921.3270235</v>
      </c>
      <c r="D23" s="139">
        <f>IF($C$17&lt;B23,0,Valuation_Model!$C$16)</f>
        <v>6.1165848114484E-2</v>
      </c>
      <c r="E23" s="125">
        <f t="shared" si="0"/>
        <v>0.79383224102016958</v>
      </c>
      <c r="F23" s="126">
        <f t="shared" si="1"/>
        <v>2730477221.2434454</v>
      </c>
      <c r="H23" s="121"/>
    </row>
    <row r="24" spans="2:8">
      <c r="B24" s="123">
        <v>4</v>
      </c>
      <c r="C24" s="124">
        <f t="shared" si="2"/>
        <v>3650001885.1772246</v>
      </c>
      <c r="D24" s="139">
        <f>IF($C$17&lt;B24,0,Valuation_Model!$C$16)</f>
        <v>6.1165848114484E-2</v>
      </c>
      <c r="E24" s="125">
        <f t="shared" si="0"/>
        <v>0.73502985279645328</v>
      </c>
      <c r="F24" s="126">
        <f t="shared" si="1"/>
        <v>2682860348.3685923</v>
      </c>
      <c r="H24" s="121"/>
    </row>
    <row r="25" spans="2:8">
      <c r="B25" s="123">
        <v>5</v>
      </c>
      <c r="C25" s="124">
        <f t="shared" si="2"/>
        <v>3873257346.1035547</v>
      </c>
      <c r="D25" s="139">
        <f>IF($C$17&lt;B25,0,Valuation_Model!$C$16)</f>
        <v>6.1165848114484E-2</v>
      </c>
      <c r="E25" s="125">
        <f t="shared" si="0"/>
        <v>0.68058319703375303</v>
      </c>
      <c r="F25" s="126">
        <f t="shared" si="1"/>
        <v>2636073867.5456271</v>
      </c>
      <c r="H25" s="121"/>
    </row>
    <row r="26" spans="2:8">
      <c r="B26" s="123">
        <v>6</v>
      </c>
      <c r="C26" s="124">
        <f t="shared" si="2"/>
        <v>4110168416.6436338</v>
      </c>
      <c r="D26" s="139">
        <f>IF($C$17&lt;B26,0,Valuation_Model!$C$16)</f>
        <v>6.1165848114484E-2</v>
      </c>
      <c r="E26" s="125">
        <f t="shared" si="0"/>
        <v>0.63016962688310452</v>
      </c>
      <c r="F26" s="126">
        <f t="shared" si="1"/>
        <v>2590103297.5430393</v>
      </c>
      <c r="H26" s="121"/>
    </row>
    <row r="27" spans="2:8">
      <c r="B27" s="123">
        <v>7</v>
      </c>
      <c r="C27" s="124">
        <f t="shared" si="2"/>
        <v>4361570353.7410069</v>
      </c>
      <c r="D27" s="139">
        <f>IF($C$17&lt;B27,0,Valuation_Model!$C$16)</f>
        <v>6.1165848114484E-2</v>
      </c>
      <c r="E27" s="125">
        <f t="shared" si="0"/>
        <v>0.58349039526213387</v>
      </c>
      <c r="F27" s="126">
        <f t="shared" si="1"/>
        <v>2544934409.6679449</v>
      </c>
      <c r="H27" s="121"/>
    </row>
    <row r="28" spans="2:8">
      <c r="B28" s="123">
        <v>8</v>
      </c>
      <c r="C28" s="124">
        <f t="shared" si="2"/>
        <v>4628349503.5385647</v>
      </c>
      <c r="D28" s="139">
        <f>IF($C$17&lt;B28,0,Valuation_Model!$C$16)</f>
        <v>6.1165848114484E-2</v>
      </c>
      <c r="E28" s="125">
        <f t="shared" si="0"/>
        <v>0.54026888450197574</v>
      </c>
      <c r="F28" s="126">
        <f t="shared" si="1"/>
        <v>2500553223.3620534</v>
      </c>
      <c r="H28" s="121"/>
    </row>
    <row r="29" spans="2:8">
      <c r="B29" s="123">
        <v>9</v>
      </c>
      <c r="C29" s="124">
        <f t="shared" si="2"/>
        <v>4911446426.2927513</v>
      </c>
      <c r="D29" s="139">
        <f>IF($C$17&lt;B29,0,Valuation_Model!$C$16)</f>
        <v>6.1165848114484E-2</v>
      </c>
      <c r="E29" s="125">
        <f t="shared" si="0"/>
        <v>0.50024896713145905</v>
      </c>
      <c r="F29" s="126">
        <f t="shared" si="1"/>
        <v>2456946001.8744445</v>
      </c>
      <c r="H29" s="121"/>
    </row>
    <row r="30" spans="2:8">
      <c r="B30" s="123">
        <v>10</v>
      </c>
      <c r="C30" s="124">
        <f t="shared" si="2"/>
        <v>5211859212.4257994</v>
      </c>
      <c r="D30" s="139">
        <f>IF($C$17&lt;B30,0,Valuation_Model!$C$16)</f>
        <v>6.1165848114484E-2</v>
      </c>
      <c r="E30" s="125">
        <f t="shared" si="0"/>
        <v>0.46319348808468425</v>
      </c>
      <c r="F30" s="126">
        <f t="shared" si="1"/>
        <v>2414099248.0098014</v>
      </c>
      <c r="H30" s="121"/>
    </row>
    <row r="31" spans="2:8">
      <c r="B31" s="123">
        <v>11</v>
      </c>
      <c r="C31" s="124">
        <f t="shared" si="2"/>
        <v>5530647001.4071083</v>
      </c>
      <c r="D31" s="139">
        <f>IF($C$17&lt;B31,0,Valuation_Model!$C$16)</f>
        <v>6.1165848114484E-2</v>
      </c>
      <c r="E31" s="125">
        <f t="shared" si="0"/>
        <v>0.42888285933767062</v>
      </c>
      <c r="F31" s="126">
        <f t="shared" si="1"/>
        <v>2371999699.9507947</v>
      </c>
      <c r="H31" s="121"/>
    </row>
    <row r="32" spans="2:8">
      <c r="B32" s="123">
        <v>12</v>
      </c>
      <c r="C32" s="124">
        <f t="shared" si="2"/>
        <v>5868933715.8700018</v>
      </c>
      <c r="D32" s="139">
        <f>IF($C$17&lt;B32,0,Valuation_Model!$C$16)</f>
        <v>6.1165848114484E-2</v>
      </c>
      <c r="E32" s="125">
        <f t="shared" si="0"/>
        <v>0.39711375864599124</v>
      </c>
      <c r="F32" s="126">
        <f t="shared" si="1"/>
        <v>2330634327.1533203</v>
      </c>
      <c r="H32" s="121"/>
    </row>
    <row r="33" spans="2:8">
      <c r="B33" s="123">
        <v>13</v>
      </c>
      <c r="C33" s="124">
        <f t="shared" si="2"/>
        <v>6227912024.1288795</v>
      </c>
      <c r="D33" s="139">
        <f>IF($C$17&lt;B33,0,Valuation_Model!$C$16)</f>
        <v>6.1165848114484E-2</v>
      </c>
      <c r="E33" s="125">
        <f t="shared" si="0"/>
        <v>0.36769792467221413</v>
      </c>
      <c r="F33" s="126">
        <f t="shared" si="1"/>
        <v>2289990326.3133173</v>
      </c>
      <c r="H33" s="121"/>
    </row>
    <row r="34" spans="2:8">
      <c r="B34" s="123">
        <v>14</v>
      </c>
      <c r="C34" s="124">
        <f t="shared" si="2"/>
        <v>6608847545.0671148</v>
      </c>
      <c r="D34" s="139">
        <f>IF($C$17&lt;B34,0,Valuation_Model!$C$16)</f>
        <v>6.1165848114484E-2</v>
      </c>
      <c r="E34" s="125">
        <f t="shared" si="0"/>
        <v>0.34046104136316119</v>
      </c>
      <c r="F34" s="126">
        <f t="shared" si="1"/>
        <v>2250055117.4039211</v>
      </c>
      <c r="H34" s="121"/>
    </row>
    <row r="35" spans="2:8">
      <c r="B35" s="123">
        <v>15</v>
      </c>
      <c r="C35" s="124">
        <f t="shared" si="2"/>
        <v>7013083310.2204685</v>
      </c>
      <c r="D35" s="139">
        <f>IF($C$17&lt;B35,0,Valuation_Model!$C$16)</f>
        <v>6.1165848114484E-2</v>
      </c>
      <c r="E35" s="125">
        <f t="shared" si="0"/>
        <v>0.31524170496588994</v>
      </c>
      <c r="F35" s="126">
        <f t="shared" si="1"/>
        <v>2210816339.7817278</v>
      </c>
      <c r="H35" s="121"/>
    </row>
    <row r="36" spans="2:8">
      <c r="B36" s="123">
        <v>16</v>
      </c>
      <c r="C36" s="124">
        <f t="shared" si="2"/>
        <v>7442044498.7876348</v>
      </c>
      <c r="D36" s="139">
        <f>IF($C$17&lt;B36,0,Valuation_Model!$C$16)</f>
        <v>6.1165848114484E-2</v>
      </c>
      <c r="E36" s="125">
        <f t="shared" si="0"/>
        <v>0.29189046756100923</v>
      </c>
      <c r="F36" s="126">
        <f t="shared" si="1"/>
        <v>2172261848.3609595</v>
      </c>
      <c r="H36" s="121"/>
    </row>
    <row r="37" spans="2:8">
      <c r="B37" s="123">
        <v>17</v>
      </c>
      <c r="C37" s="124">
        <f t="shared" si="2"/>
        <v>7897243462.2617111</v>
      </c>
      <c r="D37" s="139">
        <f>IF($C$17&lt;B37,0,Valuation_Model!$C$16)</f>
        <v>6.1165848114484E-2</v>
      </c>
      <c r="E37" s="125">
        <f t="shared" si="0"/>
        <v>0.27026895144537894</v>
      </c>
      <c r="F37" s="126">
        <f t="shared" si="1"/>
        <v>2134379709.8543468</v>
      </c>
      <c r="H37" s="121"/>
    </row>
    <row r="38" spans="2:8">
      <c r="B38" s="123">
        <v>18</v>
      </c>
      <c r="C38" s="124">
        <f t="shared" si="2"/>
        <v>8380285056.3975124</v>
      </c>
      <c r="D38" s="139">
        <f>IF($C$17&lt;B38,0,Valuation_Model!$C$16)</f>
        <v>6.1165848114484E-2</v>
      </c>
      <c r="E38" s="125">
        <f t="shared" si="0"/>
        <v>0.25024902911609154</v>
      </c>
      <c r="F38" s="126">
        <f t="shared" si="1"/>
        <v>2097158199.0795679</v>
      </c>
      <c r="H38" s="121"/>
    </row>
    <row r="39" spans="2:8">
      <c r="B39" s="123">
        <v>19</v>
      </c>
      <c r="C39" s="124">
        <f t="shared" si="2"/>
        <v>8892872299.3132</v>
      </c>
      <c r="D39" s="139">
        <f>IF($C$17&lt;B39,0,Valuation_Model!$C$16)</f>
        <v>6.1165848114484E-2</v>
      </c>
      <c r="E39" s="125">
        <f t="shared" si="0"/>
        <v>0.23171206399638106</v>
      </c>
      <c r="F39" s="126">
        <f t="shared" si="1"/>
        <v>2060585795.3301046</v>
      </c>
      <c r="H39" s="121"/>
    </row>
    <row r="40" spans="2:8">
      <c r="B40" s="123">
        <v>20</v>
      </c>
      <c r="C40" s="124">
        <f t="shared" si="2"/>
        <v>9436812375.6744919</v>
      </c>
      <c r="D40" s="139">
        <f>IF($C$17&lt;B40,0,Valuation_Model!$C$16)</f>
        <v>6.1165848114484E-2</v>
      </c>
      <c r="E40" s="125">
        <f t="shared" si="0"/>
        <v>0.21454820740405653</v>
      </c>
      <c r="F40" s="126">
        <f t="shared" si="1"/>
        <v>2024651178.8093784</v>
      </c>
      <c r="H40" s="121"/>
    </row>
    <row r="41" spans="2:8">
      <c r="B41" s="123">
        <v>21</v>
      </c>
      <c r="C41" s="124">
        <f t="shared" si="2"/>
        <v>10014023008.129881</v>
      </c>
      <c r="D41" s="139">
        <f>IF($C$17&lt;B41,0,Valuation_Model!$C$16)</f>
        <v>6.1165848114484E-2</v>
      </c>
      <c r="E41" s="125">
        <f t="shared" si="0"/>
        <v>0.19865574759634863</v>
      </c>
      <c r="F41" s="126">
        <f t="shared" si="1"/>
        <v>1989343227.1270776</v>
      </c>
      <c r="H41" s="121"/>
    </row>
    <row r="42" spans="2:8">
      <c r="B42" s="123">
        <v>22</v>
      </c>
      <c r="C42" s="124">
        <f t="shared" si="2"/>
        <v>10626539218.4601</v>
      </c>
      <c r="D42" s="139">
        <f>IF($C$17&lt;B42,0,Valuation_Model!$C$16)</f>
        <v>6.1165848114484E-2</v>
      </c>
      <c r="E42" s="125">
        <f t="shared" si="0"/>
        <v>0.18394050703365611</v>
      </c>
      <c r="F42" s="126">
        <f t="shared" si="1"/>
        <v>1954651011.8565826</v>
      </c>
      <c r="H42" s="121"/>
    </row>
    <row r="43" spans="2:8">
      <c r="B43" s="123">
        <v>23</v>
      </c>
      <c r="C43" s="124">
        <f t="shared" si="2"/>
        <v>11276520502.279036</v>
      </c>
      <c r="D43" s="139">
        <f>IF($C$17&lt;B43,0,Valuation_Model!$C$16)</f>
        <v>6.1165848114484E-2</v>
      </c>
      <c r="E43" s="125">
        <f t="shared" si="0"/>
        <v>0.17031528429042234</v>
      </c>
      <c r="F43" s="126">
        <f t="shared" si="1"/>
        <v>1920563795.1524301</v>
      </c>
      <c r="H43" s="121"/>
    </row>
    <row r="44" spans="2:8">
      <c r="B44" s="123">
        <v>24</v>
      </c>
      <c r="C44" s="124">
        <f t="shared" si="2"/>
        <v>11966258442.581299</v>
      </c>
      <c r="D44" s="139">
        <f>IF($C$17&lt;B44,0,Valuation_Model!$C$16)</f>
        <v>6.1165848114484E-2</v>
      </c>
      <c r="E44" s="125">
        <f t="shared" si="0"/>
        <v>0.1576993373059466</v>
      </c>
      <c r="F44" s="126">
        <f t="shared" si="1"/>
        <v>1887071026.4267595</v>
      </c>
      <c r="H44" s="121"/>
    </row>
    <row r="45" spans="2:8">
      <c r="B45" s="123">
        <v>25</v>
      </c>
      <c r="C45" s="124">
        <f t="shared" si="2"/>
        <v>12698184788.978888</v>
      </c>
      <c r="D45" s="139">
        <f>IF($C$17&lt;B45,0,Valuation_Model!$C$16)</f>
        <v>6.1165848114484E-2</v>
      </c>
      <c r="E45" s="125">
        <f t="shared" si="0"/>
        <v>0.1460179049129135</v>
      </c>
      <c r="F45" s="126">
        <f t="shared" si="1"/>
        <v>1854162339.0837238</v>
      </c>
      <c r="H45" s="121"/>
    </row>
    <row r="46" spans="2:8">
      <c r="B46" s="123">
        <v>26</v>
      </c>
      <c r="C46" s="124">
        <f t="shared" si="2"/>
        <v>13474880031.111221</v>
      </c>
      <c r="D46" s="139">
        <f>IF($C$17&lt;B46,0,Valuation_Model!$C$16)</f>
        <v>6.1165848114484E-2</v>
      </c>
      <c r="E46" s="125">
        <f t="shared" si="0"/>
        <v>0.13520176380825324</v>
      </c>
      <c r="F46" s="126">
        <f t="shared" si="1"/>
        <v>1821827547.3108475</v>
      </c>
      <c r="H46" s="121"/>
    </row>
    <row r="47" spans="2:8">
      <c r="B47" s="123">
        <v>27</v>
      </c>
      <c r="C47" s="124">
        <f t="shared" si="2"/>
        <v>14299082496.455061</v>
      </c>
      <c r="D47" s="139">
        <f>IF($C$17&lt;B47,0,Valuation_Model!$C$16)</f>
        <v>6.1165848114484E-2</v>
      </c>
      <c r="E47" s="125">
        <f t="shared" si="0"/>
        <v>0.12518681834097523</v>
      </c>
      <c r="F47" s="126">
        <f t="shared" si="1"/>
        <v>1790056642.9263382</v>
      </c>
      <c r="H47" s="121"/>
    </row>
    <row r="48" spans="2:8">
      <c r="B48" s="123">
        <v>28</v>
      </c>
      <c r="C48" s="124">
        <f t="shared" si="2"/>
        <v>15173698004.609705</v>
      </c>
      <c r="D48" s="139">
        <f>IF($C$17&lt;B48,0,Valuation_Model!$C$16)</f>
        <v>6.1165848114484E-2</v>
      </c>
      <c r="E48" s="125">
        <f t="shared" si="0"/>
        <v>0.11591372068608817</v>
      </c>
      <c r="F48" s="126">
        <f t="shared" si="1"/>
        <v>1758839792.2813828</v>
      </c>
      <c r="H48" s="121"/>
    </row>
    <row r="49" spans="1:8">
      <c r="B49" s="123">
        <v>29</v>
      </c>
      <c r="C49" s="124">
        <f t="shared" si="2"/>
        <v>16101810112.094709</v>
      </c>
      <c r="D49" s="139">
        <f>IF($C$17&lt;B49,0,Valuation_Model!$C$16)</f>
        <v>6.1165848114484E-2</v>
      </c>
      <c r="E49" s="125">
        <f t="shared" si="0"/>
        <v>0.10732751915378534</v>
      </c>
      <c r="F49" s="126">
        <f t="shared" si="1"/>
        <v>1728167333.2164595</v>
      </c>
      <c r="H49" s="121"/>
    </row>
    <row r="50" spans="1:8">
      <c r="B50" s="123">
        <v>30</v>
      </c>
      <c r="C50" s="124">
        <f t="shared" si="2"/>
        <v>17086690983.779356</v>
      </c>
      <c r="D50" s="139">
        <f>IF($C$17&lt;B50,0,Valuation_Model!$C$16)</f>
        <v>6.1165848114484E-2</v>
      </c>
      <c r="E50" s="125">
        <f t="shared" si="0"/>
        <v>9.9377332549801231E-2</v>
      </c>
      <c r="F50" s="126">
        <f t="shared" si="1"/>
        <v>1698029772.0707314</v>
      </c>
      <c r="H50" s="121"/>
    </row>
    <row r="51" spans="1:8">
      <c r="B51" s="127" t="s">
        <v>132</v>
      </c>
      <c r="C51" s="124">
        <f>C$21*(1+Terminal_Growth)^$C$17/Equity_Cost</f>
        <v>38181528329.499222</v>
      </c>
      <c r="D51" s="140">
        <f>Terminal_Growth</f>
        <v>0</v>
      </c>
      <c r="E51" s="125">
        <f>1/(1+Equity_Cost)^C17</f>
        <v>9.9377332549801231E-2</v>
      </c>
      <c r="F51" s="126">
        <f t="shared" si="1"/>
        <v>3794378438.0603008</v>
      </c>
      <c r="H51" s="121"/>
    </row>
    <row r="52" spans="1:8">
      <c r="C52" s="115"/>
      <c r="E52" s="128" t="s">
        <v>101</v>
      </c>
      <c r="F52" s="138">
        <f>SUM(F21:F51)</f>
        <v>70302871667.328201</v>
      </c>
      <c r="H52" s="121"/>
    </row>
    <row r="53" spans="1:8">
      <c r="C53" s="115"/>
      <c r="H53" s="121"/>
    </row>
    <row r="54" spans="1:8" ht="13.15">
      <c r="B54" s="120" t="s">
        <v>130</v>
      </c>
      <c r="C54" s="137"/>
      <c r="D54" s="137"/>
      <c r="E54" s="118"/>
      <c r="F54" s="118"/>
      <c r="H54" s="121"/>
    </row>
    <row r="55" spans="1:8" ht="13.15">
      <c r="A55" s="134">
        <f>F52</f>
        <v>70302871667.328201</v>
      </c>
      <c r="B55" s="132">
        <f>C78</f>
        <v>0.02</v>
      </c>
      <c r="C55" s="132">
        <f>C77</f>
        <v>0.04</v>
      </c>
      <c r="D55" s="132">
        <f>C76</f>
        <v>0.06</v>
      </c>
      <c r="E55" s="132">
        <f>C75</f>
        <v>0.08</v>
      </c>
      <c r="F55" s="132">
        <f>C74</f>
        <v>0.1</v>
      </c>
      <c r="H55" s="121"/>
    </row>
    <row r="56" spans="1:8" ht="13.15">
      <c r="A56" s="144">
        <v>5</v>
      </c>
      <c r="B56" s="124">
        <f t="dataTable" ref="B56:F61" dt2D="1" dtr="1" r1="C16" r2="C17"/>
        <v>37141662986.517326</v>
      </c>
      <c r="C56" s="124">
        <v>38337359136.228912</v>
      </c>
      <c r="D56" s="124">
        <v>39569350327.044403</v>
      </c>
      <c r="E56" s="124">
        <v>40839209588.565346</v>
      </c>
      <c r="F56" s="124">
        <v>42148557945.079483</v>
      </c>
      <c r="H56" s="121"/>
    </row>
    <row r="57" spans="1:8" ht="13.15">
      <c r="A57" s="144">
        <v>10</v>
      </c>
      <c r="B57" s="124">
        <v>38303658912.523819</v>
      </c>
      <c r="C57" s="124">
        <v>40859401496.605087</v>
      </c>
      <c r="D57" s="124">
        <v>43675827266.782471</v>
      </c>
      <c r="E57" s="124">
        <v>46783914938.596756</v>
      </c>
      <c r="F57" s="124">
        <v>50218067000.153137</v>
      </c>
      <c r="H57" s="121"/>
    </row>
    <row r="58" spans="1:8" ht="13.15">
      <c r="A58" s="144">
        <v>15</v>
      </c>
      <c r="B58" s="124">
        <v>39741951062.235771</v>
      </c>
      <c r="C58" s="124">
        <v>44147203546.511444</v>
      </c>
      <c r="D58" s="124">
        <v>49324444729.965202</v>
      </c>
      <c r="E58" s="124">
        <v>55426922187.333626</v>
      </c>
      <c r="F58" s="124">
        <v>62637940533.895126</v>
      </c>
      <c r="H58" s="121"/>
    </row>
    <row r="59" spans="1:8" ht="13.15">
      <c r="A59" s="145">
        <v>20</v>
      </c>
      <c r="B59" s="124">
        <v>41207340107.413315</v>
      </c>
      <c r="C59" s="124">
        <v>47685950556.288025</v>
      </c>
      <c r="D59" s="124">
        <v>55767981881.861824</v>
      </c>
      <c r="E59" s="124">
        <v>65906348368.853714</v>
      </c>
      <c r="F59" s="124">
        <v>78684273662.868652</v>
      </c>
      <c r="H59" s="121"/>
    </row>
    <row r="60" spans="1:8" ht="13.15">
      <c r="A60" s="145">
        <v>25</v>
      </c>
      <c r="B60" s="124">
        <v>42570233233.880638</v>
      </c>
      <c r="C60" s="124">
        <v>51171736746.548637</v>
      </c>
      <c r="D60" s="124">
        <v>62520612901.960419</v>
      </c>
      <c r="E60" s="124">
        <v>77635610418.740707</v>
      </c>
      <c r="F60" s="124">
        <v>97928350929.387115</v>
      </c>
      <c r="H60" s="121"/>
    </row>
    <row r="61" spans="1:8" ht="13.15">
      <c r="A61" s="145">
        <v>30</v>
      </c>
      <c r="B61" s="124">
        <v>43772494561.006393</v>
      </c>
      <c r="C61" s="124">
        <v>54436206405.548111</v>
      </c>
      <c r="D61" s="124">
        <v>69272385794.832993</v>
      </c>
      <c r="E61" s="124">
        <v>90215489759.688324</v>
      </c>
      <c r="F61" s="124">
        <v>120148503698.51767</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40.689783631693679</v>
      </c>
      <c r="C65" s="125">
        <f>C12</f>
        <v>40.689783631693679</v>
      </c>
      <c r="D65" s="125">
        <f>C12</f>
        <v>40.689783631693679</v>
      </c>
      <c r="E65" s="142">
        <f>C12</f>
        <v>40.689783631693679</v>
      </c>
      <c r="F65" s="125">
        <f>C12</f>
        <v>40.689783631693679</v>
      </c>
      <c r="H65" s="121"/>
    </row>
    <row r="66" spans="1:8" ht="13.15">
      <c r="A66" s="144">
        <f t="shared" ref="A66:A71" si="3">A56</f>
        <v>5</v>
      </c>
      <c r="B66" s="125">
        <f t="shared" ref="B66:F71" si="4">(B56-$C$7+$C$8+$C$9)/Common_Shares*$C$3*Exchange_Rate</f>
        <v>41.611257296200897</v>
      </c>
      <c r="C66" s="125">
        <f t="shared" si="4"/>
        <v>42.560328694845133</v>
      </c>
      <c r="D66" s="125">
        <f t="shared" si="4"/>
        <v>43.538208905354018</v>
      </c>
      <c r="E66" s="125">
        <f t="shared" si="4"/>
        <v>44.546146503634091</v>
      </c>
      <c r="F66" s="125">
        <f t="shared" si="4"/>
        <v>45.58542816087548</v>
      </c>
      <c r="H66" s="121"/>
    </row>
    <row r="67" spans="1:8" ht="13.15">
      <c r="A67" s="144">
        <f t="shared" si="3"/>
        <v>10</v>
      </c>
      <c r="B67" s="125">
        <f t="shared" si="4"/>
        <v>42.533579492337346</v>
      </c>
      <c r="C67" s="125">
        <f t="shared" si="4"/>
        <v>44.562173620898953</v>
      </c>
      <c r="D67" s="125">
        <f t="shared" si="4"/>
        <v>46.797682320600522</v>
      </c>
      <c r="E67" s="125">
        <f t="shared" si="4"/>
        <v>49.264694625113847</v>
      </c>
      <c r="F67" s="125">
        <f t="shared" si="4"/>
        <v>51.990517152019592</v>
      </c>
      <c r="H67" s="121"/>
    </row>
    <row r="68" spans="1:8" ht="13.15">
      <c r="A68" s="144">
        <f t="shared" si="3"/>
        <v>15</v>
      </c>
      <c r="B68" s="125">
        <f t="shared" si="4"/>
        <v>43.675208946037102</v>
      </c>
      <c r="C68" s="125">
        <f t="shared" si="4"/>
        <v>47.171832346255449</v>
      </c>
      <c r="D68" s="125">
        <f t="shared" si="4"/>
        <v>51.281213757481204</v>
      </c>
      <c r="E68" s="125">
        <f t="shared" si="4"/>
        <v>56.12499185031573</v>
      </c>
      <c r="F68" s="125">
        <f t="shared" si="4"/>
        <v>61.848662759075594</v>
      </c>
      <c r="H68" s="121"/>
    </row>
    <row r="69" spans="1:8" ht="13.15">
      <c r="A69" s="145">
        <f t="shared" si="3"/>
        <v>20</v>
      </c>
      <c r="B69" s="125">
        <f t="shared" si="4"/>
        <v>44.83834627904605</v>
      </c>
      <c r="C69" s="125">
        <f t="shared" si="4"/>
        <v>49.980676026840086</v>
      </c>
      <c r="D69" s="125">
        <f t="shared" si="4"/>
        <v>56.395704440119694</v>
      </c>
      <c r="E69" s="125">
        <f t="shared" si="4"/>
        <v>64.442927527773023</v>
      </c>
      <c r="F69" s="125">
        <f t="shared" si="4"/>
        <v>74.585273000314274</v>
      </c>
      <c r="H69" s="121"/>
    </row>
    <row r="70" spans="1:8" ht="13.15">
      <c r="A70" s="145">
        <f t="shared" si="3"/>
        <v>25</v>
      </c>
      <c r="B70" s="125">
        <f t="shared" si="4"/>
        <v>45.920128541246157</v>
      </c>
      <c r="C70" s="125">
        <f t="shared" si="4"/>
        <v>52.747482607059816</v>
      </c>
      <c r="D70" s="125">
        <f t="shared" si="4"/>
        <v>61.755535169957945</v>
      </c>
      <c r="E70" s="125">
        <f t="shared" si="4"/>
        <v>73.752907443185592</v>
      </c>
      <c r="F70" s="125">
        <f t="shared" si="4"/>
        <v>89.860059434441283</v>
      </c>
    </row>
    <row r="71" spans="1:8" ht="13.15">
      <c r="A71" s="145">
        <f t="shared" si="3"/>
        <v>30</v>
      </c>
      <c r="B71" s="125">
        <f t="shared" si="4"/>
        <v>46.874410981267687</v>
      </c>
      <c r="C71" s="125">
        <f t="shared" si="4"/>
        <v>55.338621489497143</v>
      </c>
      <c r="D71" s="125">
        <f t="shared" si="4"/>
        <v>67.114684770224258</v>
      </c>
      <c r="E71" s="125">
        <f t="shared" si="4"/>
        <v>83.738055997664702</v>
      </c>
      <c r="F71" s="125">
        <f t="shared" si="4"/>
        <v>107.49707488504225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107.49707488504225</v>
      </c>
      <c r="F74" s="143">
        <f>Scenarios!C58</f>
        <v>0.05</v>
      </c>
    </row>
    <row r="75" spans="1:8">
      <c r="B75" s="128" t="str">
        <f>Scenarios!B36</f>
        <v>Optimistic</v>
      </c>
      <c r="C75" s="143">
        <f>Scenarios!C38</f>
        <v>0.08</v>
      </c>
      <c r="D75" s="146">
        <f>Scenarios!C37</f>
        <v>30</v>
      </c>
      <c r="E75" s="136">
        <f>INDEX(B$65:F$71, MATCH(D75, A$65:A$71, 0), MATCH(C75, B$64:F$64, 0))</f>
        <v>83.738055997664702</v>
      </c>
      <c r="F75" s="143">
        <f>Scenarios!C40*(1-F$74-F$78)</f>
        <v>0.18</v>
      </c>
      <c r="H75" s="121"/>
    </row>
    <row r="76" spans="1:8">
      <c r="B76" s="128" t="str">
        <f>Scenarios!B24</f>
        <v>Base</v>
      </c>
      <c r="C76" s="143">
        <f>Scenarios!C26</f>
        <v>0.06</v>
      </c>
      <c r="D76" s="146">
        <f>Scenarios!C25</f>
        <v>30</v>
      </c>
      <c r="E76" s="136">
        <f>INDEX(B$65:F$71, MATCH(D76, A$65:A$71, 0), MATCH(C76, B$64:F$64, 0))</f>
        <v>67.114684770224258</v>
      </c>
      <c r="F76" s="143">
        <f>Scenarios!C28*(1-F$74-F$78)</f>
        <v>0.44999999999999996</v>
      </c>
      <c r="H76" s="121"/>
    </row>
    <row r="77" spans="1:8">
      <c r="B77" s="128" t="str">
        <f>Scenarios!B30</f>
        <v>Pessimistic</v>
      </c>
      <c r="C77" s="143">
        <f>Scenarios!C32</f>
        <v>0.04</v>
      </c>
      <c r="D77" s="146">
        <f>Scenarios!C31</f>
        <v>30</v>
      </c>
      <c r="E77" s="136">
        <f>INDEX(B$65:F$71, MATCH(D77, A$65:A$71, 0), MATCH(C77, B$64:F$64, 0))</f>
        <v>55.338621489497143</v>
      </c>
      <c r="F77" s="143">
        <f>Scenarios!C34*(1-F$74-F$78)</f>
        <v>0.26999999999999996</v>
      </c>
      <c r="H77" s="121"/>
    </row>
    <row r="78" spans="1:8">
      <c r="B78" s="128" t="str">
        <f>Scenarios!B48</f>
        <v>Devil's advocate</v>
      </c>
      <c r="C78" s="143">
        <f>Scenarios!C50</f>
        <v>0.02</v>
      </c>
      <c r="D78" s="146">
        <f>Scenarios!C49</f>
        <v>30</v>
      </c>
      <c r="E78" s="136">
        <f>INDEX(B$65:F$71, MATCH(D78, A$65:A$71, 0), MATCH(C78, B$64:F$64, 0))</f>
        <v>46.874410981267687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-54.25</v>
      </c>
    </row>
    <row r="4" spans="2:9">
      <c r="B4" s="153" t="s">
        <v>147</v>
      </c>
      <c r="C4" s="121">
        <v>3</v>
      </c>
      <c r="D4" s="121"/>
      <c r="E4" s="156" t="s">
        <v>151</v>
      </c>
      <c r="F4" s="156"/>
      <c r="H4" s="276">
        <v>1</v>
      </c>
      <c r="I4" s="264">
        <f t="shared" ref="I4:I13" si="0">IF(ROW()-3 &lt; $C$76, $C$77, IF(ROW()-3 = $C$76, $C$77 + $C$60, ""))</f>
        <v>2.0317375318709203</v>
      </c>
    </row>
    <row r="5" spans="2:9">
      <c r="H5" s="276">
        <v>2</v>
      </c>
      <c r="I5" s="264">
        <f t="shared" si="0"/>
        <v>2.0317375318709203</v>
      </c>
    </row>
    <row r="6" spans="2:9" ht="13.15">
      <c r="B6" s="160" t="s">
        <v>96</v>
      </c>
      <c r="C6" s="107">
        <f>Valuation_Model!C3</f>
        <v>1</v>
      </c>
      <c r="E6" s="100" t="s">
        <v>282</v>
      </c>
      <c r="F6" s="100"/>
      <c r="H6" s="276">
        <v>3</v>
      </c>
      <c r="I6" s="264">
        <f t="shared" si="0"/>
        <v>69.966197853531199</v>
      </c>
    </row>
    <row r="7" spans="2:9" ht="12.75" customHeight="1">
      <c r="B7" s="100" t="s">
        <v>276</v>
      </c>
      <c r="C7" s="115">
        <f>Normalized_FCF!G8</f>
        <v>4487792577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3"/>
      <c r="H7" s="276">
        <v>4</v>
      </c>
      <c r="I7" s="264" t="str">
        <f t="shared" si="0"/>
        <v/>
      </c>
    </row>
    <row r="8" spans="2:9">
      <c r="B8" s="100" t="s">
        <v>66</v>
      </c>
      <c r="C8" s="115">
        <f>Normalized_FCF!G19</f>
        <v>3154945583.3319759</v>
      </c>
      <c r="D8" t="str">
        <f>Reporting_currency</f>
        <v>CNY</v>
      </c>
      <c r="E8" s="353"/>
      <c r="F8" s="353"/>
      <c r="H8" s="276">
        <v>5</v>
      </c>
      <c r="I8" s="264" t="str">
        <f t="shared" si="0"/>
        <v/>
      </c>
    </row>
    <row r="9" spans="2:9">
      <c r="B9" s="100" t="s">
        <v>57</v>
      </c>
      <c r="C9" s="201">
        <f>Normalized_FCF!C19</f>
        <v>2878458887.258121</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2.1321347914251776E-2</v>
      </c>
      <c r="D12" s="159"/>
      <c r="E12" s="353"/>
      <c r="F12" s="353"/>
      <c r="H12" s="276">
        <v>9</v>
      </c>
      <c r="I12" s="264" t="str">
        <f t="shared" si="0"/>
        <v/>
      </c>
    </row>
    <row r="13" spans="2:9">
      <c r="B13" s="149" t="s">
        <v>153</v>
      </c>
      <c r="C13" s="159">
        <f ca="1">(Normalized_FCF!G8/OFFSET(Normalized_FCF!G8, 0, $C$4))^(1/$C$4) - 1</f>
        <v>0.15185942572632172</v>
      </c>
      <c r="E13" s="353"/>
      <c r="F13" s="353"/>
      <c r="H13" s="276">
        <v>10</v>
      </c>
      <c r="I13" s="264" t="str">
        <f t="shared" si="0"/>
        <v/>
      </c>
    </row>
    <row r="14" spans="2:9">
      <c r="B14" s="100" t="s">
        <v>66</v>
      </c>
      <c r="C14" s="159">
        <f ca="1">(Normalized_FCF!G19/OFFSET(Normalized_FCF!G19, 0, $C$4))^(1/$C$4) - 1</f>
        <v>0.2285116897931645</v>
      </c>
      <c r="E14" s="353"/>
      <c r="F14" s="353"/>
    </row>
    <row r="16" spans="2:9" ht="13.9">
      <c r="B16" s="36" t="s">
        <v>163</v>
      </c>
      <c r="C16" s="37"/>
      <c r="D16" s="37"/>
      <c r="E16" s="37"/>
      <c r="F16" s="37"/>
    </row>
    <row r="17" spans="2:6" ht="13.15">
      <c r="B17" s="109" t="s">
        <v>152</v>
      </c>
      <c r="E17" s="160" t="s">
        <v>337</v>
      </c>
    </row>
    <row r="18" spans="2:6">
      <c r="B18" s="153" t="s">
        <v>134</v>
      </c>
      <c r="C18" s="151">
        <v>30</v>
      </c>
      <c r="E18" s="353" t="s">
        <v>338</v>
      </c>
      <c r="F18" s="354"/>
    </row>
    <row r="19" spans="2:6">
      <c r="E19" s="354"/>
      <c r="F19" s="354"/>
    </row>
    <row r="20" spans="2:6" ht="13.15">
      <c r="B20" s="160" t="s">
        <v>310</v>
      </c>
      <c r="E20" s="354"/>
      <c r="F20" s="354"/>
    </row>
    <row r="21" spans="2:6">
      <c r="B21" s="100" t="s">
        <v>280</v>
      </c>
      <c r="C21" s="161">
        <f>Market_Price</f>
        <v>54.25</v>
      </c>
      <c r="D21" t="str">
        <f>Market_currency</f>
        <v>HKD</v>
      </c>
      <c r="E21" s="354"/>
      <c r="F21" s="354"/>
    </row>
    <row r="22" spans="2:6">
      <c r="B22" s="100" t="s">
        <v>281</v>
      </c>
      <c r="C22" s="161">
        <f>Valuation_Model!C12</f>
        <v>40.689783631693679</v>
      </c>
      <c r="D22" t="str">
        <f>Market_currency</f>
        <v>HKD</v>
      </c>
      <c r="E22" s="354"/>
      <c r="F22" s="354"/>
    </row>
    <row r="24" spans="2:6" ht="13.15">
      <c r="B24" s="160" t="s">
        <v>116</v>
      </c>
      <c r="E24" s="160" t="s">
        <v>150</v>
      </c>
      <c r="F24" s="160"/>
    </row>
    <row r="25" spans="2:6">
      <c r="B25" s="153" t="s">
        <v>134</v>
      </c>
      <c r="C25" s="167">
        <f>C18</f>
        <v>30</v>
      </c>
      <c r="D25" s="164"/>
      <c r="E25" s="352"/>
      <c r="F25" s="352"/>
    </row>
    <row r="26" spans="2:6">
      <c r="B26" s="119" t="s">
        <v>135</v>
      </c>
      <c r="C26" s="165">
        <v>0.06</v>
      </c>
      <c r="D26" s="165"/>
      <c r="E26" s="352"/>
      <c r="F26" s="352"/>
    </row>
    <row r="27" spans="2:6">
      <c r="B27" s="100" t="s">
        <v>114</v>
      </c>
      <c r="C27" s="161">
        <f>Valuation_Model!E76</f>
        <v>67.114684770224258</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30</v>
      </c>
      <c r="D31" s="164"/>
      <c r="E31" s="352"/>
      <c r="F31" s="352"/>
    </row>
    <row r="32" spans="2:6">
      <c r="B32" s="119" t="s">
        <v>135</v>
      </c>
      <c r="C32" s="165">
        <v>0.04</v>
      </c>
      <c r="D32" s="165"/>
      <c r="E32" s="352"/>
      <c r="F32" s="352"/>
    </row>
    <row r="33" spans="2:6">
      <c r="B33" s="100" t="s">
        <v>114</v>
      </c>
      <c r="C33" s="161">
        <f>Valuation_Model!E77</f>
        <v>55.338621489497143</v>
      </c>
      <c r="D33" t="str">
        <f>Market_currency</f>
        <v>HKD</v>
      </c>
      <c r="E33" s="352"/>
      <c r="F33" s="352"/>
    </row>
    <row r="34" spans="2:6">
      <c r="B34" s="100" t="s">
        <v>148</v>
      </c>
      <c r="C34" s="166">
        <v>0.3</v>
      </c>
      <c r="D34" s="166"/>
      <c r="E34" s="352"/>
      <c r="F34" s="352"/>
    </row>
    <row r="36" spans="2:6" ht="13.15">
      <c r="B36" s="160" t="s">
        <v>115</v>
      </c>
      <c r="E36" s="160" t="s">
        <v>150</v>
      </c>
      <c r="F36" s="160"/>
    </row>
    <row r="37" spans="2:6">
      <c r="B37" s="153" t="s">
        <v>134</v>
      </c>
      <c r="C37" s="167">
        <f>C18</f>
        <v>30</v>
      </c>
      <c r="D37" s="164"/>
      <c r="E37" s="352"/>
      <c r="F37" s="352"/>
    </row>
    <row r="38" spans="2:6">
      <c r="B38" s="119" t="s">
        <v>135</v>
      </c>
      <c r="C38" s="165">
        <v>0.08</v>
      </c>
      <c r="D38" s="165"/>
      <c r="E38" s="352"/>
      <c r="F38" s="352"/>
    </row>
    <row r="39" spans="2:6">
      <c r="B39" s="100" t="s">
        <v>114</v>
      </c>
      <c r="C39" s="161">
        <f>Valuation_Model!E75</f>
        <v>83.738055997664702</v>
      </c>
      <c r="D39" t="str">
        <f>Market_currency</f>
        <v>HKD</v>
      </c>
      <c r="E39" s="352"/>
      <c r="F39" s="352"/>
    </row>
    <row r="40" spans="2:6">
      <c r="B40" s="100" t="s">
        <v>148</v>
      </c>
      <c r="C40" s="168">
        <f>1-C28-C34</f>
        <v>0.2</v>
      </c>
      <c r="D40" s="166"/>
      <c r="E40" s="352"/>
      <c r="F40" s="352"/>
    </row>
    <row r="42" spans="2:6" ht="13.15">
      <c r="B42" s="100" t="s">
        <v>121</v>
      </c>
      <c r="C42" s="155">
        <f>C27*C28+C33*C34+C39*C40</f>
        <v>66.906540031494217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2"/>
      <c r="F49" s="352"/>
    </row>
    <row r="50" spans="2:6">
      <c r="B50" s="119" t="s">
        <v>135</v>
      </c>
      <c r="C50" s="165">
        <v>0.02</v>
      </c>
      <c r="D50" s="165"/>
      <c r="E50" s="352"/>
      <c r="F50" s="352"/>
    </row>
    <row r="51" spans="2:6">
      <c r="B51" s="100" t="s">
        <v>114</v>
      </c>
      <c r="C51" s="161">
        <f>Valuation_Model!E78</f>
        <v>46.874410981267687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30</v>
      </c>
      <c r="D55" s="164"/>
      <c r="E55" s="352"/>
      <c r="F55" s="352"/>
    </row>
    <row r="56" spans="2:6">
      <c r="B56" s="119" t="s">
        <v>135</v>
      </c>
      <c r="C56" s="165">
        <v>0.1</v>
      </c>
      <c r="D56" s="165"/>
      <c r="E56" s="352"/>
      <c r="F56" s="352"/>
    </row>
    <row r="57" spans="2:6">
      <c r="B57" s="100" t="s">
        <v>114</v>
      </c>
      <c r="C57" s="161">
        <f>Valuation_Model!E74</f>
        <v>107.49707488504225</v>
      </c>
      <c r="D57" t="str">
        <f>Market_currency</f>
        <v>HKD</v>
      </c>
      <c r="E57" s="352"/>
      <c r="F57" s="352"/>
    </row>
    <row r="58" spans="2:6">
      <c r="B58" s="100" t="s">
        <v>148</v>
      </c>
      <c r="C58" s="166">
        <v>0.05</v>
      </c>
      <c r="D58" s="166"/>
      <c r="E58" s="352"/>
      <c r="F58" s="352"/>
    </row>
    <row r="60" spans="2:6" ht="13.15">
      <c r="B60" s="100" t="s">
        <v>121</v>
      </c>
      <c r="C60" s="155">
        <f>C51*C52+C57*C58+C42*(1-C52-C58)</f>
        <v>67.934460321660282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6.1165848114484E-2</v>
      </c>
      <c r="D65" s="152"/>
      <c r="E65" s="281" t="s">
        <v>320</v>
      </c>
    </row>
    <row r="66" spans="2:6">
      <c r="B66" s="100" t="s">
        <v>103</v>
      </c>
      <c r="C66" s="161">
        <f>Valuation_Model!C18</f>
        <v>67.932622227435317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0.17856104323192476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2.0317375318709203</v>
      </c>
      <c r="D77" t="str">
        <f>Market_currency</f>
        <v>HKD</v>
      </c>
    </row>
    <row r="79" spans="2:6" ht="13.15">
      <c r="B79" s="109" t="s">
        <v>308</v>
      </c>
    </row>
    <row r="80" spans="2:6">
      <c r="B80" s="149" t="s">
        <v>306</v>
      </c>
      <c r="C80" s="168">
        <f>Thesis!C132</f>
        <v>0.4</v>
      </c>
    </row>
    <row r="81" spans="2:8">
      <c r="B81" s="100" t="s">
        <v>122</v>
      </c>
      <c r="C81" s="117">
        <f>PV(C80, C76, -C77, 0)</f>
        <v>3.2282710054508783</v>
      </c>
      <c r="D81" s="117"/>
      <c r="E81" s="100"/>
      <c r="F81" s="100"/>
    </row>
    <row r="82" spans="2:8">
      <c r="B82" s="100" t="s">
        <v>123</v>
      </c>
      <c r="C82" s="117">
        <f>C60/(1+C80)^C76</f>
        <v>24.757456385444716</v>
      </c>
      <c r="D82" s="117"/>
    </row>
    <row r="83" spans="2:8" ht="13.15">
      <c r="B83" s="111" t="s">
        <v>102</v>
      </c>
      <c r="C83" s="112">
        <f>C81+C82</f>
        <v>27.985727390895594</v>
      </c>
      <c r="D83" t="str">
        <f>Market_currency</f>
        <v>HKD</v>
      </c>
      <c r="E83" s="147" t="s">
        <v>127</v>
      </c>
      <c r="F83" s="329">
        <f>(1-C83/C60)</f>
        <v>0.58804813847954274</v>
      </c>
    </row>
    <row r="84" spans="2:8">
      <c r="E84" s="121"/>
    </row>
    <row r="85" spans="2:8" ht="13.15">
      <c r="B85" s="109" t="s">
        <v>309</v>
      </c>
    </row>
    <row r="86" spans="2:8">
      <c r="B86" s="149" t="s">
        <v>307</v>
      </c>
      <c r="C86" s="266">
        <f>Market_Price</f>
        <v>54.25</v>
      </c>
      <c r="D86" t="str">
        <f>Market_currency</f>
        <v>HKD</v>
      </c>
    </row>
    <row r="87" spans="2:8" ht="13.15">
      <c r="B87" s="100" t="s">
        <v>305</v>
      </c>
      <c r="C87" s="265">
        <f ca="1">IRR(OFFSET($I$3, 0, 0, $C$76 + 1, 1))</f>
        <v>0.11272920573653655</v>
      </c>
    </row>
    <row r="88" spans="2:8">
      <c r="B88" s="100"/>
    </row>
    <row r="89" spans="2:8" ht="13.15">
      <c r="B89" s="109" t="s">
        <v>422</v>
      </c>
    </row>
    <row r="90" spans="2:8">
      <c r="B90" s="149" t="s">
        <v>423</v>
      </c>
      <c r="C90" s="168">
        <f>Thesis!E24</f>
        <v>0.2</v>
      </c>
    </row>
    <row r="91" spans="2:8">
      <c r="B91" s="100" t="s">
        <v>122</v>
      </c>
      <c r="C91" s="117">
        <f>PV(C90, C76, -C77, 0)</f>
        <v>4.2798174861169844</v>
      </c>
      <c r="D91" s="117"/>
      <c r="E91" s="100"/>
      <c r="F91" s="100"/>
    </row>
    <row r="92" spans="2:8">
      <c r="B92" s="100" t="s">
        <v>123</v>
      </c>
      <c r="C92" s="117">
        <f>C60/(1+C90)^C76</f>
        <v>39.313923797257111</v>
      </c>
      <c r="D92" s="117"/>
    </row>
    <row r="93" spans="2:8" ht="13.15">
      <c r="B93" s="111" t="s">
        <v>102</v>
      </c>
      <c r="C93" s="112">
        <f>C91+C92</f>
        <v>43.593741283374094</v>
      </c>
      <c r="D93" t="str">
        <f>Market_currency</f>
        <v>HKD</v>
      </c>
      <c r="E93" s="147" t="s">
        <v>127</v>
      </c>
      <c r="F93" s="329">
        <f>(1-C93/C60)</f>
        <v>0.35829708402828619</v>
      </c>
    </row>
    <row r="95" spans="2:8" ht="13.15">
      <c r="B95" s="109" t="s">
        <v>405</v>
      </c>
      <c r="G95" s="2"/>
      <c r="H95" s="316"/>
    </row>
    <row r="96" spans="2:8">
      <c r="B96" s="149" t="s">
        <v>411</v>
      </c>
      <c r="C96" s="135">
        <f>Thesis!C72</f>
        <v>0.08</v>
      </c>
      <c r="G96" s="2"/>
      <c r="H96" s="316"/>
    </row>
    <row r="97" spans="2:8">
      <c r="B97" s="100" t="s">
        <v>122</v>
      </c>
      <c r="C97" s="117">
        <f>PV(C96, C76, -C77, 0)</f>
        <v>5.235984672262993</v>
      </c>
      <c r="D97" s="117"/>
      <c r="G97" s="2"/>
      <c r="H97" s="316"/>
    </row>
    <row r="98" spans="2:8">
      <c r="B98" s="100" t="s">
        <v>123</v>
      </c>
      <c r="C98" s="117">
        <f>C60/(1+C96)^C76</f>
        <v>53.928564879639374</v>
      </c>
      <c r="D98" s="117"/>
      <c r="G98" s="2"/>
      <c r="H98" s="316"/>
    </row>
    <row r="99" spans="2:8" ht="13.15">
      <c r="B99" s="111" t="s">
        <v>406</v>
      </c>
      <c r="C99" s="112">
        <f>C97+C98</f>
        <v>59.164549551902368</v>
      </c>
      <c r="D99" t="s">
        <v>404</v>
      </c>
      <c r="E99" s="147" t="s">
        <v>127</v>
      </c>
      <c r="F99" s="329">
        <f>(1-C99/C60)</f>
        <v>0.1290936989597562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